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drawings/drawing15.xml" ContentType="application/vnd.openxmlformats-officedocument.drawing+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経理係フォルダ\☆決算事務\０５年度決算\06 R5決算 消費税計算\02 繰入金計算\令和５年度決算用\"/>
    </mc:Choice>
  </mc:AlternateContent>
  <bookViews>
    <workbookView xWindow="-15" yWindow="-15" windowWidth="11100" windowHeight="8400" tabRatio="885"/>
  </bookViews>
  <sheets>
    <sheet name="税務署提出用" sheetId="28" r:id="rId1"/>
    <sheet name="総括表" sheetId="1" r:id="rId2"/>
    <sheet name="3条一般会計" sheetId="2" r:id="rId3"/>
    <sheet name="3条補助金" sheetId="3" r:id="rId4"/>
    <sheet name="3条他会計" sheetId="41" r:id="rId5"/>
    <sheet name="3条その他" sheetId="17" r:id="rId6"/>
    <sheet name="3条災害補助" sheetId="27" r:id="rId7"/>
    <sheet name="4条補助（公）" sheetId="4" r:id="rId8"/>
    <sheet name="4条補助（特）" sheetId="29" r:id="rId9"/>
    <sheet name="4条補助（農）" sheetId="30" r:id="rId10"/>
    <sheet name="4条補助（浄）" sheetId="31" r:id="rId11"/>
    <sheet name="受益（公）" sheetId="5" r:id="rId12"/>
    <sheet name="受益（区域外）" sheetId="32" r:id="rId13"/>
    <sheet name="4条その他" sheetId="33" r:id="rId14"/>
    <sheet name="4条工事負担金" sheetId="6" r:id="rId15"/>
    <sheet name="工事負担金（所属別内訳）" sheetId="26" r:id="rId16"/>
    <sheet name="工事負担金（元金償還分)" sheetId="7" r:id="rId17"/>
    <sheet name="西風" sheetId="40" r:id="rId18"/>
    <sheet name="海田" sheetId="14" r:id="rId19"/>
    <sheet name="府中青崎" sheetId="36" r:id="rId20"/>
    <sheet name="府中大須" sheetId="38" r:id="rId21"/>
    <sheet name="大須（共通）" sheetId="37" r:id="rId22"/>
    <sheet name="廿日市" sheetId="39" r:id="rId23"/>
    <sheet name="年度別調書" sheetId="8" r:id="rId24"/>
  </sheets>
  <externalReferences>
    <externalReference r:id="rId25"/>
    <externalReference r:id="rId26"/>
    <externalReference r:id="rId27"/>
    <externalReference r:id="rId28"/>
    <externalReference r:id="rId29"/>
  </externalReferences>
  <definedNames>
    <definedName name="_xlnm._FilterDatabase" localSheetId="15" hidden="1">'工事負担金（所属別内訳）'!$A$5:$T$106</definedName>
    <definedName name="_xlnm.Print_Area" localSheetId="5">'3条その他'!$A$1:$N$56</definedName>
    <definedName name="_xlnm.Print_Area" localSheetId="2">'3条一般会計'!$A$1:$I$29</definedName>
    <definedName name="_xlnm.Print_Area" localSheetId="4">'3条他会計'!$A$1:$I$11</definedName>
    <definedName name="_xlnm.Print_Area" localSheetId="3">'3条補助金'!$A$1:$I$21</definedName>
    <definedName name="_xlnm.Print_Area" localSheetId="14">'4条工事負担金'!$A$1:$V$25</definedName>
    <definedName name="_xlnm.Print_Area" localSheetId="7">'4条補助（公）'!$A$1:$U$43</definedName>
    <definedName name="_xlnm.Print_Area" localSheetId="10">'4条補助（浄）'!$A$1:$U$43</definedName>
    <definedName name="_xlnm.Print_Area" localSheetId="8">'4条補助（特）'!$A$1:$U$43</definedName>
    <definedName name="_xlnm.Print_Area" localSheetId="18">海田!$A$1:$AC$49</definedName>
    <definedName name="_xlnm.Print_Area" localSheetId="16">'工事負担金（元金償還分)'!$A$1:$I$14</definedName>
    <definedName name="_xlnm.Print_Area" localSheetId="15">'工事負担金（所属別内訳）'!$A$1:$R$105</definedName>
    <definedName name="_xlnm.Print_Area" localSheetId="12">'受益（区域外）'!$A$1:$U$77</definedName>
    <definedName name="_xlnm.Print_Area" localSheetId="11">'受益（公）'!$A$1:$U$18</definedName>
    <definedName name="_xlnm.Print_Area" localSheetId="1">総括表!$A$1:$J$173</definedName>
    <definedName name="_xlnm.Print_Area" localSheetId="21">'大須（共通）'!$A$1:$AC$49</definedName>
    <definedName name="_xlnm.Print_Area" localSheetId="22">廿日市!$A$1:$AC$49</definedName>
    <definedName name="_xlnm.Print_Area" localSheetId="23">年度別調書!$A$2:$N$37</definedName>
    <definedName name="_xlnm.Print_Area" localSheetId="19">府中青崎!$A$1:$AC$49</definedName>
    <definedName name="_xlnm.Print_Area" localSheetId="20">府中大須!$A$1:$AC$49</definedName>
    <definedName name="_xlnm.Print_Titles" localSheetId="1">総括表!$4:$5</definedName>
  </definedNames>
  <calcPr calcId="162913" fullCalcOnLoad="1"/>
</workbook>
</file>

<file path=xl/calcChain.xml><?xml version="1.0" encoding="utf-8"?>
<calcChain xmlns="http://schemas.openxmlformats.org/spreadsheetml/2006/main">
  <c r="G102" i="28" l="1"/>
  <c r="E108" i="28"/>
  <c r="S75" i="26" l="1"/>
  <c r="T75" i="26"/>
  <c r="S78" i="26"/>
  <c r="T78" i="26"/>
  <c r="S79" i="26"/>
  <c r="T79" i="26"/>
  <c r="S82" i="26"/>
  <c r="T82" i="26"/>
  <c r="S85" i="26"/>
  <c r="T85" i="26"/>
  <c r="S86" i="26"/>
  <c r="T86" i="26"/>
  <c r="H109" i="1" l="1"/>
  <c r="I108" i="1"/>
  <c r="F109" i="1"/>
  <c r="G8" i="29"/>
  <c r="H40" i="17" l="1"/>
  <c r="I40" i="17" s="1"/>
  <c r="G42" i="17"/>
  <c r="N40" i="17"/>
  <c r="M40" i="17"/>
  <c r="L40" i="17"/>
  <c r="N41" i="17" l="1"/>
  <c r="M41" i="17"/>
  <c r="L41" i="17" l="1"/>
  <c r="P15" i="6"/>
  <c r="H37" i="4" l="1"/>
  <c r="G32" i="4"/>
  <c r="G8" i="4" l="1"/>
  <c r="G22" i="4" l="1"/>
  <c r="G20" i="4"/>
  <c r="S71" i="32"/>
  <c r="E36" i="32"/>
  <c r="E35" i="32"/>
  <c r="S11" i="5" l="1"/>
  <c r="S9" i="5"/>
  <c r="E16" i="5" l="1"/>
  <c r="G38" i="4" l="1"/>
  <c r="G40" i="4"/>
  <c r="Q42" i="26" l="1"/>
  <c r="P42" i="26"/>
  <c r="R42" i="26" s="1"/>
  <c r="T42" i="26" s="1"/>
  <c r="O42" i="26"/>
  <c r="L42" i="26"/>
  <c r="H42" i="26"/>
  <c r="S42" i="26" l="1"/>
  <c r="AC50" i="14" l="1"/>
  <c r="U50" i="14"/>
  <c r="E37" i="8" l="1"/>
  <c r="I37" i="8"/>
  <c r="G22" i="33" l="1"/>
  <c r="N19" i="31"/>
  <c r="E37" i="32" l="1"/>
  <c r="F29" i="14" l="1"/>
  <c r="F98" i="1" l="1"/>
  <c r="G48" i="39" l="1"/>
  <c r="C24" i="39"/>
  <c r="C40" i="39"/>
  <c r="E30" i="39"/>
  <c r="F31" i="32" l="1"/>
  <c r="G10" i="5" l="1"/>
  <c r="S49" i="32" l="1"/>
  <c r="F28" i="32" l="1"/>
  <c r="N10" i="5" l="1"/>
  <c r="N37" i="4" l="1"/>
  <c r="S48" i="14" l="1"/>
  <c r="C19" i="14" l="1"/>
  <c r="P10" i="26" l="1"/>
  <c r="C14" i="36" l="1"/>
  <c r="C40" i="14"/>
  <c r="C41" i="14"/>
  <c r="C14" i="14"/>
  <c r="F158" i="28" l="1"/>
  <c r="F156" i="28"/>
  <c r="F154" i="28"/>
  <c r="G166" i="1"/>
  <c r="G164" i="1"/>
  <c r="G162" i="1"/>
  <c r="J6" i="6"/>
  <c r="P17" i="6"/>
  <c r="R98" i="26"/>
  <c r="Q98" i="26"/>
  <c r="P98" i="26"/>
  <c r="O98" i="26"/>
  <c r="N98" i="26"/>
  <c r="M98" i="26"/>
  <c r="L98" i="26"/>
  <c r="K98" i="26"/>
  <c r="J98" i="26"/>
  <c r="I98" i="26"/>
  <c r="H98" i="26"/>
  <c r="G98" i="26"/>
  <c r="F98" i="26"/>
  <c r="R97" i="26"/>
  <c r="P97" i="26"/>
  <c r="L97" i="26"/>
  <c r="J97" i="26"/>
  <c r="H97" i="26"/>
  <c r="F97" i="26"/>
  <c r="E98" i="26"/>
  <c r="E97" i="26"/>
  <c r="T94" i="26"/>
  <c r="S94" i="26"/>
  <c r="T93" i="26"/>
  <c r="S93" i="26"/>
  <c r="T90" i="26"/>
  <c r="S90" i="26"/>
  <c r="T89" i="26"/>
  <c r="S89" i="26"/>
  <c r="N71" i="26"/>
  <c r="N95" i="26" s="1"/>
  <c r="N92" i="26" s="1"/>
  <c r="M71" i="26"/>
  <c r="M95" i="26" s="1"/>
  <c r="M92" i="26" s="1"/>
  <c r="K71" i="26"/>
  <c r="K95" i="26" s="1"/>
  <c r="K92" i="26" s="1"/>
  <c r="J71" i="26"/>
  <c r="J95" i="26" s="1"/>
  <c r="J92" i="26" s="1"/>
  <c r="I71" i="26"/>
  <c r="I95" i="26" s="1"/>
  <c r="I92" i="26" s="1"/>
  <c r="G71" i="26"/>
  <c r="G95" i="26" s="1"/>
  <c r="F71" i="26"/>
  <c r="F95" i="26" s="1"/>
  <c r="F92" i="26" s="1"/>
  <c r="E71" i="26"/>
  <c r="E95" i="26" s="1"/>
  <c r="E92" i="26" s="1"/>
  <c r="Q70" i="26"/>
  <c r="P70" i="26"/>
  <c r="O70" i="26"/>
  <c r="L70" i="26"/>
  <c r="H70" i="26"/>
  <c r="Q69" i="26"/>
  <c r="P69" i="26"/>
  <c r="O69" i="26"/>
  <c r="L69" i="26"/>
  <c r="H69" i="26"/>
  <c r="Q68" i="26"/>
  <c r="P68" i="26"/>
  <c r="O68" i="26"/>
  <c r="L68" i="26"/>
  <c r="H68" i="26"/>
  <c r="Q67" i="26"/>
  <c r="P67" i="26"/>
  <c r="O67" i="26"/>
  <c r="L67" i="26"/>
  <c r="H67" i="26"/>
  <c r="Q66" i="26"/>
  <c r="P66" i="26"/>
  <c r="O66" i="26"/>
  <c r="L66" i="26"/>
  <c r="H66" i="26"/>
  <c r="N65" i="26"/>
  <c r="N91" i="26" s="1"/>
  <c r="N88" i="26" s="1"/>
  <c r="M65" i="26"/>
  <c r="M91" i="26" s="1"/>
  <c r="M88" i="26" s="1"/>
  <c r="K65" i="26"/>
  <c r="K91" i="26" s="1"/>
  <c r="K88" i="26" s="1"/>
  <c r="J65" i="26"/>
  <c r="J91" i="26" s="1"/>
  <c r="J88" i="26" s="1"/>
  <c r="I65" i="26"/>
  <c r="I91" i="26" s="1"/>
  <c r="I88" i="26" s="1"/>
  <c r="G65" i="26"/>
  <c r="G91" i="26" s="1"/>
  <c r="F65" i="26"/>
  <c r="F91" i="26" s="1"/>
  <c r="F88" i="26" s="1"/>
  <c r="E65" i="26"/>
  <c r="E91" i="26" s="1"/>
  <c r="E88" i="26" s="1"/>
  <c r="Q64" i="26"/>
  <c r="P64" i="26"/>
  <c r="O64" i="26"/>
  <c r="L64" i="26"/>
  <c r="H64" i="26"/>
  <c r="Q63" i="26"/>
  <c r="P63" i="26"/>
  <c r="O63" i="26"/>
  <c r="L63" i="26"/>
  <c r="H63" i="26"/>
  <c r="Q62" i="26"/>
  <c r="P62" i="26"/>
  <c r="O62" i="26"/>
  <c r="L62" i="26"/>
  <c r="H62" i="26"/>
  <c r="Q61" i="26"/>
  <c r="P61" i="26"/>
  <c r="O61" i="26"/>
  <c r="L61" i="26"/>
  <c r="H61" i="26"/>
  <c r="Q60" i="26"/>
  <c r="P60" i="26"/>
  <c r="O60" i="26"/>
  <c r="L60" i="26"/>
  <c r="H60" i="26"/>
  <c r="P23" i="6"/>
  <c r="P21" i="6"/>
  <c r="P19" i="6"/>
  <c r="N59" i="26"/>
  <c r="N87" i="26" s="1"/>
  <c r="N84" i="26" s="1"/>
  <c r="M59" i="26"/>
  <c r="M87" i="26" s="1"/>
  <c r="M84" i="26" s="1"/>
  <c r="K59" i="26"/>
  <c r="K87" i="26" s="1"/>
  <c r="K84" i="26" s="1"/>
  <c r="J59" i="26"/>
  <c r="J87" i="26" s="1"/>
  <c r="J84" i="26" s="1"/>
  <c r="I59" i="26"/>
  <c r="I87" i="26" s="1"/>
  <c r="I84" i="26" s="1"/>
  <c r="G59" i="26"/>
  <c r="G87" i="26" s="1"/>
  <c r="G18" i="6" s="1"/>
  <c r="F59" i="26"/>
  <c r="F87" i="26" s="1"/>
  <c r="F84" i="26" s="1"/>
  <c r="Q58" i="26"/>
  <c r="P58" i="26"/>
  <c r="O58" i="26"/>
  <c r="L58" i="26"/>
  <c r="H58" i="26"/>
  <c r="Q57" i="26"/>
  <c r="P57" i="26"/>
  <c r="O57" i="26"/>
  <c r="L57" i="26"/>
  <c r="H57" i="26"/>
  <c r="Q56" i="26"/>
  <c r="P56" i="26"/>
  <c r="O56" i="26"/>
  <c r="L56" i="26"/>
  <c r="H56" i="26"/>
  <c r="Q55" i="26"/>
  <c r="P55" i="26"/>
  <c r="O55" i="26"/>
  <c r="L55" i="26"/>
  <c r="H55" i="26"/>
  <c r="Q54" i="26"/>
  <c r="P54" i="26"/>
  <c r="O54" i="26"/>
  <c r="L54" i="26"/>
  <c r="H54" i="26"/>
  <c r="S58" i="26" l="1"/>
  <c r="S62" i="26"/>
  <c r="S67" i="26"/>
  <c r="G154" i="28"/>
  <c r="H162" i="1"/>
  <c r="G88" i="26"/>
  <c r="G20" i="6"/>
  <c r="G92" i="26"/>
  <c r="G22" i="6"/>
  <c r="R67" i="26"/>
  <c r="S69" i="26"/>
  <c r="L71" i="26"/>
  <c r="L95" i="26" s="1"/>
  <c r="L92" i="26" s="1"/>
  <c r="R60" i="26"/>
  <c r="T60" i="26" s="1"/>
  <c r="R64" i="26"/>
  <c r="T64" i="26" s="1"/>
  <c r="P71" i="26"/>
  <c r="P95" i="26" s="1"/>
  <c r="P92" i="26" s="1"/>
  <c r="R69" i="26"/>
  <c r="T69" i="26" s="1"/>
  <c r="O71" i="26"/>
  <c r="O95" i="26" s="1"/>
  <c r="O92" i="26" s="1"/>
  <c r="S68" i="26"/>
  <c r="R68" i="26"/>
  <c r="T68" i="26" s="1"/>
  <c r="L65" i="26"/>
  <c r="L91" i="26" s="1"/>
  <c r="L88" i="26" s="1"/>
  <c r="S61" i="26"/>
  <c r="R61" i="26"/>
  <c r="T61" i="26" s="1"/>
  <c r="H71" i="26"/>
  <c r="R66" i="26"/>
  <c r="T66" i="26" s="1"/>
  <c r="S70" i="26"/>
  <c r="R70" i="26"/>
  <c r="T70" i="26" s="1"/>
  <c r="Q71" i="26"/>
  <c r="Q95" i="26" s="1"/>
  <c r="Q92" i="26" s="1"/>
  <c r="O65" i="26"/>
  <c r="O91" i="26" s="1"/>
  <c r="O88" i="26" s="1"/>
  <c r="R62" i="26"/>
  <c r="T62" i="26" s="1"/>
  <c r="R56" i="26"/>
  <c r="T56" i="26" s="1"/>
  <c r="P65" i="26"/>
  <c r="P91" i="26" s="1"/>
  <c r="P88" i="26" s="1"/>
  <c r="S63" i="26"/>
  <c r="R63" i="26"/>
  <c r="S66" i="26"/>
  <c r="H65" i="26"/>
  <c r="H91" i="26" s="1"/>
  <c r="H88" i="26" s="1"/>
  <c r="S64" i="26"/>
  <c r="Q65" i="26"/>
  <c r="Q91" i="26" s="1"/>
  <c r="Q88" i="26" s="1"/>
  <c r="R57" i="26"/>
  <c r="T57" i="26" s="1"/>
  <c r="S60" i="26"/>
  <c r="S57" i="26"/>
  <c r="G84" i="26"/>
  <c r="O59" i="26"/>
  <c r="O87" i="26" s="1"/>
  <c r="O84" i="26" s="1"/>
  <c r="R55" i="26"/>
  <c r="T55" i="26" s="1"/>
  <c r="R58" i="26"/>
  <c r="T58" i="26" s="1"/>
  <c r="S55" i="26"/>
  <c r="S56" i="26"/>
  <c r="L59" i="26"/>
  <c r="L87" i="26" s="1"/>
  <c r="L84" i="26" s="1"/>
  <c r="P59" i="26"/>
  <c r="P87" i="26" s="1"/>
  <c r="P84" i="26" s="1"/>
  <c r="H59" i="26"/>
  <c r="H87" i="26" s="1"/>
  <c r="H84" i="26" s="1"/>
  <c r="Q59" i="26"/>
  <c r="Q87" i="26" s="1"/>
  <c r="Q84" i="26" s="1"/>
  <c r="R54" i="26"/>
  <c r="E59" i="26"/>
  <c r="E87" i="26" s="1"/>
  <c r="E84" i="26" s="1"/>
  <c r="S54" i="26"/>
  <c r="S91" i="26" l="1"/>
  <c r="S88" i="26"/>
  <c r="G156" i="28"/>
  <c r="H164" i="1"/>
  <c r="S71" i="26"/>
  <c r="H95" i="26"/>
  <c r="S95" i="26" s="1"/>
  <c r="G158" i="28"/>
  <c r="G16" i="6"/>
  <c r="H166" i="1"/>
  <c r="H92" i="26"/>
  <c r="T67" i="26"/>
  <c r="T63" i="26"/>
  <c r="S65" i="26"/>
  <c r="R71" i="26"/>
  <c r="R65" i="26"/>
  <c r="S84" i="26"/>
  <c r="S87" i="26"/>
  <c r="S59" i="26"/>
  <c r="T54" i="26"/>
  <c r="R59" i="26"/>
  <c r="R87" i="26" s="1"/>
  <c r="T87" i="26" s="1"/>
  <c r="T65" i="26" l="1"/>
  <c r="R91" i="26"/>
  <c r="T91" i="26" s="1"/>
  <c r="T71" i="26"/>
  <c r="R95" i="26"/>
  <c r="R92" i="26" s="1"/>
  <c r="S92" i="26"/>
  <c r="R88" i="26"/>
  <c r="T88" i="26" s="1"/>
  <c r="R84" i="26"/>
  <c r="T59" i="26"/>
  <c r="T95" i="26" l="1"/>
  <c r="T92" i="26"/>
  <c r="T84" i="26"/>
  <c r="N60" i="33" l="1"/>
  <c r="N54" i="33"/>
  <c r="N46" i="33"/>
  <c r="N26" i="33"/>
  <c r="N18" i="33"/>
  <c r="N40" i="33"/>
  <c r="N70" i="32" l="1"/>
  <c r="N50" i="32" l="1"/>
  <c r="N37" i="30"/>
  <c r="N19" i="30"/>
  <c r="N30" i="32" l="1"/>
  <c r="N19" i="29"/>
  <c r="N12" i="33" l="1"/>
  <c r="F108" i="28" l="1"/>
  <c r="L20" i="3" l="1"/>
  <c r="M8" i="5" l="1"/>
  <c r="L38" i="31"/>
  <c r="L37" i="31"/>
  <c r="L68" i="32"/>
  <c r="R38" i="31"/>
  <c r="L48" i="32"/>
  <c r="L28" i="32"/>
  <c r="R15" i="6"/>
  <c r="R55" i="33"/>
  <c r="R61" i="33"/>
  <c r="M61" i="33"/>
  <c r="M55" i="33"/>
  <c r="M68" i="32"/>
  <c r="M48" i="32"/>
  <c r="M8" i="32" s="1"/>
  <c r="M28" i="32"/>
  <c r="M10" i="32"/>
  <c r="M38" i="31"/>
  <c r="F44" i="39" l="1"/>
  <c r="E44" i="39"/>
  <c r="D44" i="39"/>
  <c r="C44" i="39"/>
  <c r="F43" i="39"/>
  <c r="E43" i="39"/>
  <c r="D43" i="39"/>
  <c r="C43" i="39"/>
  <c r="N44" i="39"/>
  <c r="F44" i="37"/>
  <c r="E44" i="37"/>
  <c r="D44" i="37"/>
  <c r="C44" i="37"/>
  <c r="F43" i="37"/>
  <c r="E43" i="37"/>
  <c r="D43" i="37"/>
  <c r="C43" i="37"/>
  <c r="N44" i="37"/>
  <c r="C44" i="38"/>
  <c r="F44" i="38"/>
  <c r="E44" i="38"/>
  <c r="D44" i="38"/>
  <c r="F43" i="38"/>
  <c r="E43" i="38"/>
  <c r="D43" i="38"/>
  <c r="C43" i="38"/>
  <c r="N44" i="38"/>
  <c r="F44" i="14"/>
  <c r="E44" i="14"/>
  <c r="D44" i="14"/>
  <c r="C44" i="14"/>
  <c r="N44" i="40"/>
  <c r="N45" i="40"/>
  <c r="N46" i="40"/>
  <c r="N47" i="40"/>
  <c r="C44" i="36"/>
  <c r="F44" i="36"/>
  <c r="E44" i="36"/>
  <c r="D44" i="36"/>
  <c r="F43" i="36"/>
  <c r="E43" i="36"/>
  <c r="D43" i="36"/>
  <c r="C43" i="36"/>
  <c r="F43" i="14"/>
  <c r="E43" i="14"/>
  <c r="D43" i="14"/>
  <c r="C43" i="14"/>
  <c r="R51" i="33" l="1"/>
  <c r="M51" i="33"/>
  <c r="M46" i="17"/>
  <c r="M44" i="17"/>
  <c r="M38" i="17"/>
  <c r="M36" i="17"/>
  <c r="M34" i="17"/>
  <c r="M24" i="17"/>
  <c r="M22" i="17"/>
  <c r="M20" i="17"/>
  <c r="M16" i="17"/>
  <c r="M14" i="17"/>
  <c r="M1" i="17"/>
  <c r="N1" i="17"/>
  <c r="M26" i="17"/>
  <c r="M27" i="17" s="1"/>
  <c r="M28" i="17"/>
  <c r="M29" i="17" s="1"/>
  <c r="M30" i="17"/>
  <c r="M31" i="17" s="1"/>
  <c r="N46" i="17"/>
  <c r="N44" i="17"/>
  <c r="N38" i="17"/>
  <c r="N36" i="17"/>
  <c r="N34" i="17"/>
  <c r="N24" i="17"/>
  <c r="N22" i="17"/>
  <c r="N20" i="17"/>
  <c r="N16" i="17"/>
  <c r="N14" i="17"/>
  <c r="M20" i="3"/>
  <c r="A2" i="1" l="1"/>
  <c r="A1" i="17" s="1"/>
  <c r="A41" i="32" l="1"/>
  <c r="A61" i="32"/>
  <c r="A2" i="39"/>
  <c r="A1" i="2"/>
  <c r="A1" i="27"/>
  <c r="A1" i="31"/>
  <c r="A1" i="6"/>
  <c r="A2" i="36"/>
  <c r="A1" i="3"/>
  <c r="A1" i="4"/>
  <c r="A1" i="5"/>
  <c r="A1" i="7"/>
  <c r="A2" i="38"/>
  <c r="A1" i="41"/>
  <c r="A1" i="29"/>
  <c r="A1" i="32"/>
  <c r="A2" i="40"/>
  <c r="A2" i="37"/>
  <c r="A21" i="32"/>
  <c r="A1" i="30"/>
  <c r="A1" i="33"/>
  <c r="A2" i="14"/>
  <c r="H19" i="4" l="1"/>
  <c r="M20" i="4" l="1"/>
  <c r="R20" i="4" l="1"/>
  <c r="H42" i="1"/>
  <c r="G42" i="28" s="1"/>
  <c r="H40" i="1"/>
  <c r="G40" i="28" s="1"/>
  <c r="H38" i="1"/>
  <c r="G38" i="28" s="1"/>
  <c r="H36" i="1"/>
  <c r="G36" i="28" s="1"/>
  <c r="H34" i="1"/>
  <c r="G34" i="28" s="1"/>
  <c r="H32" i="1"/>
  <c r="G32" i="28" s="1"/>
  <c r="H30" i="1"/>
  <c r="G30" i="28" s="1"/>
  <c r="H28" i="1"/>
  <c r="G42" i="1"/>
  <c r="F42" i="28" s="1"/>
  <c r="G40" i="1"/>
  <c r="F40" i="28" s="1"/>
  <c r="G38" i="1"/>
  <c r="F38" i="28" s="1"/>
  <c r="G36" i="1"/>
  <c r="F36" i="28" s="1"/>
  <c r="G30" i="1"/>
  <c r="F30" i="28" s="1"/>
  <c r="G28" i="1"/>
  <c r="F28" i="28" s="1"/>
  <c r="F42" i="1"/>
  <c r="E42" i="28" s="1"/>
  <c r="F40" i="1"/>
  <c r="E40" i="28" s="1"/>
  <c r="F38" i="1"/>
  <c r="E38" i="28" s="1"/>
  <c r="F36" i="1"/>
  <c r="E36" i="28" s="1"/>
  <c r="F34" i="1"/>
  <c r="E34" i="28" s="1"/>
  <c r="F32" i="1"/>
  <c r="E32" i="28" s="1"/>
  <c r="F30" i="1"/>
  <c r="E30" i="28" s="1"/>
  <c r="F28" i="1"/>
  <c r="E28" i="28" s="1"/>
  <c r="E42" i="1"/>
  <c r="D42" i="28" s="1"/>
  <c r="E40" i="1"/>
  <c r="D40" i="28" s="1"/>
  <c r="E38" i="1"/>
  <c r="D38" i="28" s="1"/>
  <c r="E36" i="1"/>
  <c r="D36" i="28" s="1"/>
  <c r="E34" i="1"/>
  <c r="D34" i="28" s="1"/>
  <c r="E32" i="1"/>
  <c r="D32" i="28" s="1"/>
  <c r="E30" i="1"/>
  <c r="D30" i="28" s="1"/>
  <c r="E28" i="1"/>
  <c r="D28" i="28" s="1"/>
  <c r="G50" i="27"/>
  <c r="G36" i="27"/>
  <c r="E30" i="27"/>
  <c r="G34" i="1" s="1"/>
  <c r="F34" i="28" s="1"/>
  <c r="E24" i="27"/>
  <c r="G32" i="1" s="1"/>
  <c r="F32" i="28" s="1"/>
  <c r="G22" i="27"/>
  <c r="G8" i="27"/>
  <c r="J6" i="27"/>
  <c r="H26" i="1" l="1"/>
  <c r="G28" i="28"/>
  <c r="G26" i="28" s="1"/>
  <c r="G6" i="27"/>
  <c r="H136" i="1" l="1"/>
  <c r="G132" i="28" s="1"/>
  <c r="H134" i="1"/>
  <c r="G130" i="28" s="1"/>
  <c r="H132" i="1"/>
  <c r="G128" i="28" s="1"/>
  <c r="H130" i="1"/>
  <c r="G126" i="28" s="1"/>
  <c r="H128" i="1"/>
  <c r="G124" i="28" s="1"/>
  <c r="H126" i="1"/>
  <c r="G122" i="28" s="1"/>
  <c r="H124" i="1"/>
  <c r="G120" i="28" s="1"/>
  <c r="H122" i="1"/>
  <c r="G122" i="1"/>
  <c r="F118" i="28" s="1"/>
  <c r="G124" i="1"/>
  <c r="F120" i="28" s="1"/>
  <c r="G130" i="1"/>
  <c r="F126" i="28" s="1"/>
  <c r="G132" i="1"/>
  <c r="F128" i="28" s="1"/>
  <c r="G134" i="1"/>
  <c r="F130" i="28" s="1"/>
  <c r="G136" i="1"/>
  <c r="F132" i="28" s="1"/>
  <c r="F122" i="1"/>
  <c r="E118" i="28" s="1"/>
  <c r="F124" i="1"/>
  <c r="E120" i="28" s="1"/>
  <c r="F126" i="1"/>
  <c r="E122" i="28" s="1"/>
  <c r="F128" i="1"/>
  <c r="E124" i="28" s="1"/>
  <c r="F130" i="1"/>
  <c r="E126" i="28" s="1"/>
  <c r="F132" i="1"/>
  <c r="E128" i="28" s="1"/>
  <c r="F134" i="1"/>
  <c r="E130" i="28" s="1"/>
  <c r="F136" i="1"/>
  <c r="E132" i="28" s="1"/>
  <c r="E136" i="1"/>
  <c r="D132" i="28" s="1"/>
  <c r="E134" i="1"/>
  <c r="D130" i="28" s="1"/>
  <c r="E132" i="1"/>
  <c r="D128" i="28" s="1"/>
  <c r="E130" i="1"/>
  <c r="D126" i="28" s="1"/>
  <c r="E128" i="1"/>
  <c r="D124" i="28" s="1"/>
  <c r="E126" i="1"/>
  <c r="D122" i="28" s="1"/>
  <c r="E124" i="1"/>
  <c r="D120" i="28" s="1"/>
  <c r="E122" i="1"/>
  <c r="D118" i="28" s="1"/>
  <c r="H120" i="1" l="1"/>
  <c r="G118" i="28"/>
  <c r="G116" i="28" s="1"/>
  <c r="J6" i="33"/>
  <c r="H60" i="33"/>
  <c r="H54" i="33"/>
  <c r="G50" i="33"/>
  <c r="H46" i="33"/>
  <c r="M47" i="33" s="1"/>
  <c r="R47" i="33" s="1"/>
  <c r="H40" i="33"/>
  <c r="G36" i="33"/>
  <c r="H32" i="33"/>
  <c r="M33" i="33" s="1"/>
  <c r="E30" i="33"/>
  <c r="G128" i="1" s="1"/>
  <c r="F124" i="28" s="1"/>
  <c r="H26" i="33"/>
  <c r="M27" i="33" s="1"/>
  <c r="R27" i="33" s="1"/>
  <c r="E24" i="33"/>
  <c r="G126" i="1" s="1"/>
  <c r="F122" i="28" s="1"/>
  <c r="H18" i="33"/>
  <c r="M19" i="33" s="1"/>
  <c r="R19" i="33" s="1"/>
  <c r="H12" i="33"/>
  <c r="G8" i="33"/>
  <c r="M13" i="33" l="1"/>
  <c r="I12" i="33"/>
  <c r="G6" i="33"/>
  <c r="R33" i="33"/>
  <c r="R23" i="33" s="1"/>
  <c r="M23" i="33"/>
  <c r="M41" i="33"/>
  <c r="R13" i="33"/>
  <c r="R9" i="33" s="1"/>
  <c r="M9" i="33"/>
  <c r="I128" i="1"/>
  <c r="H124" i="28" s="1"/>
  <c r="N55" i="33"/>
  <c r="L55" i="33" s="1"/>
  <c r="I134" i="1"/>
  <c r="H130" i="28" s="1"/>
  <c r="N19" i="33"/>
  <c r="I124" i="1"/>
  <c r="H120" i="28" s="1"/>
  <c r="N47" i="33"/>
  <c r="I132" i="1"/>
  <c r="H128" i="28" s="1"/>
  <c r="N61" i="33"/>
  <c r="I136" i="1"/>
  <c r="H132" i="28" s="1"/>
  <c r="N41" i="33"/>
  <c r="I130" i="1"/>
  <c r="H126" i="28" s="1"/>
  <c r="P27" i="33"/>
  <c r="I126" i="1"/>
  <c r="H122" i="28" s="1"/>
  <c r="N13" i="33"/>
  <c r="S13" i="33" s="1"/>
  <c r="I122" i="1"/>
  <c r="I26" i="33"/>
  <c r="J126" i="1" s="1"/>
  <c r="I122" i="28" s="1"/>
  <c r="N27" i="33"/>
  <c r="L27" i="33" s="1"/>
  <c r="H8" i="33"/>
  <c r="J122" i="1"/>
  <c r="P13" i="33"/>
  <c r="I18" i="33"/>
  <c r="J124" i="1" s="1"/>
  <c r="I120" i="28" s="1"/>
  <c r="H22" i="33"/>
  <c r="I32" i="33"/>
  <c r="J128" i="1" s="1"/>
  <c r="I124" i="28" s="1"/>
  <c r="H36" i="33"/>
  <c r="I40" i="33"/>
  <c r="J130" i="1" s="1"/>
  <c r="I126" i="28" s="1"/>
  <c r="P41" i="33"/>
  <c r="I46" i="33"/>
  <c r="J132" i="1" s="1"/>
  <c r="I128" i="28" s="1"/>
  <c r="H50" i="33"/>
  <c r="I54" i="33"/>
  <c r="J134" i="1" s="1"/>
  <c r="I130" i="28" s="1"/>
  <c r="P55" i="33"/>
  <c r="I60" i="33"/>
  <c r="J136" i="1" s="1"/>
  <c r="I132" i="28" s="1"/>
  <c r="L13" i="33" l="1"/>
  <c r="Q13" i="33" s="1"/>
  <c r="S61" i="33"/>
  <c r="L61" i="33"/>
  <c r="S47" i="33"/>
  <c r="L47" i="33"/>
  <c r="Q47" i="33" s="1"/>
  <c r="S19" i="33"/>
  <c r="S9" i="33" s="1"/>
  <c r="L19" i="33"/>
  <c r="L9" i="33" s="1"/>
  <c r="L41" i="33"/>
  <c r="Q41" i="33" s="1"/>
  <c r="R41" i="33"/>
  <c r="R37" i="33" s="1"/>
  <c r="R6" i="33" s="1"/>
  <c r="M37" i="33"/>
  <c r="M6" i="33" s="1"/>
  <c r="P47" i="33"/>
  <c r="P33" i="33"/>
  <c r="N51" i="33"/>
  <c r="S55" i="33"/>
  <c r="Q19" i="33"/>
  <c r="Q9" i="33" s="1"/>
  <c r="P19" i="33"/>
  <c r="Q61" i="33"/>
  <c r="P61" i="33"/>
  <c r="N37" i="33"/>
  <c r="S41" i="33"/>
  <c r="P37" i="33"/>
  <c r="S27" i="33"/>
  <c r="N9" i="33"/>
  <c r="H118" i="28"/>
  <c r="H116" i="28" s="1"/>
  <c r="I120" i="1"/>
  <c r="J120" i="1"/>
  <c r="I118" i="28"/>
  <c r="I116" i="28" s="1"/>
  <c r="I22" i="33"/>
  <c r="H6" i="33"/>
  <c r="Q27" i="33"/>
  <c r="I36" i="33"/>
  <c r="I8" i="33"/>
  <c r="I50" i="33"/>
  <c r="S37" i="33" l="1"/>
  <c r="T19" i="33"/>
  <c r="S51" i="33"/>
  <c r="Q37" i="33"/>
  <c r="P9" i="33"/>
  <c r="P51" i="33"/>
  <c r="T61" i="33"/>
  <c r="T47" i="33"/>
  <c r="L51" i="33"/>
  <c r="Q55" i="33"/>
  <c r="P23" i="33"/>
  <c r="L37" i="33"/>
  <c r="T41" i="33"/>
  <c r="P6" i="33"/>
  <c r="T27" i="33"/>
  <c r="T13" i="33"/>
  <c r="T9" i="33" s="1"/>
  <c r="I6" i="33"/>
  <c r="K6" i="33"/>
  <c r="T37" i="33" l="1"/>
  <c r="Q51" i="33"/>
  <c r="T55" i="33"/>
  <c r="T51" i="33" s="1"/>
  <c r="R55" i="40" l="1"/>
  <c r="G114" i="1" l="1"/>
  <c r="J6" i="3" l="1"/>
  <c r="F11" i="5" l="1"/>
  <c r="H10" i="5" s="1"/>
  <c r="I10" i="5" s="1"/>
  <c r="H37" i="31"/>
  <c r="H19" i="31"/>
  <c r="I19" i="31" s="1"/>
  <c r="H37" i="30"/>
  <c r="H19" i="30"/>
  <c r="H37" i="29"/>
  <c r="H19" i="29"/>
  <c r="I19" i="29" s="1"/>
  <c r="N38" i="30" l="1"/>
  <c r="S38" i="30" s="1"/>
  <c r="M38" i="30"/>
  <c r="M20" i="31"/>
  <c r="N20" i="30"/>
  <c r="S20" i="30" s="1"/>
  <c r="M20" i="30"/>
  <c r="M38" i="29"/>
  <c r="R38" i="29" s="1"/>
  <c r="N20" i="29"/>
  <c r="S20" i="29" s="1"/>
  <c r="M20" i="29"/>
  <c r="N38" i="31"/>
  <c r="S38" i="31" s="1"/>
  <c r="I37" i="31"/>
  <c r="H6" i="31"/>
  <c r="P20" i="31"/>
  <c r="N20" i="31"/>
  <c r="S20" i="31" s="1"/>
  <c r="S6" i="31" s="1"/>
  <c r="I19" i="30"/>
  <c r="I37" i="30"/>
  <c r="P38" i="29"/>
  <c r="I37" i="29"/>
  <c r="I6" i="29" s="1"/>
  <c r="L20" i="30" l="1"/>
  <c r="Q20" i="30" s="1"/>
  <c r="N11" i="5"/>
  <c r="M11" i="5"/>
  <c r="R11" i="5" s="1"/>
  <c r="S6" i="30"/>
  <c r="L38" i="30"/>
  <c r="Q38" i="30" s="1"/>
  <c r="R38" i="30"/>
  <c r="R20" i="31"/>
  <c r="R6" i="31" s="1"/>
  <c r="M6" i="31"/>
  <c r="L20" i="31"/>
  <c r="Q20" i="31" s="1"/>
  <c r="R20" i="30"/>
  <c r="M6" i="30"/>
  <c r="L20" i="29"/>
  <c r="Q20" i="29" s="1"/>
  <c r="R20" i="29"/>
  <c r="R6" i="29" s="1"/>
  <c r="M6" i="29"/>
  <c r="Q38" i="31"/>
  <c r="P38" i="31"/>
  <c r="P6" i="31" s="1"/>
  <c r="P38" i="30"/>
  <c r="P20" i="30"/>
  <c r="P20" i="29"/>
  <c r="I6" i="31"/>
  <c r="J118" i="1" s="1"/>
  <c r="L11" i="5" l="1"/>
  <c r="Q11" i="5" s="1"/>
  <c r="R6" i="30"/>
  <c r="T38" i="31"/>
  <c r="T20" i="30"/>
  <c r="Q6" i="31"/>
  <c r="T38" i="30"/>
  <c r="Q6" i="30"/>
  <c r="P11" i="5"/>
  <c r="T20" i="31"/>
  <c r="T6" i="31" s="1"/>
  <c r="P6" i="30"/>
  <c r="P6" i="29"/>
  <c r="T20" i="29"/>
  <c r="H10" i="26"/>
  <c r="H11" i="26"/>
  <c r="H12" i="26"/>
  <c r="H13" i="26"/>
  <c r="H14" i="26"/>
  <c r="H15" i="26"/>
  <c r="H31" i="26"/>
  <c r="H32" i="26"/>
  <c r="H33" i="26"/>
  <c r="H34" i="26"/>
  <c r="H35" i="26"/>
  <c r="H36" i="26"/>
  <c r="H37" i="26"/>
  <c r="E38" i="26"/>
  <c r="F38" i="26"/>
  <c r="G38" i="26"/>
  <c r="I38" i="26"/>
  <c r="J38" i="26"/>
  <c r="H39" i="26"/>
  <c r="H40" i="26"/>
  <c r="H41" i="26"/>
  <c r="H43" i="26"/>
  <c r="H44" i="26"/>
  <c r="AB48" i="39"/>
  <c r="AA48" i="39"/>
  <c r="Z48" i="39"/>
  <c r="Y48" i="39"/>
  <c r="T48" i="39"/>
  <c r="S48" i="39"/>
  <c r="R48" i="39"/>
  <c r="Q48" i="39"/>
  <c r="X47" i="39"/>
  <c r="X46" i="39"/>
  <c r="X45" i="39"/>
  <c r="X43" i="39"/>
  <c r="X42" i="39"/>
  <c r="X41" i="39"/>
  <c r="X40" i="39"/>
  <c r="X39" i="39"/>
  <c r="X38" i="39"/>
  <c r="X37" i="39"/>
  <c r="X36" i="39"/>
  <c r="X35" i="39"/>
  <c r="X34" i="39"/>
  <c r="X33" i="39"/>
  <c r="X32" i="39"/>
  <c r="X31" i="39"/>
  <c r="X30" i="39"/>
  <c r="X29" i="39"/>
  <c r="X28" i="39"/>
  <c r="X27" i="39"/>
  <c r="X26" i="39"/>
  <c r="X25" i="39"/>
  <c r="X24" i="39"/>
  <c r="X23" i="39"/>
  <c r="X22" i="39"/>
  <c r="X21" i="39"/>
  <c r="X20" i="39"/>
  <c r="X19" i="39"/>
  <c r="X18" i="39"/>
  <c r="X17" i="39"/>
  <c r="X16" i="39"/>
  <c r="X15" i="39"/>
  <c r="X14" i="39"/>
  <c r="X13" i="39"/>
  <c r="X12" i="39"/>
  <c r="X11" i="39"/>
  <c r="X10" i="39"/>
  <c r="X9" i="39"/>
  <c r="X8" i="39"/>
  <c r="X7" i="39"/>
  <c r="X6" i="39"/>
  <c r="AB48" i="37"/>
  <c r="AA48" i="37"/>
  <c r="Z48" i="37"/>
  <c r="Y48" i="37"/>
  <c r="T48" i="37"/>
  <c r="S48" i="37"/>
  <c r="R48" i="37"/>
  <c r="Q48" i="37"/>
  <c r="X47" i="37"/>
  <c r="X46" i="37"/>
  <c r="X45" i="37"/>
  <c r="X43" i="37"/>
  <c r="X42" i="37"/>
  <c r="X41" i="37"/>
  <c r="X40" i="37"/>
  <c r="X39" i="37"/>
  <c r="X38" i="37"/>
  <c r="X37" i="37"/>
  <c r="X36" i="37"/>
  <c r="X35" i="37"/>
  <c r="X34" i="37"/>
  <c r="X33" i="37"/>
  <c r="X32" i="37"/>
  <c r="X31" i="37"/>
  <c r="X30" i="37"/>
  <c r="X29" i="37"/>
  <c r="X28" i="37"/>
  <c r="X27" i="37"/>
  <c r="X26" i="37"/>
  <c r="X25" i="37"/>
  <c r="X24" i="37"/>
  <c r="X23" i="37"/>
  <c r="X22" i="37"/>
  <c r="X21" i="37"/>
  <c r="X20" i="37"/>
  <c r="X19" i="37"/>
  <c r="X18" i="37"/>
  <c r="X17" i="37"/>
  <c r="X16" i="37"/>
  <c r="X15" i="37"/>
  <c r="X14" i="37"/>
  <c r="X13" i="37"/>
  <c r="X12" i="37"/>
  <c r="X11" i="37"/>
  <c r="X10" i="37"/>
  <c r="X9" i="37"/>
  <c r="X8" i="37"/>
  <c r="X7" i="37"/>
  <c r="X6" i="37"/>
  <c r="AB48" i="38"/>
  <c r="AA48" i="38"/>
  <c r="Z48" i="38"/>
  <c r="Y48" i="38"/>
  <c r="T48" i="38"/>
  <c r="S48" i="38"/>
  <c r="R48" i="38"/>
  <c r="Q48" i="38"/>
  <c r="X47" i="38"/>
  <c r="X46" i="38"/>
  <c r="X45" i="38"/>
  <c r="X43" i="38"/>
  <c r="X42" i="38"/>
  <c r="X41" i="38"/>
  <c r="X40" i="38"/>
  <c r="X39" i="38"/>
  <c r="X38" i="38"/>
  <c r="X37" i="38"/>
  <c r="X36" i="38"/>
  <c r="X35" i="38"/>
  <c r="X34" i="38"/>
  <c r="X33" i="38"/>
  <c r="X32" i="38"/>
  <c r="X31" i="38"/>
  <c r="X30" i="38"/>
  <c r="X29" i="38"/>
  <c r="X28" i="38"/>
  <c r="X27" i="38"/>
  <c r="X26" i="38"/>
  <c r="X25" i="38"/>
  <c r="X24" i="38"/>
  <c r="X23" i="38"/>
  <c r="X22" i="38"/>
  <c r="X21" i="38"/>
  <c r="X20" i="38"/>
  <c r="X19" i="38"/>
  <c r="X18" i="38"/>
  <c r="X17" i="38"/>
  <c r="X16" i="38"/>
  <c r="X15" i="38"/>
  <c r="X14" i="38"/>
  <c r="X13" i="38"/>
  <c r="X12" i="38"/>
  <c r="X11" i="38"/>
  <c r="X10" i="38"/>
  <c r="X9" i="38"/>
  <c r="X8" i="38"/>
  <c r="X7" i="38"/>
  <c r="X6" i="38"/>
  <c r="AB48" i="36"/>
  <c r="AA48" i="36"/>
  <c r="Z48" i="36"/>
  <c r="Y48" i="36"/>
  <c r="T48" i="36"/>
  <c r="S48" i="36"/>
  <c r="S50" i="14" s="1"/>
  <c r="R48" i="36"/>
  <c r="Q48" i="36"/>
  <c r="X47" i="36"/>
  <c r="X46" i="36"/>
  <c r="X45" i="36"/>
  <c r="X43" i="36"/>
  <c r="X42" i="36"/>
  <c r="X41" i="36"/>
  <c r="X40" i="36"/>
  <c r="X39" i="36"/>
  <c r="X38" i="36"/>
  <c r="X37" i="36"/>
  <c r="X36" i="36"/>
  <c r="X35" i="36"/>
  <c r="X34" i="36"/>
  <c r="X33" i="36"/>
  <c r="X32" i="36"/>
  <c r="X31" i="36"/>
  <c r="X30" i="36"/>
  <c r="X29" i="36"/>
  <c r="X28" i="36"/>
  <c r="X27" i="36"/>
  <c r="X26" i="36"/>
  <c r="X25" i="36"/>
  <c r="X24" i="36"/>
  <c r="X23" i="36"/>
  <c r="X22" i="36"/>
  <c r="X21" i="36"/>
  <c r="X20" i="36"/>
  <c r="X19" i="36"/>
  <c r="X18" i="36"/>
  <c r="X17" i="36"/>
  <c r="X16" i="36"/>
  <c r="X15" i="36"/>
  <c r="X14" i="36"/>
  <c r="X13" i="36"/>
  <c r="X12" i="36"/>
  <c r="X11" i="36"/>
  <c r="X10" i="36"/>
  <c r="X9" i="36"/>
  <c r="X8" i="36"/>
  <c r="X7" i="36"/>
  <c r="X6" i="36"/>
  <c r="AB48" i="14"/>
  <c r="AB50" i="14" s="1"/>
  <c r="AA48" i="14"/>
  <c r="AA50" i="14" s="1"/>
  <c r="Z48" i="14"/>
  <c r="Z50" i="14" s="1"/>
  <c r="Y48" i="14"/>
  <c r="Y50" i="14" s="1"/>
  <c r="T6" i="30" l="1"/>
  <c r="T11" i="5"/>
  <c r="K38" i="26"/>
  <c r="G32" i="17" l="1"/>
  <c r="X47" i="14" l="1"/>
  <c r="X46" i="14"/>
  <c r="X45" i="14"/>
  <c r="X43" i="14"/>
  <c r="X42" i="14"/>
  <c r="X41" i="14"/>
  <c r="X40" i="14"/>
  <c r="X39" i="14"/>
  <c r="X38" i="14"/>
  <c r="X37" i="14"/>
  <c r="X36" i="14"/>
  <c r="X35" i="14"/>
  <c r="X34" i="14"/>
  <c r="X33" i="14"/>
  <c r="X32" i="14"/>
  <c r="X31" i="14"/>
  <c r="X30" i="14"/>
  <c r="X29" i="14"/>
  <c r="X28" i="14"/>
  <c r="X27" i="14"/>
  <c r="X26" i="14"/>
  <c r="X25" i="14"/>
  <c r="X24" i="14"/>
  <c r="X23" i="14"/>
  <c r="X22" i="14"/>
  <c r="X21" i="14"/>
  <c r="X20" i="14"/>
  <c r="X19" i="14"/>
  <c r="X18" i="14"/>
  <c r="X17" i="14"/>
  <c r="X16" i="14"/>
  <c r="X15" i="14"/>
  <c r="X14" i="14"/>
  <c r="X13" i="14"/>
  <c r="X12" i="14"/>
  <c r="X11" i="14"/>
  <c r="X10" i="14"/>
  <c r="X9" i="14"/>
  <c r="X8" i="14"/>
  <c r="X7" i="14"/>
  <c r="P47" i="36"/>
  <c r="P46" i="36"/>
  <c r="P45" i="36"/>
  <c r="P43" i="36"/>
  <c r="P42" i="36"/>
  <c r="P41" i="36"/>
  <c r="P40" i="36"/>
  <c r="P39" i="36"/>
  <c r="P38" i="36"/>
  <c r="P37" i="36"/>
  <c r="P36" i="36"/>
  <c r="P35" i="36"/>
  <c r="P34" i="36"/>
  <c r="P33" i="36"/>
  <c r="P32" i="36"/>
  <c r="P31" i="36"/>
  <c r="P30" i="36"/>
  <c r="P29" i="36"/>
  <c r="P28" i="36"/>
  <c r="P27" i="36"/>
  <c r="P26" i="36"/>
  <c r="P25" i="36"/>
  <c r="P24" i="36"/>
  <c r="P23" i="36"/>
  <c r="P22" i="36"/>
  <c r="P21" i="36"/>
  <c r="P20" i="36"/>
  <c r="P19" i="36"/>
  <c r="P18" i="36"/>
  <c r="P17" i="36"/>
  <c r="P16" i="36"/>
  <c r="P15" i="36"/>
  <c r="P14" i="36"/>
  <c r="P13" i="36"/>
  <c r="P12" i="36"/>
  <c r="P11" i="36"/>
  <c r="P10" i="36"/>
  <c r="P9" i="36"/>
  <c r="P8" i="36"/>
  <c r="P7" i="36"/>
  <c r="P47" i="38"/>
  <c r="P46" i="38"/>
  <c r="P45" i="38"/>
  <c r="P43" i="38"/>
  <c r="P42" i="38"/>
  <c r="P41" i="38"/>
  <c r="P40" i="38"/>
  <c r="P39" i="38"/>
  <c r="P38" i="38"/>
  <c r="P37" i="38"/>
  <c r="P36" i="38"/>
  <c r="P35" i="38"/>
  <c r="P34" i="38"/>
  <c r="P33" i="38"/>
  <c r="P32" i="38"/>
  <c r="P31" i="38"/>
  <c r="P30" i="38"/>
  <c r="P29" i="38"/>
  <c r="P28" i="38"/>
  <c r="P27" i="38"/>
  <c r="P26" i="38"/>
  <c r="P25" i="38"/>
  <c r="P24" i="38"/>
  <c r="P23" i="38"/>
  <c r="P22" i="38"/>
  <c r="P21" i="38"/>
  <c r="P20" i="38"/>
  <c r="P19" i="38"/>
  <c r="P18" i="38"/>
  <c r="P17" i="38"/>
  <c r="P16" i="38"/>
  <c r="P15" i="38"/>
  <c r="P14" i="38"/>
  <c r="P13" i="38"/>
  <c r="P12" i="38"/>
  <c r="P11" i="38"/>
  <c r="P10" i="38"/>
  <c r="P9" i="38"/>
  <c r="P8" i="38"/>
  <c r="P7" i="38"/>
  <c r="P47" i="37"/>
  <c r="P46" i="37"/>
  <c r="P45" i="37"/>
  <c r="P43" i="37"/>
  <c r="P42" i="37"/>
  <c r="P41" i="37"/>
  <c r="P40" i="37"/>
  <c r="P39" i="37"/>
  <c r="P38" i="37"/>
  <c r="P37" i="37"/>
  <c r="P36" i="37"/>
  <c r="P35" i="37"/>
  <c r="P34" i="37"/>
  <c r="P33" i="37"/>
  <c r="P32" i="37"/>
  <c r="P31" i="37"/>
  <c r="P30" i="37"/>
  <c r="P29" i="37"/>
  <c r="P28" i="37"/>
  <c r="P27" i="37"/>
  <c r="P26" i="37"/>
  <c r="P25" i="37"/>
  <c r="P24" i="37"/>
  <c r="P23" i="37"/>
  <c r="P22" i="37"/>
  <c r="P21" i="37"/>
  <c r="P20" i="37"/>
  <c r="P19" i="37"/>
  <c r="P18" i="37"/>
  <c r="P17" i="37"/>
  <c r="P16" i="37"/>
  <c r="P15" i="37"/>
  <c r="P14" i="37"/>
  <c r="P13" i="37"/>
  <c r="P12" i="37"/>
  <c r="P11" i="37"/>
  <c r="P10" i="37"/>
  <c r="P9" i="37"/>
  <c r="P8" i="37"/>
  <c r="P7" i="37"/>
  <c r="P47" i="39"/>
  <c r="P46" i="39"/>
  <c r="P45" i="39"/>
  <c r="P43" i="39"/>
  <c r="P42" i="39"/>
  <c r="P41" i="39"/>
  <c r="P40" i="39"/>
  <c r="P39" i="39"/>
  <c r="P38" i="39"/>
  <c r="P37" i="39"/>
  <c r="P36" i="39"/>
  <c r="P35" i="39"/>
  <c r="P34" i="39"/>
  <c r="P33" i="39"/>
  <c r="P32" i="39"/>
  <c r="P31" i="39"/>
  <c r="P30" i="39"/>
  <c r="P29" i="39"/>
  <c r="P28" i="39"/>
  <c r="P27" i="39"/>
  <c r="P26" i="39"/>
  <c r="P25" i="39"/>
  <c r="P24" i="39"/>
  <c r="P23" i="39"/>
  <c r="P22" i="39"/>
  <c r="P21" i="39"/>
  <c r="P20" i="39"/>
  <c r="P19" i="39"/>
  <c r="P18" i="39"/>
  <c r="P17" i="39"/>
  <c r="P16" i="39"/>
  <c r="P15" i="39"/>
  <c r="P14" i="39"/>
  <c r="P13" i="39"/>
  <c r="P12" i="39"/>
  <c r="P11" i="39"/>
  <c r="P10" i="39"/>
  <c r="P9" i="39"/>
  <c r="P8" i="39"/>
  <c r="P7" i="39"/>
  <c r="P47" i="14"/>
  <c r="P46" i="14"/>
  <c r="P45" i="14"/>
  <c r="P43" i="14"/>
  <c r="P42" i="14"/>
  <c r="P41" i="14"/>
  <c r="P40" i="14"/>
  <c r="P39" i="14"/>
  <c r="P38" i="14"/>
  <c r="P37" i="14"/>
  <c r="P36" i="14"/>
  <c r="P35" i="14"/>
  <c r="P34" i="14"/>
  <c r="P33" i="14"/>
  <c r="P32" i="14"/>
  <c r="P31" i="14"/>
  <c r="P30" i="14"/>
  <c r="P29" i="14"/>
  <c r="P28" i="14"/>
  <c r="P27" i="14"/>
  <c r="P26" i="14"/>
  <c r="P25" i="14"/>
  <c r="P24" i="14"/>
  <c r="P23" i="14"/>
  <c r="P22" i="14"/>
  <c r="P21" i="14"/>
  <c r="P20" i="14"/>
  <c r="P19" i="14"/>
  <c r="P18" i="14"/>
  <c r="P17" i="14"/>
  <c r="P16" i="14"/>
  <c r="P15" i="14"/>
  <c r="P14" i="14"/>
  <c r="P13" i="14"/>
  <c r="P12" i="14"/>
  <c r="P11" i="14"/>
  <c r="P10" i="14"/>
  <c r="P9" i="14"/>
  <c r="P8" i="14"/>
  <c r="P7" i="14"/>
  <c r="X6" i="14"/>
  <c r="P6" i="36"/>
  <c r="P6" i="38"/>
  <c r="P6" i="37"/>
  <c r="P6" i="39"/>
  <c r="P6" i="14"/>
  <c r="L46" i="17" l="1"/>
  <c r="L44" i="17"/>
  <c r="L38" i="17"/>
  <c r="N30" i="17"/>
  <c r="L30" i="17"/>
  <c r="N28" i="17"/>
  <c r="L28" i="17"/>
  <c r="N26" i="17"/>
  <c r="L26" i="17"/>
  <c r="L24" i="17"/>
  <c r="L22" i="17"/>
  <c r="L20" i="17"/>
  <c r="L16" i="17"/>
  <c r="L14" i="17"/>
  <c r="L1" i="17"/>
  <c r="K1" i="17"/>
  <c r="F47" i="17"/>
  <c r="F46" i="17"/>
  <c r="F45" i="17"/>
  <c r="F44" i="17"/>
  <c r="F21" i="17"/>
  <c r="F20" i="17"/>
  <c r="F39" i="17"/>
  <c r="F38" i="17"/>
  <c r="F31" i="17"/>
  <c r="F30" i="17"/>
  <c r="F29" i="17"/>
  <c r="F28" i="17"/>
  <c r="F27" i="17"/>
  <c r="F26" i="17"/>
  <c r="F25" i="17"/>
  <c r="F24" i="17"/>
  <c r="F23" i="17"/>
  <c r="F22" i="17"/>
  <c r="F17" i="17"/>
  <c r="F16" i="17"/>
  <c r="F15" i="17"/>
  <c r="F14" i="17"/>
  <c r="H24" i="17" l="1"/>
  <c r="M25" i="17" s="1"/>
  <c r="N25" i="17" l="1"/>
  <c r="L25" i="17" s="1"/>
  <c r="N48" i="36" l="1"/>
  <c r="N48" i="38"/>
  <c r="N48" i="37"/>
  <c r="N48" i="39"/>
  <c r="N48" i="40"/>
  <c r="N43" i="40"/>
  <c r="N42" i="40"/>
  <c r="N41" i="40"/>
  <c r="N40" i="40"/>
  <c r="N39" i="40"/>
  <c r="N38" i="40"/>
  <c r="N37" i="40"/>
  <c r="N36" i="40"/>
  <c r="N35" i="40"/>
  <c r="N34" i="40"/>
  <c r="N33" i="40"/>
  <c r="N32" i="40"/>
  <c r="N31" i="40"/>
  <c r="N30" i="40"/>
  <c r="N29" i="40"/>
  <c r="N28" i="40"/>
  <c r="N27" i="40"/>
  <c r="N26" i="40"/>
  <c r="N25" i="40"/>
  <c r="N24" i="40"/>
  <c r="N23" i="40"/>
  <c r="N22" i="40"/>
  <c r="N21" i="40"/>
  <c r="N20" i="40"/>
  <c r="N19" i="40"/>
  <c r="N18" i="40"/>
  <c r="N17" i="40"/>
  <c r="N16" i="40"/>
  <c r="N15" i="40"/>
  <c r="N14" i="40"/>
  <c r="N13" i="40"/>
  <c r="N12" i="40"/>
  <c r="N11" i="40"/>
  <c r="N10" i="40"/>
  <c r="N9" i="40"/>
  <c r="N8" i="40"/>
  <c r="N7" i="40"/>
  <c r="N47" i="38"/>
  <c r="N46" i="38"/>
  <c r="N45" i="38"/>
  <c r="N43" i="38"/>
  <c r="N42" i="38"/>
  <c r="N41" i="38"/>
  <c r="N40" i="38"/>
  <c r="N39" i="38"/>
  <c r="N38" i="38"/>
  <c r="N37" i="38"/>
  <c r="N36" i="38"/>
  <c r="N35" i="38"/>
  <c r="N34" i="38"/>
  <c r="N33" i="38"/>
  <c r="N32" i="38"/>
  <c r="N31" i="38"/>
  <c r="N30" i="38"/>
  <c r="N29" i="38"/>
  <c r="N28" i="38"/>
  <c r="N27" i="38"/>
  <c r="N26" i="38"/>
  <c r="N25" i="38"/>
  <c r="N24" i="38"/>
  <c r="N23" i="38"/>
  <c r="N22" i="38"/>
  <c r="N21" i="38"/>
  <c r="N20" i="38"/>
  <c r="N19" i="38"/>
  <c r="N18" i="38"/>
  <c r="N17" i="38"/>
  <c r="N16" i="38"/>
  <c r="N15" i="38"/>
  <c r="N14" i="38"/>
  <c r="N13" i="38"/>
  <c r="N12" i="38"/>
  <c r="N11" i="38"/>
  <c r="N10" i="38"/>
  <c r="N9" i="38"/>
  <c r="N8" i="38"/>
  <c r="N7" i="38"/>
  <c r="N47" i="37"/>
  <c r="N46" i="37"/>
  <c r="N45" i="37"/>
  <c r="N43" i="37"/>
  <c r="N42" i="37"/>
  <c r="N41" i="37"/>
  <c r="N40" i="37"/>
  <c r="N39" i="37"/>
  <c r="N38" i="37"/>
  <c r="N37" i="37"/>
  <c r="N36" i="37"/>
  <c r="N35" i="37"/>
  <c r="N34" i="37"/>
  <c r="N33" i="37"/>
  <c r="N32" i="37"/>
  <c r="N31" i="37"/>
  <c r="N30" i="37"/>
  <c r="N29" i="37"/>
  <c r="N28" i="37"/>
  <c r="N27" i="37"/>
  <c r="N26" i="37"/>
  <c r="N25" i="37"/>
  <c r="N24" i="37"/>
  <c r="N23" i="37"/>
  <c r="N22" i="37"/>
  <c r="N21" i="37"/>
  <c r="N20" i="37"/>
  <c r="N19" i="37"/>
  <c r="N18" i="37"/>
  <c r="N17" i="37"/>
  <c r="N16" i="37"/>
  <c r="N15" i="37"/>
  <c r="N14" i="37"/>
  <c r="N13" i="37"/>
  <c r="N12" i="37"/>
  <c r="N11" i="37"/>
  <c r="N10" i="37"/>
  <c r="N9" i="37"/>
  <c r="N8" i="37"/>
  <c r="N7" i="37"/>
  <c r="N47" i="39"/>
  <c r="N46" i="39"/>
  <c r="N45" i="39"/>
  <c r="N43" i="39"/>
  <c r="N42" i="39"/>
  <c r="N41" i="39"/>
  <c r="N40" i="39"/>
  <c r="N39" i="39"/>
  <c r="N38" i="39"/>
  <c r="N37" i="39"/>
  <c r="N36" i="39"/>
  <c r="N35" i="39"/>
  <c r="N34" i="39"/>
  <c r="N33" i="39"/>
  <c r="N32" i="39"/>
  <c r="N31" i="39"/>
  <c r="N30" i="39"/>
  <c r="N29" i="39"/>
  <c r="N28" i="39"/>
  <c r="N27" i="39"/>
  <c r="N26" i="39"/>
  <c r="N25" i="39"/>
  <c r="N24" i="39"/>
  <c r="N23" i="39"/>
  <c r="N22" i="39"/>
  <c r="N21" i="39"/>
  <c r="N20" i="39"/>
  <c r="N19" i="39"/>
  <c r="N18" i="39"/>
  <c r="N17" i="39"/>
  <c r="N16" i="39"/>
  <c r="N15" i="39"/>
  <c r="N14" i="39"/>
  <c r="N13" i="39"/>
  <c r="N12" i="39"/>
  <c r="N11" i="39"/>
  <c r="N10" i="39"/>
  <c r="N9" i="39"/>
  <c r="N8" i="39"/>
  <c r="N7" i="39"/>
  <c r="N42" i="36"/>
  <c r="N41" i="36"/>
  <c r="N40" i="36"/>
  <c r="N39" i="36"/>
  <c r="N38" i="36"/>
  <c r="N37" i="36"/>
  <c r="N36" i="36"/>
  <c r="N35" i="36"/>
  <c r="N34" i="36"/>
  <c r="N33" i="36"/>
  <c r="N32" i="36"/>
  <c r="N31" i="36"/>
  <c r="N30" i="36"/>
  <c r="N29" i="36"/>
  <c r="N28" i="36"/>
  <c r="N27" i="36"/>
  <c r="N26" i="36"/>
  <c r="N25" i="36"/>
  <c r="N24" i="36"/>
  <c r="N23" i="36"/>
  <c r="N22" i="36"/>
  <c r="N21" i="36"/>
  <c r="N20" i="36"/>
  <c r="N19" i="36"/>
  <c r="N18" i="36"/>
  <c r="N17" i="36"/>
  <c r="N16" i="36"/>
  <c r="N15" i="36"/>
  <c r="N14" i="36"/>
  <c r="N13" i="36"/>
  <c r="N12" i="36"/>
  <c r="N11" i="36"/>
  <c r="N10" i="36"/>
  <c r="N9" i="36"/>
  <c r="N8" i="36"/>
  <c r="N7" i="36"/>
  <c r="N6" i="40"/>
  <c r="N6" i="38"/>
  <c r="N6" i="37"/>
  <c r="N6" i="39"/>
  <c r="N6" i="36"/>
  <c r="M38" i="4" l="1"/>
  <c r="R38" i="4" l="1"/>
  <c r="R6" i="4" s="1"/>
  <c r="M6" i="4"/>
  <c r="P20" i="4"/>
  <c r="I118" i="1" l="1"/>
  <c r="N20" i="3"/>
  <c r="N10" i="32" l="1"/>
  <c r="K10" i="32"/>
  <c r="J10" i="32"/>
  <c r="D75" i="32"/>
  <c r="F68" i="32"/>
  <c r="N68" i="32"/>
  <c r="N48" i="32"/>
  <c r="N28" i="32"/>
  <c r="K6" i="29"/>
  <c r="K8" i="32" l="1"/>
  <c r="N8" i="32"/>
  <c r="L10" i="32"/>
  <c r="L8" i="32"/>
  <c r="J8" i="32"/>
  <c r="J11" i="32"/>
  <c r="L6" i="30"/>
  <c r="N6" i="30"/>
  <c r="K6" i="30"/>
  <c r="J6" i="30"/>
  <c r="J6" i="29"/>
  <c r="J6" i="4"/>
  <c r="K6" i="31"/>
  <c r="N6" i="31"/>
  <c r="L6" i="31" l="1"/>
  <c r="J6" i="31"/>
  <c r="H32" i="40" l="1"/>
  <c r="K12" i="40"/>
  <c r="L12" i="40" s="1"/>
  <c r="K11" i="40"/>
  <c r="L11" i="40" s="1"/>
  <c r="K10" i="40"/>
  <c r="L10" i="40"/>
  <c r="K9" i="40"/>
  <c r="L9" i="40" s="1"/>
  <c r="K8" i="40"/>
  <c r="L8" i="40" s="1"/>
  <c r="K7" i="40"/>
  <c r="L7" i="40" s="1"/>
  <c r="K6" i="40"/>
  <c r="L6" i="40"/>
  <c r="H26" i="40"/>
  <c r="H25" i="40"/>
  <c r="H24" i="40"/>
  <c r="H23" i="40"/>
  <c r="H22" i="40"/>
  <c r="H21" i="40"/>
  <c r="H20" i="40"/>
  <c r="H19" i="40"/>
  <c r="H18" i="40"/>
  <c r="H17" i="40"/>
  <c r="H16" i="40"/>
  <c r="H15" i="40"/>
  <c r="H14" i="40"/>
  <c r="L98" i="8"/>
  <c r="K98" i="8"/>
  <c r="J98" i="8"/>
  <c r="M98" i="8" s="1"/>
  <c r="I98" i="8"/>
  <c r="E98" i="8"/>
  <c r="L97" i="8"/>
  <c r="K97" i="8"/>
  <c r="J97" i="8"/>
  <c r="I97" i="8"/>
  <c r="E97" i="8"/>
  <c r="L96" i="8"/>
  <c r="M96" i="8" s="1"/>
  <c r="N96" i="8" s="1"/>
  <c r="K96" i="8"/>
  <c r="J96" i="8"/>
  <c r="I96" i="8"/>
  <c r="E96" i="8"/>
  <c r="L95" i="8"/>
  <c r="K95" i="8"/>
  <c r="J95" i="8"/>
  <c r="I95" i="8"/>
  <c r="E95" i="8"/>
  <c r="L94" i="8"/>
  <c r="K94" i="8"/>
  <c r="J94" i="8"/>
  <c r="I94" i="8"/>
  <c r="E94" i="8"/>
  <c r="L93" i="8"/>
  <c r="K93" i="8"/>
  <c r="J93" i="8"/>
  <c r="I93" i="8"/>
  <c r="E93" i="8"/>
  <c r="L92" i="8"/>
  <c r="M92" i="8" s="1"/>
  <c r="N92" i="8" s="1"/>
  <c r="K92" i="8"/>
  <c r="J92" i="8"/>
  <c r="I92" i="8"/>
  <c r="E92" i="8"/>
  <c r="L91" i="8"/>
  <c r="K91" i="8"/>
  <c r="J91" i="8"/>
  <c r="I91" i="8"/>
  <c r="E91" i="8"/>
  <c r="L90" i="8"/>
  <c r="K90" i="8"/>
  <c r="J90" i="8"/>
  <c r="M90" i="8" s="1"/>
  <c r="I90" i="8"/>
  <c r="E90" i="8"/>
  <c r="L89" i="8"/>
  <c r="K89" i="8"/>
  <c r="J89" i="8"/>
  <c r="I89" i="8"/>
  <c r="E89" i="8"/>
  <c r="L88" i="8"/>
  <c r="K88" i="8"/>
  <c r="J88" i="8"/>
  <c r="I88" i="8"/>
  <c r="E88" i="8"/>
  <c r="L87" i="8"/>
  <c r="K87" i="8"/>
  <c r="J87" i="8"/>
  <c r="I87" i="8"/>
  <c r="E87" i="8"/>
  <c r="L86" i="8"/>
  <c r="K86" i="8"/>
  <c r="J86" i="8"/>
  <c r="M86" i="8" s="1"/>
  <c r="N86" i="8" s="1"/>
  <c r="I86" i="8"/>
  <c r="E86" i="8"/>
  <c r="L85" i="8"/>
  <c r="K85" i="8"/>
  <c r="J85" i="8"/>
  <c r="I85" i="8"/>
  <c r="E85" i="8"/>
  <c r="L84" i="8"/>
  <c r="M84" i="8" s="1"/>
  <c r="N84" i="8" s="1"/>
  <c r="K84" i="8"/>
  <c r="J84" i="8"/>
  <c r="I84" i="8"/>
  <c r="E84" i="8"/>
  <c r="L83" i="8"/>
  <c r="K83" i="8"/>
  <c r="J83" i="8"/>
  <c r="I83" i="8"/>
  <c r="E83" i="8"/>
  <c r="L82" i="8"/>
  <c r="K82" i="8"/>
  <c r="J82" i="8"/>
  <c r="N82" i="8" s="1"/>
  <c r="I82" i="8"/>
  <c r="E82" i="8"/>
  <c r="L81" i="8"/>
  <c r="K81" i="8"/>
  <c r="J81" i="8"/>
  <c r="I81" i="8"/>
  <c r="E81" i="8"/>
  <c r="L80" i="8"/>
  <c r="M80" i="8" s="1"/>
  <c r="N80" i="8" s="1"/>
  <c r="K80" i="8"/>
  <c r="J80" i="8"/>
  <c r="I80" i="8"/>
  <c r="E80" i="8"/>
  <c r="L79" i="8"/>
  <c r="K79" i="8"/>
  <c r="J79" i="8"/>
  <c r="I79" i="8"/>
  <c r="E79" i="8"/>
  <c r="L78" i="8"/>
  <c r="K78" i="8"/>
  <c r="J78" i="8"/>
  <c r="M78" i="8" s="1"/>
  <c r="N78" i="8" s="1"/>
  <c r="I78" i="8"/>
  <c r="E78" i="8"/>
  <c r="L77" i="8"/>
  <c r="K77" i="8"/>
  <c r="J77" i="8"/>
  <c r="I77" i="8"/>
  <c r="E77" i="8"/>
  <c r="L76" i="8"/>
  <c r="M76" i="8" s="1"/>
  <c r="N76" i="8" s="1"/>
  <c r="K76" i="8"/>
  <c r="J76" i="8"/>
  <c r="I76" i="8"/>
  <c r="E76" i="8"/>
  <c r="L75" i="8"/>
  <c r="K75" i="8"/>
  <c r="J75" i="8"/>
  <c r="I75" i="8"/>
  <c r="E75" i="8"/>
  <c r="L74" i="8"/>
  <c r="K74" i="8"/>
  <c r="J74" i="8"/>
  <c r="M74" i="8" s="1"/>
  <c r="N74" i="8" s="1"/>
  <c r="I74" i="8"/>
  <c r="E74" i="8"/>
  <c r="L73" i="8"/>
  <c r="K73" i="8"/>
  <c r="J73" i="8"/>
  <c r="I73" i="8"/>
  <c r="E73" i="8"/>
  <c r="L72" i="8"/>
  <c r="M72" i="8" s="1"/>
  <c r="N72" i="8" s="1"/>
  <c r="K72" i="8"/>
  <c r="J72" i="8"/>
  <c r="I72" i="8"/>
  <c r="E72" i="8"/>
  <c r="L71" i="8"/>
  <c r="K71" i="8"/>
  <c r="J71" i="8"/>
  <c r="I71" i="8"/>
  <c r="E71" i="8"/>
  <c r="L70" i="8"/>
  <c r="K70" i="8"/>
  <c r="J70" i="8"/>
  <c r="M70" i="8" s="1"/>
  <c r="N70" i="8" s="1"/>
  <c r="I70" i="8"/>
  <c r="E70" i="8"/>
  <c r="L69" i="8"/>
  <c r="K69" i="8"/>
  <c r="J69" i="8"/>
  <c r="I69" i="8"/>
  <c r="E69" i="8"/>
  <c r="L68" i="8"/>
  <c r="K68" i="8"/>
  <c r="J68" i="8"/>
  <c r="I68" i="8"/>
  <c r="E68" i="8"/>
  <c r="L67" i="8"/>
  <c r="K67" i="8"/>
  <c r="J67" i="8"/>
  <c r="I67" i="8"/>
  <c r="E67" i="8"/>
  <c r="L66" i="8"/>
  <c r="K66" i="8"/>
  <c r="J66" i="8"/>
  <c r="M66" i="8" s="1"/>
  <c r="I66" i="8"/>
  <c r="E66" i="8"/>
  <c r="L65" i="8"/>
  <c r="K65" i="8"/>
  <c r="J65" i="8"/>
  <c r="I65" i="8"/>
  <c r="E65" i="8"/>
  <c r="L64" i="8"/>
  <c r="M64" i="8" s="1"/>
  <c r="N64" i="8" s="1"/>
  <c r="K64" i="8"/>
  <c r="J64" i="8"/>
  <c r="I64" i="8"/>
  <c r="E64" i="8"/>
  <c r="L63" i="8"/>
  <c r="K63" i="8"/>
  <c r="J63" i="8"/>
  <c r="I63" i="8"/>
  <c r="E63" i="8"/>
  <c r="L62" i="8"/>
  <c r="K62" i="8"/>
  <c r="J62" i="8"/>
  <c r="I62" i="8"/>
  <c r="E62" i="8"/>
  <c r="L61" i="8"/>
  <c r="K61" i="8"/>
  <c r="J61" i="8"/>
  <c r="I61" i="8"/>
  <c r="E61" i="8"/>
  <c r="L60" i="8"/>
  <c r="M60" i="8" s="1"/>
  <c r="N60" i="8" s="1"/>
  <c r="K60" i="8"/>
  <c r="J60" i="8"/>
  <c r="I60" i="8"/>
  <c r="E60" i="8"/>
  <c r="L59" i="8"/>
  <c r="K59" i="8"/>
  <c r="J59" i="8"/>
  <c r="I59" i="8"/>
  <c r="E59" i="8"/>
  <c r="L58" i="8"/>
  <c r="K58" i="8"/>
  <c r="J58" i="8"/>
  <c r="M58" i="8" s="1"/>
  <c r="I58" i="8"/>
  <c r="E58" i="8"/>
  <c r="L57" i="8"/>
  <c r="K57" i="8"/>
  <c r="J57" i="8"/>
  <c r="I57" i="8"/>
  <c r="E57" i="8"/>
  <c r="L56" i="8"/>
  <c r="K56" i="8"/>
  <c r="J56" i="8"/>
  <c r="I56" i="8"/>
  <c r="E56" i="8"/>
  <c r="L55" i="8"/>
  <c r="K55" i="8"/>
  <c r="J55" i="8"/>
  <c r="I55" i="8"/>
  <c r="E55" i="8"/>
  <c r="L54" i="8"/>
  <c r="M54" i="8" s="1"/>
  <c r="N54" i="8" s="1"/>
  <c r="K54" i="8"/>
  <c r="J54" i="8"/>
  <c r="I54" i="8"/>
  <c r="E54" i="8"/>
  <c r="L53" i="8"/>
  <c r="K53" i="8"/>
  <c r="J53" i="8"/>
  <c r="I53" i="8"/>
  <c r="E53" i="8"/>
  <c r="L52" i="8"/>
  <c r="M52" i="8" s="1"/>
  <c r="N52" i="8" s="1"/>
  <c r="K52" i="8"/>
  <c r="J52" i="8"/>
  <c r="I52" i="8"/>
  <c r="E52" i="8"/>
  <c r="L51" i="8"/>
  <c r="K51" i="8"/>
  <c r="J51" i="8"/>
  <c r="I51" i="8"/>
  <c r="E51" i="8"/>
  <c r="L50" i="8"/>
  <c r="K50" i="8"/>
  <c r="J50" i="8"/>
  <c r="I50" i="8"/>
  <c r="E50" i="8"/>
  <c r="L49" i="8"/>
  <c r="K49" i="8"/>
  <c r="J49" i="8"/>
  <c r="I49" i="8"/>
  <c r="E49" i="8"/>
  <c r="L48" i="8"/>
  <c r="M48" i="8" s="1"/>
  <c r="N48" i="8" s="1"/>
  <c r="K48" i="8"/>
  <c r="J48" i="8"/>
  <c r="I48" i="8"/>
  <c r="E48" i="8"/>
  <c r="L47" i="8"/>
  <c r="K47" i="8"/>
  <c r="J47" i="8"/>
  <c r="I47" i="8"/>
  <c r="E47" i="8"/>
  <c r="L46" i="8"/>
  <c r="M46" i="8" s="1"/>
  <c r="N46" i="8" s="1"/>
  <c r="K46" i="8"/>
  <c r="J46" i="8"/>
  <c r="I46" i="8"/>
  <c r="E46" i="8"/>
  <c r="L45" i="8"/>
  <c r="K45" i="8"/>
  <c r="J45" i="8"/>
  <c r="I45" i="8"/>
  <c r="E45" i="8"/>
  <c r="L44" i="8"/>
  <c r="M44" i="8" s="1"/>
  <c r="N44" i="8" s="1"/>
  <c r="K44" i="8"/>
  <c r="J44" i="8"/>
  <c r="I44" i="8"/>
  <c r="E44" i="8"/>
  <c r="L43" i="8"/>
  <c r="K43" i="8"/>
  <c r="J43" i="8"/>
  <c r="I43" i="8"/>
  <c r="E43" i="8"/>
  <c r="L42" i="8"/>
  <c r="M42" i="8" s="1"/>
  <c r="N42" i="8" s="1"/>
  <c r="K42" i="8"/>
  <c r="J42" i="8"/>
  <c r="I42" i="8"/>
  <c r="E42" i="8"/>
  <c r="L41" i="8"/>
  <c r="K41" i="8"/>
  <c r="J41" i="8"/>
  <c r="I41" i="8"/>
  <c r="E41" i="8"/>
  <c r="L40" i="8"/>
  <c r="K40" i="8"/>
  <c r="J40" i="8"/>
  <c r="M40" i="8" s="1"/>
  <c r="N40" i="8" s="1"/>
  <c r="I40" i="8"/>
  <c r="E40" i="8"/>
  <c r="L39" i="8"/>
  <c r="K39" i="8"/>
  <c r="M39" i="8" s="1"/>
  <c r="N39" i="8" s="1"/>
  <c r="J39" i="8"/>
  <c r="I39" i="8"/>
  <c r="E39" i="8"/>
  <c r="L38" i="8"/>
  <c r="M38" i="8" s="1"/>
  <c r="N38" i="8" s="1"/>
  <c r="K38" i="8"/>
  <c r="J38" i="8"/>
  <c r="I38" i="8"/>
  <c r="E38" i="8"/>
  <c r="L37" i="8"/>
  <c r="K37" i="8"/>
  <c r="J37" i="8"/>
  <c r="I47" i="40" s="1"/>
  <c r="L36" i="8"/>
  <c r="K36" i="8"/>
  <c r="J36" i="8"/>
  <c r="I36" i="8"/>
  <c r="E36" i="8"/>
  <c r="L35" i="8"/>
  <c r="K35" i="8"/>
  <c r="J35" i="8"/>
  <c r="I35" i="8"/>
  <c r="E35" i="8"/>
  <c r="L34" i="8"/>
  <c r="M34" i="8" s="1"/>
  <c r="K34" i="8"/>
  <c r="J34" i="8"/>
  <c r="I34" i="8"/>
  <c r="E34" i="8"/>
  <c r="L33" i="8"/>
  <c r="K33" i="8"/>
  <c r="J33" i="8"/>
  <c r="I33" i="8"/>
  <c r="E33" i="8"/>
  <c r="L32" i="8"/>
  <c r="K32" i="8"/>
  <c r="J32" i="8"/>
  <c r="I32" i="8"/>
  <c r="E32" i="8"/>
  <c r="L31" i="8"/>
  <c r="K31" i="8"/>
  <c r="J31" i="8"/>
  <c r="I31" i="8"/>
  <c r="E31" i="8"/>
  <c r="O2" i="39"/>
  <c r="F47" i="39"/>
  <c r="E47" i="39"/>
  <c r="D47" i="39"/>
  <c r="C47" i="39"/>
  <c r="F46" i="39"/>
  <c r="E46" i="39"/>
  <c r="D46" i="39"/>
  <c r="C46" i="39"/>
  <c r="F45" i="39"/>
  <c r="E45" i="39"/>
  <c r="D45" i="39"/>
  <c r="C45" i="39"/>
  <c r="F42" i="39"/>
  <c r="E42" i="39"/>
  <c r="D42" i="39"/>
  <c r="C42" i="39"/>
  <c r="F41" i="39"/>
  <c r="E41" i="39"/>
  <c r="D41" i="39"/>
  <c r="C41" i="39"/>
  <c r="F40" i="39"/>
  <c r="E40" i="39"/>
  <c r="D40" i="39"/>
  <c r="F39" i="39"/>
  <c r="E39" i="39"/>
  <c r="D39" i="39"/>
  <c r="C39" i="39"/>
  <c r="F38" i="39"/>
  <c r="E38" i="39"/>
  <c r="D38" i="39"/>
  <c r="C38" i="39"/>
  <c r="F37" i="39"/>
  <c r="E37" i="39"/>
  <c r="D37" i="39"/>
  <c r="C37" i="39"/>
  <c r="F36" i="39"/>
  <c r="E36" i="39"/>
  <c r="D36" i="39"/>
  <c r="C36" i="39"/>
  <c r="F35" i="39"/>
  <c r="E35" i="39"/>
  <c r="D35" i="39"/>
  <c r="C35" i="39"/>
  <c r="F34" i="39"/>
  <c r="E34" i="39"/>
  <c r="D34" i="39"/>
  <c r="C34" i="39"/>
  <c r="F33" i="39"/>
  <c r="E33" i="39"/>
  <c r="D33" i="39"/>
  <c r="C33" i="39"/>
  <c r="F32" i="39"/>
  <c r="E32" i="39"/>
  <c r="D32" i="39"/>
  <c r="C32" i="39"/>
  <c r="F31" i="39"/>
  <c r="E31" i="39"/>
  <c r="D31" i="39"/>
  <c r="C31" i="39"/>
  <c r="F30" i="39"/>
  <c r="D30" i="39"/>
  <c r="C30" i="39"/>
  <c r="F29" i="39"/>
  <c r="E29" i="39"/>
  <c r="D29" i="39"/>
  <c r="C29" i="39"/>
  <c r="F28" i="39"/>
  <c r="E28" i="39"/>
  <c r="D28" i="39"/>
  <c r="C28" i="39"/>
  <c r="F27" i="39"/>
  <c r="E27" i="39"/>
  <c r="D27" i="39"/>
  <c r="C27" i="39"/>
  <c r="F26" i="39"/>
  <c r="E26" i="39"/>
  <c r="D26" i="39"/>
  <c r="C26" i="39"/>
  <c r="F25" i="39"/>
  <c r="E25" i="39"/>
  <c r="D25" i="39"/>
  <c r="C25" i="39"/>
  <c r="F24" i="39"/>
  <c r="E24" i="39"/>
  <c r="D24" i="39"/>
  <c r="F23" i="39"/>
  <c r="E23" i="39"/>
  <c r="D23" i="39"/>
  <c r="C23" i="39"/>
  <c r="F22" i="39"/>
  <c r="E22" i="39"/>
  <c r="D22" i="39"/>
  <c r="C22" i="39"/>
  <c r="F21" i="39"/>
  <c r="E21" i="39"/>
  <c r="D21" i="39"/>
  <c r="C21" i="39"/>
  <c r="F20" i="39"/>
  <c r="E20" i="39"/>
  <c r="D20" i="39"/>
  <c r="C20" i="39"/>
  <c r="F19" i="39"/>
  <c r="E19" i="39"/>
  <c r="D19" i="39"/>
  <c r="C19" i="39"/>
  <c r="F18" i="39"/>
  <c r="E18" i="39"/>
  <c r="D18" i="39"/>
  <c r="C18" i="39"/>
  <c r="F17" i="39"/>
  <c r="E17" i="39"/>
  <c r="D17" i="39"/>
  <c r="C17" i="39"/>
  <c r="F16" i="39"/>
  <c r="E16" i="39"/>
  <c r="D16" i="39"/>
  <c r="C16" i="39"/>
  <c r="F15" i="39"/>
  <c r="E15" i="39"/>
  <c r="D15" i="39"/>
  <c r="C15" i="39"/>
  <c r="F14" i="39"/>
  <c r="E14" i="39"/>
  <c r="D14" i="39"/>
  <c r="C14" i="39"/>
  <c r="F13" i="39"/>
  <c r="E13" i="39"/>
  <c r="D13" i="39"/>
  <c r="C13" i="39"/>
  <c r="F12" i="39"/>
  <c r="E12" i="39"/>
  <c r="D12" i="39"/>
  <c r="C12" i="39"/>
  <c r="F11" i="39"/>
  <c r="E11" i="39"/>
  <c r="D11" i="39"/>
  <c r="C11" i="39"/>
  <c r="F10" i="39"/>
  <c r="E10" i="39"/>
  <c r="D10" i="39"/>
  <c r="C10" i="39"/>
  <c r="F9" i="39"/>
  <c r="E9" i="39"/>
  <c r="D9" i="39"/>
  <c r="C9" i="39"/>
  <c r="F8" i="39"/>
  <c r="E8" i="39"/>
  <c r="D8" i="39"/>
  <c r="C8" i="39"/>
  <c r="F7" i="39"/>
  <c r="E7" i="39"/>
  <c r="D7" i="39"/>
  <c r="C7" i="39"/>
  <c r="F6" i="39"/>
  <c r="E6" i="39"/>
  <c r="D6" i="39"/>
  <c r="C6" i="39"/>
  <c r="O2" i="38"/>
  <c r="G48" i="38"/>
  <c r="F11" i="7" s="1"/>
  <c r="F47" i="38"/>
  <c r="E47" i="38"/>
  <c r="D47" i="38"/>
  <c r="C47" i="38"/>
  <c r="F46" i="38"/>
  <c r="E46" i="38"/>
  <c r="D46" i="38"/>
  <c r="C46" i="38"/>
  <c r="F45" i="38"/>
  <c r="E45" i="38"/>
  <c r="D45" i="38"/>
  <c r="C45" i="38"/>
  <c r="F42" i="38"/>
  <c r="E42" i="38"/>
  <c r="D42" i="38"/>
  <c r="C42" i="38"/>
  <c r="F41" i="38"/>
  <c r="E41" i="38"/>
  <c r="D41" i="38"/>
  <c r="C41" i="38"/>
  <c r="F40" i="38"/>
  <c r="E40" i="38"/>
  <c r="D40" i="38"/>
  <c r="C40" i="38"/>
  <c r="F39" i="38"/>
  <c r="E39" i="38"/>
  <c r="D39" i="38"/>
  <c r="C39" i="38"/>
  <c r="F38" i="38"/>
  <c r="E38" i="38"/>
  <c r="D38" i="38"/>
  <c r="C38" i="38"/>
  <c r="F37" i="38"/>
  <c r="E37" i="38"/>
  <c r="D37" i="38"/>
  <c r="C37" i="38"/>
  <c r="F36" i="38"/>
  <c r="E36" i="38"/>
  <c r="D36" i="38"/>
  <c r="C36" i="38"/>
  <c r="F35" i="38"/>
  <c r="E35" i="38"/>
  <c r="D35" i="38"/>
  <c r="C35" i="38"/>
  <c r="F34" i="38"/>
  <c r="E34" i="38"/>
  <c r="D34" i="38"/>
  <c r="C34" i="38"/>
  <c r="F33" i="38"/>
  <c r="E33" i="38"/>
  <c r="D33" i="38"/>
  <c r="C33" i="38"/>
  <c r="F32" i="38"/>
  <c r="E32" i="38"/>
  <c r="D32" i="38"/>
  <c r="C32" i="38"/>
  <c r="F31" i="38"/>
  <c r="E31" i="38"/>
  <c r="D31" i="38"/>
  <c r="C31" i="38"/>
  <c r="F30" i="38"/>
  <c r="E30" i="38"/>
  <c r="D30" i="38"/>
  <c r="C30" i="38"/>
  <c r="F29" i="38"/>
  <c r="E29" i="38"/>
  <c r="D29" i="38"/>
  <c r="C29" i="38"/>
  <c r="F28" i="38"/>
  <c r="E28" i="38"/>
  <c r="D28" i="38"/>
  <c r="C28" i="38"/>
  <c r="F27" i="38"/>
  <c r="E27" i="38"/>
  <c r="D27" i="38"/>
  <c r="C27" i="38"/>
  <c r="F26" i="38"/>
  <c r="E26" i="38"/>
  <c r="D26" i="38"/>
  <c r="C26" i="38"/>
  <c r="F25" i="38"/>
  <c r="E25" i="38"/>
  <c r="D25" i="38"/>
  <c r="C25" i="38"/>
  <c r="F24" i="38"/>
  <c r="E24" i="38"/>
  <c r="D24" i="38"/>
  <c r="C24" i="38"/>
  <c r="F23" i="38"/>
  <c r="E23" i="38"/>
  <c r="D23" i="38"/>
  <c r="C23" i="38"/>
  <c r="F22" i="38"/>
  <c r="E22" i="38"/>
  <c r="D22" i="38"/>
  <c r="C22" i="38"/>
  <c r="F21" i="38"/>
  <c r="E21" i="38"/>
  <c r="D21" i="38"/>
  <c r="C21" i="38"/>
  <c r="F20" i="38"/>
  <c r="E20" i="38"/>
  <c r="D20" i="38"/>
  <c r="C20" i="38"/>
  <c r="F19" i="38"/>
  <c r="E19" i="38"/>
  <c r="D19" i="38"/>
  <c r="C19" i="38"/>
  <c r="F18" i="38"/>
  <c r="E18" i="38"/>
  <c r="D18" i="38"/>
  <c r="C18" i="38"/>
  <c r="F17" i="38"/>
  <c r="E17" i="38"/>
  <c r="D17" i="38"/>
  <c r="C17" i="38"/>
  <c r="F16" i="38"/>
  <c r="E16" i="38"/>
  <c r="D16" i="38"/>
  <c r="C16" i="38"/>
  <c r="F15" i="38"/>
  <c r="E15" i="38"/>
  <c r="D15" i="38"/>
  <c r="C15" i="38"/>
  <c r="F14" i="38"/>
  <c r="E14" i="38"/>
  <c r="D14" i="38"/>
  <c r="C14" i="38"/>
  <c r="F13" i="38"/>
  <c r="E13" i="38"/>
  <c r="D13" i="38"/>
  <c r="C13" i="38"/>
  <c r="F12" i="38"/>
  <c r="E12" i="38"/>
  <c r="D12" i="38"/>
  <c r="C12" i="38"/>
  <c r="F11" i="38"/>
  <c r="E11" i="38"/>
  <c r="D11" i="38"/>
  <c r="C11" i="38"/>
  <c r="F10" i="38"/>
  <c r="E10" i="38"/>
  <c r="D10" i="38"/>
  <c r="C10" i="38"/>
  <c r="F9" i="38"/>
  <c r="E9" i="38"/>
  <c r="D9" i="38"/>
  <c r="C9" i="38"/>
  <c r="F8" i="38"/>
  <c r="E8" i="38"/>
  <c r="D8" i="38"/>
  <c r="C8" i="38"/>
  <c r="F7" i="38"/>
  <c r="E7" i="38"/>
  <c r="D7" i="38"/>
  <c r="C7" i="38"/>
  <c r="F6" i="38"/>
  <c r="E6" i="38"/>
  <c r="D6" i="38"/>
  <c r="C6" i="38"/>
  <c r="G48" i="36"/>
  <c r="G48" i="37"/>
  <c r="F12" i="7" s="1"/>
  <c r="G48" i="14"/>
  <c r="O2" i="37"/>
  <c r="F47" i="37"/>
  <c r="E47" i="37"/>
  <c r="D47" i="37"/>
  <c r="C47" i="37"/>
  <c r="F46" i="37"/>
  <c r="E46" i="37"/>
  <c r="D46" i="37"/>
  <c r="C46" i="37"/>
  <c r="F45" i="37"/>
  <c r="E45" i="37"/>
  <c r="D45" i="37"/>
  <c r="C45" i="37"/>
  <c r="F42" i="37"/>
  <c r="E42" i="37"/>
  <c r="D42" i="37"/>
  <c r="C42" i="37"/>
  <c r="F41" i="37"/>
  <c r="E41" i="37"/>
  <c r="D41" i="37"/>
  <c r="C41" i="37"/>
  <c r="F40" i="37"/>
  <c r="E40" i="37"/>
  <c r="D40" i="37"/>
  <c r="C40" i="37"/>
  <c r="F39" i="37"/>
  <c r="E39" i="37"/>
  <c r="D39" i="37"/>
  <c r="C39" i="37"/>
  <c r="F38" i="37"/>
  <c r="E38" i="37"/>
  <c r="D38" i="37"/>
  <c r="C38" i="37"/>
  <c r="F37" i="37"/>
  <c r="E37" i="37"/>
  <c r="D37" i="37"/>
  <c r="C37" i="37"/>
  <c r="F36" i="37"/>
  <c r="E36" i="37"/>
  <c r="D36" i="37"/>
  <c r="C36" i="37"/>
  <c r="F35" i="37"/>
  <c r="E35" i="37"/>
  <c r="D35" i="37"/>
  <c r="C35" i="37"/>
  <c r="F34" i="37"/>
  <c r="E34" i="37"/>
  <c r="D34" i="37"/>
  <c r="C34" i="37"/>
  <c r="F33" i="37"/>
  <c r="E33" i="37"/>
  <c r="D33" i="37"/>
  <c r="C33" i="37"/>
  <c r="F32" i="37"/>
  <c r="E32" i="37"/>
  <c r="D32" i="37"/>
  <c r="C32" i="37"/>
  <c r="F31" i="37"/>
  <c r="E31" i="37"/>
  <c r="D31" i="37"/>
  <c r="C31" i="37"/>
  <c r="F30" i="37"/>
  <c r="E30" i="37"/>
  <c r="D30" i="37"/>
  <c r="C30" i="37"/>
  <c r="F29" i="37"/>
  <c r="E29" i="37"/>
  <c r="D29" i="37"/>
  <c r="C29" i="37"/>
  <c r="F28" i="37"/>
  <c r="E28" i="37"/>
  <c r="D28" i="37"/>
  <c r="C28" i="37"/>
  <c r="F27" i="37"/>
  <c r="E27" i="37"/>
  <c r="D27" i="37"/>
  <c r="C27" i="37"/>
  <c r="F26" i="37"/>
  <c r="E26" i="37"/>
  <c r="D26" i="37"/>
  <c r="C26" i="37"/>
  <c r="F25" i="37"/>
  <c r="E25" i="37"/>
  <c r="D25" i="37"/>
  <c r="C25" i="37"/>
  <c r="F24" i="37"/>
  <c r="E24" i="37"/>
  <c r="D24" i="37"/>
  <c r="C24" i="37"/>
  <c r="F23" i="37"/>
  <c r="E23" i="37"/>
  <c r="D23" i="37"/>
  <c r="C23" i="37"/>
  <c r="F22" i="37"/>
  <c r="E22" i="37"/>
  <c r="D22" i="37"/>
  <c r="C22" i="37"/>
  <c r="F21" i="37"/>
  <c r="E21" i="37"/>
  <c r="D21" i="37"/>
  <c r="C21" i="37"/>
  <c r="F20" i="37"/>
  <c r="E20" i="37"/>
  <c r="D20" i="37"/>
  <c r="C20" i="37"/>
  <c r="F19" i="37"/>
  <c r="E19" i="37"/>
  <c r="D19" i="37"/>
  <c r="C19" i="37"/>
  <c r="F18" i="37"/>
  <c r="E18" i="37"/>
  <c r="D18" i="37"/>
  <c r="C18" i="37"/>
  <c r="F17" i="37"/>
  <c r="E17" i="37"/>
  <c r="D17" i="37"/>
  <c r="C17" i="37"/>
  <c r="F16" i="37"/>
  <c r="E16" i="37"/>
  <c r="D16" i="37"/>
  <c r="C16" i="37"/>
  <c r="F15" i="37"/>
  <c r="E15" i="37"/>
  <c r="D15" i="37"/>
  <c r="C15" i="37"/>
  <c r="F14" i="37"/>
  <c r="E14" i="37"/>
  <c r="D14" i="37"/>
  <c r="C14" i="37"/>
  <c r="F13" i="37"/>
  <c r="E13" i="37"/>
  <c r="D13" i="37"/>
  <c r="C13" i="37"/>
  <c r="F12" i="37"/>
  <c r="E12" i="37"/>
  <c r="D12" i="37"/>
  <c r="C12" i="37"/>
  <c r="F11" i="37"/>
  <c r="E11" i="37"/>
  <c r="D11" i="37"/>
  <c r="C11" i="37"/>
  <c r="F10" i="37"/>
  <c r="E10" i="37"/>
  <c r="D10" i="37"/>
  <c r="C10" i="37"/>
  <c r="F9" i="37"/>
  <c r="E9" i="37"/>
  <c r="D9" i="37"/>
  <c r="C9" i="37"/>
  <c r="F8" i="37"/>
  <c r="E8" i="37"/>
  <c r="D8" i="37"/>
  <c r="C8" i="37"/>
  <c r="F7" i="37"/>
  <c r="E7" i="37"/>
  <c r="D7" i="37"/>
  <c r="C7" i="37"/>
  <c r="F6" i="37"/>
  <c r="E6" i="37"/>
  <c r="D6" i="37"/>
  <c r="C6" i="37"/>
  <c r="O2" i="36"/>
  <c r="F47" i="36"/>
  <c r="E47" i="36"/>
  <c r="D47" i="36"/>
  <c r="C47" i="36"/>
  <c r="F46" i="36"/>
  <c r="E46" i="36"/>
  <c r="D46" i="36"/>
  <c r="C46" i="36"/>
  <c r="F45" i="36"/>
  <c r="E45" i="36"/>
  <c r="D45" i="36"/>
  <c r="C45" i="36"/>
  <c r="F42" i="36"/>
  <c r="E42" i="36"/>
  <c r="D42" i="36"/>
  <c r="C42" i="36"/>
  <c r="F41" i="36"/>
  <c r="E41" i="36"/>
  <c r="D41" i="36"/>
  <c r="C41" i="36"/>
  <c r="F40" i="36"/>
  <c r="E40" i="36"/>
  <c r="D40" i="36"/>
  <c r="C40" i="36"/>
  <c r="F39" i="36"/>
  <c r="E39" i="36"/>
  <c r="D39" i="36"/>
  <c r="C39" i="36"/>
  <c r="F38" i="36"/>
  <c r="E38" i="36"/>
  <c r="D38" i="36"/>
  <c r="C38" i="36"/>
  <c r="F37" i="36"/>
  <c r="E37" i="36"/>
  <c r="D37" i="36"/>
  <c r="C37" i="36"/>
  <c r="F36" i="36"/>
  <c r="E36" i="36"/>
  <c r="D36" i="36"/>
  <c r="C36" i="36"/>
  <c r="F35" i="36"/>
  <c r="E35" i="36"/>
  <c r="D35" i="36"/>
  <c r="C35" i="36"/>
  <c r="F34" i="36"/>
  <c r="E34" i="36"/>
  <c r="D34" i="36"/>
  <c r="C34" i="36"/>
  <c r="F33" i="36"/>
  <c r="E33" i="36"/>
  <c r="D33" i="36"/>
  <c r="C33" i="36"/>
  <c r="F32" i="36"/>
  <c r="E32" i="36"/>
  <c r="D32" i="36"/>
  <c r="C32" i="36"/>
  <c r="F31" i="36"/>
  <c r="E31" i="36"/>
  <c r="D31" i="36"/>
  <c r="C31" i="36"/>
  <c r="F30" i="36"/>
  <c r="E30" i="36"/>
  <c r="D30" i="36"/>
  <c r="C30" i="36"/>
  <c r="F29" i="36"/>
  <c r="E29" i="36"/>
  <c r="D29" i="36"/>
  <c r="C29" i="36"/>
  <c r="F28" i="36"/>
  <c r="E28" i="36"/>
  <c r="D28" i="36"/>
  <c r="C28" i="36"/>
  <c r="F27" i="36"/>
  <c r="E27" i="36"/>
  <c r="D27" i="36"/>
  <c r="C27" i="36"/>
  <c r="F26" i="36"/>
  <c r="E26" i="36"/>
  <c r="D26" i="36"/>
  <c r="C26" i="36"/>
  <c r="F25" i="36"/>
  <c r="E25" i="36"/>
  <c r="D25" i="36"/>
  <c r="C25" i="36"/>
  <c r="F24" i="36"/>
  <c r="E24" i="36"/>
  <c r="D24" i="36"/>
  <c r="C24" i="36"/>
  <c r="F23" i="36"/>
  <c r="E23" i="36"/>
  <c r="D23" i="36"/>
  <c r="C23" i="36"/>
  <c r="F22" i="36"/>
  <c r="E22" i="36"/>
  <c r="D22" i="36"/>
  <c r="C22" i="36"/>
  <c r="F21" i="36"/>
  <c r="E21" i="36"/>
  <c r="D21" i="36"/>
  <c r="C21" i="36"/>
  <c r="F20" i="36"/>
  <c r="E20" i="36"/>
  <c r="D20" i="36"/>
  <c r="C20" i="36"/>
  <c r="F19" i="36"/>
  <c r="E19" i="36"/>
  <c r="D19" i="36"/>
  <c r="C19" i="36"/>
  <c r="F18" i="36"/>
  <c r="E18" i="36"/>
  <c r="D18" i="36"/>
  <c r="C18" i="36"/>
  <c r="F17" i="36"/>
  <c r="E17" i="36"/>
  <c r="D17" i="36"/>
  <c r="C17" i="36"/>
  <c r="F16" i="36"/>
  <c r="E16" i="36"/>
  <c r="D16" i="36"/>
  <c r="C16" i="36"/>
  <c r="F15" i="36"/>
  <c r="E15" i="36"/>
  <c r="D15" i="36"/>
  <c r="C15" i="36"/>
  <c r="F14" i="36"/>
  <c r="E14" i="36"/>
  <c r="D14" i="36"/>
  <c r="F13" i="36"/>
  <c r="E13" i="36"/>
  <c r="D13" i="36"/>
  <c r="C13" i="36"/>
  <c r="F12" i="36"/>
  <c r="E12" i="36"/>
  <c r="D12" i="36"/>
  <c r="C12" i="36"/>
  <c r="F11" i="36"/>
  <c r="E11" i="36"/>
  <c r="D11" i="36"/>
  <c r="C11" i="36"/>
  <c r="F10" i="36"/>
  <c r="E10" i="36"/>
  <c r="D10" i="36"/>
  <c r="C10" i="36"/>
  <c r="F9" i="36"/>
  <c r="E9" i="36"/>
  <c r="D9" i="36"/>
  <c r="C9" i="36"/>
  <c r="F8" i="36"/>
  <c r="E8" i="36"/>
  <c r="D8" i="36"/>
  <c r="C8" i="36"/>
  <c r="F7" i="36"/>
  <c r="E7" i="36"/>
  <c r="D7" i="36"/>
  <c r="C7" i="36"/>
  <c r="F6" i="36"/>
  <c r="E6" i="36"/>
  <c r="D6" i="36"/>
  <c r="C6" i="36"/>
  <c r="F47" i="14"/>
  <c r="E47" i="14"/>
  <c r="D47" i="14"/>
  <c r="C47" i="14"/>
  <c r="F46" i="14"/>
  <c r="E46" i="14"/>
  <c r="D46" i="14"/>
  <c r="C46" i="14"/>
  <c r="F45" i="14"/>
  <c r="E45" i="14"/>
  <c r="D45" i="14"/>
  <c r="C45" i="14"/>
  <c r="F42" i="14"/>
  <c r="E42" i="14"/>
  <c r="D42" i="14"/>
  <c r="C42" i="14"/>
  <c r="F41" i="14"/>
  <c r="E41" i="14"/>
  <c r="D41" i="14"/>
  <c r="F40" i="14"/>
  <c r="E40" i="14"/>
  <c r="D40" i="14"/>
  <c r="F39" i="14"/>
  <c r="E39" i="14"/>
  <c r="D39" i="14"/>
  <c r="C39" i="14"/>
  <c r="F38" i="14"/>
  <c r="E38" i="14"/>
  <c r="D38" i="14"/>
  <c r="C38" i="14"/>
  <c r="F37" i="14"/>
  <c r="E37" i="14"/>
  <c r="D37" i="14"/>
  <c r="C37" i="14"/>
  <c r="F36" i="14"/>
  <c r="E36" i="14"/>
  <c r="D36" i="14"/>
  <c r="C36" i="14"/>
  <c r="F35" i="14"/>
  <c r="E35" i="14"/>
  <c r="D35" i="14"/>
  <c r="C35" i="14"/>
  <c r="F34" i="14"/>
  <c r="E34" i="14"/>
  <c r="D34" i="14"/>
  <c r="C34" i="14"/>
  <c r="F33" i="14"/>
  <c r="E33" i="14"/>
  <c r="D33" i="14"/>
  <c r="C33" i="14"/>
  <c r="F32" i="14"/>
  <c r="E32" i="14"/>
  <c r="D32" i="14"/>
  <c r="C32" i="14"/>
  <c r="F31" i="14"/>
  <c r="E31" i="14"/>
  <c r="D31" i="14"/>
  <c r="C31" i="14"/>
  <c r="F30" i="14"/>
  <c r="E30" i="14"/>
  <c r="D30" i="14"/>
  <c r="C30" i="14"/>
  <c r="E29" i="14"/>
  <c r="D29" i="14"/>
  <c r="C29" i="14"/>
  <c r="F28" i="14"/>
  <c r="E28" i="14"/>
  <c r="D28" i="14"/>
  <c r="C28" i="14"/>
  <c r="F27" i="14"/>
  <c r="E27" i="14"/>
  <c r="D27" i="14"/>
  <c r="C27" i="14"/>
  <c r="F26" i="14"/>
  <c r="E26" i="14"/>
  <c r="D26" i="14"/>
  <c r="C26" i="14"/>
  <c r="F25" i="14"/>
  <c r="E25" i="14"/>
  <c r="D25" i="14"/>
  <c r="C25" i="14"/>
  <c r="F24" i="14"/>
  <c r="E24" i="14"/>
  <c r="D24" i="14"/>
  <c r="C24" i="14"/>
  <c r="F23" i="14"/>
  <c r="E23" i="14"/>
  <c r="D23" i="14"/>
  <c r="C23" i="14"/>
  <c r="F22" i="14"/>
  <c r="E22" i="14"/>
  <c r="D22" i="14"/>
  <c r="C22" i="14"/>
  <c r="F21" i="14"/>
  <c r="E21" i="14"/>
  <c r="D21" i="14"/>
  <c r="C21" i="14"/>
  <c r="F20" i="14"/>
  <c r="E20" i="14"/>
  <c r="D20" i="14"/>
  <c r="C20" i="14"/>
  <c r="F19" i="14"/>
  <c r="E19" i="14"/>
  <c r="D19" i="14"/>
  <c r="F18" i="14"/>
  <c r="E18" i="14"/>
  <c r="D18" i="14"/>
  <c r="C18" i="14"/>
  <c r="F17" i="14"/>
  <c r="E17" i="14"/>
  <c r="D17" i="14"/>
  <c r="C17" i="14"/>
  <c r="F16" i="14"/>
  <c r="E16" i="14"/>
  <c r="D16" i="14"/>
  <c r="C16" i="14"/>
  <c r="F15" i="14"/>
  <c r="E15" i="14"/>
  <c r="D15" i="14"/>
  <c r="C15" i="14"/>
  <c r="F14" i="14"/>
  <c r="E14" i="14"/>
  <c r="D14" i="14"/>
  <c r="F13" i="14"/>
  <c r="E13" i="14"/>
  <c r="D13" i="14"/>
  <c r="C13" i="14"/>
  <c r="F12" i="14"/>
  <c r="E12" i="14"/>
  <c r="D12" i="14"/>
  <c r="C12" i="14"/>
  <c r="F11" i="14"/>
  <c r="E11" i="14"/>
  <c r="D11" i="14"/>
  <c r="C11" i="14"/>
  <c r="F10" i="14"/>
  <c r="E10" i="14"/>
  <c r="D10" i="14"/>
  <c r="C10" i="14"/>
  <c r="F9" i="14"/>
  <c r="E9" i="14"/>
  <c r="D9" i="14"/>
  <c r="C9" i="14"/>
  <c r="F8" i="14"/>
  <c r="E8" i="14"/>
  <c r="D8" i="14"/>
  <c r="C8" i="14"/>
  <c r="F7" i="14"/>
  <c r="E7" i="14"/>
  <c r="D7" i="14"/>
  <c r="C7" i="14"/>
  <c r="F6" i="14"/>
  <c r="E6" i="14"/>
  <c r="D6" i="14"/>
  <c r="C6" i="14"/>
  <c r="T48" i="14"/>
  <c r="T50" i="14" s="1"/>
  <c r="R48" i="14"/>
  <c r="R50" i="14" s="1"/>
  <c r="Q48" i="14"/>
  <c r="Q50" i="14" s="1"/>
  <c r="F152" i="28"/>
  <c r="F150" i="28"/>
  <c r="F148" i="28"/>
  <c r="F138" i="28"/>
  <c r="F144" i="28" s="1"/>
  <c r="F136" i="28"/>
  <c r="F142" i="28" s="1"/>
  <c r="F112" i="28"/>
  <c r="F104" i="28"/>
  <c r="F100" i="28"/>
  <c r="F96" i="28"/>
  <c r="G160" i="1"/>
  <c r="G158" i="1"/>
  <c r="G156" i="1"/>
  <c r="G146" i="1"/>
  <c r="G152" i="1" s="1"/>
  <c r="G144" i="1"/>
  <c r="G150" i="1" s="1"/>
  <c r="G118" i="1"/>
  <c r="G110" i="1"/>
  <c r="G108" i="1"/>
  <c r="G106" i="1"/>
  <c r="F80" i="28"/>
  <c r="E70" i="32"/>
  <c r="E68" i="32"/>
  <c r="E50" i="32"/>
  <c r="E48" i="32"/>
  <c r="E30" i="32"/>
  <c r="E28" i="32"/>
  <c r="L30" i="8"/>
  <c r="K30" i="8"/>
  <c r="J30" i="8"/>
  <c r="I30" i="8"/>
  <c r="E30" i="8"/>
  <c r="O2" i="14"/>
  <c r="D28" i="8"/>
  <c r="F33" i="6"/>
  <c r="F8" i="6" s="1"/>
  <c r="N8" i="6" s="1"/>
  <c r="L29" i="8"/>
  <c r="M29" i="8" s="1"/>
  <c r="K29" i="8"/>
  <c r="J29" i="8"/>
  <c r="I29" i="8"/>
  <c r="E29" i="8"/>
  <c r="F8" i="5"/>
  <c r="F71" i="32"/>
  <c r="F51" i="32"/>
  <c r="D55" i="32"/>
  <c r="D57" i="32" s="1"/>
  <c r="F48" i="32"/>
  <c r="D15" i="5"/>
  <c r="F9" i="5" s="1"/>
  <c r="E28" i="8"/>
  <c r="L28" i="8"/>
  <c r="K28" i="8"/>
  <c r="J28" i="8"/>
  <c r="I28" i="8"/>
  <c r="G18" i="17"/>
  <c r="G30" i="32"/>
  <c r="H30" i="32" s="1"/>
  <c r="I30" i="32" s="1"/>
  <c r="F108" i="1"/>
  <c r="E15" i="32"/>
  <c r="L27" i="8"/>
  <c r="K27" i="8"/>
  <c r="J27" i="8"/>
  <c r="I27" i="8"/>
  <c r="E27" i="8"/>
  <c r="G92" i="1"/>
  <c r="G74" i="26"/>
  <c r="G97" i="26" s="1"/>
  <c r="G103" i="26" s="1"/>
  <c r="I74" i="26"/>
  <c r="I97" i="26" s="1"/>
  <c r="J103" i="26"/>
  <c r="K74" i="26"/>
  <c r="M74" i="26"/>
  <c r="M97" i="26" s="1"/>
  <c r="N74" i="26"/>
  <c r="N97" i="26" s="1"/>
  <c r="E53" i="26"/>
  <c r="L26" i="8"/>
  <c r="K26" i="8"/>
  <c r="J26" i="8"/>
  <c r="M26" i="8" s="1"/>
  <c r="I26" i="8"/>
  <c r="E26" i="8"/>
  <c r="E16" i="32"/>
  <c r="E77" i="32"/>
  <c r="G70" i="32"/>
  <c r="G68" i="32"/>
  <c r="E57" i="32"/>
  <c r="E58" i="32" s="1"/>
  <c r="G50" i="32"/>
  <c r="G48" i="32"/>
  <c r="E38" i="32"/>
  <c r="G28" i="32"/>
  <c r="G96" i="28"/>
  <c r="G108" i="28"/>
  <c r="D108" i="28"/>
  <c r="E100" i="28"/>
  <c r="G100" i="28"/>
  <c r="D100" i="28"/>
  <c r="F114" i="1"/>
  <c r="H114" i="1"/>
  <c r="E102" i="28"/>
  <c r="D102" i="28"/>
  <c r="G6" i="29"/>
  <c r="L25" i="8"/>
  <c r="M25" i="8" s="1"/>
  <c r="K25" i="8"/>
  <c r="J25" i="8"/>
  <c r="I25" i="8"/>
  <c r="E25" i="8"/>
  <c r="Q14" i="26"/>
  <c r="P14" i="26"/>
  <c r="R14" i="26" s="1"/>
  <c r="T14" i="26" s="1"/>
  <c r="O14" i="26"/>
  <c r="Q7" i="26"/>
  <c r="P7" i="26"/>
  <c r="O7" i="26"/>
  <c r="L7" i="26"/>
  <c r="L14" i="26"/>
  <c r="S14" i="26" s="1"/>
  <c r="H7" i="26"/>
  <c r="H6" i="26"/>
  <c r="Q36" i="26"/>
  <c r="P36" i="26"/>
  <c r="O36" i="26"/>
  <c r="L36" i="26"/>
  <c r="Q35" i="26"/>
  <c r="P35" i="26"/>
  <c r="O35" i="26"/>
  <c r="L35" i="26"/>
  <c r="Q34" i="26"/>
  <c r="P34" i="26"/>
  <c r="O34" i="26"/>
  <c r="L34" i="26"/>
  <c r="Q33" i="26"/>
  <c r="P33" i="26"/>
  <c r="O33" i="26"/>
  <c r="L33" i="26"/>
  <c r="S33" i="26" s="1"/>
  <c r="G6" i="30"/>
  <c r="G6" i="31"/>
  <c r="G112" i="28" s="1"/>
  <c r="G6" i="4"/>
  <c r="G66" i="28" s="1"/>
  <c r="L24" i="8"/>
  <c r="K24" i="8"/>
  <c r="J24" i="8"/>
  <c r="M24" i="8" s="1"/>
  <c r="I24" i="8"/>
  <c r="E24" i="8"/>
  <c r="E16" i="26"/>
  <c r="L23" i="8"/>
  <c r="K23" i="8"/>
  <c r="J23" i="8"/>
  <c r="I23" i="8"/>
  <c r="E23" i="8"/>
  <c r="G104" i="28"/>
  <c r="E112" i="28"/>
  <c r="D112" i="28"/>
  <c r="E104" i="28"/>
  <c r="D104" i="28"/>
  <c r="E96" i="28"/>
  <c r="D96" i="28"/>
  <c r="D98" i="28"/>
  <c r="G88" i="28"/>
  <c r="G86" i="28"/>
  <c r="G84" i="28"/>
  <c r="E88" i="28"/>
  <c r="E86" i="28"/>
  <c r="E84" i="28"/>
  <c r="E82" i="28"/>
  <c r="D88" i="28"/>
  <c r="D86" i="28"/>
  <c r="D84" i="28"/>
  <c r="D82" i="28"/>
  <c r="D80" i="28"/>
  <c r="G78" i="28"/>
  <c r="G76" i="28"/>
  <c r="G74" i="28"/>
  <c r="G72" i="28"/>
  <c r="G70" i="28"/>
  <c r="E78" i="28"/>
  <c r="D78" i="28"/>
  <c r="D76" i="28"/>
  <c r="D74" i="28"/>
  <c r="D72" i="28"/>
  <c r="D70" i="28"/>
  <c r="D68" i="28"/>
  <c r="E76" i="28"/>
  <c r="E74" i="28"/>
  <c r="E72" i="28"/>
  <c r="E70" i="28"/>
  <c r="F70" i="1"/>
  <c r="F94" i="1"/>
  <c r="H106" i="1"/>
  <c r="H108" i="1"/>
  <c r="H110" i="1"/>
  <c r="H118" i="1"/>
  <c r="I138" i="1"/>
  <c r="J138" i="1"/>
  <c r="H138" i="1"/>
  <c r="F118" i="1"/>
  <c r="F110" i="1"/>
  <c r="F106" i="1"/>
  <c r="F102" i="1"/>
  <c r="E22" i="8"/>
  <c r="I22" i="8"/>
  <c r="J22" i="8"/>
  <c r="K22" i="8"/>
  <c r="L22" i="8"/>
  <c r="P15" i="26"/>
  <c r="L15" i="26"/>
  <c r="J21" i="8"/>
  <c r="K21" i="8"/>
  <c r="M21" i="8" s="1"/>
  <c r="L21" i="8"/>
  <c r="I21" i="8"/>
  <c r="E21" i="8"/>
  <c r="J19" i="8"/>
  <c r="K19" i="8"/>
  <c r="L19" i="8"/>
  <c r="I19" i="8"/>
  <c r="E19" i="8"/>
  <c r="J20" i="8"/>
  <c r="K20" i="8"/>
  <c r="L20" i="8"/>
  <c r="M20" i="8" s="1"/>
  <c r="J18" i="8"/>
  <c r="K18" i="8"/>
  <c r="L18" i="8"/>
  <c r="J4" i="8"/>
  <c r="K4" i="8"/>
  <c r="L4" i="8"/>
  <c r="J5" i="8"/>
  <c r="K5" i="8"/>
  <c r="M5" i="8" s="1"/>
  <c r="L5" i="8"/>
  <c r="J6" i="8"/>
  <c r="K6" i="8"/>
  <c r="L6" i="8"/>
  <c r="J7" i="8"/>
  <c r="K7" i="8"/>
  <c r="L7" i="8"/>
  <c r="J9" i="8"/>
  <c r="K9" i="8"/>
  <c r="L9" i="8"/>
  <c r="J10" i="8"/>
  <c r="K10" i="8"/>
  <c r="M10" i="8" s="1"/>
  <c r="L10" i="8"/>
  <c r="J11" i="8"/>
  <c r="K11" i="8"/>
  <c r="L11" i="8"/>
  <c r="J12" i="8"/>
  <c r="K12" i="8"/>
  <c r="L12" i="8"/>
  <c r="J13" i="8"/>
  <c r="M13" i="8" s="1"/>
  <c r="K13" i="8"/>
  <c r="L13" i="8"/>
  <c r="J16" i="8"/>
  <c r="K16" i="8"/>
  <c r="L16" i="8"/>
  <c r="J17" i="8"/>
  <c r="K17" i="8"/>
  <c r="M17" i="8" s="1"/>
  <c r="L17" i="8"/>
  <c r="G81" i="26"/>
  <c r="G83" i="26" s="1"/>
  <c r="G12" i="6" s="1"/>
  <c r="F34" i="6"/>
  <c r="F9" i="6" s="1"/>
  <c r="G16" i="26"/>
  <c r="G26" i="26"/>
  <c r="J8" i="8"/>
  <c r="K8" i="8"/>
  <c r="L8" i="8"/>
  <c r="M8" i="8" s="1"/>
  <c r="J14" i="8"/>
  <c r="K14" i="8"/>
  <c r="L14" i="8"/>
  <c r="J15" i="8"/>
  <c r="K15" i="8"/>
  <c r="L15" i="8"/>
  <c r="G53" i="26"/>
  <c r="O12" i="26"/>
  <c r="O15" i="26"/>
  <c r="O9" i="26"/>
  <c r="P12" i="26"/>
  <c r="P9" i="26"/>
  <c r="Q12" i="26"/>
  <c r="Q15" i="26"/>
  <c r="Q9" i="26"/>
  <c r="L12" i="26"/>
  <c r="S12" i="26" s="1"/>
  <c r="L9" i="26"/>
  <c r="H9" i="26"/>
  <c r="P27" i="26"/>
  <c r="P28" i="26" s="1"/>
  <c r="Q40" i="26"/>
  <c r="P40" i="26"/>
  <c r="Q41" i="26"/>
  <c r="P41" i="26"/>
  <c r="Q43" i="26"/>
  <c r="P43" i="26"/>
  <c r="Q44" i="26"/>
  <c r="P44" i="26"/>
  <c r="Q45" i="26"/>
  <c r="P45" i="26"/>
  <c r="Q46" i="26"/>
  <c r="P46" i="26"/>
  <c r="Q47" i="26"/>
  <c r="P47" i="26"/>
  <c r="H45" i="26"/>
  <c r="H46" i="26"/>
  <c r="H47" i="26"/>
  <c r="L40" i="26"/>
  <c r="S40" i="26" s="1"/>
  <c r="L41" i="26"/>
  <c r="S41" i="26" s="1"/>
  <c r="L43" i="26"/>
  <c r="S43" i="26" s="1"/>
  <c r="L44" i="26"/>
  <c r="S44" i="26" s="1"/>
  <c r="L45" i="26"/>
  <c r="L46" i="26"/>
  <c r="L47" i="26"/>
  <c r="O40" i="26"/>
  <c r="O41" i="26"/>
  <c r="O43" i="26"/>
  <c r="O44" i="26"/>
  <c r="O45" i="26"/>
  <c r="O46" i="26"/>
  <c r="O47" i="26"/>
  <c r="P17" i="26"/>
  <c r="P18" i="26"/>
  <c r="P19" i="26"/>
  <c r="P20" i="26"/>
  <c r="P21" i="26"/>
  <c r="P13" i="26"/>
  <c r="Q13" i="26"/>
  <c r="Q11" i="26"/>
  <c r="P8" i="26"/>
  <c r="Q8" i="26"/>
  <c r="Q10" i="26"/>
  <c r="Q74" i="26" s="1"/>
  <c r="Q97" i="26" s="1"/>
  <c r="P6" i="26"/>
  <c r="Q6" i="26"/>
  <c r="Q39" i="26"/>
  <c r="P39" i="26"/>
  <c r="Q51" i="26"/>
  <c r="P51" i="26"/>
  <c r="Q50" i="26"/>
  <c r="P50" i="26"/>
  <c r="Q52" i="26"/>
  <c r="P52" i="26"/>
  <c r="Q48" i="26"/>
  <c r="P48" i="26"/>
  <c r="Q49" i="26"/>
  <c r="P49" i="26"/>
  <c r="P31" i="26"/>
  <c r="Q31" i="26"/>
  <c r="P32" i="26"/>
  <c r="Q32" i="26"/>
  <c r="P30" i="26"/>
  <c r="Q30" i="26"/>
  <c r="P37" i="26"/>
  <c r="Q37" i="26"/>
  <c r="P24" i="26"/>
  <c r="Q24" i="26"/>
  <c r="R24" i="26" s="1"/>
  <c r="P25" i="26"/>
  <c r="Q25" i="26"/>
  <c r="E81" i="26"/>
  <c r="E83" i="26" s="1"/>
  <c r="E26" i="26"/>
  <c r="O6" i="26"/>
  <c r="O8" i="26"/>
  <c r="O10" i="26"/>
  <c r="O74" i="26" s="1"/>
  <c r="O97" i="26" s="1"/>
  <c r="O11" i="26"/>
  <c r="O13" i="26"/>
  <c r="O24" i="26"/>
  <c r="O25" i="26"/>
  <c r="O30" i="26"/>
  <c r="O31" i="26"/>
  <c r="O32" i="26"/>
  <c r="O37" i="26"/>
  <c r="O39" i="26"/>
  <c r="O104" i="26"/>
  <c r="O48" i="26"/>
  <c r="O49" i="26"/>
  <c r="O50" i="26"/>
  <c r="O51" i="26"/>
  <c r="O52" i="26"/>
  <c r="N16" i="26"/>
  <c r="N26" i="26"/>
  <c r="N38" i="26"/>
  <c r="N81" i="26" s="1"/>
  <c r="N83" i="26" s="1"/>
  <c r="N53" i="26"/>
  <c r="M16" i="26"/>
  <c r="M22" i="26"/>
  <c r="M26" i="26"/>
  <c r="M76" i="26" s="1"/>
  <c r="M73" i="26" s="1"/>
  <c r="M28" i="26"/>
  <c r="M38" i="26"/>
  <c r="M81" i="26" s="1"/>
  <c r="M83" i="26" s="1"/>
  <c r="M53" i="26"/>
  <c r="L31" i="26"/>
  <c r="S31" i="26" s="1"/>
  <c r="L30" i="26"/>
  <c r="L32" i="26"/>
  <c r="S32" i="26" s="1"/>
  <c r="L37" i="26"/>
  <c r="L6" i="26"/>
  <c r="S6" i="26" s="1"/>
  <c r="L8" i="26"/>
  <c r="L103" i="26"/>
  <c r="L13" i="26"/>
  <c r="S13" i="26" s="1"/>
  <c r="L17" i="26"/>
  <c r="L18" i="26"/>
  <c r="L19" i="26"/>
  <c r="L20" i="26"/>
  <c r="L21" i="26"/>
  <c r="L24" i="26"/>
  <c r="L25" i="26"/>
  <c r="L27" i="26"/>
  <c r="L28" i="26" s="1"/>
  <c r="L39" i="26"/>
  <c r="S39" i="26" s="1"/>
  <c r="L48" i="26"/>
  <c r="L49" i="26"/>
  <c r="L50" i="26"/>
  <c r="L51" i="26"/>
  <c r="L52" i="26"/>
  <c r="K81" i="26"/>
  <c r="K83" i="26" s="1"/>
  <c r="K22" i="26"/>
  <c r="K26" i="26"/>
  <c r="K28" i="26"/>
  <c r="K29" i="26" s="1"/>
  <c r="K53" i="26"/>
  <c r="J22" i="26"/>
  <c r="J26" i="26"/>
  <c r="J28" i="26"/>
  <c r="J81" i="26"/>
  <c r="J83" i="26" s="1"/>
  <c r="J53" i="26"/>
  <c r="I16" i="26"/>
  <c r="I22" i="26"/>
  <c r="I26" i="26"/>
  <c r="I28" i="26"/>
  <c r="I81" i="26"/>
  <c r="I83" i="26" s="1"/>
  <c r="I53" i="26"/>
  <c r="H30" i="26"/>
  <c r="H38" i="26" s="1"/>
  <c r="H81" i="26" s="1"/>
  <c r="S37" i="26"/>
  <c r="H8" i="26"/>
  <c r="H17" i="26"/>
  <c r="H18" i="26"/>
  <c r="H19" i="26"/>
  <c r="H20" i="26"/>
  <c r="H21" i="26"/>
  <c r="H24" i="26"/>
  <c r="H25" i="26"/>
  <c r="H27" i="26"/>
  <c r="H28" i="26" s="1"/>
  <c r="H48" i="26"/>
  <c r="H49" i="26"/>
  <c r="H50" i="26"/>
  <c r="H51" i="26"/>
  <c r="H52" i="26"/>
  <c r="G22" i="26"/>
  <c r="G28" i="26"/>
  <c r="G29" i="26" s="1"/>
  <c r="F81" i="26"/>
  <c r="F83" i="26" s="1"/>
  <c r="F22" i="26"/>
  <c r="F26" i="26"/>
  <c r="F28" i="26"/>
  <c r="F53" i="26"/>
  <c r="P104" i="26"/>
  <c r="N104" i="26"/>
  <c r="L104" i="26"/>
  <c r="S98" i="26"/>
  <c r="M103" i="26"/>
  <c r="Q104" i="26"/>
  <c r="M104" i="26"/>
  <c r="K104" i="26"/>
  <c r="J104" i="26"/>
  <c r="I104" i="26"/>
  <c r="G104" i="26"/>
  <c r="F104" i="26"/>
  <c r="S15" i="26"/>
  <c r="E17" i="5"/>
  <c r="E18" i="5" s="1"/>
  <c r="G8" i="5"/>
  <c r="H144" i="1" s="1"/>
  <c r="J24" i="1"/>
  <c r="F100" i="1"/>
  <c r="F96" i="1"/>
  <c r="F92" i="1"/>
  <c r="H102" i="1"/>
  <c r="H100" i="1"/>
  <c r="H98" i="1"/>
  <c r="H96" i="1"/>
  <c r="H92" i="1"/>
  <c r="H90" i="1"/>
  <c r="H88" i="1"/>
  <c r="H86" i="1"/>
  <c r="H84" i="1"/>
  <c r="H82" i="1"/>
  <c r="H80" i="1"/>
  <c r="H78" i="1"/>
  <c r="H76" i="1"/>
  <c r="H74" i="1"/>
  <c r="H72" i="1"/>
  <c r="H68" i="1"/>
  <c r="G68" i="1"/>
  <c r="F88" i="1"/>
  <c r="F86" i="1"/>
  <c r="F84" i="1"/>
  <c r="F82" i="1"/>
  <c r="F80" i="1"/>
  <c r="F78" i="1"/>
  <c r="F76" i="1"/>
  <c r="F74" i="1"/>
  <c r="F72" i="1"/>
  <c r="F68" i="1"/>
  <c r="I24" i="28"/>
  <c r="E68" i="28"/>
  <c r="F68" i="28"/>
  <c r="G68" i="28"/>
  <c r="E80" i="28"/>
  <c r="G80" i="28"/>
  <c r="G90" i="28"/>
  <c r="H90" i="28"/>
  <c r="I90" i="28"/>
  <c r="I20" i="8"/>
  <c r="E20" i="8"/>
  <c r="I18" i="8"/>
  <c r="E18" i="8"/>
  <c r="I17" i="8"/>
  <c r="E17" i="8"/>
  <c r="I15" i="8"/>
  <c r="E15" i="8"/>
  <c r="I16" i="8"/>
  <c r="E16" i="8"/>
  <c r="I14" i="8"/>
  <c r="E14" i="8"/>
  <c r="I13" i="8"/>
  <c r="I12" i="8"/>
  <c r="I11" i="8"/>
  <c r="I10" i="8"/>
  <c r="I9" i="8"/>
  <c r="I8" i="8"/>
  <c r="I7" i="8"/>
  <c r="I6" i="8"/>
  <c r="I5" i="8"/>
  <c r="I4" i="8"/>
  <c r="E13" i="8"/>
  <c r="E12" i="8"/>
  <c r="E11" i="8"/>
  <c r="E10" i="8"/>
  <c r="E9" i="8"/>
  <c r="E8" i="8"/>
  <c r="E7" i="8"/>
  <c r="E6" i="8"/>
  <c r="E5" i="8"/>
  <c r="E4" i="8"/>
  <c r="E103" i="26"/>
  <c r="F103" i="26"/>
  <c r="R104" i="26"/>
  <c r="E104" i="26"/>
  <c r="T98" i="26"/>
  <c r="M22" i="8"/>
  <c r="N22" i="8"/>
  <c r="P103" i="26"/>
  <c r="S74" i="26"/>
  <c r="H103" i="26"/>
  <c r="T97" i="26"/>
  <c r="T74" i="26"/>
  <c r="R103" i="26"/>
  <c r="H146" i="1"/>
  <c r="M11" i="8"/>
  <c r="M27" i="8"/>
  <c r="M14" i="8"/>
  <c r="M28" i="8"/>
  <c r="M7" i="8"/>
  <c r="N7" i="8" s="1"/>
  <c r="M18" i="8"/>
  <c r="F10" i="32"/>
  <c r="I19" i="4"/>
  <c r="D35" i="32"/>
  <c r="D37" i="32" s="1"/>
  <c r="H96" i="28"/>
  <c r="D16" i="32"/>
  <c r="F11" i="32" s="1"/>
  <c r="H100" i="28"/>
  <c r="H112" i="28"/>
  <c r="D77" i="32"/>
  <c r="M30" i="8"/>
  <c r="H108" i="28"/>
  <c r="H104" i="28"/>
  <c r="F69" i="32"/>
  <c r="I37" i="4"/>
  <c r="I80" i="28" s="1"/>
  <c r="H80" i="28"/>
  <c r="G138" i="28"/>
  <c r="J106" i="1"/>
  <c r="I112" i="28"/>
  <c r="J110" i="1"/>
  <c r="I110" i="1"/>
  <c r="I106" i="1"/>
  <c r="H6" i="29"/>
  <c r="M50" i="8"/>
  <c r="N50" i="8" s="1"/>
  <c r="M56" i="8"/>
  <c r="N56" i="8" s="1"/>
  <c r="M62" i="8"/>
  <c r="N62" i="8" s="1"/>
  <c r="M68" i="8"/>
  <c r="N68" i="8" s="1"/>
  <c r="M82" i="8"/>
  <c r="M88" i="8"/>
  <c r="N88" i="8" s="1"/>
  <c r="M94" i="8"/>
  <c r="N94" i="8" s="1"/>
  <c r="M31" i="8"/>
  <c r="M33" i="8"/>
  <c r="N33" i="8" s="1"/>
  <c r="M35" i="8"/>
  <c r="M37" i="8"/>
  <c r="N37" i="8" s="1"/>
  <c r="M41" i="8"/>
  <c r="N41" i="8" s="1"/>
  <c r="N31" i="8"/>
  <c r="D48" i="38"/>
  <c r="F8" i="7"/>
  <c r="F7" i="7" s="1"/>
  <c r="F29" i="26" l="1"/>
  <c r="I29" i="26"/>
  <c r="M23" i="26"/>
  <c r="N76" i="26"/>
  <c r="N73" i="26" s="1"/>
  <c r="R40" i="26"/>
  <c r="T40" i="26" s="1"/>
  <c r="T104" i="26"/>
  <c r="S18" i="26"/>
  <c r="H50" i="32"/>
  <c r="N51" i="32" s="1"/>
  <c r="S51" i="32" s="1"/>
  <c r="S46" i="32" s="1"/>
  <c r="G8" i="32"/>
  <c r="E76" i="26"/>
  <c r="E73" i="26" s="1"/>
  <c r="S103" i="26"/>
  <c r="F100" i="26"/>
  <c r="F101" i="26" s="1"/>
  <c r="S9" i="26"/>
  <c r="C48" i="39"/>
  <c r="G34" i="39" s="1"/>
  <c r="H34" i="39" s="1"/>
  <c r="E48" i="36"/>
  <c r="D10" i="7" s="1"/>
  <c r="K97" i="26"/>
  <c r="K103" i="26" s="1"/>
  <c r="G29" i="39"/>
  <c r="H29" i="39" s="1"/>
  <c r="E48" i="39"/>
  <c r="D13" i="7" s="1"/>
  <c r="F8" i="32"/>
  <c r="F49" i="32"/>
  <c r="D17" i="5"/>
  <c r="D48" i="14"/>
  <c r="D48" i="37"/>
  <c r="Q16" i="26"/>
  <c r="P26" i="26"/>
  <c r="P29" i="26" s="1"/>
  <c r="Q38" i="26"/>
  <c r="Q81" i="26" s="1"/>
  <c r="Q83" i="26" s="1"/>
  <c r="G100" i="26"/>
  <c r="G101" i="26" s="1"/>
  <c r="I100" i="26"/>
  <c r="I101" i="26" s="1"/>
  <c r="J100" i="26"/>
  <c r="J101" i="26" s="1"/>
  <c r="R6" i="26"/>
  <c r="T6" i="26" s="1"/>
  <c r="R12" i="26"/>
  <c r="T12" i="26" s="1"/>
  <c r="N103" i="26"/>
  <c r="I103" i="26"/>
  <c r="K100" i="26"/>
  <c r="K101" i="26" s="1"/>
  <c r="S8" i="26"/>
  <c r="M100" i="26"/>
  <c r="M101" i="26" s="1"/>
  <c r="G23" i="26"/>
  <c r="G72" i="26" s="1"/>
  <c r="O16" i="26"/>
  <c r="Q103" i="26"/>
  <c r="O103" i="26"/>
  <c r="S21" i="26"/>
  <c r="S17" i="26"/>
  <c r="S51" i="26"/>
  <c r="S20" i="26"/>
  <c r="S24" i="26"/>
  <c r="R47" i="26"/>
  <c r="T47" i="26" s="1"/>
  <c r="R34" i="26"/>
  <c r="T34" i="26" s="1"/>
  <c r="R36" i="26"/>
  <c r="T36" i="26" s="1"/>
  <c r="S50" i="26"/>
  <c r="G80" i="26"/>
  <c r="G10" i="6" s="1"/>
  <c r="J80" i="26"/>
  <c r="J77" i="26" s="1"/>
  <c r="M80" i="26"/>
  <c r="M77" i="26" s="1"/>
  <c r="M96" i="26" s="1"/>
  <c r="S47" i="26"/>
  <c r="F80" i="26"/>
  <c r="F77" i="26" s="1"/>
  <c r="K80" i="26"/>
  <c r="K77" i="26" s="1"/>
  <c r="E80" i="26"/>
  <c r="E77" i="26" s="1"/>
  <c r="I80" i="26"/>
  <c r="I77" i="26" s="1"/>
  <c r="N80" i="26"/>
  <c r="N77" i="26" s="1"/>
  <c r="S25" i="26"/>
  <c r="H26" i="26"/>
  <c r="H29" i="26" s="1"/>
  <c r="S19" i="26"/>
  <c r="R25" i="26"/>
  <c r="T25" i="26" s="1"/>
  <c r="O53" i="26"/>
  <c r="L22" i="26"/>
  <c r="L100" i="26" s="1"/>
  <c r="L101" i="26" s="1"/>
  <c r="S30" i="26"/>
  <c r="O38" i="26"/>
  <c r="O81" i="26" s="1"/>
  <c r="O83" i="26" s="1"/>
  <c r="P22" i="26"/>
  <c r="P100" i="26" s="1"/>
  <c r="P101" i="26" s="1"/>
  <c r="H53" i="26"/>
  <c r="Q53" i="26"/>
  <c r="S49" i="26"/>
  <c r="S52" i="26"/>
  <c r="S48" i="26"/>
  <c r="R49" i="26"/>
  <c r="T49" i="26" s="1"/>
  <c r="R52" i="26"/>
  <c r="T52" i="26" s="1"/>
  <c r="R51" i="26"/>
  <c r="T51" i="26" s="1"/>
  <c r="P53" i="26"/>
  <c r="H68" i="32"/>
  <c r="M69" i="32" s="1"/>
  <c r="G142" i="28"/>
  <c r="G66" i="32"/>
  <c r="N31" i="32"/>
  <c r="S31" i="32" s="1"/>
  <c r="G26" i="32"/>
  <c r="H66" i="1"/>
  <c r="D48" i="39"/>
  <c r="F48" i="36"/>
  <c r="E10" i="7" s="1"/>
  <c r="C48" i="37"/>
  <c r="M44" i="37" s="1"/>
  <c r="C48" i="38"/>
  <c r="M44" i="38" s="1"/>
  <c r="D48" i="36"/>
  <c r="F48" i="37"/>
  <c r="E12" i="7" s="1"/>
  <c r="F48" i="38"/>
  <c r="E11" i="7" s="1"/>
  <c r="J44" i="37"/>
  <c r="J44" i="38"/>
  <c r="J44" i="36"/>
  <c r="J44" i="39"/>
  <c r="J44" i="40"/>
  <c r="J44" i="14"/>
  <c r="I44" i="36"/>
  <c r="I44" i="37"/>
  <c r="I44" i="38"/>
  <c r="I43" i="40"/>
  <c r="I44" i="39"/>
  <c r="I44" i="40"/>
  <c r="I44" i="14"/>
  <c r="M46" i="39"/>
  <c r="G44" i="39"/>
  <c r="H44" i="39" s="1"/>
  <c r="M44" i="39"/>
  <c r="R31" i="26"/>
  <c r="T31" i="26" s="1"/>
  <c r="G10" i="32"/>
  <c r="E17" i="32"/>
  <c r="E18" i="32" s="1"/>
  <c r="G6" i="5"/>
  <c r="G134" i="28" s="1"/>
  <c r="G136" i="28"/>
  <c r="P38" i="4"/>
  <c r="H48" i="40"/>
  <c r="G6" i="7" s="1"/>
  <c r="E27" i="26" s="1"/>
  <c r="E28" i="26" s="1"/>
  <c r="E29" i="26" s="1"/>
  <c r="M9" i="39"/>
  <c r="E48" i="37"/>
  <c r="D12" i="7" s="1"/>
  <c r="E48" i="38"/>
  <c r="D11" i="7" s="1"/>
  <c r="M35" i="39"/>
  <c r="M43" i="39"/>
  <c r="M26" i="39"/>
  <c r="M7" i="39"/>
  <c r="M8" i="39"/>
  <c r="M30" i="39"/>
  <c r="M38" i="39"/>
  <c r="M14" i="39"/>
  <c r="M22" i="39"/>
  <c r="M10" i="39"/>
  <c r="M31" i="39"/>
  <c r="M39" i="39"/>
  <c r="M17" i="39"/>
  <c r="M25" i="39"/>
  <c r="M11" i="39"/>
  <c r="M34" i="39"/>
  <c r="M42" i="39"/>
  <c r="F48" i="14"/>
  <c r="E8" i="7" s="1"/>
  <c r="E7" i="7" s="1"/>
  <c r="J19" i="37"/>
  <c r="J19" i="14"/>
  <c r="J19" i="38"/>
  <c r="J19" i="36"/>
  <c r="J19" i="39"/>
  <c r="J19" i="40"/>
  <c r="N10" i="8"/>
  <c r="J14" i="36"/>
  <c r="J14" i="37"/>
  <c r="J14" i="40"/>
  <c r="J14" i="39"/>
  <c r="J14" i="14"/>
  <c r="J14" i="38"/>
  <c r="N5" i="8"/>
  <c r="J33" i="36"/>
  <c r="J33" i="40"/>
  <c r="J33" i="39"/>
  <c r="J33" i="37"/>
  <c r="J33" i="14"/>
  <c r="J33" i="38"/>
  <c r="N24" i="8"/>
  <c r="J17" i="38"/>
  <c r="J17" i="40"/>
  <c r="J17" i="39"/>
  <c r="J17" i="37"/>
  <c r="J17" i="14"/>
  <c r="J17" i="36"/>
  <c r="N8" i="8"/>
  <c r="J26" i="39"/>
  <c r="J26" i="36"/>
  <c r="J26" i="37"/>
  <c r="J26" i="38"/>
  <c r="J26" i="14"/>
  <c r="J26" i="40"/>
  <c r="N17" i="8"/>
  <c r="J34" i="39"/>
  <c r="J34" i="36"/>
  <c r="J34" i="37"/>
  <c r="J34" i="38"/>
  <c r="J34" i="40"/>
  <c r="J34" i="14"/>
  <c r="N25" i="8"/>
  <c r="N26" i="8"/>
  <c r="J35" i="37"/>
  <c r="J35" i="14"/>
  <c r="J35" i="38"/>
  <c r="J35" i="39"/>
  <c r="J35" i="36"/>
  <c r="J35" i="40"/>
  <c r="J38" i="36"/>
  <c r="J38" i="37"/>
  <c r="J38" i="39"/>
  <c r="J38" i="40"/>
  <c r="J38" i="38"/>
  <c r="J38" i="14"/>
  <c r="J43" i="36"/>
  <c r="J43" i="37"/>
  <c r="J43" i="38"/>
  <c r="J43" i="14"/>
  <c r="J43" i="40"/>
  <c r="J43" i="39"/>
  <c r="N34" i="8"/>
  <c r="T24" i="26"/>
  <c r="N49" i="8"/>
  <c r="J22" i="36"/>
  <c r="J22" i="37"/>
  <c r="J22" i="39"/>
  <c r="J22" i="40"/>
  <c r="J22" i="38"/>
  <c r="J22" i="14"/>
  <c r="N9" i="8"/>
  <c r="J29" i="38"/>
  <c r="J29" i="39"/>
  <c r="J29" i="36"/>
  <c r="J29" i="40"/>
  <c r="J29" i="37"/>
  <c r="J29" i="14"/>
  <c r="N20" i="8"/>
  <c r="J30" i="36"/>
  <c r="J30" i="37"/>
  <c r="J30" i="40"/>
  <c r="J30" i="38"/>
  <c r="J30" i="39"/>
  <c r="J30" i="14"/>
  <c r="N21" i="8"/>
  <c r="J37" i="36"/>
  <c r="J37" i="40"/>
  <c r="J37" i="39"/>
  <c r="J37" i="37"/>
  <c r="J37" i="14"/>
  <c r="J37" i="38"/>
  <c r="N11" i="8"/>
  <c r="J20" i="40"/>
  <c r="J20" i="38"/>
  <c r="J20" i="14"/>
  <c r="J20" i="39"/>
  <c r="J20" i="36"/>
  <c r="J20" i="37"/>
  <c r="I24" i="40"/>
  <c r="I24" i="14"/>
  <c r="I24" i="36"/>
  <c r="I24" i="38"/>
  <c r="I24" i="39"/>
  <c r="I24" i="37"/>
  <c r="I32" i="40"/>
  <c r="I32" i="14"/>
  <c r="I32" i="36"/>
  <c r="I32" i="37"/>
  <c r="I32" i="38"/>
  <c r="I32" i="39"/>
  <c r="C48" i="36"/>
  <c r="G37" i="36" s="1"/>
  <c r="D15" i="32"/>
  <c r="D17" i="32" s="1"/>
  <c r="G46" i="32"/>
  <c r="H22" i="26"/>
  <c r="G76" i="26"/>
  <c r="J36" i="38"/>
  <c r="J36" i="40"/>
  <c r="J36" i="14"/>
  <c r="J36" i="36"/>
  <c r="J36" i="37"/>
  <c r="J36" i="39"/>
  <c r="R10" i="26"/>
  <c r="T10" i="26" s="1"/>
  <c r="M29" i="26"/>
  <c r="M72" i="26" s="1"/>
  <c r="I26" i="39"/>
  <c r="I26" i="40"/>
  <c r="I26" i="37"/>
  <c r="I26" i="36"/>
  <c r="I26" i="38"/>
  <c r="I26" i="14"/>
  <c r="I25" i="39"/>
  <c r="I25" i="37"/>
  <c r="I25" i="40"/>
  <c r="I25" i="36"/>
  <c r="I25" i="14"/>
  <c r="I25" i="38"/>
  <c r="I19" i="37"/>
  <c r="I19" i="14"/>
  <c r="I19" i="36"/>
  <c r="I19" i="38"/>
  <c r="I19" i="39"/>
  <c r="I19" i="40"/>
  <c r="I14" i="39"/>
  <c r="I14" i="36"/>
  <c r="I14" i="38"/>
  <c r="I14" i="40"/>
  <c r="I14" i="14"/>
  <c r="I14" i="37"/>
  <c r="I36" i="40"/>
  <c r="I36" i="14"/>
  <c r="I36" i="37"/>
  <c r="I36" i="36"/>
  <c r="I36" i="38"/>
  <c r="I36" i="39"/>
  <c r="I37" i="38"/>
  <c r="I37" i="40"/>
  <c r="K37" i="40" s="1"/>
  <c r="L37" i="40" s="1"/>
  <c r="I37" i="39"/>
  <c r="I37" i="14"/>
  <c r="I37" i="36"/>
  <c r="I37" i="37"/>
  <c r="I42" i="36"/>
  <c r="I42" i="40"/>
  <c r="I42" i="14"/>
  <c r="I42" i="37"/>
  <c r="I42" i="38"/>
  <c r="I42" i="39"/>
  <c r="I47" i="38"/>
  <c r="I47" i="14"/>
  <c r="I47" i="37"/>
  <c r="I47" i="36"/>
  <c r="I47" i="39"/>
  <c r="M43" i="8"/>
  <c r="N43" i="8" s="1"/>
  <c r="M45" i="8"/>
  <c r="N45" i="8" s="1"/>
  <c r="M47" i="8"/>
  <c r="N47" i="8" s="1"/>
  <c r="M49" i="8"/>
  <c r="M51" i="8"/>
  <c r="N51" i="8" s="1"/>
  <c r="M53" i="8"/>
  <c r="N53" i="8" s="1"/>
  <c r="M55" i="8"/>
  <c r="N55" i="8" s="1"/>
  <c r="J45" i="37"/>
  <c r="J45" i="39"/>
  <c r="J45" i="14"/>
  <c r="J45" i="38"/>
  <c r="J45" i="36"/>
  <c r="J45" i="40"/>
  <c r="I18" i="39"/>
  <c r="I18" i="36"/>
  <c r="I18" i="38"/>
  <c r="I18" i="40"/>
  <c r="I18" i="37"/>
  <c r="I18" i="14"/>
  <c r="N98" i="8"/>
  <c r="N66" i="8"/>
  <c r="M15" i="39"/>
  <c r="M19" i="39"/>
  <c r="M23" i="39"/>
  <c r="M27" i="39"/>
  <c r="M12" i="39"/>
  <c r="M28" i="39"/>
  <c r="M32" i="39"/>
  <c r="M36" i="39"/>
  <c r="M40" i="39"/>
  <c r="M45" i="39"/>
  <c r="G6" i="39"/>
  <c r="H6" i="39" s="1"/>
  <c r="L6" i="39" s="1"/>
  <c r="N35" i="8"/>
  <c r="J47" i="36"/>
  <c r="J47" i="40"/>
  <c r="K47" i="40" s="1"/>
  <c r="L47" i="40" s="1"/>
  <c r="J47" i="38"/>
  <c r="J47" i="37"/>
  <c r="J47" i="14"/>
  <c r="J47" i="39"/>
  <c r="J42" i="39"/>
  <c r="J42" i="36"/>
  <c r="J42" i="40"/>
  <c r="J42" i="37"/>
  <c r="J42" i="14"/>
  <c r="J42" i="38"/>
  <c r="N90" i="8"/>
  <c r="N58" i="8"/>
  <c r="N13" i="8"/>
  <c r="N15" i="8"/>
  <c r="S97" i="26"/>
  <c r="N27" i="8"/>
  <c r="S45" i="26"/>
  <c r="J31" i="37"/>
  <c r="J31" i="14"/>
  <c r="J31" i="38"/>
  <c r="J31" i="39"/>
  <c r="J31" i="40"/>
  <c r="J31" i="36"/>
  <c r="S27" i="26"/>
  <c r="H104" i="26"/>
  <c r="S104" i="26" s="1"/>
  <c r="R15" i="26"/>
  <c r="T15" i="26" s="1"/>
  <c r="I17" i="39"/>
  <c r="I17" i="37"/>
  <c r="I17" i="40"/>
  <c r="I17" i="14"/>
  <c r="I17" i="38"/>
  <c r="I17" i="36"/>
  <c r="M16" i="8"/>
  <c r="I20" i="40"/>
  <c r="I20" i="14"/>
  <c r="I20" i="36"/>
  <c r="I20" i="39"/>
  <c r="I20" i="38"/>
  <c r="I20" i="37"/>
  <c r="I15" i="14"/>
  <c r="I15" i="36"/>
  <c r="I15" i="38"/>
  <c r="I15" i="37"/>
  <c r="I15" i="39"/>
  <c r="I15" i="40"/>
  <c r="I30" i="36"/>
  <c r="I30" i="38"/>
  <c r="I30" i="40"/>
  <c r="I30" i="14"/>
  <c r="I30" i="37"/>
  <c r="I30" i="39"/>
  <c r="I34" i="38"/>
  <c r="I34" i="36"/>
  <c r="I34" i="40"/>
  <c r="I34" i="37"/>
  <c r="I34" i="14"/>
  <c r="I34" i="39"/>
  <c r="I38" i="36"/>
  <c r="I38" i="38"/>
  <c r="I38" i="14"/>
  <c r="I38" i="37"/>
  <c r="I38" i="40"/>
  <c r="I38" i="39"/>
  <c r="E48" i="14"/>
  <c r="D8" i="7" s="1"/>
  <c r="D7" i="7" s="1"/>
  <c r="F48" i="39"/>
  <c r="E13" i="7" s="1"/>
  <c r="I43" i="39"/>
  <c r="I43" i="37"/>
  <c r="I43" i="38"/>
  <c r="I43" i="36"/>
  <c r="I43" i="14"/>
  <c r="J39" i="37"/>
  <c r="J39" i="14"/>
  <c r="J39" i="38"/>
  <c r="J39" i="40"/>
  <c r="J39" i="39"/>
  <c r="J39" i="36"/>
  <c r="J27" i="37"/>
  <c r="J27" i="14"/>
  <c r="J27" i="38"/>
  <c r="J27" i="36"/>
  <c r="J27" i="40"/>
  <c r="J27" i="39"/>
  <c r="J16" i="40"/>
  <c r="J16" i="39"/>
  <c r="J16" i="38"/>
  <c r="J16" i="14"/>
  <c r="J16" i="37"/>
  <c r="J16" i="36"/>
  <c r="I22" i="39"/>
  <c r="I22" i="36"/>
  <c r="I22" i="38"/>
  <c r="I22" i="14"/>
  <c r="I22" i="37"/>
  <c r="I22" i="40"/>
  <c r="I13" i="39"/>
  <c r="I13" i="40"/>
  <c r="I13" i="14"/>
  <c r="I13" i="36"/>
  <c r="I13" i="37"/>
  <c r="I13" i="38"/>
  <c r="I28" i="37"/>
  <c r="I28" i="40"/>
  <c r="I28" i="14"/>
  <c r="I28" i="38"/>
  <c r="I28" i="36"/>
  <c r="I28" i="39"/>
  <c r="I35" i="37"/>
  <c r="I35" i="14"/>
  <c r="I35" i="38"/>
  <c r="I35" i="39"/>
  <c r="I35" i="40"/>
  <c r="I35" i="36"/>
  <c r="I41" i="40"/>
  <c r="I41" i="37"/>
  <c r="I41" i="14"/>
  <c r="I41" i="38"/>
  <c r="I41" i="36"/>
  <c r="I41" i="39"/>
  <c r="I46" i="38"/>
  <c r="I46" i="40"/>
  <c r="I46" i="14"/>
  <c r="I46" i="37"/>
  <c r="I46" i="36"/>
  <c r="I46" i="39"/>
  <c r="F10" i="7"/>
  <c r="F9" i="7" s="1"/>
  <c r="M16" i="39"/>
  <c r="M20" i="39"/>
  <c r="M24" i="39"/>
  <c r="M6" i="39"/>
  <c r="M29" i="39"/>
  <c r="M33" i="39"/>
  <c r="M37" i="39"/>
  <c r="M41" i="39"/>
  <c r="M36" i="8"/>
  <c r="N36" i="8" s="1"/>
  <c r="M32" i="8"/>
  <c r="N32" i="8" s="1"/>
  <c r="N30" i="8"/>
  <c r="N18" i="8"/>
  <c r="M15" i="8"/>
  <c r="N28" i="8"/>
  <c r="N14" i="8"/>
  <c r="J23" i="37"/>
  <c r="J23" i="14"/>
  <c r="J23" i="40"/>
  <c r="J23" i="38"/>
  <c r="J23" i="39"/>
  <c r="J23" i="36"/>
  <c r="M9" i="8"/>
  <c r="N23" i="8"/>
  <c r="M19" i="8"/>
  <c r="M23" i="8"/>
  <c r="I76" i="26"/>
  <c r="I73" i="26" s="1"/>
  <c r="P38" i="26"/>
  <c r="P81" i="26" s="1"/>
  <c r="P83" i="26" s="1"/>
  <c r="I23" i="14"/>
  <c r="I23" i="37"/>
  <c r="I23" i="38"/>
  <c r="I23" i="39"/>
  <c r="I23" i="40"/>
  <c r="I23" i="36"/>
  <c r="I21" i="39"/>
  <c r="I21" i="40"/>
  <c r="I21" i="14"/>
  <c r="I21" i="37"/>
  <c r="I21" i="36"/>
  <c r="I21" i="38"/>
  <c r="I16" i="40"/>
  <c r="I16" i="14"/>
  <c r="I16" i="38"/>
  <c r="I16" i="37"/>
  <c r="I16" i="39"/>
  <c r="I16" i="36"/>
  <c r="M4" i="8"/>
  <c r="I27" i="37"/>
  <c r="I27" i="14"/>
  <c r="I27" i="38"/>
  <c r="I27" i="39"/>
  <c r="I27" i="40"/>
  <c r="I27" i="36"/>
  <c r="I29" i="40"/>
  <c r="I29" i="14"/>
  <c r="I29" i="39"/>
  <c r="I29" i="36"/>
  <c r="I29" i="37"/>
  <c r="I29" i="38"/>
  <c r="I31" i="14"/>
  <c r="I31" i="39"/>
  <c r="I31" i="38"/>
  <c r="I31" i="37"/>
  <c r="I31" i="36"/>
  <c r="I31" i="40"/>
  <c r="I33" i="39"/>
  <c r="I33" i="37"/>
  <c r="I33" i="40"/>
  <c r="I33" i="36"/>
  <c r="I33" i="38"/>
  <c r="I33" i="14"/>
  <c r="S7" i="26"/>
  <c r="R7" i="26"/>
  <c r="T7" i="26" s="1"/>
  <c r="I39" i="14"/>
  <c r="I39" i="39"/>
  <c r="I39" i="37"/>
  <c r="I39" i="38"/>
  <c r="I39" i="36"/>
  <c r="I39" i="40"/>
  <c r="I45" i="14"/>
  <c r="I45" i="36"/>
  <c r="I45" i="37"/>
  <c r="I45" i="40"/>
  <c r="I45" i="38"/>
  <c r="I45" i="39"/>
  <c r="R32" i="26"/>
  <c r="T32" i="26" s="1"/>
  <c r="J40" i="37"/>
  <c r="J40" i="38"/>
  <c r="J40" i="39"/>
  <c r="J40" i="36"/>
  <c r="J40" i="40"/>
  <c r="J40" i="14"/>
  <c r="I40" i="14"/>
  <c r="I40" i="37"/>
  <c r="I40" i="40"/>
  <c r="K40" i="40" s="1"/>
  <c r="L40" i="40" s="1"/>
  <c r="I40" i="36"/>
  <c r="I40" i="38"/>
  <c r="I40" i="39"/>
  <c r="F13" i="7"/>
  <c r="G47" i="39"/>
  <c r="H47" i="39" s="1"/>
  <c r="G45" i="39"/>
  <c r="H45" i="39" s="1"/>
  <c r="G42" i="39"/>
  <c r="H42" i="39" s="1"/>
  <c r="G38" i="39"/>
  <c r="H38" i="39" s="1"/>
  <c r="G36" i="39"/>
  <c r="H36" i="39" s="1"/>
  <c r="G32" i="39"/>
  <c r="H32" i="39" s="1"/>
  <c r="G28" i="39"/>
  <c r="H28" i="39" s="1"/>
  <c r="G26" i="39"/>
  <c r="H26" i="39" s="1"/>
  <c r="G20" i="39"/>
  <c r="H20" i="39" s="1"/>
  <c r="G18" i="39"/>
  <c r="H18" i="39" s="1"/>
  <c r="G16" i="39"/>
  <c r="H16" i="39" s="1"/>
  <c r="G14" i="39"/>
  <c r="H14" i="39" s="1"/>
  <c r="G12" i="39"/>
  <c r="H12" i="39" s="1"/>
  <c r="L12" i="39" s="1"/>
  <c r="G10" i="39"/>
  <c r="G8" i="39"/>
  <c r="H8" i="39" s="1"/>
  <c r="L8" i="39" s="1"/>
  <c r="G46" i="39"/>
  <c r="H46" i="39" s="1"/>
  <c r="G43" i="39"/>
  <c r="H43" i="39" s="1"/>
  <c r="G41" i="39"/>
  <c r="H41" i="39" s="1"/>
  <c r="G39" i="39"/>
  <c r="H39" i="39" s="1"/>
  <c r="G37" i="39"/>
  <c r="H37" i="39" s="1"/>
  <c r="G35" i="39"/>
  <c r="H35" i="39" s="1"/>
  <c r="G33" i="39"/>
  <c r="H33" i="39" s="1"/>
  <c r="G27" i="39"/>
  <c r="H27" i="39" s="1"/>
  <c r="G23" i="39"/>
  <c r="H23" i="39" s="1"/>
  <c r="G21" i="39"/>
  <c r="H21" i="39" s="1"/>
  <c r="G15" i="39"/>
  <c r="H15" i="39" s="1"/>
  <c r="G13" i="39"/>
  <c r="H13" i="39" s="1"/>
  <c r="G11" i="39"/>
  <c r="H11" i="39" s="1"/>
  <c r="L11" i="39" s="1"/>
  <c r="G9" i="39"/>
  <c r="H9" i="39" s="1"/>
  <c r="L9" i="39" s="1"/>
  <c r="G7" i="39"/>
  <c r="H7" i="39" s="1"/>
  <c r="L7" i="39" s="1"/>
  <c r="C48" i="14"/>
  <c r="G15" i="14" s="1"/>
  <c r="H15" i="14" s="1"/>
  <c r="H70" i="32"/>
  <c r="P31" i="32"/>
  <c r="H48" i="32"/>
  <c r="M49" i="32" s="1"/>
  <c r="F29" i="32"/>
  <c r="H28" i="32" s="1"/>
  <c r="M29" i="32" s="1"/>
  <c r="H8" i="5"/>
  <c r="M9" i="5" s="1"/>
  <c r="R9" i="26"/>
  <c r="T9" i="26" s="1"/>
  <c r="J29" i="26"/>
  <c r="L26" i="26"/>
  <c r="S26" i="26" s="1"/>
  <c r="R33" i="26"/>
  <c r="T33" i="26" s="1"/>
  <c r="S34" i="26"/>
  <c r="R46" i="26"/>
  <c r="T46" i="26" s="1"/>
  <c r="R45" i="26"/>
  <c r="T45" i="26" s="1"/>
  <c r="R44" i="26"/>
  <c r="T44" i="26" s="1"/>
  <c r="R43" i="26"/>
  <c r="T43" i="26" s="1"/>
  <c r="R41" i="26"/>
  <c r="T41" i="26" s="1"/>
  <c r="R48" i="26"/>
  <c r="T48" i="26" s="1"/>
  <c r="R35" i="26"/>
  <c r="T35" i="26" s="1"/>
  <c r="J16" i="26"/>
  <c r="L10" i="26"/>
  <c r="S10" i="26" s="1"/>
  <c r="L29" i="26"/>
  <c r="L38" i="26"/>
  <c r="L81" i="26" s="1"/>
  <c r="L83" i="26" s="1"/>
  <c r="O26" i="26"/>
  <c r="Q26" i="26"/>
  <c r="R30" i="26"/>
  <c r="T30" i="26" s="1"/>
  <c r="R50" i="26"/>
  <c r="T50" i="26" s="1"/>
  <c r="R13" i="26"/>
  <c r="T13" i="26" s="1"/>
  <c r="T103" i="26"/>
  <c r="S46" i="26"/>
  <c r="L53" i="26"/>
  <c r="R37" i="26"/>
  <c r="T37" i="26" s="1"/>
  <c r="S35" i="26"/>
  <c r="S36" i="26"/>
  <c r="I23" i="26"/>
  <c r="R8" i="26"/>
  <c r="T8" i="26" s="1"/>
  <c r="I96" i="28"/>
  <c r="R39" i="26"/>
  <c r="H104" i="1"/>
  <c r="I104" i="28"/>
  <c r="J114" i="1"/>
  <c r="I6" i="30"/>
  <c r="H6" i="30"/>
  <c r="I114" i="1"/>
  <c r="I104" i="1" s="1"/>
  <c r="I108" i="28"/>
  <c r="G94" i="28"/>
  <c r="G64" i="28" s="1"/>
  <c r="H94" i="28"/>
  <c r="H6" i="4"/>
  <c r="I92" i="1"/>
  <c r="I68" i="1"/>
  <c r="H68" i="28"/>
  <c r="J68" i="1"/>
  <c r="I68" i="28"/>
  <c r="I6" i="4"/>
  <c r="H83" i="26"/>
  <c r="H160" i="1"/>
  <c r="G152" i="28"/>
  <c r="N4" i="8"/>
  <c r="S28" i="26"/>
  <c r="I100" i="28"/>
  <c r="J108" i="1"/>
  <c r="P11" i="26"/>
  <c r="R11" i="26" s="1"/>
  <c r="T11" i="26" s="1"/>
  <c r="F16" i="26"/>
  <c r="M12" i="8"/>
  <c r="M6" i="8"/>
  <c r="C13" i="7"/>
  <c r="J92" i="1"/>
  <c r="N29" i="8"/>
  <c r="M57" i="8"/>
  <c r="N57" i="8" s="1"/>
  <c r="M59" i="8"/>
  <c r="N59" i="8" s="1"/>
  <c r="M61" i="8"/>
  <c r="N61" i="8" s="1"/>
  <c r="M63" i="8"/>
  <c r="N63" i="8" s="1"/>
  <c r="M65" i="8"/>
  <c r="N65" i="8" s="1"/>
  <c r="M67" i="8"/>
  <c r="N67" i="8" s="1"/>
  <c r="M69" i="8"/>
  <c r="N69" i="8" s="1"/>
  <c r="M71" i="8"/>
  <c r="N71" i="8" s="1"/>
  <c r="M73" i="8"/>
  <c r="N73" i="8" s="1"/>
  <c r="M75" i="8"/>
  <c r="N75" i="8" s="1"/>
  <c r="M77" i="8"/>
  <c r="N77" i="8" s="1"/>
  <c r="M79" i="8"/>
  <c r="N79" i="8" s="1"/>
  <c r="M81" i="8"/>
  <c r="N81" i="8" s="1"/>
  <c r="M83" i="8"/>
  <c r="N83" i="8" s="1"/>
  <c r="M85" i="8"/>
  <c r="N85" i="8" s="1"/>
  <c r="M87" i="8"/>
  <c r="N87" i="8" s="1"/>
  <c r="M89" i="8"/>
  <c r="N89" i="8" s="1"/>
  <c r="M91" i="8"/>
  <c r="N91" i="8" s="1"/>
  <c r="M93" i="8"/>
  <c r="N93" i="8" s="1"/>
  <c r="M95" i="8"/>
  <c r="N95" i="8" s="1"/>
  <c r="M97" i="8"/>
  <c r="N97" i="8" s="1"/>
  <c r="I72" i="26" l="1"/>
  <c r="E96" i="26"/>
  <c r="E99" i="26" s="1"/>
  <c r="N96" i="26"/>
  <c r="N99" i="26" s="1"/>
  <c r="I96" i="26"/>
  <c r="Q76" i="26"/>
  <c r="Q73" i="26" s="1"/>
  <c r="G24" i="39"/>
  <c r="H24" i="39" s="1"/>
  <c r="G22" i="39"/>
  <c r="H22" i="39" s="1"/>
  <c r="K22" i="39" s="1"/>
  <c r="L22" i="39" s="1"/>
  <c r="G26" i="37"/>
  <c r="H26" i="37" s="1"/>
  <c r="K26" i="37" s="1"/>
  <c r="L26" i="37" s="1"/>
  <c r="G16" i="37"/>
  <c r="G39" i="38"/>
  <c r="H39" i="38" s="1"/>
  <c r="K39" i="38" s="1"/>
  <c r="L39" i="38" s="1"/>
  <c r="G40" i="36"/>
  <c r="H40" i="36" s="1"/>
  <c r="K40" i="36" s="1"/>
  <c r="L40" i="36" s="1"/>
  <c r="G28" i="14"/>
  <c r="H28" i="14" s="1"/>
  <c r="G25" i="39"/>
  <c r="H25" i="39" s="1"/>
  <c r="G31" i="39"/>
  <c r="H31" i="39" s="1"/>
  <c r="K31" i="39" s="1"/>
  <c r="L31" i="39" s="1"/>
  <c r="G40" i="39"/>
  <c r="H40" i="39" s="1"/>
  <c r="K40" i="39" s="1"/>
  <c r="L40" i="39" s="1"/>
  <c r="G30" i="39"/>
  <c r="H30" i="39" s="1"/>
  <c r="K30" i="39" s="1"/>
  <c r="L30" i="39" s="1"/>
  <c r="M47" i="39"/>
  <c r="M21" i="39"/>
  <c r="M18" i="39"/>
  <c r="M13" i="39"/>
  <c r="G19" i="39"/>
  <c r="H19" i="39" s="1"/>
  <c r="K19" i="39" s="1"/>
  <c r="L19" i="39" s="1"/>
  <c r="G17" i="39"/>
  <c r="H17" i="39" s="1"/>
  <c r="K44" i="40"/>
  <c r="L44" i="40" s="1"/>
  <c r="K16" i="40"/>
  <c r="L16" i="40" s="1"/>
  <c r="H152" i="1"/>
  <c r="G6" i="32"/>
  <c r="G21" i="14"/>
  <c r="H21" i="14" s="1"/>
  <c r="G40" i="14"/>
  <c r="H40" i="14" s="1"/>
  <c r="K40" i="14" s="1"/>
  <c r="L40" i="14" s="1"/>
  <c r="M28" i="14"/>
  <c r="G144" i="28"/>
  <c r="G140" i="28" s="1"/>
  <c r="H64" i="1"/>
  <c r="G28" i="37"/>
  <c r="G27" i="38"/>
  <c r="H27" i="38" s="1"/>
  <c r="G32" i="38"/>
  <c r="H32" i="38" s="1"/>
  <c r="E9" i="7"/>
  <c r="E14" i="7" s="1"/>
  <c r="G27" i="14"/>
  <c r="H27" i="14" s="1"/>
  <c r="K27" i="14" s="1"/>
  <c r="L27" i="14" s="1"/>
  <c r="G16" i="14"/>
  <c r="H16" i="14" s="1"/>
  <c r="K16" i="14" s="1"/>
  <c r="L16" i="14" s="1"/>
  <c r="G30" i="14"/>
  <c r="H30" i="14" s="1"/>
  <c r="K30" i="14" s="1"/>
  <c r="L30" i="14" s="1"/>
  <c r="H148" i="1"/>
  <c r="H150" i="1"/>
  <c r="M20" i="37"/>
  <c r="G42" i="37"/>
  <c r="H42" i="37" s="1"/>
  <c r="K42" i="37" s="1"/>
  <c r="L42" i="37" s="1"/>
  <c r="G20" i="37"/>
  <c r="H20" i="37" s="1"/>
  <c r="K20" i="37" s="1"/>
  <c r="L20" i="37" s="1"/>
  <c r="G7" i="37"/>
  <c r="H7" i="37" s="1"/>
  <c r="L7" i="37" s="1"/>
  <c r="M33" i="37"/>
  <c r="G38" i="37"/>
  <c r="H38" i="37" s="1"/>
  <c r="K38" i="37" s="1"/>
  <c r="L38" i="37" s="1"/>
  <c r="G24" i="37"/>
  <c r="H24" i="37" s="1"/>
  <c r="M28" i="37"/>
  <c r="G34" i="37"/>
  <c r="H34" i="37" s="1"/>
  <c r="K34" i="37" s="1"/>
  <c r="L34" i="37" s="1"/>
  <c r="H16" i="37"/>
  <c r="K16" i="37" s="1"/>
  <c r="L16" i="37" s="1"/>
  <c r="M14" i="37"/>
  <c r="M40" i="37"/>
  <c r="G47" i="37"/>
  <c r="H47" i="37" s="1"/>
  <c r="K47" i="37" s="1"/>
  <c r="L47" i="37" s="1"/>
  <c r="G30" i="37"/>
  <c r="H30" i="37" s="1"/>
  <c r="K30" i="37" s="1"/>
  <c r="L30" i="37" s="1"/>
  <c r="G11" i="37"/>
  <c r="H11" i="37" s="1"/>
  <c r="L11" i="37" s="1"/>
  <c r="M9" i="37"/>
  <c r="M38" i="37"/>
  <c r="G6" i="37"/>
  <c r="H6" i="37" s="1"/>
  <c r="L6" i="37" s="1"/>
  <c r="M34" i="37"/>
  <c r="M31" i="37"/>
  <c r="G46" i="37"/>
  <c r="H46" i="37" s="1"/>
  <c r="G41" i="37"/>
  <c r="H41" i="37" s="1"/>
  <c r="G37" i="37"/>
  <c r="H37" i="37" s="1"/>
  <c r="G33" i="37"/>
  <c r="H33" i="37" s="1"/>
  <c r="K33" i="37" s="1"/>
  <c r="L33" i="37" s="1"/>
  <c r="G29" i="37"/>
  <c r="H29" i="37" s="1"/>
  <c r="K29" i="37" s="1"/>
  <c r="L29" i="37" s="1"/>
  <c r="G23" i="37"/>
  <c r="H23" i="37" s="1"/>
  <c r="K23" i="37" s="1"/>
  <c r="L23" i="37" s="1"/>
  <c r="G19" i="37"/>
  <c r="H19" i="37" s="1"/>
  <c r="K19" i="37" s="1"/>
  <c r="L19" i="37" s="1"/>
  <c r="G15" i="37"/>
  <c r="H15" i="37" s="1"/>
  <c r="G10" i="37"/>
  <c r="H10" i="37" s="1"/>
  <c r="L10" i="37" s="1"/>
  <c r="M23" i="37"/>
  <c r="M18" i="37"/>
  <c r="M6" i="37"/>
  <c r="M42" i="37"/>
  <c r="M17" i="37"/>
  <c r="M21" i="37"/>
  <c r="M11" i="37"/>
  <c r="M8" i="37"/>
  <c r="M25" i="37"/>
  <c r="G40" i="37"/>
  <c r="H40" i="37" s="1"/>
  <c r="K40" i="37" s="1"/>
  <c r="L40" i="37" s="1"/>
  <c r="G32" i="37"/>
  <c r="H32" i="37" s="1"/>
  <c r="G22" i="37"/>
  <c r="H22" i="37" s="1"/>
  <c r="K22" i="37" s="1"/>
  <c r="L22" i="37" s="1"/>
  <c r="G14" i="37"/>
  <c r="H14" i="37" s="1"/>
  <c r="K14" i="37" s="1"/>
  <c r="L14" i="37" s="1"/>
  <c r="M32" i="37"/>
  <c r="M27" i="37"/>
  <c r="M15" i="37"/>
  <c r="M10" i="37"/>
  <c r="G13" i="37"/>
  <c r="H13" i="37" s="1"/>
  <c r="M46" i="37"/>
  <c r="M35" i="37"/>
  <c r="M39" i="37"/>
  <c r="M45" i="37"/>
  <c r="M26" i="37"/>
  <c r="G25" i="37"/>
  <c r="H25" i="37" s="1"/>
  <c r="G45" i="37"/>
  <c r="H45" i="37" s="1"/>
  <c r="K45" i="37" s="1"/>
  <c r="G36" i="37"/>
  <c r="H36" i="37" s="1"/>
  <c r="K36" i="37" s="1"/>
  <c r="L36" i="37" s="1"/>
  <c r="G27" i="37"/>
  <c r="H27" i="37" s="1"/>
  <c r="K27" i="37" s="1"/>
  <c r="L27" i="37" s="1"/>
  <c r="G18" i="37"/>
  <c r="H18" i="37" s="1"/>
  <c r="G9" i="37"/>
  <c r="H9" i="37" s="1"/>
  <c r="L9" i="37" s="1"/>
  <c r="M37" i="37"/>
  <c r="G43" i="37"/>
  <c r="H43" i="37" s="1"/>
  <c r="K43" i="37" s="1"/>
  <c r="L43" i="37" s="1"/>
  <c r="G39" i="37"/>
  <c r="H39" i="37" s="1"/>
  <c r="K39" i="37" s="1"/>
  <c r="L39" i="37" s="1"/>
  <c r="G35" i="37"/>
  <c r="H35" i="37" s="1"/>
  <c r="K35" i="37" s="1"/>
  <c r="L35" i="37" s="1"/>
  <c r="G31" i="37"/>
  <c r="H31" i="37" s="1"/>
  <c r="K31" i="37" s="1"/>
  <c r="L31" i="37" s="1"/>
  <c r="G21" i="37"/>
  <c r="H21" i="37" s="1"/>
  <c r="G17" i="37"/>
  <c r="H17" i="37" s="1"/>
  <c r="K17" i="37" s="1"/>
  <c r="L17" i="37" s="1"/>
  <c r="G12" i="37"/>
  <c r="H12" i="37" s="1"/>
  <c r="L12" i="37" s="1"/>
  <c r="G8" i="37"/>
  <c r="H8" i="37" s="1"/>
  <c r="L8" i="37" s="1"/>
  <c r="M47" i="37"/>
  <c r="M41" i="37"/>
  <c r="M36" i="37"/>
  <c r="M29" i="37"/>
  <c r="M24" i="37"/>
  <c r="M19" i="37"/>
  <c r="M22" i="37"/>
  <c r="M12" i="37"/>
  <c r="M16" i="37"/>
  <c r="M13" i="37"/>
  <c r="M30" i="37"/>
  <c r="M43" i="37"/>
  <c r="H28" i="37"/>
  <c r="C11" i="7"/>
  <c r="M39" i="38"/>
  <c r="M21" i="38"/>
  <c r="M41" i="38"/>
  <c r="G11" i="38"/>
  <c r="H11" i="38" s="1"/>
  <c r="L11" i="38" s="1"/>
  <c r="G46" i="38"/>
  <c r="H46" i="38" s="1"/>
  <c r="G34" i="38"/>
  <c r="H34" i="38" s="1"/>
  <c r="K34" i="38" s="1"/>
  <c r="L34" i="38" s="1"/>
  <c r="G22" i="36"/>
  <c r="H22" i="36" s="1"/>
  <c r="K22" i="36" s="1"/>
  <c r="L22" i="36" s="1"/>
  <c r="G16" i="36"/>
  <c r="H16" i="36" s="1"/>
  <c r="K16" i="36" s="1"/>
  <c r="L16" i="36" s="1"/>
  <c r="G44" i="14"/>
  <c r="H44" i="14" s="1"/>
  <c r="K44" i="14" s="1"/>
  <c r="G22" i="14"/>
  <c r="H22" i="14" s="1"/>
  <c r="G19" i="14"/>
  <c r="J104" i="1"/>
  <c r="G77" i="26"/>
  <c r="O76" i="26"/>
  <c r="O73" i="26" s="1"/>
  <c r="S22" i="26"/>
  <c r="H100" i="26"/>
  <c r="S100" i="26" s="1"/>
  <c r="S29" i="26"/>
  <c r="R26" i="26"/>
  <c r="T26" i="26" s="1"/>
  <c r="N27" i="26"/>
  <c r="Q27" i="26" s="1"/>
  <c r="M99" i="26"/>
  <c r="M102" i="26"/>
  <c r="M105" i="26" s="1"/>
  <c r="M106" i="26" s="1"/>
  <c r="P80" i="26"/>
  <c r="P77" i="26" s="1"/>
  <c r="H80" i="26"/>
  <c r="H77" i="26" s="1"/>
  <c r="L80" i="26"/>
  <c r="L77" i="26" s="1"/>
  <c r="O80" i="26"/>
  <c r="O77" i="26" s="1"/>
  <c r="Q80" i="26"/>
  <c r="Q77" i="26" s="1"/>
  <c r="P51" i="32"/>
  <c r="M51" i="32"/>
  <c r="M46" i="32" s="1"/>
  <c r="R49" i="32"/>
  <c r="I70" i="32"/>
  <c r="M71" i="32"/>
  <c r="M66" i="32" s="1"/>
  <c r="R69" i="32"/>
  <c r="I68" i="32"/>
  <c r="N69" i="32"/>
  <c r="S69" i="32" s="1"/>
  <c r="M31" i="32"/>
  <c r="R29" i="32"/>
  <c r="M9" i="32"/>
  <c r="H142" i="1"/>
  <c r="R9" i="5"/>
  <c r="R6" i="5" s="1"/>
  <c r="M6" i="5"/>
  <c r="M7" i="37"/>
  <c r="G44" i="37"/>
  <c r="H44" i="37" s="1"/>
  <c r="K44" i="37" s="1"/>
  <c r="L44" i="37" s="1"/>
  <c r="C12" i="7"/>
  <c r="G8" i="36"/>
  <c r="H8" i="36" s="1"/>
  <c r="L8" i="36" s="1"/>
  <c r="G37" i="38"/>
  <c r="H37" i="38" s="1"/>
  <c r="K37" i="38" s="1"/>
  <c r="L37" i="38" s="1"/>
  <c r="G19" i="38"/>
  <c r="H19" i="38" s="1"/>
  <c r="K19" i="38" s="1"/>
  <c r="L19" i="38" s="1"/>
  <c r="M34" i="38"/>
  <c r="M33" i="38"/>
  <c r="G41" i="38"/>
  <c r="H41" i="38" s="1"/>
  <c r="G23" i="38"/>
  <c r="H23" i="38" s="1"/>
  <c r="K23" i="38" s="1"/>
  <c r="L23" i="38" s="1"/>
  <c r="G7" i="38"/>
  <c r="H7" i="38" s="1"/>
  <c r="L7" i="38" s="1"/>
  <c r="M16" i="38"/>
  <c r="M20" i="38"/>
  <c r="G31" i="38"/>
  <c r="H31" i="38" s="1"/>
  <c r="K31" i="38" s="1"/>
  <c r="L31" i="38" s="1"/>
  <c r="G15" i="38"/>
  <c r="H15" i="38" s="1"/>
  <c r="M18" i="38"/>
  <c r="M13" i="38"/>
  <c r="G45" i="38"/>
  <c r="H45" i="38" s="1"/>
  <c r="K45" i="38" s="1"/>
  <c r="G40" i="38"/>
  <c r="H40" i="38" s="1"/>
  <c r="K40" i="38" s="1"/>
  <c r="L40" i="38" s="1"/>
  <c r="G36" i="38"/>
  <c r="H36" i="38" s="1"/>
  <c r="K36" i="38" s="1"/>
  <c r="L36" i="38" s="1"/>
  <c r="G30" i="38"/>
  <c r="H30" i="38" s="1"/>
  <c r="K30" i="38" s="1"/>
  <c r="L30" i="38" s="1"/>
  <c r="G26" i="38"/>
  <c r="H26" i="38" s="1"/>
  <c r="K26" i="38" s="1"/>
  <c r="L26" i="38" s="1"/>
  <c r="G22" i="38"/>
  <c r="H22" i="38" s="1"/>
  <c r="K22" i="38" s="1"/>
  <c r="L22" i="38" s="1"/>
  <c r="G18" i="38"/>
  <c r="H18" i="38" s="1"/>
  <c r="G14" i="38"/>
  <c r="H14" i="38" s="1"/>
  <c r="K14" i="38" s="1"/>
  <c r="L14" i="38" s="1"/>
  <c r="G10" i="38"/>
  <c r="H10" i="38" s="1"/>
  <c r="L10" i="38" s="1"/>
  <c r="M46" i="38"/>
  <c r="M47" i="38"/>
  <c r="M30" i="38"/>
  <c r="M12" i="38"/>
  <c r="M17" i="38"/>
  <c r="M40" i="38"/>
  <c r="M22" i="38"/>
  <c r="M36" i="38"/>
  <c r="M8" i="38"/>
  <c r="M7" i="38"/>
  <c r="M11" i="38"/>
  <c r="M32" i="38"/>
  <c r="M10" i="38"/>
  <c r="M28" i="38"/>
  <c r="G43" i="38"/>
  <c r="H43" i="38" s="1"/>
  <c r="K43" i="38" s="1"/>
  <c r="L43" i="38" s="1"/>
  <c r="G35" i="38"/>
  <c r="H35" i="38" s="1"/>
  <c r="K35" i="38" s="1"/>
  <c r="L35" i="38" s="1"/>
  <c r="G29" i="38"/>
  <c r="H29" i="38" s="1"/>
  <c r="K29" i="38" s="1"/>
  <c r="L29" i="38" s="1"/>
  <c r="G25" i="38"/>
  <c r="H25" i="38" s="1"/>
  <c r="G21" i="38"/>
  <c r="H21" i="38" s="1"/>
  <c r="G17" i="38"/>
  <c r="H17" i="38" s="1"/>
  <c r="K17" i="38" s="1"/>
  <c r="L17" i="38" s="1"/>
  <c r="G13" i="38"/>
  <c r="H13" i="38" s="1"/>
  <c r="G9" i="38"/>
  <c r="H9" i="38" s="1"/>
  <c r="L9" i="38" s="1"/>
  <c r="M37" i="38"/>
  <c r="M42" i="38"/>
  <c r="M27" i="38"/>
  <c r="G6" i="38"/>
  <c r="H6" i="38" s="1"/>
  <c r="G47" i="38"/>
  <c r="H47" i="38" s="1"/>
  <c r="K47" i="38" s="1"/>
  <c r="L47" i="38" s="1"/>
  <c r="G42" i="38"/>
  <c r="H42" i="38" s="1"/>
  <c r="K42" i="38" s="1"/>
  <c r="L42" i="38" s="1"/>
  <c r="G38" i="38"/>
  <c r="H38" i="38" s="1"/>
  <c r="K38" i="38" s="1"/>
  <c r="G33" i="38"/>
  <c r="H33" i="38" s="1"/>
  <c r="K33" i="38" s="1"/>
  <c r="L33" i="38" s="1"/>
  <c r="G28" i="38"/>
  <c r="H28" i="38" s="1"/>
  <c r="G24" i="38"/>
  <c r="H24" i="38" s="1"/>
  <c r="G20" i="38"/>
  <c r="H20" i="38" s="1"/>
  <c r="K20" i="38" s="1"/>
  <c r="L20" i="38" s="1"/>
  <c r="G16" i="38"/>
  <c r="H16" i="38" s="1"/>
  <c r="K16" i="38" s="1"/>
  <c r="L16" i="38" s="1"/>
  <c r="G12" i="38"/>
  <c r="H12" i="38" s="1"/>
  <c r="L12" i="38" s="1"/>
  <c r="G8" i="38"/>
  <c r="H8" i="38" s="1"/>
  <c r="L8" i="38" s="1"/>
  <c r="M31" i="38"/>
  <c r="M24" i="38"/>
  <c r="M38" i="38"/>
  <c r="M26" i="38"/>
  <c r="M25" i="38"/>
  <c r="M6" i="38"/>
  <c r="M29" i="38"/>
  <c r="M43" i="38"/>
  <c r="G44" i="38"/>
  <c r="H44" i="38" s="1"/>
  <c r="K44" i="38" s="1"/>
  <c r="L44" i="38" s="1"/>
  <c r="M9" i="38"/>
  <c r="M14" i="38"/>
  <c r="M45" i="38"/>
  <c r="H37" i="36"/>
  <c r="K37" i="36" s="1"/>
  <c r="L37" i="36" s="1"/>
  <c r="M15" i="36"/>
  <c r="M19" i="38"/>
  <c r="M35" i="38"/>
  <c r="M15" i="38"/>
  <c r="M23" i="38"/>
  <c r="G33" i="36"/>
  <c r="H33" i="36" s="1"/>
  <c r="K33" i="36" s="1"/>
  <c r="L33" i="36" s="1"/>
  <c r="M26" i="36"/>
  <c r="G21" i="36"/>
  <c r="H21" i="36" s="1"/>
  <c r="G17" i="36"/>
  <c r="H17" i="36" s="1"/>
  <c r="K17" i="36" s="1"/>
  <c r="L17" i="36" s="1"/>
  <c r="G46" i="36"/>
  <c r="H46" i="36" s="1"/>
  <c r="G29" i="36"/>
  <c r="H29" i="36" s="1"/>
  <c r="K29" i="36" s="1"/>
  <c r="L29" i="36" s="1"/>
  <c r="G13" i="36"/>
  <c r="H13" i="36" s="1"/>
  <c r="M46" i="36"/>
  <c r="G41" i="36"/>
  <c r="H41" i="36" s="1"/>
  <c r="G25" i="36"/>
  <c r="H25" i="36" s="1"/>
  <c r="M16" i="36"/>
  <c r="G44" i="36"/>
  <c r="H44" i="36" s="1"/>
  <c r="K22" i="40"/>
  <c r="L22" i="40" s="1"/>
  <c r="K45" i="40"/>
  <c r="L45" i="40" s="1"/>
  <c r="K20" i="39"/>
  <c r="L20" i="39" s="1"/>
  <c r="K19" i="40"/>
  <c r="L19" i="40" s="1"/>
  <c r="K26" i="40"/>
  <c r="L26" i="40" s="1"/>
  <c r="K45" i="39"/>
  <c r="L45" i="39" s="1"/>
  <c r="P69" i="32"/>
  <c r="P49" i="32"/>
  <c r="P9" i="5"/>
  <c r="K47" i="39"/>
  <c r="L47" i="39" s="1"/>
  <c r="K44" i="39"/>
  <c r="L44" i="39" s="1"/>
  <c r="K14" i="39"/>
  <c r="L14" i="39" s="1"/>
  <c r="D9" i="7"/>
  <c r="D14" i="7" s="1"/>
  <c r="K27" i="39"/>
  <c r="L27" i="39" s="1"/>
  <c r="K39" i="39"/>
  <c r="L39" i="39" s="1"/>
  <c r="G43" i="14"/>
  <c r="H43" i="14" s="1"/>
  <c r="K43" i="14" s="1"/>
  <c r="M25" i="36"/>
  <c r="M39" i="36"/>
  <c r="M44" i="36"/>
  <c r="G11" i="36"/>
  <c r="H11" i="36" s="1"/>
  <c r="L11" i="36" s="1"/>
  <c r="K27" i="40"/>
  <c r="L27" i="40" s="1"/>
  <c r="M44" i="14"/>
  <c r="G13" i="14"/>
  <c r="H13" i="14" s="1"/>
  <c r="G10" i="14"/>
  <c r="H10" i="14" s="1"/>
  <c r="L10" i="14" s="1"/>
  <c r="K39" i="40"/>
  <c r="L39" i="40" s="1"/>
  <c r="K37" i="37"/>
  <c r="L37" i="37" s="1"/>
  <c r="K42" i="40"/>
  <c r="L42" i="40" s="1"/>
  <c r="K27" i="38"/>
  <c r="L27" i="38" s="1"/>
  <c r="K38" i="40"/>
  <c r="P46" i="32"/>
  <c r="P6" i="5"/>
  <c r="P6" i="4"/>
  <c r="G45" i="36"/>
  <c r="H45" i="36" s="1"/>
  <c r="K45" i="36" s="1"/>
  <c r="G36" i="36"/>
  <c r="H36" i="36" s="1"/>
  <c r="K36" i="36" s="1"/>
  <c r="L36" i="36" s="1"/>
  <c r="G32" i="36"/>
  <c r="H32" i="36" s="1"/>
  <c r="G28" i="36"/>
  <c r="H28" i="36" s="1"/>
  <c r="G12" i="36"/>
  <c r="H12" i="36" s="1"/>
  <c r="L12" i="36" s="1"/>
  <c r="G7" i="36"/>
  <c r="H7" i="36" s="1"/>
  <c r="L7" i="36" s="1"/>
  <c r="C10" i="7"/>
  <c r="M7" i="36"/>
  <c r="M18" i="36"/>
  <c r="M9" i="36"/>
  <c r="M29" i="36"/>
  <c r="M27" i="36"/>
  <c r="G20" i="36"/>
  <c r="H20" i="36" s="1"/>
  <c r="K20" i="36" s="1"/>
  <c r="L20" i="36" s="1"/>
  <c r="G43" i="36"/>
  <c r="H43" i="36" s="1"/>
  <c r="K43" i="36" s="1"/>
  <c r="L43" i="36" s="1"/>
  <c r="G39" i="36"/>
  <c r="H39" i="36" s="1"/>
  <c r="K39" i="36" s="1"/>
  <c r="L39" i="36" s="1"/>
  <c r="G35" i="36"/>
  <c r="H35" i="36" s="1"/>
  <c r="K35" i="36" s="1"/>
  <c r="L35" i="36" s="1"/>
  <c r="G31" i="36"/>
  <c r="H31" i="36" s="1"/>
  <c r="K31" i="36" s="1"/>
  <c r="L31" i="36" s="1"/>
  <c r="G27" i="36"/>
  <c r="H27" i="36" s="1"/>
  <c r="K27" i="36" s="1"/>
  <c r="L27" i="36" s="1"/>
  <c r="G23" i="36"/>
  <c r="H23" i="36" s="1"/>
  <c r="K23" i="36" s="1"/>
  <c r="L23" i="36" s="1"/>
  <c r="G19" i="36"/>
  <c r="H19" i="36" s="1"/>
  <c r="K19" i="36" s="1"/>
  <c r="L19" i="36" s="1"/>
  <c r="G15" i="36"/>
  <c r="H15" i="36" s="1"/>
  <c r="G10" i="36"/>
  <c r="H10" i="36" s="1"/>
  <c r="L10" i="36" s="1"/>
  <c r="M31" i="36"/>
  <c r="M42" i="36"/>
  <c r="M10" i="36"/>
  <c r="M36" i="36"/>
  <c r="M13" i="36"/>
  <c r="M11" i="36"/>
  <c r="M17" i="36"/>
  <c r="M37" i="36"/>
  <c r="G24" i="36"/>
  <c r="H24" i="36" s="1"/>
  <c r="G47" i="36"/>
  <c r="H47" i="36" s="1"/>
  <c r="K47" i="36" s="1"/>
  <c r="L47" i="36" s="1"/>
  <c r="G42" i="36"/>
  <c r="H42" i="36" s="1"/>
  <c r="K42" i="36" s="1"/>
  <c r="L42" i="36" s="1"/>
  <c r="G38" i="36"/>
  <c r="H38" i="36" s="1"/>
  <c r="K38" i="36" s="1"/>
  <c r="G34" i="36"/>
  <c r="H34" i="36" s="1"/>
  <c r="K34" i="36" s="1"/>
  <c r="L34" i="36" s="1"/>
  <c r="G30" i="36"/>
  <c r="H30" i="36" s="1"/>
  <c r="K30" i="36" s="1"/>
  <c r="L30" i="36" s="1"/>
  <c r="G26" i="36"/>
  <c r="H26" i="36" s="1"/>
  <c r="K26" i="36" s="1"/>
  <c r="L26" i="36" s="1"/>
  <c r="G18" i="36"/>
  <c r="H18" i="36" s="1"/>
  <c r="G14" i="36"/>
  <c r="H14" i="36" s="1"/>
  <c r="K14" i="36" s="1"/>
  <c r="L14" i="36" s="1"/>
  <c r="G9" i="36"/>
  <c r="H9" i="36" s="1"/>
  <c r="L9" i="36" s="1"/>
  <c r="M23" i="36"/>
  <c r="M34" i="36"/>
  <c r="M41" i="36"/>
  <c r="M20" i="36"/>
  <c r="M32" i="36"/>
  <c r="G6" i="36"/>
  <c r="H6" i="36" s="1"/>
  <c r="L6" i="36" s="1"/>
  <c r="F14" i="7"/>
  <c r="K42" i="39"/>
  <c r="L42" i="39" s="1"/>
  <c r="K36" i="39"/>
  <c r="L36" i="39" s="1"/>
  <c r="K34" i="39"/>
  <c r="L34" i="39" s="1"/>
  <c r="K37" i="39"/>
  <c r="L37" i="39" s="1"/>
  <c r="K38" i="39"/>
  <c r="K31" i="40"/>
  <c r="L31" i="40" s="1"/>
  <c r="K36" i="40"/>
  <c r="L36" i="40" s="1"/>
  <c r="K43" i="40"/>
  <c r="L43" i="40" s="1"/>
  <c r="K16" i="39"/>
  <c r="L16" i="39" s="1"/>
  <c r="K17" i="39"/>
  <c r="L17" i="39" s="1"/>
  <c r="K43" i="39"/>
  <c r="L43" i="39" s="1"/>
  <c r="K29" i="39"/>
  <c r="L29" i="39" s="1"/>
  <c r="K26" i="39"/>
  <c r="L26" i="39" s="1"/>
  <c r="J21" i="38"/>
  <c r="J21" i="40"/>
  <c r="K21" i="40" s="1"/>
  <c r="J21" i="14"/>
  <c r="J21" i="36"/>
  <c r="J21" i="37"/>
  <c r="J21" i="39"/>
  <c r="K21" i="39" s="1"/>
  <c r="L21" i="39" s="1"/>
  <c r="R38" i="26"/>
  <c r="T38" i="26" s="1"/>
  <c r="J13" i="38"/>
  <c r="J13" i="39"/>
  <c r="K13" i="39" s="1"/>
  <c r="L13" i="39" s="1"/>
  <c r="J13" i="40"/>
  <c r="K13" i="40" s="1"/>
  <c r="L13" i="40" s="1"/>
  <c r="J13" i="37"/>
  <c r="J13" i="14"/>
  <c r="J13" i="36"/>
  <c r="J18" i="39"/>
  <c r="K18" i="39" s="1"/>
  <c r="L18" i="39" s="1"/>
  <c r="J18" i="37"/>
  <c r="J18" i="40"/>
  <c r="K18" i="40" s="1"/>
  <c r="L18" i="40" s="1"/>
  <c r="J18" i="38"/>
  <c r="J18" i="14"/>
  <c r="J18" i="36"/>
  <c r="J41" i="38"/>
  <c r="J41" i="40"/>
  <c r="K41" i="40" s="1"/>
  <c r="L41" i="40" s="1"/>
  <c r="J41" i="14"/>
  <c r="J41" i="37"/>
  <c r="J41" i="39"/>
  <c r="K41" i="39" s="1"/>
  <c r="L41" i="39" s="1"/>
  <c r="J41" i="36"/>
  <c r="J25" i="38"/>
  <c r="J25" i="36"/>
  <c r="J25" i="40"/>
  <c r="K25" i="40" s="1"/>
  <c r="L25" i="40" s="1"/>
  <c r="J25" i="37"/>
  <c r="J25" i="14"/>
  <c r="J25" i="39"/>
  <c r="K25" i="39" s="1"/>
  <c r="L25" i="39" s="1"/>
  <c r="N16" i="8"/>
  <c r="G8" i="6"/>
  <c r="G73" i="26"/>
  <c r="M47" i="36"/>
  <c r="M45" i="36"/>
  <c r="M35" i="36"/>
  <c r="M14" i="36"/>
  <c r="M21" i="36"/>
  <c r="M43" i="36"/>
  <c r="M33" i="36"/>
  <c r="M24" i="36"/>
  <c r="M12" i="36"/>
  <c r="K23" i="39"/>
  <c r="L23" i="39" s="1"/>
  <c r="J15" i="37"/>
  <c r="J15" i="14"/>
  <c r="J15" i="36"/>
  <c r="J15" i="39"/>
  <c r="K15" i="39" s="1"/>
  <c r="J15" i="40"/>
  <c r="K15" i="40" s="1"/>
  <c r="L15" i="40" s="1"/>
  <c r="J15" i="38"/>
  <c r="S38" i="26"/>
  <c r="F9" i="32"/>
  <c r="R53" i="26"/>
  <c r="R80" i="26" s="1"/>
  <c r="J32" i="38"/>
  <c r="J32" i="40"/>
  <c r="K32" i="40" s="1"/>
  <c r="L32" i="40" s="1"/>
  <c r="J32" i="39"/>
  <c r="K32" i="39" s="1"/>
  <c r="L32" i="39" s="1"/>
  <c r="J32" i="14"/>
  <c r="J32" i="36"/>
  <c r="J32" i="37"/>
  <c r="J24" i="40"/>
  <c r="K24" i="40" s="1"/>
  <c r="L24" i="40" s="1"/>
  <c r="J24" i="39"/>
  <c r="J24" i="38"/>
  <c r="J24" i="14"/>
  <c r="J24" i="36"/>
  <c r="J24" i="37"/>
  <c r="J46" i="38"/>
  <c r="J46" i="40"/>
  <c r="K46" i="40" s="1"/>
  <c r="L46" i="40" s="1"/>
  <c r="J46" i="39"/>
  <c r="K46" i="39" s="1"/>
  <c r="L46" i="39" s="1"/>
  <c r="J46" i="14"/>
  <c r="J46" i="36"/>
  <c r="J46" i="37"/>
  <c r="M40" i="36"/>
  <c r="M30" i="36"/>
  <c r="M22" i="36"/>
  <c r="M8" i="36"/>
  <c r="J28" i="40"/>
  <c r="K28" i="40" s="1"/>
  <c r="L28" i="40" s="1"/>
  <c r="J28" i="38"/>
  <c r="J28" i="14"/>
  <c r="J28" i="36"/>
  <c r="J28" i="37"/>
  <c r="J28" i="39"/>
  <c r="K28" i="39" s="1"/>
  <c r="L28" i="39" s="1"/>
  <c r="N19" i="8"/>
  <c r="M38" i="36"/>
  <c r="M28" i="36"/>
  <c r="M19" i="36"/>
  <c r="M6" i="36"/>
  <c r="I94" i="28"/>
  <c r="H66" i="32"/>
  <c r="H46" i="32"/>
  <c r="G47" i="14"/>
  <c r="H47" i="14" s="1"/>
  <c r="K47" i="14" s="1"/>
  <c r="L47" i="14" s="1"/>
  <c r="G45" i="14"/>
  <c r="H45" i="14" s="1"/>
  <c r="K45" i="14" s="1"/>
  <c r="L45" i="14" s="1"/>
  <c r="G42" i="14"/>
  <c r="H42" i="14" s="1"/>
  <c r="K42" i="14" s="1"/>
  <c r="L42" i="14" s="1"/>
  <c r="G38" i="14"/>
  <c r="H38" i="14" s="1"/>
  <c r="G36" i="14"/>
  <c r="H36" i="14" s="1"/>
  <c r="K36" i="14" s="1"/>
  <c r="L36" i="14" s="1"/>
  <c r="G34" i="14"/>
  <c r="H34" i="14" s="1"/>
  <c r="K34" i="14" s="1"/>
  <c r="L34" i="14" s="1"/>
  <c r="G32" i="14"/>
  <c r="H32" i="14" s="1"/>
  <c r="G8" i="14"/>
  <c r="H8" i="14" s="1"/>
  <c r="L8" i="14" s="1"/>
  <c r="G46" i="14"/>
  <c r="H46" i="14" s="1"/>
  <c r="G41" i="14"/>
  <c r="H41" i="14" s="1"/>
  <c r="G39" i="14"/>
  <c r="H39" i="14" s="1"/>
  <c r="K39" i="14" s="1"/>
  <c r="L39" i="14" s="1"/>
  <c r="G37" i="14"/>
  <c r="H37" i="14" s="1"/>
  <c r="K37" i="14" s="1"/>
  <c r="L37" i="14" s="1"/>
  <c r="G35" i="14"/>
  <c r="H35" i="14" s="1"/>
  <c r="K35" i="14" s="1"/>
  <c r="L35" i="14" s="1"/>
  <c r="G33" i="14"/>
  <c r="H33" i="14" s="1"/>
  <c r="K33" i="14" s="1"/>
  <c r="L33" i="14" s="1"/>
  <c r="G31" i="14"/>
  <c r="H31" i="14" s="1"/>
  <c r="K31" i="14" s="1"/>
  <c r="L31" i="14" s="1"/>
  <c r="G7" i="14"/>
  <c r="H7" i="14" s="1"/>
  <c r="L7" i="14" s="1"/>
  <c r="G26" i="14"/>
  <c r="H26" i="14" s="1"/>
  <c r="K26" i="14" s="1"/>
  <c r="L26" i="14" s="1"/>
  <c r="G24" i="14"/>
  <c r="H24" i="14" s="1"/>
  <c r="G20" i="14"/>
  <c r="H20" i="14" s="1"/>
  <c r="K20" i="14" s="1"/>
  <c r="L20" i="14" s="1"/>
  <c r="G18" i="14"/>
  <c r="H18" i="14" s="1"/>
  <c r="G14" i="14"/>
  <c r="H14" i="14" s="1"/>
  <c r="K14" i="14" s="1"/>
  <c r="L14" i="14" s="1"/>
  <c r="G12" i="14"/>
  <c r="H12" i="14" s="1"/>
  <c r="L12" i="14" s="1"/>
  <c r="G29" i="14"/>
  <c r="H29" i="14" s="1"/>
  <c r="G25" i="14"/>
  <c r="H25" i="14" s="1"/>
  <c r="G23" i="14"/>
  <c r="H23" i="14" s="1"/>
  <c r="K23" i="14" s="1"/>
  <c r="L23" i="14" s="1"/>
  <c r="G17" i="14"/>
  <c r="H17" i="14" s="1"/>
  <c r="K17" i="14" s="1"/>
  <c r="L17" i="14" s="1"/>
  <c r="G11" i="14"/>
  <c r="H11" i="14" s="1"/>
  <c r="L11" i="14" s="1"/>
  <c r="G9" i="14"/>
  <c r="H9" i="14" s="1"/>
  <c r="L9" i="14" s="1"/>
  <c r="C8" i="7"/>
  <c r="C7" i="7" s="1"/>
  <c r="M40" i="14"/>
  <c r="M24" i="14"/>
  <c r="M8" i="14"/>
  <c r="M35" i="14"/>
  <c r="M19" i="14"/>
  <c r="M47" i="14"/>
  <c r="M30" i="14"/>
  <c r="M14" i="14"/>
  <c r="M41" i="14"/>
  <c r="M25" i="14"/>
  <c r="M9" i="14"/>
  <c r="M29" i="14"/>
  <c r="M36" i="14"/>
  <c r="M20" i="14"/>
  <c r="M39" i="14"/>
  <c r="M23" i="14"/>
  <c r="M7" i="14"/>
  <c r="M34" i="14"/>
  <c r="M10" i="14"/>
  <c r="M37" i="14"/>
  <c r="M32" i="14"/>
  <c r="M16" i="14"/>
  <c r="M43" i="14"/>
  <c r="M27" i="14"/>
  <c r="M11" i="14"/>
  <c r="M38" i="14"/>
  <c r="M22" i="14"/>
  <c r="M6" i="14"/>
  <c r="M33" i="14"/>
  <c r="M17" i="14"/>
  <c r="M18" i="14"/>
  <c r="M13" i="14"/>
  <c r="M45" i="14"/>
  <c r="M12" i="14"/>
  <c r="M31" i="14"/>
  <c r="M15" i="14"/>
  <c r="M42" i="14"/>
  <c r="M26" i="14"/>
  <c r="M46" i="14"/>
  <c r="M21" i="14"/>
  <c r="G6" i="14"/>
  <c r="S53" i="26"/>
  <c r="N71" i="32"/>
  <c r="I50" i="32"/>
  <c r="H10" i="32"/>
  <c r="H138" i="28"/>
  <c r="I146" i="1"/>
  <c r="I48" i="32"/>
  <c r="N49" i="32"/>
  <c r="I28" i="32"/>
  <c r="I26" i="32" s="1"/>
  <c r="H26" i="32"/>
  <c r="N29" i="32"/>
  <c r="H8" i="32"/>
  <c r="H142" i="28" s="1"/>
  <c r="K29" i="40"/>
  <c r="L29" i="40" s="1"/>
  <c r="K17" i="40"/>
  <c r="L17" i="40" s="1"/>
  <c r="K34" i="40"/>
  <c r="L34" i="40" s="1"/>
  <c r="J23" i="26"/>
  <c r="J72" i="26" s="1"/>
  <c r="J76" i="26"/>
  <c r="J73" i="26" s="1"/>
  <c r="J96" i="26" s="1"/>
  <c r="J9" i="32"/>
  <c r="K6" i="5"/>
  <c r="T39" i="26"/>
  <c r="H158" i="1"/>
  <c r="G150" i="28"/>
  <c r="K6" i="4"/>
  <c r="I66" i="1"/>
  <c r="I64" i="1" s="1"/>
  <c r="H66" i="28"/>
  <c r="H64" i="28" s="1"/>
  <c r="I66" i="28"/>
  <c r="J66" i="1"/>
  <c r="H136" i="28"/>
  <c r="H6" i="5"/>
  <c r="I8" i="5"/>
  <c r="I6" i="5" s="1"/>
  <c r="I144" i="1"/>
  <c r="K30" i="40"/>
  <c r="L30" i="40" s="1"/>
  <c r="N6" i="8"/>
  <c r="K20" i="40"/>
  <c r="L20" i="40" s="1"/>
  <c r="K23" i="40"/>
  <c r="L23" i="40" s="1"/>
  <c r="F76" i="26"/>
  <c r="F73" i="26" s="1"/>
  <c r="F96" i="26" s="1"/>
  <c r="F23" i="26"/>
  <c r="F72" i="26" s="1"/>
  <c r="I99" i="26"/>
  <c r="I102" i="26"/>
  <c r="I105" i="26" s="1"/>
  <c r="P16" i="26"/>
  <c r="S81" i="26"/>
  <c r="H10" i="39"/>
  <c r="L11" i="26"/>
  <c r="L16" i="26" s="1"/>
  <c r="K16" i="26"/>
  <c r="K35" i="39"/>
  <c r="L35" i="39" s="1"/>
  <c r="K35" i="40"/>
  <c r="L35" i="40" s="1"/>
  <c r="K33" i="39"/>
  <c r="L33" i="39" s="1"/>
  <c r="K33" i="40"/>
  <c r="L33" i="40" s="1"/>
  <c r="K14" i="40"/>
  <c r="L14" i="40" s="1"/>
  <c r="N12" i="8"/>
  <c r="H16" i="26"/>
  <c r="R16" i="26"/>
  <c r="S83" i="26"/>
  <c r="I106" i="26" l="1"/>
  <c r="Q96" i="26"/>
  <c r="Q99" i="26" s="1"/>
  <c r="H101" i="26"/>
  <c r="S101" i="26" s="1"/>
  <c r="G96" i="26"/>
  <c r="G102" i="26" s="1"/>
  <c r="G105" i="26" s="1"/>
  <c r="G106" i="26" s="1"/>
  <c r="O96" i="26"/>
  <c r="O99" i="26" s="1"/>
  <c r="K24" i="39"/>
  <c r="L24" i="39" s="1"/>
  <c r="G49" i="39"/>
  <c r="H48" i="39"/>
  <c r="K13" i="37"/>
  <c r="L13" i="37" s="1"/>
  <c r="H19" i="14"/>
  <c r="K19" i="14" s="1"/>
  <c r="L19" i="14" s="1"/>
  <c r="K29" i="14"/>
  <c r="L29" i="14" s="1"/>
  <c r="I66" i="32"/>
  <c r="J64" i="1"/>
  <c r="K32" i="37"/>
  <c r="L32" i="37" s="1"/>
  <c r="H48" i="37"/>
  <c r="G12" i="7" s="1"/>
  <c r="E17" i="26" s="1"/>
  <c r="N17" i="26" s="1"/>
  <c r="O17" i="26" s="1"/>
  <c r="K25" i="37"/>
  <c r="L25" i="37" s="1"/>
  <c r="G49" i="37"/>
  <c r="K46" i="37"/>
  <c r="L46" i="37" s="1"/>
  <c r="K41" i="37"/>
  <c r="L41" i="37" s="1"/>
  <c r="K18" i="37"/>
  <c r="L18" i="37" s="1"/>
  <c r="K21" i="37"/>
  <c r="L21" i="37" s="1"/>
  <c r="K24" i="37"/>
  <c r="L24" i="37" s="1"/>
  <c r="K15" i="37"/>
  <c r="L15" i="37" s="1"/>
  <c r="K24" i="38"/>
  <c r="L24" i="38" s="1"/>
  <c r="K32" i="38"/>
  <c r="L32" i="38" s="1"/>
  <c r="K41" i="38"/>
  <c r="L41" i="38" s="1"/>
  <c r="K21" i="38"/>
  <c r="L21" i="38" s="1"/>
  <c r="K28" i="38"/>
  <c r="L28" i="38" s="1"/>
  <c r="K46" i="38"/>
  <c r="L46" i="38" s="1"/>
  <c r="O27" i="26"/>
  <c r="O28" i="26" s="1"/>
  <c r="O29" i="26" s="1"/>
  <c r="R81" i="26"/>
  <c r="R83" i="26" s="1"/>
  <c r="T83" i="26" s="1"/>
  <c r="N28" i="26"/>
  <c r="N29" i="26" s="1"/>
  <c r="S80" i="26"/>
  <c r="S77" i="26"/>
  <c r="T53" i="26"/>
  <c r="L51" i="32"/>
  <c r="Q51" i="32" s="1"/>
  <c r="R51" i="32"/>
  <c r="R46" i="32" s="1"/>
  <c r="L49" i="32"/>
  <c r="L71" i="32"/>
  <c r="Q71" i="32" s="1"/>
  <c r="R71" i="32"/>
  <c r="R66" i="32" s="1"/>
  <c r="L69" i="32"/>
  <c r="Q69" i="32" s="1"/>
  <c r="T69" i="32" s="1"/>
  <c r="S66" i="32"/>
  <c r="L31" i="32"/>
  <c r="Q31" i="32" s="1"/>
  <c r="M11" i="32"/>
  <c r="R31" i="32"/>
  <c r="M26" i="32"/>
  <c r="R9" i="32"/>
  <c r="K28" i="37"/>
  <c r="L28" i="37" s="1"/>
  <c r="C9" i="7"/>
  <c r="C14" i="7" s="1"/>
  <c r="K15" i="38"/>
  <c r="L15" i="38" s="1"/>
  <c r="G49" i="38"/>
  <c r="K25" i="38"/>
  <c r="L25" i="38" s="1"/>
  <c r="K18" i="38"/>
  <c r="L18" i="38" s="1"/>
  <c r="K13" i="38"/>
  <c r="L13" i="38" s="1"/>
  <c r="K41" i="36"/>
  <c r="L41" i="36" s="1"/>
  <c r="K46" i="36"/>
  <c r="L46" i="36" s="1"/>
  <c r="K13" i="36"/>
  <c r="L13" i="36" s="1"/>
  <c r="K21" i="36"/>
  <c r="L21" i="36" s="1"/>
  <c r="K25" i="36"/>
  <c r="L25" i="36" s="1"/>
  <c r="K24" i="36"/>
  <c r="L24" i="36" s="1"/>
  <c r="K28" i="36"/>
  <c r="L28" i="36" s="1"/>
  <c r="K18" i="36"/>
  <c r="L18" i="36" s="1"/>
  <c r="L38" i="38"/>
  <c r="K53" i="38"/>
  <c r="L38" i="39"/>
  <c r="K53" i="39"/>
  <c r="P29" i="32"/>
  <c r="L29" i="32"/>
  <c r="Q29" i="32" s="1"/>
  <c r="K54" i="39"/>
  <c r="L45" i="37"/>
  <c r="L38" i="40"/>
  <c r="K53" i="40"/>
  <c r="K32" i="14"/>
  <c r="L32" i="14" s="1"/>
  <c r="K54" i="40"/>
  <c r="L45" i="38"/>
  <c r="L43" i="14"/>
  <c r="K44" i="36"/>
  <c r="L44" i="36" s="1"/>
  <c r="K15" i="36"/>
  <c r="L15" i="36" s="1"/>
  <c r="L45" i="36"/>
  <c r="L38" i="36"/>
  <c r="K15" i="14"/>
  <c r="L15" i="14" s="1"/>
  <c r="L44" i="14"/>
  <c r="K25" i="14"/>
  <c r="L25" i="14" s="1"/>
  <c r="K46" i="14"/>
  <c r="L46" i="14" s="1"/>
  <c r="N66" i="32"/>
  <c r="P71" i="32"/>
  <c r="N11" i="32"/>
  <c r="S11" i="32"/>
  <c r="I64" i="28"/>
  <c r="P26" i="32"/>
  <c r="P9" i="32"/>
  <c r="N26" i="32"/>
  <c r="S29" i="32"/>
  <c r="G49" i="36"/>
  <c r="K32" i="36"/>
  <c r="L32" i="36" s="1"/>
  <c r="H48" i="36"/>
  <c r="G10" i="7" s="1"/>
  <c r="E21" i="26" s="1"/>
  <c r="K53" i="37"/>
  <c r="K21" i="14"/>
  <c r="K13" i="14"/>
  <c r="G99" i="26"/>
  <c r="K51" i="39"/>
  <c r="H8" i="6"/>
  <c r="H156" i="1"/>
  <c r="G148" i="28"/>
  <c r="K41" i="14"/>
  <c r="L41" i="14" s="1"/>
  <c r="K28" i="14"/>
  <c r="L28" i="14" s="1"/>
  <c r="K18" i="14"/>
  <c r="L18" i="14" s="1"/>
  <c r="K24" i="14"/>
  <c r="L24" i="14" s="1"/>
  <c r="I46" i="32"/>
  <c r="N46" i="32"/>
  <c r="I8" i="32"/>
  <c r="I142" i="28" s="1"/>
  <c r="K11" i="32"/>
  <c r="N9" i="32"/>
  <c r="S11" i="26"/>
  <c r="K38" i="14"/>
  <c r="G49" i="14"/>
  <c r="H6" i="14"/>
  <c r="K22" i="14"/>
  <c r="L22" i="14" s="1"/>
  <c r="I150" i="1"/>
  <c r="H144" i="28"/>
  <c r="H140" i="28" s="1"/>
  <c r="I152" i="1"/>
  <c r="I10" i="32"/>
  <c r="H6" i="32"/>
  <c r="I148" i="1" s="1"/>
  <c r="J146" i="1"/>
  <c r="I138" i="28"/>
  <c r="K9" i="32"/>
  <c r="K52" i="39"/>
  <c r="L21" i="40"/>
  <c r="L48" i="40" s="1"/>
  <c r="I6" i="7" s="1"/>
  <c r="K52" i="40"/>
  <c r="K51" i="40"/>
  <c r="J99" i="26"/>
  <c r="J102" i="26"/>
  <c r="J105" i="26" s="1"/>
  <c r="J106" i="26" s="1"/>
  <c r="J6" i="32"/>
  <c r="J144" i="1"/>
  <c r="I136" i="28"/>
  <c r="I142" i="1"/>
  <c r="H134" i="28"/>
  <c r="L15" i="39"/>
  <c r="K48" i="39"/>
  <c r="H76" i="26"/>
  <c r="H23" i="26"/>
  <c r="H72" i="26" s="1"/>
  <c r="S16" i="26"/>
  <c r="L76" i="26"/>
  <c r="L73" i="26" s="1"/>
  <c r="L96" i="26" s="1"/>
  <c r="L23" i="26"/>
  <c r="L72" i="26" s="1"/>
  <c r="T80" i="26"/>
  <c r="R77" i="26"/>
  <c r="F102" i="26"/>
  <c r="F105" i="26" s="1"/>
  <c r="F106" i="26" s="1"/>
  <c r="F99" i="26"/>
  <c r="R27" i="26"/>
  <c r="Q28" i="26"/>
  <c r="Q29" i="26" s="1"/>
  <c r="T16" i="26"/>
  <c r="R76" i="26"/>
  <c r="K48" i="40"/>
  <c r="H6" i="7" s="1"/>
  <c r="K76" i="26"/>
  <c r="K73" i="26" s="1"/>
  <c r="K96" i="26" s="1"/>
  <c r="K23" i="26"/>
  <c r="K72" i="26" s="1"/>
  <c r="L10" i="39"/>
  <c r="G13" i="7"/>
  <c r="L6" i="38"/>
  <c r="H48" i="38"/>
  <c r="G11" i="7" s="1"/>
  <c r="P23" i="26"/>
  <c r="P72" i="26" s="1"/>
  <c r="P76" i="26"/>
  <c r="P73" i="26" s="1"/>
  <c r="P96" i="26" s="1"/>
  <c r="M6" i="32" l="1"/>
  <c r="H48" i="14"/>
  <c r="K52" i="37"/>
  <c r="K54" i="37"/>
  <c r="T71" i="32"/>
  <c r="T66" i="32" s="1"/>
  <c r="K54" i="14"/>
  <c r="K53" i="14"/>
  <c r="L21" i="14"/>
  <c r="K52" i="14"/>
  <c r="L13" i="14"/>
  <c r="K51" i="14"/>
  <c r="K53" i="36"/>
  <c r="Q11" i="32"/>
  <c r="T77" i="26"/>
  <c r="Q17" i="26"/>
  <c r="R17" i="26" s="1"/>
  <c r="T17" i="26" s="1"/>
  <c r="K54" i="38"/>
  <c r="K48" i="37"/>
  <c r="H12" i="7" s="1"/>
  <c r="K51" i="37"/>
  <c r="K52" i="38"/>
  <c r="T81" i="26"/>
  <c r="R11" i="32"/>
  <c r="T51" i="32"/>
  <c r="I8" i="6"/>
  <c r="I148" i="28" s="1"/>
  <c r="M9" i="6"/>
  <c r="R9" i="6" s="1"/>
  <c r="R26" i="32"/>
  <c r="R6" i="32" s="1"/>
  <c r="T31" i="32"/>
  <c r="L48" i="37"/>
  <c r="I12" i="7" s="1"/>
  <c r="K48" i="38"/>
  <c r="H11" i="7" s="1"/>
  <c r="K51" i="38"/>
  <c r="K51" i="36"/>
  <c r="K54" i="36"/>
  <c r="K48" i="36"/>
  <c r="H10" i="7" s="1"/>
  <c r="K52" i="36"/>
  <c r="K6" i="32"/>
  <c r="N6" i="32"/>
  <c r="J150" i="1"/>
  <c r="P66" i="32"/>
  <c r="P6" i="32" s="1"/>
  <c r="P11" i="32"/>
  <c r="Q66" i="32"/>
  <c r="L66" i="32"/>
  <c r="L11" i="32"/>
  <c r="L46" i="32"/>
  <c r="Q49" i="32"/>
  <c r="S9" i="32"/>
  <c r="S26" i="32"/>
  <c r="S6" i="32" s="1"/>
  <c r="L26" i="32"/>
  <c r="I6" i="32"/>
  <c r="J148" i="1" s="1"/>
  <c r="L48" i="39"/>
  <c r="I13" i="7" s="1"/>
  <c r="L48" i="36"/>
  <c r="I10" i="7" s="1"/>
  <c r="K48" i="14"/>
  <c r="H8" i="7" s="1"/>
  <c r="H7" i="7" s="1"/>
  <c r="K55" i="39"/>
  <c r="K56" i="39" s="1"/>
  <c r="P9" i="6"/>
  <c r="H148" i="28"/>
  <c r="I156" i="1"/>
  <c r="L38" i="14"/>
  <c r="L6" i="14"/>
  <c r="G8" i="7"/>
  <c r="G7" i="7" s="1"/>
  <c r="E19" i="26" s="1"/>
  <c r="I144" i="28"/>
  <c r="I140" i="28" s="1"/>
  <c r="J152" i="1"/>
  <c r="L9" i="32"/>
  <c r="L48" i="38"/>
  <c r="I11" i="7" s="1"/>
  <c r="K55" i="40"/>
  <c r="K56" i="40" s="1"/>
  <c r="H13" i="7"/>
  <c r="J142" i="1"/>
  <c r="I134" i="28"/>
  <c r="E20" i="26"/>
  <c r="T76" i="26"/>
  <c r="R73" i="26"/>
  <c r="R96" i="26" s="1"/>
  <c r="R28" i="26"/>
  <c r="T27" i="26"/>
  <c r="S23" i="26"/>
  <c r="P102" i="26"/>
  <c r="P105" i="26" s="1"/>
  <c r="P106" i="26" s="1"/>
  <c r="P99" i="26"/>
  <c r="E18" i="26"/>
  <c r="G9" i="7"/>
  <c r="K102" i="26"/>
  <c r="K105" i="26" s="1"/>
  <c r="K106" i="26" s="1"/>
  <c r="K99" i="26"/>
  <c r="L102" i="26"/>
  <c r="L105" i="26" s="1"/>
  <c r="L106" i="26" s="1"/>
  <c r="L99" i="26"/>
  <c r="H73" i="26"/>
  <c r="H96" i="26" s="1"/>
  <c r="S76" i="26"/>
  <c r="J156" i="1" l="1"/>
  <c r="K55" i="37"/>
  <c r="K56" i="37" s="1"/>
  <c r="L15" i="6"/>
  <c r="Q15" i="6" s="1"/>
  <c r="K15" i="6"/>
  <c r="J43" i="6"/>
  <c r="K55" i="14"/>
  <c r="K56" i="14" s="1"/>
  <c r="J11" i="7"/>
  <c r="J12" i="7"/>
  <c r="K55" i="38"/>
  <c r="K56" i="38" s="1"/>
  <c r="T11" i="32"/>
  <c r="K55" i="36"/>
  <c r="K56" i="36" s="1"/>
  <c r="N15" i="6"/>
  <c r="S15" i="6" s="1"/>
  <c r="N43" i="6"/>
  <c r="K43" i="6"/>
  <c r="L6" i="32"/>
  <c r="Q46" i="32"/>
  <c r="T49" i="32"/>
  <c r="T46" i="32" s="1"/>
  <c r="Q9" i="32"/>
  <c r="Q26" i="32"/>
  <c r="T29" i="32"/>
  <c r="J13" i="7"/>
  <c r="L43" i="6"/>
  <c r="I9" i="7"/>
  <c r="G14" i="7"/>
  <c r="G14" i="6" s="1"/>
  <c r="G6" i="6" s="1"/>
  <c r="L48" i="14"/>
  <c r="I8" i="7" s="1"/>
  <c r="I7" i="7" s="1"/>
  <c r="J7" i="7" s="1"/>
  <c r="J10" i="7"/>
  <c r="H9" i="7"/>
  <c r="H14" i="7" s="1"/>
  <c r="H14" i="6" s="1"/>
  <c r="N19" i="26"/>
  <c r="N21" i="26"/>
  <c r="S72" i="26"/>
  <c r="R29" i="26"/>
  <c r="T29" i="26" s="1"/>
  <c r="T28" i="26"/>
  <c r="S73" i="26"/>
  <c r="N18" i="26"/>
  <c r="E22" i="26"/>
  <c r="T73" i="26"/>
  <c r="N20" i="26"/>
  <c r="K6" i="6" l="1"/>
  <c r="P6" i="6"/>
  <c r="Q6" i="32"/>
  <c r="T26" i="32"/>
  <c r="T6" i="32" s="1"/>
  <c r="T9" i="32"/>
  <c r="J9" i="7"/>
  <c r="I14" i="7"/>
  <c r="I14" i="6" s="1"/>
  <c r="J168" i="1" s="1"/>
  <c r="J8" i="7"/>
  <c r="I168" i="1"/>
  <c r="H160" i="28"/>
  <c r="E23" i="26"/>
  <c r="E72" i="26" s="1"/>
  <c r="E100" i="26"/>
  <c r="Q18" i="26"/>
  <c r="O18" i="26"/>
  <c r="N22" i="26"/>
  <c r="H168" i="1"/>
  <c r="G160" i="28"/>
  <c r="H99" i="26"/>
  <c r="S99" i="26" s="1"/>
  <c r="H102" i="26"/>
  <c r="S96" i="26"/>
  <c r="Q20" i="26"/>
  <c r="R20" i="26" s="1"/>
  <c r="T20" i="26" s="1"/>
  <c r="O20" i="26"/>
  <c r="R99" i="26"/>
  <c r="T99" i="26" s="1"/>
  <c r="T96" i="26"/>
  <c r="O21" i="26"/>
  <c r="Q21" i="26"/>
  <c r="R21" i="26" s="1"/>
  <c r="T21" i="26" s="1"/>
  <c r="Q19" i="26"/>
  <c r="R19" i="26" s="1"/>
  <c r="T19" i="26" s="1"/>
  <c r="O19" i="26"/>
  <c r="L172" i="1" l="1"/>
  <c r="T15" i="6"/>
  <c r="I160" i="28"/>
  <c r="J14" i="7"/>
  <c r="H154" i="1"/>
  <c r="H170" i="1" s="1"/>
  <c r="G146" i="28"/>
  <c r="G162" i="28" s="1"/>
  <c r="O22" i="26"/>
  <c r="E101" i="26"/>
  <c r="H105" i="26"/>
  <c r="H106" i="26" s="1"/>
  <c r="S102" i="26"/>
  <c r="N23" i="26"/>
  <c r="N72" i="26" s="1"/>
  <c r="N100" i="26"/>
  <c r="N101" i="26" s="1"/>
  <c r="N102" i="26" s="1"/>
  <c r="N105" i="26" s="1"/>
  <c r="R18" i="26"/>
  <c r="Q22" i="26"/>
  <c r="O23" i="26" l="1"/>
  <c r="O72" i="26" s="1"/>
  <c r="O100" i="26"/>
  <c r="O101" i="26" s="1"/>
  <c r="O102" i="26" s="1"/>
  <c r="O105" i="26" s="1"/>
  <c r="Q23" i="26"/>
  <c r="Q72" i="26" s="1"/>
  <c r="Q100" i="26"/>
  <c r="Q101" i="26" s="1"/>
  <c r="Q102" i="26" s="1"/>
  <c r="Q105" i="26" s="1"/>
  <c r="R22" i="26"/>
  <c r="T18" i="26"/>
  <c r="N106" i="26"/>
  <c r="S105" i="26"/>
  <c r="S106" i="26"/>
  <c r="E102" i="26"/>
  <c r="E105" i="26" l="1"/>
  <c r="R100" i="26"/>
  <c r="R23" i="26"/>
  <c r="R72" i="26" s="1"/>
  <c r="T22" i="26"/>
  <c r="Q106" i="26"/>
  <c r="O106" i="26"/>
  <c r="T23" i="26" l="1"/>
  <c r="R101" i="26"/>
  <c r="T100" i="26"/>
  <c r="E106" i="26"/>
  <c r="R102" i="26" l="1"/>
  <c r="T101" i="26"/>
  <c r="T72" i="26"/>
  <c r="R105" i="26" l="1"/>
  <c r="T102" i="26"/>
  <c r="T105" i="26" l="1"/>
  <c r="R106" i="26"/>
  <c r="T106" i="26" s="1"/>
  <c r="K172" i="1" l="1"/>
  <c r="I24" i="17" l="1"/>
  <c r="H28" i="17" l="1"/>
  <c r="H30" i="17"/>
  <c r="H14" i="17"/>
  <c r="H26" i="17"/>
  <c r="H16" i="17"/>
  <c r="H38" i="17"/>
  <c r="M39" i="17" s="1"/>
  <c r="H22" i="17"/>
  <c r="M23" i="17" s="1"/>
  <c r="M15" i="17" l="1"/>
  <c r="M17" i="17"/>
  <c r="N15" i="17"/>
  <c r="N39" i="17"/>
  <c r="M33" i="17"/>
  <c r="N23" i="17"/>
  <c r="N17" i="17"/>
  <c r="N31" i="17"/>
  <c r="N27" i="17"/>
  <c r="N29" i="17"/>
  <c r="I38" i="17"/>
  <c r="I26" i="17"/>
  <c r="I28" i="17"/>
  <c r="I22" i="17"/>
  <c r="H32" i="17"/>
  <c r="I32" i="17" s="1"/>
  <c r="I16" i="17"/>
  <c r="I14" i="17"/>
  <c r="I30" i="17"/>
  <c r="L39" i="17" l="1"/>
  <c r="L23" i="17"/>
  <c r="L17" i="17"/>
  <c r="L15" i="17"/>
  <c r="L27" i="17"/>
  <c r="L31" i="17"/>
  <c r="L29" i="17"/>
  <c r="N33" i="17"/>
  <c r="L33" i="17" l="1"/>
  <c r="J6" i="2" l="1"/>
  <c r="F20" i="3" l="1"/>
  <c r="F21" i="3" l="1"/>
  <c r="F36" i="17" l="1"/>
  <c r="F34" i="17"/>
  <c r="F37" i="17" l="1"/>
  <c r="H36" i="17" s="1"/>
  <c r="M37" i="17" s="1"/>
  <c r="F35" i="17"/>
  <c r="H34" i="17" s="1"/>
  <c r="L34" i="17"/>
  <c r="L36" i="17"/>
  <c r="N35" i="17" l="1"/>
  <c r="H42" i="17"/>
  <c r="M35" i="17"/>
  <c r="N37" i="17"/>
  <c r="I34" i="17"/>
  <c r="I36" i="17"/>
  <c r="I42" i="17" l="1"/>
  <c r="L37" i="17"/>
  <c r="L35" i="17"/>
  <c r="M43" i="17"/>
  <c r="N43" i="17"/>
  <c r="L43" i="17" l="1"/>
  <c r="K62" i="1" l="1"/>
  <c r="G22" i="28"/>
  <c r="H22" i="1"/>
  <c r="K6" i="27" l="1"/>
  <c r="K6" i="3" l="1"/>
  <c r="P13" i="6" l="1"/>
  <c r="P11" i="6"/>
  <c r="K6" i="2" l="1"/>
  <c r="L62" i="1" s="1"/>
  <c r="L8" i="5" l="1"/>
  <c r="N19" i="4"/>
  <c r="N8" i="5" l="1"/>
  <c r="N9" i="5" s="1"/>
  <c r="N20" i="4"/>
  <c r="S6" i="5" l="1"/>
  <c r="L9" i="5"/>
  <c r="L6" i="5" s="1"/>
  <c r="N6" i="5"/>
  <c r="S20" i="4"/>
  <c r="L20" i="4"/>
  <c r="Q20" i="4" s="1"/>
  <c r="Q9" i="5" l="1"/>
  <c r="T9" i="5" s="1"/>
  <c r="T6" i="5" s="1"/>
  <c r="T20" i="4"/>
  <c r="Q6" i="5" l="1"/>
  <c r="N38" i="4"/>
  <c r="L38" i="4" s="1"/>
  <c r="Q38" i="4" s="1"/>
  <c r="S38" i="4" l="1"/>
  <c r="S6" i="4" s="1"/>
  <c r="N6" i="4"/>
  <c r="Q6" i="4"/>
  <c r="L6" i="4"/>
  <c r="T38" i="4" l="1"/>
  <c r="T6" i="4" s="1"/>
  <c r="N9" i="6"/>
  <c r="L9" i="6" s="1"/>
  <c r="Q9" i="6" l="1"/>
  <c r="S9" i="6"/>
  <c r="T9" i="6" l="1"/>
  <c r="N37" i="29" l="1"/>
  <c r="N38" i="29" s="1"/>
  <c r="S38" i="29" s="1"/>
  <c r="S6" i="29" s="1"/>
  <c r="N6" i="29" l="1"/>
  <c r="L38" i="29"/>
  <c r="Q38" i="29" l="1"/>
  <c r="L6" i="29"/>
  <c r="T38" i="29" l="1"/>
  <c r="T6" i="29" s="1"/>
  <c r="Q6" i="29"/>
  <c r="N32" i="33" l="1"/>
  <c r="N33" i="33" s="1"/>
  <c r="N23" i="33" l="1"/>
  <c r="L33" i="33"/>
  <c r="S33" i="33"/>
  <c r="S23" i="33" s="1"/>
  <c r="S6" i="33" s="1"/>
  <c r="Q33" i="33" l="1"/>
  <c r="L23" i="33"/>
  <c r="N6" i="33"/>
  <c r="L6" i="33" l="1"/>
  <c r="Q23" i="33"/>
  <c r="Q6" i="33" s="1"/>
  <c r="T33" i="33"/>
  <c r="T23" i="33" s="1"/>
  <c r="T6" i="33" l="1"/>
  <c r="M60" i="27" l="1"/>
  <c r="M40" i="27" l="1"/>
  <c r="M12" i="27"/>
  <c r="M26" i="27"/>
  <c r="M46" i="27"/>
  <c r="M18" i="27"/>
  <c r="M54" i="27"/>
  <c r="M32" i="27"/>
  <c r="N60" i="27" l="1"/>
  <c r="N54" i="27"/>
  <c r="N32" i="27"/>
  <c r="N26" i="27"/>
  <c r="F61" i="27" l="1"/>
  <c r="F33" i="27"/>
  <c r="F55" i="27"/>
  <c r="L26" i="27"/>
  <c r="L54" i="27"/>
  <c r="L32" i="27"/>
  <c r="L60" i="27"/>
  <c r="N40" i="27"/>
  <c r="N46" i="27"/>
  <c r="L18" i="27"/>
  <c r="N12" i="27"/>
  <c r="N18" i="27"/>
  <c r="L40" i="27" l="1"/>
  <c r="L12" i="27"/>
  <c r="L46" i="27"/>
  <c r="F32" i="27"/>
  <c r="F54" i="27"/>
  <c r="F60" i="27"/>
  <c r="F26" i="27"/>
  <c r="F40" i="27"/>
  <c r="F27" i="27"/>
  <c r="F46" i="27"/>
  <c r="F18" i="27"/>
  <c r="F12" i="27"/>
  <c r="F41" i="27"/>
  <c r="F47" i="27"/>
  <c r="F19" i="27"/>
  <c r="H46" i="27" l="1"/>
  <c r="M47" i="27" s="1"/>
  <c r="H26" i="27"/>
  <c r="N27" i="27" s="1"/>
  <c r="H32" i="27"/>
  <c r="M33" i="27" s="1"/>
  <c r="H40" i="27"/>
  <c r="M41" i="27" s="1"/>
  <c r="H60" i="27"/>
  <c r="M61" i="27" s="1"/>
  <c r="H18" i="27"/>
  <c r="M19" i="27" s="1"/>
  <c r="H54" i="27"/>
  <c r="M55" i="27" s="1"/>
  <c r="F13" i="27"/>
  <c r="H12" i="27" s="1"/>
  <c r="M13" i="27" s="1"/>
  <c r="N47" i="27" l="1"/>
  <c r="L47" i="27" s="1"/>
  <c r="I38" i="1"/>
  <c r="H38" i="28" s="1"/>
  <c r="I46" i="27"/>
  <c r="J38" i="1" s="1"/>
  <c r="I38" i="28" s="1"/>
  <c r="M37" i="27"/>
  <c r="M9" i="27"/>
  <c r="M51" i="27"/>
  <c r="N13" i="27"/>
  <c r="L13" i="27" s="1"/>
  <c r="N19" i="27"/>
  <c r="L19" i="27" s="1"/>
  <c r="I18" i="27"/>
  <c r="J30" i="1" s="1"/>
  <c r="I30" i="28" s="1"/>
  <c r="I30" i="1"/>
  <c r="H30" i="28" s="1"/>
  <c r="I36" i="1"/>
  <c r="H36" i="28" s="1"/>
  <c r="I40" i="27"/>
  <c r="H36" i="27"/>
  <c r="M27" i="27"/>
  <c r="M23" i="27" s="1"/>
  <c r="I26" i="27"/>
  <c r="I32" i="1"/>
  <c r="H32" i="28" s="1"/>
  <c r="H22" i="27"/>
  <c r="I28" i="1"/>
  <c r="H8" i="27"/>
  <c r="I12" i="27"/>
  <c r="N55" i="27"/>
  <c r="L55" i="27" s="1"/>
  <c r="I54" i="27"/>
  <c r="I40" i="1"/>
  <c r="H40" i="28" s="1"/>
  <c r="H50" i="27"/>
  <c r="N61" i="27"/>
  <c r="L61" i="27" s="1"/>
  <c r="I60" i="27"/>
  <c r="J42" i="1" s="1"/>
  <c r="I42" i="28" s="1"/>
  <c r="I42" i="1"/>
  <c r="H42" i="28" s="1"/>
  <c r="N33" i="27"/>
  <c r="L33" i="27" s="1"/>
  <c r="I32" i="27"/>
  <c r="J34" i="1" s="1"/>
  <c r="I34" i="28" s="1"/>
  <c r="I34" i="1"/>
  <c r="H34" i="28" s="1"/>
  <c r="N41" i="27"/>
  <c r="N37" i="27" l="1"/>
  <c r="L27" i="27"/>
  <c r="L23" i="27" s="1"/>
  <c r="N23" i="27"/>
  <c r="L9" i="27"/>
  <c r="J32" i="1"/>
  <c r="I32" i="28" s="1"/>
  <c r="I22" i="27"/>
  <c r="J36" i="1"/>
  <c r="I36" i="28" s="1"/>
  <c r="I36" i="27"/>
  <c r="J28" i="1"/>
  <c r="I8" i="27"/>
  <c r="M6" i="27"/>
  <c r="I50" i="27"/>
  <c r="J40" i="1"/>
  <c r="I40" i="28" s="1"/>
  <c r="H6" i="27"/>
  <c r="N9" i="27"/>
  <c r="L51" i="27"/>
  <c r="N51" i="27"/>
  <c r="I26" i="1"/>
  <c r="I22" i="1" s="1"/>
  <c r="H28" i="28"/>
  <c r="H26" i="28" s="1"/>
  <c r="H22" i="28" s="1"/>
  <c r="L41" i="27"/>
  <c r="L37" i="27" s="1"/>
  <c r="J26" i="1" l="1"/>
  <c r="J22" i="1" s="1"/>
  <c r="I28" i="28"/>
  <c r="I26" i="28" s="1"/>
  <c r="I22" i="28" s="1"/>
  <c r="L6" i="27"/>
  <c r="N6" i="27"/>
  <c r="I6" i="27"/>
  <c r="G10" i="41" l="1"/>
  <c r="H10" i="41" s="1"/>
  <c r="I10" i="41" s="1"/>
  <c r="G46" i="17" l="1"/>
  <c r="H46" i="17" s="1"/>
  <c r="G20" i="17"/>
  <c r="H20" i="17" s="1"/>
  <c r="G44" i="17"/>
  <c r="I20" i="17" l="1"/>
  <c r="N21" i="17"/>
  <c r="M21" i="17"/>
  <c r="L21" i="17" s="1"/>
  <c r="I46" i="17"/>
  <c r="N47" i="17"/>
  <c r="M47" i="17"/>
  <c r="H44" i="17"/>
  <c r="G48" i="17"/>
  <c r="G6" i="17" s="1"/>
  <c r="L47" i="17" l="1"/>
  <c r="I44" i="17"/>
  <c r="I48" i="17" s="1"/>
  <c r="N45" i="17"/>
  <c r="N49" i="17" s="1"/>
  <c r="M45" i="17"/>
  <c r="M49" i="17" s="1"/>
  <c r="H48" i="17"/>
  <c r="L45" i="17" l="1"/>
  <c r="L49" i="17" s="1"/>
  <c r="G64" i="27" l="1"/>
  <c r="G65" i="27" s="1"/>
  <c r="G53" i="17" l="1"/>
  <c r="H53" i="17" s="1"/>
  <c r="G51" i="17"/>
  <c r="H51" i="17" l="1"/>
  <c r="G54" i="17"/>
  <c r="H54" i="17" s="1"/>
  <c r="G12" i="41"/>
  <c r="G52" i="17"/>
  <c r="H52" i="17" s="1"/>
  <c r="G55" i="17" l="1"/>
  <c r="H55" i="17" s="1"/>
  <c r="M14" i="2" l="1"/>
  <c r="M12" i="3"/>
  <c r="M24" i="2"/>
  <c r="M22" i="2"/>
  <c r="M20" i="2"/>
  <c r="V2" i="17" l="1"/>
  <c r="M8" i="17" l="1"/>
  <c r="M12" i="17"/>
  <c r="M10" i="17"/>
  <c r="N14" i="2" l="1"/>
  <c r="N12" i="3"/>
  <c r="F13" i="3"/>
  <c r="F15" i="2"/>
  <c r="L14" i="2"/>
  <c r="L12" i="3"/>
  <c r="F14" i="2" l="1"/>
  <c r="F12" i="3"/>
  <c r="N24" i="2"/>
  <c r="N22" i="2"/>
  <c r="N20" i="2"/>
  <c r="L22" i="2" l="1"/>
  <c r="L20" i="2"/>
  <c r="F25" i="2"/>
  <c r="H12" i="3"/>
  <c r="F23" i="2"/>
  <c r="F21" i="2"/>
  <c r="L24" i="2"/>
  <c r="F24" i="2"/>
  <c r="F22" i="2"/>
  <c r="F20" i="2"/>
  <c r="I12" i="3" l="1"/>
  <c r="N13" i="3"/>
  <c r="N6" i="3" s="1"/>
  <c r="M13" i="3"/>
  <c r="Q2" i="17"/>
  <c r="W2" i="17" l="1"/>
  <c r="U2" i="17"/>
  <c r="F10" i="17"/>
  <c r="F8" i="17"/>
  <c r="F12" i="17"/>
  <c r="R2" i="17"/>
  <c r="L13" i="3"/>
  <c r="L8" i="17" l="1"/>
  <c r="L12" i="17"/>
  <c r="L10" i="17"/>
  <c r="N8" i="17"/>
  <c r="N12" i="17"/>
  <c r="N10" i="17"/>
  <c r="F11" i="17"/>
  <c r="H10" i="17" s="1"/>
  <c r="F9" i="17"/>
  <c r="H8" i="17" s="1"/>
  <c r="F13" i="17"/>
  <c r="H12" i="17" s="1"/>
  <c r="N9" i="17" l="1"/>
  <c r="N13" i="17"/>
  <c r="I12" i="17"/>
  <c r="M11" i="17"/>
  <c r="I10" i="17"/>
  <c r="I8" i="17"/>
  <c r="H18" i="17"/>
  <c r="N11" i="17"/>
  <c r="L11" i="17" s="1"/>
  <c r="M9" i="17"/>
  <c r="M13" i="17"/>
  <c r="L13" i="17" s="1"/>
  <c r="M19" i="17" l="1"/>
  <c r="L9" i="17"/>
  <c r="L19" i="17" s="1"/>
  <c r="N19" i="17"/>
  <c r="M6" i="17"/>
  <c r="H6" i="17"/>
  <c r="I60" i="1" s="1"/>
  <c r="H60" i="28" s="1"/>
  <c r="I18" i="17"/>
  <c r="L6" i="17" l="1"/>
  <c r="I6" i="17"/>
  <c r="N6" i="17"/>
  <c r="G24" i="6" l="1"/>
  <c r="G25" i="6" s="1"/>
  <c r="G64" i="33" l="1"/>
  <c r="G65" i="33" s="1"/>
  <c r="M22" i="6" l="1"/>
  <c r="M20" i="6"/>
  <c r="M18" i="6"/>
  <c r="M12" i="6"/>
  <c r="M10" i="6"/>
  <c r="M16" i="6" l="1"/>
  <c r="N18" i="6" l="1"/>
  <c r="N12" i="6"/>
  <c r="L20" i="6"/>
  <c r="N10" i="6"/>
  <c r="N20" i="6"/>
  <c r="L18" i="6"/>
  <c r="N22" i="6"/>
  <c r="L12" i="6" l="1"/>
  <c r="N16" i="6"/>
  <c r="L10" i="6"/>
  <c r="L22" i="6"/>
  <c r="L16" i="6" s="1"/>
  <c r="F18" i="6"/>
  <c r="F23" i="6"/>
  <c r="F19" i="6"/>
  <c r="F21" i="6"/>
  <c r="F22" i="6"/>
  <c r="F20" i="6"/>
  <c r="F10" i="6"/>
  <c r="F11" i="6"/>
  <c r="H10" i="6" s="1"/>
  <c r="N11" i="6" s="1"/>
  <c r="H18" i="6" l="1"/>
  <c r="S11" i="6"/>
  <c r="M11" i="6"/>
  <c r="L11" i="6"/>
  <c r="I158" i="1"/>
  <c r="H150" i="28"/>
  <c r="I10" i="6"/>
  <c r="H22" i="6"/>
  <c r="M23" i="6" s="1"/>
  <c r="I162" i="1"/>
  <c r="H154" i="28"/>
  <c r="H20" i="6"/>
  <c r="M21" i="6" s="1"/>
  <c r="F12" i="6"/>
  <c r="F13" i="6"/>
  <c r="H16" i="6" l="1"/>
  <c r="I16" i="6" s="1"/>
  <c r="M19" i="6"/>
  <c r="R19" i="6" s="1"/>
  <c r="N19" i="6"/>
  <c r="S19" i="6" s="1"/>
  <c r="I18" i="6"/>
  <c r="I154" i="28" s="1"/>
  <c r="N23" i="6"/>
  <c r="S23" i="6" s="1"/>
  <c r="M17" i="6"/>
  <c r="R11" i="6"/>
  <c r="H12" i="6"/>
  <c r="N13" i="6" s="1"/>
  <c r="R21" i="6"/>
  <c r="R23" i="6"/>
  <c r="Q11" i="6"/>
  <c r="J162" i="1"/>
  <c r="J158" i="1"/>
  <c r="I150" i="28"/>
  <c r="I164" i="1"/>
  <c r="I20" i="6"/>
  <c r="H156" i="28"/>
  <c r="N21" i="6"/>
  <c r="L21" i="6" s="1"/>
  <c r="L19" i="6"/>
  <c r="I166" i="1"/>
  <c r="H158" i="28"/>
  <c r="I22" i="6"/>
  <c r="L23" i="6" l="1"/>
  <c r="Q23" i="6" s="1"/>
  <c r="T23" i="6" s="1"/>
  <c r="S13" i="6"/>
  <c r="J166" i="1"/>
  <c r="I158" i="28"/>
  <c r="J164" i="1"/>
  <c r="I156" i="28"/>
  <c r="S21" i="6"/>
  <c r="S17" i="6" s="1"/>
  <c r="T11" i="6"/>
  <c r="N17" i="6"/>
  <c r="N6" i="6" s="1"/>
  <c r="Q21" i="6"/>
  <c r="Q19" i="6"/>
  <c r="I160" i="1"/>
  <c r="H152" i="28"/>
  <c r="I12" i="6"/>
  <c r="H6" i="6"/>
  <c r="R17" i="6"/>
  <c r="M13" i="6"/>
  <c r="L17" i="6" l="1"/>
  <c r="S6" i="6"/>
  <c r="T21" i="6"/>
  <c r="O172" i="1"/>
  <c r="R13" i="6"/>
  <c r="M6" i="6"/>
  <c r="L13" i="6"/>
  <c r="J160" i="1"/>
  <c r="I152" i="28"/>
  <c r="I6" i="6"/>
  <c r="Q17" i="6"/>
  <c r="T17" i="6" s="1"/>
  <c r="T19" i="6"/>
  <c r="R6" i="6"/>
  <c r="I154" i="1"/>
  <c r="I170" i="1" s="1"/>
  <c r="H146" i="28"/>
  <c r="H162" i="28" s="1"/>
  <c r="J154" i="1" l="1"/>
  <c r="J170" i="1" s="1"/>
  <c r="I146" i="28"/>
  <c r="I162" i="28" s="1"/>
  <c r="N172" i="1"/>
  <c r="Q13" i="6"/>
  <c r="L6" i="6"/>
  <c r="M172" i="1" l="1"/>
  <c r="T13" i="6"/>
  <c r="Q6" i="6"/>
  <c r="T6" i="6" l="1"/>
  <c r="U9" i="6"/>
  <c r="G18" i="3" l="1"/>
  <c r="H18" i="3" l="1"/>
  <c r="H56" i="1"/>
  <c r="G56" i="28"/>
  <c r="I18" i="3"/>
  <c r="H56" i="28" l="1"/>
  <c r="I56" i="28" s="1"/>
  <c r="I56" i="1"/>
  <c r="J56" i="1" s="1"/>
  <c r="G20" i="3" l="1"/>
  <c r="H58" i="1" l="1"/>
  <c r="G58" i="28"/>
  <c r="H20" i="3"/>
  <c r="I20" i="3" l="1"/>
  <c r="M21" i="3"/>
  <c r="M6" i="3" s="1"/>
  <c r="I58" i="1"/>
  <c r="J58" i="1" s="1"/>
  <c r="H58" i="28"/>
  <c r="I58" i="28" s="1"/>
  <c r="L21" i="3" l="1"/>
  <c r="L6" i="3" s="1"/>
  <c r="G8" i="41" l="1"/>
  <c r="G6" i="41" l="1"/>
  <c r="H8" i="41"/>
  <c r="H6" i="41" l="1"/>
  <c r="H46" i="28" s="1"/>
  <c r="H44" i="28" s="1"/>
  <c r="I46" i="1"/>
  <c r="I44" i="1" s="1"/>
  <c r="H46" i="1"/>
  <c r="G46" i="28"/>
  <c r="G13" i="41"/>
  <c r="I8" i="41"/>
  <c r="I6" i="41" s="1"/>
  <c r="I46" i="28" l="1"/>
  <c r="I44" i="28" s="1"/>
  <c r="G44" i="28"/>
  <c r="H44" i="1"/>
  <c r="J46" i="1"/>
  <c r="J44" i="1" s="1"/>
  <c r="G14" i="2" l="1"/>
  <c r="H14" i="2" l="1"/>
  <c r="I14" i="2" s="1"/>
  <c r="G22" i="2"/>
  <c r="G24" i="2"/>
  <c r="H24" i="2" l="1"/>
  <c r="G28" i="2"/>
  <c r="H18" i="1"/>
  <c r="G18" i="28"/>
  <c r="H22" i="2"/>
  <c r="I22" i="2" s="1"/>
  <c r="N15" i="2"/>
  <c r="M15" i="2"/>
  <c r="L15" i="2" s="1"/>
  <c r="G20" i="2"/>
  <c r="H16" i="1" l="1"/>
  <c r="G16" i="28"/>
  <c r="H20" i="2"/>
  <c r="H20" i="1"/>
  <c r="G20" i="28"/>
  <c r="G26" i="2"/>
  <c r="N23" i="2"/>
  <c r="I18" i="1"/>
  <c r="J18" i="1" s="1"/>
  <c r="H18" i="28"/>
  <c r="I18" i="28" s="1"/>
  <c r="M23" i="2"/>
  <c r="L23" i="2"/>
  <c r="I24" i="2"/>
  <c r="N25" i="2"/>
  <c r="M25" i="2"/>
  <c r="L25" i="2"/>
  <c r="H16" i="28" l="1"/>
  <c r="I16" i="28" s="1"/>
  <c r="I16" i="1"/>
  <c r="J16" i="1" s="1"/>
  <c r="M21" i="2"/>
  <c r="N21" i="2"/>
  <c r="H26" i="2"/>
  <c r="H28" i="2" s="1"/>
  <c r="I20" i="2"/>
  <c r="L21" i="2" l="1"/>
  <c r="I26" i="2"/>
  <c r="I28" i="2" s="1"/>
  <c r="H20" i="28"/>
  <c r="I20" i="28" s="1"/>
  <c r="I20" i="1"/>
  <c r="J20" i="1" s="1"/>
  <c r="G16" i="3" l="1"/>
  <c r="G10" i="3"/>
  <c r="H52" i="1" l="1"/>
  <c r="G8" i="3"/>
  <c r="G6" i="3" s="1"/>
  <c r="H10" i="3"/>
  <c r="I10" i="3" s="1"/>
  <c r="G52" i="28"/>
  <c r="H54" i="1"/>
  <c r="G54" i="28"/>
  <c r="G14" i="3"/>
  <c r="G10" i="2"/>
  <c r="H14" i="3" l="1"/>
  <c r="H16" i="3" s="1"/>
  <c r="H8" i="3" s="1"/>
  <c r="H6" i="3" s="1"/>
  <c r="G50" i="28"/>
  <c r="G48" i="28" s="1"/>
  <c r="G10" i="28"/>
  <c r="H10" i="1"/>
  <c r="I52" i="1"/>
  <c r="H52" i="28"/>
  <c r="H50" i="1"/>
  <c r="H48" i="1" s="1"/>
  <c r="J52" i="1"/>
  <c r="G12" i="2"/>
  <c r="G16" i="2"/>
  <c r="H12" i="2" l="1"/>
  <c r="H12" i="1"/>
  <c r="G12" i="28"/>
  <c r="I12" i="2"/>
  <c r="H16" i="2"/>
  <c r="H18" i="2" s="1"/>
  <c r="G18" i="2"/>
  <c r="G8" i="2"/>
  <c r="G6" i="2" s="1"/>
  <c r="I14" i="3"/>
  <c r="I16" i="3" s="1"/>
  <c r="I8" i="3" s="1"/>
  <c r="I6" i="3" s="1"/>
  <c r="I52" i="28"/>
  <c r="I54" i="1"/>
  <c r="J54" i="1" s="1"/>
  <c r="J50" i="1" s="1"/>
  <c r="J48" i="1" s="1"/>
  <c r="H54" i="28"/>
  <c r="I54" i="28" s="1"/>
  <c r="I50" i="28" s="1"/>
  <c r="I48" i="28" s="1"/>
  <c r="G22" i="3"/>
  <c r="G23" i="3" s="1"/>
  <c r="H50" i="28" l="1"/>
  <c r="H48" i="28" s="1"/>
  <c r="G14" i="28"/>
  <c r="H14" i="1"/>
  <c r="I16" i="2"/>
  <c r="I18" i="2" s="1"/>
  <c r="I50" i="1"/>
  <c r="I48" i="1" s="1"/>
  <c r="I14" i="1"/>
  <c r="H14" i="28"/>
  <c r="H12" i="28"/>
  <c r="I12" i="28" s="1"/>
  <c r="I12" i="1"/>
  <c r="J12" i="1" s="1"/>
  <c r="J14" i="1" l="1"/>
  <c r="H8" i="1"/>
  <c r="H6" i="1" s="1"/>
  <c r="I14" i="28"/>
  <c r="G8" i="28"/>
  <c r="G6" i="28" s="1"/>
  <c r="G30" i="2"/>
  <c r="G31" i="2" s="1"/>
  <c r="F11" i="2" l="1"/>
  <c r="N10" i="2" l="1"/>
  <c r="M10" i="2"/>
  <c r="F10" i="2"/>
  <c r="H10" i="2" s="1"/>
  <c r="L10" i="2"/>
  <c r="H8" i="2" l="1"/>
  <c r="H6" i="2" s="1"/>
  <c r="I10" i="1"/>
  <c r="H10" i="28"/>
  <c r="I10" i="2"/>
  <c r="M11" i="2"/>
  <c r="N11" i="2"/>
  <c r="L11" i="2" s="1"/>
  <c r="L6" i="2" l="1"/>
  <c r="M62" i="1" s="1"/>
  <c r="N6" i="2"/>
  <c r="O62" i="1" s="1"/>
  <c r="H8" i="28"/>
  <c r="H6" i="28" s="1"/>
  <c r="H62" i="28" s="1"/>
  <c r="H164" i="28" s="1"/>
  <c r="I10" i="28"/>
  <c r="I8" i="28" s="1"/>
  <c r="I6" i="28" s="1"/>
  <c r="M6" i="2"/>
  <c r="N62" i="1" s="1"/>
  <c r="I8" i="1"/>
  <c r="I6" i="1" s="1"/>
  <c r="I62" i="1" s="1"/>
  <c r="I172" i="1" s="1"/>
  <c r="J10" i="1"/>
  <c r="J8" i="1" s="1"/>
  <c r="J6" i="1" s="1"/>
  <c r="I8" i="2"/>
  <c r="I6" i="2" s="1"/>
  <c r="U51" i="33" l="1"/>
  <c r="U37" i="33" l="1"/>
  <c r="U9" i="33" l="1"/>
  <c r="U6" i="30" l="1"/>
  <c r="U6" i="31" l="1"/>
  <c r="U6" i="5" l="1"/>
  <c r="U6" i="4" l="1"/>
  <c r="U6" i="29" l="1"/>
  <c r="U23" i="33" l="1"/>
  <c r="U6" i="33" l="1"/>
  <c r="U66" i="32" l="1"/>
  <c r="U46" i="32"/>
  <c r="U26" i="32" l="1"/>
  <c r="U6" i="32" l="1"/>
  <c r="U6" i="6" l="1"/>
  <c r="H60" i="1" l="1"/>
  <c r="G60" i="28" l="1"/>
  <c r="J60" i="1"/>
  <c r="J62" i="1" s="1"/>
  <c r="J172" i="1" s="1"/>
  <c r="H62" i="1"/>
  <c r="H172" i="1" s="1"/>
  <c r="I60" i="28" l="1"/>
  <c r="I62" i="28" s="1"/>
  <c r="I164" i="28" s="1"/>
  <c r="G62" i="28"/>
  <c r="G164" i="28" s="1"/>
</calcChain>
</file>

<file path=xl/comments1.xml><?xml version="1.0" encoding="utf-8"?>
<comments xmlns="http://schemas.openxmlformats.org/spreadsheetml/2006/main">
  <authors>
    <author>4202453</author>
    <author>広島市</author>
  </authors>
  <commentList>
    <comment ref="H46" authorId="0" shapeId="0">
      <text>
        <r>
          <rPr>
            <b/>
            <sz val="9"/>
            <color indexed="81"/>
            <rFont val="ＭＳ Ｐゴシック"/>
            <family val="3"/>
            <charset val="128"/>
          </rPr>
          <t xml:space="preserve">
他会計負担金から
府中町使用料減免負担金を差し引くようになっているが、H21以降は、他会計負担金全額になっている。</t>
        </r>
      </text>
    </comment>
    <comment ref="H60" authorId="1" shapeId="0">
      <text>
        <r>
          <rPr>
            <b/>
            <sz val="9"/>
            <color indexed="81"/>
            <rFont val="ＭＳ Ｐゴシック"/>
            <family val="3"/>
            <charset val="128"/>
          </rPr>
          <t>特定収入に係る課税仕入れ等に係る消費税ほか、控除不可として雑支出に計上し、一般会計負担金（税抜）に上乗せした部分を、ここに加算している。</t>
        </r>
      </text>
    </comment>
    <comment ref="H62" authorId="1" shapeId="0">
      <text>
        <r>
          <rPr>
            <b/>
            <sz val="9"/>
            <color indexed="81"/>
            <rFont val="ＭＳ Ｐゴシック"/>
            <family val="3"/>
            <charset val="128"/>
          </rPr>
          <t>広島市:</t>
        </r>
        <r>
          <rPr>
            <sz val="9"/>
            <color indexed="81"/>
            <rFont val="ＭＳ Ｐゴシック"/>
            <family val="3"/>
            <charset val="128"/>
          </rPr>
          <t xml:space="preserve">
</t>
        </r>
      </text>
    </comment>
  </commentList>
</comments>
</file>

<file path=xl/comments2.xml><?xml version="1.0" encoding="utf-8"?>
<comments xmlns="http://schemas.openxmlformats.org/spreadsheetml/2006/main">
  <authors>
    <author>Windows ユーザー</author>
    <author>広島市</author>
  </authors>
  <commentList>
    <comment ref="G4" authorId="0" shapeId="0">
      <text>
        <r>
          <rPr>
            <sz val="11"/>
            <color indexed="81"/>
            <rFont val="ＭＳ Ｐゴシック"/>
            <family val="3"/>
            <charset val="128"/>
          </rPr>
          <t>消費税雑支出加算前
消費税雑支出分は、総括表の「その他」で加算</t>
        </r>
      </text>
    </comment>
    <comment ref="J5" authorId="1"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 ref="G14" authorId="0" shapeId="0">
      <text>
        <r>
          <rPr>
            <sz val="9"/>
            <color indexed="81"/>
            <rFont val="ＭＳ Ｐゴシック"/>
            <family val="3"/>
            <charset val="128"/>
          </rPr>
          <t>企業債利息等の雨汚水分け表より
='I:\経理係フォルダ\☆決算事務\２８年度決算\07 H28雨汚水分け\雨汚水分け\[★Ｈ28雨汚水分け（利息）.xls]Ｈ２８利息'!$H$47</t>
        </r>
      </text>
    </comment>
  </commentList>
</comments>
</file>

<file path=xl/comments3.xml><?xml version="1.0" encoding="utf-8"?>
<comments xmlns="http://schemas.openxmlformats.org/spreadsheetml/2006/main">
  <authors>
    <author>広島市</author>
  </authors>
  <commentList>
    <comment ref="J5" authorId="0"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 ref="G20" authorId="0" shapeId="0">
      <text>
        <r>
          <rPr>
            <b/>
            <sz val="9"/>
            <color indexed="81"/>
            <rFont val="ＭＳ Ｐゴシック"/>
            <family val="3"/>
            <charset val="128"/>
          </rPr>
          <t xml:space="preserve">R5決算：
</t>
        </r>
        <r>
          <rPr>
            <sz val="9"/>
            <color indexed="81"/>
            <rFont val="ＭＳ Ｐゴシック"/>
            <family val="3"/>
            <charset val="128"/>
          </rPr>
          <t>H27熊本地震において財政課との協議で要した経費の全額を受け入れることとしていることから、この度もこれを踏襲し、税込で計上した。
なお、仮払消費税＝課税支出に係る特定収入に係る消費税額となるため、</t>
        </r>
      </text>
    </comment>
  </commentList>
</comments>
</file>

<file path=xl/comments4.xml><?xml version="1.0" encoding="utf-8"?>
<comments xmlns="http://schemas.openxmlformats.org/spreadsheetml/2006/main">
  <authors>
    <author>Windows ユーザー</author>
    <author>広島市</author>
  </authors>
  <commentList>
    <comment ref="G4" authorId="0" shapeId="0">
      <text>
        <r>
          <rPr>
            <sz val="11"/>
            <color indexed="81"/>
            <rFont val="ＭＳ Ｐゴシック"/>
            <family val="3"/>
            <charset val="128"/>
          </rPr>
          <t>消費税雑支出加算前
消費税雑支出分は、総括表の「その他」で加算</t>
        </r>
      </text>
    </comment>
    <comment ref="J5" authorId="1"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List>
</comments>
</file>

<file path=xl/comments5.xml><?xml version="1.0" encoding="utf-8"?>
<comments xmlns="http://schemas.openxmlformats.org/spreadsheetml/2006/main">
  <authors>
    <author>広島市</author>
    <author>4004305</author>
    <author>安達 謙介</author>
  </authors>
  <commentList>
    <comment ref="J5" authorId="0"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 ref="D8" authorId="1" shapeId="0">
      <text>
        <r>
          <rPr>
            <sz val="11"/>
            <color indexed="81"/>
            <rFont val="ＭＳ Ｐゴシック"/>
            <family val="3"/>
            <charset val="128"/>
          </rPr>
          <t>ファイル「その他雑収益内訳」参照</t>
        </r>
      </text>
    </comment>
    <comment ref="D22" authorId="1" shapeId="0">
      <text>
        <r>
          <rPr>
            <sz val="11"/>
            <color indexed="10"/>
            <rFont val="ＭＳ Ｐゴシック"/>
            <family val="3"/>
            <charset val="128"/>
          </rPr>
          <t xml:space="preserve">h23該当なし
</t>
        </r>
        <r>
          <rPr>
            <sz val="11"/>
            <color indexed="81"/>
            <rFont val="ＭＳ Ｐゴシック"/>
            <family val="3"/>
            <charset val="128"/>
          </rPr>
          <t xml:space="preserve">
似たような事例として
①通勤手当戻入
②手当ての未収への振替
があった。
①は課税で受けるので特定収入にはならない。
②は不課税の調定を新たに立てるものなので特定収入にはならない。</t>
        </r>
        <r>
          <rPr>
            <sz val="9"/>
            <color indexed="81"/>
            <rFont val="ＭＳ Ｐゴシック"/>
            <family val="3"/>
            <charset val="128"/>
          </rPr>
          <t xml:space="preserve">
</t>
        </r>
      </text>
    </comment>
    <comment ref="D36" authorId="1" shapeId="0">
      <text>
        <r>
          <rPr>
            <sz val="11"/>
            <color indexed="10"/>
            <rFont val="ＭＳ Ｐゴシック"/>
            <family val="3"/>
            <charset val="128"/>
          </rPr>
          <t>H28　
①契約解除に伴う履行保証保険金　</t>
        </r>
        <r>
          <rPr>
            <b/>
            <sz val="11"/>
            <color indexed="10"/>
            <rFont val="ＭＳ Ｐゴシック"/>
            <family val="3"/>
            <charset val="128"/>
          </rPr>
          <t>546,000円</t>
        </r>
        <r>
          <rPr>
            <sz val="11"/>
            <color indexed="10"/>
            <rFont val="ＭＳ Ｐゴシック"/>
            <family val="3"/>
            <charset val="128"/>
          </rPr>
          <t>（株式会社アキテクノス　瀬野地区ほか特環下水道実施設計業務２６－６）共栄火災海上保険株式会社
②補修工事に係る契約保証金　</t>
        </r>
        <r>
          <rPr>
            <b/>
            <sz val="11"/>
            <color indexed="10"/>
            <rFont val="ＭＳ Ｐゴシック"/>
            <family val="3"/>
            <charset val="128"/>
          </rPr>
          <t>230,000円</t>
        </r>
        <r>
          <rPr>
            <sz val="11"/>
            <color indexed="10"/>
            <rFont val="ＭＳ Ｐゴシック"/>
            <family val="3"/>
            <charset val="128"/>
          </rPr>
          <t>（未返還契約保証金の消滅時効に伴う特別利益への計上）
大州下水処理場発電機盤その他補修工事（H14)【I:\経理係フォルダ\事務引継フォルダ\◇そういえばこんなことがありました◇\契約保証金未返還・二重還付がありました\大州（維持課対応分）\未還付契約保証金について.docx
H24　3条収入/特別利益（公共工事の履行保証保険金）</t>
        </r>
        <r>
          <rPr>
            <sz val="11"/>
            <color indexed="81"/>
            <rFont val="ＭＳ Ｐゴシック"/>
            <family val="3"/>
            <charset val="128"/>
          </rPr>
          <t xml:space="preserve">
3903034_株式会社損害
182591_あいおいニッ
＊特定収入である保険金収入</t>
        </r>
        <r>
          <rPr>
            <sz val="11"/>
            <color indexed="12"/>
            <rFont val="ＭＳ Ｐゴシック"/>
            <family val="3"/>
            <charset val="128"/>
          </rPr>
          <t>（消通達16-2-1）</t>
        </r>
        <r>
          <rPr>
            <sz val="11"/>
            <color indexed="81"/>
            <rFont val="ＭＳ Ｐゴシック"/>
            <family val="3"/>
            <charset val="128"/>
          </rPr>
          <t xml:space="preserve">は、これを工事費のみの財源とするわけではなく、人件費や物件費など何に使ったかわからない（使途不特定の特定収入）。
そのため課税支出割合で按分計算した額を「課税仕入れ」にあてたものとして扱う。
</t>
        </r>
        <r>
          <rPr>
            <sz val="11"/>
            <color indexed="12"/>
            <rFont val="ＭＳ Ｐゴシック"/>
            <family val="3"/>
            <charset val="128"/>
          </rPr>
          <t>（消通達16-2-2(5)）</t>
        </r>
      </text>
    </comment>
    <comment ref="D38" authorId="1" shapeId="0">
      <text>
        <r>
          <rPr>
            <sz val="11"/>
            <color indexed="10"/>
            <rFont val="ＭＳ Ｐゴシック"/>
            <family val="3"/>
            <charset val="128"/>
          </rPr>
          <t>H28　
①契約解除に伴う履行保証保険金　</t>
        </r>
        <r>
          <rPr>
            <b/>
            <sz val="11"/>
            <color indexed="10"/>
            <rFont val="ＭＳ Ｐゴシック"/>
            <family val="3"/>
            <charset val="128"/>
          </rPr>
          <t>546,000円</t>
        </r>
        <r>
          <rPr>
            <sz val="11"/>
            <color indexed="10"/>
            <rFont val="ＭＳ Ｐゴシック"/>
            <family val="3"/>
            <charset val="128"/>
          </rPr>
          <t>（株式会社アキテクノス　瀬野地区ほか特環下水道実施設計業務２６－６）共栄火災海上保険株式会社
②補修工事に係る契約保証金　</t>
        </r>
        <r>
          <rPr>
            <b/>
            <sz val="11"/>
            <color indexed="10"/>
            <rFont val="ＭＳ Ｐゴシック"/>
            <family val="3"/>
            <charset val="128"/>
          </rPr>
          <t>230,000円</t>
        </r>
        <r>
          <rPr>
            <sz val="11"/>
            <color indexed="10"/>
            <rFont val="ＭＳ Ｐゴシック"/>
            <family val="3"/>
            <charset val="128"/>
          </rPr>
          <t>（未返還契約保証金の消滅時効に伴う特別利益への計上）
大州下水処理場発電機盤その他補修工事（H14)【I:\経理係フォルダ\事務引継フォルダ\◇そういえばこんなことがありました◇\契約保証金未返還・二重還付がありました\大州（維持課対応分）\未還付契約保証金について.docx
H24　3条収入/特別利益（公共工事の履行保証保険金）</t>
        </r>
        <r>
          <rPr>
            <sz val="11"/>
            <color indexed="81"/>
            <rFont val="ＭＳ Ｐゴシック"/>
            <family val="3"/>
            <charset val="128"/>
          </rPr>
          <t xml:space="preserve">
3903034_株式会社損害
182591_あいおいニッ
＊特定収入である保険金収入</t>
        </r>
        <r>
          <rPr>
            <sz val="11"/>
            <color indexed="12"/>
            <rFont val="ＭＳ Ｐゴシック"/>
            <family val="3"/>
            <charset val="128"/>
          </rPr>
          <t>（消通達16-2-1）</t>
        </r>
        <r>
          <rPr>
            <sz val="11"/>
            <color indexed="81"/>
            <rFont val="ＭＳ Ｐゴシック"/>
            <family val="3"/>
            <charset val="128"/>
          </rPr>
          <t xml:space="preserve">は、これを工事費のみの財源とするわけではなく、人件費や物件費など何に使ったかわからない（使途不特定の特定収入）。
そのため課税支出割合で按分計算した額を「課税仕入れ」にあてたものとして扱う。
</t>
        </r>
        <r>
          <rPr>
            <sz val="11"/>
            <color indexed="12"/>
            <rFont val="ＭＳ Ｐゴシック"/>
            <family val="3"/>
            <charset val="128"/>
          </rPr>
          <t>（消通達16-2-2(5)）</t>
        </r>
      </text>
    </comment>
    <comment ref="B40" authorId="2" shapeId="0">
      <text>
        <r>
          <rPr>
            <b/>
            <sz val="9"/>
            <color indexed="81"/>
            <rFont val="MS P ゴシック"/>
            <family val="3"/>
            <charset val="128"/>
          </rPr>
          <t>R5決算：
・</t>
        </r>
        <r>
          <rPr>
            <sz val="9"/>
            <color indexed="81"/>
            <rFont val="MS P ゴシック"/>
            <family val="3"/>
            <charset val="128"/>
          </rPr>
          <t>元管路施設（南区宇品海岸三丁目）の（競輪事務局への）有償所属替え代金について、用地を所管していた広報ラインにおいて「官公庁同士のため不課税」という明らかに誤った整理をされていた。
・地方公共団体における消費税法の適用については、一般会計・個々の特別会計ごとに一の法人が行う事業とみなして消費法の規定を適用されるため、このままの整理だと、課税資産の譲渡があるため、課税としなければならない。
・実態を精査すると、競輪事務局は当該管きょは使用せず、今後撤去する予定であるとのことである。このため、本収入については、下水道事業としては市道廃止に伴い管きょの用途廃止を行うものの、下水管の用途として所管替えを行うわけではなく、除却損の一部を補てんするための補償金であると考えられる。また、競輪事務局への所管替えを行っているものの、管きょが実態としてやむを得ず存在する以上、競輪事務局へ属することを明確にしているにすぎない。
・以上から、使途を除却費とする不課税収入として整理可能であると思われる。</t>
        </r>
      </text>
    </comment>
  </commentList>
</comments>
</file>

<file path=xl/comments6.xml><?xml version="1.0" encoding="utf-8"?>
<comments xmlns="http://schemas.openxmlformats.org/spreadsheetml/2006/main">
  <authors>
    <author>広島市</author>
  </authors>
  <commentList>
    <comment ref="J5" authorId="0"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List>
</comments>
</file>

<file path=xl/comments7.xml><?xml version="1.0" encoding="utf-8"?>
<comments xmlns="http://schemas.openxmlformats.org/spreadsheetml/2006/main">
  <authors>
    <author>広島市</author>
    <author>楠 宏</author>
    <author>work7</author>
    <author>Windows ユーザー</author>
    <author>経理</author>
    <author>安達 謙介</author>
  </authors>
  <commentList>
    <comment ref="J5" authorId="0"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 ref="D8" authorId="1" shapeId="0">
      <text>
        <r>
          <rPr>
            <sz val="10"/>
            <color indexed="81"/>
            <rFont val="ＭＳ Ｐゴシック"/>
            <family val="3"/>
            <charset val="128"/>
          </rPr>
          <t>該当年度の起債フォルダ内の現年分財源計算書の現年分シートより</t>
        </r>
      </text>
    </comment>
    <comment ref="G8" authorId="1" shapeId="0">
      <text>
        <r>
          <rPr>
            <sz val="9"/>
            <color indexed="81"/>
            <rFont val="ＭＳ Ｐゴシック"/>
            <family val="3"/>
            <charset val="128"/>
          </rPr>
          <t>起債財源計算書　国費の額（補助裏単市分もここに含める）
端数調整　+1,500円</t>
        </r>
      </text>
    </comment>
    <comment ref="D10" authorId="1" shapeId="0">
      <text>
        <r>
          <rPr>
            <sz val="10"/>
            <color indexed="81"/>
            <rFont val="ＭＳ Ｐゴシック"/>
            <family val="3"/>
            <charset val="128"/>
          </rPr>
          <t>該当年度の起債フォルダ内の現年分財源計算書の現年分シートより</t>
        </r>
      </text>
    </comment>
    <comment ref="F19" authorId="1" shapeId="0">
      <text>
        <r>
          <rPr>
            <sz val="9"/>
            <color indexed="81"/>
            <rFont val="ＭＳ Ｐゴシック"/>
            <family val="3"/>
            <charset val="128"/>
          </rPr>
          <t xml:space="preserve">=+'I:\経理係フォルダ\☆決算事務\２８年度決算\06 H28決算　消費税計算\消費税（計画調整課より）\290517 H28決算で採用分\[公共 28（経企）改.xls]補現'!$D$94
</t>
        </r>
      </text>
    </comment>
    <comment ref="N19" authorId="2" shapeId="0">
      <text>
        <r>
          <rPr>
            <b/>
            <sz val="9"/>
            <color indexed="81"/>
            <rFont val="MS P ゴシック"/>
            <family val="3"/>
            <charset val="128"/>
          </rPr>
          <t>補起単現繰分け資料より</t>
        </r>
      </text>
    </comment>
    <comment ref="F20" authorId="3" shapeId="0">
      <text>
        <r>
          <rPr>
            <sz val="9"/>
            <color indexed="81"/>
            <rFont val="ＭＳ Ｐゴシック"/>
            <family val="3"/>
            <charset val="128"/>
          </rPr>
          <t>事業別財源案分表（公共）より
（資本的支出の事業別財源内訳の元データ）</t>
        </r>
      </text>
    </comment>
    <comment ref="Q20" authorId="4" shapeId="0">
      <text>
        <r>
          <rPr>
            <b/>
            <sz val="9"/>
            <color indexed="81"/>
            <rFont val="MS P ゴシック"/>
            <family val="3"/>
            <charset val="128"/>
          </rPr>
          <t>経理:端数調整</t>
        </r>
        <r>
          <rPr>
            <sz val="9"/>
            <color indexed="81"/>
            <rFont val="MS P ゴシック"/>
            <family val="3"/>
            <charset val="128"/>
          </rPr>
          <t xml:space="preserve">
</t>
        </r>
      </text>
    </comment>
    <comment ref="G22" authorId="5" shapeId="0">
      <text>
        <r>
          <rPr>
            <b/>
            <sz val="9"/>
            <color indexed="81"/>
            <rFont val="MS P ゴシック"/>
            <family val="3"/>
            <charset val="128"/>
          </rPr>
          <t>端数調整　-1500円</t>
        </r>
      </text>
    </comment>
    <comment ref="G32" authorId="1" shapeId="0">
      <text>
        <r>
          <rPr>
            <sz val="9"/>
            <color indexed="81"/>
            <rFont val="ＭＳ Ｐゴシック"/>
            <family val="3"/>
            <charset val="128"/>
          </rPr>
          <t>財源計算書の国費の額　国補正分が追加
（補助裏単市分もここに含める）</t>
        </r>
      </text>
    </comment>
    <comment ref="F37" authorId="1" shapeId="0">
      <text>
        <r>
          <rPr>
            <sz val="9"/>
            <color indexed="81"/>
            <rFont val="ＭＳ Ｐゴシック"/>
            <family val="3"/>
            <charset val="128"/>
          </rPr>
          <t xml:space="preserve">=+'I:\経理係フォルダ\☆決算事務\２８年度決算\06 H28決算　消費税計算\消費税（計画調整課より）\290517 H28決算で採用分\[公共 28（経企）改.xls]補繰'!$D$94
</t>
        </r>
      </text>
    </comment>
    <comment ref="K37" authorId="0" shapeId="0">
      <text>
        <r>
          <rPr>
            <sz val="9"/>
            <color indexed="81"/>
            <rFont val="ＭＳ Ｐゴシック"/>
            <family val="3"/>
            <charset val="128"/>
          </rPr>
          <t>=+'I:\経理係フォルダ\☆決算事務\２８年度決算\06 H28決算　消費税計算\H28当初\[H28決算　旭町雨水滞水管（その１）5%8%分け.xlsx]Sheet1'!$H$12</t>
        </r>
      </text>
    </comment>
    <comment ref="N37" authorId="2" shapeId="0">
      <text>
        <r>
          <rPr>
            <b/>
            <sz val="9"/>
            <color indexed="81"/>
            <rFont val="MS P ゴシック"/>
            <family val="3"/>
            <charset val="128"/>
          </rPr>
          <t>補起単現繰分け資料より</t>
        </r>
      </text>
    </comment>
    <comment ref="F38" authorId="3" shapeId="0">
      <text>
        <r>
          <rPr>
            <sz val="9"/>
            <color indexed="81"/>
            <rFont val="ＭＳ Ｐゴシック"/>
            <family val="3"/>
            <charset val="128"/>
          </rPr>
          <t>事業別財源案分表（公共）より
（資本的支出の事業別財源内訳の元データ）</t>
        </r>
      </text>
    </comment>
  </commentList>
</comments>
</file>

<file path=xl/comments8.xml><?xml version="1.0" encoding="utf-8"?>
<comments xmlns="http://schemas.openxmlformats.org/spreadsheetml/2006/main">
  <authors>
    <author>広島市</author>
    <author>安達 謙介</author>
    <author>楠 宏</author>
    <author>work7</author>
    <author>Windows ユーザー</author>
  </authors>
  <commentList>
    <comment ref="J5" authorId="0"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 ref="D8" authorId="1" shapeId="0">
      <text>
        <r>
          <rPr>
            <b/>
            <sz val="9"/>
            <color indexed="81"/>
            <rFont val="MS P ゴシック"/>
            <family val="3"/>
            <charset val="128"/>
          </rPr>
          <t>1,318+23,882</t>
        </r>
      </text>
    </comment>
    <comment ref="F19" authorId="2" shapeId="0">
      <text>
        <r>
          <rPr>
            <sz val="9"/>
            <color indexed="81"/>
            <rFont val="ＭＳ Ｐゴシック"/>
            <family val="3"/>
            <charset val="128"/>
          </rPr>
          <t>=+'I:\経理係フォルダ\☆決算事務\２８年度決算\06 H28決算　消費税計算\消費税（計画調整課より）\290517 H28決算で採用分\[特環 28（経企）改.xls]補現'!$D$94</t>
        </r>
      </text>
    </comment>
    <comment ref="N19" authorId="3" shapeId="0">
      <text>
        <r>
          <rPr>
            <b/>
            <sz val="9"/>
            <color indexed="81"/>
            <rFont val="MS P ゴシック"/>
            <family val="3"/>
            <charset val="128"/>
          </rPr>
          <t>補起単現繰分け資料より</t>
        </r>
      </text>
    </comment>
    <comment ref="F20" authorId="4" shapeId="0">
      <text>
        <r>
          <rPr>
            <sz val="9"/>
            <color indexed="81"/>
            <rFont val="ＭＳ Ｐゴシック"/>
            <family val="3"/>
            <charset val="128"/>
          </rPr>
          <t>事業別財源案分表（特環）より
（資本的支出の事業別財源内訳の元データ）</t>
        </r>
      </text>
    </comment>
    <comment ref="S20" authorId="1" shapeId="0">
      <text>
        <r>
          <rPr>
            <b/>
            <sz val="9"/>
            <color indexed="81"/>
            <rFont val="MS P ゴシック"/>
            <family val="3"/>
            <charset val="128"/>
          </rPr>
          <t>端数調整-1</t>
        </r>
      </text>
    </comment>
    <comment ref="F37" authorId="2" shapeId="0">
      <text>
        <r>
          <rPr>
            <sz val="9"/>
            <color indexed="81"/>
            <rFont val="ＭＳ Ｐゴシック"/>
            <family val="3"/>
            <charset val="128"/>
          </rPr>
          <t>=+'I:\経理係フォルダ\☆決算事務\２８年度決算\06 H28決算　消費税計算\消費税（計画調整課より）\290517 H28決算で採用分\[特環 28（経企）改.xls]補繰'!$D$94</t>
        </r>
      </text>
    </comment>
    <comment ref="N37" authorId="3" shapeId="0">
      <text>
        <r>
          <rPr>
            <b/>
            <sz val="9"/>
            <color indexed="81"/>
            <rFont val="MS P ゴシック"/>
            <family val="3"/>
            <charset val="128"/>
          </rPr>
          <t>補起単現繰分け資料より</t>
        </r>
      </text>
    </comment>
    <comment ref="F38" authorId="4" shapeId="0">
      <text>
        <r>
          <rPr>
            <sz val="9"/>
            <color indexed="81"/>
            <rFont val="ＭＳ Ｐゴシック"/>
            <family val="3"/>
            <charset val="128"/>
          </rPr>
          <t>事業別財源案分表（特環）より
（資本的支出の事業別財源内訳の元データ）</t>
        </r>
      </text>
    </comment>
  </commentList>
</comments>
</file>

<file path=xl/comments9.xml><?xml version="1.0" encoding="utf-8"?>
<comments xmlns="http://schemas.openxmlformats.org/spreadsheetml/2006/main">
  <authors>
    <author>広島市</author>
    <author>楠 宏</author>
    <author>work7</author>
    <author>Windows ユーザー</author>
  </authors>
  <commentList>
    <comment ref="J5" authorId="0"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 ref="D8" authorId="0" shapeId="0">
      <text>
        <r>
          <rPr>
            <b/>
            <sz val="9"/>
            <color indexed="81"/>
            <rFont val="ＭＳ Ｐゴシック"/>
            <family val="3"/>
            <charset val="128"/>
          </rPr>
          <t>補助金20,900の算定基礎の
事業費41,800にはH29→H30の繰越分8,000を含んでいるので、これを差し引いて、33,800。</t>
        </r>
      </text>
    </comment>
    <comment ref="F19" authorId="1" shapeId="0">
      <text>
        <r>
          <rPr>
            <sz val="9"/>
            <color indexed="81"/>
            <rFont val="ＭＳ Ｐゴシック"/>
            <family val="3"/>
            <charset val="128"/>
          </rPr>
          <t>=+'I:\経理係フォルダ\☆決算事務\２８年度決算\06 H28決算　消費税計算\消費税（計画調整課より）\290517 H28決算で採用分\[農集 28（経企）改.xls]補現'!$D$94</t>
        </r>
      </text>
    </comment>
    <comment ref="N19" authorId="2" shapeId="0">
      <text>
        <r>
          <rPr>
            <b/>
            <sz val="9"/>
            <color indexed="81"/>
            <rFont val="MS P ゴシック"/>
            <family val="3"/>
            <charset val="128"/>
          </rPr>
          <t>補起単現繰分け資料より</t>
        </r>
      </text>
    </comment>
    <comment ref="F20" authorId="3" shapeId="0">
      <text>
        <r>
          <rPr>
            <sz val="9"/>
            <color indexed="81"/>
            <rFont val="ＭＳ Ｐゴシック"/>
            <family val="3"/>
            <charset val="128"/>
          </rPr>
          <t>事業別財源案分表（農集）より
（資本的支出の事業別財源内訳の元データ）</t>
        </r>
      </text>
    </comment>
    <comment ref="F37" authorId="1" shapeId="0">
      <text>
        <r>
          <rPr>
            <sz val="9"/>
            <color indexed="81"/>
            <rFont val="ＭＳ Ｐゴシック"/>
            <family val="3"/>
            <charset val="128"/>
          </rPr>
          <t>='I:\経理係フォルダ\☆決算事務\２７年度決算\06 H27決算　消費税計算\消費税（計画調整課より）\[農集　27.xls]補繰'!$D$94</t>
        </r>
      </text>
    </comment>
    <comment ref="N37" authorId="2" shapeId="0">
      <text>
        <r>
          <rPr>
            <b/>
            <sz val="9"/>
            <color indexed="81"/>
            <rFont val="MS P ゴシック"/>
            <family val="3"/>
            <charset val="128"/>
          </rPr>
          <t>補起単現繰分け資料より</t>
        </r>
      </text>
    </comment>
    <comment ref="F38" authorId="3" shapeId="0">
      <text>
        <r>
          <rPr>
            <sz val="9"/>
            <color indexed="81"/>
            <rFont val="ＭＳ Ｐゴシック"/>
            <family val="3"/>
            <charset val="128"/>
          </rPr>
          <t>事業別財源案分表（農集）より
（資本的支出の事業別財源内訳の元データ）</t>
        </r>
      </text>
    </comment>
  </commentList>
</comments>
</file>

<file path=xl/comments10.xml><?xml version="1.0" encoding="utf-8"?>
<comments xmlns="http://schemas.openxmlformats.org/spreadsheetml/2006/main">
  <authors>
    <author>広島市</author>
    <author>安達 謙介</author>
    <author>楠 宏</author>
    <author>work7</author>
    <author>Windows ユーザー</author>
  </authors>
  <commentList>
    <comment ref="J5" authorId="0"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 ref="D8" authorId="1" shapeId="0">
      <text>
        <r>
          <rPr>
            <b/>
            <sz val="9"/>
            <color indexed="81"/>
            <rFont val="MS P ゴシック"/>
            <family val="3"/>
            <charset val="128"/>
          </rPr>
          <t>－754千円（過年度受入分の控除あり</t>
        </r>
      </text>
    </comment>
    <comment ref="F19" authorId="2" shapeId="0">
      <text>
        <r>
          <rPr>
            <sz val="9"/>
            <color indexed="81"/>
            <rFont val="ＭＳ Ｐゴシック"/>
            <family val="3"/>
            <charset val="128"/>
          </rPr>
          <t>=+'I:\経理係フォルダ\☆決算事務\２８年度決算\06 H28決算　消費税計算\消費税（計画調整課より）\290517 H28決算で採用分\[浄化 28（経企）改.xls]補現'!$D$94</t>
        </r>
      </text>
    </comment>
    <comment ref="N19" authorId="3" shapeId="0">
      <text>
        <r>
          <rPr>
            <b/>
            <sz val="9"/>
            <color indexed="81"/>
            <rFont val="MS P ゴシック"/>
            <family val="3"/>
            <charset val="128"/>
          </rPr>
          <t>補起単現繰分け資料より</t>
        </r>
      </text>
    </comment>
    <comment ref="F20" authorId="4" shapeId="0">
      <text>
        <r>
          <rPr>
            <sz val="9"/>
            <color indexed="81"/>
            <rFont val="ＭＳ Ｐゴシック"/>
            <family val="3"/>
            <charset val="128"/>
          </rPr>
          <t>事業別財源案分表（浄化槽）より
（資本的支出の事業別財源内訳の元データ）</t>
        </r>
      </text>
    </comment>
    <comment ref="F37" authorId="2" shapeId="0">
      <text>
        <r>
          <rPr>
            <sz val="9"/>
            <color indexed="81"/>
            <rFont val="ＭＳ Ｐゴシック"/>
            <family val="3"/>
            <charset val="128"/>
          </rPr>
          <t>='I:\経理係フォルダ\☆決算事務\２７年度決算\06 H27決算　消費税計算\消費税（計画調整課より）\[農集　27.xls]補繰'!$D$94</t>
        </r>
      </text>
    </comment>
    <comment ref="N37" authorId="3" shapeId="0">
      <text>
        <r>
          <rPr>
            <b/>
            <sz val="9"/>
            <color indexed="81"/>
            <rFont val="MS P ゴシック"/>
            <family val="3"/>
            <charset val="128"/>
          </rPr>
          <t>補起単現繰分け資料より</t>
        </r>
      </text>
    </comment>
    <comment ref="F38" authorId="4" shapeId="0">
      <text>
        <r>
          <rPr>
            <sz val="9"/>
            <color indexed="81"/>
            <rFont val="ＭＳ Ｐゴシック"/>
            <family val="3"/>
            <charset val="128"/>
          </rPr>
          <t>事業別財源案分表（農集）より
（資本的支出の事業別財源内訳の元データ）</t>
        </r>
      </text>
    </comment>
  </commentList>
</comments>
</file>

<file path=xl/comments11.xml><?xml version="1.0" encoding="utf-8"?>
<comments xmlns="http://schemas.openxmlformats.org/spreadsheetml/2006/main">
  <authors>
    <author>Windows ユーザー</author>
    <author>広島市</author>
    <author>楠 宏</author>
    <author>work7</author>
  </authors>
  <commentList>
    <comment ref="F4" authorId="0" shapeId="0">
      <text>
        <r>
          <rPr>
            <b/>
            <sz val="9"/>
            <color indexed="81"/>
            <rFont val="ＭＳ Ｐゴシック"/>
            <family val="3"/>
            <charset val="128"/>
          </rPr>
          <t>計調資料 より</t>
        </r>
      </text>
    </comment>
    <comment ref="J5" authorId="1"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 ref="F10" authorId="2" shapeId="0">
      <text>
        <r>
          <rPr>
            <sz val="9"/>
            <color indexed="81"/>
            <rFont val="ＭＳ Ｐゴシック"/>
            <family val="3"/>
            <charset val="128"/>
          </rPr>
          <t>=+'I:\経理係フォルダ\☆決算事務\２８年度決算\06 H28決算　消費税計算\消費税（計画調整課より）\290517 H28決算で採用分\[公共 28（経企）改.xls]起現'!$D$98</t>
        </r>
      </text>
    </comment>
    <comment ref="K10" authorId="2" shapeId="0">
      <text>
        <r>
          <rPr>
            <sz val="9"/>
            <color indexed="81"/>
            <rFont val="ＭＳ Ｐゴシック"/>
            <family val="3"/>
            <charset val="128"/>
          </rPr>
          <t>=+'I:\経理係フォルダ\☆決算事務\２８年度決算\06 H28決算　消費税計算\消費税（計画調整課より）\290517 H28決算で採用分\[公共 28（経企）改.xls]起現'!$H$96</t>
        </r>
      </text>
    </comment>
    <comment ref="N10" authorId="3" shapeId="0">
      <text>
        <r>
          <rPr>
            <b/>
            <sz val="9"/>
            <color indexed="81"/>
            <rFont val="MS P ゴシック"/>
            <family val="3"/>
            <charset val="128"/>
          </rPr>
          <t>補起単現繰分け資料より</t>
        </r>
      </text>
    </comment>
    <comment ref="D14" authorId="0" shapeId="0">
      <text>
        <r>
          <rPr>
            <b/>
            <sz val="9"/>
            <color indexed="81"/>
            <rFont val="ＭＳ Ｐゴシック"/>
            <family val="3"/>
            <charset val="128"/>
          </rPr>
          <t>計調資料 より</t>
        </r>
      </text>
    </comment>
    <comment ref="E14" authorId="0" shapeId="0">
      <text>
        <r>
          <rPr>
            <sz val="9"/>
            <color indexed="81"/>
            <rFont val="ＭＳ Ｐゴシック"/>
            <family val="3"/>
            <charset val="128"/>
          </rPr>
          <t>事業別財源案分表（公共）より
（資本的支出の事業別財源内訳の元データ）</t>
        </r>
      </text>
    </comment>
  </commentList>
</comments>
</file>

<file path=xl/comments12.xml><?xml version="1.0" encoding="utf-8"?>
<comments xmlns="http://schemas.openxmlformats.org/spreadsheetml/2006/main">
  <authors>
    <author>広島市</author>
    <author>楠 宏</author>
    <author>work7</author>
    <author>Windows ユーザー</author>
  </authors>
  <commentList>
    <comment ref="J5" authorId="0"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 ref="F30" authorId="1" shapeId="0">
      <text>
        <r>
          <rPr>
            <sz val="9"/>
            <color indexed="81"/>
            <rFont val="ＭＳ Ｐゴシック"/>
            <family val="3"/>
            <charset val="128"/>
          </rPr>
          <t>=+'I:\経理係フォルダ\☆決算事務\２８年度決算\06 H28決算　消費税計算\消費税（計画調整課より）\290517 H28決算で採用分\[特環 28（経企）改.xls]起現'!$D$98</t>
        </r>
      </text>
    </comment>
    <comment ref="N30" authorId="2" shapeId="0">
      <text>
        <r>
          <rPr>
            <b/>
            <sz val="9"/>
            <color indexed="81"/>
            <rFont val="MS P ゴシック"/>
            <family val="3"/>
            <charset val="128"/>
          </rPr>
          <t>補起単現繰分け資料より</t>
        </r>
      </text>
    </comment>
    <comment ref="E34" authorId="3" shapeId="0">
      <text>
        <r>
          <rPr>
            <sz val="9"/>
            <color indexed="81"/>
            <rFont val="ＭＳ Ｐゴシック"/>
            <family val="3"/>
            <charset val="128"/>
          </rPr>
          <t>事業別財源案分表（特環）より
（資本的支出の事業別財源内訳の元データ）</t>
        </r>
      </text>
    </comment>
    <comment ref="F50" authorId="1" shapeId="0">
      <text>
        <r>
          <rPr>
            <sz val="9"/>
            <color indexed="81"/>
            <rFont val="ＭＳ Ｐゴシック"/>
            <family val="3"/>
            <charset val="128"/>
          </rPr>
          <t>=+'I:\経理係フォルダ\☆決算事務\２８年度決算\06 H28決算　消費税計算\消費税（計画調整課より）\290517 H28決算で採用分\[農集 28（経企）改.xls]起現'!$D$98</t>
        </r>
      </text>
    </comment>
    <comment ref="N50" authorId="2" shapeId="0">
      <text>
        <r>
          <rPr>
            <b/>
            <sz val="9"/>
            <color indexed="81"/>
            <rFont val="MS P ゴシック"/>
            <family val="3"/>
            <charset val="128"/>
          </rPr>
          <t>補起単現繰分け資料より</t>
        </r>
      </text>
    </comment>
    <comment ref="E54" authorId="3" shapeId="0">
      <text>
        <r>
          <rPr>
            <sz val="9"/>
            <color indexed="81"/>
            <rFont val="ＭＳ Ｐゴシック"/>
            <family val="3"/>
            <charset val="128"/>
          </rPr>
          <t>事業別財源案分表（農集）より
（資本的支出の事業別財源内訳の元データ）</t>
        </r>
      </text>
    </comment>
    <comment ref="F70" authorId="1" shapeId="0">
      <text>
        <r>
          <rPr>
            <sz val="9"/>
            <color indexed="81"/>
            <rFont val="ＭＳ Ｐゴシック"/>
            <family val="3"/>
            <charset val="128"/>
          </rPr>
          <t>=+'I:\経理係フォルダ\☆決算事務\２８年度決算\06 H28決算　消費税計算\消費税（計画調整課より）\290517 H28決算で採用分\[浄化 28（経企）改.xls]起現'!$D$98</t>
        </r>
      </text>
    </comment>
    <comment ref="N70" authorId="2" shapeId="0">
      <text>
        <r>
          <rPr>
            <b/>
            <sz val="9"/>
            <color indexed="81"/>
            <rFont val="MS P ゴシック"/>
            <family val="3"/>
            <charset val="128"/>
          </rPr>
          <t>補起単現繰分け資料より</t>
        </r>
      </text>
    </comment>
    <comment ref="E74" authorId="3" shapeId="0">
      <text>
        <r>
          <rPr>
            <sz val="9"/>
            <color indexed="81"/>
            <rFont val="ＭＳ Ｐゴシック"/>
            <family val="3"/>
            <charset val="128"/>
          </rPr>
          <t>事業別財源案分表（浄化槽）より
（資本的支出の事業別財源内訳の元データ）</t>
        </r>
      </text>
    </comment>
  </commentList>
</comments>
</file>

<file path=xl/comments13.xml><?xml version="1.0" encoding="utf-8"?>
<comments xmlns="http://schemas.openxmlformats.org/spreadsheetml/2006/main">
  <authors>
    <author>広島市</author>
    <author>work7</author>
    <author>経理</author>
  </authors>
  <commentList>
    <comment ref="J5" authorId="0"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text>
    </comment>
    <comment ref="N12" authorId="1" shapeId="0">
      <text>
        <r>
          <rPr>
            <b/>
            <sz val="9"/>
            <color indexed="81"/>
            <rFont val="MS P ゴシック"/>
            <family val="3"/>
            <charset val="128"/>
          </rPr>
          <t>補起単現繰分け資料より</t>
        </r>
      </text>
    </comment>
    <comment ref="N18" authorId="1" shapeId="0">
      <text>
        <r>
          <rPr>
            <b/>
            <sz val="9"/>
            <color indexed="81"/>
            <rFont val="MS P ゴシック"/>
            <family val="3"/>
            <charset val="128"/>
          </rPr>
          <t>補起単現繰分け資料より</t>
        </r>
      </text>
    </comment>
    <comment ref="N26" authorId="1" shapeId="0">
      <text>
        <r>
          <rPr>
            <b/>
            <sz val="9"/>
            <color indexed="81"/>
            <rFont val="MS P ゴシック"/>
            <family val="3"/>
            <charset val="128"/>
          </rPr>
          <t>補起単現繰分け資料より</t>
        </r>
      </text>
    </comment>
    <comment ref="N32" authorId="1" shapeId="0">
      <text>
        <r>
          <rPr>
            <b/>
            <sz val="9"/>
            <color indexed="81"/>
            <rFont val="MS P ゴシック"/>
            <family val="3"/>
            <charset val="128"/>
          </rPr>
          <t>補起単現繰分け資料より</t>
        </r>
      </text>
    </comment>
    <comment ref="N40" authorId="1" shapeId="0">
      <text>
        <r>
          <rPr>
            <b/>
            <sz val="9"/>
            <color indexed="81"/>
            <rFont val="MS P ゴシック"/>
            <family val="3"/>
            <charset val="128"/>
          </rPr>
          <t>補起単現繰分け資料より</t>
        </r>
      </text>
    </comment>
    <comment ref="E44" authorId="2" shapeId="0">
      <text>
        <r>
          <rPr>
            <b/>
            <sz val="9"/>
            <color indexed="81"/>
            <rFont val="MS P ゴシック"/>
            <family val="3"/>
            <charset val="128"/>
          </rPr>
          <t>R4決算ではR2→R4事故繰越あり</t>
        </r>
        <r>
          <rPr>
            <sz val="9"/>
            <color indexed="81"/>
            <rFont val="MS P ゴシック"/>
            <family val="3"/>
            <charset val="128"/>
          </rPr>
          <t xml:space="preserve">
</t>
        </r>
      </text>
    </comment>
    <comment ref="N46" authorId="1" shapeId="0">
      <text>
        <r>
          <rPr>
            <b/>
            <sz val="9"/>
            <color indexed="81"/>
            <rFont val="MS P ゴシック"/>
            <family val="3"/>
            <charset val="128"/>
          </rPr>
          <t>補起単現繰分け資料より</t>
        </r>
      </text>
    </comment>
    <comment ref="N54" authorId="1" shapeId="0">
      <text>
        <r>
          <rPr>
            <b/>
            <sz val="9"/>
            <color indexed="81"/>
            <rFont val="MS P ゴシック"/>
            <family val="3"/>
            <charset val="128"/>
          </rPr>
          <t>補起単現繰分け資料より</t>
        </r>
      </text>
    </comment>
    <comment ref="N60" authorId="1" shapeId="0">
      <text>
        <r>
          <rPr>
            <b/>
            <sz val="9"/>
            <color indexed="81"/>
            <rFont val="MS P ゴシック"/>
            <family val="3"/>
            <charset val="128"/>
          </rPr>
          <t>補起単現繰分け資料より</t>
        </r>
      </text>
    </comment>
  </commentList>
</comments>
</file>

<file path=xl/comments14.xml><?xml version="1.0" encoding="utf-8"?>
<comments xmlns="http://schemas.openxmlformats.org/spreadsheetml/2006/main">
  <authors>
    <author>広島市</author>
    <author>work7</author>
    <author>経理</author>
    <author>楠 宏</author>
    <author>Windows ユーザー</author>
  </authors>
  <commentList>
    <comment ref="J5" authorId="0" shapeId="0">
      <text>
        <r>
          <rPr>
            <b/>
            <sz val="9"/>
            <color indexed="81"/>
            <rFont val="ＭＳ Ｐゴシック"/>
            <family val="3"/>
            <charset val="128"/>
          </rPr>
          <t xml:space="preserve">5％分に特定する場合であっても、特定収入に係る消費税額は、8％分として計算する。
平成25年政令第56号改正附則第14条第1項
（H30.6版 国、地方公共団体や公共・公益法人等と消費税 P22）
</t>
        </r>
        <r>
          <rPr>
            <b/>
            <sz val="9"/>
            <color indexed="10"/>
            <rFont val="ＭＳ Ｐゴシック"/>
            <family val="3"/>
            <charset val="128"/>
          </rPr>
          <t>税率改正時は要注意。附則の内容によっては、数式を変更すること。</t>
        </r>
        <r>
          <rPr>
            <b/>
            <sz val="9"/>
            <color indexed="81"/>
            <rFont val="ＭＳ Ｐゴシック"/>
            <family val="3"/>
            <charset val="128"/>
          </rPr>
          <t xml:space="preserve">
補助金等について、使途（借入金等の返済等のため）が特定されている場合は、従前（5%）の例による（元金償還充当分）。</t>
        </r>
      </text>
    </comment>
    <comment ref="F8" authorId="0" shapeId="0">
      <text>
        <r>
          <rPr>
            <b/>
            <sz val="9"/>
            <color indexed="81"/>
            <rFont val="ＭＳ Ｐゴシック"/>
            <family val="3"/>
            <charset val="128"/>
          </rPr>
          <t>=F25</t>
        </r>
        <r>
          <rPr>
            <sz val="9"/>
            <color indexed="81"/>
            <rFont val="ＭＳ Ｐゴシック"/>
            <family val="3"/>
            <charset val="128"/>
          </rPr>
          <t xml:space="preserve">
</t>
        </r>
      </text>
    </comment>
    <comment ref="N8" authorId="1" shapeId="0">
      <text>
        <r>
          <rPr>
            <b/>
            <sz val="9"/>
            <color indexed="81"/>
            <rFont val="MS P ゴシック"/>
            <family val="3"/>
            <charset val="128"/>
          </rPr>
          <t>補起単現繰分け資料より</t>
        </r>
      </text>
    </comment>
    <comment ref="F9" authorId="0" shapeId="0">
      <text>
        <r>
          <rPr>
            <b/>
            <sz val="9"/>
            <color indexed="81"/>
            <rFont val="ＭＳ Ｐゴシック"/>
            <family val="3"/>
            <charset val="128"/>
          </rPr>
          <t>=F26</t>
        </r>
      </text>
    </comment>
    <comment ref="F10" authorId="0" shapeId="0">
      <text>
        <r>
          <rPr>
            <b/>
            <sz val="9"/>
            <color indexed="81"/>
            <rFont val="ＭＳ Ｐゴシック"/>
            <family val="3"/>
            <charset val="128"/>
          </rPr>
          <t>=+'[①H28決算 収支・雨汚水・消費税・繰入【共通経費按分前】.xlsx]4条支出'!$J$8</t>
        </r>
        <r>
          <rPr>
            <sz val="9"/>
            <color indexed="81"/>
            <rFont val="ＭＳ Ｐゴシック"/>
            <family val="3"/>
            <charset val="128"/>
          </rPr>
          <t xml:space="preserve">
</t>
        </r>
      </text>
    </comment>
    <comment ref="N10" authorId="1" shapeId="0">
      <text>
        <r>
          <rPr>
            <b/>
            <sz val="9"/>
            <color indexed="81"/>
            <rFont val="MS P ゴシック"/>
            <family val="3"/>
            <charset val="128"/>
          </rPr>
          <t>「③4条支出」ファイルより</t>
        </r>
      </text>
    </comment>
    <comment ref="F11" authorId="0" shapeId="0">
      <text>
        <r>
          <rPr>
            <b/>
            <sz val="9"/>
            <color indexed="81"/>
            <rFont val="ＭＳ Ｐゴシック"/>
            <family val="3"/>
            <charset val="128"/>
          </rPr>
          <t>=+'[①H28決算 収支・雨汚水・消費税・繰入【共通経費按分前】.xlsx]4条支出'!$E$8</t>
        </r>
      </text>
    </comment>
    <comment ref="F12" authorId="0" shapeId="0">
      <text>
        <r>
          <rPr>
            <b/>
            <sz val="9"/>
            <color indexed="81"/>
            <rFont val="ＭＳ Ｐゴシック"/>
            <family val="3"/>
            <charset val="128"/>
          </rPr>
          <t>=+'[①H28決算 収支・雨汚水・消費税・繰入【共通経費按分前】.xlsx]4条支出'!$J$11</t>
        </r>
        <r>
          <rPr>
            <sz val="9"/>
            <color indexed="81"/>
            <rFont val="ＭＳ Ｐゴシック"/>
            <family val="3"/>
            <charset val="128"/>
          </rPr>
          <t xml:space="preserve">
</t>
        </r>
      </text>
    </comment>
    <comment ref="N12" authorId="1" shapeId="0">
      <text>
        <r>
          <rPr>
            <b/>
            <sz val="9"/>
            <color indexed="81"/>
            <rFont val="MS P ゴシック"/>
            <family val="3"/>
            <charset val="128"/>
          </rPr>
          <t>「③4条支出」ファイルより</t>
        </r>
      </text>
    </comment>
    <comment ref="F13" authorId="0" shapeId="0">
      <text>
        <r>
          <rPr>
            <b/>
            <sz val="9"/>
            <color indexed="81"/>
            <rFont val="ＭＳ Ｐゴシック"/>
            <family val="3"/>
            <charset val="128"/>
          </rPr>
          <t>=+'[①H28決算 収支・雨汚水・消費税・繰入【共通経費按分前】.xlsx]4条支出'!$E$11</t>
        </r>
        <r>
          <rPr>
            <sz val="9"/>
            <color indexed="81"/>
            <rFont val="ＭＳ Ｐゴシック"/>
            <family val="3"/>
            <charset val="128"/>
          </rPr>
          <t xml:space="preserve">
</t>
        </r>
      </text>
    </comment>
    <comment ref="N15" authorId="1" shapeId="0">
      <text>
        <r>
          <rPr>
            <b/>
            <sz val="9"/>
            <color indexed="81"/>
            <rFont val="MS P ゴシック"/>
            <family val="3"/>
            <charset val="128"/>
          </rPr>
          <t>「算出と帳票（計調）」より</t>
        </r>
      </text>
    </comment>
    <comment ref="B16" authorId="2" shapeId="0">
      <text>
        <r>
          <rPr>
            <b/>
            <sz val="9"/>
            <color indexed="81"/>
            <rFont val="MS P ゴシック"/>
            <family val="3"/>
            <charset val="128"/>
          </rPr>
          <t>移設等補償</t>
        </r>
        <r>
          <rPr>
            <sz val="9"/>
            <color indexed="81"/>
            <rFont val="MS P ゴシック"/>
            <family val="3"/>
            <charset val="128"/>
          </rPr>
          <t xml:space="preserve">
</t>
        </r>
      </text>
    </comment>
    <comment ref="H18" authorId="0" shapeId="0">
      <text>
        <r>
          <rPr>
            <b/>
            <sz val="9"/>
            <color indexed="81"/>
            <rFont val="ＭＳ Ｐゴシック"/>
            <family val="3"/>
            <charset val="128"/>
          </rPr>
          <t xml:space="preserve">自動で按分されてしまうが、他事業者から補償金をもらって下水道資産を移転する場合（協定書等により特定可能）には、すべて特定収入に特定すること。
</t>
        </r>
        <r>
          <rPr>
            <b/>
            <sz val="11"/>
            <color indexed="10"/>
            <rFont val="ＭＳ Ｐゴシック"/>
            <family val="3"/>
            <charset val="128"/>
          </rPr>
          <t>式に手修正 要！以下農集、浄化槽も同じ</t>
        </r>
      </text>
    </comment>
    <comment ref="N18" authorId="1" shapeId="0">
      <text>
        <r>
          <rPr>
            <b/>
            <sz val="9"/>
            <color indexed="81"/>
            <rFont val="MS P ゴシック"/>
            <family val="3"/>
            <charset val="128"/>
          </rPr>
          <t>「③4条支出」ファイルより</t>
        </r>
      </text>
    </comment>
    <comment ref="N20" authorId="1" shapeId="0">
      <text>
        <r>
          <rPr>
            <b/>
            <sz val="9"/>
            <color indexed="81"/>
            <rFont val="MS P ゴシック"/>
            <family val="3"/>
            <charset val="128"/>
          </rPr>
          <t>「③4条支出」ファイルより</t>
        </r>
      </text>
    </comment>
    <comment ref="N22" authorId="1" shapeId="0">
      <text>
        <r>
          <rPr>
            <b/>
            <sz val="9"/>
            <color indexed="81"/>
            <rFont val="MS P ゴシック"/>
            <family val="3"/>
            <charset val="128"/>
          </rPr>
          <t>「③4条支出」ファイルより</t>
        </r>
      </text>
    </comment>
    <comment ref="F27" authorId="3" shapeId="0">
      <text>
        <r>
          <rPr>
            <sz val="9"/>
            <color indexed="81"/>
            <rFont val="ＭＳ Ｐゴシック"/>
            <family val="3"/>
            <charset val="128"/>
          </rPr>
          <t>=+'I:\経理係フォルダ\☆決算事務\２８年度決算\06 H28決算　消費税計算\消費税（計画調整課より）\290517 H28決算で採用分\[公共 28（経企）改.xls]単現'!$D$94</t>
        </r>
      </text>
    </comment>
    <comment ref="F28" authorId="4" shapeId="0">
      <text>
        <r>
          <rPr>
            <sz val="9"/>
            <color indexed="81"/>
            <rFont val="ＭＳ Ｐゴシック"/>
            <family val="3"/>
            <charset val="128"/>
          </rPr>
          <t>事業別財源案分表（公共）より
（資本的支出の事業別財源内訳の元データ）</t>
        </r>
      </text>
    </comment>
    <comment ref="F30" authorId="3" shapeId="0">
      <text>
        <r>
          <rPr>
            <sz val="9"/>
            <color indexed="81"/>
            <rFont val="ＭＳ Ｐゴシック"/>
            <family val="3"/>
            <charset val="128"/>
          </rPr>
          <t>=+'I:\経理係フォルダ\☆決算事務\２８年度決算\06 H28決算　消費税計算\消費税（計画調整課より）\290517 H28決算で採用分\[公共 28（経企）改.xls]単繰'!$D$94</t>
        </r>
      </text>
    </comment>
    <comment ref="F31" authorId="4" shapeId="0">
      <text>
        <r>
          <rPr>
            <sz val="9"/>
            <color indexed="81"/>
            <rFont val="ＭＳ Ｐゴシック"/>
            <family val="3"/>
            <charset val="128"/>
          </rPr>
          <t>事業別財源案分表（公共）より
（資本的支出の事業別財源内訳の元データ）</t>
        </r>
      </text>
    </comment>
  </commentList>
</comments>
</file>

<file path=xl/comments15.xml><?xml version="1.0" encoding="utf-8"?>
<comments xmlns="http://schemas.openxmlformats.org/spreadsheetml/2006/main">
  <authors>
    <author>安達 謙介</author>
    <author>work</author>
    <author>広島市</author>
    <author>楠 宏</author>
  </authors>
  <commentList>
    <comment ref="R5" authorId="0" shapeId="0">
      <text>
        <r>
          <rPr>
            <b/>
            <sz val="9"/>
            <color indexed="81"/>
            <rFont val="MS P ゴシック"/>
            <family val="3"/>
            <charset val="128"/>
          </rPr>
          <t>印刷時はここで0orブランク以外を抽出</t>
        </r>
      </text>
    </comment>
    <comment ref="J10" authorId="1" shapeId="0">
      <text>
        <r>
          <rPr>
            <sz val="8"/>
            <color indexed="81"/>
            <rFont val="MS P ゴシック"/>
            <family val="3"/>
            <charset val="128"/>
          </rPr>
          <t>大須の工事負担金は県の行う事業の工事負担金をいったん広島市４条支出の工事負担金として支払った後で、府中町に請求するものである。
４条支出の工事負担金は起債が財源となっているため起債が財源充当事業となる。</t>
        </r>
      </text>
    </comment>
    <comment ref="K11" authorId="2" shapeId="0">
      <text>
        <r>
          <rPr>
            <sz val="9"/>
            <color indexed="81"/>
            <rFont val="ＭＳ Ｐゴシック"/>
            <family val="3"/>
            <charset val="128"/>
          </rPr>
          <t>単市事業分に係る負担金
（計画調整課に確認）</t>
        </r>
      </text>
    </comment>
    <comment ref="E31" authorId="3" shapeId="0">
      <text>
        <r>
          <rPr>
            <sz val="8"/>
            <color indexed="81"/>
            <rFont val="ＭＳ Ｐゴシック"/>
            <family val="3"/>
            <charset val="128"/>
          </rPr>
          <t>全伝票　工事負担金及び
管理課伺い写しより</t>
        </r>
      </text>
    </comment>
    <comment ref="E39" authorId="3" shapeId="0">
      <text>
        <r>
          <rPr>
            <sz val="8"/>
            <color indexed="81"/>
            <rFont val="ＭＳ Ｐゴシック"/>
            <family val="3"/>
            <charset val="128"/>
          </rPr>
          <t>補償工事
Ｈ26年度あり、Ｈ27年度なし
Ｈ28年度あり、Ｈ29年度なし</t>
        </r>
      </text>
    </comment>
  </commentList>
</comments>
</file>

<file path=xl/comments16.xml><?xml version="1.0" encoding="utf-8"?>
<comments xmlns="http://schemas.openxmlformats.org/spreadsheetml/2006/main">
  <authors>
    <author>Windows ユーザー</author>
  </authors>
  <commentList>
    <comment ref="O7" authorId="0" shapeId="0">
      <text>
        <r>
          <rPr>
            <sz val="11"/>
            <color indexed="81"/>
            <rFont val="ＭＳ Ｐゴシック"/>
            <family val="3"/>
            <charset val="128"/>
          </rPr>
          <t>起案書に添付している償還表にふった番号。①はh26.3.25借換により2本に分かれたため、平成26年度予算（h25.10）以降は２つの償還表を合算すること。</t>
        </r>
      </text>
    </comment>
  </commentList>
</comments>
</file>

<file path=xl/comments17.xml><?xml version="1.0" encoding="utf-8"?>
<comments xmlns="http://schemas.openxmlformats.org/spreadsheetml/2006/main">
  <authors>
    <author>中尾 尚武</author>
    <author>楠 宏</author>
    <author>Windows ユーザー</author>
  </authors>
  <commentList>
    <comment ref="C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Q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Y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Q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'!$B8　以下一行ずれ</t>
        </r>
      </text>
    </comment>
    <comment ref="S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'!$D8　以下一行ずれ</t>
        </r>
      </text>
    </comment>
    <comment ref="T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'!$E8　以下一行ずれ</t>
        </r>
      </text>
    </comment>
    <comment ref="Y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'!$B8　以下一行ずれ</t>
        </r>
      </text>
    </comment>
    <comment ref="AA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'!$D8　以下一行ずれ</t>
        </r>
      </text>
    </comment>
    <comment ref="AB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'!$E8　以下一行ずれ</t>
        </r>
      </text>
    </comment>
    <comment ref="U48" authorId="2" shapeId="0">
      <text>
        <r>
          <rPr>
            <sz val="11"/>
            <color indexed="81"/>
            <rFont val="ＭＳ Ｐゴシック"/>
            <family val="3"/>
            <charset val="128"/>
          </rPr>
          <t>ここも入力して端数調整する　　
=+I:\経理係フォルダ\☆決算事務\２８年度決算\06 H28決算　消費税計算\不課税エクセル　材料\他市町負担金算定資料（計調庶務ラインより）\[2-3-1　算出と帳票（広島市） 28年9月.xls](出力)案の４（海田）'!$D$23</t>
        </r>
      </text>
    </comment>
    <comment ref="AC48" authorId="2" shapeId="0">
      <text>
        <r>
          <rPr>
            <sz val="11"/>
            <color indexed="81"/>
            <rFont val="ＭＳ Ｐゴシック"/>
            <family val="3"/>
            <charset val="128"/>
          </rPr>
          <t>ここも入力して端数調整する　　
=+I:\経理係フォルダ\☆決算事務\２８年度決算\06 H28決算　消費税計算\不課税エクセル　材料\他市町負担金算定資料（計調庶務ラインより）\[2-3-1　算出と帳票（広島市） 29年3月.xls](出力)案の４（海田）'!$D$23</t>
        </r>
      </text>
    </comment>
  </commentList>
</comments>
</file>

<file path=xl/comments18.xml><?xml version="1.0" encoding="utf-8"?>
<comments xmlns="http://schemas.openxmlformats.org/spreadsheetml/2006/main">
  <authors>
    <author>中尾 尚武</author>
    <author>楠 宏</author>
    <author>経理</author>
    <author>Windows ユーザー</author>
  </authors>
  <commentList>
    <comment ref="C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Q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Y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Q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'!$B8　以下一行ずれ</t>
        </r>
      </text>
    </comment>
    <comment ref="S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'!$D8　以下一行ずれ</t>
        </r>
      </text>
    </comment>
    <comment ref="T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'!$E8　以下一行ずれ</t>
        </r>
      </text>
    </comment>
    <comment ref="Y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'!$B8　以下一行ずれ</t>
        </r>
      </text>
    </comment>
    <comment ref="AA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'!$D8　以下一行ずれ</t>
        </r>
      </text>
    </comment>
    <comment ref="AB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'!$E8　以下一行ずれ</t>
        </r>
      </text>
    </comment>
    <comment ref="N43" authorId="2" shapeId="0">
      <text>
        <r>
          <rPr>
            <b/>
            <sz val="9"/>
            <color indexed="81"/>
            <rFont val="MS P ゴシック"/>
            <family val="3"/>
            <charset val="128"/>
          </rPr>
          <t>特定収入に係る仕入れ控除税額の調整計算：10％で調整</t>
        </r>
        <r>
          <rPr>
            <sz val="9"/>
            <color indexed="81"/>
            <rFont val="MS P ゴシック"/>
            <family val="3"/>
            <charset val="128"/>
          </rPr>
          <t xml:space="preserve">
</t>
        </r>
      </text>
    </comment>
    <comment ref="U48" authorId="3" shapeId="0">
      <text>
        <r>
          <rPr>
            <sz val="11"/>
            <color indexed="81"/>
            <rFont val="ＭＳ Ｐゴシック"/>
            <family val="3"/>
            <charset val="128"/>
          </rPr>
          <t>ここも入力して端数調整する　　
=+I:\経理係フォルダ\☆決算事務\２８年度決算\06 H28決算　消費税計算\不課税エクセル　材料\他市町負担金算定資料（計調庶務ラインより）\[2-3-1　算出と帳票（広島市） 28年9月.xls](出力)案の４（海田）'!$D$23</t>
        </r>
      </text>
    </comment>
    <comment ref="AC48" authorId="3" shapeId="0">
      <text>
        <r>
          <rPr>
            <sz val="11"/>
            <color indexed="81"/>
            <rFont val="ＭＳ Ｐゴシック"/>
            <family val="3"/>
            <charset val="128"/>
          </rPr>
          <t>ここも入力して端数調整する　　
=+I:\経理係フォルダ\☆決算事務\２８年度決算\06 H28決算　消費税計算\不課税エクセル　材料\他市町負担金算定資料（計調庶務ラインより）\[2-3-1　算出と帳票（広島市） 29年3月.xls](出力)案の４（海田）'!$D$23</t>
        </r>
      </text>
    </comment>
  </commentList>
</comments>
</file>

<file path=xl/comments19.xml><?xml version="1.0" encoding="utf-8"?>
<comments xmlns="http://schemas.openxmlformats.org/spreadsheetml/2006/main">
  <authors>
    <author>中尾 尚武</author>
    <author>楠 宏</author>
    <author>広島市</author>
    <author>Windows ユーザー</author>
  </authors>
  <commentList>
    <comment ref="C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Q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Y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Q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'!$B8　以下一行ずれ</t>
        </r>
      </text>
    </comment>
    <comment ref="S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'!$D8　以下一行ずれ</t>
        </r>
      </text>
    </comment>
    <comment ref="T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'!$E8　以下一行ずれ</t>
        </r>
      </text>
    </comment>
    <comment ref="Y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'!$B8　以下一行ずれ</t>
        </r>
      </text>
    </comment>
    <comment ref="AA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'!$D8　以下一行ずれ</t>
        </r>
      </text>
    </comment>
    <comment ref="AB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'!$E8　以下一行ずれ</t>
        </r>
      </text>
    </comment>
    <comment ref="AC9" authorId="2" shapeId="0">
      <text>
        <r>
          <rPr>
            <b/>
            <sz val="9"/>
            <color indexed="81"/>
            <rFont val="ＭＳ Ｐゴシック"/>
            <family val="3"/>
            <charset val="128"/>
          </rPr>
          <t>端数調整</t>
        </r>
      </text>
    </comment>
    <comment ref="AC12" authorId="2" shapeId="0">
      <text>
        <r>
          <rPr>
            <b/>
            <sz val="9"/>
            <color indexed="81"/>
            <rFont val="ＭＳ Ｐゴシック"/>
            <family val="3"/>
            <charset val="128"/>
          </rPr>
          <t>端数調整</t>
        </r>
      </text>
    </comment>
    <comment ref="AC13" authorId="2" shapeId="0">
      <text>
        <r>
          <rPr>
            <b/>
            <sz val="9"/>
            <color indexed="81"/>
            <rFont val="ＭＳ Ｐゴシック"/>
            <family val="3"/>
            <charset val="128"/>
          </rPr>
          <t>端数調整</t>
        </r>
      </text>
    </comment>
    <comment ref="U17" authorId="2" shapeId="0">
      <text>
        <r>
          <rPr>
            <b/>
            <sz val="9"/>
            <color indexed="81"/>
            <rFont val="ＭＳ Ｐゴシック"/>
            <family val="3"/>
            <charset val="128"/>
          </rPr>
          <t>端数調整</t>
        </r>
      </text>
    </comment>
    <comment ref="U18" authorId="2" shapeId="0">
      <text>
        <r>
          <rPr>
            <b/>
            <sz val="9"/>
            <color indexed="81"/>
            <rFont val="ＭＳ Ｐゴシック"/>
            <family val="3"/>
            <charset val="128"/>
          </rPr>
          <t>端数調整</t>
        </r>
      </text>
    </comment>
    <comment ref="U26" authorId="2" shapeId="0">
      <text>
        <r>
          <rPr>
            <b/>
            <sz val="9"/>
            <color indexed="81"/>
            <rFont val="ＭＳ Ｐゴシック"/>
            <family val="3"/>
            <charset val="128"/>
          </rPr>
          <t>端数調整</t>
        </r>
      </text>
    </comment>
    <comment ref="U28" authorId="2" shapeId="0">
      <text>
        <r>
          <rPr>
            <b/>
            <sz val="9"/>
            <color indexed="81"/>
            <rFont val="ＭＳ Ｐゴシック"/>
            <family val="3"/>
            <charset val="128"/>
          </rPr>
          <t>端数調整</t>
        </r>
      </text>
    </comment>
    <comment ref="U48" authorId="3" shapeId="0">
      <text>
        <r>
          <rPr>
            <sz val="11"/>
            <color indexed="81"/>
            <rFont val="ＭＳ Ｐゴシック"/>
            <family val="3"/>
            <charset val="128"/>
          </rPr>
          <t>ここも入力して端数調整する　　
=+I:\経理係フォルダ\☆決算事務\２８年度決算\06 H28決算　消費税計算\不課税エクセル　材料\他市町負担金算定資料（計調庶務ラインより）\[2-3-1　算出と帳票（広島市） 28年9月.xls](出力)案の４（海田）'!$D$23</t>
        </r>
      </text>
    </comment>
    <comment ref="AC48" authorId="3" shapeId="0">
      <text>
        <r>
          <rPr>
            <sz val="11"/>
            <color indexed="81"/>
            <rFont val="ＭＳ Ｐゴシック"/>
            <family val="3"/>
            <charset val="128"/>
          </rPr>
          <t>ここも入力して端数調整する　　
=+I:\経理係フォルダ\☆決算事務\２８年度決算\06 H28決算　消費税計算\不課税エクセル　材料\他市町負担金算定資料（計調庶務ラインより）\[2-3-1　算出と帳票（広島市） 29年3月.xls](出力)案の４（海田）'!$D$23</t>
        </r>
      </text>
    </comment>
  </commentList>
</comments>
</file>

<file path=xl/comments20.xml><?xml version="1.0" encoding="utf-8"?>
<comments xmlns="http://schemas.openxmlformats.org/spreadsheetml/2006/main">
  <authors>
    <author>中尾 尚武</author>
    <author>楠 宏</author>
    <author>広島市</author>
    <author>Windows ユーザー</author>
  </authors>
  <commentList>
    <comment ref="C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Q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Y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Q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'!$B8　以下一行ずれ</t>
        </r>
      </text>
    </comment>
    <comment ref="S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'!$D8　以下一行ずれ</t>
        </r>
      </text>
    </comment>
    <comment ref="T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'!$E8　以下一行ずれ</t>
        </r>
      </text>
    </comment>
    <comment ref="Y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'!$B8　以下一行ずれ</t>
        </r>
      </text>
    </comment>
    <comment ref="AA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'!$D8　以下一行ずれ</t>
        </r>
      </text>
    </comment>
    <comment ref="AB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'!$E8　以下一行ずれ</t>
        </r>
      </text>
    </comment>
    <comment ref="AC9" authorId="2" shapeId="0">
      <text>
        <r>
          <rPr>
            <b/>
            <sz val="9"/>
            <color indexed="81"/>
            <rFont val="ＭＳ Ｐゴシック"/>
            <family val="3"/>
            <charset val="128"/>
          </rPr>
          <t>端数調整</t>
        </r>
      </text>
    </comment>
    <comment ref="AC12" authorId="2" shapeId="0">
      <text>
        <r>
          <rPr>
            <b/>
            <sz val="9"/>
            <color indexed="81"/>
            <rFont val="ＭＳ Ｐゴシック"/>
            <family val="3"/>
            <charset val="128"/>
          </rPr>
          <t>端数調整</t>
        </r>
      </text>
    </comment>
    <comment ref="AC13" authorId="2" shapeId="0">
      <text>
        <r>
          <rPr>
            <b/>
            <sz val="9"/>
            <color indexed="81"/>
            <rFont val="ＭＳ Ｐゴシック"/>
            <family val="3"/>
            <charset val="128"/>
          </rPr>
          <t>端数調整</t>
        </r>
      </text>
    </comment>
    <comment ref="U17" authorId="2" shapeId="0">
      <text>
        <r>
          <rPr>
            <b/>
            <sz val="9"/>
            <color indexed="81"/>
            <rFont val="ＭＳ Ｐゴシック"/>
            <family val="3"/>
            <charset val="128"/>
          </rPr>
          <t>端数調整</t>
        </r>
      </text>
    </comment>
    <comment ref="U18" authorId="2" shapeId="0">
      <text>
        <r>
          <rPr>
            <b/>
            <sz val="9"/>
            <color indexed="81"/>
            <rFont val="ＭＳ Ｐゴシック"/>
            <family val="3"/>
            <charset val="128"/>
          </rPr>
          <t>端数調整</t>
        </r>
      </text>
    </comment>
    <comment ref="U26" authorId="2" shapeId="0">
      <text>
        <r>
          <rPr>
            <b/>
            <sz val="9"/>
            <color indexed="81"/>
            <rFont val="ＭＳ Ｐゴシック"/>
            <family val="3"/>
            <charset val="128"/>
          </rPr>
          <t>端数調整</t>
        </r>
      </text>
    </comment>
    <comment ref="U28" authorId="2" shapeId="0">
      <text>
        <r>
          <rPr>
            <b/>
            <sz val="9"/>
            <color indexed="81"/>
            <rFont val="ＭＳ Ｐゴシック"/>
            <family val="3"/>
            <charset val="128"/>
          </rPr>
          <t>端数調整</t>
        </r>
      </text>
    </comment>
    <comment ref="U48" authorId="3" shapeId="0">
      <text>
        <r>
          <rPr>
            <sz val="11"/>
            <color indexed="81"/>
            <rFont val="ＭＳ Ｐゴシック"/>
            <family val="3"/>
            <charset val="128"/>
          </rPr>
          <t>ここも入力して端数調整する　　
=+I:\経理係フォルダ\☆決算事務\２８年度決算\06 H28決算　消費税計算\不課税エクセル　材料\他市町負担金算定資料（計調庶務ラインより）\[2-3-1　算出と帳票（広島市） 28年9月.xls](出力)案の４（海田）'!$D$23</t>
        </r>
      </text>
    </comment>
    <comment ref="AC48" authorId="3" shapeId="0">
      <text>
        <r>
          <rPr>
            <sz val="11"/>
            <color indexed="81"/>
            <rFont val="ＭＳ Ｐゴシック"/>
            <family val="3"/>
            <charset val="128"/>
          </rPr>
          <t>ここも入力して端数調整する　　
=+I:\経理係フォルダ\☆決算事務\２８年度決算\06 H28決算　消費税計算\不課税エクセル　材料\他市町負担金算定資料（計調庶務ラインより）\[2-3-1　算出と帳票（広島市） 29年3月.xls](出力)案の４（海田）'!$D$23</t>
        </r>
      </text>
    </comment>
  </commentList>
</comments>
</file>

<file path=xl/comments21.xml><?xml version="1.0" encoding="utf-8"?>
<comments xmlns="http://schemas.openxmlformats.org/spreadsheetml/2006/main">
  <authors>
    <author>中尾 尚武</author>
    <author>楠 宏</author>
    <author>広島市</author>
    <author>Windows ユーザー</author>
  </authors>
  <commentList>
    <comment ref="C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Q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Y4" authorId="0" shapeId="0">
      <text>
        <r>
          <rPr>
            <sz val="9"/>
            <color indexed="81"/>
            <rFont val="ＭＳ Ｐゴシック"/>
            <family val="3"/>
            <charset val="128"/>
          </rPr>
          <t>計画調整課他市町負担金担当（H28年度は有馬主査）にデータを提供してもらいリンク（以下廿「日市」シートまで同様</t>
        </r>
      </text>
    </comment>
    <comment ref="Q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'!$B8　以下一行ずれ</t>
        </r>
      </text>
    </comment>
    <comment ref="S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'!$D8　以下一行ずれ</t>
        </r>
      </text>
    </comment>
    <comment ref="T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28年9月.xls]（出力）差引負担額 海田町 '!$E8　以下一行ずれ</t>
        </r>
      </text>
    </comment>
    <comment ref="Y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'!$B8　以下一行ずれ</t>
        </r>
      </text>
    </comment>
    <comment ref="AA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'!$D8　以下一行ずれ</t>
        </r>
      </text>
    </comment>
    <comment ref="AB9" authorId="1" shapeId="0">
      <text>
        <r>
          <rPr>
            <sz val="9"/>
            <color indexed="81"/>
            <rFont val="ＭＳ Ｐゴシック"/>
            <family val="3"/>
            <charset val="128"/>
          </rPr>
          <t>=+I:\経理係フォルダ\☆決算事務\２８年度決算\06 H28決算　消費税計算\不課税エクセル　材料\他市町負担金算定資料（計調庶務ラインより）\[2-3-1　算出と帳票（広島市） 29年3月.xls]（出力）差引負担額 海田町 '!$E8　以下一行ずれ</t>
        </r>
      </text>
    </comment>
    <comment ref="AC9" authorId="2" shapeId="0">
      <text>
        <r>
          <rPr>
            <b/>
            <sz val="9"/>
            <color indexed="81"/>
            <rFont val="ＭＳ Ｐゴシック"/>
            <family val="3"/>
            <charset val="128"/>
          </rPr>
          <t>端数調整</t>
        </r>
      </text>
    </comment>
    <comment ref="AC12" authorId="2" shapeId="0">
      <text>
        <r>
          <rPr>
            <b/>
            <sz val="9"/>
            <color indexed="81"/>
            <rFont val="ＭＳ Ｐゴシック"/>
            <family val="3"/>
            <charset val="128"/>
          </rPr>
          <t>端数調整</t>
        </r>
      </text>
    </comment>
    <comment ref="AC13" authorId="2" shapeId="0">
      <text>
        <r>
          <rPr>
            <b/>
            <sz val="9"/>
            <color indexed="81"/>
            <rFont val="ＭＳ Ｐゴシック"/>
            <family val="3"/>
            <charset val="128"/>
          </rPr>
          <t>端数調整</t>
        </r>
      </text>
    </comment>
    <comment ref="U17" authorId="2" shapeId="0">
      <text>
        <r>
          <rPr>
            <b/>
            <sz val="9"/>
            <color indexed="81"/>
            <rFont val="ＭＳ Ｐゴシック"/>
            <family val="3"/>
            <charset val="128"/>
          </rPr>
          <t>端数調整</t>
        </r>
      </text>
    </comment>
    <comment ref="U18" authorId="2" shapeId="0">
      <text>
        <r>
          <rPr>
            <b/>
            <sz val="9"/>
            <color indexed="81"/>
            <rFont val="ＭＳ Ｐゴシック"/>
            <family val="3"/>
            <charset val="128"/>
          </rPr>
          <t>端数調整</t>
        </r>
      </text>
    </comment>
    <comment ref="U26" authorId="2" shapeId="0">
      <text>
        <r>
          <rPr>
            <b/>
            <sz val="9"/>
            <color indexed="81"/>
            <rFont val="ＭＳ Ｐゴシック"/>
            <family val="3"/>
            <charset val="128"/>
          </rPr>
          <t>端数調整</t>
        </r>
      </text>
    </comment>
    <comment ref="U28" authorId="2" shapeId="0">
      <text>
        <r>
          <rPr>
            <b/>
            <sz val="9"/>
            <color indexed="81"/>
            <rFont val="ＭＳ Ｐゴシック"/>
            <family val="3"/>
            <charset val="128"/>
          </rPr>
          <t>端数調整</t>
        </r>
      </text>
    </comment>
    <comment ref="U48" authorId="3" shapeId="0">
      <text>
        <r>
          <rPr>
            <sz val="11"/>
            <color indexed="81"/>
            <rFont val="ＭＳ Ｐゴシック"/>
            <family val="3"/>
            <charset val="128"/>
          </rPr>
          <t>ここも入力して端数調整する　　
=+I:\経理係フォルダ\☆決算事務\２８年度決算\06 H28決算　消費税計算\不課税エクセル　材料\他市町負担金算定資料（計調庶務ラインより）\[2-3-1　算出と帳票（広島市） 28年9月.xls](出力)案の４（海田）'!$D$23</t>
        </r>
      </text>
    </comment>
    <comment ref="AC48" authorId="3" shapeId="0">
      <text>
        <r>
          <rPr>
            <sz val="11"/>
            <color indexed="81"/>
            <rFont val="ＭＳ Ｐゴシック"/>
            <family val="3"/>
            <charset val="128"/>
          </rPr>
          <t>ここも入力して端数調整する　　
=+I:\経理係フォルダ\☆決算事務\２８年度決算\06 H28決算　消費税計算\不課税エクセル　材料\他市町負担金算定資料（計調庶務ラインより）\[2-3-1　算出と帳票（広島市） 29年3月.xls](出力)案の４（海田）'!$D$23</t>
        </r>
      </text>
    </comment>
  </commentList>
</comments>
</file>

<file path=xl/sharedStrings.xml><?xml version="1.0" encoding="utf-8"?>
<sst xmlns="http://schemas.openxmlformats.org/spreadsheetml/2006/main" count="1559" uniqueCount="585">
  <si>
    <t>雨水処理負担金</t>
    <rPh sb="0" eb="2">
      <t>ウスイ</t>
    </rPh>
    <rPh sb="2" eb="4">
      <t>ショリ</t>
    </rPh>
    <rPh sb="4" eb="7">
      <t>フタンキン</t>
    </rPh>
    <phoneticPr fontId="2"/>
  </si>
  <si>
    <t>維持管理費分</t>
    <rPh sb="0" eb="2">
      <t>イジ</t>
    </rPh>
    <rPh sb="2" eb="5">
      <t>カンリヒ</t>
    </rPh>
    <rPh sb="5" eb="6">
      <t>ブン</t>
    </rPh>
    <phoneticPr fontId="2"/>
  </si>
  <si>
    <t>負担金</t>
    <rPh sb="0" eb="3">
      <t>フタンキン</t>
    </rPh>
    <phoneticPr fontId="2"/>
  </si>
  <si>
    <t>汚水処理補助金</t>
    <rPh sb="0" eb="2">
      <t>オスイ</t>
    </rPh>
    <rPh sb="2" eb="4">
      <t>ショリ</t>
    </rPh>
    <rPh sb="4" eb="7">
      <t>ホジョキン</t>
    </rPh>
    <phoneticPr fontId="2"/>
  </si>
  <si>
    <t>国庫補助金</t>
    <rPh sb="0" eb="2">
      <t>コッコ</t>
    </rPh>
    <rPh sb="2" eb="5">
      <t>ホジョキン</t>
    </rPh>
    <phoneticPr fontId="2"/>
  </si>
  <si>
    <t>管路等・一般</t>
    <rPh sb="0" eb="1">
      <t>カン</t>
    </rPh>
    <rPh sb="1" eb="2">
      <t>ロ</t>
    </rPh>
    <rPh sb="2" eb="3">
      <t>トウ</t>
    </rPh>
    <rPh sb="4" eb="6">
      <t>イッパン</t>
    </rPh>
    <phoneticPr fontId="2"/>
  </si>
  <si>
    <t>管路等・用地国債</t>
    <rPh sb="0" eb="1">
      <t>カン</t>
    </rPh>
    <rPh sb="1" eb="2">
      <t>ロ</t>
    </rPh>
    <rPh sb="2" eb="3">
      <t>トウ</t>
    </rPh>
    <rPh sb="4" eb="6">
      <t>ヨウチ</t>
    </rPh>
    <rPh sb="6" eb="8">
      <t>コクサイ</t>
    </rPh>
    <phoneticPr fontId="2"/>
  </si>
  <si>
    <t>管路等・特債</t>
    <rPh sb="0" eb="1">
      <t>カン</t>
    </rPh>
    <rPh sb="1" eb="2">
      <t>ロ</t>
    </rPh>
    <rPh sb="2" eb="3">
      <t>トウ</t>
    </rPh>
    <rPh sb="4" eb="5">
      <t>トク</t>
    </rPh>
    <rPh sb="5" eb="6">
      <t>サイ</t>
    </rPh>
    <phoneticPr fontId="2"/>
  </si>
  <si>
    <t>処理場・一般・高率</t>
    <rPh sb="0" eb="3">
      <t>ショリジョウ</t>
    </rPh>
    <rPh sb="4" eb="6">
      <t>イッパン</t>
    </rPh>
    <rPh sb="7" eb="9">
      <t>コウリツ</t>
    </rPh>
    <phoneticPr fontId="2"/>
  </si>
  <si>
    <t>処理場・一般・低率</t>
    <rPh sb="0" eb="3">
      <t>ショリジョウ</t>
    </rPh>
    <rPh sb="4" eb="6">
      <t>イッパン</t>
    </rPh>
    <rPh sb="7" eb="8">
      <t>テイ</t>
    </rPh>
    <rPh sb="8" eb="9">
      <t>コウリツ</t>
    </rPh>
    <phoneticPr fontId="2"/>
  </si>
  <si>
    <t>処理場・用地国債</t>
    <rPh sb="0" eb="3">
      <t>ショリジョウ</t>
    </rPh>
    <rPh sb="4" eb="6">
      <t>ヨウチ</t>
    </rPh>
    <rPh sb="6" eb="8">
      <t>コクサイ</t>
    </rPh>
    <phoneticPr fontId="2"/>
  </si>
  <si>
    <t>処理場・特債・高率</t>
    <rPh sb="0" eb="3">
      <t>ショリジョウ</t>
    </rPh>
    <rPh sb="4" eb="5">
      <t>トク</t>
    </rPh>
    <rPh sb="5" eb="6">
      <t>サイ</t>
    </rPh>
    <rPh sb="7" eb="9">
      <t>コウリツ</t>
    </rPh>
    <phoneticPr fontId="2"/>
  </si>
  <si>
    <t>処理場・特債・低率</t>
    <rPh sb="0" eb="3">
      <t>ショリジョウ</t>
    </rPh>
    <rPh sb="4" eb="5">
      <t>トク</t>
    </rPh>
    <rPh sb="5" eb="6">
      <t>サイ</t>
    </rPh>
    <rPh sb="7" eb="8">
      <t>テイ</t>
    </rPh>
    <rPh sb="8" eb="9">
      <t>コウリツ</t>
    </rPh>
    <phoneticPr fontId="2"/>
  </si>
  <si>
    <t>過年度補助金</t>
    <rPh sb="0" eb="3">
      <t>カネンド</t>
    </rPh>
    <rPh sb="3" eb="6">
      <t>ホジョキン</t>
    </rPh>
    <phoneticPr fontId="2"/>
  </si>
  <si>
    <t>(単位：円)</t>
    <rPh sb="1" eb="3">
      <t>タンイ</t>
    </rPh>
    <rPh sb="4" eb="5">
      <t>エン</t>
    </rPh>
    <phoneticPr fontId="2"/>
  </si>
  <si>
    <t>区分</t>
    <rPh sb="0" eb="2">
      <t>クブン</t>
    </rPh>
    <phoneticPr fontId="2"/>
  </si>
  <si>
    <t>特定収入</t>
    <rPh sb="0" eb="2">
      <t>トクテイ</t>
    </rPh>
    <rPh sb="2" eb="4">
      <t>シュウニュウ</t>
    </rPh>
    <phoneticPr fontId="2"/>
  </si>
  <si>
    <t>特定収入
以外</t>
  </si>
  <si>
    <t>減価償却費分</t>
    <rPh sb="0" eb="2">
      <t>ゲンカ</t>
    </rPh>
    <rPh sb="2" eb="4">
      <t>ショウキャク</t>
    </rPh>
    <rPh sb="4" eb="5">
      <t>ヒ</t>
    </rPh>
    <rPh sb="5" eb="6">
      <t>ブン</t>
    </rPh>
    <phoneticPr fontId="2"/>
  </si>
  <si>
    <t>水質指導費負担金</t>
    <rPh sb="0" eb="2">
      <t>スイシツ</t>
    </rPh>
    <rPh sb="2" eb="4">
      <t>シドウ</t>
    </rPh>
    <rPh sb="4" eb="5">
      <t>ヒ</t>
    </rPh>
    <rPh sb="5" eb="8">
      <t>フタンキン</t>
    </rPh>
    <phoneticPr fontId="2"/>
  </si>
  <si>
    <t>普及促進費負担金</t>
    <rPh sb="0" eb="2">
      <t>フキュウ</t>
    </rPh>
    <rPh sb="2" eb="5">
      <t>ソクシンヒ</t>
    </rPh>
    <rPh sb="5" eb="8">
      <t>フタンキン</t>
    </rPh>
    <phoneticPr fontId="2"/>
  </si>
  <si>
    <t>貸付事業費負担金</t>
    <rPh sb="0" eb="2">
      <t>カシツケ</t>
    </rPh>
    <rPh sb="2" eb="5">
      <t>ジギョウヒ</t>
    </rPh>
    <rPh sb="5" eb="8">
      <t>フタンキン</t>
    </rPh>
    <phoneticPr fontId="2"/>
  </si>
  <si>
    <t>国庫補助金</t>
    <rPh sb="0" eb="2">
      <t>コッコ</t>
    </rPh>
    <rPh sb="2" eb="5">
      <t>ホジョキン</t>
    </rPh>
    <phoneticPr fontId="2"/>
  </si>
  <si>
    <t>他会計負担金</t>
    <rPh sb="0" eb="1">
      <t>タカイ</t>
    </rPh>
    <rPh sb="1" eb="3">
      <t>カイケイ</t>
    </rPh>
    <rPh sb="3" eb="6">
      <t>フタンキン</t>
    </rPh>
    <phoneticPr fontId="2"/>
  </si>
  <si>
    <t>一般会計補助金</t>
    <rPh sb="0" eb="2">
      <t>イッパン</t>
    </rPh>
    <rPh sb="2" eb="4">
      <t>カイケイ</t>
    </rPh>
    <rPh sb="4" eb="7">
      <t>ホジョキン</t>
    </rPh>
    <phoneticPr fontId="2"/>
  </si>
  <si>
    <t>使用料減免分</t>
    <rPh sb="0" eb="2">
      <t>シヨウ</t>
    </rPh>
    <rPh sb="2" eb="3">
      <t>リョウ</t>
    </rPh>
    <rPh sb="3" eb="5">
      <t>ゲンメン</t>
    </rPh>
    <rPh sb="5" eb="6">
      <t>ブン</t>
    </rPh>
    <phoneticPr fontId="2"/>
  </si>
  <si>
    <t>計</t>
    <rPh sb="0" eb="1">
      <t>ケイ</t>
    </rPh>
    <phoneticPr fontId="2"/>
  </si>
  <si>
    <t>一般会計負担金</t>
    <rPh sb="0" eb="2">
      <t>イッパン</t>
    </rPh>
    <rPh sb="2" eb="4">
      <t>カイケイ</t>
    </rPh>
    <rPh sb="4" eb="7">
      <t>フタンキン</t>
    </rPh>
    <phoneticPr fontId="2"/>
  </si>
  <si>
    <t>減価償却費分</t>
    <rPh sb="0" eb="2">
      <t>ゲンカ</t>
    </rPh>
    <rPh sb="2" eb="4">
      <t>ショウキャク</t>
    </rPh>
    <rPh sb="4" eb="5">
      <t>ヒ</t>
    </rPh>
    <rPh sb="5" eb="6">
      <t>ブン</t>
    </rPh>
    <phoneticPr fontId="2"/>
  </si>
  <si>
    <t>管路等・促進・工事国債</t>
    <rPh sb="0" eb="1">
      <t>カン</t>
    </rPh>
    <rPh sb="1" eb="2">
      <t>ロ</t>
    </rPh>
    <rPh sb="2" eb="3">
      <t>トウ</t>
    </rPh>
    <rPh sb="4" eb="6">
      <t>ソクシン</t>
    </rPh>
    <rPh sb="7" eb="9">
      <t>コウジ</t>
    </rPh>
    <rPh sb="9" eb="11">
      <t>コクサイ</t>
    </rPh>
    <phoneticPr fontId="2"/>
  </si>
  <si>
    <t>受益者負担金</t>
    <rPh sb="0" eb="3">
      <t>ジュエキシャ</t>
    </rPh>
    <rPh sb="3" eb="6">
      <t>フタンキン</t>
    </rPh>
    <phoneticPr fontId="2"/>
  </si>
  <si>
    <t>公共下水道
起債事業充当分</t>
    <rPh sb="0" eb="2">
      <t>コウキョウ</t>
    </rPh>
    <rPh sb="2" eb="5">
      <t>ゲスイドウ</t>
    </rPh>
    <rPh sb="6" eb="8">
      <t>キサイ</t>
    </rPh>
    <rPh sb="8" eb="10">
      <t>ジギョウ</t>
    </rPh>
    <rPh sb="10" eb="12">
      <t>ジュウトウ</t>
    </rPh>
    <rPh sb="12" eb="13">
      <t>ブン</t>
    </rPh>
    <phoneticPr fontId="2"/>
  </si>
  <si>
    <t>工事負担金</t>
    <rPh sb="0" eb="2">
      <t>コウジ</t>
    </rPh>
    <rPh sb="2" eb="5">
      <t>フタンキン</t>
    </rPh>
    <phoneticPr fontId="2"/>
  </si>
  <si>
    <t>諸設備新設改良事業
充当分</t>
    <rPh sb="0" eb="1">
      <t>ショ</t>
    </rPh>
    <rPh sb="1" eb="3">
      <t>セツビ</t>
    </rPh>
    <rPh sb="3" eb="5">
      <t>シンセツ</t>
    </rPh>
    <rPh sb="5" eb="7">
      <t>カイリョウ</t>
    </rPh>
    <rPh sb="7" eb="9">
      <t>ジギョウ</t>
    </rPh>
    <rPh sb="10" eb="12">
      <t>ジュウトウ</t>
    </rPh>
    <rPh sb="12" eb="13">
      <t>ブン</t>
    </rPh>
    <phoneticPr fontId="2"/>
  </si>
  <si>
    <t>計</t>
    <rPh sb="0" eb="1">
      <t>ケイ</t>
    </rPh>
    <phoneticPr fontId="2"/>
  </si>
  <si>
    <t>合計</t>
    <rPh sb="0" eb="2">
      <t>ゴウケイ</t>
    </rPh>
    <phoneticPr fontId="2"/>
  </si>
  <si>
    <t>雨水施設に係る
減価償却費分</t>
    <rPh sb="0" eb="2">
      <t>ウスイ</t>
    </rPh>
    <rPh sb="2" eb="4">
      <t>シセツ</t>
    </rPh>
    <rPh sb="5" eb="6">
      <t>カカ</t>
    </rPh>
    <rPh sb="8" eb="10">
      <t>ゲンカ</t>
    </rPh>
    <rPh sb="10" eb="12">
      <t>ショウキャク</t>
    </rPh>
    <rPh sb="12" eb="13">
      <t>カンリヒ</t>
    </rPh>
    <rPh sb="13" eb="14">
      <t>ブン</t>
    </rPh>
    <phoneticPr fontId="2"/>
  </si>
  <si>
    <t>下水道緊急整備費に
対する利子補給</t>
    <rPh sb="0" eb="3">
      <t>ゲスイドウ</t>
    </rPh>
    <rPh sb="3" eb="5">
      <t>キンキュウ</t>
    </rPh>
    <rPh sb="5" eb="8">
      <t>セイビヒ</t>
    </rPh>
    <rPh sb="10" eb="11">
      <t>タイ</t>
    </rPh>
    <rPh sb="13" eb="15">
      <t>リシ</t>
    </rPh>
    <rPh sb="15" eb="17">
      <t>ホキュウ</t>
    </rPh>
    <phoneticPr fontId="2"/>
  </si>
  <si>
    <t>元金償還金充当分</t>
    <rPh sb="0" eb="2">
      <t>ガンキン</t>
    </rPh>
    <rPh sb="2" eb="5">
      <t>ショウカンキン</t>
    </rPh>
    <rPh sb="5" eb="7">
      <t>ジュウトウ</t>
    </rPh>
    <rPh sb="7" eb="8">
      <t>ブン</t>
    </rPh>
    <phoneticPr fontId="2"/>
  </si>
  <si>
    <t>起債年度の課税支出割合</t>
    <rPh sb="0" eb="2">
      <t>キサイ</t>
    </rPh>
    <rPh sb="2" eb="4">
      <t>ネンド</t>
    </rPh>
    <rPh sb="5" eb="7">
      <t>カゼイ</t>
    </rPh>
    <rPh sb="7" eb="9">
      <t>シシュツ</t>
    </rPh>
    <rPh sb="9" eb="11">
      <t>ワリアイ</t>
    </rPh>
    <phoneticPr fontId="2"/>
  </si>
  <si>
    <t xml:space="preserve">
公
共
下
水
道</t>
    <rPh sb="1" eb="5">
      <t>コウキョウ</t>
    </rPh>
    <rPh sb="7" eb="14">
      <t>ゲスイドウ</t>
    </rPh>
    <phoneticPr fontId="2"/>
  </si>
  <si>
    <t>区分</t>
    <rPh sb="0" eb="2">
      <t>クブン</t>
    </rPh>
    <phoneticPr fontId="2"/>
  </si>
  <si>
    <t>特定収入</t>
    <rPh sb="0" eb="2">
      <t>トクテイ</t>
    </rPh>
    <rPh sb="2" eb="4">
      <t>シュウニュウ</t>
    </rPh>
    <phoneticPr fontId="2"/>
  </si>
  <si>
    <t>区分</t>
    <rPh sb="0" eb="2">
      <t>クブン</t>
    </rPh>
    <phoneticPr fontId="2"/>
  </si>
  <si>
    <t>対象経費</t>
    <rPh sb="0" eb="2">
      <t>タイショウ</t>
    </rPh>
    <rPh sb="2" eb="4">
      <t>ケイヒ</t>
    </rPh>
    <phoneticPr fontId="2"/>
  </si>
  <si>
    <t>按分方法</t>
    <rPh sb="0" eb="2">
      <t>アンブン</t>
    </rPh>
    <rPh sb="2" eb="4">
      <t>ホウホウ</t>
    </rPh>
    <phoneticPr fontId="2"/>
  </si>
  <si>
    <t>特定収入
以外</t>
    <rPh sb="0" eb="2">
      <t>トクテイ</t>
    </rPh>
    <rPh sb="2" eb="4">
      <t>シュウニュウ</t>
    </rPh>
    <rPh sb="5" eb="7">
      <t>イガイ</t>
    </rPh>
    <phoneticPr fontId="2"/>
  </si>
  <si>
    <t>不課税収入額</t>
    <rPh sb="0" eb="1">
      <t>フ</t>
    </rPh>
    <rPh sb="1" eb="3">
      <t>カゼイ</t>
    </rPh>
    <rPh sb="3" eb="5">
      <t>シュウニュウ</t>
    </rPh>
    <rPh sb="5" eb="6">
      <t>キンガク</t>
    </rPh>
    <phoneticPr fontId="2"/>
  </si>
  <si>
    <t>区分</t>
  </si>
  <si>
    <t>特定収入</t>
    <rPh sb="0" eb="2">
      <t>トクテイ</t>
    </rPh>
    <rPh sb="2" eb="4">
      <t>シュウニュウ</t>
    </rPh>
    <phoneticPr fontId="2"/>
  </si>
  <si>
    <t>特定収入
以外</t>
    <rPh sb="0" eb="2">
      <t>トクテイ</t>
    </rPh>
    <rPh sb="2" eb="4">
      <t>シュウニュウ</t>
    </rPh>
    <rPh sb="5" eb="7">
      <t>イガイ</t>
    </rPh>
    <phoneticPr fontId="2"/>
  </si>
  <si>
    <t>一般会計負担金</t>
    <rPh sb="0" eb="2">
      <t>イッパン</t>
    </rPh>
    <rPh sb="2" eb="4">
      <t>カイケイ</t>
    </rPh>
    <rPh sb="4" eb="7">
      <t>フタンキン</t>
    </rPh>
    <phoneticPr fontId="2"/>
  </si>
  <si>
    <t>雨水処理に係る維持管理費
の課税支出割合</t>
    <rPh sb="14" eb="16">
      <t>カゼイ</t>
    </rPh>
    <rPh sb="16" eb="18">
      <t>シシュツ</t>
    </rPh>
    <rPh sb="18" eb="20">
      <t>ワリアイ</t>
    </rPh>
    <phoneticPr fontId="2"/>
  </si>
  <si>
    <t>支払利息分</t>
    <rPh sb="0" eb="2">
      <t>シハライ</t>
    </rPh>
    <rPh sb="2" eb="4">
      <t>リソク</t>
    </rPh>
    <rPh sb="4" eb="5">
      <t>ブン</t>
    </rPh>
    <phoneticPr fontId="2"/>
  </si>
  <si>
    <t>雨水施設に係る
支払利息等充当分</t>
    <rPh sb="0" eb="2">
      <t>ウスイ</t>
    </rPh>
    <rPh sb="2" eb="4">
      <t>シセツ</t>
    </rPh>
    <rPh sb="5" eb="6">
      <t>カカ</t>
    </rPh>
    <rPh sb="8" eb="10">
      <t>シハライ</t>
    </rPh>
    <rPh sb="10" eb="12">
      <t>リソク</t>
    </rPh>
    <rPh sb="12" eb="13">
      <t>トウ</t>
    </rPh>
    <rPh sb="13" eb="15">
      <t>ジュウトウ</t>
    </rPh>
    <rPh sb="15" eb="16">
      <t>ブン</t>
    </rPh>
    <phoneticPr fontId="2"/>
  </si>
  <si>
    <t>水質指導費負担金</t>
    <rPh sb="0" eb="2">
      <t>スイシツ</t>
    </rPh>
    <rPh sb="2" eb="4">
      <t>シドウ</t>
    </rPh>
    <rPh sb="4" eb="5">
      <t>ヒ</t>
    </rPh>
    <rPh sb="5" eb="8">
      <t>フタンキン</t>
    </rPh>
    <phoneticPr fontId="2"/>
  </si>
  <si>
    <t>水質規制に係る経費</t>
    <rPh sb="0" eb="2">
      <t>スイシツ</t>
    </rPh>
    <rPh sb="2" eb="4">
      <t>キセイ</t>
    </rPh>
    <rPh sb="5" eb="6">
      <t>カカ</t>
    </rPh>
    <rPh sb="7" eb="9">
      <t>ケイヒ</t>
    </rPh>
    <phoneticPr fontId="2"/>
  </si>
  <si>
    <t>水質規制に係る経費の
課税支出割合</t>
    <rPh sb="11" eb="13">
      <t>カゼイ</t>
    </rPh>
    <rPh sb="13" eb="15">
      <t>シシュツ</t>
    </rPh>
    <rPh sb="15" eb="17">
      <t>ワリアイ</t>
    </rPh>
    <phoneticPr fontId="2"/>
  </si>
  <si>
    <t>普及促進費負担金</t>
    <rPh sb="0" eb="2">
      <t>フキュウ</t>
    </rPh>
    <rPh sb="2" eb="5">
      <t>ソクシンヒ</t>
    </rPh>
    <rPh sb="5" eb="8">
      <t>フタンキン</t>
    </rPh>
    <phoneticPr fontId="2"/>
  </si>
  <si>
    <t>水洗化普及促進に係る経費</t>
    <rPh sb="0" eb="3">
      <t>スイセンカ</t>
    </rPh>
    <rPh sb="3" eb="5">
      <t>フキュウ</t>
    </rPh>
    <rPh sb="5" eb="7">
      <t>ソクシン</t>
    </rPh>
    <rPh sb="8" eb="9">
      <t>カカ</t>
    </rPh>
    <rPh sb="10" eb="12">
      <t>ケイヒ</t>
    </rPh>
    <phoneticPr fontId="2"/>
  </si>
  <si>
    <t>水洗化普及促進に係る経費
の課税支出割合</t>
    <rPh sb="14" eb="16">
      <t>カゼイ</t>
    </rPh>
    <rPh sb="16" eb="18">
      <t>シシュツ</t>
    </rPh>
    <rPh sb="18" eb="20">
      <t>ワリアイ</t>
    </rPh>
    <phoneticPr fontId="2"/>
  </si>
  <si>
    <t>水洗化貸付業務に係る経費</t>
    <rPh sb="0" eb="3">
      <t>スイセンカ</t>
    </rPh>
    <rPh sb="3" eb="5">
      <t>カシツケ</t>
    </rPh>
    <rPh sb="5" eb="7">
      <t>ギョウム</t>
    </rPh>
    <rPh sb="8" eb="9">
      <t>カカ</t>
    </rPh>
    <rPh sb="10" eb="12">
      <t>ケイヒ</t>
    </rPh>
    <phoneticPr fontId="2"/>
  </si>
  <si>
    <t>区分</t>
    <rPh sb="0" eb="2">
      <t>クブン</t>
    </rPh>
    <phoneticPr fontId="2"/>
  </si>
  <si>
    <t>雨水処理に係る
維持管理費分</t>
    <rPh sb="0" eb="2">
      <t>ウスイ</t>
    </rPh>
    <rPh sb="2" eb="4">
      <t>ショリ</t>
    </rPh>
    <rPh sb="5" eb="6">
      <t>カカ</t>
    </rPh>
    <rPh sb="8" eb="10">
      <t>イジ</t>
    </rPh>
    <rPh sb="10" eb="13">
      <t>カンリヒ</t>
    </rPh>
    <rPh sb="13" eb="14">
      <t>ブン</t>
    </rPh>
    <phoneticPr fontId="2"/>
  </si>
  <si>
    <t>減価償却費に対する負担金
のため特定収入以外</t>
    <rPh sb="0" eb="2">
      <t>ゲンカ</t>
    </rPh>
    <rPh sb="2" eb="4">
      <t>ショウキャク</t>
    </rPh>
    <rPh sb="4" eb="7">
      <t>ヒニタイ</t>
    </rPh>
    <rPh sb="9" eb="11">
      <t>フタン</t>
    </rPh>
    <rPh sb="11" eb="12">
      <t>キン</t>
    </rPh>
    <rPh sb="16" eb="18">
      <t>トクテイ</t>
    </rPh>
    <rPh sb="18" eb="20">
      <t>シュウニュウ</t>
    </rPh>
    <rPh sb="20" eb="22">
      <t>イガイ</t>
    </rPh>
    <phoneticPr fontId="2"/>
  </si>
  <si>
    <t>課税支出額</t>
  </si>
  <si>
    <t>課税支出額</t>
    <rPh sb="0" eb="2">
      <t>カゼイ</t>
    </rPh>
    <rPh sb="2" eb="4">
      <t>シシュツ</t>
    </rPh>
    <rPh sb="4" eb="5">
      <t>ガク</t>
    </rPh>
    <phoneticPr fontId="2"/>
  </si>
  <si>
    <t>支出額合計</t>
  </si>
  <si>
    <t>支出額合計</t>
    <rPh sb="0" eb="2">
      <t>シシュツ</t>
    </rPh>
    <rPh sb="2" eb="3">
      <t>ガク</t>
    </rPh>
    <rPh sb="3" eb="5">
      <t>ゴウケイ</t>
    </rPh>
    <phoneticPr fontId="2"/>
  </si>
  <si>
    <t>支出額合計</t>
    <rPh sb="0" eb="2">
      <t>シシュツ</t>
    </rPh>
    <rPh sb="2" eb="3">
      <t>ガク</t>
    </rPh>
    <rPh sb="3" eb="5">
      <t>ゴウケイ</t>
    </rPh>
    <phoneticPr fontId="2"/>
  </si>
  <si>
    <t>汚水施設に係る
支払利息等充当分</t>
    <rPh sb="0" eb="2">
      <t>オスイ</t>
    </rPh>
    <rPh sb="2" eb="4">
      <t>シセツ</t>
    </rPh>
    <rPh sb="5" eb="6">
      <t>カカ</t>
    </rPh>
    <rPh sb="8" eb="10">
      <t>シハライ</t>
    </rPh>
    <rPh sb="10" eb="12">
      <t>リソク</t>
    </rPh>
    <rPh sb="12" eb="13">
      <t>トウ</t>
    </rPh>
    <rPh sb="13" eb="15">
      <t>ジュウトウ</t>
    </rPh>
    <rPh sb="15" eb="16">
      <t>ブン</t>
    </rPh>
    <phoneticPr fontId="2"/>
  </si>
  <si>
    <t>使用料減免分</t>
    <rPh sb="0" eb="2">
      <t>シヨウ</t>
    </rPh>
    <rPh sb="2" eb="3">
      <t>リョウ</t>
    </rPh>
    <rPh sb="3" eb="5">
      <t>ゲンメン</t>
    </rPh>
    <rPh sb="5" eb="6">
      <t>ブン</t>
    </rPh>
    <phoneticPr fontId="2"/>
  </si>
  <si>
    <t>下水道使用料減免分</t>
    <rPh sb="0" eb="3">
      <t>ゲスイドウ</t>
    </rPh>
    <rPh sb="3" eb="5">
      <t>シヨウ</t>
    </rPh>
    <rPh sb="5" eb="6">
      <t>リョウ</t>
    </rPh>
    <rPh sb="6" eb="8">
      <t>ゲンメン</t>
    </rPh>
    <rPh sb="8" eb="9">
      <t>ブン</t>
    </rPh>
    <phoneticPr fontId="2"/>
  </si>
  <si>
    <t>(単位：円)</t>
    <rPh sb="1" eb="3">
      <t>タンイ</t>
    </rPh>
    <rPh sb="4" eb="5">
      <t>エン</t>
    </rPh>
    <phoneticPr fontId="2"/>
  </si>
  <si>
    <t>対象経費</t>
    <rPh sb="0" eb="2">
      <t>タイショウ</t>
    </rPh>
    <rPh sb="2" eb="4">
      <t>ケイヒ</t>
    </rPh>
    <phoneticPr fontId="2"/>
  </si>
  <si>
    <t>按分方法</t>
    <rPh sb="0" eb="2">
      <t>アンブン</t>
    </rPh>
    <rPh sb="2" eb="4">
      <t>ホウホウ</t>
    </rPh>
    <phoneticPr fontId="2"/>
  </si>
  <si>
    <t>課税支出額</t>
    <rPh sb="0" eb="2">
      <t>カゼイ</t>
    </rPh>
    <rPh sb="2" eb="4">
      <t>シシュツ</t>
    </rPh>
    <rPh sb="4" eb="5">
      <t>ガク</t>
    </rPh>
    <phoneticPr fontId="2"/>
  </si>
  <si>
    <t>一般会計補助金</t>
    <rPh sb="0" eb="2">
      <t>イッパン</t>
    </rPh>
    <rPh sb="2" eb="4">
      <t>カイケイ</t>
    </rPh>
    <rPh sb="4" eb="7">
      <t>ホジョキン</t>
    </rPh>
    <phoneticPr fontId="2"/>
  </si>
  <si>
    <t>減価償却費分</t>
    <rPh sb="0" eb="2">
      <t>ゲンカ</t>
    </rPh>
    <rPh sb="2" eb="4">
      <t>ショウキャク</t>
    </rPh>
    <rPh sb="4" eb="5">
      <t>ヒ</t>
    </rPh>
    <rPh sb="5" eb="6">
      <t>ブン</t>
    </rPh>
    <phoneticPr fontId="2"/>
  </si>
  <si>
    <t>汚水施設に係る
減価償却費分</t>
    <rPh sb="0" eb="2">
      <t>オスイ</t>
    </rPh>
    <rPh sb="2" eb="4">
      <t>シセツ</t>
    </rPh>
    <rPh sb="5" eb="6">
      <t>カカ</t>
    </rPh>
    <rPh sb="8" eb="10">
      <t>ゲンカ</t>
    </rPh>
    <rPh sb="10" eb="12">
      <t>ショウキャク</t>
    </rPh>
    <rPh sb="12" eb="13">
      <t>ヒ</t>
    </rPh>
    <rPh sb="13" eb="14">
      <t>ブン</t>
    </rPh>
    <phoneticPr fontId="2"/>
  </si>
  <si>
    <t>起債年度の課税支出割合
(別紙算出表)</t>
    <rPh sb="0" eb="2">
      <t>キサイ</t>
    </rPh>
    <rPh sb="2" eb="4">
      <t>ネンド</t>
    </rPh>
    <rPh sb="5" eb="7">
      <t>カゼイ</t>
    </rPh>
    <rPh sb="7" eb="9">
      <t>シシュツ</t>
    </rPh>
    <rPh sb="9" eb="11">
      <t>ワリアイ</t>
    </rPh>
    <rPh sb="13" eb="15">
      <t>ベッシ</t>
    </rPh>
    <rPh sb="15" eb="17">
      <t>サンシュツ</t>
    </rPh>
    <rPh sb="17" eb="18">
      <t>ヒョウ</t>
    </rPh>
    <phoneticPr fontId="2"/>
  </si>
  <si>
    <t>課税支出割合</t>
    <rPh sb="0" eb="2">
      <t>カゼイ</t>
    </rPh>
    <rPh sb="2" eb="4">
      <t>シシュツ</t>
    </rPh>
    <rPh sb="4" eb="6">
      <t>ワリアイ</t>
    </rPh>
    <phoneticPr fontId="2"/>
  </si>
  <si>
    <t>非課税支出額</t>
    <rPh sb="0" eb="3">
      <t>ヒカゼイ</t>
    </rPh>
    <rPh sb="3" eb="5">
      <t>シシュツ</t>
    </rPh>
    <rPh sb="5" eb="6">
      <t>ガク</t>
    </rPh>
    <phoneticPr fontId="2"/>
  </si>
  <si>
    <t>不課税支出額</t>
    <rPh sb="0" eb="1">
      <t>フ</t>
    </rPh>
    <rPh sb="1" eb="3">
      <t>カゼイ</t>
    </rPh>
    <rPh sb="3" eb="5">
      <t>シシュツ</t>
    </rPh>
    <rPh sb="5" eb="6">
      <t>ガク</t>
    </rPh>
    <phoneticPr fontId="2"/>
  </si>
  <si>
    <t>支出額合計</t>
    <rPh sb="0" eb="2">
      <t>シシュツ</t>
    </rPh>
    <rPh sb="2" eb="3">
      <t>ガク</t>
    </rPh>
    <rPh sb="3" eb="5">
      <t>ゴウケイ</t>
    </rPh>
    <phoneticPr fontId="2"/>
  </si>
  <si>
    <t>収益的支出</t>
    <rPh sb="0" eb="3">
      <t>シュウエキテキ</t>
    </rPh>
    <rPh sb="3" eb="5">
      <t>シシュツ</t>
    </rPh>
    <phoneticPr fontId="2"/>
  </si>
  <si>
    <t>資本的支出</t>
    <rPh sb="0" eb="3">
      <t>シホンテキ</t>
    </rPh>
    <rPh sb="3" eb="5">
      <t>シシュツ</t>
    </rPh>
    <phoneticPr fontId="2"/>
  </si>
  <si>
    <t>合計</t>
  </si>
  <si>
    <t>合計</t>
    <rPh sb="0" eb="2">
      <t>ゴウケイ</t>
    </rPh>
    <phoneticPr fontId="2"/>
  </si>
  <si>
    <t>元金</t>
  </si>
  <si>
    <t>起債償還額</t>
  </si>
  <si>
    <t>特定収入</t>
  </si>
  <si>
    <t>普通交付税
相当額</t>
  </si>
  <si>
    <t>年度</t>
  </si>
  <si>
    <t>計</t>
  </si>
  <si>
    <t>元金分普通
交付税相当額</t>
  </si>
  <si>
    <t>元金</t>
    <rPh sb="0" eb="2">
      <t>ガンキン</t>
    </rPh>
    <phoneticPr fontId="2"/>
  </si>
  <si>
    <t>合計</t>
    <rPh sb="0" eb="2">
      <t>ゴウケイ</t>
    </rPh>
    <phoneticPr fontId="2"/>
  </si>
  <si>
    <t>(単位：円)</t>
    <rPh sb="1" eb="3">
      <t>タンイ</t>
    </rPh>
    <rPh sb="4" eb="5">
      <t>エン</t>
    </rPh>
    <phoneticPr fontId="2"/>
  </si>
  <si>
    <t>起債償還額</t>
    <rPh sb="0" eb="2">
      <t>キサイ</t>
    </rPh>
    <rPh sb="2" eb="4">
      <t>ショウカン</t>
    </rPh>
    <rPh sb="4" eb="5">
      <t>ガク</t>
    </rPh>
    <phoneticPr fontId="2"/>
  </si>
  <si>
    <t>普通交付税
相当額</t>
    <rPh sb="0" eb="2">
      <t>フツウ</t>
    </rPh>
    <rPh sb="2" eb="5">
      <t>コウフゼイ</t>
    </rPh>
    <rPh sb="6" eb="8">
      <t>ソウトウ</t>
    </rPh>
    <rPh sb="8" eb="9">
      <t>ガク</t>
    </rPh>
    <phoneticPr fontId="2"/>
  </si>
  <si>
    <t>元金分普通
交付税相当額</t>
    <rPh sb="0" eb="2">
      <t>ガンキン</t>
    </rPh>
    <rPh sb="2" eb="3">
      <t>ブン</t>
    </rPh>
    <rPh sb="3" eb="5">
      <t>フツウ</t>
    </rPh>
    <rPh sb="6" eb="9">
      <t>コウフゼイ</t>
    </rPh>
    <rPh sb="9" eb="11">
      <t>ソウトウ</t>
    </rPh>
    <rPh sb="11" eb="12">
      <t>ガク</t>
    </rPh>
    <phoneticPr fontId="2"/>
  </si>
  <si>
    <t>海田町</t>
    <rPh sb="0" eb="3">
      <t>カイタチョウ</t>
    </rPh>
    <phoneticPr fontId="2"/>
  </si>
  <si>
    <t>海田地区</t>
    <rPh sb="0" eb="2">
      <t>カイタ</t>
    </rPh>
    <rPh sb="2" eb="4">
      <t>チク</t>
    </rPh>
    <phoneticPr fontId="2"/>
  </si>
  <si>
    <t>府中町</t>
    <rPh sb="0" eb="3">
      <t>フチュウチョウ</t>
    </rPh>
    <phoneticPr fontId="2"/>
  </si>
  <si>
    <t>青崎地区</t>
    <rPh sb="0" eb="2">
      <t>アオサキ</t>
    </rPh>
    <rPh sb="2" eb="4">
      <t>チク</t>
    </rPh>
    <phoneticPr fontId="2"/>
  </si>
  <si>
    <t>大須地区</t>
    <rPh sb="0" eb="2">
      <t>オオス</t>
    </rPh>
    <rPh sb="2" eb="4">
      <t>チク</t>
    </rPh>
    <phoneticPr fontId="2"/>
  </si>
  <si>
    <t>廿日市市</t>
    <rPh sb="0" eb="4">
      <t>ハツカイチシ</t>
    </rPh>
    <phoneticPr fontId="2"/>
  </si>
  <si>
    <t>合計</t>
    <rPh sb="0" eb="2">
      <t>ゴウケイ</t>
    </rPh>
    <phoneticPr fontId="2"/>
  </si>
  <si>
    <t>大須地区(共通分）</t>
    <rPh sb="0" eb="2">
      <t>オオス</t>
    </rPh>
    <rPh sb="2" eb="4">
      <t>チク</t>
    </rPh>
    <rPh sb="5" eb="7">
      <t>キョウツウ</t>
    </rPh>
    <rPh sb="7" eb="8">
      <t>ブン</t>
    </rPh>
    <phoneticPr fontId="2"/>
  </si>
  <si>
    <t xml:space="preserve">
９
月
分</t>
  </si>
  <si>
    <t>支払利息分</t>
    <rPh sb="0" eb="2">
      <t>シハライ</t>
    </rPh>
    <rPh sb="2" eb="4">
      <t>リソク</t>
    </rPh>
    <rPh sb="4" eb="5">
      <t>ブン</t>
    </rPh>
    <phoneticPr fontId="2"/>
  </si>
  <si>
    <t>その他(特定収入以外)</t>
    <rPh sb="0" eb="3">
      <t>ソノタ</t>
    </rPh>
    <rPh sb="4" eb="6">
      <t>トクテイ</t>
    </rPh>
    <rPh sb="6" eb="8">
      <t>シュウニュウ</t>
    </rPh>
    <rPh sb="8" eb="10">
      <t>イガイ</t>
    </rPh>
    <phoneticPr fontId="2"/>
  </si>
  <si>
    <t>その他の収益的収入中の不課税収入</t>
    <rPh sb="0" eb="3">
      <t>ソノタ</t>
    </rPh>
    <rPh sb="4" eb="6">
      <t>シュウエキ</t>
    </rPh>
    <rPh sb="6" eb="7">
      <t>テキ</t>
    </rPh>
    <rPh sb="7" eb="9">
      <t>シュウニュウ</t>
    </rPh>
    <rPh sb="9" eb="10">
      <t>チュウ</t>
    </rPh>
    <rPh sb="11" eb="12">
      <t>フ</t>
    </rPh>
    <rPh sb="12" eb="14">
      <t>カゼイ</t>
    </rPh>
    <rPh sb="14" eb="16">
      <t>シュウニュウ</t>
    </rPh>
    <phoneticPr fontId="2"/>
  </si>
  <si>
    <t>(単位：円)</t>
    <rPh sb="1" eb="3">
      <t>タンイ</t>
    </rPh>
    <rPh sb="4" eb="5">
      <t>エン</t>
    </rPh>
    <phoneticPr fontId="2"/>
  </si>
  <si>
    <t>対象経費</t>
    <rPh sb="0" eb="2">
      <t>タイショウ</t>
    </rPh>
    <rPh sb="2" eb="4">
      <t>ケイヒ</t>
    </rPh>
    <phoneticPr fontId="2"/>
  </si>
  <si>
    <t>按分方法</t>
    <rPh sb="0" eb="2">
      <t>アンブン</t>
    </rPh>
    <rPh sb="2" eb="4">
      <t>ホウホウ</t>
    </rPh>
    <phoneticPr fontId="2"/>
  </si>
  <si>
    <t>課税支出額</t>
    <rPh sb="0" eb="2">
      <t>カゼイ</t>
    </rPh>
    <rPh sb="2" eb="4">
      <t>シシュツ</t>
    </rPh>
    <rPh sb="4" eb="5">
      <t>ガク</t>
    </rPh>
    <phoneticPr fontId="2"/>
  </si>
  <si>
    <t>計</t>
    <rPh sb="0" eb="1">
      <t>ケイ</t>
    </rPh>
    <phoneticPr fontId="2"/>
  </si>
  <si>
    <t>収益的支出の
課税支出割合</t>
    <rPh sb="0" eb="3">
      <t>シュウエキテキ</t>
    </rPh>
    <rPh sb="3" eb="5">
      <t>シシュツ</t>
    </rPh>
    <rPh sb="7" eb="9">
      <t>カゼイ</t>
    </rPh>
    <rPh sb="9" eb="11">
      <t>シシュツ</t>
    </rPh>
    <rPh sb="11" eb="13">
      <t>ワリアイ</t>
    </rPh>
    <phoneticPr fontId="2"/>
  </si>
  <si>
    <t>処理場・特債・高率
(繰越分)</t>
    <rPh sb="0" eb="3">
      <t>ショリジョウ</t>
    </rPh>
    <rPh sb="4" eb="5">
      <t>トク</t>
    </rPh>
    <rPh sb="5" eb="6">
      <t>サイ</t>
    </rPh>
    <rPh sb="7" eb="9">
      <t>コウリツ</t>
    </rPh>
    <rPh sb="11" eb="13">
      <t>クリコシ</t>
    </rPh>
    <rPh sb="13" eb="14">
      <t>ブン</t>
    </rPh>
    <phoneticPr fontId="2"/>
  </si>
  <si>
    <t>(単位：円)</t>
    <rPh sb="1" eb="3">
      <t>タンイ</t>
    </rPh>
    <rPh sb="4" eb="5">
      <t>エン</t>
    </rPh>
    <phoneticPr fontId="2"/>
  </si>
  <si>
    <t>対象経費</t>
    <rPh sb="0" eb="2">
      <t>タイショウ</t>
    </rPh>
    <rPh sb="2" eb="4">
      <t>ケイヒ</t>
    </rPh>
    <phoneticPr fontId="2"/>
  </si>
  <si>
    <t>按分方法</t>
    <rPh sb="0" eb="2">
      <t>アンブン</t>
    </rPh>
    <rPh sb="2" eb="4">
      <t>ホウホウ</t>
    </rPh>
    <phoneticPr fontId="2"/>
  </si>
  <si>
    <t>課税支出額</t>
    <rPh sb="0" eb="2">
      <t>カゼイ</t>
    </rPh>
    <rPh sb="2" eb="4">
      <t>シシュツ</t>
    </rPh>
    <rPh sb="4" eb="5">
      <t>ガク</t>
    </rPh>
    <phoneticPr fontId="2"/>
  </si>
  <si>
    <t>国庫補助金</t>
    <rPh sb="0" eb="2">
      <t>コッコ</t>
    </rPh>
    <rPh sb="2" eb="5">
      <t>ホジョキン</t>
    </rPh>
    <phoneticPr fontId="2"/>
  </si>
  <si>
    <t xml:space="preserve">
公
共
下
水
道</t>
    <rPh sb="1" eb="5">
      <t>コウキョウ</t>
    </rPh>
    <rPh sb="7" eb="14">
      <t>ゲスイドウ</t>
    </rPh>
    <phoneticPr fontId="2"/>
  </si>
  <si>
    <t>管路等・一般</t>
    <rPh sb="0" eb="1">
      <t>カン</t>
    </rPh>
    <rPh sb="1" eb="2">
      <t>ロ</t>
    </rPh>
    <rPh sb="2" eb="3">
      <t>トウ</t>
    </rPh>
    <rPh sb="4" eb="6">
      <t>イッパン</t>
    </rPh>
    <phoneticPr fontId="2"/>
  </si>
  <si>
    <t>管路等・促進・工事国債</t>
    <rPh sb="0" eb="1">
      <t>カン</t>
    </rPh>
    <rPh sb="1" eb="2">
      <t>ロ</t>
    </rPh>
    <rPh sb="2" eb="3">
      <t>トウ</t>
    </rPh>
    <rPh sb="4" eb="6">
      <t>ソクシン</t>
    </rPh>
    <rPh sb="7" eb="9">
      <t>コウジ</t>
    </rPh>
    <rPh sb="9" eb="11">
      <t>コクサイ</t>
    </rPh>
    <phoneticPr fontId="2"/>
  </si>
  <si>
    <t>管路等・一般(繰越分)</t>
    <rPh sb="0" eb="1">
      <t>カン</t>
    </rPh>
    <rPh sb="1" eb="2">
      <t>ロ</t>
    </rPh>
    <rPh sb="2" eb="3">
      <t>トウ</t>
    </rPh>
    <rPh sb="4" eb="6">
      <t>イッパン</t>
    </rPh>
    <rPh sb="7" eb="9">
      <t>クリコシ</t>
    </rPh>
    <rPh sb="9" eb="10">
      <t>ブン</t>
    </rPh>
    <phoneticPr fontId="2"/>
  </si>
  <si>
    <t>処理場・一般・高率
(繰越分)</t>
    <rPh sb="0" eb="3">
      <t>ショリジョウ</t>
    </rPh>
    <rPh sb="4" eb="6">
      <t>イッパン</t>
    </rPh>
    <rPh sb="7" eb="9">
      <t>コウリツ</t>
    </rPh>
    <rPh sb="11" eb="13">
      <t>クリコシ</t>
    </rPh>
    <rPh sb="13" eb="14">
      <t>ブン</t>
    </rPh>
    <phoneticPr fontId="2"/>
  </si>
  <si>
    <t>補助事業分(現年)</t>
    <rPh sb="0" eb="2">
      <t>ホジョ</t>
    </rPh>
    <rPh sb="2" eb="4">
      <t>ジギョウ</t>
    </rPh>
    <rPh sb="4" eb="5">
      <t>ブン</t>
    </rPh>
    <rPh sb="6" eb="7">
      <t>ゲン</t>
    </rPh>
    <rPh sb="7" eb="8">
      <t>ネン</t>
    </rPh>
    <phoneticPr fontId="2"/>
  </si>
  <si>
    <t>起債事業分(現年)</t>
    <rPh sb="0" eb="2">
      <t>キサイ</t>
    </rPh>
    <rPh sb="2" eb="4">
      <t>ジギョウ</t>
    </rPh>
    <rPh sb="4" eb="5">
      <t>ブン</t>
    </rPh>
    <rPh sb="6" eb="7">
      <t>ゲン</t>
    </rPh>
    <rPh sb="7" eb="8">
      <t>ネン</t>
    </rPh>
    <phoneticPr fontId="2"/>
  </si>
  <si>
    <t>(単位：円)</t>
    <rPh sb="1" eb="3">
      <t>タンイ</t>
    </rPh>
    <rPh sb="4" eb="5">
      <t>エン</t>
    </rPh>
    <phoneticPr fontId="2"/>
  </si>
  <si>
    <t>不課税収入額</t>
    <rPh sb="0" eb="1">
      <t>フ</t>
    </rPh>
    <rPh sb="1" eb="3">
      <t>カゼイ</t>
    </rPh>
    <rPh sb="3" eb="5">
      <t>シュウニュウ</t>
    </rPh>
    <rPh sb="5" eb="6">
      <t>キンガク</t>
    </rPh>
    <phoneticPr fontId="2"/>
  </si>
  <si>
    <t>受益者負担金</t>
    <rPh sb="0" eb="3">
      <t>ジュエキシャ</t>
    </rPh>
    <rPh sb="3" eb="6">
      <t>フタンキン</t>
    </rPh>
    <phoneticPr fontId="2"/>
  </si>
  <si>
    <t>公共下水道
補助事業充当分</t>
    <rPh sb="0" eb="2">
      <t>コウキョウ</t>
    </rPh>
    <rPh sb="2" eb="5">
      <t>ゲスイドウ</t>
    </rPh>
    <rPh sb="6" eb="8">
      <t>ホジョ</t>
    </rPh>
    <rPh sb="8" eb="10">
      <t>ジギョウ</t>
    </rPh>
    <rPh sb="10" eb="12">
      <t>ジュウトウ</t>
    </rPh>
    <rPh sb="12" eb="13">
      <t>トウブン</t>
    </rPh>
    <phoneticPr fontId="2"/>
  </si>
  <si>
    <t>区分</t>
    <rPh sb="0" eb="2">
      <t>クブン</t>
    </rPh>
    <phoneticPr fontId="2"/>
  </si>
  <si>
    <t>支出額</t>
    <rPh sb="0" eb="2">
      <t>シシュツ</t>
    </rPh>
    <rPh sb="2" eb="3">
      <t>ガク</t>
    </rPh>
    <phoneticPr fontId="2"/>
  </si>
  <si>
    <t>受益者負担金の事業別金額</t>
    <rPh sb="0" eb="3">
      <t>ジュエキシャ</t>
    </rPh>
    <rPh sb="3" eb="6">
      <t>フタンキン</t>
    </rPh>
    <rPh sb="7" eb="9">
      <t>ジギョウ</t>
    </rPh>
    <rPh sb="9" eb="10">
      <t>ベツ</t>
    </rPh>
    <rPh sb="10" eb="12">
      <t>キンガク</t>
    </rPh>
    <phoneticPr fontId="2"/>
  </si>
  <si>
    <t>西風新都開発者</t>
    <rPh sb="0" eb="1">
      <t>ニシ</t>
    </rPh>
    <rPh sb="1" eb="2">
      <t>セイフウ</t>
    </rPh>
    <rPh sb="2" eb="3">
      <t>シン</t>
    </rPh>
    <rPh sb="3" eb="4">
      <t>ミヤコ</t>
    </rPh>
    <rPh sb="4" eb="7">
      <t>カイハツシャ</t>
    </rPh>
    <phoneticPr fontId="2"/>
  </si>
  <si>
    <t>元金償還
負担額</t>
    <rPh sb="0" eb="2">
      <t>ガンキン</t>
    </rPh>
    <rPh sb="2" eb="4">
      <t>ショウカン</t>
    </rPh>
    <phoneticPr fontId="2"/>
  </si>
  <si>
    <t>元金償還
負担額</t>
    <rPh sb="0" eb="2">
      <t>ガンキン</t>
    </rPh>
    <rPh sb="2" eb="4">
      <t>ショウカン</t>
    </rPh>
    <rPh sb="5" eb="7">
      <t>フタン</t>
    </rPh>
    <rPh sb="7" eb="8">
      <t>ガク</t>
    </rPh>
    <phoneticPr fontId="2"/>
  </si>
  <si>
    <t>水洗化貸付業務に係る経費
(利子を除く)の課税支出割合</t>
    <rPh sb="14" eb="16">
      <t>リシ</t>
    </rPh>
    <rPh sb="17" eb="18">
      <t>ノゾ</t>
    </rPh>
    <rPh sb="21" eb="23">
      <t>カゼイ</t>
    </rPh>
    <rPh sb="23" eb="25">
      <t>シシュツ</t>
    </rPh>
    <rPh sb="25" eb="27">
      <t>ワリアイ</t>
    </rPh>
    <phoneticPr fontId="2"/>
  </si>
  <si>
    <t>雨水施設に係る
支払利息等充当分</t>
    <rPh sb="0" eb="1">
      <t>アメ</t>
    </rPh>
    <rPh sb="1" eb="2">
      <t>オスイ</t>
    </rPh>
    <rPh sb="2" eb="4">
      <t>シセツ</t>
    </rPh>
    <rPh sb="5" eb="6">
      <t>カカ</t>
    </rPh>
    <rPh sb="8" eb="10">
      <t>シハライ</t>
    </rPh>
    <rPh sb="10" eb="12">
      <t>リソク</t>
    </rPh>
    <rPh sb="12" eb="13">
      <t>トウ</t>
    </rPh>
    <rPh sb="13" eb="15">
      <t>ジュウトウ</t>
    </rPh>
    <rPh sb="15" eb="16">
      <t>ブン</t>
    </rPh>
    <phoneticPr fontId="2"/>
  </si>
  <si>
    <t>水質規制に係る経費</t>
    <rPh sb="0" eb="2">
      <t>スイシツ</t>
    </rPh>
    <rPh sb="2" eb="4">
      <t>キセイ</t>
    </rPh>
    <rPh sb="5" eb="6">
      <t>カカ</t>
    </rPh>
    <rPh sb="7" eb="9">
      <t>ケイヒ</t>
    </rPh>
    <phoneticPr fontId="2"/>
  </si>
  <si>
    <t>水洗化普及促進に係る経費</t>
    <rPh sb="0" eb="3">
      <t>スイセンカ</t>
    </rPh>
    <rPh sb="3" eb="5">
      <t>フキュウ</t>
    </rPh>
    <rPh sb="5" eb="7">
      <t>ソクシン</t>
    </rPh>
    <rPh sb="8" eb="9">
      <t>カカ</t>
    </rPh>
    <rPh sb="10" eb="12">
      <t>ケイヒ</t>
    </rPh>
    <phoneticPr fontId="2"/>
  </si>
  <si>
    <t>水洗化貸付業務に係る経費</t>
    <rPh sb="0" eb="3">
      <t>スイセンカ</t>
    </rPh>
    <rPh sb="3" eb="5">
      <t>カシツケ</t>
    </rPh>
    <rPh sb="5" eb="7">
      <t>ギョウム</t>
    </rPh>
    <rPh sb="8" eb="9">
      <t>カカ</t>
    </rPh>
    <rPh sb="10" eb="12">
      <t>ケイヒ</t>
    </rPh>
    <phoneticPr fontId="2"/>
  </si>
  <si>
    <t>水洗化貸付業務に係る経費
(利子を除く)の課税支出割合</t>
    <rPh sb="14" eb="16">
      <t>リシ</t>
    </rPh>
    <rPh sb="17" eb="18">
      <t>ノゾ</t>
    </rPh>
    <rPh sb="21" eb="23">
      <t>カゼイ</t>
    </rPh>
    <rPh sb="23" eb="25">
      <t>シシュツ</t>
    </rPh>
    <rPh sb="25" eb="27">
      <t>ワリアイ</t>
    </rPh>
    <phoneticPr fontId="2"/>
  </si>
  <si>
    <t>支払利息に対する補給金
のため特定収入以外</t>
    <rPh sb="0" eb="2">
      <t>シハライ</t>
    </rPh>
    <rPh sb="2" eb="6">
      <t>リソクニタイ</t>
    </rPh>
    <rPh sb="8" eb="11">
      <t>ホキュウキン</t>
    </rPh>
    <rPh sb="15" eb="17">
      <t>トクテイ</t>
    </rPh>
    <rPh sb="17" eb="19">
      <t>シュウニュウ</t>
    </rPh>
    <rPh sb="19" eb="21">
      <t>イガイ</t>
    </rPh>
    <phoneticPr fontId="2"/>
  </si>
  <si>
    <t>企業債利息償還金に
対する他町負担金</t>
    <rPh sb="0" eb="2">
      <t>キギョウ</t>
    </rPh>
    <rPh sb="2" eb="3">
      <t>サイ</t>
    </rPh>
    <rPh sb="3" eb="5">
      <t>リソク</t>
    </rPh>
    <rPh sb="5" eb="8">
      <t>ショウカンキン</t>
    </rPh>
    <rPh sb="10" eb="11">
      <t>タイ</t>
    </rPh>
    <rPh sb="13" eb="14">
      <t>タ</t>
    </rPh>
    <rPh sb="14" eb="15">
      <t>チョウ</t>
    </rPh>
    <rPh sb="15" eb="18">
      <t>フタンキン</t>
    </rPh>
    <phoneticPr fontId="2"/>
  </si>
  <si>
    <t>支払利息に対する負担金
のため特定収入以外</t>
    <rPh sb="0" eb="2">
      <t>シハライ</t>
    </rPh>
    <rPh sb="2" eb="6">
      <t>リソクニタイ</t>
    </rPh>
    <rPh sb="8" eb="10">
      <t>フタン</t>
    </rPh>
    <rPh sb="10" eb="11">
      <t>ホキュウキン</t>
    </rPh>
    <rPh sb="15" eb="17">
      <t>トクテイ</t>
    </rPh>
    <rPh sb="17" eb="19">
      <t>シュウニュウ</t>
    </rPh>
    <rPh sb="19" eb="21">
      <t>イガイ</t>
    </rPh>
    <phoneticPr fontId="2"/>
  </si>
  <si>
    <t>汚水施設に係る
減価償却費分</t>
    <rPh sb="0" eb="2">
      <t>オスイ</t>
    </rPh>
    <rPh sb="2" eb="4">
      <t>シセツ</t>
    </rPh>
    <rPh sb="5" eb="6">
      <t>カカ</t>
    </rPh>
    <rPh sb="8" eb="10">
      <t>ゲンカ</t>
    </rPh>
    <rPh sb="10" eb="12">
      <t>ショウキャク</t>
    </rPh>
    <rPh sb="12" eb="13">
      <t>ヒ</t>
    </rPh>
    <rPh sb="13" eb="14">
      <t>ブン</t>
    </rPh>
    <phoneticPr fontId="2"/>
  </si>
  <si>
    <t>減価償却費に対する負担金
のため特定収入以外</t>
    <rPh sb="0" eb="2">
      <t>ゲンカ</t>
    </rPh>
    <rPh sb="2" eb="4">
      <t>ショウキャク</t>
    </rPh>
    <rPh sb="4" eb="7">
      <t>ヒニタイ</t>
    </rPh>
    <rPh sb="9" eb="11">
      <t>フタン</t>
    </rPh>
    <rPh sb="11" eb="12">
      <t>キン</t>
    </rPh>
    <rPh sb="16" eb="18">
      <t>トクテイ</t>
    </rPh>
    <rPh sb="18" eb="20">
      <t>シュウニュウ</t>
    </rPh>
    <rPh sb="20" eb="22">
      <t>イガイ</t>
    </rPh>
    <phoneticPr fontId="2"/>
  </si>
  <si>
    <t>下水道使用料減免分</t>
    <rPh sb="0" eb="3">
      <t>ゲスイドウ</t>
    </rPh>
    <rPh sb="3" eb="5">
      <t>シヨウ</t>
    </rPh>
    <rPh sb="5" eb="6">
      <t>リョウ</t>
    </rPh>
    <rPh sb="6" eb="8">
      <t>ゲンメン</t>
    </rPh>
    <rPh sb="8" eb="9">
      <t>ブン</t>
    </rPh>
    <phoneticPr fontId="2"/>
  </si>
  <si>
    <t>収
益
的
収
入</t>
    <rPh sb="0" eb="11">
      <t>シュウエキテキ</t>
    </rPh>
    <rPh sb="15" eb="21">
      <t>シュウニュウ</t>
    </rPh>
    <phoneticPr fontId="2"/>
  </si>
  <si>
    <t>資
本
的
収
入</t>
    <rPh sb="0" eb="11">
      <t>シホンテキ</t>
    </rPh>
    <rPh sb="15" eb="21">
      <t>シュウニュウ</t>
    </rPh>
    <phoneticPr fontId="2"/>
  </si>
  <si>
    <t>排水設備整備事業
充当分</t>
    <rPh sb="0" eb="2">
      <t>ハイスイ</t>
    </rPh>
    <rPh sb="2" eb="4">
      <t>セツビ</t>
    </rPh>
    <rPh sb="4" eb="6">
      <t>セイビ</t>
    </rPh>
    <rPh sb="6" eb="8">
      <t>ジギョウ</t>
    </rPh>
    <rPh sb="9" eb="11">
      <t>ジュウトウ</t>
    </rPh>
    <rPh sb="11" eb="12">
      <t>ブン</t>
    </rPh>
    <phoneticPr fontId="2"/>
  </si>
  <si>
    <t>下水道緊急整備費
国庫補助金</t>
    <rPh sb="0" eb="3">
      <t>ゲスイドウ</t>
    </rPh>
    <rPh sb="3" eb="5">
      <t>キンキュウ</t>
    </rPh>
    <rPh sb="5" eb="7">
      <t>セイビ</t>
    </rPh>
    <rPh sb="7" eb="8">
      <t>ヒ</t>
    </rPh>
    <rPh sb="9" eb="11">
      <t>コッコ</t>
    </rPh>
    <rPh sb="11" eb="14">
      <t>ホジョキン</t>
    </rPh>
    <phoneticPr fontId="2"/>
  </si>
  <si>
    <t>処理場・一般・高率
(繰越分)</t>
    <rPh sb="0" eb="3">
      <t>ショリジョウ</t>
    </rPh>
    <rPh sb="4" eb="6">
      <t>イッパン</t>
    </rPh>
    <rPh sb="7" eb="9">
      <t>コウリツ</t>
    </rPh>
    <rPh sb="11" eb="13">
      <t>クリコシ</t>
    </rPh>
    <rPh sb="13" eb="14">
      <t>ブン</t>
    </rPh>
    <phoneticPr fontId="2"/>
  </si>
  <si>
    <t>処理場・一般・低率
(繰越分)</t>
    <rPh sb="0" eb="3">
      <t>ショリジョウ</t>
    </rPh>
    <rPh sb="4" eb="6">
      <t>イッパン</t>
    </rPh>
    <rPh sb="7" eb="8">
      <t>テイ</t>
    </rPh>
    <rPh sb="8" eb="9">
      <t>コウリツ</t>
    </rPh>
    <rPh sb="11" eb="13">
      <t>クリコシ</t>
    </rPh>
    <rPh sb="13" eb="14">
      <t>ブン</t>
    </rPh>
    <phoneticPr fontId="2"/>
  </si>
  <si>
    <t>公共下水道
単市事業充当分</t>
    <rPh sb="0" eb="2">
      <t>コウキョウ</t>
    </rPh>
    <rPh sb="2" eb="5">
      <t>ゲスイドウ</t>
    </rPh>
    <rPh sb="6" eb="7">
      <t>タン</t>
    </rPh>
    <rPh sb="7" eb="8">
      <t>シ</t>
    </rPh>
    <rPh sb="8" eb="10">
      <t>ジギョウ</t>
    </rPh>
    <rPh sb="10" eb="12">
      <t>ジュウトウ</t>
    </rPh>
    <rPh sb="12" eb="13">
      <t>ブン</t>
    </rPh>
    <phoneticPr fontId="2"/>
  </si>
  <si>
    <t>排水設備整備事業
充当分</t>
    <rPh sb="0" eb="2">
      <t>ハイスイ</t>
    </rPh>
    <rPh sb="2" eb="4">
      <t>セツビ</t>
    </rPh>
    <rPh sb="4" eb="6">
      <t>セイビ</t>
    </rPh>
    <rPh sb="6" eb="8">
      <t>ジギョウ</t>
    </rPh>
    <rPh sb="9" eb="11">
      <t>ジュウトウ</t>
    </rPh>
    <rPh sb="11" eb="12">
      <t>ブン</t>
    </rPh>
    <phoneticPr fontId="2"/>
  </si>
  <si>
    <t>諸設備新設改良事業
充当分</t>
    <rPh sb="0" eb="1">
      <t>ショ</t>
    </rPh>
    <rPh sb="1" eb="3">
      <t>セツビ</t>
    </rPh>
    <rPh sb="3" eb="5">
      <t>シンセツ</t>
    </rPh>
    <rPh sb="5" eb="7">
      <t>カイリョウ</t>
    </rPh>
    <rPh sb="7" eb="9">
      <t>ジギョウ</t>
    </rPh>
    <rPh sb="10" eb="12">
      <t>ジュウトウ</t>
    </rPh>
    <rPh sb="12" eb="13">
      <t>ブン</t>
    </rPh>
    <phoneticPr fontId="2"/>
  </si>
  <si>
    <t>雨水処理に係る維持管理費
の課税支出割合</t>
    <rPh sb="14" eb="16">
      <t>カゼイ</t>
    </rPh>
    <rPh sb="16" eb="18">
      <t>シシュツ</t>
    </rPh>
    <rPh sb="18" eb="20">
      <t>ワリアイ</t>
    </rPh>
    <phoneticPr fontId="2"/>
  </si>
  <si>
    <t>課税支出額</t>
    <rPh sb="0" eb="2">
      <t>カゼイ</t>
    </rPh>
    <rPh sb="2" eb="4">
      <t>シシュツ</t>
    </rPh>
    <rPh sb="4" eb="5">
      <t>ガク</t>
    </rPh>
    <phoneticPr fontId="2"/>
  </si>
  <si>
    <t>支出額合計</t>
    <rPh sb="0" eb="2">
      <t>シシュツ</t>
    </rPh>
    <rPh sb="2" eb="3">
      <t>ガク</t>
    </rPh>
    <rPh sb="3" eb="5">
      <t>ゴウケイ</t>
    </rPh>
    <phoneticPr fontId="2"/>
  </si>
  <si>
    <t>公共下水道単市事業（現年）</t>
    <rPh sb="0" eb="2">
      <t>コウキョウ</t>
    </rPh>
    <rPh sb="2" eb="5">
      <t>ゲスイドウ</t>
    </rPh>
    <rPh sb="5" eb="6">
      <t>タン</t>
    </rPh>
    <rPh sb="6" eb="7">
      <t>シ</t>
    </rPh>
    <rPh sb="7" eb="9">
      <t>ジギョウ</t>
    </rPh>
    <rPh sb="10" eb="11">
      <t>ゲン</t>
    </rPh>
    <rPh sb="11" eb="12">
      <t>ネン</t>
    </rPh>
    <phoneticPr fontId="2"/>
  </si>
  <si>
    <t>公共下水道単市事業（繰越）</t>
    <rPh sb="0" eb="2">
      <t>コウキョウ</t>
    </rPh>
    <rPh sb="2" eb="5">
      <t>ゲスイドウ</t>
    </rPh>
    <rPh sb="5" eb="6">
      <t>タン</t>
    </rPh>
    <rPh sb="6" eb="7">
      <t>シ</t>
    </rPh>
    <rPh sb="7" eb="9">
      <t>ジギョウ</t>
    </rPh>
    <rPh sb="10" eb="12">
      <t>クリコシ</t>
    </rPh>
    <phoneticPr fontId="2"/>
  </si>
  <si>
    <t>合計</t>
    <rPh sb="0" eb="2">
      <t>ゴウケイ</t>
    </rPh>
    <phoneticPr fontId="2"/>
  </si>
  <si>
    <t>区分</t>
    <rPh sb="0" eb="2">
      <t>クブン</t>
    </rPh>
    <phoneticPr fontId="2"/>
  </si>
  <si>
    <t>決算額</t>
    <rPh sb="0" eb="2">
      <t>ケッサン</t>
    </rPh>
    <rPh sb="2" eb="3">
      <t>ガク</t>
    </rPh>
    <phoneticPr fontId="2"/>
  </si>
  <si>
    <t>課税</t>
    <rPh sb="0" eb="2">
      <t>カゼイ</t>
    </rPh>
    <phoneticPr fontId="2"/>
  </si>
  <si>
    <t>不課税</t>
    <rPh sb="0" eb="1">
      <t>フ</t>
    </rPh>
    <rPh sb="1" eb="3">
      <t>カゼイ</t>
    </rPh>
    <phoneticPr fontId="2"/>
  </si>
  <si>
    <t>計</t>
    <rPh sb="0" eb="1">
      <t>ケイ</t>
    </rPh>
    <phoneticPr fontId="2"/>
  </si>
  <si>
    <t>財源充当事業</t>
    <rPh sb="0" eb="2">
      <t>ザイゲン</t>
    </rPh>
    <rPh sb="2" eb="4">
      <t>ジュウトウ</t>
    </rPh>
    <rPh sb="4" eb="6">
      <t>ジギョウ</t>
    </rPh>
    <phoneticPr fontId="2"/>
  </si>
  <si>
    <t>補助</t>
    <rPh sb="0" eb="2">
      <t>ホジョ</t>
    </rPh>
    <phoneticPr fontId="2"/>
  </si>
  <si>
    <t>起債</t>
    <rPh sb="0" eb="2">
      <t>キサイ</t>
    </rPh>
    <phoneticPr fontId="2"/>
  </si>
  <si>
    <t>単市</t>
    <rPh sb="0" eb="1">
      <t>タン</t>
    </rPh>
    <rPh sb="1" eb="2">
      <t>シ</t>
    </rPh>
    <phoneticPr fontId="2"/>
  </si>
  <si>
    <t>企業債元金償還金財源分</t>
    <rPh sb="0" eb="2">
      <t>キギョウ</t>
    </rPh>
    <rPh sb="2" eb="3">
      <t>サイ</t>
    </rPh>
    <rPh sb="3" eb="5">
      <t>ガンキン</t>
    </rPh>
    <rPh sb="5" eb="8">
      <t>ショウカンキン</t>
    </rPh>
    <rPh sb="8" eb="10">
      <t>ザイゲン</t>
    </rPh>
    <rPh sb="10" eb="11">
      <t>ブン</t>
    </rPh>
    <phoneticPr fontId="2"/>
  </si>
  <si>
    <t>合計の消費税区分</t>
    <rPh sb="0" eb="2">
      <t>ゴウケイ</t>
    </rPh>
    <rPh sb="3" eb="6">
      <t>ショウヒゼイ</t>
    </rPh>
    <rPh sb="6" eb="8">
      <t>クブン</t>
    </rPh>
    <phoneticPr fontId="2"/>
  </si>
  <si>
    <t>（単位：円）</t>
    <rPh sb="1" eb="3">
      <t>タンイ</t>
    </rPh>
    <rPh sb="4" eb="5">
      <t>エン</t>
    </rPh>
    <phoneticPr fontId="2"/>
  </si>
  <si>
    <t>事項</t>
    <rPh sb="0" eb="2">
      <t>ジコウ</t>
    </rPh>
    <phoneticPr fontId="2"/>
  </si>
  <si>
    <t>建設負担金</t>
    <rPh sb="0" eb="2">
      <t>ケンセツ</t>
    </rPh>
    <rPh sb="2" eb="5">
      <t>フタンキン</t>
    </rPh>
    <phoneticPr fontId="2"/>
  </si>
  <si>
    <t>府中町</t>
    <rPh sb="0" eb="3">
      <t>フチュウチョウ</t>
    </rPh>
    <phoneticPr fontId="2"/>
  </si>
  <si>
    <t>廿日市市</t>
    <rPh sb="0" eb="4">
      <t>ハツカイチシ</t>
    </rPh>
    <phoneticPr fontId="2"/>
  </si>
  <si>
    <t>元金償還負担金</t>
    <rPh sb="0" eb="2">
      <t>ガンキン</t>
    </rPh>
    <rPh sb="2" eb="4">
      <t>ショウカン</t>
    </rPh>
    <rPh sb="4" eb="7">
      <t>フタンキン</t>
    </rPh>
    <phoneticPr fontId="2"/>
  </si>
  <si>
    <t>府中町大須地区（共通分）</t>
    <rPh sb="0" eb="3">
      <t>フチュウチョウ</t>
    </rPh>
    <rPh sb="3" eb="4">
      <t>オオ</t>
    </rPh>
    <rPh sb="4" eb="5">
      <t>ス</t>
    </rPh>
    <rPh sb="5" eb="7">
      <t>チク</t>
    </rPh>
    <rPh sb="8" eb="10">
      <t>キョウツウ</t>
    </rPh>
    <rPh sb="10" eb="11">
      <t>ブン</t>
    </rPh>
    <phoneticPr fontId="2"/>
  </si>
  <si>
    <t>府中町大須地区</t>
    <rPh sb="0" eb="3">
      <t>フチュウチョウ</t>
    </rPh>
    <rPh sb="3" eb="4">
      <t>オオ</t>
    </rPh>
    <rPh sb="4" eb="5">
      <t>ス</t>
    </rPh>
    <rPh sb="5" eb="7">
      <t>チク</t>
    </rPh>
    <phoneticPr fontId="2"/>
  </si>
  <si>
    <t>海田町海田地区</t>
    <rPh sb="0" eb="3">
      <t>カイタチョウ</t>
    </rPh>
    <rPh sb="3" eb="5">
      <t>カイタ</t>
    </rPh>
    <rPh sb="5" eb="7">
      <t>チク</t>
    </rPh>
    <phoneticPr fontId="2"/>
  </si>
  <si>
    <t>所属名</t>
    <rPh sb="0" eb="3">
      <t>ショゾクメイ</t>
    </rPh>
    <phoneticPr fontId="2"/>
  </si>
  <si>
    <t>整備費財源分</t>
    <rPh sb="0" eb="3">
      <t>セイビヒ</t>
    </rPh>
    <rPh sb="3" eb="5">
      <t>ザイゲン</t>
    </rPh>
    <rPh sb="5" eb="6">
      <t>ブン</t>
    </rPh>
    <phoneticPr fontId="2"/>
  </si>
  <si>
    <t>公共下水道整備事業</t>
    <rPh sb="0" eb="2">
      <t>コウキョウ</t>
    </rPh>
    <rPh sb="2" eb="5">
      <t>ゲスイドウ</t>
    </rPh>
    <rPh sb="5" eb="7">
      <t>セイビ</t>
    </rPh>
    <rPh sb="7" eb="9">
      <t>ジギョウ</t>
    </rPh>
    <phoneticPr fontId="2"/>
  </si>
  <si>
    <t>府中町青崎地区</t>
    <rPh sb="0" eb="3">
      <t>フチュウチョウ</t>
    </rPh>
    <rPh sb="3" eb="5">
      <t>アオサキ</t>
    </rPh>
    <rPh sb="5" eb="7">
      <t>チク</t>
    </rPh>
    <phoneticPr fontId="2"/>
  </si>
  <si>
    <t>課合計</t>
    <rPh sb="0" eb="1">
      <t>カ</t>
    </rPh>
    <rPh sb="1" eb="3">
      <t>ゴウケイ</t>
    </rPh>
    <phoneticPr fontId="2"/>
  </si>
  <si>
    <t>建設負担金充当先
整備事業</t>
    <rPh sb="0" eb="2">
      <t>ケンセツ</t>
    </rPh>
    <rPh sb="2" eb="5">
      <t>フタンキン</t>
    </rPh>
    <rPh sb="5" eb="7">
      <t>ジュウトウ</t>
    </rPh>
    <rPh sb="7" eb="8">
      <t>サキ</t>
    </rPh>
    <rPh sb="9" eb="11">
      <t>セイビ</t>
    </rPh>
    <rPh sb="11" eb="13">
      <t>ジギョウ</t>
    </rPh>
    <phoneticPr fontId="2"/>
  </si>
  <si>
    <t>経営企画課</t>
    <rPh sb="0" eb="2">
      <t>ケイエイ</t>
    </rPh>
    <rPh sb="2" eb="4">
      <t>キカク</t>
    </rPh>
    <rPh sb="4" eb="5">
      <t>カ</t>
    </rPh>
    <phoneticPr fontId="2"/>
  </si>
  <si>
    <t>西風新都開発者負担金</t>
    <rPh sb="0" eb="2">
      <t>ニシカゼ</t>
    </rPh>
    <rPh sb="2" eb="3">
      <t>シン</t>
    </rPh>
    <rPh sb="3" eb="4">
      <t>ミヤコ</t>
    </rPh>
    <rPh sb="4" eb="7">
      <t>カイハツシャ</t>
    </rPh>
    <rPh sb="7" eb="10">
      <t>フタンキン</t>
    </rPh>
    <phoneticPr fontId="2"/>
  </si>
  <si>
    <t>計</t>
    <rPh sb="0" eb="1">
      <t>ショウケイ</t>
    </rPh>
    <phoneticPr fontId="2"/>
  </si>
  <si>
    <t>管理課</t>
    <rPh sb="0" eb="3">
      <t>カンリカ</t>
    </rPh>
    <phoneticPr fontId="2"/>
  </si>
  <si>
    <t>諸設備新設改良事業</t>
    <rPh sb="0" eb="1">
      <t>ショ</t>
    </rPh>
    <rPh sb="1" eb="3">
      <t>セツビ</t>
    </rPh>
    <rPh sb="3" eb="5">
      <t>シンセツ</t>
    </rPh>
    <rPh sb="5" eb="7">
      <t>カイリョウ</t>
    </rPh>
    <rPh sb="7" eb="9">
      <t>ジギョウ</t>
    </rPh>
    <phoneticPr fontId="2"/>
  </si>
  <si>
    <t>海田町</t>
    <rPh sb="0" eb="3">
      <t>カイタチョウ</t>
    </rPh>
    <phoneticPr fontId="2"/>
  </si>
  <si>
    <t>排水設備整備事業</t>
    <rPh sb="0" eb="2">
      <t>ハイスイ</t>
    </rPh>
    <rPh sb="2" eb="4">
      <t>セツビ</t>
    </rPh>
    <rPh sb="4" eb="6">
      <t>セイビ</t>
    </rPh>
    <rPh sb="6" eb="8">
      <t>ジギョウ</t>
    </rPh>
    <phoneticPr fontId="2"/>
  </si>
  <si>
    <t>総合計</t>
    <rPh sb="0" eb="1">
      <t>ソウ</t>
    </rPh>
    <rPh sb="1" eb="3">
      <t>ゴウケイ</t>
    </rPh>
    <phoneticPr fontId="2"/>
  </si>
  <si>
    <t>現年分</t>
    <rPh sb="0" eb="1">
      <t>ゲン</t>
    </rPh>
    <rPh sb="1" eb="3">
      <t>ネンブン</t>
    </rPh>
    <phoneticPr fontId="2"/>
  </si>
  <si>
    <t>内
訳</t>
    <rPh sb="0" eb="9">
      <t>ウチワケ</t>
    </rPh>
    <phoneticPr fontId="2"/>
  </si>
  <si>
    <t>公共下水道
単市事業充当分
（西風新都を含む）</t>
    <rPh sb="0" eb="2">
      <t>コウキョウ</t>
    </rPh>
    <rPh sb="2" eb="5">
      <t>ゲスイドウ</t>
    </rPh>
    <rPh sb="6" eb="7">
      <t>タン</t>
    </rPh>
    <rPh sb="7" eb="8">
      <t>シ</t>
    </rPh>
    <rPh sb="8" eb="10">
      <t>ジギョウ</t>
    </rPh>
    <rPh sb="10" eb="12">
      <t>ジュウトウ</t>
    </rPh>
    <rPh sb="12" eb="13">
      <t>ブン</t>
    </rPh>
    <rPh sb="15" eb="17">
      <t>ニシカゼ</t>
    </rPh>
    <rPh sb="17" eb="18">
      <t>シン</t>
    </rPh>
    <rPh sb="18" eb="19">
      <t>ト</t>
    </rPh>
    <rPh sb="20" eb="21">
      <t>フク</t>
    </rPh>
    <phoneticPr fontId="2"/>
  </si>
  <si>
    <t>府中町（大須地区）</t>
    <rPh sb="0" eb="3">
      <t>フチュウチョウ</t>
    </rPh>
    <rPh sb="4" eb="5">
      <t>オオ</t>
    </rPh>
    <rPh sb="5" eb="6">
      <t>ス</t>
    </rPh>
    <rPh sb="6" eb="8">
      <t>チク</t>
    </rPh>
    <phoneticPr fontId="2"/>
  </si>
  <si>
    <t>その他雑収益</t>
    <rPh sb="2" eb="3">
      <t>タ</t>
    </rPh>
    <rPh sb="3" eb="4">
      <t>ザツ</t>
    </rPh>
    <rPh sb="4" eb="6">
      <t>シュウエキ</t>
    </rPh>
    <phoneticPr fontId="2"/>
  </si>
  <si>
    <t>課税支出である企業債手数料
（雨水分）の額</t>
    <rPh sb="0" eb="2">
      <t>カゼイ</t>
    </rPh>
    <rPh sb="2" eb="4">
      <t>シシュツ</t>
    </rPh>
    <rPh sb="7" eb="9">
      <t>キギョウ</t>
    </rPh>
    <rPh sb="9" eb="10">
      <t>サイ</t>
    </rPh>
    <rPh sb="10" eb="13">
      <t>テスウリョウ</t>
    </rPh>
    <rPh sb="15" eb="17">
      <t>ウスイ</t>
    </rPh>
    <rPh sb="17" eb="18">
      <t>ブン</t>
    </rPh>
    <rPh sb="20" eb="21">
      <t>ガク</t>
    </rPh>
    <phoneticPr fontId="2"/>
  </si>
  <si>
    <t>支払利息分〈特定収入以外〉</t>
    <rPh sb="0" eb="2">
      <t>シハライ</t>
    </rPh>
    <rPh sb="2" eb="4">
      <t>リソク</t>
    </rPh>
    <rPh sb="4" eb="5">
      <t>ブン</t>
    </rPh>
    <rPh sb="6" eb="8">
      <t>トクテイ</t>
    </rPh>
    <rPh sb="8" eb="10">
      <t>シュウニュウ</t>
    </rPh>
    <rPh sb="10" eb="12">
      <t>イガイ</t>
    </rPh>
    <phoneticPr fontId="2"/>
  </si>
  <si>
    <t>課税支出である企業債手数料
（汚水分）に対する一般会計
補助金の支払利息充当割合</t>
    <rPh sb="0" eb="2">
      <t>カゼイ</t>
    </rPh>
    <rPh sb="2" eb="4">
      <t>シシュツ</t>
    </rPh>
    <rPh sb="7" eb="9">
      <t>キギョウ</t>
    </rPh>
    <rPh sb="9" eb="10">
      <t>サイ</t>
    </rPh>
    <rPh sb="10" eb="13">
      <t>テスウリョウ</t>
    </rPh>
    <rPh sb="15" eb="17">
      <t>オスイ</t>
    </rPh>
    <rPh sb="17" eb="18">
      <t>ブン</t>
    </rPh>
    <rPh sb="20" eb="21">
      <t>タイ</t>
    </rPh>
    <rPh sb="23" eb="25">
      <t>イッパン</t>
    </rPh>
    <rPh sb="25" eb="27">
      <t>カイケイ</t>
    </rPh>
    <rPh sb="28" eb="31">
      <t>ホジョキン</t>
    </rPh>
    <rPh sb="32" eb="34">
      <t>シハラ</t>
    </rPh>
    <rPh sb="34" eb="36">
      <t>リソク</t>
    </rPh>
    <rPh sb="36" eb="38">
      <t>ジュウトウ</t>
    </rPh>
    <rPh sb="38" eb="40">
      <t>ワリアイ</t>
    </rPh>
    <phoneticPr fontId="2"/>
  </si>
  <si>
    <t>減価償却費・支払利息に対する
負担金のため特定収入以外</t>
    <rPh sb="0" eb="2">
      <t>ゲンカ</t>
    </rPh>
    <rPh sb="2" eb="4">
      <t>ショウキャク</t>
    </rPh>
    <rPh sb="4" eb="5">
      <t>ヒ</t>
    </rPh>
    <rPh sb="6" eb="8">
      <t>シハラ</t>
    </rPh>
    <rPh sb="8" eb="10">
      <t>リソク</t>
    </rPh>
    <rPh sb="11" eb="12">
      <t>タイ</t>
    </rPh>
    <rPh sb="15" eb="18">
      <t>フタンキン</t>
    </rPh>
    <rPh sb="21" eb="23">
      <t>トクテイ</t>
    </rPh>
    <rPh sb="23" eb="25">
      <t>シュウニュウ</t>
    </rPh>
    <rPh sb="25" eb="27">
      <t>イガイ</t>
    </rPh>
    <phoneticPr fontId="2"/>
  </si>
  <si>
    <t>(単位：円)</t>
    <rPh sb="1" eb="3">
      <t>タンイ</t>
    </rPh>
    <rPh sb="4" eb="5">
      <t>エン</t>
    </rPh>
    <phoneticPr fontId="2"/>
  </si>
  <si>
    <t>対象経費</t>
    <rPh sb="0" eb="2">
      <t>タイショウ</t>
    </rPh>
    <rPh sb="2" eb="4">
      <t>ケイヒ</t>
    </rPh>
    <phoneticPr fontId="2"/>
  </si>
  <si>
    <t>按分方法</t>
    <rPh sb="0" eb="2">
      <t>アンブン</t>
    </rPh>
    <rPh sb="2" eb="4">
      <t>ホウホウ</t>
    </rPh>
    <phoneticPr fontId="2"/>
  </si>
  <si>
    <t>不課税収入額</t>
    <rPh sb="0" eb="1">
      <t>フ</t>
    </rPh>
    <rPh sb="1" eb="3">
      <t>カゼイ</t>
    </rPh>
    <rPh sb="3" eb="5">
      <t>シュウニュウ</t>
    </rPh>
    <rPh sb="5" eb="6">
      <t>キンガク</t>
    </rPh>
    <phoneticPr fontId="2"/>
  </si>
  <si>
    <t>特定収入</t>
    <rPh sb="0" eb="2">
      <t>トクテイ</t>
    </rPh>
    <rPh sb="2" eb="4">
      <t>シュウニュウ</t>
    </rPh>
    <phoneticPr fontId="2"/>
  </si>
  <si>
    <t>特定収入
以外</t>
    <rPh sb="0" eb="2">
      <t>トクテイ</t>
    </rPh>
    <rPh sb="2" eb="4">
      <t>シュウニュウ</t>
    </rPh>
    <rPh sb="5" eb="7">
      <t>イガイ</t>
    </rPh>
    <phoneticPr fontId="2"/>
  </si>
  <si>
    <t>企業債（特定資金公共事業債）</t>
    <rPh sb="0" eb="2">
      <t>キギョウ</t>
    </rPh>
    <rPh sb="2" eb="3">
      <t>サイ</t>
    </rPh>
    <rPh sb="4" eb="6">
      <t>トクテイ</t>
    </rPh>
    <rPh sb="6" eb="8">
      <t>シキン</t>
    </rPh>
    <rPh sb="8" eb="10">
      <t>コウキョウ</t>
    </rPh>
    <rPh sb="10" eb="12">
      <t>ジギョウ</t>
    </rPh>
    <rPh sb="12" eb="13">
      <t>サイ</t>
    </rPh>
    <phoneticPr fontId="2"/>
  </si>
  <si>
    <t>14年度分補助事業
（繰越分）の課税支出割合</t>
    <rPh sb="11" eb="13">
      <t>クリコシ</t>
    </rPh>
    <rPh sb="13" eb="14">
      <t>ブン</t>
    </rPh>
    <phoneticPr fontId="2"/>
  </si>
  <si>
    <t>処理場・一般・低率
(繰越分)</t>
    <rPh sb="0" eb="3">
      <t>ショリジョウ</t>
    </rPh>
    <rPh sb="4" eb="6">
      <t>イッパン</t>
    </rPh>
    <rPh sb="7" eb="8">
      <t>テイ</t>
    </rPh>
    <rPh sb="8" eb="9">
      <t>コウリツ</t>
    </rPh>
    <rPh sb="11" eb="13">
      <t>クリコシ</t>
    </rPh>
    <rPh sb="13" eb="14">
      <t>ブン</t>
    </rPh>
    <phoneticPr fontId="2"/>
  </si>
  <si>
    <t>課税支出である企業債
手数料（雨水分）の額</t>
    <rPh sb="0" eb="2">
      <t>カゼイ</t>
    </rPh>
    <rPh sb="2" eb="4">
      <t>シシュツ</t>
    </rPh>
    <rPh sb="7" eb="9">
      <t>キギョウ</t>
    </rPh>
    <rPh sb="9" eb="10">
      <t>サイ</t>
    </rPh>
    <rPh sb="11" eb="14">
      <t>テスウリョウ</t>
    </rPh>
    <rPh sb="15" eb="17">
      <t>ウスイ</t>
    </rPh>
    <rPh sb="17" eb="18">
      <t>ブン</t>
    </rPh>
    <rPh sb="20" eb="21">
      <t>ガク</t>
    </rPh>
    <phoneticPr fontId="2"/>
  </si>
  <si>
    <t>課税支出である企業債
手数料（汚水分）の額</t>
    <rPh sb="0" eb="2">
      <t>カゼイ</t>
    </rPh>
    <rPh sb="2" eb="4">
      <t>シシュツ</t>
    </rPh>
    <rPh sb="7" eb="9">
      <t>キギョウ</t>
    </rPh>
    <rPh sb="9" eb="10">
      <t>サイ</t>
    </rPh>
    <rPh sb="11" eb="14">
      <t>テスウリョウ</t>
    </rPh>
    <rPh sb="15" eb="17">
      <t>オスイ</t>
    </rPh>
    <rPh sb="17" eb="18">
      <t>ブン</t>
    </rPh>
    <rPh sb="20" eb="21">
      <t>ガク</t>
    </rPh>
    <phoneticPr fontId="2"/>
  </si>
  <si>
    <t>収
益
的
収
入</t>
    <rPh sb="0" eb="11">
      <t>シュウエキテキ</t>
    </rPh>
    <rPh sb="15" eb="21">
      <t>シュウニュウ</t>
    </rPh>
    <phoneticPr fontId="2"/>
  </si>
  <si>
    <t>一般会計負担金</t>
    <rPh sb="0" eb="2">
      <t>イッパン</t>
    </rPh>
    <rPh sb="2" eb="4">
      <t>カイケイ</t>
    </rPh>
    <rPh sb="4" eb="7">
      <t>フタンキン</t>
    </rPh>
    <phoneticPr fontId="2"/>
  </si>
  <si>
    <t>雨水処理負担金</t>
    <rPh sb="0" eb="2">
      <t>ウスイ</t>
    </rPh>
    <rPh sb="2" eb="4">
      <t>ショリ</t>
    </rPh>
    <rPh sb="4" eb="7">
      <t>フタンキン</t>
    </rPh>
    <phoneticPr fontId="2"/>
  </si>
  <si>
    <t>維持管理費分</t>
    <rPh sb="0" eb="2">
      <t>イジ</t>
    </rPh>
    <rPh sb="2" eb="5">
      <t>カンリヒ</t>
    </rPh>
    <rPh sb="5" eb="6">
      <t>ブン</t>
    </rPh>
    <phoneticPr fontId="2"/>
  </si>
  <si>
    <t>雨水処理に係る
維持管理費分</t>
    <rPh sb="0" eb="2">
      <t>ウスイ</t>
    </rPh>
    <rPh sb="2" eb="4">
      <t>ショリ</t>
    </rPh>
    <rPh sb="5" eb="6">
      <t>カカ</t>
    </rPh>
    <rPh sb="8" eb="10">
      <t>イジ</t>
    </rPh>
    <rPh sb="10" eb="13">
      <t>カンリヒ</t>
    </rPh>
    <rPh sb="13" eb="14">
      <t>ブン</t>
    </rPh>
    <phoneticPr fontId="2"/>
  </si>
  <si>
    <t>雨水処理に係る維持管理費
の課税支出割合</t>
    <rPh sb="14" eb="16">
      <t>カゼイ</t>
    </rPh>
    <rPh sb="16" eb="18">
      <t>シシュツ</t>
    </rPh>
    <rPh sb="18" eb="20">
      <t>ワリアイ</t>
    </rPh>
    <phoneticPr fontId="2"/>
  </si>
  <si>
    <t>減価償却費分</t>
    <rPh sb="0" eb="2">
      <t>ゲンカ</t>
    </rPh>
    <rPh sb="2" eb="4">
      <t>ショウキャク</t>
    </rPh>
    <rPh sb="4" eb="5">
      <t>ヒ</t>
    </rPh>
    <rPh sb="5" eb="6">
      <t>ブン</t>
    </rPh>
    <phoneticPr fontId="2"/>
  </si>
  <si>
    <t>雨水施設に係る
減価償却費分</t>
    <rPh sb="0" eb="2">
      <t>ウスイ</t>
    </rPh>
    <rPh sb="2" eb="4">
      <t>シセツ</t>
    </rPh>
    <rPh sb="5" eb="6">
      <t>カカ</t>
    </rPh>
    <rPh sb="8" eb="10">
      <t>ゲンカ</t>
    </rPh>
    <rPh sb="10" eb="12">
      <t>ショウキャク</t>
    </rPh>
    <rPh sb="12" eb="13">
      <t>カンリヒ</t>
    </rPh>
    <rPh sb="13" eb="14">
      <t>ブン</t>
    </rPh>
    <phoneticPr fontId="2"/>
  </si>
  <si>
    <t>減価償却費に対する負担金
のため特定収入以外</t>
    <rPh sb="0" eb="2">
      <t>ゲンカ</t>
    </rPh>
    <rPh sb="2" eb="4">
      <t>ショウキャク</t>
    </rPh>
    <rPh sb="4" eb="7">
      <t>ヒニタイ</t>
    </rPh>
    <rPh sb="9" eb="11">
      <t>フタン</t>
    </rPh>
    <rPh sb="11" eb="12">
      <t>キン</t>
    </rPh>
    <rPh sb="16" eb="18">
      <t>トクテイ</t>
    </rPh>
    <rPh sb="18" eb="20">
      <t>シュウニュウ</t>
    </rPh>
    <rPh sb="20" eb="22">
      <t>イガイ</t>
    </rPh>
    <phoneticPr fontId="2"/>
  </si>
  <si>
    <t>支払利息分</t>
    <rPh sb="0" eb="2">
      <t>シハライ</t>
    </rPh>
    <rPh sb="2" eb="4">
      <t>リソク</t>
    </rPh>
    <rPh sb="4" eb="5">
      <t>ブン</t>
    </rPh>
    <phoneticPr fontId="2"/>
  </si>
  <si>
    <t>雨水施設に係る
支払利息等充当分</t>
    <rPh sb="0" eb="1">
      <t>アメ</t>
    </rPh>
    <rPh sb="1" eb="2">
      <t>オスイ</t>
    </rPh>
    <rPh sb="2" eb="4">
      <t>シセツ</t>
    </rPh>
    <rPh sb="5" eb="6">
      <t>カカ</t>
    </rPh>
    <rPh sb="8" eb="10">
      <t>シハライ</t>
    </rPh>
    <rPh sb="10" eb="12">
      <t>リソク</t>
    </rPh>
    <rPh sb="12" eb="13">
      <t>トウ</t>
    </rPh>
    <rPh sb="13" eb="15">
      <t>ジュウトウ</t>
    </rPh>
    <rPh sb="15" eb="16">
      <t>ブン</t>
    </rPh>
    <phoneticPr fontId="2"/>
  </si>
  <si>
    <t>水質指導費負担金</t>
    <rPh sb="0" eb="2">
      <t>スイシツ</t>
    </rPh>
    <rPh sb="2" eb="4">
      <t>シドウ</t>
    </rPh>
    <rPh sb="4" eb="5">
      <t>ヒ</t>
    </rPh>
    <rPh sb="5" eb="8">
      <t>フタンキン</t>
    </rPh>
    <phoneticPr fontId="2"/>
  </si>
  <si>
    <t>水質規制に係る経費</t>
    <rPh sb="0" eb="2">
      <t>スイシツ</t>
    </rPh>
    <rPh sb="2" eb="4">
      <t>キセイ</t>
    </rPh>
    <rPh sb="5" eb="6">
      <t>カカ</t>
    </rPh>
    <rPh sb="7" eb="9">
      <t>ケイヒ</t>
    </rPh>
    <phoneticPr fontId="2"/>
  </si>
  <si>
    <t>水質規制に係る経費の
課税支出割合</t>
    <rPh sb="11" eb="13">
      <t>カゼイ</t>
    </rPh>
    <rPh sb="13" eb="15">
      <t>シシュツ</t>
    </rPh>
    <rPh sb="15" eb="17">
      <t>ワリアイ</t>
    </rPh>
    <phoneticPr fontId="2"/>
  </si>
  <si>
    <t>普及促進費負担金</t>
    <rPh sb="0" eb="2">
      <t>フキュウ</t>
    </rPh>
    <rPh sb="2" eb="5">
      <t>ソクシンヒ</t>
    </rPh>
    <rPh sb="5" eb="8">
      <t>フタンキン</t>
    </rPh>
    <phoneticPr fontId="2"/>
  </si>
  <si>
    <t>水洗化普及促進に係る経費</t>
    <rPh sb="0" eb="3">
      <t>スイセンカ</t>
    </rPh>
    <rPh sb="3" eb="5">
      <t>フキュウ</t>
    </rPh>
    <rPh sb="5" eb="7">
      <t>ソクシン</t>
    </rPh>
    <rPh sb="8" eb="9">
      <t>カカ</t>
    </rPh>
    <rPh sb="10" eb="12">
      <t>ケイヒ</t>
    </rPh>
    <phoneticPr fontId="2"/>
  </si>
  <si>
    <t>水洗化普及促進に係る経費
の課税支出割合</t>
    <rPh sb="14" eb="16">
      <t>カゼイ</t>
    </rPh>
    <rPh sb="16" eb="18">
      <t>シシュツ</t>
    </rPh>
    <rPh sb="18" eb="20">
      <t>ワリアイ</t>
    </rPh>
    <phoneticPr fontId="2"/>
  </si>
  <si>
    <t>貸付事業費負担金</t>
    <rPh sb="0" eb="2">
      <t>カシツケ</t>
    </rPh>
    <rPh sb="2" eb="5">
      <t>ジギョウヒ</t>
    </rPh>
    <rPh sb="5" eb="8">
      <t>フタンキン</t>
    </rPh>
    <phoneticPr fontId="2"/>
  </si>
  <si>
    <t>水洗化貸付業務に係る経費</t>
    <rPh sb="0" eb="3">
      <t>スイセンカ</t>
    </rPh>
    <rPh sb="3" eb="5">
      <t>カシツケ</t>
    </rPh>
    <rPh sb="5" eb="7">
      <t>ギョウム</t>
    </rPh>
    <rPh sb="8" eb="9">
      <t>カカ</t>
    </rPh>
    <rPh sb="10" eb="12">
      <t>ケイヒ</t>
    </rPh>
    <phoneticPr fontId="2"/>
  </si>
  <si>
    <t>水洗化貸付業務に係る経費
(利子を除く)の課税支出割合</t>
    <rPh sb="14" eb="16">
      <t>リシ</t>
    </rPh>
    <rPh sb="17" eb="18">
      <t>ノゾ</t>
    </rPh>
    <rPh sb="21" eb="23">
      <t>カゼイ</t>
    </rPh>
    <rPh sb="23" eb="25">
      <t>シシュツ</t>
    </rPh>
    <rPh sb="25" eb="27">
      <t>ワリアイ</t>
    </rPh>
    <phoneticPr fontId="2"/>
  </si>
  <si>
    <t>国庫補助金</t>
    <rPh sb="0" eb="2">
      <t>コッコ</t>
    </rPh>
    <rPh sb="2" eb="5">
      <t>ホジョキン</t>
    </rPh>
    <phoneticPr fontId="2"/>
  </si>
  <si>
    <t>下水道緊急整備費
国庫補助金</t>
    <rPh sb="0" eb="3">
      <t>ゲスイドウ</t>
    </rPh>
    <rPh sb="3" eb="5">
      <t>キンキュウ</t>
    </rPh>
    <rPh sb="5" eb="7">
      <t>セイビ</t>
    </rPh>
    <rPh sb="7" eb="8">
      <t>ヒ</t>
    </rPh>
    <rPh sb="9" eb="11">
      <t>コッコ</t>
    </rPh>
    <rPh sb="11" eb="14">
      <t>ホジョキン</t>
    </rPh>
    <phoneticPr fontId="2"/>
  </si>
  <si>
    <t>下水道緊急整備費に
対する利子補給</t>
    <rPh sb="0" eb="3">
      <t>ゲスイドウ</t>
    </rPh>
    <rPh sb="3" eb="5">
      <t>キンキュウ</t>
    </rPh>
    <rPh sb="5" eb="8">
      <t>セイビヒ</t>
    </rPh>
    <rPh sb="10" eb="11">
      <t>タイ</t>
    </rPh>
    <rPh sb="13" eb="15">
      <t>リシ</t>
    </rPh>
    <rPh sb="15" eb="17">
      <t>ホキュウ</t>
    </rPh>
    <phoneticPr fontId="2"/>
  </si>
  <si>
    <t>支払利息に対する補給金
のため特定収入以外</t>
    <rPh sb="0" eb="2">
      <t>シハライ</t>
    </rPh>
    <rPh sb="2" eb="6">
      <t>リソクニタイ</t>
    </rPh>
    <rPh sb="8" eb="11">
      <t>ホキュウキン</t>
    </rPh>
    <rPh sb="15" eb="17">
      <t>トクテイ</t>
    </rPh>
    <rPh sb="17" eb="19">
      <t>シュウニュウ</t>
    </rPh>
    <rPh sb="19" eb="21">
      <t>イガイ</t>
    </rPh>
    <phoneticPr fontId="2"/>
  </si>
  <si>
    <t>負担金</t>
    <rPh sb="0" eb="3">
      <t>フタンキン</t>
    </rPh>
    <phoneticPr fontId="2"/>
  </si>
  <si>
    <t>他会計負担金</t>
    <rPh sb="0" eb="1">
      <t>タカイ</t>
    </rPh>
    <rPh sb="1" eb="3">
      <t>カイケイ</t>
    </rPh>
    <rPh sb="3" eb="6">
      <t>フタンキン</t>
    </rPh>
    <phoneticPr fontId="2"/>
  </si>
  <si>
    <t>企業債利息償還金に
対する他町負担金</t>
    <rPh sb="0" eb="2">
      <t>キギョウ</t>
    </rPh>
    <rPh sb="2" eb="3">
      <t>サイ</t>
    </rPh>
    <rPh sb="3" eb="5">
      <t>リソク</t>
    </rPh>
    <rPh sb="5" eb="8">
      <t>ショウカンキン</t>
    </rPh>
    <rPh sb="10" eb="11">
      <t>タイ</t>
    </rPh>
    <rPh sb="13" eb="14">
      <t>タ</t>
    </rPh>
    <rPh sb="14" eb="15">
      <t>チョウ</t>
    </rPh>
    <rPh sb="15" eb="18">
      <t>フタンキン</t>
    </rPh>
    <phoneticPr fontId="2"/>
  </si>
  <si>
    <t>支払利息に対する負担金
のため特定収入以外</t>
    <rPh sb="0" eb="2">
      <t>シハライ</t>
    </rPh>
    <rPh sb="2" eb="6">
      <t>リソクニタイ</t>
    </rPh>
    <rPh sb="8" eb="10">
      <t>フタン</t>
    </rPh>
    <rPh sb="10" eb="11">
      <t>ホキュウキン</t>
    </rPh>
    <rPh sb="15" eb="17">
      <t>トクテイ</t>
    </rPh>
    <rPh sb="17" eb="19">
      <t>シュウニュウ</t>
    </rPh>
    <rPh sb="19" eb="21">
      <t>イガイ</t>
    </rPh>
    <phoneticPr fontId="2"/>
  </si>
  <si>
    <t>一般会計補助金</t>
    <rPh sb="0" eb="2">
      <t>イッパン</t>
    </rPh>
    <rPh sb="2" eb="4">
      <t>カイケイ</t>
    </rPh>
    <rPh sb="4" eb="7">
      <t>ホジョキン</t>
    </rPh>
    <phoneticPr fontId="2"/>
  </si>
  <si>
    <t>汚水処理補助金</t>
    <rPh sb="0" eb="2">
      <t>オスイ</t>
    </rPh>
    <rPh sb="2" eb="4">
      <t>ショリ</t>
    </rPh>
    <rPh sb="4" eb="7">
      <t>ホジョキン</t>
    </rPh>
    <phoneticPr fontId="2"/>
  </si>
  <si>
    <t>汚水施設に係る
減価償却費分</t>
    <rPh sb="0" eb="2">
      <t>オスイ</t>
    </rPh>
    <rPh sb="2" eb="4">
      <t>シセツ</t>
    </rPh>
    <rPh sb="5" eb="6">
      <t>カカ</t>
    </rPh>
    <rPh sb="8" eb="10">
      <t>ゲンカ</t>
    </rPh>
    <rPh sb="10" eb="12">
      <t>ショウキャク</t>
    </rPh>
    <rPh sb="12" eb="13">
      <t>ヒ</t>
    </rPh>
    <rPh sb="13" eb="14">
      <t>ブン</t>
    </rPh>
    <phoneticPr fontId="2"/>
  </si>
  <si>
    <t>汚水施設に係る
支払利息等充当分</t>
    <rPh sb="0" eb="2">
      <t>オスイ</t>
    </rPh>
    <rPh sb="2" eb="4">
      <t>シセツ</t>
    </rPh>
    <rPh sb="5" eb="6">
      <t>カカ</t>
    </rPh>
    <rPh sb="8" eb="10">
      <t>シハライ</t>
    </rPh>
    <rPh sb="10" eb="12">
      <t>リソク</t>
    </rPh>
    <rPh sb="12" eb="13">
      <t>トウ</t>
    </rPh>
    <rPh sb="13" eb="15">
      <t>ジュウトウ</t>
    </rPh>
    <rPh sb="15" eb="16">
      <t>ブン</t>
    </rPh>
    <phoneticPr fontId="2"/>
  </si>
  <si>
    <t>使用料減免分</t>
    <rPh sb="0" eb="2">
      <t>シヨウ</t>
    </rPh>
    <rPh sb="2" eb="3">
      <t>リョウ</t>
    </rPh>
    <rPh sb="3" eb="5">
      <t>ゲンメン</t>
    </rPh>
    <rPh sb="5" eb="6">
      <t>ブン</t>
    </rPh>
    <phoneticPr fontId="2"/>
  </si>
  <si>
    <t>下水道使用料減免分</t>
    <rPh sb="0" eb="3">
      <t>ゲスイドウ</t>
    </rPh>
    <rPh sb="3" eb="5">
      <t>シヨウ</t>
    </rPh>
    <rPh sb="5" eb="6">
      <t>リョウ</t>
    </rPh>
    <rPh sb="6" eb="8">
      <t>ゲンメン</t>
    </rPh>
    <rPh sb="8" eb="9">
      <t>ブン</t>
    </rPh>
    <phoneticPr fontId="2"/>
  </si>
  <si>
    <t>その他の収益的収入中の不課税収入</t>
    <rPh sb="0" eb="3">
      <t>ソノタ</t>
    </rPh>
    <rPh sb="4" eb="6">
      <t>シュウエキ</t>
    </rPh>
    <rPh sb="6" eb="7">
      <t>テキ</t>
    </rPh>
    <rPh sb="7" eb="9">
      <t>シュウニュウ</t>
    </rPh>
    <rPh sb="9" eb="10">
      <t>チュウ</t>
    </rPh>
    <rPh sb="11" eb="12">
      <t>フ</t>
    </rPh>
    <rPh sb="12" eb="14">
      <t>カゼイ</t>
    </rPh>
    <rPh sb="14" eb="16">
      <t>シュウニュウ</t>
    </rPh>
    <phoneticPr fontId="2"/>
  </si>
  <si>
    <t>資
本
的
収
入</t>
    <rPh sb="0" eb="11">
      <t>シホンテキ</t>
    </rPh>
    <rPh sb="15" eb="21">
      <t>シュウニュウ</t>
    </rPh>
    <phoneticPr fontId="2"/>
  </si>
  <si>
    <t xml:space="preserve">
公
共
下
水
道</t>
    <rPh sb="1" eb="5">
      <t>コウキョウ</t>
    </rPh>
    <rPh sb="7" eb="14">
      <t>ゲスイドウ</t>
    </rPh>
    <phoneticPr fontId="2"/>
  </si>
  <si>
    <t>管路等・一般</t>
    <rPh sb="0" eb="1">
      <t>カン</t>
    </rPh>
    <rPh sb="1" eb="2">
      <t>ロ</t>
    </rPh>
    <rPh sb="2" eb="3">
      <t>トウ</t>
    </rPh>
    <rPh sb="4" eb="6">
      <t>イッパン</t>
    </rPh>
    <phoneticPr fontId="2"/>
  </si>
  <si>
    <t>管路等・用地国債</t>
    <rPh sb="0" eb="1">
      <t>カン</t>
    </rPh>
    <rPh sb="1" eb="2">
      <t>ロ</t>
    </rPh>
    <rPh sb="2" eb="3">
      <t>トウ</t>
    </rPh>
    <rPh sb="4" eb="6">
      <t>ヨウチ</t>
    </rPh>
    <rPh sb="6" eb="8">
      <t>コクサイ</t>
    </rPh>
    <phoneticPr fontId="2"/>
  </si>
  <si>
    <t>管路等・特債</t>
    <rPh sb="0" eb="1">
      <t>カン</t>
    </rPh>
    <rPh sb="1" eb="2">
      <t>ロ</t>
    </rPh>
    <rPh sb="2" eb="3">
      <t>トウ</t>
    </rPh>
    <rPh sb="4" eb="5">
      <t>トク</t>
    </rPh>
    <rPh sb="5" eb="6">
      <t>サイ</t>
    </rPh>
    <phoneticPr fontId="2"/>
  </si>
  <si>
    <t>管路等・促進・工事国債</t>
    <rPh sb="0" eb="1">
      <t>カン</t>
    </rPh>
    <rPh sb="1" eb="2">
      <t>ロ</t>
    </rPh>
    <rPh sb="2" eb="3">
      <t>トウ</t>
    </rPh>
    <rPh sb="4" eb="6">
      <t>ソクシン</t>
    </rPh>
    <rPh sb="7" eb="9">
      <t>コウジ</t>
    </rPh>
    <rPh sb="9" eb="11">
      <t>コクサイ</t>
    </rPh>
    <phoneticPr fontId="2"/>
  </si>
  <si>
    <t>処理場・用地国債</t>
    <rPh sb="0" eb="3">
      <t>ショリジョウ</t>
    </rPh>
    <rPh sb="4" eb="6">
      <t>ヨウチ</t>
    </rPh>
    <rPh sb="6" eb="8">
      <t>コクサイ</t>
    </rPh>
    <phoneticPr fontId="2"/>
  </si>
  <si>
    <t>処理場・特債・高率</t>
    <rPh sb="0" eb="3">
      <t>ショリジョウ</t>
    </rPh>
    <rPh sb="4" eb="5">
      <t>トク</t>
    </rPh>
    <rPh sb="5" eb="6">
      <t>サイ</t>
    </rPh>
    <rPh sb="7" eb="9">
      <t>コウリツ</t>
    </rPh>
    <phoneticPr fontId="2"/>
  </si>
  <si>
    <t>処理場・特債・低率</t>
    <rPh sb="0" eb="3">
      <t>ショリジョウ</t>
    </rPh>
    <rPh sb="4" eb="5">
      <t>トク</t>
    </rPh>
    <rPh sb="5" eb="6">
      <t>サイ</t>
    </rPh>
    <rPh sb="7" eb="8">
      <t>テイ</t>
    </rPh>
    <rPh sb="8" eb="9">
      <t>コウリツ</t>
    </rPh>
    <phoneticPr fontId="2"/>
  </si>
  <si>
    <t>過年度補助金</t>
    <rPh sb="0" eb="3">
      <t>カネンド</t>
    </rPh>
    <rPh sb="3" eb="6">
      <t>ホジョキン</t>
    </rPh>
    <phoneticPr fontId="2"/>
  </si>
  <si>
    <t>管路等・一般(繰越分)</t>
    <rPh sb="0" eb="1">
      <t>カン</t>
    </rPh>
    <rPh sb="1" eb="2">
      <t>ロ</t>
    </rPh>
    <rPh sb="2" eb="3">
      <t>トウ</t>
    </rPh>
    <rPh sb="4" eb="6">
      <t>イッパン</t>
    </rPh>
    <rPh sb="7" eb="9">
      <t>クリコシ</t>
    </rPh>
    <rPh sb="9" eb="10">
      <t>ブン</t>
    </rPh>
    <phoneticPr fontId="2"/>
  </si>
  <si>
    <t>管路等・特債(繰越分）</t>
    <rPh sb="0" eb="1">
      <t>カン</t>
    </rPh>
    <rPh sb="1" eb="2">
      <t>ロ</t>
    </rPh>
    <rPh sb="2" eb="3">
      <t>トウ</t>
    </rPh>
    <rPh sb="4" eb="5">
      <t>トク</t>
    </rPh>
    <rPh sb="5" eb="6">
      <t>サイ</t>
    </rPh>
    <rPh sb="7" eb="9">
      <t>クリコシ</t>
    </rPh>
    <rPh sb="9" eb="10">
      <t>ブン</t>
    </rPh>
    <phoneticPr fontId="2"/>
  </si>
  <si>
    <t>処理場・一般・高率
(繰越分)</t>
    <rPh sb="0" eb="3">
      <t>ショリジョウ</t>
    </rPh>
    <rPh sb="4" eb="6">
      <t>イッパン</t>
    </rPh>
    <rPh sb="7" eb="9">
      <t>コウリツ</t>
    </rPh>
    <rPh sb="11" eb="13">
      <t>クリコシ</t>
    </rPh>
    <rPh sb="13" eb="14">
      <t>ブン</t>
    </rPh>
    <phoneticPr fontId="2"/>
  </si>
  <si>
    <t>処理場・特債・高率
(繰越分)</t>
    <rPh sb="0" eb="3">
      <t>ショリジョウ</t>
    </rPh>
    <rPh sb="4" eb="5">
      <t>トク</t>
    </rPh>
    <rPh sb="5" eb="6">
      <t>サイ</t>
    </rPh>
    <rPh sb="7" eb="9">
      <t>コウリツ</t>
    </rPh>
    <rPh sb="11" eb="13">
      <t>クリコシ</t>
    </rPh>
    <rPh sb="13" eb="14">
      <t>ブン</t>
    </rPh>
    <phoneticPr fontId="2"/>
  </si>
  <si>
    <t>公共下水道
補助事業充当分</t>
    <rPh sb="0" eb="2">
      <t>コウキョウ</t>
    </rPh>
    <rPh sb="2" eb="5">
      <t>ゲスイドウ</t>
    </rPh>
    <rPh sb="6" eb="8">
      <t>ホジョ</t>
    </rPh>
    <rPh sb="8" eb="10">
      <t>ジギョウ</t>
    </rPh>
    <rPh sb="10" eb="12">
      <t>ジュウトウ</t>
    </rPh>
    <rPh sb="12" eb="13">
      <t>トウブン</t>
    </rPh>
    <phoneticPr fontId="2"/>
  </si>
  <si>
    <t>受益者負担金</t>
    <rPh sb="0" eb="3">
      <t>ジュエキシャ</t>
    </rPh>
    <rPh sb="3" eb="6">
      <t>フタンキン</t>
    </rPh>
    <phoneticPr fontId="2"/>
  </si>
  <si>
    <t>公共下水道
起債事業充当分</t>
    <rPh sb="0" eb="2">
      <t>コウキョウ</t>
    </rPh>
    <rPh sb="2" eb="5">
      <t>ゲスイドウ</t>
    </rPh>
    <rPh sb="6" eb="8">
      <t>キサイ</t>
    </rPh>
    <rPh sb="8" eb="10">
      <t>ジギョウ</t>
    </rPh>
    <rPh sb="10" eb="12">
      <t>ジュウトウ</t>
    </rPh>
    <rPh sb="12" eb="13">
      <t>ブン</t>
    </rPh>
    <phoneticPr fontId="2"/>
  </si>
  <si>
    <t>工事負担金</t>
    <rPh sb="0" eb="2">
      <t>コウジ</t>
    </rPh>
    <rPh sb="2" eb="5">
      <t>フタンキン</t>
    </rPh>
    <phoneticPr fontId="2"/>
  </si>
  <si>
    <t>公共下水道
単市事業充当分</t>
    <rPh sb="0" eb="2">
      <t>コウキョウ</t>
    </rPh>
    <rPh sb="2" eb="5">
      <t>ゲスイドウ</t>
    </rPh>
    <rPh sb="6" eb="7">
      <t>タン</t>
    </rPh>
    <rPh sb="7" eb="8">
      <t>シ</t>
    </rPh>
    <rPh sb="8" eb="10">
      <t>ジギョウ</t>
    </rPh>
    <rPh sb="10" eb="12">
      <t>ジュウトウ</t>
    </rPh>
    <rPh sb="12" eb="13">
      <t>ブン</t>
    </rPh>
    <phoneticPr fontId="2"/>
  </si>
  <si>
    <t>排水設備整備事業
充当分</t>
    <rPh sb="0" eb="2">
      <t>ハイスイ</t>
    </rPh>
    <rPh sb="2" eb="4">
      <t>セツビ</t>
    </rPh>
    <rPh sb="4" eb="6">
      <t>セイビ</t>
    </rPh>
    <rPh sb="6" eb="8">
      <t>ジギョウ</t>
    </rPh>
    <rPh sb="9" eb="11">
      <t>ジュウトウ</t>
    </rPh>
    <rPh sb="11" eb="12">
      <t>ブン</t>
    </rPh>
    <phoneticPr fontId="2"/>
  </si>
  <si>
    <t>諸設備新設改良事業
充当分</t>
    <rPh sb="0" eb="1">
      <t>ショ</t>
    </rPh>
    <rPh sb="1" eb="3">
      <t>セツビ</t>
    </rPh>
    <rPh sb="3" eb="5">
      <t>シンセツ</t>
    </rPh>
    <rPh sb="5" eb="7">
      <t>カイリョウ</t>
    </rPh>
    <rPh sb="7" eb="9">
      <t>ジギョウ</t>
    </rPh>
    <rPh sb="10" eb="12">
      <t>ジュウトウ</t>
    </rPh>
    <rPh sb="12" eb="13">
      <t>ブン</t>
    </rPh>
    <phoneticPr fontId="2"/>
  </si>
  <si>
    <t>元金償還金充当分</t>
    <rPh sb="0" eb="2">
      <t>ガンキン</t>
    </rPh>
    <rPh sb="2" eb="5">
      <t>ショウカンキン</t>
    </rPh>
    <rPh sb="5" eb="7">
      <t>ジュウトウ</t>
    </rPh>
    <rPh sb="7" eb="8">
      <t>ブン</t>
    </rPh>
    <phoneticPr fontId="2"/>
  </si>
  <si>
    <t>起債年度の課税支出割合</t>
    <rPh sb="0" eb="2">
      <t>キサイ</t>
    </rPh>
    <rPh sb="2" eb="4">
      <t>ネンド</t>
    </rPh>
    <rPh sb="5" eb="7">
      <t>カゼイ</t>
    </rPh>
    <rPh sb="7" eb="9">
      <t>シシュツ</t>
    </rPh>
    <rPh sb="9" eb="11">
      <t>ワリアイ</t>
    </rPh>
    <phoneticPr fontId="2"/>
  </si>
  <si>
    <t>15年度分補助事業
（繰越分）の課税支出割合</t>
    <rPh sb="11" eb="13">
      <t>クリコシ</t>
    </rPh>
    <rPh sb="13" eb="14">
      <t>ブン</t>
    </rPh>
    <phoneticPr fontId="2"/>
  </si>
  <si>
    <t>災害復旧費国庫補助金</t>
    <rPh sb="0" eb="2">
      <t>サイガイ</t>
    </rPh>
    <rPh sb="2" eb="4">
      <t>フッキュウ</t>
    </rPh>
    <rPh sb="4" eb="5">
      <t>ヒ</t>
    </rPh>
    <rPh sb="5" eb="7">
      <t>コッコ</t>
    </rPh>
    <rPh sb="7" eb="10">
      <t>ホジョキン</t>
    </rPh>
    <phoneticPr fontId="2"/>
  </si>
  <si>
    <t>災害復旧に係る経費
の課税支出割合</t>
    <rPh sb="0" eb="2">
      <t>サイガイ</t>
    </rPh>
    <rPh sb="2" eb="4">
      <t>フッキュウ</t>
    </rPh>
    <rPh sb="5" eb="6">
      <t>カカ</t>
    </rPh>
    <rPh sb="7" eb="9">
      <t>ケイヒ</t>
    </rPh>
    <rPh sb="11" eb="13">
      <t>カゼイ</t>
    </rPh>
    <rPh sb="13" eb="15">
      <t>シシュツ</t>
    </rPh>
    <rPh sb="15" eb="17">
      <t>ワリアイ</t>
    </rPh>
    <phoneticPr fontId="2"/>
  </si>
  <si>
    <t>災害復旧に係る経費
に対する国庫補助金</t>
    <rPh sb="0" eb="2">
      <t>サイガイ</t>
    </rPh>
    <rPh sb="2" eb="4">
      <t>フッキュウ</t>
    </rPh>
    <rPh sb="5" eb="6">
      <t>カカ</t>
    </rPh>
    <rPh sb="7" eb="9">
      <t>ケイヒ</t>
    </rPh>
    <rPh sb="11" eb="12">
      <t>タイ</t>
    </rPh>
    <rPh sb="14" eb="16">
      <t>コッコ</t>
    </rPh>
    <rPh sb="16" eb="19">
      <t>ホジョキン</t>
    </rPh>
    <phoneticPr fontId="2"/>
  </si>
  <si>
    <t>収益的支出の課税支出割合</t>
    <rPh sb="0" eb="3">
      <t>シュウエキテキ</t>
    </rPh>
    <rPh sb="3" eb="5">
      <t>シシュツ</t>
    </rPh>
    <rPh sb="6" eb="8">
      <t>カゼイ</t>
    </rPh>
    <rPh sb="8" eb="10">
      <t>シシュツ</t>
    </rPh>
    <rPh sb="10" eb="12">
      <t>ワリアイ</t>
    </rPh>
    <phoneticPr fontId="2"/>
  </si>
  <si>
    <t>管路課</t>
    <rPh sb="0" eb="1">
      <t>カン</t>
    </rPh>
    <rPh sb="1" eb="2">
      <t>ロ</t>
    </rPh>
    <rPh sb="2" eb="3">
      <t>カ</t>
    </rPh>
    <phoneticPr fontId="2"/>
  </si>
  <si>
    <t>管路等・都市水</t>
    <rPh sb="0" eb="1">
      <t>カン</t>
    </rPh>
    <rPh sb="1" eb="2">
      <t>ロ</t>
    </rPh>
    <rPh sb="2" eb="3">
      <t>トウ</t>
    </rPh>
    <rPh sb="4" eb="6">
      <t>トシ</t>
    </rPh>
    <rPh sb="6" eb="7">
      <t>ミズ</t>
    </rPh>
    <phoneticPr fontId="2"/>
  </si>
  <si>
    <t>公共下水道整備事業
流域下水道整備事業</t>
    <rPh sb="0" eb="2">
      <t>コウキョウ</t>
    </rPh>
    <rPh sb="2" eb="5">
      <t>ゲスイドウ</t>
    </rPh>
    <rPh sb="5" eb="7">
      <t>セイビ</t>
    </rPh>
    <rPh sb="7" eb="9">
      <t>ジギョウ</t>
    </rPh>
    <rPh sb="10" eb="12">
      <t>リュウイキ</t>
    </rPh>
    <rPh sb="12" eb="15">
      <t>ゲスイドウ</t>
    </rPh>
    <rPh sb="15" eb="17">
      <t>セイビ</t>
    </rPh>
    <rPh sb="17" eb="19">
      <t>ジギョウ</t>
    </rPh>
    <phoneticPr fontId="2"/>
  </si>
  <si>
    <t>支出額</t>
    <rPh sb="0" eb="2">
      <t>シシュツ</t>
    </rPh>
    <rPh sb="2" eb="3">
      <t>ガク</t>
    </rPh>
    <phoneticPr fontId="2"/>
  </si>
  <si>
    <t>補助事業分(現年)</t>
    <rPh sb="0" eb="2">
      <t>ホジョ</t>
    </rPh>
    <rPh sb="2" eb="4">
      <t>ジギョウ</t>
    </rPh>
    <rPh sb="4" eb="5">
      <t>ブン</t>
    </rPh>
    <rPh sb="6" eb="7">
      <t>ゲン</t>
    </rPh>
    <rPh sb="7" eb="8">
      <t>ネン</t>
    </rPh>
    <phoneticPr fontId="2"/>
  </si>
  <si>
    <t>起債事業分(現年)</t>
    <rPh sb="0" eb="2">
      <t>キサイ</t>
    </rPh>
    <rPh sb="2" eb="4">
      <t>ジギョウ</t>
    </rPh>
    <rPh sb="4" eb="5">
      <t>ブン</t>
    </rPh>
    <rPh sb="6" eb="7">
      <t>ゲン</t>
    </rPh>
    <rPh sb="7" eb="8">
      <t>ネン</t>
    </rPh>
    <phoneticPr fontId="2"/>
  </si>
  <si>
    <t xml:space="preserve">
特
定
環
境
保
全
公
共
下
水
道</t>
    <rPh sb="1" eb="2">
      <t>トク</t>
    </rPh>
    <rPh sb="4" eb="5">
      <t>サダム</t>
    </rPh>
    <rPh sb="7" eb="8">
      <t>ワ</t>
    </rPh>
    <rPh sb="10" eb="11">
      <t>サカイ</t>
    </rPh>
    <rPh sb="13" eb="14">
      <t>ホ</t>
    </rPh>
    <rPh sb="16" eb="17">
      <t>ゼン</t>
    </rPh>
    <rPh sb="19" eb="23">
      <t>コウキョウ</t>
    </rPh>
    <rPh sb="25" eb="32">
      <t>ゲスイドウ</t>
    </rPh>
    <phoneticPr fontId="2"/>
  </si>
  <si>
    <t xml:space="preserve">
農
業
集
落
排
水</t>
    <rPh sb="1" eb="2">
      <t>ノウ</t>
    </rPh>
    <rPh sb="4" eb="5">
      <t>ギョウ</t>
    </rPh>
    <rPh sb="7" eb="8">
      <t>シュウ</t>
    </rPh>
    <rPh sb="10" eb="11">
      <t>オチ</t>
    </rPh>
    <rPh sb="13" eb="14">
      <t>ハイ</t>
    </rPh>
    <rPh sb="16" eb="17">
      <t>ミズ</t>
    </rPh>
    <phoneticPr fontId="2"/>
  </si>
  <si>
    <t>処理場・一般</t>
    <rPh sb="0" eb="3">
      <t>ショリジョウ</t>
    </rPh>
    <rPh sb="4" eb="6">
      <t>イッパン</t>
    </rPh>
    <phoneticPr fontId="2"/>
  </si>
  <si>
    <t>処理場・一般
(繰越分)</t>
    <rPh sb="0" eb="3">
      <t>ショリジョウ</t>
    </rPh>
    <rPh sb="4" eb="6">
      <t>イッパン</t>
    </rPh>
    <rPh sb="8" eb="10">
      <t>クリコシ</t>
    </rPh>
    <rPh sb="10" eb="11">
      <t>ブン</t>
    </rPh>
    <phoneticPr fontId="2"/>
  </si>
  <si>
    <t>浄化槽</t>
    <rPh sb="0" eb="2">
      <t>ジョウカ</t>
    </rPh>
    <rPh sb="2" eb="3">
      <t>ソウ</t>
    </rPh>
    <phoneticPr fontId="2"/>
  </si>
  <si>
    <t xml:space="preserve">
市
営
浄
化
槽</t>
    <rPh sb="1" eb="2">
      <t>シ</t>
    </rPh>
    <rPh sb="4" eb="5">
      <t>エイ</t>
    </rPh>
    <rPh sb="7" eb="8">
      <t>ジョウ</t>
    </rPh>
    <rPh sb="10" eb="11">
      <t>カ</t>
    </rPh>
    <rPh sb="13" eb="14">
      <t>ソウ</t>
    </rPh>
    <phoneticPr fontId="2"/>
  </si>
  <si>
    <t>受益者分担金の事業別金額</t>
    <rPh sb="0" eb="3">
      <t>ジュエキシャ</t>
    </rPh>
    <rPh sb="3" eb="6">
      <t>ブンタンキン</t>
    </rPh>
    <rPh sb="7" eb="9">
      <t>ジギョウ</t>
    </rPh>
    <rPh sb="9" eb="10">
      <t>ベツ</t>
    </rPh>
    <rPh sb="10" eb="12">
      <t>キンガク</t>
    </rPh>
    <phoneticPr fontId="2"/>
  </si>
  <si>
    <t>受益者分担金</t>
    <rPh sb="0" eb="3">
      <t>ジュエキシャ</t>
    </rPh>
    <rPh sb="3" eb="6">
      <t>ブンタンキン</t>
    </rPh>
    <phoneticPr fontId="2"/>
  </si>
  <si>
    <t>特
環</t>
    <rPh sb="0" eb="1">
      <t>トク</t>
    </rPh>
    <rPh sb="2" eb="3">
      <t>ワ</t>
    </rPh>
    <phoneticPr fontId="2"/>
  </si>
  <si>
    <t>農
集</t>
    <rPh sb="0" eb="1">
      <t>ノウ</t>
    </rPh>
    <rPh sb="2" eb="3">
      <t>シュウ</t>
    </rPh>
    <phoneticPr fontId="2"/>
  </si>
  <si>
    <t>浄
化
槽</t>
    <rPh sb="0" eb="1">
      <t>ジョウ</t>
    </rPh>
    <rPh sb="2" eb="3">
      <t>カ</t>
    </rPh>
    <rPh sb="4" eb="5">
      <t>ソウ</t>
    </rPh>
    <phoneticPr fontId="2"/>
  </si>
  <si>
    <t>受益者分担金</t>
    <rPh sb="0" eb="3">
      <t>ジュエキシャ</t>
    </rPh>
    <rPh sb="3" eb="4">
      <t>ブン</t>
    </rPh>
    <rPh sb="4" eb="5">
      <t>タン</t>
    </rPh>
    <rPh sb="5" eb="6">
      <t>カネ</t>
    </rPh>
    <phoneticPr fontId="2"/>
  </si>
  <si>
    <t>汚水処理施設整備交付金</t>
    <rPh sb="0" eb="2">
      <t>オスイ</t>
    </rPh>
    <rPh sb="2" eb="4">
      <t>ショリ</t>
    </rPh>
    <rPh sb="4" eb="6">
      <t>シセツ</t>
    </rPh>
    <rPh sb="6" eb="8">
      <t>セイビ</t>
    </rPh>
    <rPh sb="8" eb="11">
      <t>コウフキン</t>
    </rPh>
    <phoneticPr fontId="2"/>
  </si>
  <si>
    <t>特環</t>
    <rPh sb="0" eb="2">
      <t>トッカン</t>
    </rPh>
    <phoneticPr fontId="2"/>
  </si>
  <si>
    <t>農集</t>
    <rPh sb="0" eb="1">
      <t>ノウ</t>
    </rPh>
    <rPh sb="1" eb="2">
      <t>シュウ</t>
    </rPh>
    <phoneticPr fontId="2"/>
  </si>
  <si>
    <t>浄化槽</t>
    <rPh sb="0" eb="3">
      <t>ジョウカソウ</t>
    </rPh>
    <phoneticPr fontId="2"/>
  </si>
  <si>
    <t xml:space="preserve"> </t>
    <phoneticPr fontId="2"/>
  </si>
  <si>
    <t>更正有り</t>
    <rPh sb="0" eb="2">
      <t>コウセイ</t>
    </rPh>
    <rPh sb="2" eb="3">
      <t>ア</t>
    </rPh>
    <phoneticPr fontId="2"/>
  </si>
  <si>
    <t>その他国庫補助金</t>
    <rPh sb="2" eb="3">
      <t>タ</t>
    </rPh>
    <rPh sb="3" eb="5">
      <t>コッコ</t>
    </rPh>
    <rPh sb="5" eb="8">
      <t>ホジョキン</t>
    </rPh>
    <phoneticPr fontId="2"/>
  </si>
  <si>
    <t>　</t>
    <phoneticPr fontId="2"/>
  </si>
  <si>
    <t>管路等・工事国債</t>
    <rPh sb="0" eb="1">
      <t>カン</t>
    </rPh>
    <rPh sb="1" eb="2">
      <t>ロ</t>
    </rPh>
    <rPh sb="2" eb="3">
      <t>トウ</t>
    </rPh>
    <rPh sb="4" eb="6">
      <t>コウジ</t>
    </rPh>
    <rPh sb="6" eb="8">
      <t>コクサイ</t>
    </rPh>
    <phoneticPr fontId="2"/>
  </si>
  <si>
    <t>社会資本整備総合交付金</t>
    <rPh sb="0" eb="2">
      <t>シャカイ</t>
    </rPh>
    <rPh sb="2" eb="4">
      <t>シホン</t>
    </rPh>
    <rPh sb="4" eb="6">
      <t>セイビ</t>
    </rPh>
    <rPh sb="6" eb="8">
      <t>ソウゴウ</t>
    </rPh>
    <rPh sb="8" eb="11">
      <t>コウフキン</t>
    </rPh>
    <phoneticPr fontId="2"/>
  </si>
  <si>
    <t>汚水処理施設整備
補助事業充当分</t>
    <rPh sb="0" eb="2">
      <t>オスイ</t>
    </rPh>
    <rPh sb="2" eb="4">
      <t>ショリ</t>
    </rPh>
    <rPh sb="4" eb="6">
      <t>シセツ</t>
    </rPh>
    <rPh sb="6" eb="8">
      <t>セイビ</t>
    </rPh>
    <rPh sb="9" eb="11">
      <t>ホジョ</t>
    </rPh>
    <rPh sb="11" eb="13">
      <t>ジギョウ</t>
    </rPh>
    <rPh sb="13" eb="15">
      <t>ジュウトウ</t>
    </rPh>
    <rPh sb="15" eb="16">
      <t>トウブン</t>
    </rPh>
    <phoneticPr fontId="2"/>
  </si>
  <si>
    <t>汚水処理施設整備
交付事業充当分</t>
    <rPh sb="0" eb="2">
      <t>オスイ</t>
    </rPh>
    <rPh sb="2" eb="4">
      <t>ショリ</t>
    </rPh>
    <rPh sb="4" eb="6">
      <t>シセツ</t>
    </rPh>
    <rPh sb="6" eb="8">
      <t>セイビ</t>
    </rPh>
    <rPh sb="9" eb="11">
      <t>コウフ</t>
    </rPh>
    <rPh sb="11" eb="13">
      <t>ジギョウ</t>
    </rPh>
    <rPh sb="13" eb="15">
      <t>ジュウトウ</t>
    </rPh>
    <rPh sb="15" eb="16">
      <t>トウブン</t>
    </rPh>
    <phoneticPr fontId="2"/>
  </si>
  <si>
    <t>汚水処理処理施設整備
起債事業充当分</t>
    <rPh sb="0" eb="2">
      <t>オスイ</t>
    </rPh>
    <rPh sb="2" eb="4">
      <t>ショリ</t>
    </rPh>
    <rPh sb="4" eb="6">
      <t>ショリ</t>
    </rPh>
    <rPh sb="6" eb="8">
      <t>シセツ</t>
    </rPh>
    <rPh sb="8" eb="10">
      <t>セイビ</t>
    </rPh>
    <rPh sb="11" eb="13">
      <t>キサイ</t>
    </rPh>
    <rPh sb="13" eb="15">
      <t>ジギョウ</t>
    </rPh>
    <rPh sb="15" eb="17">
      <t>ジュウトウ</t>
    </rPh>
    <rPh sb="17" eb="18">
      <t>ブン</t>
    </rPh>
    <phoneticPr fontId="2"/>
  </si>
  <si>
    <t>汚水処理施設整備
起債事業充当分</t>
    <rPh sb="0" eb="2">
      <t>オスイ</t>
    </rPh>
    <rPh sb="2" eb="4">
      <t>ショリ</t>
    </rPh>
    <rPh sb="4" eb="6">
      <t>シセツ</t>
    </rPh>
    <rPh sb="6" eb="8">
      <t>セイビ</t>
    </rPh>
    <rPh sb="9" eb="11">
      <t>キサイ</t>
    </rPh>
    <rPh sb="11" eb="13">
      <t>ジギョウ</t>
    </rPh>
    <rPh sb="13" eb="15">
      <t>ジュウトウ</t>
    </rPh>
    <rPh sb="15" eb="16">
      <t>ブン</t>
    </rPh>
    <phoneticPr fontId="2"/>
  </si>
  <si>
    <t>その他国庫補助金</t>
    <phoneticPr fontId="2"/>
  </si>
  <si>
    <t>管路等・一般(繰越分)</t>
    <rPh sb="0" eb="1">
      <t>カン</t>
    </rPh>
    <rPh sb="1" eb="2">
      <t>ロ</t>
    </rPh>
    <rPh sb="2" eb="3">
      <t>トウ</t>
    </rPh>
    <rPh sb="4" eb="6">
      <t>イッパン</t>
    </rPh>
    <phoneticPr fontId="2"/>
  </si>
  <si>
    <t>管路等・一般</t>
  </si>
  <si>
    <t>前年度からの繰越分</t>
    <rPh sb="0" eb="3">
      <t>ゼンネンド</t>
    </rPh>
    <rPh sb="6" eb="8">
      <t>クリコシ</t>
    </rPh>
    <rPh sb="8" eb="9">
      <t>ブン</t>
    </rPh>
    <phoneticPr fontId="2"/>
  </si>
  <si>
    <t>前々年度からの繰越分</t>
    <rPh sb="0" eb="2">
      <t>マエマエ</t>
    </rPh>
    <rPh sb="2" eb="4">
      <t>ネンド</t>
    </rPh>
    <rPh sb="7" eb="9">
      <t>クリコシ</t>
    </rPh>
    <rPh sb="9" eb="10">
      <t>ブン</t>
    </rPh>
    <phoneticPr fontId="2"/>
  </si>
  <si>
    <t>その他補助金</t>
    <rPh sb="2" eb="3">
      <t>タ</t>
    </rPh>
    <rPh sb="3" eb="6">
      <t>ホジョキン</t>
    </rPh>
    <phoneticPr fontId="2"/>
  </si>
  <si>
    <t>被災地支援に係る経費
の課税支出割合</t>
    <rPh sb="0" eb="3">
      <t>ヒサイチ</t>
    </rPh>
    <rPh sb="3" eb="5">
      <t>シエン</t>
    </rPh>
    <rPh sb="6" eb="7">
      <t>カカ</t>
    </rPh>
    <rPh sb="8" eb="10">
      <t>ケイヒ</t>
    </rPh>
    <rPh sb="12" eb="14">
      <t>カゼイ</t>
    </rPh>
    <rPh sb="14" eb="16">
      <t>シシュツ</t>
    </rPh>
    <rPh sb="16" eb="18">
      <t>ワリアイ</t>
    </rPh>
    <phoneticPr fontId="2"/>
  </si>
  <si>
    <t>被災地支援に係る経費
の課税支出割合</t>
    <phoneticPr fontId="2"/>
  </si>
  <si>
    <t>熊本地震被災地支援経費
に対する一般会計負担額</t>
    <rPh sb="13" eb="14">
      <t>タイ</t>
    </rPh>
    <rPh sb="16" eb="18">
      <t>イッパン</t>
    </rPh>
    <rPh sb="18" eb="20">
      <t>カイケイ</t>
    </rPh>
    <rPh sb="20" eb="22">
      <t>フタン</t>
    </rPh>
    <rPh sb="22" eb="23">
      <t>ガク</t>
    </rPh>
    <phoneticPr fontId="2"/>
  </si>
  <si>
    <t>利息</t>
    <rPh sb="0" eb="1">
      <t>リ</t>
    </rPh>
    <rPh sb="1" eb="2">
      <t>イキ</t>
    </rPh>
    <phoneticPr fontId="2"/>
  </si>
  <si>
    <t xml:space="preserve">
３
月
分</t>
    <phoneticPr fontId="2"/>
  </si>
  <si>
    <t xml:space="preserve">
合
計</t>
    <rPh sb="2" eb="3">
      <t>ゴウ</t>
    </rPh>
    <rPh sb="9" eb="10">
      <t>ケイ</t>
    </rPh>
    <phoneticPr fontId="2"/>
  </si>
  <si>
    <t>年度</t>
    <phoneticPr fontId="2"/>
  </si>
  <si>
    <t>イ</t>
  </si>
  <si>
    <t>起債借入に伴う償還金</t>
  </si>
  <si>
    <t>区      分</t>
  </si>
  <si>
    <t>２年度</t>
  </si>
  <si>
    <t>①</t>
    <phoneticPr fontId="2"/>
  </si>
  <si>
    <t>（運用部）</t>
  </si>
  <si>
    <t>年　間</t>
    <rPh sb="0" eb="3">
      <t>ネンカン</t>
    </rPh>
    <phoneticPr fontId="2"/>
  </si>
  <si>
    <t>借入分</t>
  </si>
  <si>
    <t>３年度</t>
  </si>
  <si>
    <t>②</t>
    <phoneticPr fontId="2"/>
  </si>
  <si>
    <t>４年度</t>
  </si>
  <si>
    <t>③</t>
    <phoneticPr fontId="2"/>
  </si>
  <si>
    <t>５年度</t>
  </si>
  <si>
    <t>④</t>
    <phoneticPr fontId="2"/>
  </si>
  <si>
    <t>６年度</t>
  </si>
  <si>
    <t>⑤</t>
    <phoneticPr fontId="2"/>
  </si>
  <si>
    <t>７年度</t>
  </si>
  <si>
    <t>⑥</t>
    <phoneticPr fontId="2"/>
  </si>
  <si>
    <t>８年度</t>
  </si>
  <si>
    <t>⑦</t>
    <phoneticPr fontId="2"/>
  </si>
  <si>
    <t>９年度</t>
  </si>
  <si>
    <t>⑧</t>
    <phoneticPr fontId="2"/>
  </si>
  <si>
    <t>１０年度</t>
  </si>
  <si>
    <t>⑨</t>
    <phoneticPr fontId="2"/>
  </si>
  <si>
    <t>１１年度</t>
  </si>
  <si>
    <t>⑩</t>
    <phoneticPr fontId="2"/>
  </si>
  <si>
    <t>（公   庫）</t>
    <rPh sb="1" eb="6">
      <t>コウコ</t>
    </rPh>
    <phoneticPr fontId="2"/>
  </si>
  <si>
    <t>１２年度</t>
  </si>
  <si>
    <t>⑪</t>
    <phoneticPr fontId="2"/>
  </si>
  <si>
    <t>（H11→12繰越）</t>
    <rPh sb="7" eb="9">
      <t>クリコシ</t>
    </rPh>
    <phoneticPr fontId="2"/>
  </si>
  <si>
    <t>公庫借入分</t>
    <rPh sb="0" eb="2">
      <t>コウコ</t>
    </rPh>
    <phoneticPr fontId="2"/>
  </si>
  <si>
    <t>１２年度</t>
    <phoneticPr fontId="2"/>
  </si>
  <si>
    <t>⑫</t>
    <phoneticPr fontId="2"/>
  </si>
  <si>
    <t>（現年分）</t>
    <rPh sb="1" eb="2">
      <t>ゲン</t>
    </rPh>
    <rPh sb="2" eb="3">
      <t>ネン</t>
    </rPh>
    <rPh sb="3" eb="4">
      <t>ブン</t>
    </rPh>
    <phoneticPr fontId="2"/>
  </si>
  <si>
    <t>１３年度</t>
    <phoneticPr fontId="2"/>
  </si>
  <si>
    <t>⑬</t>
    <phoneticPr fontId="2"/>
  </si>
  <si>
    <t>（H12→13繰越）</t>
    <rPh sb="7" eb="9">
      <t>クリコシ</t>
    </rPh>
    <phoneticPr fontId="2"/>
  </si>
  <si>
    <t>１3年度</t>
    <phoneticPr fontId="2"/>
  </si>
  <si>
    <t>⑭</t>
    <phoneticPr fontId="2"/>
  </si>
  <si>
    <t>１４年度</t>
    <phoneticPr fontId="2"/>
  </si>
  <si>
    <t>⑮</t>
    <phoneticPr fontId="2"/>
  </si>
  <si>
    <t>２０年度</t>
    <phoneticPr fontId="2"/>
  </si>
  <si>
    <t>⑯</t>
    <phoneticPr fontId="2"/>
  </si>
  <si>
    <t>（H19→20繰越）</t>
    <phoneticPr fontId="2"/>
  </si>
  <si>
    <t>元金</t>
    <rPh sb="0" eb="2">
      <t>ガンキン</t>
    </rPh>
    <phoneticPr fontId="2"/>
  </si>
  <si>
    <t>過年度分手当等の戻入</t>
    <rPh sb="0" eb="3">
      <t>カネンド</t>
    </rPh>
    <rPh sb="3" eb="4">
      <t>ブン</t>
    </rPh>
    <rPh sb="4" eb="6">
      <t>テアテ</t>
    </rPh>
    <rPh sb="6" eb="7">
      <t>トウ</t>
    </rPh>
    <rPh sb="8" eb="10">
      <t>レイニュウ</t>
    </rPh>
    <phoneticPr fontId="2"/>
  </si>
  <si>
    <t>契約解除に伴う履行保証保険金</t>
  </si>
  <si>
    <t>貸倒引当金戻入益</t>
    <rPh sb="0" eb="2">
      <t>カシダオレ</t>
    </rPh>
    <rPh sb="2" eb="4">
      <t>ヒキアテ</t>
    </rPh>
    <rPh sb="4" eb="5">
      <t>キン</t>
    </rPh>
    <rPh sb="5" eb="7">
      <t>レイニュウ</t>
    </rPh>
    <rPh sb="7" eb="8">
      <t>エキ</t>
    </rPh>
    <phoneticPr fontId="2"/>
  </si>
  <si>
    <t>賞与引当金戻入益</t>
    <rPh sb="0" eb="2">
      <t>ショウヨ</t>
    </rPh>
    <rPh sb="2" eb="4">
      <t>ヒキアテ</t>
    </rPh>
    <rPh sb="4" eb="5">
      <t>キン</t>
    </rPh>
    <rPh sb="5" eb="7">
      <t>レイニュウ</t>
    </rPh>
    <rPh sb="7" eb="8">
      <t>エキ</t>
    </rPh>
    <phoneticPr fontId="2"/>
  </si>
  <si>
    <t>過年度損益修正益</t>
    <rPh sb="0" eb="3">
      <t>カネンド</t>
    </rPh>
    <rPh sb="3" eb="5">
      <t>ソンエキ</t>
    </rPh>
    <rPh sb="5" eb="7">
      <t>シュウセイ</t>
    </rPh>
    <rPh sb="7" eb="8">
      <t>エキ</t>
    </rPh>
    <phoneticPr fontId="2"/>
  </si>
  <si>
    <t>その他特別利益</t>
    <rPh sb="2" eb="3">
      <t>タ</t>
    </rPh>
    <rPh sb="3" eb="5">
      <t>トクベツ</t>
    </rPh>
    <rPh sb="5" eb="7">
      <t>リエキ</t>
    </rPh>
    <phoneticPr fontId="2"/>
  </si>
  <si>
    <t>その他特別利益　小計</t>
    <rPh sb="2" eb="3">
      <t>タ</t>
    </rPh>
    <rPh sb="3" eb="5">
      <t>トクベツ</t>
    </rPh>
    <rPh sb="5" eb="7">
      <t>リエキ</t>
    </rPh>
    <rPh sb="8" eb="9">
      <t>ショウ</t>
    </rPh>
    <rPh sb="9" eb="10">
      <t>ケイ</t>
    </rPh>
    <phoneticPr fontId="2"/>
  </si>
  <si>
    <t>特定収入内訳（上段：課税支出額、下段特定収入の按分）</t>
    <rPh sb="0" eb="2">
      <t>トクテイ</t>
    </rPh>
    <rPh sb="2" eb="4">
      <t>シュウニュウ</t>
    </rPh>
    <rPh sb="4" eb="6">
      <t>ウチワケ</t>
    </rPh>
    <rPh sb="7" eb="9">
      <t>ジョウダン</t>
    </rPh>
    <rPh sb="10" eb="12">
      <t>カゼイ</t>
    </rPh>
    <rPh sb="12" eb="14">
      <t>シシュツ</t>
    </rPh>
    <rPh sb="14" eb="15">
      <t>ガク</t>
    </rPh>
    <rPh sb="16" eb="18">
      <t>カダン</t>
    </rPh>
    <rPh sb="18" eb="20">
      <t>トクテイ</t>
    </rPh>
    <rPh sb="20" eb="22">
      <t>シュウニュウ</t>
    </rPh>
    <rPh sb="23" eb="25">
      <t>アンブン</t>
    </rPh>
    <phoneticPr fontId="2"/>
  </si>
  <si>
    <t>他会計負担金</t>
    <rPh sb="0" eb="1">
      <t>タ</t>
    </rPh>
    <rPh sb="1" eb="3">
      <t>カイケイ</t>
    </rPh>
    <rPh sb="3" eb="6">
      <t>フタンキン</t>
    </rPh>
    <phoneticPr fontId="2"/>
  </si>
  <si>
    <t>その他の収入</t>
    <rPh sb="2" eb="3">
      <t>タ</t>
    </rPh>
    <rPh sb="4" eb="6">
      <t>シュウニュウ</t>
    </rPh>
    <phoneticPr fontId="2"/>
  </si>
  <si>
    <t>小　　　　計</t>
    <rPh sb="0" eb="1">
      <t>ショウ</t>
    </rPh>
    <rPh sb="5" eb="6">
      <t>ケイ</t>
    </rPh>
    <phoneticPr fontId="2"/>
  </si>
  <si>
    <t>小　　　計</t>
    <rPh sb="0" eb="1">
      <t>ショウ</t>
    </rPh>
    <rPh sb="4" eb="5">
      <t>ケイ</t>
    </rPh>
    <phoneticPr fontId="2"/>
  </si>
  <si>
    <t>消費税及び地方消費税
還付金</t>
    <phoneticPr fontId="2"/>
  </si>
  <si>
    <t>雨汚水シート　一般会計繰入金　税抜き決算額　（控除不可消費税等の雑支出の配分前）</t>
    <rPh sb="0" eb="1">
      <t>ウ</t>
    </rPh>
    <rPh sb="1" eb="3">
      <t>オスイ</t>
    </rPh>
    <phoneticPr fontId="2"/>
  </si>
  <si>
    <t>チェック</t>
    <phoneticPr fontId="2"/>
  </si>
  <si>
    <t>3条収入シート　他会計負担金</t>
    <rPh sb="1" eb="2">
      <t>ジョウ</t>
    </rPh>
    <rPh sb="2" eb="4">
      <t>シュウニュウ</t>
    </rPh>
    <rPh sb="8" eb="9">
      <t>タ</t>
    </rPh>
    <rPh sb="9" eb="11">
      <t>カイケイ</t>
    </rPh>
    <rPh sb="11" eb="14">
      <t>フタンキン</t>
    </rPh>
    <phoneticPr fontId="2"/>
  </si>
  <si>
    <t>3条収入シート</t>
    <phoneticPr fontId="2"/>
  </si>
  <si>
    <t>雑収益</t>
    <rPh sb="0" eb="3">
      <t>ザツシュウエキ</t>
    </rPh>
    <phoneticPr fontId="2"/>
  </si>
  <si>
    <t>消費税還付</t>
    <rPh sb="0" eb="3">
      <t>ショウヒゼイ</t>
    </rPh>
    <rPh sb="3" eb="5">
      <t>カンプ</t>
    </rPh>
    <phoneticPr fontId="2"/>
  </si>
  <si>
    <t>過年度修正益</t>
    <rPh sb="0" eb="3">
      <t>カネンド</t>
    </rPh>
    <rPh sb="3" eb="5">
      <t>シュウセイ</t>
    </rPh>
    <rPh sb="5" eb="6">
      <t>エキ</t>
    </rPh>
    <phoneticPr fontId="2"/>
  </si>
  <si>
    <t>その他特利</t>
    <rPh sb="2" eb="3">
      <t>タ</t>
    </rPh>
    <rPh sb="3" eb="5">
      <t>トクリ</t>
    </rPh>
    <phoneticPr fontId="2"/>
  </si>
  <si>
    <t>計</t>
    <rPh sb="0" eb="1">
      <t>ケイ</t>
    </rPh>
    <phoneticPr fontId="2"/>
  </si>
  <si>
    <t>特定収入以外</t>
    <rPh sb="0" eb="2">
      <t>トクテイ</t>
    </rPh>
    <rPh sb="2" eb="4">
      <t>シュウニュウ</t>
    </rPh>
    <rPh sb="4" eb="6">
      <t>イガイ</t>
    </rPh>
    <phoneticPr fontId="2"/>
  </si>
  <si>
    <t>下水道損害賠償保険
保険金</t>
    <rPh sb="0" eb="3">
      <t>ゲスイドウ</t>
    </rPh>
    <rPh sb="3" eb="5">
      <t>ソンガイ</t>
    </rPh>
    <rPh sb="5" eb="7">
      <t>バイショウ</t>
    </rPh>
    <rPh sb="7" eb="9">
      <t>ホケン</t>
    </rPh>
    <rPh sb="10" eb="13">
      <t>ホケンキン</t>
    </rPh>
    <phoneticPr fontId="2"/>
  </si>
  <si>
    <t>4条収入シート　工事負担金</t>
    <rPh sb="1" eb="2">
      <t>ジョウ</t>
    </rPh>
    <rPh sb="2" eb="4">
      <t>シュウニュウ</t>
    </rPh>
    <rPh sb="8" eb="10">
      <t>コウジ</t>
    </rPh>
    <rPh sb="10" eb="13">
      <t>フタンキン</t>
    </rPh>
    <phoneticPr fontId="2"/>
  </si>
  <si>
    <t>税
率</t>
    <rPh sb="0" eb="1">
      <t>ゼイ</t>
    </rPh>
    <rPh sb="2" eb="3">
      <t>リツ</t>
    </rPh>
    <phoneticPr fontId="2"/>
  </si>
  <si>
    <t>税率別特定収入</t>
    <rPh sb="0" eb="2">
      <t>ゼイリツ</t>
    </rPh>
    <rPh sb="2" eb="3">
      <t>ベツ</t>
    </rPh>
    <rPh sb="3" eb="5">
      <t>トクテイ</t>
    </rPh>
    <rPh sb="5" eb="7">
      <t>シュウニュウ</t>
    </rPh>
    <phoneticPr fontId="2"/>
  </si>
  <si>
    <t>税率</t>
    <rPh sb="0" eb="2">
      <t>ゼイリツ</t>
    </rPh>
    <phoneticPr fontId="2"/>
  </si>
  <si>
    <t>計</t>
    <rPh sb="0" eb="1">
      <t>ケイ</t>
    </rPh>
    <phoneticPr fontId="2"/>
  </si>
  <si>
    <t>チェック</t>
    <phoneticPr fontId="2"/>
  </si>
  <si>
    <t>不課税支出に対応する不課税収入のため特定収入以外</t>
  </si>
  <si>
    <t>不課税支出に対応する不課税収入のため特定収入以外</t>
    <rPh sb="0" eb="1">
      <t>フ</t>
    </rPh>
    <rPh sb="1" eb="3">
      <t>カゼイ</t>
    </rPh>
    <rPh sb="3" eb="5">
      <t>シシュツ</t>
    </rPh>
    <rPh sb="6" eb="8">
      <t>タイオウ</t>
    </rPh>
    <rPh sb="10" eb="11">
      <t>フ</t>
    </rPh>
    <rPh sb="11" eb="13">
      <t>カゼイ</t>
    </rPh>
    <rPh sb="13" eb="15">
      <t>シュウニュウ</t>
    </rPh>
    <rPh sb="18" eb="20">
      <t>トクテイ</t>
    </rPh>
    <rPh sb="20" eb="22">
      <t>シュウニュウ</t>
    </rPh>
    <rPh sb="22" eb="24">
      <t>イガイ</t>
    </rPh>
    <phoneticPr fontId="2"/>
  </si>
  <si>
    <t>自動車損害共済
共済金</t>
    <rPh sb="0" eb="3">
      <t>ジドウシャ</t>
    </rPh>
    <rPh sb="3" eb="5">
      <t>ソンガイ</t>
    </rPh>
    <rPh sb="5" eb="7">
      <t>キョウサイ</t>
    </rPh>
    <rPh sb="8" eb="11">
      <t>キョウサイキン</t>
    </rPh>
    <phoneticPr fontId="2"/>
  </si>
  <si>
    <t>建物損害共済
共済金</t>
    <rPh sb="0" eb="2">
      <t>タテモノ</t>
    </rPh>
    <rPh sb="2" eb="4">
      <t>ソンガイ</t>
    </rPh>
    <rPh sb="4" eb="6">
      <t>キョウサイ</t>
    </rPh>
    <rPh sb="7" eb="10">
      <t>キョウサイキン</t>
    </rPh>
    <phoneticPr fontId="2"/>
  </si>
  <si>
    <t>収益的支出の
課税支出割合</t>
  </si>
  <si>
    <t>課税支出に対応する不課税収入のため特定収入</t>
  </si>
  <si>
    <t>按分方法</t>
    <rPh sb="0" eb="2">
      <t>アンブン</t>
    </rPh>
    <rPh sb="2" eb="4">
      <t>ホウホウ</t>
    </rPh>
    <phoneticPr fontId="2"/>
  </si>
  <si>
    <t>課税支出額</t>
    <rPh sb="0" eb="2">
      <t>カゼイ</t>
    </rPh>
    <rPh sb="2" eb="4">
      <t>シシュツ</t>
    </rPh>
    <rPh sb="4" eb="5">
      <t>ガク</t>
    </rPh>
    <phoneticPr fontId="2"/>
  </si>
  <si>
    <t>支出額合計</t>
    <rPh sb="0" eb="2">
      <t>シシュツ</t>
    </rPh>
    <rPh sb="2" eb="3">
      <t>ガク</t>
    </rPh>
    <rPh sb="3" eb="5">
      <t>ゴウケイ</t>
    </rPh>
    <phoneticPr fontId="2"/>
  </si>
  <si>
    <t>-</t>
    <phoneticPr fontId="2"/>
  </si>
  <si>
    <t>特定収入以外</t>
  </si>
  <si>
    <t>該当税率に「1」</t>
    <rPh sb="0" eb="2">
      <t>ガイトウ</t>
    </rPh>
    <rPh sb="2" eb="3">
      <t>ゼイ</t>
    </rPh>
    <rPh sb="3" eb="4">
      <t>リツ</t>
    </rPh>
    <phoneticPr fontId="2"/>
  </si>
  <si>
    <t>←コピペ用数式</t>
    <rPh sb="4" eb="5">
      <t>ヨウ</t>
    </rPh>
    <rPh sb="5" eb="7">
      <t>スウシキ</t>
    </rPh>
    <phoneticPr fontId="2"/>
  </si>
  <si>
    <t>-</t>
    <phoneticPr fontId="2"/>
  </si>
  <si>
    <t>過年度手当等支出の返還</t>
    <rPh sb="0" eb="3">
      <t>カネンド</t>
    </rPh>
    <rPh sb="3" eb="5">
      <t>テアテ</t>
    </rPh>
    <rPh sb="5" eb="6">
      <t>トウ</t>
    </rPh>
    <rPh sb="6" eb="8">
      <t>シシュツ</t>
    </rPh>
    <rPh sb="9" eb="11">
      <t>ヘンカン</t>
    </rPh>
    <phoneticPr fontId="2"/>
  </si>
  <si>
    <t>過年度貸倒引当金
繰入額支出の返還</t>
    <rPh sb="0" eb="3">
      <t>カネンド</t>
    </rPh>
    <rPh sb="3" eb="5">
      <t>カシダオレ</t>
    </rPh>
    <rPh sb="5" eb="7">
      <t>ヒキアテ</t>
    </rPh>
    <rPh sb="7" eb="8">
      <t>キン</t>
    </rPh>
    <rPh sb="9" eb="11">
      <t>クリイレ</t>
    </rPh>
    <rPh sb="11" eb="12">
      <t>ガク</t>
    </rPh>
    <rPh sb="12" eb="14">
      <t>シシュツ</t>
    </rPh>
    <rPh sb="15" eb="17">
      <t>ヘンカン</t>
    </rPh>
    <phoneticPr fontId="2"/>
  </si>
  <si>
    <t>過年度賞与引当金
繰入額支出の返還</t>
    <rPh sb="0" eb="3">
      <t>カネンド</t>
    </rPh>
    <rPh sb="3" eb="5">
      <t>ショウヨ</t>
    </rPh>
    <rPh sb="5" eb="7">
      <t>ヒキアテ</t>
    </rPh>
    <rPh sb="7" eb="8">
      <t>キン</t>
    </rPh>
    <rPh sb="9" eb="11">
      <t>クリイレ</t>
    </rPh>
    <rPh sb="11" eb="12">
      <t>ガク</t>
    </rPh>
    <rPh sb="12" eb="14">
      <t>シシュツ</t>
    </rPh>
    <rPh sb="15" eb="17">
      <t>ヘンカン</t>
    </rPh>
    <phoneticPr fontId="2"/>
  </si>
  <si>
    <t>端数
調整</t>
    <rPh sb="0" eb="2">
      <t>ハスウ</t>
    </rPh>
    <rPh sb="3" eb="5">
      <t>チョウセイ</t>
    </rPh>
    <phoneticPr fontId="2"/>
  </si>
  <si>
    <t>平成元年度</t>
    <rPh sb="0" eb="2">
      <t>ヘイセイ</t>
    </rPh>
    <rPh sb="2" eb="3">
      <t>ガン</t>
    </rPh>
    <rPh sb="3" eb="5">
      <t>ネンド</t>
    </rPh>
    <phoneticPr fontId="2"/>
  </si>
  <si>
    <t>平成2年度</t>
    <rPh sb="0" eb="2">
      <t>ヘイセイ</t>
    </rPh>
    <rPh sb="3" eb="5">
      <t>ネンド</t>
    </rPh>
    <phoneticPr fontId="2"/>
  </si>
  <si>
    <t>平成3年度</t>
    <rPh sb="0" eb="2">
      <t>ヘイセイ</t>
    </rPh>
    <rPh sb="3" eb="5">
      <t>ネンド</t>
    </rPh>
    <phoneticPr fontId="2"/>
  </si>
  <si>
    <t>平成4年度</t>
    <rPh sb="0" eb="2">
      <t>ヘイセイ</t>
    </rPh>
    <rPh sb="3" eb="5">
      <t>ネンド</t>
    </rPh>
    <phoneticPr fontId="2"/>
  </si>
  <si>
    <t>平成5年度</t>
    <rPh sb="0" eb="2">
      <t>ヘイセイ</t>
    </rPh>
    <rPh sb="3" eb="5">
      <t>ネンド</t>
    </rPh>
    <phoneticPr fontId="2"/>
  </si>
  <si>
    <t>平成6年度</t>
    <rPh sb="0" eb="2">
      <t>ヘイセイ</t>
    </rPh>
    <rPh sb="3" eb="5">
      <t>ネンド</t>
    </rPh>
    <phoneticPr fontId="2"/>
  </si>
  <si>
    <t>平成7年度</t>
    <rPh sb="0" eb="2">
      <t>ヘイセイ</t>
    </rPh>
    <rPh sb="3" eb="5">
      <t>ネンド</t>
    </rPh>
    <phoneticPr fontId="2"/>
  </si>
  <si>
    <t>平成8年度</t>
    <rPh sb="0" eb="2">
      <t>ヘイセイ</t>
    </rPh>
    <rPh sb="3" eb="5">
      <t>ネンド</t>
    </rPh>
    <phoneticPr fontId="2"/>
  </si>
  <si>
    <t>平成9年度</t>
    <rPh sb="0" eb="2">
      <t>ヘイセイ</t>
    </rPh>
    <rPh sb="3" eb="5">
      <t>ネンド</t>
    </rPh>
    <phoneticPr fontId="2"/>
  </si>
  <si>
    <t>平成10年度</t>
    <rPh sb="0" eb="2">
      <t>ヘイセイ</t>
    </rPh>
    <rPh sb="4" eb="6">
      <t>ネンド</t>
    </rPh>
    <phoneticPr fontId="2"/>
  </si>
  <si>
    <t>平成11年度</t>
    <rPh sb="0" eb="2">
      <t>ヘイセイ</t>
    </rPh>
    <rPh sb="4" eb="6">
      <t>ネンド</t>
    </rPh>
    <phoneticPr fontId="2"/>
  </si>
  <si>
    <t>平成12年度</t>
    <rPh sb="0" eb="2">
      <t>ヘイセイ</t>
    </rPh>
    <rPh sb="4" eb="6">
      <t>ネンド</t>
    </rPh>
    <phoneticPr fontId="2"/>
  </si>
  <si>
    <t>平成13年度</t>
    <rPh sb="0" eb="2">
      <t>ヘイセイ</t>
    </rPh>
    <rPh sb="4" eb="6">
      <t>ネンド</t>
    </rPh>
    <phoneticPr fontId="2"/>
  </si>
  <si>
    <t>平成14年度</t>
    <rPh sb="0" eb="2">
      <t>ヘイセイ</t>
    </rPh>
    <rPh sb="4" eb="6">
      <t>ネンド</t>
    </rPh>
    <phoneticPr fontId="2"/>
  </si>
  <si>
    <t>平成15年度</t>
    <rPh sb="0" eb="2">
      <t>ヘイセイ</t>
    </rPh>
    <rPh sb="4" eb="6">
      <t>ネンド</t>
    </rPh>
    <phoneticPr fontId="2"/>
  </si>
  <si>
    <t>平成16年度</t>
    <rPh sb="0" eb="2">
      <t>ヘイセイ</t>
    </rPh>
    <rPh sb="4" eb="6">
      <t>ネンド</t>
    </rPh>
    <phoneticPr fontId="2"/>
  </si>
  <si>
    <t>平成17年度</t>
    <rPh sb="0" eb="2">
      <t>ヘイセイ</t>
    </rPh>
    <rPh sb="4" eb="6">
      <t>ネンド</t>
    </rPh>
    <phoneticPr fontId="2"/>
  </si>
  <si>
    <t>平成18年度</t>
    <rPh sb="0" eb="2">
      <t>ヘイセイ</t>
    </rPh>
    <rPh sb="4" eb="6">
      <t>ネンド</t>
    </rPh>
    <phoneticPr fontId="2"/>
  </si>
  <si>
    <t>平成19年度</t>
    <rPh sb="0" eb="2">
      <t>ヘイセイ</t>
    </rPh>
    <rPh sb="4" eb="6">
      <t>ネンド</t>
    </rPh>
    <phoneticPr fontId="2"/>
  </si>
  <si>
    <t>平成20年度</t>
    <rPh sb="0" eb="2">
      <t>ヘイセイ</t>
    </rPh>
    <rPh sb="4" eb="6">
      <t>ネンド</t>
    </rPh>
    <phoneticPr fontId="2"/>
  </si>
  <si>
    <t>平成21年度</t>
    <rPh sb="0" eb="2">
      <t>ヘイセイ</t>
    </rPh>
    <rPh sb="4" eb="6">
      <t>ネンド</t>
    </rPh>
    <phoneticPr fontId="2"/>
  </si>
  <si>
    <t>平成22年度</t>
    <rPh sb="0" eb="2">
      <t>ヘイセイ</t>
    </rPh>
    <rPh sb="4" eb="6">
      <t>ネンド</t>
    </rPh>
    <phoneticPr fontId="2"/>
  </si>
  <si>
    <t>平成23年度</t>
    <rPh sb="0" eb="2">
      <t>ヘイセイ</t>
    </rPh>
    <rPh sb="4" eb="6">
      <t>ネンド</t>
    </rPh>
    <phoneticPr fontId="2"/>
  </si>
  <si>
    <t>平成24年度</t>
    <rPh sb="0" eb="2">
      <t>ヘイセイ</t>
    </rPh>
    <rPh sb="4" eb="6">
      <t>ネンド</t>
    </rPh>
    <phoneticPr fontId="2"/>
  </si>
  <si>
    <t>平成25年度</t>
    <rPh sb="0" eb="2">
      <t>ヘイセイ</t>
    </rPh>
    <rPh sb="4" eb="6">
      <t>ネンド</t>
    </rPh>
    <phoneticPr fontId="2"/>
  </si>
  <si>
    <t>平成26年度</t>
    <rPh sb="0" eb="2">
      <t>ヘイセイ</t>
    </rPh>
    <rPh sb="4" eb="6">
      <t>ネンド</t>
    </rPh>
    <phoneticPr fontId="2"/>
  </si>
  <si>
    <t>平成27年度</t>
    <rPh sb="0" eb="2">
      <t>ヘイセイ</t>
    </rPh>
    <rPh sb="4" eb="6">
      <t>ネンド</t>
    </rPh>
    <phoneticPr fontId="2"/>
  </si>
  <si>
    <t>平成28年度</t>
    <rPh sb="0" eb="2">
      <t>ヘイセイ</t>
    </rPh>
    <rPh sb="4" eb="6">
      <t>ネンド</t>
    </rPh>
    <phoneticPr fontId="2"/>
  </si>
  <si>
    <t>平成29年度</t>
    <rPh sb="0" eb="2">
      <t>ヘイセイ</t>
    </rPh>
    <rPh sb="4" eb="6">
      <t>ネンド</t>
    </rPh>
    <phoneticPr fontId="2"/>
  </si>
  <si>
    <t>平成30年度</t>
    <rPh sb="0" eb="2">
      <t>ヘイセイ</t>
    </rPh>
    <rPh sb="4" eb="6">
      <t>ネンド</t>
    </rPh>
    <phoneticPr fontId="2"/>
  </si>
  <si>
    <t>昭和57年度</t>
    <rPh sb="0" eb="2">
      <t>ショウワ</t>
    </rPh>
    <rPh sb="4" eb="5">
      <t>ネン</t>
    </rPh>
    <rPh sb="5" eb="6">
      <t>ド</t>
    </rPh>
    <phoneticPr fontId="2"/>
  </si>
  <si>
    <t>昭和58年度</t>
    <rPh sb="0" eb="2">
      <t>ショウワ</t>
    </rPh>
    <rPh sb="4" eb="5">
      <t>ネン</t>
    </rPh>
    <rPh sb="5" eb="6">
      <t>ド</t>
    </rPh>
    <phoneticPr fontId="2"/>
  </si>
  <si>
    <t>昭和59年度</t>
    <rPh sb="0" eb="2">
      <t>ショウワ</t>
    </rPh>
    <rPh sb="4" eb="5">
      <t>ネン</t>
    </rPh>
    <rPh sb="5" eb="6">
      <t>ド</t>
    </rPh>
    <phoneticPr fontId="2"/>
  </si>
  <si>
    <t>昭和60年度</t>
    <rPh sb="0" eb="2">
      <t>ショウワ</t>
    </rPh>
    <rPh sb="4" eb="5">
      <t>ネン</t>
    </rPh>
    <rPh sb="5" eb="6">
      <t>ド</t>
    </rPh>
    <phoneticPr fontId="2"/>
  </si>
  <si>
    <t>昭和61年度</t>
    <rPh sb="0" eb="2">
      <t>ショウワ</t>
    </rPh>
    <rPh sb="4" eb="5">
      <t>ネン</t>
    </rPh>
    <rPh sb="5" eb="6">
      <t>ド</t>
    </rPh>
    <phoneticPr fontId="2"/>
  </si>
  <si>
    <t>昭和62年度</t>
    <rPh sb="0" eb="2">
      <t>ショウワ</t>
    </rPh>
    <rPh sb="4" eb="5">
      <t>ネン</t>
    </rPh>
    <rPh sb="5" eb="6">
      <t>ド</t>
    </rPh>
    <phoneticPr fontId="2"/>
  </si>
  <si>
    <t>昭和63年度</t>
    <rPh sb="0" eb="2">
      <t>ショウワ</t>
    </rPh>
    <rPh sb="4" eb="5">
      <t>ネン</t>
    </rPh>
    <rPh sb="5" eb="6">
      <t>ド</t>
    </rPh>
    <phoneticPr fontId="2"/>
  </si>
  <si>
    <t xml:space="preserve">
３
月
分</t>
    <phoneticPr fontId="2"/>
  </si>
  <si>
    <t>支障公共施設の移転に関する補償金</t>
    <phoneticPr fontId="2"/>
  </si>
  <si>
    <t>消費税還付に伴う還付加算金</t>
    <phoneticPr fontId="2"/>
  </si>
  <si>
    <t>手当等の戻入</t>
    <rPh sb="0" eb="2">
      <t>テアテ</t>
    </rPh>
    <rPh sb="2" eb="3">
      <t>トウ</t>
    </rPh>
    <rPh sb="4" eb="6">
      <t>レイニュウ</t>
    </rPh>
    <phoneticPr fontId="2"/>
  </si>
  <si>
    <t>その他国庫補助金(公共）</t>
    <rPh sb="9" eb="11">
      <t>コウキョウ</t>
    </rPh>
    <phoneticPr fontId="2"/>
  </si>
  <si>
    <t>公共下水道事業</t>
    <rPh sb="0" eb="2">
      <t>コウキョウ</t>
    </rPh>
    <rPh sb="2" eb="5">
      <t>ゲスイドウ</t>
    </rPh>
    <rPh sb="5" eb="7">
      <t>ジギョウ</t>
    </rPh>
    <phoneticPr fontId="2"/>
  </si>
  <si>
    <t>公共土木施設災害
復旧事業費国庫負担金</t>
    <rPh sb="0" eb="2">
      <t>コウキョウ</t>
    </rPh>
    <rPh sb="2" eb="4">
      <t>ドボク</t>
    </rPh>
    <rPh sb="4" eb="6">
      <t>シセツ</t>
    </rPh>
    <rPh sb="6" eb="8">
      <t>サイガイ</t>
    </rPh>
    <rPh sb="9" eb="11">
      <t>フッキュウ</t>
    </rPh>
    <rPh sb="11" eb="13">
      <t>ジギョウ</t>
    </rPh>
    <rPh sb="13" eb="14">
      <t>ヒ</t>
    </rPh>
    <rPh sb="14" eb="16">
      <t>コッコ</t>
    </rPh>
    <rPh sb="16" eb="19">
      <t>フタンキン</t>
    </rPh>
    <phoneticPr fontId="2"/>
  </si>
  <si>
    <t>対象事業費×２／３</t>
    <rPh sb="0" eb="2">
      <t>タイショウ</t>
    </rPh>
    <rPh sb="2" eb="4">
      <t>ジギョウ</t>
    </rPh>
    <rPh sb="4" eb="5">
      <t>ヒ</t>
    </rPh>
    <phoneticPr fontId="2"/>
  </si>
  <si>
    <t>　</t>
    <phoneticPr fontId="2"/>
  </si>
  <si>
    <t>　　　</t>
    <phoneticPr fontId="2"/>
  </si>
  <si>
    <t>その他国庫補助金(特環）</t>
    <rPh sb="9" eb="11">
      <t>トッカン</t>
    </rPh>
    <phoneticPr fontId="2"/>
  </si>
  <si>
    <t>特定環境保全公共下水道</t>
    <rPh sb="0" eb="11">
      <t>トッカン</t>
    </rPh>
    <phoneticPr fontId="2"/>
  </si>
  <si>
    <t>その他国庫補助金(農集）</t>
    <rPh sb="9" eb="11">
      <t>ノウシュウ</t>
    </rPh>
    <phoneticPr fontId="2"/>
  </si>
  <si>
    <t>農業集落排水事業</t>
    <rPh sb="0" eb="8">
      <t>ノウシュウ</t>
    </rPh>
    <phoneticPr fontId="2"/>
  </si>
  <si>
    <t>災害関連農村生活環境
施設復旧事業国庫補助金</t>
    <rPh sb="0" eb="2">
      <t>サイガイ</t>
    </rPh>
    <rPh sb="2" eb="4">
      <t>カンレン</t>
    </rPh>
    <rPh sb="4" eb="6">
      <t>ノウソン</t>
    </rPh>
    <rPh sb="6" eb="8">
      <t>セイカツ</t>
    </rPh>
    <rPh sb="8" eb="10">
      <t>カンキョウ</t>
    </rPh>
    <rPh sb="11" eb="13">
      <t>シセツ</t>
    </rPh>
    <rPh sb="13" eb="15">
      <t>フッキュウ</t>
    </rPh>
    <rPh sb="15" eb="17">
      <t>ジギョウ</t>
    </rPh>
    <rPh sb="17" eb="19">
      <t>コッコ</t>
    </rPh>
    <rPh sb="19" eb="22">
      <t>ホジョキン</t>
    </rPh>
    <phoneticPr fontId="2"/>
  </si>
  <si>
    <t>対象事業費×１／２</t>
    <rPh sb="0" eb="2">
      <t>タイショウ</t>
    </rPh>
    <rPh sb="2" eb="4">
      <t>ジギョウ</t>
    </rPh>
    <rPh sb="4" eb="5">
      <t>ヒ</t>
    </rPh>
    <phoneticPr fontId="2"/>
  </si>
  <si>
    <t>その他国庫補助金(浄化槽）</t>
    <rPh sb="9" eb="12">
      <t>ジョウカソウ</t>
    </rPh>
    <phoneticPr fontId="2"/>
  </si>
  <si>
    <t>市営浄化槽事業</t>
    <rPh sb="0" eb="7">
      <t>ジョウカソウ</t>
    </rPh>
    <phoneticPr fontId="2"/>
  </si>
  <si>
    <t>4条収入シート　その他国庫補助金</t>
    <rPh sb="1" eb="2">
      <t>ジョウ</t>
    </rPh>
    <rPh sb="2" eb="4">
      <t>シュウニュウ</t>
    </rPh>
    <rPh sb="10" eb="11">
      <t>タ</t>
    </rPh>
    <rPh sb="11" eb="13">
      <t>コッコ</t>
    </rPh>
    <rPh sb="13" eb="16">
      <t>ホジョキン</t>
    </rPh>
    <phoneticPr fontId="2"/>
  </si>
  <si>
    <t>チェック</t>
    <phoneticPr fontId="2"/>
  </si>
  <si>
    <t>公共</t>
    <rPh sb="0" eb="2">
      <t>コウキョウ</t>
    </rPh>
    <phoneticPr fontId="2"/>
  </si>
  <si>
    <t>農集</t>
    <rPh sb="0" eb="2">
      <t>ノウシュウ</t>
    </rPh>
    <phoneticPr fontId="2"/>
  </si>
  <si>
    <t>　</t>
    <phoneticPr fontId="2"/>
  </si>
  <si>
    <t>　　　</t>
    <phoneticPr fontId="2"/>
  </si>
  <si>
    <t>3条収入シート　その他国庫補助金（災害）</t>
    <rPh sb="1" eb="2">
      <t>ジョウ</t>
    </rPh>
    <rPh sb="2" eb="4">
      <t>シュウニュウ</t>
    </rPh>
    <rPh sb="10" eb="11">
      <t>タ</t>
    </rPh>
    <rPh sb="11" eb="13">
      <t>コッコ</t>
    </rPh>
    <rPh sb="13" eb="16">
      <t>ホジョキン</t>
    </rPh>
    <rPh sb="17" eb="19">
      <t>サイガイ</t>
    </rPh>
    <phoneticPr fontId="2"/>
  </si>
  <si>
    <t>チェック</t>
    <phoneticPr fontId="2"/>
  </si>
  <si>
    <t>特定収入に係る課税仕入れ等に係る消費税額</t>
  </si>
  <si>
    <t>計</t>
    <rPh sb="0" eb="1">
      <t>ケイ</t>
    </rPh>
    <phoneticPr fontId="2"/>
  </si>
  <si>
    <t>④４条収入とのチェック</t>
    <rPh sb="2" eb="3">
      <t>ジョウ</t>
    </rPh>
    <rPh sb="3" eb="5">
      <t>シュウニュウ</t>
    </rPh>
    <phoneticPr fontId="2"/>
  </si>
  <si>
    <t>←工事費充当分の計</t>
    <rPh sb="1" eb="3">
      <t>コウジ</t>
    </rPh>
    <rPh sb="3" eb="4">
      <t>ヒ</t>
    </rPh>
    <rPh sb="4" eb="6">
      <t>ジュウトウ</t>
    </rPh>
    <rPh sb="6" eb="7">
      <t>ブン</t>
    </rPh>
    <rPh sb="8" eb="9">
      <t>ケイ</t>
    </rPh>
    <phoneticPr fontId="2"/>
  </si>
  <si>
    <t>温品二葉の里線・府中祇園線整備事業に係る移設等補償費</t>
    <rPh sb="0" eb="1">
      <t>オン</t>
    </rPh>
    <rPh sb="1" eb="2">
      <t>ヒン</t>
    </rPh>
    <rPh sb="2" eb="4">
      <t>フタバ</t>
    </rPh>
    <rPh sb="5" eb="6">
      <t>サト</t>
    </rPh>
    <rPh sb="6" eb="7">
      <t>セン</t>
    </rPh>
    <rPh sb="8" eb="10">
      <t>フチュウ</t>
    </rPh>
    <rPh sb="10" eb="12">
      <t>ギオン</t>
    </rPh>
    <rPh sb="12" eb="13">
      <t>セン</t>
    </rPh>
    <rPh sb="13" eb="15">
      <t>セイビ</t>
    </rPh>
    <rPh sb="15" eb="17">
      <t>ジギョウ</t>
    </rPh>
    <rPh sb="18" eb="19">
      <t>カカ</t>
    </rPh>
    <rPh sb="20" eb="22">
      <t>イセツ</t>
    </rPh>
    <rPh sb="22" eb="23">
      <t>トウ</t>
    </rPh>
    <rPh sb="23" eb="25">
      <t>ホショウ</t>
    </rPh>
    <rPh sb="25" eb="26">
      <t>ヒ</t>
    </rPh>
    <phoneticPr fontId="2"/>
  </si>
  <si>
    <t>消費税算出額と申告額の差額</t>
    <rPh sb="0" eb="3">
      <t>ショウヒゼイ</t>
    </rPh>
    <rPh sb="3" eb="5">
      <t>サンシュツ</t>
    </rPh>
    <rPh sb="5" eb="6">
      <t>ガク</t>
    </rPh>
    <rPh sb="7" eb="9">
      <t>シンコク</t>
    </rPh>
    <rPh sb="9" eb="10">
      <t>ガク</t>
    </rPh>
    <rPh sb="11" eb="13">
      <t>サガク</t>
    </rPh>
    <phoneticPr fontId="2"/>
  </si>
  <si>
    <t>令和2年度</t>
    <rPh sb="0" eb="2">
      <t>レイワ</t>
    </rPh>
    <rPh sb="3" eb="5">
      <t>ネンド</t>
    </rPh>
    <phoneticPr fontId="2"/>
  </si>
  <si>
    <t>令和3年度</t>
    <rPh sb="0" eb="2">
      <t>レイワ</t>
    </rPh>
    <rPh sb="3" eb="5">
      <t>ネンド</t>
    </rPh>
    <phoneticPr fontId="2"/>
  </si>
  <si>
    <t>令和4年度</t>
    <rPh sb="0" eb="2">
      <t>レイワ</t>
    </rPh>
    <rPh sb="3" eb="5">
      <t>ネンド</t>
    </rPh>
    <phoneticPr fontId="2"/>
  </si>
  <si>
    <t>令和元年度</t>
    <rPh sb="0" eb="2">
      <t>レイワ</t>
    </rPh>
    <rPh sb="2" eb="3">
      <t>ガン</t>
    </rPh>
    <rPh sb="3" eb="5">
      <t>ネンド</t>
    </rPh>
    <phoneticPr fontId="2"/>
  </si>
  <si>
    <t>令和元年度</t>
    <phoneticPr fontId="2"/>
  </si>
  <si>
    <t>令和元年度</t>
    <rPh sb="0" eb="2">
      <t>レイワ</t>
    </rPh>
    <rPh sb="2" eb="4">
      <t>ガンネン</t>
    </rPh>
    <rPh sb="4" eb="5">
      <t>ド</t>
    </rPh>
    <phoneticPr fontId="2"/>
  </si>
  <si>
    <t>令和元年度</t>
    <phoneticPr fontId="2"/>
  </si>
  <si>
    <t>-</t>
    <phoneticPr fontId="2"/>
  </si>
  <si>
    <t>管路等・補助裏単市</t>
    <rPh sb="0" eb="1">
      <t>カン</t>
    </rPh>
    <rPh sb="1" eb="2">
      <t>ロ</t>
    </rPh>
    <rPh sb="2" eb="3">
      <t>トウ</t>
    </rPh>
    <rPh sb="4" eb="7">
      <t>ホジョウラ</t>
    </rPh>
    <rPh sb="7" eb="8">
      <t>タン</t>
    </rPh>
    <rPh sb="8" eb="9">
      <t>シ</t>
    </rPh>
    <phoneticPr fontId="2"/>
  </si>
  <si>
    <t>管路等・補助裏単市
（繰越分）</t>
    <rPh sb="0" eb="1">
      <t>カン</t>
    </rPh>
    <rPh sb="1" eb="2">
      <t>ロ</t>
    </rPh>
    <rPh sb="2" eb="3">
      <t>トウ</t>
    </rPh>
    <rPh sb="4" eb="7">
      <t>ホジョウラ</t>
    </rPh>
    <rPh sb="7" eb="8">
      <t>タン</t>
    </rPh>
    <rPh sb="8" eb="9">
      <t>シ</t>
    </rPh>
    <rPh sb="11" eb="13">
      <t>クリコシ</t>
    </rPh>
    <rPh sb="13" eb="14">
      <t>ブン</t>
    </rPh>
    <phoneticPr fontId="2"/>
  </si>
  <si>
    <t xml:space="preserve">  ●千円×１０／１０</t>
    <phoneticPr fontId="2"/>
  </si>
  <si>
    <t>市街化区域外汚水処理施設
整備事業充当分</t>
    <rPh sb="0" eb="5">
      <t>シガイカクイキ</t>
    </rPh>
    <rPh sb="5" eb="6">
      <t>ソト</t>
    </rPh>
    <rPh sb="6" eb="8">
      <t>オスイ</t>
    </rPh>
    <rPh sb="8" eb="10">
      <t>ショリ</t>
    </rPh>
    <rPh sb="10" eb="12">
      <t>シセツ</t>
    </rPh>
    <rPh sb="13" eb="15">
      <t>セイビ</t>
    </rPh>
    <rPh sb="15" eb="17">
      <t>ジギョウ</t>
    </rPh>
    <rPh sb="17" eb="19">
      <t>ジュウトウ</t>
    </rPh>
    <rPh sb="19" eb="20">
      <t>ブン</t>
    </rPh>
    <phoneticPr fontId="2"/>
  </si>
  <si>
    <t>区役所
地域整備課</t>
    <rPh sb="0" eb="3">
      <t>クヤクショ</t>
    </rPh>
    <rPh sb="4" eb="6">
      <t>チイキ</t>
    </rPh>
    <rPh sb="6" eb="9">
      <t>セイビカ</t>
    </rPh>
    <phoneticPr fontId="2"/>
  </si>
  <si>
    <t>浄化槽</t>
    <rPh sb="0" eb="3">
      <t>ジョウカソウ</t>
    </rPh>
    <phoneticPr fontId="2"/>
  </si>
  <si>
    <t>市街化区域外汚水処理施設整備事業
【特環】</t>
    <rPh sb="0" eb="2">
      <t>シガイ</t>
    </rPh>
    <rPh sb="2" eb="3">
      <t>カ</t>
    </rPh>
    <rPh sb="3" eb="5">
      <t>クイキ</t>
    </rPh>
    <rPh sb="5" eb="6">
      <t>ガイ</t>
    </rPh>
    <rPh sb="6" eb="8">
      <t>オスイ</t>
    </rPh>
    <rPh sb="8" eb="10">
      <t>ショリ</t>
    </rPh>
    <rPh sb="10" eb="12">
      <t>シセツ</t>
    </rPh>
    <rPh sb="12" eb="14">
      <t>セイビ</t>
    </rPh>
    <rPh sb="14" eb="16">
      <t>ジギョウ</t>
    </rPh>
    <rPh sb="18" eb="20">
      <t>トッカン</t>
    </rPh>
    <phoneticPr fontId="2"/>
  </si>
  <si>
    <t>市街化区域外汚水処理施設整備事業
【農集】</t>
    <rPh sb="0" eb="2">
      <t>シガイ</t>
    </rPh>
    <rPh sb="2" eb="3">
      <t>カ</t>
    </rPh>
    <rPh sb="3" eb="5">
      <t>クイキ</t>
    </rPh>
    <rPh sb="5" eb="6">
      <t>ガイ</t>
    </rPh>
    <rPh sb="6" eb="8">
      <t>オスイ</t>
    </rPh>
    <rPh sb="8" eb="10">
      <t>ショリ</t>
    </rPh>
    <rPh sb="10" eb="12">
      <t>シセツ</t>
    </rPh>
    <rPh sb="12" eb="14">
      <t>セイビ</t>
    </rPh>
    <rPh sb="14" eb="16">
      <t>ジギョウ</t>
    </rPh>
    <rPh sb="18" eb="20">
      <t>ノウシュウ</t>
    </rPh>
    <phoneticPr fontId="2"/>
  </si>
  <si>
    <t>市街化区域外汚水処理施設整備事業
【浄化槽】</t>
    <rPh sb="0" eb="2">
      <t>シガイ</t>
    </rPh>
    <rPh sb="2" eb="3">
      <t>カ</t>
    </rPh>
    <rPh sb="3" eb="5">
      <t>クイキ</t>
    </rPh>
    <rPh sb="5" eb="6">
      <t>ガイ</t>
    </rPh>
    <rPh sb="6" eb="8">
      <t>オスイ</t>
    </rPh>
    <rPh sb="8" eb="10">
      <t>ショリ</t>
    </rPh>
    <rPh sb="10" eb="12">
      <t>シセツ</t>
    </rPh>
    <rPh sb="12" eb="14">
      <t>セイビ</t>
    </rPh>
    <rPh sb="14" eb="16">
      <t>ジギョウ</t>
    </rPh>
    <rPh sb="18" eb="21">
      <t>ジョウカソウ</t>
    </rPh>
    <phoneticPr fontId="2"/>
  </si>
  <si>
    <t>特　環</t>
    <rPh sb="0" eb="1">
      <t>トク</t>
    </rPh>
    <rPh sb="2" eb="3">
      <t>ワ</t>
    </rPh>
    <phoneticPr fontId="2"/>
  </si>
  <si>
    <t>農　集</t>
    <rPh sb="0" eb="1">
      <t>ノウ</t>
    </rPh>
    <rPh sb="2" eb="3">
      <t>シュウ</t>
    </rPh>
    <phoneticPr fontId="2"/>
  </si>
  <si>
    <t>【特環】市街化区域外汚水処理
施設整備事業充当分</t>
    <rPh sb="1" eb="3">
      <t>トッカン</t>
    </rPh>
    <rPh sb="4" eb="7">
      <t>シガイカ</t>
    </rPh>
    <rPh sb="7" eb="10">
      <t>クイキガイ</t>
    </rPh>
    <rPh sb="10" eb="12">
      <t>オスイ</t>
    </rPh>
    <rPh sb="12" eb="14">
      <t>ショリ</t>
    </rPh>
    <rPh sb="15" eb="17">
      <t>シセツ</t>
    </rPh>
    <rPh sb="17" eb="19">
      <t>セイビ</t>
    </rPh>
    <rPh sb="19" eb="21">
      <t>ジギョウ</t>
    </rPh>
    <rPh sb="21" eb="23">
      <t>ジュウトウ</t>
    </rPh>
    <rPh sb="23" eb="24">
      <t>ブン</t>
    </rPh>
    <phoneticPr fontId="2"/>
  </si>
  <si>
    <t>【農集】市街化区域外汚水処理
施設整備事業充当分</t>
    <rPh sb="1" eb="3">
      <t>ノウシュウ</t>
    </rPh>
    <rPh sb="4" eb="7">
      <t>シガイカ</t>
    </rPh>
    <rPh sb="7" eb="10">
      <t>クイキガイ</t>
    </rPh>
    <rPh sb="10" eb="12">
      <t>オスイ</t>
    </rPh>
    <rPh sb="12" eb="14">
      <t>ショリ</t>
    </rPh>
    <rPh sb="15" eb="17">
      <t>シセツ</t>
    </rPh>
    <rPh sb="17" eb="19">
      <t>セイビ</t>
    </rPh>
    <rPh sb="19" eb="21">
      <t>ジギョウ</t>
    </rPh>
    <rPh sb="21" eb="23">
      <t>ジュウトウ</t>
    </rPh>
    <rPh sb="23" eb="24">
      <t>ブン</t>
    </rPh>
    <phoneticPr fontId="2"/>
  </si>
  <si>
    <t>【浄化槽】市街化区域外汚水処理
施設整備事業充当分</t>
    <rPh sb="1" eb="4">
      <t>ジョウカソウ</t>
    </rPh>
    <rPh sb="5" eb="8">
      <t>シガイカ</t>
    </rPh>
    <rPh sb="8" eb="11">
      <t>クイキガイ</t>
    </rPh>
    <rPh sb="11" eb="13">
      <t>オスイ</t>
    </rPh>
    <rPh sb="13" eb="15">
      <t>ショリ</t>
    </rPh>
    <rPh sb="16" eb="18">
      <t>シセツ</t>
    </rPh>
    <rPh sb="18" eb="20">
      <t>セイビ</t>
    </rPh>
    <rPh sb="20" eb="22">
      <t>ジギョウ</t>
    </rPh>
    <rPh sb="22" eb="24">
      <t>ジュウトウ</t>
    </rPh>
    <rPh sb="24" eb="25">
      <t>ブン</t>
    </rPh>
    <phoneticPr fontId="2"/>
  </si>
  <si>
    <t>【浄化槽】市街化区域外汚水
処理施設整備事業充当分</t>
    <rPh sb="1" eb="4">
      <t>ジョウカソウ</t>
    </rPh>
    <rPh sb="5" eb="8">
      <t>シガイカ</t>
    </rPh>
    <rPh sb="8" eb="11">
      <t>クイキガイ</t>
    </rPh>
    <rPh sb="11" eb="13">
      <t>オスイ</t>
    </rPh>
    <rPh sb="14" eb="16">
      <t>ショリ</t>
    </rPh>
    <rPh sb="16" eb="18">
      <t>シセツ</t>
    </rPh>
    <rPh sb="18" eb="20">
      <t>セイビ</t>
    </rPh>
    <rPh sb="20" eb="22">
      <t>ジギョウ</t>
    </rPh>
    <rPh sb="22" eb="24">
      <t>ジュウトウ</t>
    </rPh>
    <rPh sb="24" eb="25">
      <t>ブン</t>
    </rPh>
    <phoneticPr fontId="2"/>
  </si>
  <si>
    <t>【特環】市街化区域外汚水処理施設
整備事業充当分</t>
    <rPh sb="1" eb="3">
      <t>トッカン</t>
    </rPh>
    <rPh sb="4" eb="7">
      <t>シガイカ</t>
    </rPh>
    <rPh sb="7" eb="10">
      <t>クイキガイ</t>
    </rPh>
    <rPh sb="10" eb="12">
      <t>オスイ</t>
    </rPh>
    <rPh sb="12" eb="14">
      <t>ショリ</t>
    </rPh>
    <rPh sb="14" eb="16">
      <t>シセツ</t>
    </rPh>
    <rPh sb="17" eb="19">
      <t>セイビ</t>
    </rPh>
    <rPh sb="19" eb="21">
      <t>ジギョウ</t>
    </rPh>
    <rPh sb="21" eb="23">
      <t>ジュウトウ</t>
    </rPh>
    <rPh sb="23" eb="24">
      <t>ブン</t>
    </rPh>
    <phoneticPr fontId="2"/>
  </si>
  <si>
    <t>【農集】市街化区域外汚水処理施設
整備事業充当分</t>
    <rPh sb="1" eb="3">
      <t>ノウシュウ</t>
    </rPh>
    <rPh sb="4" eb="7">
      <t>シガイカ</t>
    </rPh>
    <rPh sb="7" eb="10">
      <t>クイキガイ</t>
    </rPh>
    <rPh sb="10" eb="12">
      <t>オスイ</t>
    </rPh>
    <rPh sb="12" eb="14">
      <t>ショリ</t>
    </rPh>
    <rPh sb="14" eb="16">
      <t>シセツ</t>
    </rPh>
    <rPh sb="17" eb="19">
      <t>セイビ</t>
    </rPh>
    <rPh sb="19" eb="21">
      <t>ジギョウ</t>
    </rPh>
    <rPh sb="21" eb="23">
      <t>ジュウトウ</t>
    </rPh>
    <rPh sb="23" eb="24">
      <t>ブン</t>
    </rPh>
    <phoneticPr fontId="2"/>
  </si>
  <si>
    <t xml:space="preserve">【特環】
市街化区域外汚水処理施設整備事業
</t>
    <rPh sb="5" eb="13">
      <t>シガイカクイキソトオスイ</t>
    </rPh>
    <rPh sb="13" eb="15">
      <t>ショリ</t>
    </rPh>
    <rPh sb="15" eb="17">
      <t>シセツ</t>
    </rPh>
    <rPh sb="17" eb="19">
      <t>セイビ</t>
    </rPh>
    <rPh sb="19" eb="21">
      <t>ジギョウ</t>
    </rPh>
    <phoneticPr fontId="2"/>
  </si>
  <si>
    <t xml:space="preserve">【農集】
市街化区域外汚水処理施設整備事業
</t>
    <rPh sb="5" eb="13">
      <t>シガイカクイキソトオスイ</t>
    </rPh>
    <rPh sb="13" eb="15">
      <t>ショリ</t>
    </rPh>
    <rPh sb="15" eb="17">
      <t>シセツ</t>
    </rPh>
    <rPh sb="17" eb="19">
      <t>セイビ</t>
    </rPh>
    <rPh sb="19" eb="21">
      <t>ジギョウ</t>
    </rPh>
    <phoneticPr fontId="2"/>
  </si>
  <si>
    <t xml:space="preserve">【浄化槽】
市街化区域外汚水処理施設整備事業
</t>
    <rPh sb="6" eb="14">
      <t>シガイカクイキソトオスイ</t>
    </rPh>
    <rPh sb="14" eb="16">
      <t>ショリ</t>
    </rPh>
    <rPh sb="16" eb="18">
      <t>シセツ</t>
    </rPh>
    <rPh sb="18" eb="20">
      <t>セイビ</t>
    </rPh>
    <rPh sb="20" eb="22">
      <t>ジギョウ</t>
    </rPh>
    <phoneticPr fontId="2"/>
  </si>
  <si>
    <r>
      <rPr>
        <sz val="11"/>
        <color rgb="FFFF0000"/>
        <rFont val="ＭＳ ゴシック"/>
        <family val="3"/>
        <charset val="128"/>
      </rPr>
      <t>3</t>
    </r>
    <r>
      <rPr>
        <sz val="11"/>
        <rFont val="ＭＳ ゴシック"/>
        <family val="3"/>
        <charset val="128"/>
      </rPr>
      <t>年度分
公共土木施設災害復旧事業費(補助事業現年分)の課税支出割合</t>
    </r>
    <rPh sb="1" eb="2">
      <t>ネン</t>
    </rPh>
    <rPh sb="2" eb="3">
      <t>ド</t>
    </rPh>
    <rPh sb="3" eb="4">
      <t>ブン</t>
    </rPh>
    <rPh sb="5" eb="7">
      <t>コウキョウ</t>
    </rPh>
    <rPh sb="7" eb="9">
      <t>ドボク</t>
    </rPh>
    <rPh sb="9" eb="11">
      <t>シセツ</t>
    </rPh>
    <rPh sb="11" eb="13">
      <t>サイガイ</t>
    </rPh>
    <rPh sb="13" eb="15">
      <t>フッキュウ</t>
    </rPh>
    <rPh sb="15" eb="17">
      <t>ジギョウ</t>
    </rPh>
    <rPh sb="17" eb="18">
      <t>ヒ</t>
    </rPh>
    <phoneticPr fontId="2"/>
  </si>
  <si>
    <r>
      <rPr>
        <sz val="11"/>
        <color rgb="FFFF0000"/>
        <rFont val="ＭＳ ゴシック"/>
        <family val="3"/>
        <charset val="128"/>
      </rPr>
      <t>2</t>
    </r>
    <r>
      <rPr>
        <sz val="11"/>
        <rFont val="ＭＳ ゴシック"/>
        <family val="3"/>
        <charset val="128"/>
      </rPr>
      <t>年度分
公共土木施設災害復旧事業費(補助事業繰越分)の課税支出割合</t>
    </r>
    <rPh sb="1" eb="2">
      <t>ネン</t>
    </rPh>
    <rPh sb="2" eb="3">
      <t>ド</t>
    </rPh>
    <rPh sb="3" eb="4">
      <t>ブン</t>
    </rPh>
    <rPh sb="5" eb="7">
      <t>コウキョウ</t>
    </rPh>
    <rPh sb="7" eb="9">
      <t>ドボク</t>
    </rPh>
    <rPh sb="9" eb="11">
      <t>シセツ</t>
    </rPh>
    <rPh sb="11" eb="13">
      <t>サイガイ</t>
    </rPh>
    <rPh sb="13" eb="15">
      <t>フッキュウ</t>
    </rPh>
    <rPh sb="15" eb="17">
      <t>ジギョウ</t>
    </rPh>
    <rPh sb="17" eb="18">
      <t>ヒ</t>
    </rPh>
    <rPh sb="23" eb="25">
      <t>クリコシ</t>
    </rPh>
    <phoneticPr fontId="2"/>
  </si>
  <si>
    <r>
      <rPr>
        <sz val="11"/>
        <color rgb="FFFF0000"/>
        <rFont val="ＭＳ ゴシック"/>
        <family val="3"/>
        <charset val="128"/>
      </rPr>
      <t>3</t>
    </r>
    <r>
      <rPr>
        <sz val="11"/>
        <rFont val="ＭＳ ゴシック"/>
        <family val="3"/>
        <charset val="128"/>
      </rPr>
      <t>年度分
災害関連農村生活環境施設復旧事業(補助事業現年分)の課税支出割合</t>
    </r>
    <rPh sb="1" eb="2">
      <t>ネン</t>
    </rPh>
    <rPh sb="2" eb="3">
      <t>ド</t>
    </rPh>
    <rPh sb="3" eb="4">
      <t>ブン</t>
    </rPh>
    <rPh sb="5" eb="7">
      <t>サイガイ</t>
    </rPh>
    <rPh sb="7" eb="9">
      <t>カンレン</t>
    </rPh>
    <rPh sb="9" eb="11">
      <t>ノウソン</t>
    </rPh>
    <rPh sb="11" eb="13">
      <t>セイカツ</t>
    </rPh>
    <rPh sb="13" eb="15">
      <t>カンキョウ</t>
    </rPh>
    <rPh sb="15" eb="17">
      <t>シセツ</t>
    </rPh>
    <rPh sb="17" eb="19">
      <t>フッキュウ</t>
    </rPh>
    <rPh sb="19" eb="21">
      <t>ジギョウ</t>
    </rPh>
    <phoneticPr fontId="2"/>
  </si>
  <si>
    <r>
      <rPr>
        <sz val="11"/>
        <color rgb="FFFF0000"/>
        <rFont val="ＭＳ ゴシック"/>
        <family val="3"/>
        <charset val="128"/>
      </rPr>
      <t>2</t>
    </r>
    <r>
      <rPr>
        <sz val="11"/>
        <rFont val="ＭＳ ゴシック"/>
        <family val="3"/>
        <charset val="128"/>
      </rPr>
      <t>年度分
災害関連農村生活環境施設復旧事業(補助事業繰越分)の課税支出割合</t>
    </r>
    <rPh sb="1" eb="2">
      <t>ネン</t>
    </rPh>
    <rPh sb="2" eb="3">
      <t>ド</t>
    </rPh>
    <rPh sb="3" eb="4">
      <t>ブン</t>
    </rPh>
    <rPh sb="5" eb="7">
      <t>サイガイ</t>
    </rPh>
    <rPh sb="7" eb="9">
      <t>カンレン</t>
    </rPh>
    <rPh sb="9" eb="11">
      <t>ノウソン</t>
    </rPh>
    <rPh sb="11" eb="13">
      <t>セイカツ</t>
    </rPh>
    <rPh sb="13" eb="15">
      <t>カンキョウ</t>
    </rPh>
    <rPh sb="15" eb="17">
      <t>シセツ</t>
    </rPh>
    <rPh sb="17" eb="19">
      <t>フッキュウ</t>
    </rPh>
    <rPh sb="19" eb="21">
      <t>ジギョウ</t>
    </rPh>
    <rPh sb="26" eb="28">
      <t>クリコシ</t>
    </rPh>
    <phoneticPr fontId="2"/>
  </si>
  <si>
    <t>霞庚午線（９工区）電線共同溝整備事業に係る移設等補償費</t>
    <rPh sb="19" eb="20">
      <t>カカ</t>
    </rPh>
    <rPh sb="21" eb="23">
      <t>イセツ</t>
    </rPh>
    <rPh sb="23" eb="24">
      <t>トウ</t>
    </rPh>
    <rPh sb="24" eb="26">
      <t>ホショウ</t>
    </rPh>
    <rPh sb="26" eb="27">
      <t>ヒ</t>
    </rPh>
    <phoneticPr fontId="2"/>
  </si>
  <si>
    <t>青崎土地区画整理事業（青崎2-5）</t>
    <rPh sb="0" eb="2">
      <t>アオサキ</t>
    </rPh>
    <rPh sb="2" eb="4">
      <t>トチ</t>
    </rPh>
    <rPh sb="4" eb="6">
      <t>クカク</t>
    </rPh>
    <rPh sb="6" eb="8">
      <t>セイリ</t>
    </rPh>
    <rPh sb="8" eb="10">
      <t>ジギョウ</t>
    </rPh>
    <rPh sb="11" eb="13">
      <t>アオサキ</t>
    </rPh>
    <phoneticPr fontId="2"/>
  </si>
  <si>
    <t>府中町大須地区に係る流域下水道負担金</t>
    <rPh sb="0" eb="2">
      <t>フチュウ</t>
    </rPh>
    <rPh sb="2" eb="3">
      <t>マチ</t>
    </rPh>
    <rPh sb="3" eb="7">
      <t>オオスチク</t>
    </rPh>
    <rPh sb="8" eb="9">
      <t>カカ</t>
    </rPh>
    <rPh sb="10" eb="12">
      <t>リュウイキ</t>
    </rPh>
    <rPh sb="12" eb="15">
      <t>ゲスイドウ</t>
    </rPh>
    <rPh sb="15" eb="18">
      <t>フタンキン</t>
    </rPh>
    <phoneticPr fontId="2"/>
  </si>
  <si>
    <t>府中町大須地区に係る流域下水道負担金_R2年度分</t>
    <rPh sb="0" eb="2">
      <t>フチュウ</t>
    </rPh>
    <rPh sb="2" eb="3">
      <t>マチ</t>
    </rPh>
    <rPh sb="3" eb="7">
      <t>オオスチク</t>
    </rPh>
    <rPh sb="8" eb="9">
      <t>カカ</t>
    </rPh>
    <rPh sb="10" eb="12">
      <t>リュウイキ</t>
    </rPh>
    <rPh sb="12" eb="15">
      <t>ゲスイドウ</t>
    </rPh>
    <rPh sb="15" eb="18">
      <t>フタンキン</t>
    </rPh>
    <rPh sb="21" eb="24">
      <t>ネンドブン</t>
    </rPh>
    <phoneticPr fontId="2"/>
  </si>
  <si>
    <t>特別支援学校校舎増築に伴う下水道工事に係る負担金</t>
    <rPh sb="16" eb="18">
      <t>コウジ</t>
    </rPh>
    <phoneticPr fontId="2"/>
  </si>
  <si>
    <t xml:space="preserve">  ●千円×５／１０</t>
    <rPh sb="3" eb="5">
      <t>センエン</t>
    </rPh>
    <phoneticPr fontId="2"/>
  </si>
  <si>
    <t>未収金貸倒引当金の更正に伴う特別利益</t>
    <phoneticPr fontId="2"/>
  </si>
  <si>
    <t>契約解除違約金</t>
    <rPh sb="0" eb="2">
      <t>ケイヤク</t>
    </rPh>
    <rPh sb="2" eb="4">
      <t>カイジョ</t>
    </rPh>
    <rPh sb="4" eb="7">
      <t>イヤクキン</t>
    </rPh>
    <phoneticPr fontId="2"/>
  </si>
  <si>
    <t>公共下水道整備事業に係る負担金</t>
  </si>
  <si>
    <t>公共下水道整備事業に係る負担金</t>
    <rPh sb="0" eb="2">
      <t>コウキョウ</t>
    </rPh>
    <rPh sb="2" eb="5">
      <t>ゲスイドウ</t>
    </rPh>
    <rPh sb="5" eb="7">
      <t>セイビ</t>
    </rPh>
    <rPh sb="7" eb="9">
      <t>ジギョウ</t>
    </rPh>
    <rPh sb="10" eb="11">
      <t>カカ</t>
    </rPh>
    <rPh sb="12" eb="15">
      <t>フタンキン</t>
    </rPh>
    <phoneticPr fontId="2"/>
  </si>
  <si>
    <t>管路等・一般(高率分)</t>
    <rPh sb="0" eb="1">
      <t>カン</t>
    </rPh>
    <rPh sb="1" eb="2">
      <t>ロ</t>
    </rPh>
    <rPh sb="2" eb="3">
      <t>トウ</t>
    </rPh>
    <rPh sb="4" eb="6">
      <t>イッパン</t>
    </rPh>
    <rPh sb="7" eb="9">
      <t>コウリツ</t>
    </rPh>
    <rPh sb="9" eb="10">
      <t>ブン</t>
    </rPh>
    <phoneticPr fontId="2"/>
  </si>
  <si>
    <t>75,000千円×５／１０</t>
    <rPh sb="6" eb="8">
      <t>センエン</t>
    </rPh>
    <phoneticPr fontId="2"/>
  </si>
  <si>
    <t>管路等高率</t>
    <rPh sb="0" eb="1">
      <t>カン</t>
    </rPh>
    <rPh sb="1" eb="2">
      <t>ロ</t>
    </rPh>
    <rPh sb="2" eb="3">
      <t>トウ</t>
    </rPh>
    <rPh sb="3" eb="5">
      <t>コウリツ</t>
    </rPh>
    <phoneticPr fontId="2"/>
  </si>
  <si>
    <t>4年度分
公共土木施設災害復旧事業費(補助事業現年分)の課税支出割合</t>
    <rPh sb="1" eb="2">
      <t>ネン</t>
    </rPh>
    <rPh sb="2" eb="3">
      <t>ド</t>
    </rPh>
    <rPh sb="3" eb="4">
      <t>ブン</t>
    </rPh>
    <rPh sb="5" eb="7">
      <t>コウキョウ</t>
    </rPh>
    <rPh sb="7" eb="9">
      <t>ドボク</t>
    </rPh>
    <rPh sb="9" eb="11">
      <t>シセツ</t>
    </rPh>
    <rPh sb="11" eb="13">
      <t>サイガイ</t>
    </rPh>
    <rPh sb="13" eb="15">
      <t>フッキュウ</t>
    </rPh>
    <rPh sb="15" eb="17">
      <t>ジギョウ</t>
    </rPh>
    <rPh sb="17" eb="18">
      <t>ヒ</t>
    </rPh>
    <phoneticPr fontId="2"/>
  </si>
  <si>
    <t>3年度分
公共土木施設災害復旧事業費(補助事業繰越分)の課税支出割合</t>
    <rPh sb="1" eb="2">
      <t>ネン</t>
    </rPh>
    <rPh sb="2" eb="3">
      <t>ド</t>
    </rPh>
    <rPh sb="3" eb="4">
      <t>ブン</t>
    </rPh>
    <rPh sb="5" eb="7">
      <t>コウキョウ</t>
    </rPh>
    <rPh sb="7" eb="9">
      <t>ドボク</t>
    </rPh>
    <rPh sb="9" eb="11">
      <t>シセツ</t>
    </rPh>
    <rPh sb="11" eb="13">
      <t>サイガイ</t>
    </rPh>
    <rPh sb="13" eb="15">
      <t>フッキュウ</t>
    </rPh>
    <rPh sb="15" eb="17">
      <t>ジギョウ</t>
    </rPh>
    <rPh sb="17" eb="18">
      <t>ヒ</t>
    </rPh>
    <rPh sb="23" eb="25">
      <t>クリコシ</t>
    </rPh>
    <phoneticPr fontId="2"/>
  </si>
  <si>
    <r>
      <rPr>
        <sz val="11"/>
        <color rgb="FFFF0000"/>
        <rFont val="ＭＳ ゴシック"/>
        <family val="3"/>
        <charset val="128"/>
      </rPr>
      <t>4</t>
    </r>
    <r>
      <rPr>
        <sz val="11"/>
        <rFont val="ＭＳ ゴシック"/>
        <family val="3"/>
        <charset val="128"/>
      </rPr>
      <t>年度分
災害関連農村生活環境施設復旧事業(補助事業現年分)の課税支出割合</t>
    </r>
    <rPh sb="1" eb="2">
      <t>ネン</t>
    </rPh>
    <rPh sb="2" eb="3">
      <t>ド</t>
    </rPh>
    <rPh sb="3" eb="4">
      <t>ブン</t>
    </rPh>
    <rPh sb="5" eb="7">
      <t>サイガイ</t>
    </rPh>
    <rPh sb="7" eb="9">
      <t>カンレン</t>
    </rPh>
    <rPh sb="9" eb="11">
      <t>ノウソン</t>
    </rPh>
    <rPh sb="11" eb="13">
      <t>セイカツ</t>
    </rPh>
    <rPh sb="13" eb="15">
      <t>カンキョウ</t>
    </rPh>
    <rPh sb="15" eb="17">
      <t>シセツ</t>
    </rPh>
    <rPh sb="17" eb="19">
      <t>フッキュウ</t>
    </rPh>
    <rPh sb="19" eb="21">
      <t>ジギョウ</t>
    </rPh>
    <phoneticPr fontId="2"/>
  </si>
  <si>
    <t>3年度分
災害関連農村生活環境施設復旧事業(補助事業繰越分)の課税支出割合</t>
    <rPh sb="1" eb="2">
      <t>ネン</t>
    </rPh>
    <rPh sb="2" eb="3">
      <t>ド</t>
    </rPh>
    <rPh sb="3" eb="4">
      <t>ブン</t>
    </rPh>
    <rPh sb="5" eb="7">
      <t>サイガイ</t>
    </rPh>
    <rPh sb="7" eb="9">
      <t>カンレン</t>
    </rPh>
    <rPh sb="9" eb="11">
      <t>ノウソン</t>
    </rPh>
    <rPh sb="11" eb="13">
      <t>セイカツ</t>
    </rPh>
    <rPh sb="13" eb="15">
      <t>カンキョウ</t>
    </rPh>
    <rPh sb="15" eb="17">
      <t>シセツ</t>
    </rPh>
    <rPh sb="17" eb="19">
      <t>フッキュウ</t>
    </rPh>
    <rPh sb="19" eb="21">
      <t>ジギョウ</t>
    </rPh>
    <rPh sb="26" eb="28">
      <t>クリコシ</t>
    </rPh>
    <phoneticPr fontId="2"/>
  </si>
  <si>
    <t>不課税支出に対応する不課税収入のため特定収入以外</t>
    <phoneticPr fontId="2"/>
  </si>
  <si>
    <t>海田～廿日市計</t>
    <rPh sb="0" eb="2">
      <t>カイタ</t>
    </rPh>
    <rPh sb="3" eb="6">
      <t>ハツカイチ</t>
    </rPh>
    <rPh sb="6" eb="7">
      <t>ケイ</t>
    </rPh>
    <phoneticPr fontId="2"/>
  </si>
  <si>
    <t>←total額が落ちていることを確認する</t>
    <rPh sb="6" eb="7">
      <t>ガク</t>
    </rPh>
    <rPh sb="8" eb="9">
      <t>オ</t>
    </rPh>
    <rPh sb="16" eb="18">
      <t>カクニン</t>
    </rPh>
    <phoneticPr fontId="2"/>
  </si>
  <si>
    <t>西広島駅北口土地区画整理事業の施行における下水道工事に係る負担金（3/29)</t>
    <rPh sb="21" eb="24">
      <t>ゲスイドウ</t>
    </rPh>
    <rPh sb="24" eb="26">
      <t>コウジ</t>
    </rPh>
    <phoneticPr fontId="2"/>
  </si>
  <si>
    <t>西広島駅北口土地区画整理事業の施行における下水道工事に係る負担金(2/16)</t>
    <rPh sb="21" eb="24">
      <t>ゲスイドウ</t>
    </rPh>
    <rPh sb="24" eb="26">
      <t>コウジ</t>
    </rPh>
    <phoneticPr fontId="2"/>
  </si>
  <si>
    <t>西広島駅北口土地区画整理事業の施行における委託業務に係る負担金(2/16)</t>
    <phoneticPr fontId="2"/>
  </si>
  <si>
    <t>広島市東部地区連続立体交差事業に係る移設補償費</t>
    <rPh sb="0" eb="3">
      <t>ヒロシマシ</t>
    </rPh>
    <rPh sb="3" eb="7">
      <t>トウブチク</t>
    </rPh>
    <rPh sb="7" eb="9">
      <t>レンゾク</t>
    </rPh>
    <rPh sb="9" eb="13">
      <t>リッタイコウサ</t>
    </rPh>
    <rPh sb="13" eb="15">
      <t>ジギョウ</t>
    </rPh>
    <rPh sb="16" eb="17">
      <t>カカ</t>
    </rPh>
    <rPh sb="18" eb="23">
      <t>イセツホショウヒ</t>
    </rPh>
    <phoneticPr fontId="2"/>
  </si>
  <si>
    <t>5年度分
特定環境保全公共下水道整備事業
(補助事業現年分)の
課税支出割合</t>
    <rPh sb="5" eb="7">
      <t>トクテイ</t>
    </rPh>
    <rPh sb="7" eb="9">
      <t>カンキョウ</t>
    </rPh>
    <rPh sb="9" eb="11">
      <t>ホゼン</t>
    </rPh>
    <rPh sb="11" eb="13">
      <t>コウキョウ</t>
    </rPh>
    <rPh sb="13" eb="16">
      <t>ゲスイドウ</t>
    </rPh>
    <rPh sb="16" eb="18">
      <t>セイビ</t>
    </rPh>
    <rPh sb="18" eb="20">
      <t>ジギョウ</t>
    </rPh>
    <rPh sb="22" eb="24">
      <t>ホジョ</t>
    </rPh>
    <rPh sb="24" eb="26">
      <t>ジギョウ</t>
    </rPh>
    <rPh sb="26" eb="27">
      <t>ゲン</t>
    </rPh>
    <rPh sb="27" eb="28">
      <t>ネン</t>
    </rPh>
    <rPh sb="28" eb="29">
      <t>ブン</t>
    </rPh>
    <rPh sb="32" eb="34">
      <t>カゼイ</t>
    </rPh>
    <rPh sb="34" eb="36">
      <t>シシュツ</t>
    </rPh>
    <rPh sb="36" eb="38">
      <t>ワリアイ</t>
    </rPh>
    <phoneticPr fontId="2"/>
  </si>
  <si>
    <t>4年度分
特定環境保全公共下水道整備事業
(補助事業繰越分)の
課税支出割合</t>
    <rPh sb="1" eb="3">
      <t>ネンド</t>
    </rPh>
    <rPh sb="5" eb="7">
      <t>トクテイ</t>
    </rPh>
    <rPh sb="7" eb="9">
      <t>カンキョウ</t>
    </rPh>
    <rPh sb="9" eb="11">
      <t>ホゼン</t>
    </rPh>
    <rPh sb="26" eb="28">
      <t>クリコシ</t>
    </rPh>
    <phoneticPr fontId="2"/>
  </si>
  <si>
    <t>5,000千円×５／１０</t>
    <rPh sb="5" eb="7">
      <t>センエン</t>
    </rPh>
    <phoneticPr fontId="2"/>
  </si>
  <si>
    <t>28,000千円×５．５／１０</t>
    <rPh sb="6" eb="8">
      <t>センエン</t>
    </rPh>
    <phoneticPr fontId="2"/>
  </si>
  <si>
    <t>5年度分
農業集落排水事業
(補助事業現年分)の
課税支出割合</t>
    <rPh sb="5" eb="7">
      <t>ノウギョウ</t>
    </rPh>
    <rPh sb="7" eb="9">
      <t>シュウラク</t>
    </rPh>
    <rPh sb="9" eb="11">
      <t>ハイスイ</t>
    </rPh>
    <rPh sb="11" eb="13">
      <t>ジギョウ</t>
    </rPh>
    <rPh sb="15" eb="17">
      <t>ホジョ</t>
    </rPh>
    <rPh sb="17" eb="19">
      <t>ジギョウ</t>
    </rPh>
    <rPh sb="19" eb="20">
      <t>ゲン</t>
    </rPh>
    <rPh sb="20" eb="21">
      <t>ネン</t>
    </rPh>
    <rPh sb="21" eb="22">
      <t>ブン</t>
    </rPh>
    <rPh sb="25" eb="27">
      <t>カゼイ</t>
    </rPh>
    <rPh sb="27" eb="29">
      <t>シシュツ</t>
    </rPh>
    <rPh sb="29" eb="31">
      <t>ワリアイ</t>
    </rPh>
    <phoneticPr fontId="2"/>
  </si>
  <si>
    <t>4年度分
農業集落排水事業
(補助事業繰越分)の
課税支出割合</t>
    <rPh sb="5" eb="7">
      <t>ノウギョウ</t>
    </rPh>
    <rPh sb="7" eb="9">
      <t>シュウラク</t>
    </rPh>
    <rPh sb="9" eb="11">
      <t>ハイスイ</t>
    </rPh>
    <rPh sb="19" eb="21">
      <t>クリコシ</t>
    </rPh>
    <phoneticPr fontId="2"/>
  </si>
  <si>
    <t>5年度分
市営浄化槽事業
(補助事業現年分)の
課税支出割合</t>
    <rPh sb="5" eb="7">
      <t>シエイ</t>
    </rPh>
    <rPh sb="7" eb="9">
      <t>ジョウカ</t>
    </rPh>
    <rPh sb="9" eb="10">
      <t>ソウ</t>
    </rPh>
    <rPh sb="10" eb="12">
      <t>ジギョウ</t>
    </rPh>
    <rPh sb="14" eb="16">
      <t>ホジョ</t>
    </rPh>
    <rPh sb="16" eb="18">
      <t>ジギョウ</t>
    </rPh>
    <rPh sb="18" eb="19">
      <t>ゲン</t>
    </rPh>
    <rPh sb="19" eb="20">
      <t>ネン</t>
    </rPh>
    <rPh sb="20" eb="21">
      <t>ブン</t>
    </rPh>
    <rPh sb="24" eb="26">
      <t>カゼイ</t>
    </rPh>
    <rPh sb="26" eb="28">
      <t>シシュツ</t>
    </rPh>
    <rPh sb="28" eb="30">
      <t>ワリアイ</t>
    </rPh>
    <phoneticPr fontId="2"/>
  </si>
  <si>
    <t>4年度分
市営浄化槽事業
(補助事業繰越分)の
課税支出割合</t>
    <rPh sb="5" eb="7">
      <t>シエイ</t>
    </rPh>
    <rPh sb="7" eb="9">
      <t>ジョウカ</t>
    </rPh>
    <rPh sb="9" eb="10">
      <t>ソウ</t>
    </rPh>
    <rPh sb="18" eb="20">
      <t>クリコシ</t>
    </rPh>
    <phoneticPr fontId="2"/>
  </si>
  <si>
    <t>R4→R5　繰越なし</t>
    <rPh sb="6" eb="8">
      <t>クリコシ</t>
    </rPh>
    <phoneticPr fontId="2"/>
  </si>
  <si>
    <t>4年度分
公共下水道整備事業
(補助事業繰越分)の
課税支出割合</t>
    <rPh sb="22" eb="24">
      <t>クリコシ</t>
    </rPh>
    <phoneticPr fontId="2"/>
  </si>
  <si>
    <t>4,286,012.1千円×５／１０</t>
    <rPh sb="11" eb="13">
      <t>センエン</t>
    </rPh>
    <phoneticPr fontId="2"/>
  </si>
  <si>
    <t>13,187.9千円×５／１０</t>
    <phoneticPr fontId="2"/>
  </si>
  <si>
    <t>488,000千円×５／１０</t>
    <phoneticPr fontId="2"/>
  </si>
  <si>
    <t>1,292,000千円×５．５／１０</t>
    <rPh sb="9" eb="11">
      <t>センエン</t>
    </rPh>
    <phoneticPr fontId="2"/>
  </si>
  <si>
    <t>5年度分補助事業
の課税支出割合
（現年）</t>
    <rPh sb="18" eb="19">
      <t>ゲン</t>
    </rPh>
    <rPh sb="19" eb="20">
      <t>ネン</t>
    </rPh>
    <phoneticPr fontId="2"/>
  </si>
  <si>
    <t>5年度分起債事業
の課税支出割合
（現年）</t>
    <rPh sb="18" eb="19">
      <t>ゲン</t>
    </rPh>
    <rPh sb="19" eb="20">
      <t>ネン</t>
    </rPh>
    <phoneticPr fontId="2"/>
  </si>
  <si>
    <t>4,762,313.150千円×５／１０</t>
    <rPh sb="13" eb="14">
      <t>チ</t>
    </rPh>
    <rPh sb="14" eb="15">
      <t>エン</t>
    </rPh>
    <phoneticPr fontId="2"/>
  </si>
  <si>
    <t>60,375.850千円×５／１０</t>
    <rPh sb="10" eb="12">
      <t>センエン</t>
    </rPh>
    <phoneticPr fontId="2"/>
  </si>
  <si>
    <t>191,660千円×５．５／１０</t>
    <rPh sb="7" eb="9">
      <t>センエン</t>
    </rPh>
    <phoneticPr fontId="2"/>
  </si>
  <si>
    <t>21,525千円×５／１０</t>
    <rPh sb="6" eb="8">
      <t>センエン</t>
    </rPh>
    <phoneticPr fontId="2"/>
  </si>
  <si>
    <t>能登半島地震被災地支援経費
に対する一般会計負担額</t>
    <rPh sb="0" eb="6">
      <t>ノトハントウジシン</t>
    </rPh>
    <rPh sb="15" eb="16">
      <t>タイ</t>
    </rPh>
    <rPh sb="18" eb="20">
      <t>イッパン</t>
    </rPh>
    <rPh sb="20" eb="22">
      <t>カイケイ</t>
    </rPh>
    <rPh sb="22" eb="24">
      <t>フタン</t>
    </rPh>
    <rPh sb="24" eb="25">
      <t>ガク</t>
    </rPh>
    <phoneticPr fontId="2"/>
  </si>
  <si>
    <t>過年度に購入した固定資産の取得に伴う振替</t>
    <rPh sb="0" eb="3">
      <t>カネンド</t>
    </rPh>
    <rPh sb="4" eb="6">
      <t>コウニュウ</t>
    </rPh>
    <rPh sb="8" eb="12">
      <t>コテイシサン</t>
    </rPh>
    <rPh sb="13" eb="15">
      <t>シュトク</t>
    </rPh>
    <rPh sb="16" eb="17">
      <t>トモナ</t>
    </rPh>
    <rPh sb="18" eb="20">
      <t>フリカエ</t>
    </rPh>
    <phoneticPr fontId="2"/>
  </si>
  <si>
    <t>償却資産の所管替えに伴う除却損相当額</t>
    <rPh sb="0" eb="4">
      <t>ショウキャクシサン</t>
    </rPh>
    <rPh sb="5" eb="8">
      <t>ショカンガ</t>
    </rPh>
    <rPh sb="10" eb="11">
      <t>トモナ</t>
    </rPh>
    <rPh sb="12" eb="15">
      <t>ジョキャクソン</t>
    </rPh>
    <rPh sb="15" eb="18">
      <t>ソウトウガク</t>
    </rPh>
    <phoneticPr fontId="2"/>
  </si>
  <si>
    <t>5年度分単市事業
の課税支出割合
(現年＋繰越)</t>
    <rPh sb="18" eb="19">
      <t>ゲン</t>
    </rPh>
    <rPh sb="19" eb="20">
      <t>ネン</t>
    </rPh>
    <rPh sb="21" eb="23">
      <t>クリコシ</t>
    </rPh>
    <phoneticPr fontId="2"/>
  </si>
  <si>
    <t>5年度分排水設備事業
の課税支出割合</t>
  </si>
  <si>
    <t>5年度分諸設備新設改良
事業の課税支出割合</t>
  </si>
  <si>
    <t>5年度分市街化区域外汚水処理施設整備事業の課税支出割合</t>
    <rPh sb="4" eb="9">
      <t>シガイカクイキ</t>
    </rPh>
    <rPh sb="9" eb="10">
      <t>ソト</t>
    </rPh>
    <rPh sb="10" eb="12">
      <t>オスイ</t>
    </rPh>
    <rPh sb="12" eb="14">
      <t>ショリ</t>
    </rPh>
    <rPh sb="14" eb="16">
      <t>シセツ</t>
    </rPh>
    <rPh sb="16" eb="18">
      <t>セイビ</t>
    </rPh>
    <rPh sb="18" eb="20">
      <t>ジギョウ</t>
    </rPh>
    <phoneticPr fontId="2"/>
  </si>
  <si>
    <t>5年度分(特環)市街化区域外汚水処理施設整備事業の課税支出割合</t>
    <rPh sb="5" eb="7">
      <t>トッカン</t>
    </rPh>
    <rPh sb="8" eb="13">
      <t>シガイカクイキ</t>
    </rPh>
    <rPh sb="13" eb="14">
      <t>ソト</t>
    </rPh>
    <rPh sb="14" eb="16">
      <t>オスイ</t>
    </rPh>
    <rPh sb="16" eb="18">
      <t>ショリ</t>
    </rPh>
    <rPh sb="18" eb="20">
      <t>シセツ</t>
    </rPh>
    <rPh sb="20" eb="22">
      <t>セイビ</t>
    </rPh>
    <rPh sb="22" eb="24">
      <t>ジギョウ</t>
    </rPh>
    <phoneticPr fontId="2"/>
  </si>
  <si>
    <t>5年度分(農集)市街化区域外汚水処理施設整備事業の課税支出割合</t>
    <rPh sb="5" eb="7">
      <t>ノウシュウ</t>
    </rPh>
    <rPh sb="8" eb="13">
      <t>シガイカクイキ</t>
    </rPh>
    <rPh sb="13" eb="14">
      <t>ソト</t>
    </rPh>
    <rPh sb="14" eb="16">
      <t>オスイ</t>
    </rPh>
    <rPh sb="16" eb="18">
      <t>ショリ</t>
    </rPh>
    <rPh sb="18" eb="20">
      <t>シセツ</t>
    </rPh>
    <rPh sb="20" eb="22">
      <t>セイビ</t>
    </rPh>
    <rPh sb="22" eb="24">
      <t>ジギョウ</t>
    </rPh>
    <phoneticPr fontId="2"/>
  </si>
  <si>
    <t>5年度分(浄化槽)市街化区域外汚水処理施設整備事業の課税支出割合</t>
    <rPh sb="5" eb="8">
      <t>ジョウカソウ</t>
    </rPh>
    <rPh sb="9" eb="14">
      <t>シガイカクイキ</t>
    </rPh>
    <rPh sb="14" eb="15">
      <t>ソト</t>
    </rPh>
    <rPh sb="15" eb="17">
      <t>オスイ</t>
    </rPh>
    <rPh sb="17" eb="19">
      <t>ショリ</t>
    </rPh>
    <rPh sb="19" eb="21">
      <t>シセツ</t>
    </rPh>
    <rPh sb="21" eb="23">
      <t>セイビ</t>
    </rPh>
    <rPh sb="23" eb="25">
      <t>ジギョウ</t>
    </rPh>
    <phoneticPr fontId="2"/>
  </si>
  <si>
    <t>25,200千円×５／１０</t>
    <rPh sb="6" eb="8">
      <t>センエン</t>
    </rPh>
    <phoneticPr fontId="2"/>
  </si>
  <si>
    <t>処理場・一般・高率
（繰越分）</t>
    <rPh sb="0" eb="3">
      <t>ショリジョウ</t>
    </rPh>
    <rPh sb="4" eb="6">
      <t>イッパン</t>
    </rPh>
    <rPh sb="7" eb="9">
      <t>コウリツ</t>
    </rPh>
    <rPh sb="11" eb="13">
      <t>クリコシ</t>
    </rPh>
    <rPh sb="13" eb="14">
      <t>ブン</t>
    </rPh>
    <phoneticPr fontId="2"/>
  </si>
  <si>
    <t>12,726.2千円×１／３</t>
    <rPh sb="8" eb="10">
      <t>センエン</t>
    </rPh>
    <phoneticPr fontId="2"/>
  </si>
  <si>
    <t>管路等・補助裏単市（繰越分）</t>
    <rPh sb="0" eb="1">
      <t>カン</t>
    </rPh>
    <rPh sb="1" eb="2">
      <t>ロ</t>
    </rPh>
    <rPh sb="2" eb="3">
      <t>トウ</t>
    </rPh>
    <rPh sb="4" eb="6">
      <t>ホジョ</t>
    </rPh>
    <rPh sb="6" eb="7">
      <t>ウラ</t>
    </rPh>
    <rPh sb="7" eb="8">
      <t>タン</t>
    </rPh>
    <rPh sb="8" eb="9">
      <t>シ</t>
    </rPh>
    <rPh sb="10" eb="12">
      <t>クリコシ</t>
    </rPh>
    <rPh sb="12" eb="13">
      <t>ブン</t>
    </rPh>
    <phoneticPr fontId="2"/>
  </si>
  <si>
    <r>
      <t xml:space="preserve">5年度分
</t>
    </r>
    <r>
      <rPr>
        <sz val="10"/>
        <rFont val="ＭＳ ゴシック"/>
        <family val="3"/>
        <charset val="128"/>
      </rPr>
      <t>公共下水道整備事業</t>
    </r>
    <r>
      <rPr>
        <sz val="11"/>
        <rFont val="ＭＳ ゴシック"/>
        <family val="3"/>
        <charset val="128"/>
      </rPr>
      <t xml:space="preserve">
(補助事業現年分)の
課税支出割合</t>
    </r>
    <rPh sb="5" eb="7">
      <t>コウキョウ</t>
    </rPh>
    <rPh sb="7" eb="10">
      <t>ゲスイドウ</t>
    </rPh>
    <rPh sb="10" eb="12">
      <t>セイビ</t>
    </rPh>
    <rPh sb="12" eb="14">
      <t>ジギョウ</t>
    </rPh>
    <rPh sb="16" eb="18">
      <t>ホジョ</t>
    </rPh>
    <rPh sb="18" eb="20">
      <t>ジギョウ</t>
    </rPh>
    <rPh sb="20" eb="21">
      <t>ゲン</t>
    </rPh>
    <rPh sb="21" eb="22">
      <t>ネン</t>
    </rPh>
    <rPh sb="22" eb="23">
      <t>ブン</t>
    </rPh>
    <rPh sb="26" eb="28">
      <t>カゼイ</t>
    </rPh>
    <rPh sb="28" eb="30">
      <t>シシュツ</t>
    </rPh>
    <rPh sb="30" eb="32">
      <t>ワリアイ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</si>
</sst>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6" formatCode="#,##0_ ;[Red]\-#,##0\ "/>
    <numFmt numFmtId="177" formatCode="#,##0_ "/>
    <numFmt numFmtId="178" formatCode="#,##0.000_ ;[Red]\-#,##0.000\ "/>
    <numFmt numFmtId="179" formatCode="&quot;昭和&quot;0&quot;年度&quot;"/>
    <numFmt numFmtId="180" formatCode="&quot;&quot;&quot;平&quot;&quot;成&quot;0&quot;年度&quot;"/>
  </numFmts>
  <fonts count="60">
    <font>
      <sz val="11"/>
      <name val="ＭＳ Ｐゴシック"/>
      <family val="3"/>
      <charset val="128"/>
    </font>
    <font>
      <sz val="11"/>
      <name val="ＭＳ Ｐゴシック"/>
      <family val="3"/>
      <charset val="128"/>
    </font>
    <font>
      <sz val="6"/>
      <name val="ＭＳ Ｐゴシック"/>
      <family val="3"/>
      <charset val="128"/>
    </font>
    <font>
      <sz val="9"/>
      <name val="ＭＳ ゴシック"/>
      <family val="3"/>
      <charset val="128"/>
    </font>
    <font>
      <sz val="8"/>
      <name val="ＭＳ ゴシック"/>
      <family val="3"/>
      <charset val="128"/>
    </font>
    <font>
      <sz val="11"/>
      <name val="ＭＳ ゴシック"/>
      <family val="3"/>
      <charset val="128"/>
    </font>
    <font>
      <b/>
      <sz val="11"/>
      <name val="ＭＳ ゴシック"/>
      <family val="3"/>
      <charset val="128"/>
    </font>
    <font>
      <sz val="11"/>
      <color indexed="12"/>
      <name val="ＭＳ ゴシック"/>
      <family val="3"/>
      <charset val="128"/>
    </font>
    <font>
      <sz val="9"/>
      <color indexed="12"/>
      <name val="ＭＳ ゴシック"/>
      <family val="3"/>
      <charset val="128"/>
    </font>
    <font>
      <sz val="11"/>
      <color indexed="12"/>
      <name val="ＭＳ Ｐゴシック"/>
      <family val="3"/>
      <charset val="128"/>
    </font>
    <font>
      <sz val="9"/>
      <color indexed="50"/>
      <name val="ＭＳ ゴシック"/>
      <family val="3"/>
      <charset val="128"/>
    </font>
    <font>
      <sz val="11"/>
      <color indexed="10"/>
      <name val="ＭＳ Ｐゴシック"/>
      <family val="3"/>
      <charset val="128"/>
    </font>
    <font>
      <sz val="10"/>
      <name val="ＭＳ Ｐゴシック"/>
      <family val="3"/>
      <charset val="128"/>
    </font>
    <font>
      <sz val="9"/>
      <color indexed="10"/>
      <name val="ＭＳ ゴシック"/>
      <family val="3"/>
      <charset val="128"/>
    </font>
    <font>
      <b/>
      <sz val="12"/>
      <color indexed="10"/>
      <name val="ＭＳ Ｐゴシック"/>
      <family val="3"/>
      <charset val="128"/>
    </font>
    <font>
      <sz val="9"/>
      <name val="ＭＳ Ｐゴシック"/>
      <family val="3"/>
      <charset val="128"/>
    </font>
    <font>
      <sz val="8"/>
      <color indexed="12"/>
      <name val="ＭＳ ゴシック"/>
      <family val="3"/>
      <charset val="128"/>
    </font>
    <font>
      <sz val="10"/>
      <name val="ＭＳ ゴシック"/>
      <family val="3"/>
      <charset val="128"/>
    </font>
    <font>
      <sz val="9"/>
      <color indexed="81"/>
      <name val="ＭＳ Ｐゴシック"/>
      <family val="3"/>
      <charset val="128"/>
    </font>
    <font>
      <b/>
      <sz val="9"/>
      <color indexed="81"/>
      <name val="ＭＳ Ｐゴシック"/>
      <family val="3"/>
      <charset val="128"/>
    </font>
    <font>
      <sz val="8"/>
      <name val="ＭＳ Ｐゴシック"/>
      <family val="3"/>
      <charset val="128"/>
    </font>
    <font>
      <sz val="11"/>
      <color indexed="81"/>
      <name val="ＭＳ Ｐゴシック"/>
      <family val="3"/>
      <charset val="128"/>
    </font>
    <font>
      <sz val="10"/>
      <color indexed="81"/>
      <name val="ＭＳ Ｐゴシック"/>
      <family val="3"/>
      <charset val="128"/>
    </font>
    <font>
      <sz val="8"/>
      <color indexed="81"/>
      <name val="ＭＳ Ｐゴシック"/>
      <family val="3"/>
      <charset val="128"/>
    </font>
    <font>
      <b/>
      <sz val="11"/>
      <color indexed="10"/>
      <name val="ＭＳ Ｐゴシック"/>
      <family val="3"/>
      <charset val="128"/>
    </font>
    <font>
      <b/>
      <sz val="11"/>
      <name val="ＭＳ Ｐゴシック"/>
      <family val="3"/>
      <charset val="128"/>
    </font>
    <font>
      <sz val="9"/>
      <color rgb="FF0000FF"/>
      <name val="ＭＳ ゴシック"/>
      <family val="3"/>
      <charset val="128"/>
    </font>
    <font>
      <sz val="11"/>
      <color rgb="FF0000FF"/>
      <name val="ＭＳ Ｐゴシック"/>
      <family val="3"/>
      <charset val="128"/>
    </font>
    <font>
      <sz val="11"/>
      <color rgb="FF0000FF"/>
      <name val="ＭＳ ゴシック"/>
      <family val="3"/>
      <charset val="128"/>
    </font>
    <font>
      <sz val="9"/>
      <color rgb="FFFF0000"/>
      <name val="ＭＳ ゴシック"/>
      <family val="3"/>
      <charset val="128"/>
    </font>
    <font>
      <sz val="8"/>
      <color rgb="FFFF0000"/>
      <name val="ＭＳ ゴシック"/>
      <family val="3"/>
      <charset val="128"/>
    </font>
    <font>
      <sz val="9"/>
      <color theme="1"/>
      <name val="ＭＳ ゴシック"/>
      <family val="3"/>
      <charset val="128"/>
    </font>
    <font>
      <b/>
      <sz val="12"/>
      <name val="ＭＳ Ｐゴシック"/>
      <family val="3"/>
      <charset val="128"/>
    </font>
    <font>
      <b/>
      <sz val="9"/>
      <name val="ＭＳ Ｐゴシック"/>
      <family val="3"/>
      <charset val="128"/>
    </font>
    <font>
      <b/>
      <sz val="9"/>
      <color rgb="FF0000FF"/>
      <name val="ＭＳ Ｐゴシック"/>
      <family val="3"/>
      <charset val="128"/>
    </font>
    <font>
      <i/>
      <sz val="9"/>
      <name val="ＭＳ Ｐゴシック"/>
      <family val="3"/>
      <charset val="128"/>
    </font>
    <font>
      <b/>
      <sz val="9"/>
      <color indexed="10"/>
      <name val="ＭＳ Ｐゴシック"/>
      <family val="3"/>
      <charset val="128"/>
    </font>
    <font>
      <b/>
      <sz val="11"/>
      <color rgb="FF0000FF"/>
      <name val="ＭＳ Ｐゴシック"/>
      <family val="3"/>
      <charset val="128"/>
    </font>
    <font>
      <sz val="11"/>
      <color indexed="8"/>
      <name val="ＭＳ Ｐゴシック"/>
      <family val="3"/>
      <charset val="128"/>
    </font>
    <font>
      <sz val="11"/>
      <color indexed="9"/>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2"/>
      <name val="ＭＳ 明朝"/>
      <family val="1"/>
      <charset val="128"/>
    </font>
    <font>
      <sz val="11"/>
      <color indexed="2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9"/>
      <color rgb="FF0000FF"/>
      <name val="ＭＳ Ｐゴシック"/>
      <family val="3"/>
      <charset val="128"/>
    </font>
    <font>
      <sz val="11"/>
      <color rgb="FFFF0000"/>
      <name val="ＭＳ ゴシック"/>
      <family val="3"/>
      <charset val="128"/>
    </font>
    <font>
      <sz val="8"/>
      <color rgb="FF0000FF"/>
      <name val="ＭＳ ゴシック"/>
      <family val="3"/>
      <charset val="128"/>
    </font>
    <font>
      <b/>
      <sz val="11"/>
      <color rgb="FFFF0000"/>
      <name val="ＭＳ Ｐゴシック"/>
      <family val="3"/>
      <charset val="128"/>
    </font>
    <font>
      <b/>
      <sz val="9"/>
      <color indexed="81"/>
      <name val="MS P ゴシック"/>
      <family val="3"/>
      <charset val="128"/>
    </font>
    <font>
      <sz val="9"/>
      <color indexed="81"/>
      <name val="MS P ゴシック"/>
      <family val="3"/>
      <charset val="128"/>
    </font>
    <font>
      <sz val="8"/>
      <color indexed="81"/>
      <name val="MS P ゴシック"/>
      <family val="3"/>
      <charset val="128"/>
    </font>
  </fonts>
  <fills count="37">
    <fill>
      <patternFill patternType="none"/>
    </fill>
    <fill>
      <patternFill patternType="gray125"/>
    </fill>
    <fill>
      <patternFill patternType="solid">
        <fgColor indexed="43"/>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7C80"/>
        <bgColor indexed="64"/>
      </patternFill>
    </fill>
    <fill>
      <patternFill patternType="solid">
        <fgColor rgb="FF92D050"/>
        <bgColor indexed="64"/>
      </patternFill>
    </fill>
    <fill>
      <patternFill patternType="solid">
        <fgColor rgb="FF00CC00"/>
        <bgColor indexed="64"/>
      </patternFill>
    </fill>
    <fill>
      <patternFill patternType="solid">
        <fgColor rgb="FF00FFFF"/>
        <bgColor indexed="64"/>
      </patternFill>
    </fill>
    <fill>
      <patternFill patternType="solid">
        <fgColor rgb="FF6699FF"/>
        <bgColor indexed="64"/>
      </patternFill>
    </fill>
    <fill>
      <patternFill patternType="solid">
        <fgColor rgb="FF66FF33"/>
        <bgColor indexed="64"/>
      </patternFill>
    </fill>
    <fill>
      <patternFill patternType="solid">
        <fgColor rgb="FF00B050"/>
        <bgColor indexed="64"/>
      </patternFill>
    </fill>
    <fill>
      <patternFill patternType="solid">
        <fgColor rgb="FFFF99FF"/>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22"/>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5"/>
      </patternFill>
    </fill>
    <fill>
      <patternFill patternType="solid">
        <fgColor indexed="9"/>
      </patternFill>
    </fill>
    <fill>
      <patternFill patternType="solid">
        <fgColor rgb="FFFFFFCC"/>
        <bgColor indexed="64"/>
      </patternFill>
    </fill>
    <fill>
      <patternFill patternType="solid">
        <fgColor rgb="FFFFCCFF"/>
        <bgColor indexed="64"/>
      </patternFill>
    </fill>
    <fill>
      <patternFill patternType="solid">
        <fgColor rgb="FFFF0066"/>
        <bgColor indexed="64"/>
      </patternFill>
    </fill>
    <fill>
      <patternFill patternType="solid">
        <fgColor theme="9" tint="0.39997558519241921"/>
        <bgColor indexed="64"/>
      </patternFill>
    </fill>
    <fill>
      <patternFill patternType="solid">
        <fgColor rgb="FFFF66FF"/>
        <bgColor indexed="64"/>
      </patternFill>
    </fill>
    <fill>
      <patternFill patternType="solid">
        <fgColor rgb="FFFFFF99"/>
        <bgColor indexed="64"/>
      </patternFill>
    </fill>
    <fill>
      <patternFill patternType="solid">
        <fgColor theme="9"/>
        <bgColor indexed="64"/>
      </patternFill>
    </fill>
    <fill>
      <patternFill patternType="solid">
        <fgColor theme="7" tint="0.59999389629810485"/>
        <bgColor indexed="64"/>
      </patternFill>
    </fill>
  </fills>
  <borders count="181">
    <border>
      <left/>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top/>
      <bottom style="hair">
        <color indexed="64"/>
      </bottom>
      <diagonal/>
    </border>
    <border>
      <left style="thin">
        <color indexed="64"/>
      </left>
      <right style="thin">
        <color indexed="64"/>
      </right>
      <top/>
      <bottom style="hair">
        <color indexed="64"/>
      </bottom>
      <diagonal/>
    </border>
    <border>
      <left style="hair">
        <color indexed="64"/>
      </left>
      <right/>
      <top/>
      <bottom/>
      <diagonal/>
    </border>
    <border>
      <left style="thin">
        <color indexed="64"/>
      </left>
      <right style="thin">
        <color indexed="64"/>
      </right>
      <top style="hair">
        <color indexed="64"/>
      </top>
      <bottom/>
      <diagonal/>
    </border>
    <border>
      <left style="hair">
        <color indexed="64"/>
      </left>
      <right/>
      <top style="hair">
        <color indexed="64"/>
      </top>
      <bottom style="hair">
        <color indexed="64"/>
      </bottom>
      <diagonal/>
    </border>
    <border>
      <left style="thin">
        <color indexed="64"/>
      </left>
      <right/>
      <top style="hair">
        <color indexed="64"/>
      </top>
      <bottom/>
      <diagonal/>
    </border>
    <border>
      <left style="medium">
        <color indexed="64"/>
      </left>
      <right/>
      <top/>
      <bottom style="medium">
        <color indexed="64"/>
      </bottom>
      <diagonal/>
    </border>
    <border>
      <left style="thin">
        <color indexed="64"/>
      </left>
      <right style="thin">
        <color indexed="64"/>
      </right>
      <top style="double">
        <color indexed="64"/>
      </top>
      <bottom/>
      <diagonal/>
    </border>
    <border>
      <left style="thin">
        <color indexed="64"/>
      </left>
      <right/>
      <top style="thin">
        <color indexed="64"/>
      </top>
      <bottom/>
      <diagonal/>
    </border>
    <border>
      <left style="thin">
        <color indexed="64"/>
      </left>
      <right/>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double">
        <color indexed="64"/>
      </top>
      <bottom/>
      <diagonal/>
    </border>
    <border>
      <left style="medium">
        <color indexed="64"/>
      </left>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diagonalUp="1">
      <left style="thin">
        <color indexed="64"/>
      </left>
      <right style="thin">
        <color indexed="64"/>
      </right>
      <top style="hair">
        <color indexed="64"/>
      </top>
      <bottom style="hair">
        <color indexed="64"/>
      </bottom>
      <diagonal style="hair">
        <color indexed="64"/>
      </diagonal>
    </border>
    <border>
      <left style="thin">
        <color indexed="64"/>
      </left>
      <right style="thin">
        <color indexed="64"/>
      </right>
      <top style="hair">
        <color indexed="64"/>
      </top>
      <bottom style="hair">
        <color indexed="64"/>
      </bottom>
      <diagonal/>
    </border>
    <border diagonalUp="1">
      <left style="thin">
        <color indexed="64"/>
      </left>
      <right style="thin">
        <color indexed="64"/>
      </right>
      <top style="thin">
        <color indexed="64"/>
      </top>
      <bottom style="hair">
        <color indexed="64"/>
      </bottom>
      <diagonal style="hair">
        <color indexed="64"/>
      </diagonal>
    </border>
    <border diagonalUp="1">
      <left style="thin">
        <color indexed="64"/>
      </left>
      <right style="thin">
        <color indexed="64"/>
      </right>
      <top style="hair">
        <color indexed="64"/>
      </top>
      <bottom style="medium">
        <color indexed="64"/>
      </bottom>
      <diagonal style="hair">
        <color indexed="64"/>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hair">
        <color indexed="64"/>
      </diagonal>
    </border>
    <border>
      <left/>
      <right/>
      <top/>
      <bottom style="double">
        <color indexed="64"/>
      </bottom>
      <diagonal/>
    </border>
    <border>
      <left style="thin">
        <color indexed="64"/>
      </left>
      <right/>
      <top/>
      <bottom style="double">
        <color indexed="64"/>
      </bottom>
      <diagonal/>
    </border>
    <border>
      <left style="hair">
        <color indexed="64"/>
      </left>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hair">
        <color indexed="64"/>
      </top>
      <bottom style="thin">
        <color indexed="64"/>
      </bottom>
      <diagonal/>
    </border>
    <border diagonalUp="1">
      <left style="thin">
        <color indexed="64"/>
      </left>
      <right/>
      <top style="thin">
        <color indexed="64"/>
      </top>
      <bottom style="hair">
        <color indexed="64"/>
      </bottom>
      <diagonal style="hair">
        <color indexed="64"/>
      </diagonal>
    </border>
    <border diagonalUp="1">
      <left style="thin">
        <color indexed="64"/>
      </left>
      <right/>
      <top style="hair">
        <color indexed="64"/>
      </top>
      <bottom style="hair">
        <color indexed="64"/>
      </bottom>
      <diagonal style="hair">
        <color indexed="64"/>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hair">
        <color indexed="64"/>
      </left>
      <right style="thin">
        <color indexed="64"/>
      </right>
      <top style="hair">
        <color indexed="64"/>
      </top>
      <bottom/>
      <diagonal/>
    </border>
    <border>
      <left style="hair">
        <color indexed="64"/>
      </left>
      <right style="thin">
        <color indexed="64"/>
      </right>
      <top/>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thin">
        <color indexed="64"/>
      </top>
      <bottom style="thin">
        <color indexed="64"/>
      </bottom>
      <diagonal/>
    </border>
    <border>
      <left/>
      <right style="thin">
        <color indexed="64"/>
      </right>
      <top style="hair">
        <color indexed="64"/>
      </top>
      <bottom style="hair">
        <color indexed="64"/>
      </bottom>
      <diagonal/>
    </border>
    <border>
      <left/>
      <right style="thin">
        <color indexed="64"/>
      </right>
      <top/>
      <bottom style="thin">
        <color indexed="64"/>
      </bottom>
      <diagonal/>
    </border>
    <border>
      <left style="hair">
        <color indexed="64"/>
      </left>
      <right/>
      <top style="hair">
        <color indexed="64"/>
      </top>
      <bottom/>
      <diagonal/>
    </border>
    <border>
      <left/>
      <right style="thin">
        <color indexed="64"/>
      </right>
      <top/>
      <bottom/>
      <diagonal/>
    </border>
    <border>
      <left/>
      <right style="thin">
        <color indexed="64"/>
      </right>
      <top style="hair">
        <color indexed="64"/>
      </top>
      <bottom/>
      <diagonal/>
    </border>
    <border>
      <left style="hair">
        <color indexed="64"/>
      </left>
      <right style="hair">
        <color indexed="64"/>
      </right>
      <top style="hair">
        <color indexed="64"/>
      </top>
      <bottom style="hair">
        <color indexed="64"/>
      </bottom>
      <diagonal/>
    </border>
    <border>
      <left/>
      <right style="medium">
        <color indexed="64"/>
      </right>
      <top/>
      <bottom/>
      <diagonal/>
    </border>
    <border diagonalUp="1">
      <left style="thin">
        <color indexed="64"/>
      </left>
      <right style="thin">
        <color indexed="64"/>
      </right>
      <top style="thin">
        <color indexed="64"/>
      </top>
      <bottom/>
      <diagonal style="hair">
        <color indexed="64"/>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double">
        <color indexed="64"/>
      </bottom>
      <diagonal/>
    </border>
    <border>
      <left style="hair">
        <color indexed="64"/>
      </left>
      <right style="hair">
        <color indexed="64"/>
      </right>
      <top style="thin">
        <color indexed="64"/>
      </top>
      <bottom style="thin">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hair">
        <color indexed="64"/>
      </top>
      <bottom style="hair">
        <color indexed="64"/>
      </bottom>
      <diagonal/>
    </border>
    <border>
      <left/>
      <right/>
      <top style="hair">
        <color indexed="64"/>
      </top>
      <bottom/>
      <diagonal/>
    </border>
    <border>
      <left/>
      <right/>
      <top/>
      <bottom style="hair">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diagonalUp="1">
      <left style="thin">
        <color indexed="64"/>
      </left>
      <right style="thin">
        <color indexed="64"/>
      </right>
      <top style="hair">
        <color indexed="64"/>
      </top>
      <bottom/>
      <diagonal style="hair">
        <color indexed="64"/>
      </diagonal>
    </border>
    <border>
      <left style="medium">
        <color indexed="64"/>
      </left>
      <right style="hair">
        <color indexed="64"/>
      </right>
      <top/>
      <bottom/>
      <diagonal/>
    </border>
    <border>
      <left style="medium">
        <color indexed="64"/>
      </left>
      <right style="hair">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hair">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medium">
        <color indexed="64"/>
      </left>
      <right style="thin">
        <color indexed="64"/>
      </right>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bottom style="thin">
        <color indexed="64"/>
      </bottom>
      <diagonal/>
    </border>
    <border>
      <left style="thin">
        <color indexed="64"/>
      </left>
      <right style="hair">
        <color indexed="64"/>
      </right>
      <top style="hair">
        <color indexed="64"/>
      </top>
      <bottom style="medium">
        <color indexed="64"/>
      </bottom>
      <diagonal/>
    </border>
    <border>
      <left style="medium">
        <color indexed="64"/>
      </left>
      <right style="medium">
        <color indexed="64"/>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hair">
        <color indexed="64"/>
      </left>
      <right/>
      <top/>
      <bottom style="hair">
        <color indexed="64"/>
      </bottom>
      <diagonal/>
    </border>
    <border>
      <left/>
      <right style="thin">
        <color indexed="64"/>
      </right>
      <top/>
      <bottom style="hair">
        <color indexed="64"/>
      </bottom>
      <diagonal/>
    </border>
    <border>
      <left style="thin">
        <color indexed="64"/>
      </left>
      <right style="medium">
        <color indexed="64"/>
      </right>
      <top style="hair">
        <color indexed="64"/>
      </top>
      <bottom/>
      <diagonal/>
    </border>
    <border>
      <left style="thin">
        <color indexed="64"/>
      </left>
      <right style="medium">
        <color indexed="64"/>
      </right>
      <top/>
      <bottom style="hair">
        <color indexed="64"/>
      </bottom>
      <diagonal/>
    </border>
    <border>
      <left style="thin">
        <color indexed="64"/>
      </left>
      <right style="medium">
        <color indexed="64"/>
      </right>
      <top/>
      <bottom/>
      <diagonal/>
    </border>
    <border>
      <left style="hair">
        <color indexed="64"/>
      </left>
      <right style="thin">
        <color indexed="64"/>
      </right>
      <top/>
      <bottom style="hair">
        <color indexed="64"/>
      </bottom>
      <diagonal/>
    </border>
    <border>
      <left style="thin">
        <color indexed="64"/>
      </left>
      <right style="medium">
        <color indexed="64"/>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style="medium">
        <color indexed="64"/>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right style="medium">
        <color indexed="64"/>
      </right>
      <top style="double">
        <color indexed="64"/>
      </top>
      <bottom/>
      <diagonal/>
    </border>
    <border>
      <left/>
      <right style="medium">
        <color indexed="64"/>
      </right>
      <top/>
      <bottom style="medium">
        <color indexed="64"/>
      </bottom>
      <diagonal/>
    </border>
    <border>
      <left style="thin">
        <color indexed="64"/>
      </left>
      <right style="medium">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medium">
        <color indexed="64"/>
      </left>
      <right/>
      <top/>
      <bottom style="double">
        <color indexed="64"/>
      </bottom>
      <diagonal/>
    </border>
    <border>
      <left/>
      <right style="thin">
        <color indexed="64"/>
      </right>
      <top/>
      <bottom style="double">
        <color indexed="64"/>
      </bottom>
      <diagonal/>
    </border>
    <border>
      <left style="medium">
        <color indexed="64"/>
      </left>
      <right style="thin">
        <color indexed="64"/>
      </right>
      <top style="medium">
        <color indexed="64"/>
      </top>
      <bottom/>
      <diagonal/>
    </border>
    <border>
      <left/>
      <right/>
      <top/>
      <bottom style="thin">
        <color indexed="64"/>
      </bottom>
      <diagonal/>
    </border>
    <border>
      <left/>
      <right/>
      <top style="hair">
        <color indexed="64"/>
      </top>
      <bottom style="hair">
        <color indexed="64"/>
      </bottom>
      <diagonal/>
    </border>
    <border>
      <left style="medium">
        <color indexed="64"/>
      </left>
      <right style="thin">
        <color indexed="64"/>
      </right>
      <top/>
      <bottom style="double">
        <color indexed="64"/>
      </bottom>
      <diagonal/>
    </border>
    <border diagonalUp="1">
      <left style="thin">
        <color indexed="64"/>
      </left>
      <right style="thin">
        <color indexed="64"/>
      </right>
      <top/>
      <bottom style="hair">
        <color indexed="64"/>
      </bottom>
      <diagonal style="hair">
        <color indexed="64"/>
      </diagonal>
    </border>
    <border>
      <left style="hair">
        <color indexed="64"/>
      </left>
      <right/>
      <top/>
      <bottom style="medium">
        <color indexed="64"/>
      </bottom>
      <diagonal/>
    </border>
    <border>
      <left style="medium">
        <color indexed="64"/>
      </left>
      <right/>
      <top style="thin">
        <color indexed="64"/>
      </top>
      <bottom/>
      <diagonal/>
    </border>
    <border>
      <left style="medium">
        <color indexed="64"/>
      </left>
      <right/>
      <top/>
      <bottom style="hair">
        <color indexed="64"/>
      </bottom>
      <diagonal/>
    </border>
    <border>
      <left style="medium">
        <color indexed="64"/>
      </left>
      <right/>
      <top style="hair">
        <color indexed="64"/>
      </top>
      <bottom/>
      <diagonal/>
    </border>
    <border diagonalUp="1">
      <left style="thin">
        <color indexed="64"/>
      </left>
      <right/>
      <top style="thin">
        <color indexed="64"/>
      </top>
      <bottom/>
      <diagonal style="hair">
        <color indexed="64"/>
      </diagonal>
    </border>
    <border diagonalUp="1">
      <left style="thin">
        <color indexed="64"/>
      </left>
      <right/>
      <top/>
      <bottom style="hair">
        <color indexed="64"/>
      </bottom>
      <diagonal style="hair">
        <color indexed="64"/>
      </diagonal>
    </border>
    <border>
      <left style="thin">
        <color indexed="64"/>
      </left>
      <right style="medium">
        <color indexed="64"/>
      </right>
      <top/>
      <bottom style="thin">
        <color indexed="64"/>
      </bottom>
      <diagonal/>
    </border>
    <border diagonalUp="1">
      <left style="thin">
        <color indexed="64"/>
      </left>
      <right/>
      <top style="hair">
        <color indexed="64"/>
      </top>
      <bottom/>
      <diagonal style="hair">
        <color indexed="64"/>
      </diagonal>
    </border>
    <border>
      <left style="medium">
        <color indexed="64"/>
      </left>
      <right style="hair">
        <color indexed="64"/>
      </right>
      <top style="thin">
        <color indexed="64"/>
      </top>
      <bottom/>
      <diagonal/>
    </border>
    <border>
      <left style="medium">
        <color indexed="64"/>
      </left>
      <right style="hair">
        <color indexed="64"/>
      </right>
      <top/>
      <bottom style="thin">
        <color indexed="64"/>
      </bottom>
      <diagonal/>
    </border>
    <border>
      <left/>
      <right style="medium">
        <color indexed="64"/>
      </right>
      <top style="thin">
        <color indexed="64"/>
      </top>
      <bottom/>
      <diagonal/>
    </border>
    <border diagonalUp="1">
      <left style="thin">
        <color indexed="64"/>
      </left>
      <right style="thin">
        <color indexed="64"/>
      </right>
      <top/>
      <bottom style="thin">
        <color indexed="64"/>
      </bottom>
      <diagonal style="hair">
        <color indexed="64"/>
      </diagonal>
    </border>
    <border diagonalUp="1">
      <left style="thin">
        <color indexed="64"/>
      </left>
      <right style="thin">
        <color indexed="64"/>
      </right>
      <top/>
      <bottom style="medium">
        <color indexed="64"/>
      </bottom>
      <diagonal style="hair">
        <color indexed="64"/>
      </diagonal>
    </border>
    <border>
      <left/>
      <right style="medium">
        <color indexed="64"/>
      </right>
      <top style="hair">
        <color indexed="64"/>
      </top>
      <bottom/>
      <diagonal/>
    </border>
    <border>
      <left/>
      <right style="medium">
        <color indexed="64"/>
      </right>
      <top/>
      <bottom style="hair">
        <color indexed="64"/>
      </bottom>
      <diagonal/>
    </border>
    <border>
      <left style="hair">
        <color indexed="64"/>
      </left>
      <right/>
      <top/>
      <bottom style="thin">
        <color indexed="64"/>
      </bottom>
      <diagonal/>
    </border>
    <border>
      <left style="hair">
        <color indexed="64"/>
      </left>
      <right style="thin">
        <color indexed="64"/>
      </right>
      <top style="hair">
        <color indexed="64"/>
      </top>
      <bottom style="medium">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diagonal/>
    </border>
    <border>
      <left/>
      <right style="hair">
        <color indexed="64"/>
      </right>
      <top/>
      <bottom/>
      <diagonal/>
    </border>
    <border>
      <left/>
      <right style="hair">
        <color indexed="64"/>
      </right>
      <top/>
      <bottom style="medium">
        <color indexed="64"/>
      </bottom>
      <diagonal/>
    </border>
    <border>
      <left style="hair">
        <color indexed="64"/>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bottom style="hair">
        <color indexed="64"/>
      </bottom>
      <diagonal/>
    </border>
    <border>
      <left/>
      <right style="hair">
        <color indexed="64"/>
      </right>
      <top style="medium">
        <color indexed="64"/>
      </top>
      <bottom/>
      <diagonal/>
    </border>
    <border>
      <left/>
      <right style="hair">
        <color indexed="64"/>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thin">
        <color indexed="64"/>
      </bottom>
      <diagonal/>
    </border>
    <border>
      <left style="hair">
        <color indexed="64"/>
      </left>
      <right/>
      <top style="thin">
        <color indexed="64"/>
      </top>
      <bottom/>
      <diagonal/>
    </border>
    <border diagonalUp="1">
      <left style="thin">
        <color indexed="64"/>
      </left>
      <right style="thin">
        <color indexed="64"/>
      </right>
      <top/>
      <bottom/>
      <diagonal style="hair">
        <color indexed="64"/>
      </diagonal>
    </border>
    <border diagonalUp="1">
      <left style="thin">
        <color indexed="64"/>
      </left>
      <right style="thin">
        <color indexed="64"/>
      </right>
      <top style="hair">
        <color indexed="64"/>
      </top>
      <bottom style="thin">
        <color indexed="64"/>
      </bottom>
      <diagonal style="hair">
        <color indexed="64"/>
      </diagonal>
    </border>
    <border diagonalUp="1" diagonalDown="1">
      <left style="medium">
        <color indexed="64"/>
      </left>
      <right/>
      <top/>
      <bottom/>
      <diagonal style="hair">
        <color indexed="64"/>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diagonalUp="1">
      <left style="thin">
        <color indexed="64"/>
      </left>
      <right/>
      <top style="hair">
        <color indexed="64"/>
      </top>
      <bottom style="thin">
        <color indexed="64"/>
      </bottom>
      <diagonal style="hair">
        <color indexed="64"/>
      </diagonal>
    </border>
    <border>
      <left style="medium">
        <color indexed="64"/>
      </left>
      <right style="thin">
        <color indexed="64"/>
      </right>
      <top/>
      <bottom style="medium">
        <color indexed="64"/>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diagonalUp="1" diagonalDown="1">
      <left/>
      <right/>
      <top/>
      <bottom/>
      <diagonal style="thin">
        <color auto="1"/>
      </diagonal>
    </border>
    <border diagonalUp="1">
      <left style="thin">
        <color indexed="64"/>
      </left>
      <right style="thin">
        <color indexed="64"/>
      </right>
      <top style="hair">
        <color indexed="64"/>
      </top>
      <bottom/>
      <diagonal style="thin">
        <color indexed="64"/>
      </diagonal>
    </border>
    <border diagonalUp="1">
      <left style="thin">
        <color indexed="64"/>
      </left>
      <right style="thin">
        <color indexed="64"/>
      </right>
      <top/>
      <bottom style="hair">
        <color indexed="64"/>
      </bottom>
      <diagonal style="thin">
        <color indexed="64"/>
      </diagonal>
    </border>
    <border>
      <left style="medium">
        <color indexed="64"/>
      </left>
      <right style="hair">
        <color indexed="64"/>
      </right>
      <top style="hair">
        <color indexed="64"/>
      </top>
      <bottom/>
      <diagonal/>
    </border>
    <border>
      <left style="hair">
        <color indexed="64"/>
      </left>
      <right style="thin">
        <color indexed="64"/>
      </right>
      <top/>
      <bottom style="medium">
        <color indexed="64"/>
      </bottom>
      <diagonal/>
    </border>
    <border>
      <left style="hair">
        <color indexed="64"/>
      </left>
      <right style="hair">
        <color indexed="64"/>
      </right>
      <top/>
      <bottom style="medium">
        <color indexed="64"/>
      </bottom>
      <diagonal/>
    </border>
    <border diagonalUp="1">
      <left style="thin">
        <color indexed="64"/>
      </left>
      <right style="thin">
        <color indexed="64"/>
      </right>
      <top style="hair">
        <color indexed="64"/>
      </top>
      <bottom style="hair">
        <color indexed="64"/>
      </bottom>
      <diagonal style="thin">
        <color indexed="64"/>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45">
    <xf numFmtId="0" fontId="0" fillId="0" borderId="0"/>
    <xf numFmtId="38" fontId="1" fillId="0" borderId="0" applyFont="0" applyFill="0" applyBorder="0" applyAlignment="0" applyProtection="0"/>
    <xf numFmtId="9" fontId="1" fillId="0" borderId="0" applyFont="0" applyFill="0" applyBorder="0" applyAlignment="0" applyProtection="0">
      <alignment vertical="center"/>
    </xf>
    <xf numFmtId="0" fontId="38" fillId="13" borderId="0" applyNumberFormat="0" applyBorder="0" applyAlignment="0" applyProtection="0">
      <alignment vertical="center"/>
    </xf>
    <xf numFmtId="0" fontId="38" fillId="14"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8" fillId="15" borderId="0" applyNumberFormat="0" applyBorder="0" applyAlignment="0" applyProtection="0">
      <alignment vertical="center"/>
    </xf>
    <xf numFmtId="0" fontId="38" fillId="17" borderId="0" applyNumberFormat="0" applyBorder="0" applyAlignment="0" applyProtection="0">
      <alignment vertical="center"/>
    </xf>
    <xf numFmtId="0" fontId="38" fillId="14"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8" fillId="17" borderId="0" applyNumberFormat="0" applyBorder="0" applyAlignment="0" applyProtection="0">
      <alignment vertical="center"/>
    </xf>
    <xf numFmtId="0" fontId="38" fillId="18" borderId="0" applyNumberFormat="0" applyBorder="0" applyAlignment="0" applyProtection="0">
      <alignment vertical="center"/>
    </xf>
    <xf numFmtId="0" fontId="39" fillId="17"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39" fillId="19" borderId="0" applyNumberFormat="0" applyBorder="0" applyAlignment="0" applyProtection="0">
      <alignment vertical="center"/>
    </xf>
    <xf numFmtId="0" fontId="39" fillId="17" borderId="0" applyNumberFormat="0" applyBorder="0" applyAlignment="0" applyProtection="0">
      <alignment vertical="center"/>
    </xf>
    <xf numFmtId="0" fontId="39" fillId="14" borderId="0" applyNumberFormat="0" applyBorder="0" applyAlignment="0" applyProtection="0">
      <alignment vertical="center"/>
    </xf>
    <xf numFmtId="0" fontId="39" fillId="22"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40" fillId="0" borderId="0" applyNumberFormat="0" applyFill="0" applyBorder="0" applyAlignment="0" applyProtection="0">
      <alignment vertical="center"/>
    </xf>
    <xf numFmtId="0" fontId="41" fillId="26" borderId="156" applyNumberFormat="0" applyAlignment="0" applyProtection="0">
      <alignment vertical="center"/>
    </xf>
    <xf numFmtId="0" fontId="42" fillId="18" borderId="0" applyNumberFormat="0" applyBorder="0" applyAlignment="0" applyProtection="0">
      <alignment vertical="center"/>
    </xf>
    <xf numFmtId="0" fontId="43" fillId="15" borderId="157" applyNumberFormat="0" applyFont="0" applyAlignment="0" applyProtection="0">
      <alignment vertical="center"/>
    </xf>
    <xf numFmtId="0" fontId="11" fillId="0" borderId="158" applyNumberFormat="0" applyFill="0" applyAlignment="0" applyProtection="0">
      <alignment vertical="center"/>
    </xf>
    <xf numFmtId="0" fontId="44" fillId="27" borderId="0" applyNumberFormat="0" applyBorder="0" applyAlignment="0" applyProtection="0">
      <alignment vertical="center"/>
    </xf>
    <xf numFmtId="0" fontId="24" fillId="28" borderId="159" applyNumberFormat="0" applyAlignment="0" applyProtection="0">
      <alignment vertical="center"/>
    </xf>
    <xf numFmtId="0" fontId="11" fillId="0" borderId="0" applyNumberFormat="0" applyFill="0" applyBorder="0" applyAlignment="0" applyProtection="0">
      <alignment vertical="center"/>
    </xf>
    <xf numFmtId="0" fontId="45" fillId="0" borderId="160" applyNumberFormat="0" applyFill="0" applyAlignment="0" applyProtection="0">
      <alignment vertical="center"/>
    </xf>
    <xf numFmtId="0" fontId="46" fillId="0" borderId="161" applyNumberFormat="0" applyFill="0" applyAlignment="0" applyProtection="0">
      <alignment vertical="center"/>
    </xf>
    <xf numFmtId="0" fontId="47" fillId="0" borderId="162" applyNumberFormat="0" applyFill="0" applyAlignment="0" applyProtection="0">
      <alignment vertical="center"/>
    </xf>
    <xf numFmtId="0" fontId="47" fillId="0" borderId="0" applyNumberFormat="0" applyFill="0" applyBorder="0" applyAlignment="0" applyProtection="0">
      <alignment vertical="center"/>
    </xf>
    <xf numFmtId="0" fontId="48" fillId="0" borderId="163" applyNumberFormat="0" applyFill="0" applyAlignment="0" applyProtection="0">
      <alignment vertical="center"/>
    </xf>
    <xf numFmtId="0" fontId="49" fillId="28" borderId="164" applyNumberFormat="0" applyAlignment="0" applyProtection="0">
      <alignment vertical="center"/>
    </xf>
    <xf numFmtId="0" fontId="50" fillId="0" borderId="0" applyNumberFormat="0" applyFill="0" applyBorder="0" applyAlignment="0" applyProtection="0">
      <alignment vertical="center"/>
    </xf>
    <xf numFmtId="0" fontId="51" fillId="14" borderId="159" applyNumberFormat="0" applyAlignment="0" applyProtection="0">
      <alignment vertical="center"/>
    </xf>
    <xf numFmtId="0" fontId="52" fillId="17" borderId="0" applyNumberFormat="0" applyBorder="0" applyAlignment="0" applyProtection="0">
      <alignment vertical="center"/>
    </xf>
    <xf numFmtId="40" fontId="1" fillId="0" borderId="0" applyFont="0" applyFill="0" applyBorder="0" applyAlignment="0" applyProtection="0">
      <alignment vertical="center"/>
    </xf>
  </cellStyleXfs>
  <cellXfs count="1189">
    <xf numFmtId="0" fontId="0" fillId="0" borderId="0" xfId="0"/>
    <xf numFmtId="0" fontId="3" fillId="0" borderId="0" xfId="0" applyFont="1"/>
    <xf numFmtId="0" fontId="3" fillId="0" borderId="0" xfId="0" applyFont="1" applyBorder="1" applyAlignment="1">
      <alignment horizontal="distributed" vertical="center"/>
    </xf>
    <xf numFmtId="0" fontId="3" fillId="0" borderId="2" xfId="0" applyFont="1" applyBorder="1"/>
    <xf numFmtId="0" fontId="3" fillId="0" borderId="2" xfId="0" applyFont="1" applyBorder="1" applyAlignment="1">
      <alignment vertical="center"/>
    </xf>
    <xf numFmtId="0" fontId="3" fillId="0" borderId="3" xfId="0" applyFont="1" applyBorder="1" applyAlignment="1">
      <alignment vertical="center"/>
    </xf>
    <xf numFmtId="0" fontId="3" fillId="0" borderId="4" xfId="0" applyFont="1" applyBorder="1" applyAlignment="1">
      <alignment horizontal="distributed" vertical="center"/>
    </xf>
    <xf numFmtId="0" fontId="3" fillId="0" borderId="5" xfId="0" applyFont="1" applyBorder="1" applyAlignment="1">
      <alignment vertical="center"/>
    </xf>
    <xf numFmtId="0" fontId="3" fillId="0" borderId="6" xfId="0" applyFont="1" applyBorder="1" applyAlignment="1">
      <alignment horizontal="distributed" vertical="center"/>
    </xf>
    <xf numFmtId="0" fontId="3" fillId="0" borderId="7" xfId="0" applyFont="1" applyBorder="1" applyAlignment="1">
      <alignment vertical="center"/>
    </xf>
    <xf numFmtId="0" fontId="3" fillId="0" borderId="9" xfId="0" applyFont="1" applyBorder="1" applyAlignment="1">
      <alignment horizontal="distributed" vertical="center"/>
    </xf>
    <xf numFmtId="0" fontId="3" fillId="0" borderId="1" xfId="0" applyFont="1" applyBorder="1" applyAlignment="1">
      <alignment vertical="center"/>
    </xf>
    <xf numFmtId="0" fontId="3" fillId="0" borderId="9" xfId="0" applyFont="1" applyBorder="1"/>
    <xf numFmtId="0" fontId="3" fillId="0" borderId="11" xfId="0" applyFont="1" applyBorder="1"/>
    <xf numFmtId="0" fontId="3" fillId="0" borderId="0" xfId="0" applyFont="1" applyBorder="1" applyAlignment="1">
      <alignment horizontal="distributed" vertical="center" justifyLastLine="1"/>
    </xf>
    <xf numFmtId="0" fontId="3" fillId="0" borderId="12" xfId="0" applyFont="1" applyBorder="1"/>
    <xf numFmtId="0" fontId="3" fillId="0" borderId="4" xfId="0" applyFont="1" applyBorder="1"/>
    <xf numFmtId="0" fontId="3" fillId="0" borderId="4" xfId="0" applyFont="1" applyBorder="1" applyAlignment="1">
      <alignment horizontal="distributed" vertical="center" justifyLastLine="1"/>
    </xf>
    <xf numFmtId="0" fontId="3" fillId="0" borderId="14" xfId="0" applyFont="1" applyBorder="1"/>
    <xf numFmtId="0" fontId="3" fillId="0" borderId="15" xfId="0" applyFont="1" applyBorder="1"/>
    <xf numFmtId="0" fontId="3" fillId="0" borderId="16" xfId="0" applyFont="1" applyBorder="1"/>
    <xf numFmtId="0" fontId="6" fillId="0" borderId="0" xfId="0" applyFont="1" applyAlignment="1">
      <alignment horizontal="center"/>
    </xf>
    <xf numFmtId="0" fontId="3" fillId="0" borderId="0" xfId="0" applyFont="1" applyAlignment="1">
      <alignment horizontal="right"/>
    </xf>
    <xf numFmtId="0" fontId="5" fillId="0" borderId="0" xfId="0" applyFont="1"/>
    <xf numFmtId="0" fontId="3" fillId="0" borderId="18" xfId="0" applyFont="1" applyBorder="1" applyAlignment="1">
      <alignment horizontal="distributed" vertical="center" justifyLastLine="1"/>
    </xf>
    <xf numFmtId="0" fontId="3" fillId="0" borderId="19" xfId="0" applyFont="1" applyBorder="1" applyAlignment="1">
      <alignment horizontal="distributed" vertical="center"/>
    </xf>
    <xf numFmtId="0" fontId="5" fillId="0" borderId="24" xfId="0" applyFont="1" applyBorder="1" applyAlignment="1">
      <alignment horizontal="distributed" vertical="center" justifyLastLine="1"/>
    </xf>
    <xf numFmtId="0" fontId="5" fillId="0" borderId="25" xfId="0" applyFont="1" applyBorder="1"/>
    <xf numFmtId="0" fontId="0" fillId="0" borderId="25" xfId="0" applyBorder="1"/>
    <xf numFmtId="0" fontId="0" fillId="0" borderId="26" xfId="0" applyBorder="1"/>
    <xf numFmtId="0" fontId="5" fillId="0" borderId="26" xfId="0" applyFont="1" applyBorder="1"/>
    <xf numFmtId="0" fontId="5" fillId="0" borderId="27" xfId="0" applyFont="1" applyBorder="1" applyAlignment="1">
      <alignment horizontal="distributed" vertical="center" justifyLastLine="1"/>
    </xf>
    <xf numFmtId="0" fontId="5" fillId="0" borderId="28" xfId="0" applyFont="1" applyBorder="1" applyAlignment="1">
      <alignment horizontal="distributed" vertical="center" justifyLastLine="1"/>
    </xf>
    <xf numFmtId="0" fontId="5" fillId="0" borderId="29" xfId="0" applyFont="1" applyBorder="1" applyAlignment="1">
      <alignment horizontal="distributed" vertical="center" justifyLastLine="1"/>
    </xf>
    <xf numFmtId="0" fontId="5" fillId="0" borderId="30" xfId="0" applyFont="1" applyBorder="1" applyAlignment="1">
      <alignment horizontal="distributed" vertical="center" justifyLastLine="1"/>
    </xf>
    <xf numFmtId="0" fontId="5" fillId="0" borderId="31" xfId="0" applyFont="1" applyBorder="1" applyAlignment="1">
      <alignment horizontal="distributed" vertical="center" justifyLastLine="1"/>
    </xf>
    <xf numFmtId="176" fontId="8" fillId="0" borderId="32" xfId="0" applyNumberFormat="1" applyFont="1" applyBorder="1" applyAlignment="1">
      <alignment vertical="center"/>
    </xf>
    <xf numFmtId="0" fontId="9" fillId="0" borderId="24" xfId="0" applyFont="1" applyBorder="1"/>
    <xf numFmtId="176" fontId="3" fillId="0" borderId="33" xfId="0" applyNumberFormat="1" applyFont="1" applyBorder="1" applyAlignment="1">
      <alignment vertical="center"/>
    </xf>
    <xf numFmtId="0" fontId="3" fillId="0" borderId="34" xfId="0" applyFont="1" applyBorder="1"/>
    <xf numFmtId="0" fontId="3" fillId="0" borderId="24" xfId="0" applyFont="1" applyBorder="1" applyAlignment="1">
      <alignment horizontal="distributed" vertical="center" justifyLastLine="1"/>
    </xf>
    <xf numFmtId="0" fontId="3" fillId="0" borderId="35" xfId="0" applyFont="1" applyBorder="1" applyAlignment="1">
      <alignment horizontal="distributed" vertical="center"/>
    </xf>
    <xf numFmtId="0" fontId="3" fillId="0" borderId="36" xfId="0" applyFont="1" applyBorder="1" applyAlignment="1">
      <alignment horizontal="distributed" vertical="center"/>
    </xf>
    <xf numFmtId="0" fontId="3" fillId="0" borderId="0" xfId="0" applyFont="1" applyBorder="1" applyAlignment="1">
      <alignment horizontal="distributed" vertical="center" wrapText="1" justifyLastLine="1"/>
    </xf>
    <xf numFmtId="176" fontId="3" fillId="0" borderId="0" xfId="0" applyNumberFormat="1" applyFont="1" applyBorder="1" applyAlignment="1">
      <alignment horizontal="center"/>
    </xf>
    <xf numFmtId="176" fontId="3" fillId="0" borderId="0" xfId="0" applyNumberFormat="1" applyFont="1" applyBorder="1" applyAlignment="1">
      <alignment vertical="center"/>
    </xf>
    <xf numFmtId="0" fontId="3" fillId="0" borderId="38" xfId="0" applyFont="1" applyBorder="1" applyAlignment="1">
      <alignment vertical="center"/>
    </xf>
    <xf numFmtId="0" fontId="3" fillId="0" borderId="14" xfId="0" applyFont="1" applyBorder="1" applyAlignment="1">
      <alignment horizontal="distributed" vertical="center" justifyLastLine="1"/>
    </xf>
    <xf numFmtId="0" fontId="3" fillId="0" borderId="39" xfId="0" applyFont="1" applyBorder="1" applyAlignment="1">
      <alignment horizontal="distributed" vertical="center" justifyLastLine="1"/>
    </xf>
    <xf numFmtId="0" fontId="5" fillId="0" borderId="40" xfId="0" applyFont="1" applyBorder="1"/>
    <xf numFmtId="0" fontId="5" fillId="0" borderId="41" xfId="0" applyFont="1" applyBorder="1"/>
    <xf numFmtId="0" fontId="5" fillId="0" borderId="43" xfId="0" applyFont="1" applyBorder="1" applyAlignment="1">
      <alignment horizontal="distributed" vertical="center" justifyLastLine="1"/>
    </xf>
    <xf numFmtId="0" fontId="5" fillId="0" borderId="44" xfId="0" applyFont="1" applyBorder="1" applyAlignment="1">
      <alignment horizontal="center" vertical="center"/>
    </xf>
    <xf numFmtId="0" fontId="5" fillId="0" borderId="45" xfId="0" applyFont="1" applyBorder="1" applyAlignment="1">
      <alignment horizontal="center" vertical="center"/>
    </xf>
    <xf numFmtId="176" fontId="5" fillId="0" borderId="0" xfId="0" applyNumberFormat="1" applyFont="1"/>
    <xf numFmtId="0" fontId="3" fillId="0" borderId="12" xfId="0" applyFont="1" applyBorder="1" applyAlignment="1">
      <alignment horizontal="distributed" vertical="center"/>
    </xf>
    <xf numFmtId="0" fontId="3" fillId="0" borderId="26" xfId="0" applyFont="1" applyBorder="1" applyAlignment="1">
      <alignment horizontal="distributed" vertical="center" justifyLastLine="1"/>
    </xf>
    <xf numFmtId="0" fontId="3" fillId="0" borderId="33" xfId="0" applyFont="1" applyBorder="1" applyAlignment="1">
      <alignment horizontal="distributed" vertical="center" justifyLastLine="1"/>
    </xf>
    <xf numFmtId="0" fontId="3" fillId="0" borderId="33" xfId="0" applyFont="1" applyBorder="1" applyAlignment="1">
      <alignment horizontal="distributed" vertical="center"/>
    </xf>
    <xf numFmtId="0" fontId="3" fillId="0" borderId="33" xfId="0" applyFont="1" applyBorder="1" applyAlignment="1">
      <alignment horizontal="distributed" vertical="center" wrapText="1"/>
    </xf>
    <xf numFmtId="0" fontId="3" fillId="0" borderId="58" xfId="0" applyFont="1" applyBorder="1" applyAlignment="1">
      <alignment horizontal="distributed" vertical="center" justifyLastLine="1"/>
    </xf>
    <xf numFmtId="0" fontId="3" fillId="0" borderId="59" xfId="0" applyFont="1" applyBorder="1" applyAlignment="1">
      <alignment horizontal="distributed" vertical="center" justifyLastLine="1"/>
    </xf>
    <xf numFmtId="0" fontId="4" fillId="0" borderId="4" xfId="0" applyFont="1" applyBorder="1" applyAlignment="1">
      <alignment horizontal="distributed" vertical="center"/>
    </xf>
    <xf numFmtId="0" fontId="4" fillId="0" borderId="7" xfId="0" applyFont="1" applyBorder="1" applyAlignment="1">
      <alignment vertical="center"/>
    </xf>
    <xf numFmtId="0" fontId="4" fillId="0" borderId="7" xfId="0" applyFont="1" applyBorder="1"/>
    <xf numFmtId="0" fontId="4" fillId="0" borderId="5" xfId="0" applyFont="1" applyBorder="1" applyAlignment="1">
      <alignment vertical="center"/>
    </xf>
    <xf numFmtId="0" fontId="4" fillId="0" borderId="4" xfId="0" applyFont="1" applyBorder="1"/>
    <xf numFmtId="0" fontId="4" fillId="0" borderId="9" xfId="0" applyFont="1" applyBorder="1" applyAlignment="1">
      <alignment horizontal="distributed" vertical="center"/>
    </xf>
    <xf numFmtId="0" fontId="4" fillId="0" borderId="9" xfId="0" applyFont="1" applyBorder="1"/>
    <xf numFmtId="0" fontId="3" fillId="0" borderId="1" xfId="0" applyFont="1" applyBorder="1"/>
    <xf numFmtId="0" fontId="3" fillId="0" borderId="61" xfId="0" applyFont="1" applyBorder="1"/>
    <xf numFmtId="0" fontId="3" fillId="0" borderId="35" xfId="0" applyFont="1" applyBorder="1"/>
    <xf numFmtId="38" fontId="0" fillId="0" borderId="0" xfId="1" applyFont="1"/>
    <xf numFmtId="0" fontId="15" fillId="0" borderId="0" xfId="0" applyFont="1"/>
    <xf numFmtId="38" fontId="15" fillId="0" borderId="0" xfId="1" applyFont="1"/>
    <xf numFmtId="38" fontId="15" fillId="0" borderId="55" xfId="1" applyFont="1" applyBorder="1"/>
    <xf numFmtId="38" fontId="15" fillId="2" borderId="55" xfId="1" applyFont="1" applyFill="1" applyBorder="1"/>
    <xf numFmtId="38" fontId="15" fillId="0" borderId="55" xfId="1" applyFont="1" applyFill="1" applyBorder="1"/>
    <xf numFmtId="176" fontId="16" fillId="0" borderId="49" xfId="0" applyNumberFormat="1" applyFont="1" applyBorder="1" applyAlignment="1">
      <alignment vertical="center"/>
    </xf>
    <xf numFmtId="176" fontId="16" fillId="0" borderId="59" xfId="0" applyNumberFormat="1" applyFont="1" applyBorder="1" applyAlignment="1">
      <alignment vertical="center"/>
    </xf>
    <xf numFmtId="176" fontId="16" fillId="0" borderId="62" xfId="0" applyNumberFormat="1" applyFont="1" applyBorder="1" applyAlignment="1">
      <alignment vertical="center"/>
    </xf>
    <xf numFmtId="176" fontId="16" fillId="0" borderId="32" xfId="0" applyNumberFormat="1" applyFont="1" applyBorder="1" applyAlignment="1">
      <alignment vertical="center"/>
    </xf>
    <xf numFmtId="0" fontId="15" fillId="0" borderId="55" xfId="0" applyFont="1" applyFill="1" applyBorder="1"/>
    <xf numFmtId="0" fontId="3" fillId="0" borderId="66" xfId="0" applyFont="1" applyBorder="1" applyAlignment="1">
      <alignment horizontal="distributed" vertical="center"/>
    </xf>
    <xf numFmtId="0" fontId="3" fillId="0" borderId="67" xfId="0" applyFont="1" applyBorder="1" applyAlignment="1">
      <alignment horizontal="distributed" vertical="center"/>
    </xf>
    <xf numFmtId="0" fontId="3" fillId="0" borderId="36" xfId="0" applyFont="1" applyFill="1" applyBorder="1" applyAlignment="1">
      <alignment horizontal="distributed" vertical="center"/>
    </xf>
    <xf numFmtId="0" fontId="15" fillId="0" borderId="55" xfId="0" applyFont="1" applyFill="1" applyBorder="1" applyAlignment="1">
      <alignment shrinkToFit="1"/>
    </xf>
    <xf numFmtId="0" fontId="0" fillId="0" borderId="0" xfId="0" applyFill="1"/>
    <xf numFmtId="176" fontId="5" fillId="0" borderId="68" xfId="0" applyNumberFormat="1" applyFont="1" applyFill="1" applyBorder="1" applyAlignment="1">
      <alignment vertical="center"/>
    </xf>
    <xf numFmtId="176" fontId="5" fillId="0" borderId="69" xfId="0" applyNumberFormat="1" applyFont="1" applyFill="1" applyBorder="1" applyAlignment="1">
      <alignment vertical="center"/>
    </xf>
    <xf numFmtId="0" fontId="3" fillId="0" borderId="9" xfId="0" applyFont="1" applyBorder="1" applyAlignment="1">
      <alignment horizontal="distributed" vertical="center" justifyLastLine="1"/>
    </xf>
    <xf numFmtId="0" fontId="3" fillId="0" borderId="13" xfId="0" applyFont="1" applyBorder="1"/>
    <xf numFmtId="0" fontId="3" fillId="0" borderId="71" xfId="0" applyFont="1" applyBorder="1" applyAlignment="1">
      <alignment horizontal="distributed" vertical="center"/>
    </xf>
    <xf numFmtId="0" fontId="3" fillId="0" borderId="72" xfId="0" applyFont="1" applyBorder="1" applyAlignment="1">
      <alignment horizontal="distributed" vertical="center"/>
    </xf>
    <xf numFmtId="0" fontId="3" fillId="0" borderId="73" xfId="0" applyFont="1" applyBorder="1" applyAlignment="1">
      <alignment horizontal="distributed" vertical="center"/>
    </xf>
    <xf numFmtId="0" fontId="3" fillId="0" borderId="74" xfId="0" applyFont="1" applyBorder="1" applyAlignment="1">
      <alignment horizontal="distributed" vertical="center"/>
    </xf>
    <xf numFmtId="0" fontId="3" fillId="0" borderId="75" xfId="0" applyFont="1" applyBorder="1" applyAlignment="1">
      <alignment horizontal="distributed" vertical="center"/>
    </xf>
    <xf numFmtId="0" fontId="3" fillId="0" borderId="7" xfId="0" applyFont="1" applyBorder="1" applyAlignment="1">
      <alignment horizontal="distributed" vertical="center" justifyLastLine="1"/>
    </xf>
    <xf numFmtId="0" fontId="4" fillId="0" borderId="4" xfId="0" applyFont="1" applyBorder="1" applyAlignment="1">
      <alignment horizontal="distributed" vertical="center" justifyLastLine="1"/>
    </xf>
    <xf numFmtId="0" fontId="4" fillId="0" borderId="13" xfId="0" applyFont="1" applyBorder="1" applyAlignment="1">
      <alignment horizontal="distributed" vertical="center" justifyLastLine="1"/>
    </xf>
    <xf numFmtId="0" fontId="15" fillId="0" borderId="0" xfId="0" applyFont="1" applyFill="1"/>
    <xf numFmtId="0" fontId="3" fillId="0" borderId="0" xfId="0" applyFont="1" applyFill="1"/>
    <xf numFmtId="0" fontId="5" fillId="0" borderId="0" xfId="0" applyFont="1" applyFill="1"/>
    <xf numFmtId="176" fontId="5" fillId="0" borderId="0" xfId="0" applyNumberFormat="1" applyFont="1" applyFill="1"/>
    <xf numFmtId="176" fontId="28" fillId="0" borderId="24" xfId="0" applyNumberFormat="1" applyFont="1" applyFill="1" applyBorder="1" applyAlignment="1">
      <alignment vertical="center"/>
    </xf>
    <xf numFmtId="0" fontId="5" fillId="0" borderId="78" xfId="0" applyFont="1" applyFill="1" applyBorder="1" applyAlignment="1">
      <alignment horizontal="center" vertical="center" shrinkToFit="1"/>
    </xf>
    <xf numFmtId="0" fontId="5" fillId="0" borderId="79" xfId="0" applyFont="1" applyFill="1" applyBorder="1" applyAlignment="1">
      <alignment horizontal="distributed" vertical="center" justifyLastLine="1"/>
    </xf>
    <xf numFmtId="176" fontId="27" fillId="0" borderId="0" xfId="0" applyNumberFormat="1" applyFont="1"/>
    <xf numFmtId="176" fontId="30" fillId="0" borderId="24" xfId="0" applyNumberFormat="1" applyFont="1" applyBorder="1" applyAlignment="1">
      <alignment vertical="center"/>
    </xf>
    <xf numFmtId="0" fontId="5" fillId="0" borderId="24" xfId="0" applyFont="1" applyFill="1" applyBorder="1" applyAlignment="1">
      <alignment horizontal="distributed" vertical="center" justifyLastLine="1"/>
    </xf>
    <xf numFmtId="0" fontId="3" fillId="0" borderId="81" xfId="0" applyFont="1" applyBorder="1" applyAlignment="1">
      <alignment horizontal="distributed" vertical="center"/>
    </xf>
    <xf numFmtId="0" fontId="3" fillId="0" borderId="82" xfId="0" applyFont="1" applyBorder="1" applyAlignment="1">
      <alignment horizontal="distributed" vertical="center"/>
    </xf>
    <xf numFmtId="176" fontId="7" fillId="0" borderId="38" xfId="0" applyNumberFormat="1" applyFont="1" applyBorder="1" applyAlignment="1">
      <alignment vertical="center"/>
    </xf>
    <xf numFmtId="0" fontId="5" fillId="0" borderId="53" xfId="0" applyFont="1" applyBorder="1" applyAlignment="1">
      <alignment horizontal="distributed" vertical="center"/>
    </xf>
    <xf numFmtId="176" fontId="7" fillId="0" borderId="3" xfId="0" applyNumberFormat="1" applyFont="1" applyBorder="1" applyAlignment="1">
      <alignment vertical="center"/>
    </xf>
    <xf numFmtId="176" fontId="28" fillId="0" borderId="3" xfId="0" applyNumberFormat="1" applyFont="1" applyFill="1" applyBorder="1" applyAlignment="1">
      <alignment vertical="center"/>
    </xf>
    <xf numFmtId="179" fontId="5" fillId="0" borderId="3" xfId="0" applyNumberFormat="1" applyFont="1" applyBorder="1" applyAlignment="1">
      <alignment horizontal="center" vertical="center"/>
    </xf>
    <xf numFmtId="180" fontId="5" fillId="0" borderId="3" xfId="0" applyNumberFormat="1" applyFont="1" applyBorder="1" applyAlignment="1">
      <alignment horizontal="center" vertical="center"/>
    </xf>
    <xf numFmtId="49" fontId="5" fillId="0" borderId="24" xfId="0" applyNumberFormat="1" applyFont="1" applyBorder="1" applyAlignment="1">
      <alignment horizontal="center" vertical="center"/>
    </xf>
    <xf numFmtId="176" fontId="7" fillId="0" borderId="24" xfId="0" applyNumberFormat="1" applyFont="1" applyBorder="1" applyAlignment="1">
      <alignment vertical="center"/>
    </xf>
    <xf numFmtId="178" fontId="7" fillId="0" borderId="3" xfId="0" applyNumberFormat="1" applyFont="1" applyBorder="1" applyAlignment="1">
      <alignment vertical="center"/>
    </xf>
    <xf numFmtId="178" fontId="7" fillId="0" borderId="38" xfId="0" applyNumberFormat="1" applyFont="1" applyBorder="1" applyAlignment="1">
      <alignment vertical="center"/>
    </xf>
    <xf numFmtId="176" fontId="4" fillId="4" borderId="84" xfId="0" applyNumberFormat="1" applyFont="1" applyFill="1" applyBorder="1" applyAlignment="1">
      <alignment vertical="center"/>
    </xf>
    <xf numFmtId="176" fontId="4" fillId="4" borderId="62" xfId="0" applyNumberFormat="1" applyFont="1" applyFill="1" applyBorder="1" applyAlignment="1">
      <alignment vertical="center"/>
    </xf>
    <xf numFmtId="0" fontId="0" fillId="0" borderId="85" xfId="0" applyFill="1" applyBorder="1"/>
    <xf numFmtId="0" fontId="0" fillId="0" borderId="86" xfId="0" applyBorder="1" applyAlignment="1">
      <alignment horizontal="center"/>
    </xf>
    <xf numFmtId="0" fontId="0" fillId="0" borderId="87" xfId="0" applyFill="1" applyBorder="1"/>
    <xf numFmtId="0" fontId="0" fillId="0" borderId="88" xfId="0" applyBorder="1" applyAlignment="1">
      <alignment horizontal="center"/>
    </xf>
    <xf numFmtId="0" fontId="0" fillId="0" borderId="89" xfId="0" applyFill="1" applyBorder="1"/>
    <xf numFmtId="0" fontId="0" fillId="0" borderId="30" xfId="0" applyBorder="1" applyAlignment="1">
      <alignment horizontal="center"/>
    </xf>
    <xf numFmtId="0" fontId="0" fillId="0" borderId="85" xfId="0" applyBorder="1"/>
    <xf numFmtId="0" fontId="0" fillId="0" borderId="87" xfId="0" applyBorder="1"/>
    <xf numFmtId="0" fontId="0" fillId="0" borderId="89" xfId="0" applyBorder="1"/>
    <xf numFmtId="0" fontId="0" fillId="0" borderId="87" xfId="0" applyBorder="1" applyAlignment="1">
      <alignment horizontal="center"/>
    </xf>
    <xf numFmtId="0" fontId="0" fillId="0" borderId="87" xfId="0" applyFill="1" applyBorder="1" applyAlignment="1">
      <alignment horizontal="center"/>
    </xf>
    <xf numFmtId="0" fontId="0" fillId="0" borderId="17" xfId="0" applyBorder="1"/>
    <xf numFmtId="0" fontId="0" fillId="0" borderId="17" xfId="0" applyBorder="1" applyAlignment="1">
      <alignment horizontal="center"/>
    </xf>
    <xf numFmtId="0" fontId="0" fillId="0" borderId="10" xfId="0" applyBorder="1"/>
    <xf numFmtId="0" fontId="0" fillId="0" borderId="90" xfId="0" applyBorder="1" applyAlignment="1">
      <alignment horizontal="center"/>
    </xf>
    <xf numFmtId="0" fontId="6" fillId="0" borderId="0" xfId="0" applyFont="1" applyAlignment="1">
      <alignment horizontal="center"/>
    </xf>
    <xf numFmtId="0" fontId="0" fillId="0" borderId="0" xfId="0" applyFont="1"/>
    <xf numFmtId="0" fontId="0" fillId="0" borderId="17" xfId="0" applyFont="1" applyBorder="1" applyAlignment="1"/>
    <xf numFmtId="0" fontId="0" fillId="0" borderId="0" xfId="0" applyFont="1" applyAlignment="1"/>
    <xf numFmtId="38" fontId="0" fillId="0" borderId="17" xfId="1" applyFont="1" applyBorder="1" applyAlignment="1"/>
    <xf numFmtId="38" fontId="0" fillId="0" borderId="0" xfId="1" applyFont="1" applyAlignment="1"/>
    <xf numFmtId="38" fontId="0" fillId="0" borderId="0" xfId="1" applyFont="1" applyFill="1"/>
    <xf numFmtId="0" fontId="0" fillId="0" borderId="0" xfId="0" applyFont="1" applyFill="1"/>
    <xf numFmtId="38" fontId="27" fillId="0" borderId="0" xfId="1" applyFont="1" applyFill="1"/>
    <xf numFmtId="176" fontId="0" fillId="0" borderId="0" xfId="0" applyNumberFormat="1" applyFont="1"/>
    <xf numFmtId="0" fontId="3" fillId="0" borderId="8" xfId="0" applyFont="1" applyBorder="1" applyAlignment="1">
      <alignment horizontal="distributed" vertical="center"/>
    </xf>
    <xf numFmtId="0" fontId="3" fillId="0" borderId="13" xfId="0" applyFont="1" applyBorder="1" applyAlignment="1">
      <alignment horizontal="distributed" vertical="center"/>
    </xf>
    <xf numFmtId="0" fontId="3" fillId="0" borderId="10" xfId="0" applyFont="1" applyBorder="1" applyAlignment="1">
      <alignment horizontal="distributed" vertical="center"/>
    </xf>
    <xf numFmtId="0" fontId="3" fillId="0" borderId="0" xfId="0" applyFont="1" applyBorder="1" applyAlignment="1">
      <alignment horizontal="distributed" vertical="center"/>
    </xf>
    <xf numFmtId="176" fontId="5" fillId="3" borderId="3" xfId="0" applyNumberFormat="1" applyFont="1" applyFill="1" applyBorder="1" applyAlignment="1">
      <alignment vertical="center"/>
    </xf>
    <xf numFmtId="0" fontId="3" fillId="0" borderId="17" xfId="0" applyFont="1" applyBorder="1" applyAlignment="1">
      <alignment horizontal="distributed" vertical="center"/>
    </xf>
    <xf numFmtId="0" fontId="3" fillId="0" borderId="7" xfId="0" applyFont="1" applyBorder="1" applyAlignment="1">
      <alignment vertical="center"/>
    </xf>
    <xf numFmtId="0" fontId="3" fillId="0" borderId="38" xfId="0" applyFont="1" applyBorder="1" applyAlignment="1">
      <alignment vertical="center"/>
    </xf>
    <xf numFmtId="0" fontId="4" fillId="0" borderId="4" xfId="0" applyFont="1" applyBorder="1" applyAlignment="1">
      <alignment horizontal="distributed" vertical="center"/>
    </xf>
    <xf numFmtId="0" fontId="3" fillId="0" borderId="9" xfId="0" applyFont="1" applyBorder="1" applyAlignment="1">
      <alignment horizontal="distributed" vertical="center"/>
    </xf>
    <xf numFmtId="0" fontId="3" fillId="0" borderId="4" xfId="0" applyFont="1" applyBorder="1" applyAlignment="1">
      <alignment horizontal="distributed" vertical="center"/>
    </xf>
    <xf numFmtId="0" fontId="3" fillId="0" borderId="5" xfId="0" applyFont="1" applyBorder="1" applyAlignment="1">
      <alignment vertical="center"/>
    </xf>
    <xf numFmtId="0" fontId="4" fillId="0" borderId="13" xfId="0" applyFont="1" applyBorder="1" applyAlignment="1">
      <alignment horizontal="distributed" vertical="center"/>
    </xf>
    <xf numFmtId="0" fontId="3" fillId="0" borderId="6" xfId="0" applyFont="1" applyBorder="1" applyAlignment="1">
      <alignment horizontal="distributed" vertical="center"/>
    </xf>
    <xf numFmtId="0" fontId="6" fillId="0" borderId="0" xfId="0" applyFont="1" applyAlignment="1">
      <alignment horizontal="center"/>
    </xf>
    <xf numFmtId="0" fontId="3" fillId="0" borderId="5" xfId="0" applyFont="1" applyBorder="1" applyAlignment="1">
      <alignment horizontal="distributed" vertical="center" justifyLastLine="1"/>
    </xf>
    <xf numFmtId="0" fontId="3" fillId="0" borderId="70" xfId="0" applyFont="1" applyBorder="1" applyAlignment="1">
      <alignment horizontal="distributed" vertical="center"/>
    </xf>
    <xf numFmtId="0" fontId="4" fillId="0" borderId="7" xfId="0" applyFont="1" applyBorder="1" applyAlignment="1">
      <alignment vertical="center"/>
    </xf>
    <xf numFmtId="0" fontId="4" fillId="0" borderId="5" xfId="0" applyFont="1" applyBorder="1" applyAlignment="1">
      <alignment vertical="center"/>
    </xf>
    <xf numFmtId="0" fontId="3" fillId="0" borderId="0" xfId="0" applyFont="1" applyBorder="1" applyAlignment="1">
      <alignment horizontal="distributed" vertical="center"/>
    </xf>
    <xf numFmtId="38" fontId="6" fillId="0" borderId="0" xfId="1" applyFont="1" applyAlignment="1">
      <alignment horizontal="center"/>
    </xf>
    <xf numFmtId="38" fontId="6" fillId="0" borderId="0" xfId="1" applyFont="1" applyFill="1" applyAlignment="1">
      <alignment horizontal="center"/>
    </xf>
    <xf numFmtId="38" fontId="3" fillId="0" borderId="0" xfId="1" applyFont="1"/>
    <xf numFmtId="38" fontId="3" fillId="0" borderId="0" xfId="1" applyFont="1" applyFill="1"/>
    <xf numFmtId="38" fontId="3" fillId="0" borderId="0" xfId="1" applyFont="1" applyFill="1" applyAlignment="1">
      <alignment horizontal="right"/>
    </xf>
    <xf numFmtId="38" fontId="3" fillId="0" borderId="1" xfId="1" applyFont="1" applyFill="1" applyBorder="1" applyAlignment="1">
      <alignment horizontal="distributed" vertical="center" justifyLastLine="1"/>
    </xf>
    <xf numFmtId="38" fontId="0" fillId="0" borderId="17" xfId="1" applyFont="1" applyFill="1" applyBorder="1" applyAlignment="1"/>
    <xf numFmtId="38" fontId="0" fillId="0" borderId="0" xfId="1" applyFont="1" applyFill="1" applyAlignment="1"/>
    <xf numFmtId="38" fontId="3" fillId="0" borderId="18" xfId="1" applyFont="1" applyFill="1" applyBorder="1" applyAlignment="1">
      <alignment horizontal="distributed" vertical="center" justifyLastLine="1"/>
    </xf>
    <xf numFmtId="38" fontId="0" fillId="0" borderId="0" xfId="1" applyFont="1" applyFill="1" applyAlignment="1">
      <alignment horizontal="center"/>
    </xf>
    <xf numFmtId="38" fontId="3" fillId="0" borderId="57" xfId="1" applyFont="1" applyFill="1" applyBorder="1" applyAlignment="1">
      <alignment vertical="center"/>
    </xf>
    <xf numFmtId="38" fontId="3" fillId="0" borderId="17" xfId="1" applyFont="1" applyBorder="1" applyAlignment="1">
      <alignment horizontal="distributed" vertical="center"/>
    </xf>
    <xf numFmtId="38" fontId="3" fillId="0" borderId="38" xfId="1" applyFont="1" applyFill="1" applyBorder="1" applyAlignment="1">
      <alignment vertical="center"/>
    </xf>
    <xf numFmtId="38" fontId="3" fillId="0" borderId="20" xfId="1" applyFont="1" applyFill="1" applyBorder="1"/>
    <xf numFmtId="38" fontId="3" fillId="0" borderId="80" xfId="1" applyFont="1" applyFill="1" applyBorder="1"/>
    <xf numFmtId="38" fontId="3" fillId="0" borderId="23" xfId="1" applyFont="1" applyFill="1" applyBorder="1" applyAlignment="1">
      <alignment vertical="center"/>
    </xf>
    <xf numFmtId="38" fontId="15" fillId="0" borderId="0" xfId="1" applyFont="1" applyFill="1"/>
    <xf numFmtId="9" fontId="0" fillId="0" borderId="0" xfId="2" applyFont="1" applyFill="1" applyAlignment="1">
      <alignment horizontal="center"/>
    </xf>
    <xf numFmtId="38" fontId="3" fillId="0" borderId="0" xfId="1" applyFont="1" applyAlignment="1">
      <alignment horizontal="right"/>
    </xf>
    <xf numFmtId="38" fontId="3" fillId="0" borderId="18" xfId="1" applyFont="1" applyBorder="1" applyAlignment="1">
      <alignment horizontal="distributed" vertical="center" justifyLastLine="1"/>
    </xf>
    <xf numFmtId="38" fontId="0" fillId="0" borderId="20" xfId="1" applyFont="1" applyFill="1" applyBorder="1"/>
    <xf numFmtId="38" fontId="17" fillId="0" borderId="57" xfId="1" applyFont="1" applyBorder="1"/>
    <xf numFmtId="38" fontId="17" fillId="0" borderId="20" xfId="1" applyFont="1" applyBorder="1"/>
    <xf numFmtId="38" fontId="5" fillId="0" borderId="0" xfId="1" applyFont="1"/>
    <xf numFmtId="38" fontId="3" fillId="0" borderId="14" xfId="1" applyFont="1" applyFill="1" applyBorder="1" applyAlignment="1">
      <alignment horizontal="distributed" vertical="center" justifyLastLine="1"/>
    </xf>
    <xf numFmtId="38" fontId="3" fillId="0" borderId="39" xfId="1" applyFont="1" applyFill="1" applyBorder="1" applyAlignment="1">
      <alignment horizontal="distributed" vertical="center" justifyLastLine="1"/>
    </xf>
    <xf numFmtId="38" fontId="3" fillId="0" borderId="22" xfId="1" applyFont="1" applyFill="1" applyBorder="1" applyAlignment="1">
      <alignment vertical="center"/>
    </xf>
    <xf numFmtId="9" fontId="0" fillId="0" borderId="0" xfId="2" applyFont="1" applyAlignment="1">
      <alignment horizontal="center"/>
    </xf>
    <xf numFmtId="9" fontId="0" fillId="0" borderId="0" xfId="2" applyFont="1" applyFill="1" applyBorder="1" applyAlignment="1">
      <alignment horizontal="center"/>
    </xf>
    <xf numFmtId="38" fontId="3" fillId="6" borderId="21" xfId="1" applyFont="1" applyFill="1" applyBorder="1" applyAlignment="1">
      <alignment vertical="center"/>
    </xf>
    <xf numFmtId="38" fontId="3" fillId="6" borderId="83" xfId="1" applyFont="1" applyFill="1" applyBorder="1" applyAlignment="1">
      <alignment vertical="center"/>
    </xf>
    <xf numFmtId="38" fontId="5" fillId="0" borderId="40" xfId="1" applyFont="1" applyFill="1" applyBorder="1"/>
    <xf numFmtId="38" fontId="5" fillId="0" borderId="41" xfId="1" applyFont="1" applyFill="1" applyBorder="1"/>
    <xf numFmtId="0" fontId="3" fillId="0" borderId="17" xfId="0" applyFont="1" applyFill="1" applyBorder="1" applyAlignment="1">
      <alignment horizontal="distributed" vertical="center"/>
    </xf>
    <xf numFmtId="38" fontId="4" fillId="0" borderId="38" xfId="1" applyFont="1" applyFill="1" applyBorder="1" applyAlignment="1"/>
    <xf numFmtId="38" fontId="8" fillId="0" borderId="98" xfId="1" applyFont="1" applyFill="1" applyBorder="1" applyAlignment="1">
      <alignment vertical="center"/>
    </xf>
    <xf numFmtId="38" fontId="4" fillId="0" borderId="38" xfId="1" applyFont="1" applyFill="1" applyBorder="1" applyAlignment="1">
      <alignment vertical="top"/>
    </xf>
    <xf numFmtId="38" fontId="4" fillId="0" borderId="37" xfId="1" applyFont="1" applyFill="1" applyBorder="1" applyAlignment="1">
      <alignment vertical="top"/>
    </xf>
    <xf numFmtId="38" fontId="8" fillId="0" borderId="37" xfId="1" applyFont="1" applyFill="1" applyBorder="1" applyAlignment="1">
      <alignment vertical="center"/>
    </xf>
    <xf numFmtId="38" fontId="8" fillId="0" borderId="127" xfId="1" applyFont="1" applyFill="1" applyBorder="1" applyAlignment="1">
      <alignment vertical="center"/>
    </xf>
    <xf numFmtId="0" fontId="5" fillId="0" borderId="17" xfId="0" applyFont="1" applyFill="1" applyBorder="1"/>
    <xf numFmtId="38" fontId="0" fillId="0" borderId="3" xfId="1" applyFont="1" applyFill="1" applyBorder="1"/>
    <xf numFmtId="38" fontId="0" fillId="0" borderId="107" xfId="1" applyFont="1" applyFill="1" applyBorder="1"/>
    <xf numFmtId="0" fontId="5" fillId="0" borderId="10" xfId="0" applyFont="1" applyFill="1" applyBorder="1"/>
    <xf numFmtId="38" fontId="4" fillId="0" borderId="2" xfId="1" applyFont="1" applyFill="1" applyBorder="1" applyAlignment="1">
      <alignment vertical="top"/>
    </xf>
    <xf numFmtId="38" fontId="8" fillId="0" borderId="2" xfId="1" applyFont="1" applyFill="1" applyBorder="1" applyAlignment="1">
      <alignment vertical="center"/>
    </xf>
    <xf numFmtId="38" fontId="8" fillId="0" borderId="64" xfId="1" applyFont="1" applyFill="1" applyBorder="1" applyAlignment="1">
      <alignment vertical="center"/>
    </xf>
    <xf numFmtId="38" fontId="14" fillId="0" borderId="0" xfId="1" applyFont="1" applyFill="1"/>
    <xf numFmtId="38" fontId="3" fillId="0" borderId="98" xfId="1" applyFont="1" applyFill="1" applyBorder="1" applyAlignment="1">
      <alignment vertical="center"/>
    </xf>
    <xf numFmtId="38" fontId="3" fillId="0" borderId="37" xfId="1" applyFont="1" applyFill="1" applyBorder="1" applyAlignment="1">
      <alignment vertical="center"/>
    </xf>
    <xf numFmtId="38" fontId="3" fillId="0" borderId="127" xfId="1" applyFont="1" applyFill="1" applyBorder="1" applyAlignment="1">
      <alignment vertical="center"/>
    </xf>
    <xf numFmtId="38" fontId="3" fillId="0" borderId="2" xfId="1" applyFont="1" applyFill="1" applyBorder="1" applyAlignment="1">
      <alignment vertical="center"/>
    </xf>
    <xf numFmtId="38" fontId="3" fillId="0" borderId="64" xfId="1" applyFont="1" applyFill="1" applyBorder="1" applyAlignment="1">
      <alignment vertical="center"/>
    </xf>
    <xf numFmtId="38" fontId="32" fillId="0" borderId="0" xfId="1" applyFont="1" applyFill="1"/>
    <xf numFmtId="38" fontId="0" fillId="3" borderId="0" xfId="1" applyFont="1" applyFill="1"/>
    <xf numFmtId="38" fontId="3" fillId="0" borderId="38" xfId="1" applyFont="1" applyFill="1" applyBorder="1" applyAlignment="1">
      <alignment vertical="top"/>
    </xf>
    <xf numFmtId="38" fontId="3" fillId="0" borderId="38" xfId="1" applyFont="1" applyFill="1" applyBorder="1" applyAlignment="1"/>
    <xf numFmtId="38" fontId="3" fillId="0" borderId="2" xfId="1" applyFont="1" applyFill="1" applyBorder="1" applyAlignment="1">
      <alignment vertical="top"/>
    </xf>
    <xf numFmtId="38" fontId="4" fillId="3" borderId="5" xfId="1" applyFont="1" applyFill="1" applyBorder="1" applyAlignment="1"/>
    <xf numFmtId="38" fontId="4" fillId="3" borderId="7" xfId="1" applyFont="1" applyFill="1" applyBorder="1" applyAlignment="1">
      <alignment vertical="top"/>
    </xf>
    <xf numFmtId="38" fontId="3" fillId="3" borderId="5" xfId="1" applyFont="1" applyFill="1" applyBorder="1" applyAlignment="1"/>
    <xf numFmtId="38" fontId="3" fillId="3" borderId="7" xfId="1" applyFont="1" applyFill="1" applyBorder="1" applyAlignment="1">
      <alignment vertical="top"/>
    </xf>
    <xf numFmtId="38" fontId="27" fillId="3" borderId="0" xfId="1" applyFont="1" applyFill="1"/>
    <xf numFmtId="176" fontId="0" fillId="0" borderId="0" xfId="0" applyNumberFormat="1" applyFill="1"/>
    <xf numFmtId="176" fontId="5" fillId="3" borderId="24" xfId="0" applyNumberFormat="1" applyFont="1" applyFill="1" applyBorder="1" applyAlignment="1">
      <alignment vertical="center"/>
    </xf>
    <xf numFmtId="176" fontId="5" fillId="3" borderId="77" xfId="0" applyNumberFormat="1" applyFont="1" applyFill="1" applyBorder="1" applyAlignment="1">
      <alignment vertical="center"/>
    </xf>
    <xf numFmtId="38" fontId="17" fillId="0" borderId="21" xfId="1" applyFont="1" applyFill="1" applyBorder="1"/>
    <xf numFmtId="38" fontId="17" fillId="0" borderId="21" xfId="1" applyFont="1" applyBorder="1"/>
    <xf numFmtId="38" fontId="17" fillId="0" borderId="2" xfId="1" applyFont="1" applyBorder="1"/>
    <xf numFmtId="176" fontId="5" fillId="8" borderId="24" xfId="0" applyNumberFormat="1" applyFont="1" applyFill="1" applyBorder="1" applyAlignment="1">
      <alignment vertical="center"/>
    </xf>
    <xf numFmtId="38" fontId="0" fillId="8" borderId="0" xfId="1" applyFont="1" applyFill="1"/>
    <xf numFmtId="38" fontId="17" fillId="3" borderId="21" xfId="1" applyFont="1" applyFill="1" applyBorder="1"/>
    <xf numFmtId="38" fontId="17" fillId="0" borderId="57" xfId="1" applyFont="1" applyFill="1" applyBorder="1"/>
    <xf numFmtId="38" fontId="17" fillId="0" borderId="20" xfId="1" applyFont="1" applyFill="1" applyBorder="1"/>
    <xf numFmtId="0" fontId="3" fillId="0" borderId="10" xfId="0" applyFont="1" applyFill="1" applyBorder="1" applyAlignment="1">
      <alignment horizontal="distributed" vertical="center"/>
    </xf>
    <xf numFmtId="38" fontId="5" fillId="0" borderId="0" xfId="1" applyFont="1" applyFill="1"/>
    <xf numFmtId="0" fontId="5" fillId="0" borderId="43" xfId="0" applyFont="1" applyFill="1" applyBorder="1" applyAlignment="1">
      <alignment horizontal="distributed" vertical="center" justifyLastLine="1"/>
    </xf>
    <xf numFmtId="0" fontId="5" fillId="0" borderId="44" xfId="0" applyFont="1" applyFill="1" applyBorder="1" applyAlignment="1">
      <alignment horizontal="center" vertical="center"/>
    </xf>
    <xf numFmtId="0" fontId="5" fillId="0" borderId="45" xfId="0" applyFont="1" applyFill="1" applyBorder="1" applyAlignment="1">
      <alignment horizontal="center" vertical="center"/>
    </xf>
    <xf numFmtId="176" fontId="5" fillId="0" borderId="77" xfId="0" applyNumberFormat="1" applyFont="1" applyFill="1" applyBorder="1" applyAlignment="1">
      <alignment vertical="center"/>
    </xf>
    <xf numFmtId="176" fontId="5" fillId="0" borderId="24" xfId="0" applyNumberFormat="1" applyFont="1" applyFill="1" applyBorder="1" applyAlignment="1">
      <alignment vertical="center"/>
    </xf>
    <xf numFmtId="38" fontId="17" fillId="0" borderId="2" xfId="1" applyFont="1" applyFill="1" applyBorder="1"/>
    <xf numFmtId="38" fontId="0" fillId="0" borderId="21" xfId="1" applyFont="1" applyFill="1" applyBorder="1" applyAlignment="1">
      <alignment vertical="center"/>
    </xf>
    <xf numFmtId="38" fontId="0" fillId="0" borderId="22" xfId="1" applyFont="1" applyFill="1" applyBorder="1"/>
    <xf numFmtId="0" fontId="3" fillId="0" borderId="2" xfId="0" applyFont="1" applyFill="1" applyBorder="1" applyAlignment="1">
      <alignment vertical="center"/>
    </xf>
    <xf numFmtId="0" fontId="12" fillId="0" borderId="0" xfId="0" applyFont="1" applyFill="1"/>
    <xf numFmtId="38" fontId="0" fillId="9" borderId="21" xfId="1" applyFont="1" applyFill="1" applyBorder="1" applyAlignment="1">
      <alignment vertical="center"/>
    </xf>
    <xf numFmtId="0" fontId="15" fillId="3" borderId="55" xfId="0" applyFont="1" applyFill="1" applyBorder="1" applyAlignment="1">
      <alignment shrinkToFit="1"/>
    </xf>
    <xf numFmtId="38" fontId="15" fillId="3" borderId="55" xfId="1" applyFont="1" applyFill="1" applyBorder="1"/>
    <xf numFmtId="0" fontId="33" fillId="0" borderId="0" xfId="0" applyFont="1"/>
    <xf numFmtId="38" fontId="15" fillId="0" borderId="0" xfId="0" applyNumberFormat="1" applyFont="1"/>
    <xf numFmtId="38" fontId="15" fillId="0" borderId="0" xfId="0" applyNumberFormat="1" applyFont="1" applyFill="1"/>
    <xf numFmtId="38" fontId="15" fillId="0" borderId="8" xfId="1" applyFont="1" applyBorder="1"/>
    <xf numFmtId="38" fontId="15" fillId="0" borderId="76" xfId="1" applyFont="1" applyBorder="1"/>
    <xf numFmtId="176" fontId="3" fillId="0" borderId="3" xfId="0" applyNumberFormat="1" applyFont="1" applyBorder="1" applyAlignment="1">
      <alignment vertical="center"/>
    </xf>
    <xf numFmtId="176" fontId="3" fillId="0" borderId="38" xfId="0" applyNumberFormat="1" applyFont="1" applyBorder="1" applyAlignment="1">
      <alignment vertical="center"/>
    </xf>
    <xf numFmtId="176" fontId="3" fillId="0" borderId="37" xfId="0" applyNumberFormat="1" applyFont="1" applyBorder="1" applyAlignment="1">
      <alignment vertical="center"/>
    </xf>
    <xf numFmtId="176" fontId="3" fillId="10" borderId="18" xfId="0" applyNumberFormat="1" applyFont="1" applyFill="1" applyBorder="1" applyAlignment="1">
      <alignment vertical="center"/>
    </xf>
    <xf numFmtId="176" fontId="3" fillId="10" borderId="21" xfId="0" applyNumberFormat="1" applyFont="1" applyFill="1" applyBorder="1" applyAlignment="1">
      <alignment vertical="center"/>
    </xf>
    <xf numFmtId="176" fontId="3" fillId="10" borderId="61" xfId="0" applyNumberFormat="1" applyFont="1" applyFill="1" applyBorder="1" applyAlignment="1">
      <alignment vertical="center"/>
    </xf>
    <xf numFmtId="176" fontId="3" fillId="10" borderId="24" xfId="0" applyNumberFormat="1" applyFont="1" applyFill="1" applyBorder="1" applyAlignment="1">
      <alignment vertical="center"/>
    </xf>
    <xf numFmtId="176" fontId="4" fillId="3" borderId="84" xfId="0" applyNumberFormat="1" applyFont="1" applyFill="1" applyBorder="1" applyAlignment="1">
      <alignment vertical="center"/>
    </xf>
    <xf numFmtId="176" fontId="4" fillId="3" borderId="62" xfId="0" applyNumberFormat="1" applyFont="1" applyFill="1" applyBorder="1" applyAlignment="1">
      <alignment vertical="center"/>
    </xf>
    <xf numFmtId="38" fontId="3" fillId="11" borderId="21" xfId="1" applyFont="1" applyFill="1" applyBorder="1" applyAlignment="1">
      <alignment vertical="center"/>
    </xf>
    <xf numFmtId="9" fontId="0" fillId="0" borderId="0" xfId="0" applyNumberFormat="1" applyFont="1" applyAlignment="1">
      <alignment horizontal="center"/>
    </xf>
    <xf numFmtId="0" fontId="0" fillId="0" borderId="72" xfId="0" applyFont="1" applyBorder="1" applyAlignment="1">
      <alignment vertical="center"/>
    </xf>
    <xf numFmtId="38" fontId="3" fillId="8" borderId="0" xfId="1" applyFont="1" applyFill="1" applyBorder="1" applyAlignment="1">
      <alignment horizontal="right"/>
    </xf>
    <xf numFmtId="38" fontId="3" fillId="12" borderId="0" xfId="1" applyFont="1" applyFill="1" applyBorder="1" applyAlignment="1">
      <alignment horizontal="right"/>
    </xf>
    <xf numFmtId="0" fontId="3" fillId="0" borderId="1" xfId="0" applyFont="1" applyBorder="1" applyAlignment="1">
      <alignment horizontal="distributed" vertical="center" justifyLastLine="1"/>
    </xf>
    <xf numFmtId="0" fontId="3" fillId="0" borderId="6" xfId="0" applyFont="1" applyBorder="1" applyAlignment="1">
      <alignment horizontal="distributed" vertical="center"/>
    </xf>
    <xf numFmtId="0" fontId="3" fillId="0" borderId="10" xfId="0" applyFont="1" applyBorder="1" applyAlignment="1">
      <alignment horizontal="distributed" vertical="center"/>
    </xf>
    <xf numFmtId="38" fontId="3" fillId="0" borderId="6" xfId="1" applyFont="1" applyBorder="1" applyAlignment="1">
      <alignment horizontal="distributed" vertical="center"/>
    </xf>
    <xf numFmtId="38" fontId="3" fillId="0" borderId="1" xfId="1" applyFont="1" applyFill="1" applyBorder="1" applyAlignment="1">
      <alignment horizontal="distributed" vertical="center" justifyLastLine="1"/>
    </xf>
    <xf numFmtId="0" fontId="3" fillId="0" borderId="124" xfId="0" applyFont="1" applyBorder="1" applyAlignment="1">
      <alignment horizontal="distributed" vertical="center"/>
    </xf>
    <xf numFmtId="38" fontId="3" fillId="0" borderId="80" xfId="1" applyFont="1" applyFill="1" applyBorder="1" applyAlignment="1">
      <alignment vertical="center"/>
    </xf>
    <xf numFmtId="38" fontId="3" fillId="0" borderId="20" xfId="1" applyFont="1" applyFill="1" applyBorder="1" applyAlignment="1">
      <alignment vertical="center"/>
    </xf>
    <xf numFmtId="0" fontId="3" fillId="0" borderId="17" xfId="0" applyFont="1" applyBorder="1" applyAlignment="1">
      <alignment horizontal="distributed" vertical="center"/>
    </xf>
    <xf numFmtId="38" fontId="0" fillId="0" borderId="0" xfId="0" applyNumberFormat="1" applyFont="1"/>
    <xf numFmtId="38" fontId="20" fillId="0" borderId="0" xfId="0" applyNumberFormat="1" applyFont="1"/>
    <xf numFmtId="38" fontId="3" fillId="11" borderId="38" xfId="1" applyFont="1" applyFill="1" applyBorder="1" applyAlignment="1">
      <alignment vertical="center"/>
    </xf>
    <xf numFmtId="38" fontId="15" fillId="0" borderId="0" xfId="1" applyFont="1" applyFill="1" applyAlignment="1">
      <alignment horizontal="right"/>
    </xf>
    <xf numFmtId="38" fontId="15" fillId="0" borderId="0" xfId="1" applyFont="1" applyFill="1" applyAlignment="1">
      <alignment horizontal="center"/>
    </xf>
    <xf numFmtId="38" fontId="15" fillId="11" borderId="0" xfId="1" applyFont="1" applyFill="1"/>
    <xf numFmtId="38" fontId="15" fillId="0" borderId="17" xfId="1" applyFont="1" applyFill="1" applyBorder="1" applyAlignment="1"/>
    <xf numFmtId="38" fontId="15" fillId="0" borderId="0" xfId="1" applyFont="1" applyFill="1" applyAlignment="1"/>
    <xf numFmtId="9" fontId="15" fillId="0" borderId="0" xfId="2" applyFont="1" applyFill="1" applyAlignment="1">
      <alignment horizontal="center"/>
    </xf>
    <xf numFmtId="38" fontId="15" fillId="6" borderId="0" xfId="1" applyFont="1" applyFill="1"/>
    <xf numFmtId="38" fontId="15" fillId="0" borderId="10" xfId="1" applyFont="1" applyBorder="1"/>
    <xf numFmtId="9" fontId="15" fillId="0" borderId="0" xfId="2" applyFont="1" applyFill="1" applyBorder="1" applyAlignment="1">
      <alignment horizontal="center"/>
    </xf>
    <xf numFmtId="0" fontId="5" fillId="0" borderId="3" xfId="0" applyFont="1" applyBorder="1" applyAlignment="1">
      <alignment horizontal="distributed" vertical="center" justifyLastLine="1"/>
    </xf>
    <xf numFmtId="0" fontId="5" fillId="0" borderId="37" xfId="0" applyFont="1" applyBorder="1" applyAlignment="1">
      <alignment horizontal="distributed" vertical="center" justifyLastLine="1"/>
    </xf>
    <xf numFmtId="38" fontId="0" fillId="9" borderId="0" xfId="1" applyFont="1" applyFill="1"/>
    <xf numFmtId="0" fontId="5" fillId="0" borderId="0" xfId="0" applyFont="1" applyBorder="1" applyAlignment="1">
      <alignment horizontal="distributed" vertical="center" wrapText="1"/>
    </xf>
    <xf numFmtId="0" fontId="5" fillId="0" borderId="0" xfId="0" applyFont="1" applyBorder="1" applyAlignment="1">
      <alignment horizontal="distributed" vertical="center"/>
    </xf>
    <xf numFmtId="176" fontId="7" fillId="0" borderId="0" xfId="0" applyNumberFormat="1" applyFont="1" applyBorder="1" applyAlignment="1">
      <alignment vertical="center"/>
    </xf>
    <xf numFmtId="0" fontId="0" fillId="3" borderId="0" xfId="0" applyFill="1"/>
    <xf numFmtId="0" fontId="0" fillId="10" borderId="0" xfId="0" applyFill="1"/>
    <xf numFmtId="0" fontId="0" fillId="0" borderId="24" xfId="0" applyBorder="1" applyAlignment="1">
      <alignment horizontal="center"/>
    </xf>
    <xf numFmtId="0" fontId="0" fillId="0" borderId="24" xfId="0" applyBorder="1"/>
    <xf numFmtId="38" fontId="0" fillId="0" borderId="24" xfId="1" applyFont="1" applyBorder="1"/>
    <xf numFmtId="38" fontId="0" fillId="0" borderId="24" xfId="0" applyNumberFormat="1" applyBorder="1"/>
    <xf numFmtId="38" fontId="0" fillId="10" borderId="0" xfId="1" applyFont="1" applyFill="1"/>
    <xf numFmtId="38" fontId="15" fillId="0" borderId="0" xfId="1" applyFont="1" applyAlignment="1">
      <alignment horizontal="right"/>
    </xf>
    <xf numFmtId="38" fontId="33" fillId="0" borderId="0" xfId="1" applyFont="1"/>
    <xf numFmtId="38" fontId="15" fillId="0" borderId="21" xfId="1" applyFont="1" applyFill="1" applyBorder="1" applyAlignment="1">
      <alignment horizontal="right"/>
    </xf>
    <xf numFmtId="38" fontId="15" fillId="0" borderId="5" xfId="1" applyFont="1" applyFill="1" applyBorder="1" applyAlignment="1">
      <alignment horizontal="right"/>
    </xf>
    <xf numFmtId="38" fontId="15" fillId="0" borderId="60" xfId="1" applyFont="1" applyFill="1" applyBorder="1" applyAlignment="1">
      <alignment horizontal="right"/>
    </xf>
    <xf numFmtId="38" fontId="0" fillId="0" borderId="0" xfId="1" applyFont="1" applyFill="1" applyAlignment="1">
      <alignment horizontal="right"/>
    </xf>
    <xf numFmtId="38" fontId="15" fillId="0" borderId="7" xfId="1" applyFont="1" applyFill="1" applyBorder="1" applyAlignment="1">
      <alignment horizontal="right"/>
    </xf>
    <xf numFmtId="38" fontId="15" fillId="0" borderId="18" xfId="1" applyFont="1" applyFill="1" applyBorder="1" applyAlignment="1">
      <alignment horizontal="right"/>
    </xf>
    <xf numFmtId="38" fontId="33" fillId="0" borderId="0" xfId="1" applyFont="1" applyAlignment="1">
      <alignment horizontal="right"/>
    </xf>
    <xf numFmtId="38" fontId="34" fillId="0" borderId="0" xfId="1" applyFont="1" applyFill="1"/>
    <xf numFmtId="38" fontId="35" fillId="0" borderId="0" xfId="1" applyFont="1" applyFill="1" applyAlignment="1">
      <alignment horizontal="right"/>
    </xf>
    <xf numFmtId="0" fontId="15" fillId="3" borderId="55" xfId="0" applyFont="1" applyFill="1" applyBorder="1"/>
    <xf numFmtId="176" fontId="4" fillId="0" borderId="38" xfId="0" applyNumberFormat="1" applyFont="1" applyFill="1" applyBorder="1" applyAlignment="1"/>
    <xf numFmtId="0" fontId="37" fillId="0" borderId="0" xfId="0" applyFont="1"/>
    <xf numFmtId="9" fontId="1" fillId="0" borderId="155" xfId="2" applyFont="1" applyFill="1" applyBorder="1" applyAlignment="1">
      <alignment horizontal="center"/>
    </xf>
    <xf numFmtId="38" fontId="3" fillId="0" borderId="1" xfId="1" applyFont="1" applyFill="1" applyBorder="1" applyAlignment="1">
      <alignment horizontal="center" vertical="center" justifyLastLine="1"/>
    </xf>
    <xf numFmtId="38" fontId="3" fillId="0" borderId="18" xfId="1" applyFont="1" applyFill="1" applyBorder="1" applyAlignment="1">
      <alignment horizontal="center" vertical="center" justifyLastLine="1"/>
    </xf>
    <xf numFmtId="0" fontId="3" fillId="0" borderId="7" xfId="0" applyFont="1" applyFill="1" applyBorder="1" applyAlignment="1">
      <alignment vertical="center"/>
    </xf>
    <xf numFmtId="0" fontId="3" fillId="0" borderId="38" xfId="0" applyFont="1" applyFill="1" applyBorder="1" applyAlignment="1">
      <alignment vertical="center"/>
    </xf>
    <xf numFmtId="38" fontId="3" fillId="0" borderId="98" xfId="1" applyFont="1" applyFill="1" applyBorder="1" applyAlignment="1">
      <alignment vertical="center"/>
    </xf>
    <xf numFmtId="38" fontId="3" fillId="0" borderId="38" xfId="1" applyFont="1" applyFill="1" applyBorder="1" applyAlignment="1">
      <alignment vertical="center"/>
    </xf>
    <xf numFmtId="38" fontId="3" fillId="0" borderId="2" xfId="1" applyFont="1" applyFill="1" applyBorder="1" applyAlignment="1">
      <alignment vertical="center"/>
    </xf>
    <xf numFmtId="38" fontId="3" fillId="0" borderId="64" xfId="1" applyFont="1" applyFill="1" applyBorder="1" applyAlignment="1">
      <alignment vertical="center"/>
    </xf>
    <xf numFmtId="38" fontId="3" fillId="0" borderId="37" xfId="1" applyFont="1" applyFill="1" applyBorder="1" applyAlignment="1">
      <alignment vertical="center"/>
    </xf>
    <xf numFmtId="38" fontId="3" fillId="0" borderId="127" xfId="1" applyFont="1" applyFill="1" applyBorder="1" applyAlignment="1">
      <alignment vertical="center"/>
    </xf>
    <xf numFmtId="38" fontId="8" fillId="0" borderId="38" xfId="1" applyFont="1" applyFill="1" applyBorder="1" applyAlignment="1">
      <alignment vertical="center"/>
    </xf>
    <xf numFmtId="38" fontId="1" fillId="0" borderId="93" xfId="1" applyFont="1" applyBorder="1"/>
    <xf numFmtId="176" fontId="5" fillId="3" borderId="3" xfId="0" applyNumberFormat="1" applyFont="1" applyFill="1" applyBorder="1" applyAlignment="1">
      <alignment vertical="center"/>
    </xf>
    <xf numFmtId="176" fontId="5" fillId="3" borderId="3" xfId="0" applyNumberFormat="1" applyFont="1" applyFill="1" applyBorder="1" applyAlignment="1">
      <alignment vertical="center"/>
    </xf>
    <xf numFmtId="176" fontId="5" fillId="3" borderId="24" xfId="0" applyNumberFormat="1" applyFont="1" applyFill="1" applyBorder="1" applyAlignment="1">
      <alignment vertical="center"/>
    </xf>
    <xf numFmtId="176" fontId="5" fillId="3" borderId="24" xfId="0" applyNumberFormat="1" applyFont="1" applyFill="1" applyBorder="1" applyAlignment="1">
      <alignment vertical="center"/>
    </xf>
    <xf numFmtId="176" fontId="5" fillId="3" borderId="3" xfId="0" applyNumberFormat="1" applyFont="1" applyFill="1" applyBorder="1" applyAlignment="1">
      <alignment vertical="center"/>
    </xf>
    <xf numFmtId="176" fontId="5" fillId="3" borderId="3" xfId="0" applyNumberFormat="1" applyFont="1" applyFill="1" applyBorder="1" applyAlignment="1">
      <alignment vertical="center"/>
    </xf>
    <xf numFmtId="176" fontId="5" fillId="3" borderId="3" xfId="0" applyNumberFormat="1" applyFont="1" applyFill="1" applyBorder="1" applyAlignment="1">
      <alignment vertical="center"/>
    </xf>
    <xf numFmtId="176" fontId="5" fillId="3" borderId="3" xfId="0" applyNumberFormat="1" applyFont="1" applyFill="1" applyBorder="1" applyAlignment="1">
      <alignment vertical="center"/>
    </xf>
    <xf numFmtId="176" fontId="5" fillId="3" borderId="3" xfId="0" applyNumberFormat="1" applyFont="1" applyFill="1" applyBorder="1" applyAlignment="1">
      <alignment vertical="center"/>
    </xf>
    <xf numFmtId="176" fontId="5" fillId="3" borderId="3" xfId="0" applyNumberFormat="1" applyFont="1" applyFill="1" applyBorder="1" applyAlignment="1">
      <alignment vertical="center"/>
    </xf>
    <xf numFmtId="176" fontId="5" fillId="3" borderId="3" xfId="0" applyNumberFormat="1" applyFont="1" applyFill="1" applyBorder="1" applyAlignment="1">
      <alignment vertical="center"/>
    </xf>
    <xf numFmtId="176" fontId="5" fillId="3" borderId="3" xfId="0" applyNumberFormat="1" applyFont="1" applyFill="1" applyBorder="1" applyAlignment="1">
      <alignment vertical="center"/>
    </xf>
    <xf numFmtId="176" fontId="5" fillId="3" borderId="3" xfId="0" applyNumberFormat="1" applyFont="1" applyFill="1" applyBorder="1" applyAlignment="1">
      <alignment vertical="center"/>
    </xf>
    <xf numFmtId="38" fontId="1" fillId="3" borderId="92" xfId="1" applyFont="1" applyFill="1" applyBorder="1" applyAlignment="1">
      <alignment horizontal="right"/>
    </xf>
    <xf numFmtId="38" fontId="1" fillId="0" borderId="91" xfId="1" applyFont="1" applyBorder="1" applyAlignment="1">
      <alignment horizontal="right"/>
    </xf>
    <xf numFmtId="38" fontId="4" fillId="3" borderId="7" xfId="1" applyFont="1" applyFill="1" applyBorder="1" applyAlignment="1">
      <alignment vertical="center"/>
    </xf>
    <xf numFmtId="38" fontId="4" fillId="3" borderId="38" xfId="1" applyFont="1" applyFill="1" applyBorder="1" applyAlignment="1">
      <alignment vertical="center"/>
    </xf>
    <xf numFmtId="38" fontId="4" fillId="3" borderId="7" xfId="1" applyFont="1" applyFill="1" applyBorder="1" applyAlignment="1">
      <alignment vertical="center"/>
    </xf>
    <xf numFmtId="38" fontId="4" fillId="3" borderId="5" xfId="1" applyFont="1" applyFill="1" applyBorder="1" applyAlignment="1">
      <alignment vertical="center"/>
    </xf>
    <xf numFmtId="38" fontId="4" fillId="0" borderId="38" xfId="1" applyFont="1" applyFill="1" applyBorder="1" applyAlignment="1">
      <alignment vertical="top"/>
    </xf>
    <xf numFmtId="38" fontId="4" fillId="0" borderId="37" xfId="1" applyFont="1" applyFill="1" applyBorder="1" applyAlignment="1">
      <alignment vertical="top"/>
    </xf>
    <xf numFmtId="38" fontId="4" fillId="3" borderId="7" xfId="1" applyFont="1" applyFill="1" applyBorder="1" applyAlignment="1">
      <alignment vertical="center"/>
    </xf>
    <xf numFmtId="38" fontId="4" fillId="3" borderId="5" xfId="1" applyFont="1" applyFill="1" applyBorder="1" applyAlignment="1">
      <alignment vertical="center"/>
    </xf>
    <xf numFmtId="38" fontId="3" fillId="0" borderId="38" xfId="1" applyFont="1" applyFill="1" applyBorder="1" applyAlignment="1">
      <alignment vertical="top"/>
    </xf>
    <xf numFmtId="38" fontId="3" fillId="0" borderId="38" xfId="1" applyFont="1" applyFill="1" applyBorder="1" applyAlignment="1"/>
    <xf numFmtId="38" fontId="3" fillId="3" borderId="7" xfId="1" applyFont="1" applyFill="1" applyBorder="1" applyAlignment="1">
      <alignment vertical="center"/>
    </xf>
    <xf numFmtId="38" fontId="3" fillId="3" borderId="5" xfId="1" applyFont="1" applyFill="1" applyBorder="1" applyAlignment="1">
      <alignment vertical="center"/>
    </xf>
    <xf numFmtId="38" fontId="4" fillId="0" borderId="38" xfId="1" applyFont="1" applyFill="1" applyBorder="1" applyAlignment="1">
      <alignment vertical="top"/>
    </xf>
    <xf numFmtId="38" fontId="4" fillId="0" borderId="37" xfId="1" applyFont="1" applyFill="1" applyBorder="1" applyAlignment="1">
      <alignment vertical="top"/>
    </xf>
    <xf numFmtId="38" fontId="0" fillId="3" borderId="0" xfId="1" applyFont="1" applyFill="1"/>
    <xf numFmtId="38" fontId="3" fillId="0" borderId="38" xfId="1" applyFont="1" applyFill="1" applyBorder="1" applyAlignment="1"/>
    <xf numFmtId="38" fontId="4" fillId="3" borderId="5" xfId="1" applyFont="1" applyFill="1" applyBorder="1" applyAlignment="1"/>
    <xf numFmtId="38" fontId="4" fillId="3" borderId="7" xfId="1" applyFont="1" applyFill="1" applyBorder="1" applyAlignment="1">
      <alignment vertical="top"/>
    </xf>
    <xf numFmtId="38" fontId="3" fillId="3" borderId="5" xfId="1" applyFont="1" applyFill="1" applyBorder="1" applyAlignment="1"/>
    <xf numFmtId="38" fontId="3" fillId="3" borderId="7" xfId="1" applyFont="1" applyFill="1" applyBorder="1" applyAlignment="1">
      <alignment vertical="top"/>
    </xf>
    <xf numFmtId="0" fontId="3" fillId="0" borderId="7" xfId="0" applyFont="1" applyFill="1" applyBorder="1" applyAlignment="1">
      <alignment vertical="center"/>
    </xf>
    <xf numFmtId="0" fontId="3" fillId="0" borderId="38" xfId="0" applyFont="1" applyFill="1" applyBorder="1" applyAlignment="1">
      <alignment vertical="center"/>
    </xf>
    <xf numFmtId="176" fontId="7" fillId="0" borderId="3" xfId="0" applyNumberFormat="1" applyFont="1" applyFill="1" applyBorder="1" applyAlignment="1">
      <alignment vertical="center"/>
    </xf>
    <xf numFmtId="38" fontId="53" fillId="10" borderId="55" xfId="1" applyFont="1" applyFill="1" applyBorder="1"/>
    <xf numFmtId="176" fontId="8" fillId="0" borderId="3" xfId="0" applyNumberFormat="1" applyFont="1" applyBorder="1" applyAlignment="1">
      <alignment vertical="center"/>
    </xf>
    <xf numFmtId="176" fontId="8" fillId="0" borderId="107" xfId="0" applyNumberFormat="1" applyFont="1" applyBorder="1" applyAlignment="1">
      <alignment vertical="center"/>
    </xf>
    <xf numFmtId="38" fontId="8" fillId="0" borderId="38" xfId="1" applyFont="1" applyFill="1" applyBorder="1" applyAlignment="1">
      <alignment vertical="center"/>
    </xf>
    <xf numFmtId="176" fontId="3" fillId="0" borderId="80" xfId="0" applyNumberFormat="1" applyFont="1" applyFill="1" applyBorder="1" applyAlignment="1">
      <alignment vertical="center"/>
    </xf>
    <xf numFmtId="176" fontId="3" fillId="0" borderId="132" xfId="0" applyNumberFormat="1" applyFont="1" applyFill="1" applyBorder="1" applyAlignment="1">
      <alignment vertical="center"/>
    </xf>
    <xf numFmtId="176" fontId="8" fillId="0" borderId="98" xfId="0" applyNumberFormat="1" applyFont="1" applyBorder="1" applyAlignment="1">
      <alignment vertical="center"/>
    </xf>
    <xf numFmtId="176" fontId="3" fillId="0" borderId="133" xfId="0" applyNumberFormat="1" applyFont="1" applyFill="1" applyBorder="1" applyAlignment="1">
      <alignment vertical="center"/>
    </xf>
    <xf numFmtId="176" fontId="8" fillId="0" borderId="38" xfId="0" applyNumberFormat="1" applyFont="1" applyBorder="1" applyAlignment="1">
      <alignment vertical="center"/>
    </xf>
    <xf numFmtId="0" fontId="3" fillId="0" borderId="0" xfId="0" applyFont="1" applyBorder="1" applyAlignment="1">
      <alignment horizontal="distributed" vertical="center"/>
    </xf>
    <xf numFmtId="176" fontId="3" fillId="0" borderId="120" xfId="0" applyNumberFormat="1" applyFont="1" applyFill="1" applyBorder="1" applyAlignment="1">
      <alignment vertical="center"/>
    </xf>
    <xf numFmtId="176" fontId="8" fillId="0" borderId="107" xfId="0" applyNumberFormat="1" applyFont="1" applyBorder="1" applyAlignment="1">
      <alignment vertical="center"/>
    </xf>
    <xf numFmtId="176" fontId="8" fillId="0" borderId="3" xfId="0" applyNumberFormat="1" applyFont="1" applyBorder="1" applyAlignment="1">
      <alignment vertical="center"/>
    </xf>
    <xf numFmtId="38" fontId="8" fillId="0" borderId="38" xfId="1" applyFont="1" applyFill="1" applyBorder="1" applyAlignment="1">
      <alignment vertical="center"/>
    </xf>
    <xf numFmtId="176" fontId="8" fillId="0" borderId="38" xfId="0" applyNumberFormat="1" applyFont="1" applyBorder="1" applyAlignment="1">
      <alignment vertical="center"/>
    </xf>
    <xf numFmtId="0" fontId="3" fillId="0" borderId="0" xfId="0" applyFont="1" applyBorder="1" applyAlignment="1">
      <alignment horizontal="distributed" vertical="center"/>
    </xf>
    <xf numFmtId="0" fontId="3" fillId="0" borderId="85" xfId="0" applyFont="1" applyBorder="1" applyAlignment="1">
      <alignment horizontal="distributed" vertical="center"/>
    </xf>
    <xf numFmtId="0" fontId="3" fillId="0" borderId="87" xfId="0" applyFont="1" applyBorder="1" applyAlignment="1">
      <alignment horizontal="distributed" vertical="center"/>
    </xf>
    <xf numFmtId="0" fontId="5" fillId="0" borderId="165" xfId="0" applyFont="1" applyBorder="1"/>
    <xf numFmtId="38" fontId="27" fillId="0" borderId="0" xfId="0" applyNumberFormat="1" applyFont="1"/>
    <xf numFmtId="176" fontId="4" fillId="3" borderId="38" xfId="0" applyNumberFormat="1" applyFont="1" applyFill="1" applyBorder="1" applyAlignment="1"/>
    <xf numFmtId="176" fontId="3" fillId="0" borderId="153" xfId="0" applyNumberFormat="1" applyFont="1" applyFill="1" applyBorder="1" applyAlignment="1">
      <alignment vertical="center"/>
    </xf>
    <xf numFmtId="176" fontId="4" fillId="3" borderId="7" xfId="0" applyNumberFormat="1" applyFont="1" applyFill="1" applyBorder="1" applyAlignment="1"/>
    <xf numFmtId="176" fontId="4" fillId="0" borderId="3" xfId="0" applyNumberFormat="1" applyFont="1" applyFill="1" applyBorder="1" applyAlignment="1"/>
    <xf numFmtId="176" fontId="4" fillId="0" borderId="37" xfId="0" applyNumberFormat="1" applyFont="1" applyFill="1" applyBorder="1" applyAlignment="1"/>
    <xf numFmtId="0" fontId="3" fillId="0" borderId="166" xfId="0" applyFont="1" applyBorder="1" applyAlignment="1">
      <alignment horizontal="distributed" vertical="center"/>
    </xf>
    <xf numFmtId="176" fontId="4" fillId="0" borderId="2" xfId="0" applyNumberFormat="1" applyFont="1" applyFill="1" applyBorder="1" applyAlignment="1"/>
    <xf numFmtId="38" fontId="37" fillId="0" borderId="0" xfId="0" applyNumberFormat="1" applyFont="1"/>
    <xf numFmtId="0" fontId="5" fillId="0" borderId="128" xfId="0" applyFont="1" applyBorder="1"/>
    <xf numFmtId="176" fontId="4" fillId="6" borderId="38" xfId="0" applyNumberFormat="1" applyFont="1" applyFill="1" applyBorder="1" applyAlignment="1"/>
    <xf numFmtId="176" fontId="4" fillId="6" borderId="7" xfId="0" applyNumberFormat="1" applyFont="1" applyFill="1" applyBorder="1" applyAlignment="1"/>
    <xf numFmtId="0" fontId="0" fillId="0" borderId="0" xfId="0" applyAlignment="1">
      <alignment horizontal="center"/>
    </xf>
    <xf numFmtId="0" fontId="0" fillId="0" borderId="0" xfId="0" applyFont="1" applyFill="1" applyAlignment="1">
      <alignment horizontal="center"/>
    </xf>
    <xf numFmtId="0" fontId="0" fillId="0" borderId="0" xfId="0" applyFont="1" applyAlignment="1">
      <alignment horizontal="center"/>
    </xf>
    <xf numFmtId="0" fontId="0" fillId="0" borderId="0" xfId="0" applyFill="1" applyAlignment="1">
      <alignment horizontal="center"/>
    </xf>
    <xf numFmtId="38" fontId="0" fillId="0" borderId="0" xfId="0" applyNumberFormat="1" applyFont="1" applyFill="1"/>
    <xf numFmtId="38" fontId="0" fillId="0" borderId="0" xfId="0" applyNumberFormat="1" applyFill="1"/>
    <xf numFmtId="38" fontId="0" fillId="0" borderId="0" xfId="0" applyNumberFormat="1"/>
    <xf numFmtId="38" fontId="0" fillId="0" borderId="167" xfId="0" applyNumberFormat="1" applyFont="1" applyFill="1" applyBorder="1"/>
    <xf numFmtId="0" fontId="56" fillId="0" borderId="168" xfId="0" applyFont="1" applyFill="1" applyBorder="1"/>
    <xf numFmtId="9" fontId="0" fillId="30" borderId="0" xfId="0" applyNumberFormat="1" applyFont="1" applyFill="1" applyAlignment="1">
      <alignment horizontal="center"/>
    </xf>
    <xf numFmtId="0" fontId="0" fillId="0" borderId="3" xfId="0" applyBorder="1" applyAlignment="1">
      <alignment vertical="center" wrapText="1"/>
    </xf>
    <xf numFmtId="0" fontId="0" fillId="0" borderId="38" xfId="0" applyBorder="1" applyAlignment="1">
      <alignment vertical="center" wrapText="1"/>
    </xf>
    <xf numFmtId="0" fontId="0" fillId="0" borderId="37" xfId="0" applyBorder="1" applyAlignment="1">
      <alignment vertical="center" wrapText="1"/>
    </xf>
    <xf numFmtId="38" fontId="0" fillId="31" borderId="0" xfId="1" applyFont="1" applyFill="1"/>
    <xf numFmtId="9" fontId="15" fillId="0" borderId="169" xfId="2" applyFont="1" applyFill="1" applyBorder="1" applyAlignment="1">
      <alignment horizontal="center"/>
    </xf>
    <xf numFmtId="9" fontId="0" fillId="0" borderId="169" xfId="2" applyFont="1" applyFill="1" applyBorder="1" applyAlignment="1">
      <alignment horizontal="center"/>
    </xf>
    <xf numFmtId="176" fontId="5" fillId="3" borderId="3" xfId="0" applyNumberFormat="1" applyFont="1" applyFill="1" applyBorder="1" applyAlignment="1">
      <alignment vertical="center"/>
    </xf>
    <xf numFmtId="0" fontId="0" fillId="10" borderId="0" xfId="0" applyFill="1" applyAlignment="1">
      <alignment horizontal="center" vertical="center"/>
    </xf>
    <xf numFmtId="38" fontId="0" fillId="32" borderId="0" xfId="1" applyFont="1" applyFill="1"/>
    <xf numFmtId="0" fontId="3" fillId="0" borderId="7" xfId="0" applyFont="1" applyFill="1" applyBorder="1" applyAlignment="1">
      <alignment vertical="center"/>
    </xf>
    <xf numFmtId="0" fontId="3" fillId="0" borderId="38" xfId="0" applyFont="1" applyFill="1" applyBorder="1" applyAlignment="1">
      <alignment vertical="center"/>
    </xf>
    <xf numFmtId="0" fontId="3" fillId="0" borderId="5" xfId="0" applyFont="1" applyFill="1" applyBorder="1" applyAlignment="1">
      <alignment vertical="center"/>
    </xf>
    <xf numFmtId="0" fontId="3" fillId="0" borderId="0" xfId="0" applyFont="1" applyBorder="1" applyAlignment="1">
      <alignment horizontal="distributed" vertical="center"/>
    </xf>
    <xf numFmtId="0" fontId="3" fillId="0" borderId="21" xfId="0" applyFont="1" applyFill="1" applyBorder="1" applyAlignment="1">
      <alignment vertical="center"/>
    </xf>
    <xf numFmtId="38" fontId="0" fillId="9" borderId="7" xfId="1" applyFont="1" applyFill="1" applyBorder="1" applyAlignment="1">
      <alignment vertical="center"/>
    </xf>
    <xf numFmtId="0" fontId="3" fillId="0" borderId="172" xfId="0" applyFont="1" applyFill="1" applyBorder="1" applyAlignment="1">
      <alignment horizontal="distributed" vertical="center"/>
    </xf>
    <xf numFmtId="0" fontId="3" fillId="0" borderId="81" xfId="0" applyFont="1" applyFill="1" applyBorder="1" applyAlignment="1">
      <alignment horizontal="distributed" vertical="center"/>
    </xf>
    <xf numFmtId="0" fontId="3" fillId="0" borderId="82" xfId="0" applyFont="1" applyFill="1" applyBorder="1" applyAlignment="1">
      <alignment horizontal="distributed" vertical="center"/>
    </xf>
    <xf numFmtId="38" fontId="0" fillId="9" borderId="83" xfId="1" applyFont="1" applyFill="1" applyBorder="1" applyAlignment="1">
      <alignment vertical="center"/>
    </xf>
    <xf numFmtId="38" fontId="0" fillId="9" borderId="5" xfId="1" applyFont="1" applyFill="1" applyBorder="1" applyAlignment="1">
      <alignment vertical="center"/>
    </xf>
    <xf numFmtId="0" fontId="3" fillId="0" borderId="174" xfId="0" applyFont="1" applyFill="1" applyBorder="1" applyAlignment="1">
      <alignment vertical="center"/>
    </xf>
    <xf numFmtId="0" fontId="3" fillId="0" borderId="74" xfId="0" applyFont="1" applyFill="1" applyBorder="1" applyAlignment="1">
      <alignment vertical="center"/>
    </xf>
    <xf numFmtId="0" fontId="3" fillId="0" borderId="74" xfId="0" applyFont="1" applyFill="1" applyBorder="1" applyAlignment="1">
      <alignment vertical="center" wrapText="1"/>
    </xf>
    <xf numFmtId="38" fontId="0" fillId="0" borderId="175" xfId="1" applyFont="1" applyFill="1" applyBorder="1" applyAlignment="1">
      <alignment vertical="center"/>
    </xf>
    <xf numFmtId="176" fontId="5" fillId="3" borderId="3" xfId="0" applyNumberFormat="1" applyFont="1" applyFill="1" applyBorder="1" applyAlignment="1">
      <alignment vertical="center"/>
    </xf>
    <xf numFmtId="38" fontId="0" fillId="34" borderId="0" xfId="1" applyFont="1" applyFill="1"/>
    <xf numFmtId="176" fontId="7" fillId="0" borderId="3" xfId="0" applyNumberFormat="1" applyFont="1" applyBorder="1" applyAlignment="1">
      <alignment vertical="center"/>
    </xf>
    <xf numFmtId="176" fontId="7" fillId="35" borderId="3" xfId="0" applyNumberFormat="1" applyFont="1" applyFill="1" applyBorder="1" applyAlignment="1">
      <alignment vertical="center"/>
    </xf>
    <xf numFmtId="38" fontId="0" fillId="0" borderId="176" xfId="1" applyFont="1" applyBorder="1" applyAlignment="1">
      <alignment horizontal="right"/>
    </xf>
    <xf numFmtId="38" fontId="0" fillId="0" borderId="177" xfId="1" applyFont="1" applyBorder="1"/>
    <xf numFmtId="38" fontId="0" fillId="0" borderId="178" xfId="1" applyFont="1" applyBorder="1"/>
    <xf numFmtId="38" fontId="27" fillId="0" borderId="179" xfId="1" applyFont="1" applyBorder="1"/>
    <xf numFmtId="38" fontId="0" fillId="0" borderId="180" xfId="1" applyFont="1" applyBorder="1"/>
    <xf numFmtId="0" fontId="15" fillId="0" borderId="70" xfId="0" applyFont="1" applyBorder="1" applyAlignment="1">
      <alignment horizontal="distributed" vertical="center" justifyLastLine="1"/>
    </xf>
    <xf numFmtId="0" fontId="15" fillId="36" borderId="75" xfId="0" applyFont="1" applyFill="1" applyBorder="1" applyAlignment="1">
      <alignment horizontal="distributed" vertical="center" justifyLastLine="1"/>
    </xf>
    <xf numFmtId="0" fontId="15" fillId="36" borderId="75" xfId="0" applyFont="1" applyFill="1" applyBorder="1" applyAlignment="1">
      <alignment horizontal="distributed" vertical="center"/>
    </xf>
    <xf numFmtId="0" fontId="15" fillId="36" borderId="0" xfId="0" applyFont="1" applyFill="1"/>
    <xf numFmtId="176" fontId="3" fillId="8" borderId="21" xfId="0" applyNumberFormat="1" applyFont="1" applyFill="1" applyBorder="1" applyAlignment="1">
      <alignment vertical="center"/>
    </xf>
    <xf numFmtId="176" fontId="3" fillId="8" borderId="7" xfId="0" applyNumberFormat="1" applyFont="1" applyFill="1" applyBorder="1" applyAlignment="1">
      <alignment vertical="center"/>
    </xf>
    <xf numFmtId="0" fontId="3" fillId="0" borderId="5" xfId="0" applyFont="1" applyBorder="1" applyAlignment="1">
      <alignment vertical="center" wrapText="1"/>
    </xf>
    <xf numFmtId="0" fontId="3" fillId="0" borderId="50" xfId="0" applyFont="1" applyBorder="1" applyAlignment="1">
      <alignment horizontal="distributed" vertical="distributed"/>
    </xf>
    <xf numFmtId="0" fontId="3" fillId="0" borderId="50" xfId="0" applyFont="1" applyBorder="1" applyAlignment="1">
      <alignment horizontal="distributed" vertical="distributed" wrapText="1"/>
    </xf>
    <xf numFmtId="0" fontId="3" fillId="0" borderId="21" xfId="0" applyFont="1" applyBorder="1" applyAlignment="1">
      <alignment vertical="center" wrapText="1"/>
    </xf>
    <xf numFmtId="0" fontId="3" fillId="0" borderId="70" xfId="0" applyFont="1" applyBorder="1" applyAlignment="1">
      <alignment horizontal="center" vertical="center" textRotation="255" wrapText="1"/>
    </xf>
    <xf numFmtId="0" fontId="3" fillId="0" borderId="74" xfId="0" applyFont="1" applyBorder="1" applyAlignment="1">
      <alignment horizontal="center" vertical="center" textRotation="255" wrapText="1"/>
    </xf>
    <xf numFmtId="0" fontId="3" fillId="0" borderId="75" xfId="0" applyFont="1" applyBorder="1" applyAlignment="1">
      <alignment horizontal="center" vertical="center" textRotation="255" wrapText="1"/>
    </xf>
    <xf numFmtId="0" fontId="4" fillId="0" borderId="46" xfId="0" applyFont="1" applyBorder="1" applyAlignment="1">
      <alignment horizontal="distributed" vertical="center"/>
    </xf>
    <xf numFmtId="0" fontId="4" fillId="0" borderId="99" xfId="0" applyFont="1" applyBorder="1" applyAlignment="1">
      <alignment horizontal="distributed" vertical="center"/>
    </xf>
    <xf numFmtId="0" fontId="4" fillId="0" borderId="21" xfId="0" applyFont="1" applyBorder="1" applyAlignment="1">
      <alignment horizontal="left" vertical="center"/>
    </xf>
    <xf numFmtId="0" fontId="4" fillId="0" borderId="7" xfId="0" applyFont="1" applyBorder="1" applyAlignment="1">
      <alignment horizontal="distributed" vertical="center" wrapText="1"/>
    </xf>
    <xf numFmtId="0" fontId="4" fillId="0" borderId="5" xfId="0" applyFont="1" applyBorder="1" applyAlignment="1">
      <alignment horizontal="distributed" vertical="center" wrapText="1"/>
    </xf>
    <xf numFmtId="177" fontId="55" fillId="0" borderId="7" xfId="0" applyNumberFormat="1" applyFont="1" applyBorder="1" applyAlignment="1">
      <alignment horizontal="right" vertical="center"/>
    </xf>
    <xf numFmtId="177" fontId="55" fillId="0" borderId="5" xfId="0" applyNumberFormat="1" applyFont="1" applyBorder="1" applyAlignment="1">
      <alignment horizontal="right" vertical="center"/>
    </xf>
    <xf numFmtId="176" fontId="55" fillId="0" borderId="21" xfId="0" applyNumberFormat="1" applyFont="1" applyBorder="1" applyAlignment="1">
      <alignment horizontal="right" vertical="center"/>
    </xf>
    <xf numFmtId="176" fontId="55" fillId="0" borderId="65" xfId="0" applyNumberFormat="1" applyFont="1" applyBorder="1" applyAlignment="1">
      <alignment horizontal="right" vertical="center"/>
    </xf>
    <xf numFmtId="0" fontId="4" fillId="0" borderId="9" xfId="0" applyFont="1" applyBorder="1" applyAlignment="1">
      <alignment horizontal="distributed" vertical="center" wrapText="1"/>
    </xf>
    <xf numFmtId="0" fontId="4" fillId="0" borderId="4" xfId="0" applyFont="1" applyBorder="1" applyAlignment="1">
      <alignment horizontal="distributed" vertical="center"/>
    </xf>
    <xf numFmtId="0" fontId="4" fillId="0" borderId="13" xfId="0" applyFont="1" applyBorder="1" applyAlignment="1">
      <alignment horizontal="distributed" vertical="center"/>
    </xf>
    <xf numFmtId="0" fontId="4" fillId="0" borderId="38" xfId="0" applyFont="1" applyBorder="1" applyAlignment="1">
      <alignment horizontal="distributed" vertical="center" wrapText="1"/>
    </xf>
    <xf numFmtId="0" fontId="4" fillId="0" borderId="38" xfId="0" applyFont="1" applyBorder="1" applyAlignment="1">
      <alignment horizontal="distributed" vertical="center"/>
    </xf>
    <xf numFmtId="0" fontId="4" fillId="0" borderId="7" xfId="0" applyFont="1" applyBorder="1" applyAlignment="1">
      <alignment vertical="center"/>
    </xf>
    <xf numFmtId="0" fontId="4" fillId="0" borderId="5" xfId="0" applyFont="1" applyBorder="1" applyAlignment="1">
      <alignment vertical="center"/>
    </xf>
    <xf numFmtId="0" fontId="4" fillId="0" borderId="21" xfId="0" applyFont="1" applyBorder="1" applyAlignment="1">
      <alignment horizontal="distributed" vertical="center" wrapText="1"/>
    </xf>
    <xf numFmtId="0" fontId="4" fillId="0" borderId="7" xfId="0" applyFont="1" applyBorder="1" applyAlignment="1">
      <alignment horizontal="distributed" vertical="center"/>
    </xf>
    <xf numFmtId="0" fontId="3" fillId="0" borderId="70" xfId="0" applyFont="1" applyFill="1" applyBorder="1" applyAlignment="1">
      <alignment horizontal="center" vertical="center" textRotation="255"/>
    </xf>
    <xf numFmtId="0" fontId="3" fillId="0" borderId="74" xfId="0" applyFont="1" applyFill="1" applyBorder="1" applyAlignment="1">
      <alignment horizontal="center" vertical="center" textRotation="255"/>
    </xf>
    <xf numFmtId="0" fontId="3" fillId="0" borderId="75" xfId="0" applyFont="1" applyFill="1" applyBorder="1" applyAlignment="1">
      <alignment horizontal="center" vertical="center" textRotation="255"/>
    </xf>
    <xf numFmtId="176" fontId="29" fillId="0" borderId="7" xfId="0" applyNumberFormat="1" applyFont="1" applyBorder="1" applyAlignment="1">
      <alignment horizontal="right" vertical="center"/>
    </xf>
    <xf numFmtId="176" fontId="29" fillId="0" borderId="38" xfId="0" applyNumberFormat="1" applyFont="1" applyBorder="1" applyAlignment="1">
      <alignment horizontal="right" vertical="center"/>
    </xf>
    <xf numFmtId="176" fontId="29" fillId="0" borderId="5" xfId="0" applyNumberFormat="1" applyFont="1" applyBorder="1" applyAlignment="1">
      <alignment horizontal="right" vertical="center"/>
    </xf>
    <xf numFmtId="0" fontId="3" fillId="0" borderId="46" xfId="0" applyFont="1" applyBorder="1" applyAlignment="1">
      <alignment horizontal="distributed" vertical="center"/>
    </xf>
    <xf numFmtId="0" fontId="3" fillId="0" borderId="47" xfId="0" applyFont="1" applyBorder="1" applyAlignment="1">
      <alignment horizontal="distributed" vertical="center"/>
    </xf>
    <xf numFmtId="0" fontId="4" fillId="0" borderId="54" xfId="0" applyFont="1" applyBorder="1" applyAlignment="1">
      <alignment horizontal="distributed" vertical="center"/>
    </xf>
    <xf numFmtId="0" fontId="4" fillId="0" borderId="95" xfId="0" applyFont="1" applyBorder="1" applyAlignment="1">
      <alignment horizontal="distributed" vertical="center"/>
    </xf>
    <xf numFmtId="0" fontId="3" fillId="0" borderId="7" xfId="0" applyFont="1" applyFill="1" applyBorder="1" applyAlignment="1">
      <alignment vertical="center"/>
    </xf>
    <xf numFmtId="0" fontId="3" fillId="0" borderId="38" xfId="0" applyFont="1" applyFill="1" applyBorder="1" applyAlignment="1">
      <alignment vertical="center"/>
    </xf>
    <xf numFmtId="0" fontId="3" fillId="0" borderId="5" xfId="0" applyFont="1" applyFill="1" applyBorder="1" applyAlignment="1">
      <alignment vertical="center"/>
    </xf>
    <xf numFmtId="0" fontId="4" fillId="0" borderId="48" xfId="0" applyFont="1" applyBorder="1" applyAlignment="1">
      <alignment horizontal="distributed" vertical="center" wrapText="1"/>
    </xf>
    <xf numFmtId="0" fontId="4" fillId="0" borderId="48" xfId="0" applyFont="1" applyBorder="1" applyAlignment="1">
      <alignment horizontal="distributed" vertical="center"/>
    </xf>
    <xf numFmtId="0" fontId="3" fillId="0" borderId="99" xfId="0" applyFont="1" applyBorder="1" applyAlignment="1">
      <alignment horizontal="distributed" vertical="center"/>
    </xf>
    <xf numFmtId="0" fontId="3" fillId="0" borderId="21" xfId="0" applyFont="1" applyBorder="1" applyAlignment="1">
      <alignment vertical="center"/>
    </xf>
    <xf numFmtId="0" fontId="3" fillId="0" borderId="7" xfId="0" applyFont="1" applyBorder="1" applyAlignment="1">
      <alignment vertical="center"/>
    </xf>
    <xf numFmtId="0" fontId="3" fillId="0" borderId="38" xfId="0" applyFont="1" applyBorder="1" applyAlignment="1">
      <alignment vertical="center"/>
    </xf>
    <xf numFmtId="0" fontId="3" fillId="0" borderId="5" xfId="0" applyFont="1" applyBorder="1" applyAlignment="1">
      <alignment vertical="center"/>
    </xf>
    <xf numFmtId="0" fontId="3" fillId="0" borderId="8" xfId="0" applyFont="1" applyBorder="1" applyAlignment="1">
      <alignment horizontal="distributed" vertical="center"/>
    </xf>
    <xf numFmtId="0" fontId="3" fillId="0" borderId="50" xfId="0" applyFont="1" applyBorder="1" applyAlignment="1">
      <alignment horizontal="distributed" vertical="center"/>
    </xf>
    <xf numFmtId="0" fontId="3" fillId="0" borderId="52" xfId="0" applyFont="1" applyBorder="1" applyAlignment="1">
      <alignment horizontal="distributed" vertical="center"/>
    </xf>
    <xf numFmtId="0" fontId="3" fillId="0" borderId="54" xfId="0" applyFont="1" applyBorder="1" applyAlignment="1">
      <alignment horizontal="distributed" vertical="center"/>
    </xf>
    <xf numFmtId="0" fontId="3" fillId="0" borderId="66" xfId="0" applyFont="1" applyBorder="1" applyAlignment="1">
      <alignment horizontal="distributed" vertical="center"/>
    </xf>
    <xf numFmtId="0" fontId="0" fillId="0" borderId="54" xfId="0" applyBorder="1" applyAlignment="1">
      <alignment horizontal="distributed" vertical="center"/>
    </xf>
    <xf numFmtId="0" fontId="0" fillId="0" borderId="67" xfId="0" applyBorder="1" applyAlignment="1">
      <alignment horizontal="distributed" vertical="center"/>
    </xf>
    <xf numFmtId="0" fontId="0" fillId="0" borderId="95" xfId="0" applyBorder="1" applyAlignment="1">
      <alignment horizontal="distributed" vertical="center"/>
    </xf>
    <xf numFmtId="0" fontId="3" fillId="0" borderId="5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4" xfId="0" applyFont="1" applyBorder="1" applyAlignment="1">
      <alignment horizontal="center" vertical="center" wrapText="1"/>
    </xf>
    <xf numFmtId="0" fontId="3" fillId="0" borderId="75" xfId="0" applyFont="1" applyBorder="1" applyAlignment="1">
      <alignment horizontal="center" vertical="center" wrapText="1"/>
    </xf>
    <xf numFmtId="0" fontId="3" fillId="0" borderId="21" xfId="0" applyFont="1" applyBorder="1" applyAlignment="1">
      <alignment vertical="center" shrinkToFit="1"/>
    </xf>
    <xf numFmtId="0" fontId="4" fillId="0" borderId="4" xfId="0" applyFont="1" applyBorder="1" applyAlignment="1">
      <alignment horizontal="center"/>
    </xf>
    <xf numFmtId="176" fontId="8" fillId="0" borderId="5" xfId="0" applyNumberFormat="1" applyFont="1" applyBorder="1" applyAlignment="1">
      <alignment vertical="center"/>
    </xf>
    <xf numFmtId="0" fontId="4" fillId="0" borderId="13" xfId="0" applyFont="1" applyBorder="1" applyAlignment="1">
      <alignment horizontal="distributed" vertical="center" wrapText="1"/>
    </xf>
    <xf numFmtId="176" fontId="3" fillId="0" borderId="7" xfId="0" applyNumberFormat="1" applyFont="1" applyBorder="1" applyAlignment="1">
      <alignment vertical="center"/>
    </xf>
    <xf numFmtId="176" fontId="3" fillId="0" borderId="5" xfId="0" applyNumberFormat="1" applyFont="1" applyBorder="1" applyAlignment="1">
      <alignment vertical="center"/>
    </xf>
    <xf numFmtId="0" fontId="4" fillId="0" borderId="21" xfId="0" applyFont="1" applyBorder="1" applyAlignment="1">
      <alignment horizontal="distributed" vertical="center"/>
    </xf>
    <xf numFmtId="0" fontId="4" fillId="0" borderId="54" xfId="0" applyFont="1" applyBorder="1" applyAlignment="1">
      <alignment horizontal="distributed" vertical="center" wrapText="1"/>
    </xf>
    <xf numFmtId="0" fontId="4" fillId="0" borderId="5" xfId="0" applyFont="1" applyBorder="1" applyAlignment="1">
      <alignment horizontal="distributed" vertical="center"/>
    </xf>
    <xf numFmtId="0" fontId="3" fillId="0" borderId="111" xfId="0" applyFont="1" applyBorder="1" applyAlignment="1">
      <alignment horizontal="distributed" vertical="center" justifyLastLine="1"/>
    </xf>
    <xf numFmtId="0" fontId="3" fillId="0" borderId="112" xfId="0" applyFont="1" applyBorder="1" applyAlignment="1">
      <alignment horizontal="distributed" vertical="center" justifyLastLine="1"/>
    </xf>
    <xf numFmtId="0" fontId="3" fillId="0" borderId="113" xfId="0" applyFont="1" applyBorder="1" applyAlignment="1">
      <alignment horizontal="distributed" vertical="center" justifyLastLine="1"/>
    </xf>
    <xf numFmtId="0" fontId="3" fillId="0" borderId="10" xfId="0" applyFont="1" applyBorder="1" applyAlignment="1">
      <alignment horizontal="distributed" vertical="center" justifyLastLine="1"/>
    </xf>
    <xf numFmtId="0" fontId="3" fillId="0" borderId="104" xfId="0" applyFont="1" applyBorder="1" applyAlignment="1">
      <alignment horizontal="distributed" vertical="center" justifyLastLine="1"/>
    </xf>
    <xf numFmtId="0" fontId="3" fillId="0" borderId="63" xfId="0" applyFont="1" applyBorder="1" applyAlignment="1">
      <alignment horizontal="distributed" vertical="center" justifyLastLine="1"/>
    </xf>
    <xf numFmtId="0" fontId="4" fillId="0" borderId="8" xfId="0" applyFont="1" applyBorder="1" applyAlignment="1">
      <alignment horizontal="distributed" vertical="center" wrapText="1"/>
    </xf>
    <xf numFmtId="0" fontId="4" fillId="0" borderId="50" xfId="0" applyFont="1" applyBorder="1" applyAlignment="1">
      <alignment horizontal="distributed" vertical="center"/>
    </xf>
    <xf numFmtId="0" fontId="4" fillId="0" borderId="8" xfId="0" applyFont="1" applyBorder="1" applyAlignment="1">
      <alignment horizontal="distributed" vertical="center"/>
    </xf>
    <xf numFmtId="0" fontId="4" fillId="0" borderId="52" xfId="0" applyFont="1" applyBorder="1" applyAlignment="1">
      <alignment horizontal="distributed" vertical="center"/>
    </xf>
    <xf numFmtId="0" fontId="3" fillId="0" borderId="67" xfId="0" applyFont="1" applyBorder="1" applyAlignment="1">
      <alignment horizontal="distributed" vertical="center"/>
    </xf>
    <xf numFmtId="0" fontId="3" fillId="0" borderId="95" xfId="0" applyFont="1" applyBorder="1" applyAlignment="1">
      <alignment horizontal="distributed" vertical="center"/>
    </xf>
    <xf numFmtId="0" fontId="4" fillId="0" borderId="55" xfId="0" applyFont="1" applyBorder="1" applyAlignment="1">
      <alignment horizontal="distributed" vertical="center" wrapText="1"/>
    </xf>
    <xf numFmtId="0" fontId="4" fillId="0" borderId="55" xfId="0" applyFont="1" applyBorder="1" applyAlignment="1">
      <alignment horizontal="distributed" vertical="center"/>
    </xf>
    <xf numFmtId="0" fontId="3" fillId="0" borderId="103" xfId="0" applyFont="1" applyBorder="1" applyAlignment="1">
      <alignment horizontal="center" vertical="center"/>
    </xf>
    <xf numFmtId="0" fontId="3" fillId="0" borderId="101" xfId="0" applyFont="1" applyBorder="1" applyAlignment="1">
      <alignment horizontal="center" vertical="center"/>
    </xf>
    <xf numFmtId="0" fontId="3" fillId="0" borderId="102" xfId="0" applyFont="1" applyBorder="1" applyAlignment="1">
      <alignment horizontal="center" vertical="center"/>
    </xf>
    <xf numFmtId="0" fontId="3" fillId="0" borderId="114" xfId="0" applyFont="1" applyBorder="1" applyAlignment="1">
      <alignment horizontal="center" vertical="center"/>
    </xf>
    <xf numFmtId="0" fontId="3" fillId="0" borderId="34" xfId="0" applyFont="1" applyBorder="1" applyAlignment="1">
      <alignment horizontal="center" vertical="center"/>
    </xf>
    <xf numFmtId="0" fontId="3" fillId="0" borderId="115" xfId="0" applyFont="1" applyBorder="1" applyAlignment="1">
      <alignment horizontal="center" vertical="center"/>
    </xf>
    <xf numFmtId="0" fontId="0" fillId="0" borderId="116" xfId="0" applyBorder="1" applyAlignment="1">
      <alignment horizontal="center" vertical="center" wrapText="1"/>
    </xf>
    <xf numFmtId="0" fontId="0" fillId="0" borderId="87" xfId="0" applyBorder="1" applyAlignment="1">
      <alignment horizontal="center" vertical="center" wrapText="1"/>
    </xf>
    <xf numFmtId="0" fontId="0" fillId="0" borderId="17" xfId="0" applyBorder="1" applyAlignment="1">
      <alignment horizontal="center" vertical="center" wrapText="1"/>
    </xf>
    <xf numFmtId="0" fontId="0" fillId="0" borderId="114" xfId="0" applyBorder="1" applyAlignment="1">
      <alignment horizontal="center" vertical="center" wrapText="1"/>
    </xf>
    <xf numFmtId="0" fontId="3" fillId="0" borderId="9" xfId="0" applyFont="1" applyBorder="1" applyAlignment="1">
      <alignment horizontal="distributed" vertical="center"/>
    </xf>
    <xf numFmtId="0" fontId="3" fillId="0" borderId="4" xfId="0" applyFont="1" applyBorder="1" applyAlignment="1">
      <alignment horizontal="distributed" vertical="center"/>
    </xf>
    <xf numFmtId="0" fontId="3" fillId="0" borderId="46" xfId="0" applyFont="1" applyFill="1" applyBorder="1" applyAlignment="1">
      <alignment horizontal="distributed" vertical="center"/>
    </xf>
    <xf numFmtId="0" fontId="3" fillId="0" borderId="47" xfId="0" applyFont="1" applyFill="1" applyBorder="1" applyAlignment="1">
      <alignment horizontal="distributed" vertical="center"/>
    </xf>
    <xf numFmtId="0" fontId="3" fillId="0" borderId="99" xfId="0" applyFont="1" applyFill="1" applyBorder="1" applyAlignment="1">
      <alignment horizontal="distributed" vertical="center"/>
    </xf>
    <xf numFmtId="0" fontId="3" fillId="0" borderId="55" xfId="0" applyFont="1" applyBorder="1" applyAlignment="1">
      <alignment horizontal="distributed" vertical="center"/>
    </xf>
    <xf numFmtId="0" fontId="3" fillId="0" borderId="48" xfId="0" applyFont="1" applyBorder="1" applyAlignment="1">
      <alignment horizontal="distributed" vertical="center"/>
    </xf>
    <xf numFmtId="0" fontId="3" fillId="0" borderId="70" xfId="0" applyFont="1" applyBorder="1" applyAlignment="1">
      <alignment horizontal="distributed" vertical="center"/>
    </xf>
    <xf numFmtId="0" fontId="3" fillId="0" borderId="94" xfId="0" applyFont="1" applyBorder="1" applyAlignment="1">
      <alignment horizontal="distributed" vertical="center"/>
    </xf>
    <xf numFmtId="0" fontId="3" fillId="0" borderId="70" xfId="0" applyFont="1" applyBorder="1" applyAlignment="1">
      <alignment horizontal="center" vertical="center" textRotation="255"/>
    </xf>
    <xf numFmtId="0" fontId="3" fillId="0" borderId="74" xfId="0" applyFont="1" applyBorder="1" applyAlignment="1">
      <alignment horizontal="center" vertical="center" textRotation="255"/>
    </xf>
    <xf numFmtId="0" fontId="3" fillId="0" borderId="75" xfId="0" applyFont="1" applyBorder="1" applyAlignment="1">
      <alignment horizontal="center" vertical="center" textRotation="255"/>
    </xf>
    <xf numFmtId="0" fontId="3" fillId="0" borderId="7" xfId="0" applyFont="1" applyBorder="1" applyAlignment="1">
      <alignment horizontal="distributed" vertical="center" wrapText="1" justifyLastLine="1"/>
    </xf>
    <xf numFmtId="0" fontId="3" fillId="0" borderId="38" xfId="0" applyFont="1" applyBorder="1" applyAlignment="1">
      <alignment horizontal="distributed" vertical="center" justifyLastLine="1"/>
    </xf>
    <xf numFmtId="0" fontId="3" fillId="0" borderId="5" xfId="0" applyFont="1" applyBorder="1" applyAlignment="1">
      <alignment horizontal="distributed" vertical="center" justifyLastLine="1"/>
    </xf>
    <xf numFmtId="0" fontId="3" fillId="0" borderId="13" xfId="0" applyFont="1" applyBorder="1" applyAlignment="1">
      <alignment horizontal="distributed" vertical="center"/>
    </xf>
    <xf numFmtId="0" fontId="4" fillId="0" borderId="7" xfId="0" applyFont="1" applyFill="1" applyBorder="1" applyAlignment="1">
      <alignment horizontal="distributed" vertical="center" wrapText="1" justifyLastLine="1"/>
    </xf>
    <xf numFmtId="0" fontId="4" fillId="0" borderId="38" xfId="0" applyFont="1" applyFill="1" applyBorder="1" applyAlignment="1">
      <alignment horizontal="distributed" vertical="center" justifyLastLine="1"/>
    </xf>
    <xf numFmtId="0" fontId="4" fillId="0" borderId="5" xfId="0" applyFont="1" applyFill="1" applyBorder="1" applyAlignment="1">
      <alignment horizontal="distributed" vertical="center" justifyLastLine="1"/>
    </xf>
    <xf numFmtId="0" fontId="4" fillId="0" borderId="7" xfId="0" applyFont="1" applyBorder="1" applyAlignment="1">
      <alignment horizontal="distributed" vertical="center" wrapText="1" justifyLastLine="1"/>
    </xf>
    <xf numFmtId="0" fontId="4" fillId="0" borderId="38" xfId="0" applyFont="1" applyBorder="1" applyAlignment="1">
      <alignment horizontal="distributed" vertical="center" justifyLastLine="1"/>
    </xf>
    <xf numFmtId="0" fontId="4" fillId="0" borderId="5" xfId="0" applyFont="1" applyBorder="1" applyAlignment="1">
      <alignment horizontal="distributed" vertical="center" justifyLastLine="1"/>
    </xf>
    <xf numFmtId="0" fontId="4" fillId="0" borderId="21" xfId="0" applyFont="1" applyBorder="1" applyAlignment="1">
      <alignment vertical="center" wrapText="1"/>
    </xf>
    <xf numFmtId="0" fontId="4" fillId="0" borderId="21" xfId="0" applyFont="1" applyBorder="1" applyAlignment="1">
      <alignment vertical="center"/>
    </xf>
    <xf numFmtId="0" fontId="0" fillId="0" borderId="85" xfId="0" applyBorder="1" applyAlignment="1">
      <alignment horizontal="center" vertical="center" wrapText="1"/>
    </xf>
    <xf numFmtId="0" fontId="0" fillId="0" borderId="10" xfId="0" applyBorder="1" applyAlignment="1">
      <alignment horizontal="center" vertical="center" wrapText="1"/>
    </xf>
    <xf numFmtId="176" fontId="3" fillId="0" borderId="7" xfId="0" applyNumberFormat="1" applyFont="1" applyFill="1" applyBorder="1" applyAlignment="1">
      <alignment vertical="center"/>
    </xf>
    <xf numFmtId="176" fontId="3" fillId="0" borderId="5" xfId="0" applyNumberFormat="1" applyFont="1" applyFill="1" applyBorder="1" applyAlignment="1">
      <alignment vertical="center"/>
    </xf>
    <xf numFmtId="176" fontId="29" fillId="0" borderId="7" xfId="0" applyNumberFormat="1" applyFont="1" applyFill="1" applyBorder="1" applyAlignment="1">
      <alignment horizontal="right" vertical="center"/>
    </xf>
    <xf numFmtId="176" fontId="29" fillId="0" borderId="38" xfId="0" applyNumberFormat="1" applyFont="1" applyFill="1" applyBorder="1" applyAlignment="1">
      <alignment horizontal="right" vertical="center"/>
    </xf>
    <xf numFmtId="176" fontId="29" fillId="0" borderId="5" xfId="0" applyNumberFormat="1" applyFont="1" applyFill="1" applyBorder="1" applyAlignment="1">
      <alignment horizontal="right" vertical="center"/>
    </xf>
    <xf numFmtId="177" fontId="3" fillId="0" borderId="7" xfId="0" applyNumberFormat="1" applyFont="1" applyBorder="1" applyAlignment="1">
      <alignment vertical="center"/>
    </xf>
    <xf numFmtId="177" fontId="3" fillId="0" borderId="5" xfId="0" applyNumberFormat="1" applyFont="1" applyBorder="1" applyAlignment="1">
      <alignment vertical="center"/>
    </xf>
    <xf numFmtId="0" fontId="6" fillId="0" borderId="0" xfId="0" applyFont="1" applyAlignment="1">
      <alignment horizontal="center"/>
    </xf>
    <xf numFmtId="0" fontId="3" fillId="0" borderId="105" xfId="0" applyFont="1" applyBorder="1" applyAlignment="1">
      <alignment horizontal="distributed" vertical="center" wrapText="1" justifyLastLine="1"/>
    </xf>
    <xf numFmtId="0" fontId="3" fillId="0" borderId="106" xfId="0" applyFont="1" applyBorder="1" applyAlignment="1">
      <alignment horizontal="distributed" vertical="center" justifyLastLine="1"/>
    </xf>
    <xf numFmtId="0" fontId="3" fillId="0" borderId="101" xfId="0" applyFont="1" applyBorder="1" applyAlignment="1">
      <alignment horizontal="distributed" vertical="center" justifyLastLine="1"/>
    </xf>
    <xf numFmtId="0" fontId="3" fillId="0" borderId="117" xfId="0" applyFont="1" applyBorder="1" applyAlignment="1">
      <alignment horizontal="distributed" vertical="center" justifyLastLine="1"/>
    </xf>
    <xf numFmtId="0" fontId="3" fillId="0" borderId="1" xfId="0" applyFont="1" applyBorder="1" applyAlignment="1">
      <alignment horizontal="distributed" vertical="center" justifyLastLine="1"/>
    </xf>
    <xf numFmtId="0" fontId="3" fillId="0" borderId="37" xfId="0" applyFont="1" applyBorder="1" applyAlignment="1">
      <alignment horizontal="distributed" vertical="center" justifyLastLine="1"/>
    </xf>
    <xf numFmtId="176" fontId="8" fillId="0" borderId="3" xfId="0" applyNumberFormat="1" applyFont="1" applyBorder="1" applyAlignment="1">
      <alignment vertical="center"/>
    </xf>
    <xf numFmtId="0" fontId="3" fillId="0" borderId="103" xfId="0" applyFont="1" applyBorder="1" applyAlignment="1">
      <alignment horizontal="distributed" vertical="center" justifyLastLine="1"/>
    </xf>
    <xf numFmtId="0" fontId="3" fillId="0" borderId="102" xfId="0" applyFont="1" applyBorder="1" applyAlignment="1">
      <alignment horizontal="distributed" vertical="center" justifyLastLine="1"/>
    </xf>
    <xf numFmtId="0" fontId="3" fillId="0" borderId="42" xfId="0" applyFont="1" applyBorder="1" applyAlignment="1">
      <alignment horizontal="distributed" vertical="center" justifyLastLine="1"/>
    </xf>
    <xf numFmtId="0" fontId="3" fillId="0" borderId="51" xfId="0" applyFont="1" applyBorder="1" applyAlignment="1">
      <alignment horizontal="distributed" vertical="center" justifyLastLine="1"/>
    </xf>
    <xf numFmtId="0" fontId="3" fillId="0" borderId="6" xfId="0" applyFont="1" applyBorder="1" applyAlignment="1">
      <alignment horizontal="distributed" vertical="center"/>
    </xf>
    <xf numFmtId="0" fontId="3" fillId="0" borderId="53" xfId="0" applyFont="1" applyBorder="1" applyAlignment="1">
      <alignment horizontal="distributed" vertical="center"/>
    </xf>
    <xf numFmtId="0" fontId="3" fillId="0" borderId="25" xfId="0" applyFont="1" applyBorder="1" applyAlignment="1">
      <alignment horizontal="distributed" vertical="center"/>
    </xf>
    <xf numFmtId="0" fontId="3" fillId="0" borderId="26" xfId="0" applyFont="1" applyBorder="1" applyAlignment="1">
      <alignment horizontal="distributed" vertical="center"/>
    </xf>
    <xf numFmtId="0" fontId="4" fillId="0" borderId="52" xfId="0" applyFont="1" applyBorder="1" applyAlignment="1">
      <alignment horizontal="distributed" vertical="center" wrapText="1"/>
    </xf>
    <xf numFmtId="0" fontId="4" fillId="0" borderId="94" xfId="0" applyFont="1" applyBorder="1" applyAlignment="1">
      <alignment horizontal="distributed" vertical="center"/>
    </xf>
    <xf numFmtId="0" fontId="4" fillId="0" borderId="46" xfId="0" applyFont="1" applyBorder="1" applyAlignment="1">
      <alignment horizontal="left" vertical="center"/>
    </xf>
    <xf numFmtId="0" fontId="4" fillId="0" borderId="99" xfId="0" applyFont="1" applyBorder="1" applyAlignment="1">
      <alignment horizontal="left" vertical="center"/>
    </xf>
    <xf numFmtId="0" fontId="3" fillId="0" borderId="7" xfId="0" applyFont="1" applyBorder="1" applyAlignment="1">
      <alignment vertical="center" shrinkToFit="1"/>
    </xf>
    <xf numFmtId="0" fontId="3" fillId="0" borderId="5" xfId="0" applyFont="1" applyBorder="1" applyAlignment="1">
      <alignment vertical="center" shrinkToFit="1"/>
    </xf>
    <xf numFmtId="0" fontId="3" fillId="0" borderId="7" xfId="0" applyFont="1" applyBorder="1" applyAlignment="1">
      <alignment horizontal="center" vertical="center"/>
    </xf>
    <xf numFmtId="0" fontId="3" fillId="0" borderId="5" xfId="0" applyFont="1" applyBorder="1" applyAlignment="1">
      <alignment horizontal="center" vertical="center"/>
    </xf>
    <xf numFmtId="0" fontId="3" fillId="0" borderId="101" xfId="0" applyFont="1" applyBorder="1" applyAlignment="1">
      <alignment horizontal="distributed" vertical="center"/>
    </xf>
    <xf numFmtId="0" fontId="3" fillId="0" borderId="102" xfId="0" applyFont="1" applyBorder="1" applyAlignment="1">
      <alignment horizontal="distributed" vertical="center"/>
    </xf>
    <xf numFmtId="0" fontId="3" fillId="0" borderId="7" xfId="0" applyFont="1" applyBorder="1" applyAlignment="1">
      <alignment horizontal="distributed" vertical="center"/>
    </xf>
    <xf numFmtId="0" fontId="3" fillId="0" borderId="2" xfId="0" applyFont="1" applyBorder="1" applyAlignment="1">
      <alignment horizontal="distributed" vertical="center"/>
    </xf>
    <xf numFmtId="0" fontId="3" fillId="0" borderId="103" xfId="0" applyFont="1" applyBorder="1" applyAlignment="1">
      <alignment horizontal="distributed" vertical="center"/>
    </xf>
    <xf numFmtId="0" fontId="3" fillId="0" borderId="10" xfId="0" applyFont="1" applyBorder="1" applyAlignment="1">
      <alignment horizontal="distributed" vertical="center"/>
    </xf>
    <xf numFmtId="0" fontId="3" fillId="0" borderId="104" xfId="0" applyFont="1" applyBorder="1" applyAlignment="1">
      <alignment horizontal="distributed" vertical="center"/>
    </xf>
    <xf numFmtId="0" fontId="3" fillId="0" borderId="63" xfId="0" applyFont="1" applyBorder="1" applyAlignment="1">
      <alignment horizontal="distributed" vertical="center"/>
    </xf>
    <xf numFmtId="0" fontId="3" fillId="0" borderId="9" xfId="0" applyFont="1" applyBorder="1" applyAlignment="1">
      <alignment horizontal="center" vertical="center" shrinkToFit="1"/>
    </xf>
    <xf numFmtId="0" fontId="3" fillId="0" borderId="66" xfId="0" applyFont="1" applyBorder="1" applyAlignment="1">
      <alignment horizontal="center" vertical="center" shrinkToFit="1"/>
    </xf>
    <xf numFmtId="0" fontId="3" fillId="0" borderId="54" xfId="0" applyFont="1" applyBorder="1" applyAlignment="1">
      <alignment horizontal="center" vertical="center" shrinkToFit="1"/>
    </xf>
    <xf numFmtId="0" fontId="3" fillId="0" borderId="15" xfId="0" applyFont="1" applyBorder="1" applyAlignment="1">
      <alignment horizontal="center" vertical="center" shrinkToFit="1"/>
    </xf>
    <xf numFmtId="0" fontId="3" fillId="0" borderId="104" xfId="0" applyFont="1" applyBorder="1" applyAlignment="1">
      <alignment horizontal="center" vertical="center" shrinkToFit="1"/>
    </xf>
    <xf numFmtId="0" fontId="3" fillId="0" borderId="63" xfId="0" applyFont="1" applyBorder="1" applyAlignment="1">
      <alignment horizontal="center" vertical="center" shrinkToFit="1"/>
    </xf>
    <xf numFmtId="176" fontId="29" fillId="0" borderId="96" xfId="0" applyNumberFormat="1" applyFont="1" applyBorder="1" applyAlignment="1">
      <alignment horizontal="right" vertical="center"/>
    </xf>
    <xf numFmtId="176" fontId="29" fillId="0" borderId="97" xfId="0" applyNumberFormat="1" applyFont="1" applyBorder="1" applyAlignment="1">
      <alignment horizontal="right" vertical="center"/>
    </xf>
    <xf numFmtId="0" fontId="3" fillId="0" borderId="52" xfId="0" applyFont="1" applyFill="1" applyBorder="1" applyAlignment="1">
      <alignment horizontal="distributed" vertical="center"/>
    </xf>
    <xf numFmtId="0" fontId="3" fillId="0" borderId="54" xfId="0" applyFont="1" applyFill="1" applyBorder="1" applyAlignment="1">
      <alignment horizontal="distributed" vertical="center"/>
    </xf>
    <xf numFmtId="0" fontId="3" fillId="0" borderId="94" xfId="0" applyFont="1" applyFill="1" applyBorder="1" applyAlignment="1">
      <alignment horizontal="distributed" vertical="center"/>
    </xf>
    <xf numFmtId="0" fontId="3" fillId="0" borderId="95" xfId="0" applyFont="1" applyFill="1" applyBorder="1" applyAlignment="1">
      <alignment horizontal="distributed" vertical="center"/>
    </xf>
    <xf numFmtId="0" fontId="4" fillId="0" borderId="7" xfId="0" applyFont="1" applyFill="1" applyBorder="1" applyAlignment="1">
      <alignment horizontal="distributed" vertical="center" wrapText="1"/>
    </xf>
    <xf numFmtId="0" fontId="4" fillId="0" borderId="5" xfId="0" applyFont="1" applyFill="1" applyBorder="1" applyAlignment="1">
      <alignment horizontal="distributed" vertical="center"/>
    </xf>
    <xf numFmtId="0" fontId="4" fillId="0" borderId="7" xfId="0" applyFont="1" applyFill="1" applyBorder="1" applyAlignment="1">
      <alignment horizontal="distributed" wrapText="1"/>
    </xf>
    <xf numFmtId="0" fontId="4" fillId="0" borderId="5" xfId="0" applyFont="1" applyFill="1" applyBorder="1" applyAlignment="1">
      <alignment horizontal="distributed"/>
    </xf>
    <xf numFmtId="0" fontId="4" fillId="0" borderId="2" xfId="0" applyFont="1" applyBorder="1" applyAlignment="1">
      <alignment horizontal="distributed" vertical="center"/>
    </xf>
    <xf numFmtId="177" fontId="3" fillId="0" borderId="96" xfId="0" applyNumberFormat="1" applyFont="1" applyBorder="1" applyAlignment="1">
      <alignment vertical="center"/>
    </xf>
    <xf numFmtId="177" fontId="3" fillId="0" borderId="97" xfId="0" applyNumberFormat="1" applyFont="1" applyBorder="1" applyAlignment="1">
      <alignment vertical="center"/>
    </xf>
    <xf numFmtId="0" fontId="3" fillId="0" borderId="21" xfId="0" applyFont="1" applyBorder="1" applyAlignment="1">
      <alignment horizontal="left" vertical="center"/>
    </xf>
    <xf numFmtId="0" fontId="3" fillId="0" borderId="7" xfId="0" applyFont="1" applyBorder="1" applyAlignment="1">
      <alignment horizontal="distributed" vertical="center" wrapText="1"/>
    </xf>
    <xf numFmtId="0" fontId="3" fillId="0" borderId="5" xfId="0" applyFont="1" applyBorder="1" applyAlignment="1">
      <alignment horizontal="distributed" vertical="center" wrapText="1"/>
    </xf>
    <xf numFmtId="177" fontId="3" fillId="12" borderId="7" xfId="0" applyNumberFormat="1" applyFont="1" applyFill="1" applyBorder="1" applyAlignment="1">
      <alignment horizontal="right" vertical="center"/>
    </xf>
    <xf numFmtId="177" fontId="3" fillId="12" borderId="5" xfId="0" applyNumberFormat="1" applyFont="1" applyFill="1" applyBorder="1" applyAlignment="1">
      <alignment horizontal="right" vertical="center"/>
    </xf>
    <xf numFmtId="176" fontId="3" fillId="12" borderId="21" xfId="0" applyNumberFormat="1" applyFont="1" applyFill="1" applyBorder="1" applyAlignment="1">
      <alignment horizontal="right" vertical="center"/>
    </xf>
    <xf numFmtId="176" fontId="3" fillId="12" borderId="65" xfId="0" applyNumberFormat="1" applyFont="1" applyFill="1" applyBorder="1" applyAlignment="1">
      <alignment horizontal="right" vertical="center"/>
    </xf>
    <xf numFmtId="176" fontId="3" fillId="0" borderId="1" xfId="0" applyNumberFormat="1" applyFont="1" applyBorder="1" applyAlignment="1">
      <alignment vertical="center"/>
    </xf>
    <xf numFmtId="176" fontId="3" fillId="0" borderId="96" xfId="0" applyNumberFormat="1" applyFont="1" applyBorder="1" applyAlignment="1">
      <alignment vertical="center"/>
    </xf>
    <xf numFmtId="0" fontId="0" fillId="0" borderId="97" xfId="0" applyFont="1" applyBorder="1" applyAlignment="1">
      <alignment vertical="center"/>
    </xf>
    <xf numFmtId="176" fontId="3" fillId="8" borderId="7" xfId="0" applyNumberFormat="1" applyFont="1" applyFill="1" applyBorder="1" applyAlignment="1">
      <alignment horizontal="right" vertical="center"/>
    </xf>
    <xf numFmtId="176" fontId="3" fillId="8" borderId="38" xfId="0" applyNumberFormat="1" applyFont="1" applyFill="1" applyBorder="1" applyAlignment="1">
      <alignment horizontal="right" vertical="center"/>
    </xf>
    <xf numFmtId="176" fontId="3" fillId="8" borderId="5" xfId="0" applyNumberFormat="1" applyFont="1" applyFill="1" applyBorder="1" applyAlignment="1">
      <alignment horizontal="right" vertical="center"/>
    </xf>
    <xf numFmtId="0" fontId="3" fillId="0" borderId="7" xfId="0" applyFont="1" applyFill="1" applyBorder="1" applyAlignment="1">
      <alignment horizontal="distributed" vertical="center" wrapText="1" justifyLastLine="1"/>
    </xf>
    <xf numFmtId="0" fontId="3" fillId="0" borderId="38" xfId="0" applyFont="1" applyFill="1" applyBorder="1" applyAlignment="1">
      <alignment horizontal="distributed" vertical="center" wrapText="1" justifyLastLine="1"/>
    </xf>
    <xf numFmtId="0" fontId="3" fillId="0" borderId="5" xfId="0" applyFont="1" applyFill="1" applyBorder="1" applyAlignment="1">
      <alignment horizontal="distributed" vertical="center" wrapText="1" justifyLastLine="1"/>
    </xf>
    <xf numFmtId="0" fontId="3" fillId="0" borderId="46" xfId="0" applyFont="1" applyBorder="1" applyAlignment="1">
      <alignment horizontal="left" vertical="center"/>
    </xf>
    <xf numFmtId="0" fontId="3" fillId="0" borderId="99" xfId="0" applyFont="1" applyBorder="1" applyAlignment="1">
      <alignment horizontal="left" vertical="center"/>
    </xf>
    <xf numFmtId="0" fontId="0" fillId="0" borderId="5" xfId="0" applyFont="1" applyBorder="1" applyAlignment="1">
      <alignment vertical="center"/>
    </xf>
    <xf numFmtId="176" fontId="3" fillId="8" borderId="21" xfId="0" applyNumberFormat="1" applyFont="1" applyFill="1" applyBorder="1" applyAlignment="1">
      <alignment vertical="center"/>
    </xf>
    <xf numFmtId="176" fontId="3" fillId="8" borderId="65" xfId="0" applyNumberFormat="1" applyFont="1" applyFill="1" applyBorder="1" applyAlignment="1">
      <alignment vertical="center"/>
    </xf>
    <xf numFmtId="176" fontId="3" fillId="8" borderId="38" xfId="0" applyNumberFormat="1" applyFont="1" applyFill="1" applyBorder="1" applyAlignment="1">
      <alignment vertical="center"/>
    </xf>
    <xf numFmtId="176" fontId="3" fillId="8" borderId="5" xfId="0" applyNumberFormat="1" applyFont="1" applyFill="1" applyBorder="1" applyAlignment="1">
      <alignment vertical="center"/>
    </xf>
    <xf numFmtId="0" fontId="3" fillId="0" borderId="55" xfId="0" applyFont="1" applyBorder="1" applyAlignment="1">
      <alignment horizontal="center" vertical="center" wrapText="1"/>
    </xf>
    <xf numFmtId="0" fontId="3" fillId="0" borderId="70" xfId="0" applyFont="1" applyBorder="1" applyAlignment="1">
      <alignment horizontal="center" vertical="center" wrapText="1"/>
    </xf>
    <xf numFmtId="0" fontId="0" fillId="0" borderId="66" xfId="0" applyFont="1" applyBorder="1" applyAlignment="1">
      <alignment vertical="center"/>
    </xf>
    <xf numFmtId="0" fontId="0" fillId="0" borderId="54" xfId="0" applyFont="1" applyBorder="1" applyAlignment="1">
      <alignment vertical="center"/>
    </xf>
    <xf numFmtId="0" fontId="0" fillId="0" borderId="67" xfId="0" applyFont="1" applyBorder="1" applyAlignment="1">
      <alignment vertical="center"/>
    </xf>
    <xf numFmtId="0" fontId="0" fillId="0" borderId="95" xfId="0" applyFont="1" applyBorder="1" applyAlignment="1">
      <alignment vertical="center"/>
    </xf>
    <xf numFmtId="0" fontId="6" fillId="0" borderId="0" xfId="0" applyFont="1" applyFill="1" applyAlignment="1">
      <alignment horizontal="center"/>
    </xf>
    <xf numFmtId="0" fontId="3" fillId="0" borderId="7" xfId="0" applyFont="1" applyBorder="1" applyAlignment="1">
      <alignment horizontal="distributed" vertical="distributed" wrapText="1"/>
    </xf>
    <xf numFmtId="0" fontId="3" fillId="0" borderId="38" xfId="0" applyFont="1" applyBorder="1" applyAlignment="1">
      <alignment horizontal="distributed" vertical="distributed" wrapText="1"/>
    </xf>
    <xf numFmtId="176" fontId="3" fillId="0" borderId="97" xfId="0" applyNumberFormat="1" applyFont="1" applyBorder="1" applyAlignment="1">
      <alignment vertical="center"/>
    </xf>
    <xf numFmtId="176" fontId="3" fillId="12" borderId="54" xfId="0" applyNumberFormat="1" applyFont="1" applyFill="1" applyBorder="1" applyAlignment="1">
      <alignment vertical="center"/>
    </xf>
    <xf numFmtId="176" fontId="3" fillId="12" borderId="95" xfId="0" applyNumberFormat="1" applyFont="1" applyFill="1" applyBorder="1" applyAlignment="1">
      <alignment vertical="center"/>
    </xf>
    <xf numFmtId="176" fontId="3" fillId="0" borderId="100" xfId="0" applyNumberFormat="1" applyFont="1" applyBorder="1" applyAlignment="1">
      <alignment vertical="center"/>
    </xf>
    <xf numFmtId="176" fontId="3" fillId="0" borderId="64" xfId="0" applyNumberFormat="1" applyFont="1" applyBorder="1" applyAlignment="1">
      <alignment vertical="center"/>
    </xf>
    <xf numFmtId="176" fontId="3" fillId="12" borderId="7" xfId="0" applyNumberFormat="1" applyFont="1" applyFill="1" applyBorder="1" applyAlignment="1">
      <alignment vertical="center"/>
    </xf>
    <xf numFmtId="176" fontId="3" fillId="12" borderId="5" xfId="0" applyNumberFormat="1" applyFont="1" applyFill="1" applyBorder="1" applyAlignment="1">
      <alignment vertical="center"/>
    </xf>
    <xf numFmtId="0" fontId="0" fillId="0" borderId="66" xfId="0" applyFont="1" applyBorder="1" applyAlignment="1">
      <alignment horizontal="distributed" vertical="center"/>
    </xf>
    <xf numFmtId="0" fontId="0" fillId="0" borderId="54" xfId="0" applyFont="1" applyBorder="1" applyAlignment="1">
      <alignment horizontal="distributed" vertical="center"/>
    </xf>
    <xf numFmtId="0" fontId="0" fillId="0" borderId="67" xfId="0" applyFont="1" applyBorder="1" applyAlignment="1">
      <alignment horizontal="distributed" vertical="center"/>
    </xf>
    <xf numFmtId="0" fontId="0" fillId="0" borderId="95" xfId="0" applyFont="1" applyBorder="1" applyAlignment="1">
      <alignment horizontal="distributed" vertical="center"/>
    </xf>
    <xf numFmtId="176" fontId="3" fillId="3" borderId="7" xfId="0" applyNumberFormat="1" applyFont="1" applyFill="1" applyBorder="1" applyAlignment="1">
      <alignment vertical="center"/>
    </xf>
    <xf numFmtId="176" fontId="3" fillId="3" borderId="5" xfId="0" applyNumberFormat="1" applyFont="1" applyFill="1" applyBorder="1" applyAlignment="1">
      <alignment vertical="center"/>
    </xf>
    <xf numFmtId="176" fontId="3" fillId="8" borderId="96" xfId="0" applyNumberFormat="1" applyFont="1" applyFill="1" applyBorder="1" applyAlignment="1">
      <alignment vertical="center"/>
    </xf>
    <xf numFmtId="176" fontId="3" fillId="8" borderId="97" xfId="0" applyNumberFormat="1" applyFont="1" applyFill="1" applyBorder="1" applyAlignment="1">
      <alignment vertical="center"/>
    </xf>
    <xf numFmtId="176" fontId="3" fillId="0" borderId="98" xfId="0" applyNumberFormat="1" applyFont="1" applyBorder="1" applyAlignment="1">
      <alignment vertical="center"/>
    </xf>
    <xf numFmtId="176" fontId="3" fillId="8" borderId="98" xfId="0" applyNumberFormat="1" applyFont="1" applyFill="1" applyBorder="1" applyAlignment="1">
      <alignment vertical="center"/>
    </xf>
    <xf numFmtId="176" fontId="3" fillId="8" borderId="7" xfId="0" applyNumberFormat="1" applyFont="1" applyFill="1" applyBorder="1" applyAlignment="1">
      <alignment vertical="center"/>
    </xf>
    <xf numFmtId="176" fontId="3" fillId="0" borderId="38" xfId="0" applyNumberFormat="1" applyFont="1" applyBorder="1" applyAlignment="1">
      <alignment vertical="center"/>
    </xf>
    <xf numFmtId="176" fontId="3" fillId="0" borderId="2" xfId="0" applyNumberFormat="1" applyFont="1" applyBorder="1" applyAlignment="1">
      <alignment vertical="center"/>
    </xf>
    <xf numFmtId="176" fontId="3" fillId="12" borderId="38" xfId="0" applyNumberFormat="1" applyFont="1" applyFill="1" applyBorder="1" applyAlignment="1">
      <alignment vertical="center"/>
    </xf>
    <xf numFmtId="0" fontId="0" fillId="8" borderId="65" xfId="0" applyFont="1" applyFill="1" applyBorder="1" applyAlignment="1">
      <alignment vertical="center"/>
    </xf>
    <xf numFmtId="176" fontId="3" fillId="0" borderId="61" xfId="0" applyNumberFormat="1" applyFont="1" applyBorder="1" applyAlignment="1">
      <alignment vertical="center"/>
    </xf>
    <xf numFmtId="176" fontId="3" fillId="0" borderId="11" xfId="0" applyNumberFormat="1" applyFont="1" applyBorder="1" applyAlignment="1">
      <alignment vertical="center"/>
    </xf>
    <xf numFmtId="176" fontId="3" fillId="0" borderId="3" xfId="0" applyNumberFormat="1" applyFont="1" applyBorder="1" applyAlignment="1">
      <alignment vertical="center"/>
    </xf>
    <xf numFmtId="176" fontId="3" fillId="0" borderId="107" xfId="0" applyNumberFormat="1" applyFont="1" applyBorder="1" applyAlignment="1">
      <alignment vertical="center"/>
    </xf>
    <xf numFmtId="0" fontId="3" fillId="0" borderId="38" xfId="0" applyFont="1" applyBorder="1" applyAlignment="1">
      <alignment horizontal="distributed" vertical="center" wrapText="1" justifyLastLine="1"/>
    </xf>
    <xf numFmtId="0" fontId="3" fillId="0" borderId="5" xfId="0" applyFont="1" applyBorder="1" applyAlignment="1">
      <alignment horizontal="distributed" vertical="center" wrapText="1" justifyLastLine="1"/>
    </xf>
    <xf numFmtId="0" fontId="15" fillId="0" borderId="5" xfId="0" applyFont="1" applyBorder="1" applyAlignment="1">
      <alignment horizontal="distributed" vertical="center" justifyLastLine="1"/>
    </xf>
    <xf numFmtId="0" fontId="20" fillId="0" borderId="5" xfId="0" applyFont="1" applyBorder="1" applyAlignment="1">
      <alignment horizontal="distributed" vertical="center" justifyLastLine="1"/>
    </xf>
    <xf numFmtId="176" fontId="3" fillId="0" borderId="108" xfId="0" applyNumberFormat="1" applyFont="1" applyBorder="1" applyAlignment="1">
      <alignment vertical="center"/>
    </xf>
    <xf numFmtId="176" fontId="3" fillId="0" borderId="109" xfId="0" applyNumberFormat="1" applyFont="1" applyBorder="1" applyAlignment="1">
      <alignment vertical="center"/>
    </xf>
    <xf numFmtId="176" fontId="3" fillId="0" borderId="110" xfId="0" applyNumberFormat="1" applyFont="1" applyBorder="1" applyAlignment="1">
      <alignment vertical="center"/>
    </xf>
    <xf numFmtId="0" fontId="0" fillId="0" borderId="116" xfId="0" applyFont="1" applyBorder="1" applyAlignment="1">
      <alignment horizontal="center" vertical="center" wrapText="1"/>
    </xf>
    <xf numFmtId="0" fontId="0" fillId="0" borderId="87" xfId="0" applyFont="1" applyBorder="1" applyAlignment="1">
      <alignment horizontal="center" vertical="center" wrapText="1"/>
    </xf>
    <xf numFmtId="0" fontId="0" fillId="0" borderId="119" xfId="0" applyFont="1" applyBorder="1" applyAlignment="1">
      <alignment horizontal="center" vertical="center" wrapText="1"/>
    </xf>
    <xf numFmtId="0" fontId="0" fillId="0" borderId="55" xfId="0" applyFont="1" applyBorder="1" applyAlignment="1">
      <alignment horizontal="center" vertical="center" wrapText="1"/>
    </xf>
    <xf numFmtId="0" fontId="0" fillId="0" borderId="50" xfId="0" applyFont="1" applyBorder="1" applyAlignment="1">
      <alignment horizontal="distributed" vertical="center"/>
    </xf>
    <xf numFmtId="0" fontId="0" fillId="0" borderId="52" xfId="0" applyFont="1" applyBorder="1" applyAlignment="1">
      <alignment horizontal="distributed" vertical="center"/>
    </xf>
    <xf numFmtId="0" fontId="3" fillId="0" borderId="7" xfId="0" applyFont="1" applyBorder="1" applyAlignment="1">
      <alignment vertical="center" wrapText="1"/>
    </xf>
    <xf numFmtId="0" fontId="3" fillId="0" borderId="5" xfId="0" applyFont="1" applyBorder="1" applyAlignment="1">
      <alignment vertical="center" wrapText="1"/>
    </xf>
    <xf numFmtId="0" fontId="0" fillId="0" borderId="118" xfId="0" applyFont="1" applyBorder="1" applyAlignment="1">
      <alignment horizontal="distributed" vertical="center"/>
    </xf>
    <xf numFmtId="0" fontId="0" fillId="0" borderId="8" xfId="0" applyFont="1" applyBorder="1" applyAlignment="1">
      <alignment horizontal="distributed" vertical="center"/>
    </xf>
    <xf numFmtId="0" fontId="0" fillId="0" borderId="94" xfId="0" applyFont="1" applyBorder="1" applyAlignment="1">
      <alignment vertical="center"/>
    </xf>
    <xf numFmtId="0" fontId="0" fillId="0" borderId="94" xfId="0" applyFont="1" applyBorder="1" applyAlignment="1">
      <alignment horizontal="distributed" vertical="center"/>
    </xf>
    <xf numFmtId="0" fontId="0" fillId="0" borderId="85" xfId="0" applyFont="1" applyBorder="1" applyAlignment="1">
      <alignment horizontal="center" vertical="center" wrapText="1"/>
    </xf>
    <xf numFmtId="0" fontId="0" fillId="0" borderId="17" xfId="0" applyFont="1" applyBorder="1" applyAlignment="1">
      <alignment horizontal="center" vertical="center" wrapText="1"/>
    </xf>
    <xf numFmtId="0" fontId="0" fillId="0" borderId="10" xfId="0" applyFont="1" applyBorder="1" applyAlignment="1">
      <alignment horizontal="center" vertical="center" wrapText="1"/>
    </xf>
    <xf numFmtId="176" fontId="3" fillId="12" borderId="2" xfId="0" applyNumberFormat="1" applyFont="1" applyFill="1" applyBorder="1" applyAlignment="1">
      <alignment vertical="center"/>
    </xf>
    <xf numFmtId="176" fontId="3" fillId="7" borderId="7" xfId="0" applyNumberFormat="1" applyFont="1" applyFill="1" applyBorder="1" applyAlignment="1">
      <alignment vertical="center"/>
    </xf>
    <xf numFmtId="176" fontId="3" fillId="7" borderId="2" xfId="0" applyNumberFormat="1" applyFont="1" applyFill="1" applyBorder="1" applyAlignment="1">
      <alignment vertical="center"/>
    </xf>
    <xf numFmtId="0" fontId="3" fillId="0" borderId="14" xfId="0" applyFont="1" applyBorder="1" applyAlignment="1">
      <alignment horizontal="distributed" vertical="center"/>
    </xf>
    <xf numFmtId="0" fontId="0" fillId="8" borderId="21" xfId="0" applyFont="1" applyFill="1" applyBorder="1" applyAlignment="1">
      <alignment vertical="center"/>
    </xf>
    <xf numFmtId="176" fontId="3" fillId="0" borderId="96" xfId="0" applyNumberFormat="1" applyFont="1" applyFill="1" applyBorder="1" applyAlignment="1">
      <alignment vertical="center"/>
    </xf>
    <xf numFmtId="176" fontId="3" fillId="0" borderId="97" xfId="0" applyNumberFormat="1" applyFont="1" applyFill="1" applyBorder="1" applyAlignment="1">
      <alignment vertical="center"/>
    </xf>
    <xf numFmtId="0" fontId="4" fillId="0" borderId="66" xfId="0" applyFont="1" applyBorder="1" applyAlignment="1">
      <alignment horizontal="distributed" vertical="center" wrapText="1"/>
    </xf>
    <xf numFmtId="0" fontId="0" fillId="0" borderId="66" xfId="0" applyFont="1" applyFill="1" applyBorder="1" applyAlignment="1">
      <alignment horizontal="distributed" vertical="center"/>
    </xf>
    <xf numFmtId="0" fontId="0" fillId="0" borderId="54" xfId="0" applyFont="1" applyFill="1" applyBorder="1" applyAlignment="1">
      <alignment horizontal="distributed" vertical="center"/>
    </xf>
    <xf numFmtId="0" fontId="0" fillId="0" borderId="94" xfId="0" applyFont="1" applyFill="1" applyBorder="1" applyAlignment="1">
      <alignment horizontal="distributed" vertical="center"/>
    </xf>
    <xf numFmtId="0" fontId="0" fillId="0" borderId="67" xfId="0" applyFont="1" applyFill="1" applyBorder="1" applyAlignment="1">
      <alignment horizontal="distributed" vertical="center"/>
    </xf>
    <xf numFmtId="0" fontId="0" fillId="0" borderId="95" xfId="0" applyFont="1" applyFill="1" applyBorder="1" applyAlignment="1">
      <alignment horizontal="distributed" vertical="center"/>
    </xf>
    <xf numFmtId="38" fontId="3" fillId="0" borderId="52" xfId="1" applyFont="1" applyBorder="1" applyAlignment="1">
      <alignment horizontal="distributed" vertical="center"/>
    </xf>
    <xf numFmtId="38" fontId="3" fillId="0" borderId="54" xfId="1" applyFont="1" applyBorder="1" applyAlignment="1">
      <alignment horizontal="distributed" vertical="center"/>
    </xf>
    <xf numFmtId="38" fontId="3" fillId="0" borderId="6" xfId="1" applyFont="1" applyBorder="1" applyAlignment="1">
      <alignment horizontal="distributed" vertical="center"/>
    </xf>
    <xf numFmtId="38" fontId="3" fillId="0" borderId="53" xfId="1" applyFont="1" applyBorder="1" applyAlignment="1">
      <alignment horizontal="distributed" vertical="center"/>
    </xf>
    <xf numFmtId="38" fontId="15" fillId="0" borderId="6" xfId="1" applyFont="1" applyBorder="1" applyAlignment="1">
      <alignment horizontal="distributed" vertical="center"/>
    </xf>
    <xf numFmtId="38" fontId="15" fillId="0" borderId="53" xfId="1" applyFont="1" applyBorder="1" applyAlignment="1">
      <alignment horizontal="distributed" vertical="center"/>
    </xf>
    <xf numFmtId="38" fontId="15" fillId="0" borderId="121" xfId="1" applyFont="1" applyBorder="1" applyAlignment="1">
      <alignment horizontal="distributed" vertical="center"/>
    </xf>
    <xf numFmtId="38" fontId="15" fillId="0" borderId="63" xfId="1" applyFont="1" applyBorder="1" applyAlignment="1">
      <alignment horizontal="distributed" vertical="center"/>
    </xf>
    <xf numFmtId="38" fontId="3" fillId="0" borderId="7" xfId="1" applyFont="1" applyBorder="1" applyAlignment="1">
      <alignment horizontal="distributed" vertical="center"/>
    </xf>
    <xf numFmtId="38" fontId="3" fillId="0" borderId="38" xfId="1" applyFont="1" applyBorder="1" applyAlignment="1">
      <alignment horizontal="distributed" vertical="center"/>
    </xf>
    <xf numFmtId="38" fontId="15" fillId="0" borderId="38" xfId="1" applyFont="1" applyBorder="1" applyAlignment="1">
      <alignment horizontal="distributed" vertical="center"/>
    </xf>
    <xf numFmtId="38" fontId="15" fillId="0" borderId="2" xfId="1" applyFont="1" applyBorder="1" applyAlignment="1">
      <alignment horizontal="distributed" vertical="center"/>
    </xf>
    <xf numFmtId="38" fontId="3" fillId="0" borderId="1" xfId="1" applyFont="1" applyBorder="1" applyAlignment="1">
      <alignment horizontal="distributed" vertical="center" justifyLastLine="1"/>
    </xf>
    <xf numFmtId="38" fontId="3" fillId="0" borderId="37" xfId="1" applyFont="1" applyBorder="1" applyAlignment="1">
      <alignment horizontal="distributed" vertical="center" justifyLastLine="1"/>
    </xf>
    <xf numFmtId="38" fontId="3" fillId="0" borderId="101" xfId="1" applyFont="1" applyBorder="1" applyAlignment="1">
      <alignment horizontal="distributed" vertical="center" justifyLastLine="1"/>
    </xf>
    <xf numFmtId="38" fontId="3" fillId="0" borderId="117" xfId="1" applyFont="1" applyBorder="1" applyAlignment="1">
      <alignment horizontal="distributed" vertical="center" justifyLastLine="1"/>
    </xf>
    <xf numFmtId="38" fontId="3" fillId="0" borderId="8" xfId="1" applyFont="1" applyBorder="1" applyAlignment="1">
      <alignment horizontal="distributed" vertical="center"/>
    </xf>
    <xf numFmtId="38" fontId="3" fillId="0" borderId="50" xfId="1" applyFont="1" applyBorder="1" applyAlignment="1">
      <alignment horizontal="distributed" vertical="center"/>
    </xf>
    <xf numFmtId="38" fontId="3" fillId="0" borderId="21" xfId="1" applyFont="1" applyBorder="1" applyAlignment="1">
      <alignment horizontal="distributed" vertical="center"/>
    </xf>
    <xf numFmtId="38" fontId="3" fillId="0" borderId="9" xfId="1" applyFont="1" applyBorder="1" applyAlignment="1">
      <alignment horizontal="distributed" vertical="center" wrapText="1"/>
    </xf>
    <xf numFmtId="38" fontId="3" fillId="0" borderId="4" xfId="1" applyFont="1" applyBorder="1" applyAlignment="1">
      <alignment horizontal="distributed" vertical="center"/>
    </xf>
    <xf numFmtId="38" fontId="3" fillId="0" borderId="7" xfId="1" applyFont="1" applyBorder="1" applyAlignment="1">
      <alignment horizontal="distributed" vertical="center" wrapText="1"/>
    </xf>
    <xf numFmtId="38" fontId="3" fillId="0" borderId="5" xfId="1" applyFont="1" applyBorder="1" applyAlignment="1">
      <alignment horizontal="distributed" vertical="center"/>
    </xf>
    <xf numFmtId="38" fontId="3" fillId="0" borderId="122" xfId="1" applyFont="1" applyBorder="1" applyAlignment="1">
      <alignment horizontal="distributed" vertical="center"/>
    </xf>
    <xf numFmtId="38" fontId="3" fillId="0" borderId="25" xfId="1" applyFont="1" applyBorder="1" applyAlignment="1">
      <alignment horizontal="distributed" vertical="center"/>
    </xf>
    <xf numFmtId="38" fontId="3" fillId="0" borderId="26" xfId="1" applyFont="1" applyBorder="1" applyAlignment="1">
      <alignment horizontal="distributed" vertical="center"/>
    </xf>
    <xf numFmtId="38" fontId="3" fillId="0" borderId="123" xfId="1" applyFont="1" applyBorder="1" applyAlignment="1">
      <alignment horizontal="distributed" vertical="center"/>
    </xf>
    <xf numFmtId="38" fontId="3" fillId="0" borderId="67" xfId="1" applyFont="1" applyBorder="1" applyAlignment="1">
      <alignment horizontal="distributed" vertical="center"/>
    </xf>
    <xf numFmtId="38" fontId="3" fillId="0" borderId="95" xfId="1" applyFont="1" applyBorder="1" applyAlignment="1">
      <alignment horizontal="distributed" vertical="center"/>
    </xf>
    <xf numFmtId="38" fontId="3" fillId="0" borderId="46" xfId="1" applyFont="1" applyBorder="1" applyAlignment="1">
      <alignment horizontal="distributed" vertical="center"/>
    </xf>
    <xf numFmtId="38" fontId="3" fillId="0" borderId="99" xfId="1" applyFont="1" applyBorder="1" applyAlignment="1">
      <alignment horizontal="distributed" vertical="center"/>
    </xf>
    <xf numFmtId="38" fontId="15" fillId="0" borderId="38" xfId="1" applyFont="1" applyBorder="1"/>
    <xf numFmtId="38" fontId="15" fillId="0" borderId="5" xfId="1" applyFont="1" applyBorder="1"/>
    <xf numFmtId="38" fontId="3" fillId="0" borderId="66" xfId="1" applyFont="1" applyBorder="1" applyAlignment="1">
      <alignment horizontal="distributed" vertical="center" wrapText="1"/>
    </xf>
    <xf numFmtId="38" fontId="3" fillId="0" borderId="0" xfId="1" applyFont="1" applyBorder="1" applyAlignment="1">
      <alignment horizontal="distributed" vertical="center"/>
    </xf>
    <xf numFmtId="38" fontId="3" fillId="0" borderId="7" xfId="1" applyFont="1" applyBorder="1" applyAlignment="1">
      <alignment horizontal="center" vertical="center" justifyLastLine="1"/>
    </xf>
    <xf numFmtId="38" fontId="3" fillId="0" borderId="2" xfId="1" applyFont="1" applyBorder="1" applyAlignment="1">
      <alignment horizontal="center" vertical="center" justifyLastLine="1"/>
    </xf>
    <xf numFmtId="38" fontId="3" fillId="5" borderId="7" xfId="1" applyFont="1" applyFill="1" applyBorder="1" applyAlignment="1">
      <alignment vertical="center"/>
    </xf>
    <xf numFmtId="38" fontId="3" fillId="5" borderId="5" xfId="1" applyFont="1" applyFill="1" applyBorder="1" applyAlignment="1">
      <alignment vertical="center"/>
    </xf>
    <xf numFmtId="38" fontId="3" fillId="0" borderId="47" xfId="1" applyFont="1" applyBorder="1" applyAlignment="1">
      <alignment horizontal="distributed" vertical="center"/>
    </xf>
    <xf numFmtId="38" fontId="3" fillId="0" borderId="38" xfId="1" applyFont="1" applyBorder="1" applyAlignment="1">
      <alignment horizontal="distributed" vertical="center" wrapText="1"/>
    </xf>
    <xf numFmtId="38" fontId="15" fillId="0" borderId="47" xfId="1" applyFont="1" applyBorder="1"/>
    <xf numFmtId="38" fontId="15" fillId="0" borderId="99" xfId="1" applyFont="1" applyBorder="1"/>
    <xf numFmtId="38" fontId="3" fillId="0" borderId="7" xfId="1" applyFont="1" applyFill="1" applyBorder="1" applyAlignment="1">
      <alignment horizontal="right" vertical="center"/>
    </xf>
    <xf numFmtId="38" fontId="3" fillId="0" borderId="5" xfId="1" applyFont="1" applyFill="1" applyBorder="1" applyAlignment="1">
      <alignment horizontal="right" vertical="center"/>
    </xf>
    <xf numFmtId="38" fontId="3" fillId="5" borderId="7" xfId="1" applyFont="1" applyFill="1" applyBorder="1" applyAlignment="1">
      <alignment horizontal="right" vertical="center"/>
    </xf>
    <xf numFmtId="38" fontId="3" fillId="5" borderId="38" xfId="1" applyFont="1" applyFill="1" applyBorder="1" applyAlignment="1">
      <alignment horizontal="right" vertical="center"/>
    </xf>
    <xf numFmtId="38" fontId="3" fillId="0" borderId="5" xfId="1" applyFont="1" applyBorder="1" applyAlignment="1">
      <alignment horizontal="center" vertical="center" justifyLastLine="1"/>
    </xf>
    <xf numFmtId="38" fontId="6" fillId="0" borderId="0" xfId="1" applyFont="1" applyFill="1" applyAlignment="1">
      <alignment horizontal="center"/>
    </xf>
    <xf numFmtId="38" fontId="3" fillId="0" borderId="105" xfId="1" applyFont="1" applyFill="1" applyBorder="1" applyAlignment="1">
      <alignment horizontal="distributed" vertical="center" wrapText="1" justifyLastLine="1"/>
    </xf>
    <xf numFmtId="38" fontId="3" fillId="0" borderId="106" xfId="1" applyFont="1" applyFill="1" applyBorder="1" applyAlignment="1">
      <alignment horizontal="distributed" vertical="center" justifyLastLine="1"/>
    </xf>
    <xf numFmtId="38" fontId="3" fillId="0" borderId="103" xfId="1" applyFont="1" applyBorder="1" applyAlignment="1">
      <alignment horizontal="distributed" vertical="center" justifyLastLine="1"/>
    </xf>
    <xf numFmtId="38" fontId="3" fillId="0" borderId="102" xfId="1" applyFont="1" applyBorder="1" applyAlignment="1">
      <alignment horizontal="distributed" vertical="center" justifyLastLine="1"/>
    </xf>
    <xf numFmtId="38" fontId="3" fillId="0" borderId="42" xfId="1" applyFont="1" applyBorder="1" applyAlignment="1">
      <alignment horizontal="distributed" vertical="center" justifyLastLine="1"/>
    </xf>
    <xf numFmtId="38" fontId="3" fillId="0" borderId="51" xfId="1" applyFont="1" applyBorder="1" applyAlignment="1">
      <alignment horizontal="distributed" vertical="center" justifyLastLine="1"/>
    </xf>
    <xf numFmtId="38" fontId="3" fillId="0" borderId="1" xfId="1" applyFont="1" applyFill="1" applyBorder="1" applyAlignment="1">
      <alignment horizontal="distributed" vertical="center" justifyLastLine="1"/>
    </xf>
    <xf numFmtId="38" fontId="3" fillId="0" borderId="37" xfId="1" applyFont="1" applyFill="1" applyBorder="1" applyAlignment="1">
      <alignment horizontal="distributed" vertical="center" justifyLastLine="1"/>
    </xf>
    <xf numFmtId="38" fontId="3" fillId="0" borderId="94" xfId="1" applyFont="1" applyBorder="1" applyAlignment="1">
      <alignment horizontal="distributed" vertical="center"/>
    </xf>
    <xf numFmtId="38" fontId="3" fillId="0" borderId="7" xfId="1" applyFont="1" applyFill="1" applyBorder="1" applyAlignment="1">
      <alignment vertical="center"/>
    </xf>
    <xf numFmtId="38" fontId="3" fillId="0" borderId="5" xfId="1" applyFont="1" applyFill="1" applyBorder="1" applyAlignment="1">
      <alignment vertical="center"/>
    </xf>
    <xf numFmtId="38" fontId="3" fillId="0" borderId="80" xfId="1" applyFont="1" applyBorder="1" applyAlignment="1">
      <alignment horizontal="center"/>
    </xf>
    <xf numFmtId="38" fontId="3" fillId="0" borderId="120" xfId="1" applyFont="1" applyBorder="1" applyAlignment="1">
      <alignment horizontal="center"/>
    </xf>
    <xf numFmtId="38" fontId="3" fillId="0" borderId="80" xfId="1" applyFont="1" applyBorder="1" applyAlignment="1">
      <alignment horizontal="center" vertical="center"/>
    </xf>
    <xf numFmtId="38" fontId="3" fillId="0" borderId="120" xfId="1" applyFont="1" applyBorder="1" applyAlignment="1">
      <alignment horizontal="center" vertical="center"/>
    </xf>
    <xf numFmtId="38" fontId="3" fillId="0" borderId="3" xfId="1" applyFont="1" applyFill="1" applyBorder="1" applyAlignment="1">
      <alignment vertical="center"/>
    </xf>
    <xf numFmtId="38" fontId="3" fillId="0" borderId="57" xfId="1" applyFont="1" applyBorder="1" applyAlignment="1">
      <alignment horizontal="center" vertical="center"/>
    </xf>
    <xf numFmtId="38" fontId="3" fillId="0" borderId="57" xfId="1" applyFont="1" applyBorder="1" applyAlignment="1">
      <alignment horizontal="center"/>
    </xf>
    <xf numFmtId="38" fontId="3" fillId="0" borderId="107" xfId="1" applyFont="1" applyFill="1" applyBorder="1" applyAlignment="1">
      <alignment vertical="center"/>
    </xf>
    <xf numFmtId="38" fontId="3" fillId="0" borderId="97" xfId="1" applyFont="1" applyFill="1" applyBorder="1" applyAlignment="1">
      <alignment vertical="center"/>
    </xf>
    <xf numFmtId="38" fontId="3" fillId="0" borderId="96" xfId="1" applyFont="1" applyFill="1" applyBorder="1" applyAlignment="1">
      <alignment vertical="center"/>
    </xf>
    <xf numFmtId="38" fontId="3" fillId="5" borderId="38" xfId="1" applyFont="1" applyFill="1" applyBorder="1" applyAlignment="1">
      <alignment horizontal="center"/>
    </xf>
    <xf numFmtId="38" fontId="3" fillId="0" borderId="98" xfId="1" applyFont="1" applyFill="1" applyBorder="1" applyAlignment="1">
      <alignment vertical="center"/>
    </xf>
    <xf numFmtId="38" fontId="3" fillId="0" borderId="65" xfId="1" applyFont="1" applyFill="1" applyBorder="1" applyAlignment="1">
      <alignment horizontal="right" vertical="center"/>
    </xf>
    <xf numFmtId="38" fontId="3" fillId="0" borderId="38" xfId="1" applyFont="1" applyFill="1" applyBorder="1" applyAlignment="1">
      <alignment horizontal="right" vertical="center"/>
    </xf>
    <xf numFmtId="38" fontId="3" fillId="0" borderId="96" xfId="1" applyFont="1" applyFill="1" applyBorder="1" applyAlignment="1">
      <alignment horizontal="right" vertical="center"/>
    </xf>
    <xf numFmtId="38" fontId="3" fillId="0" borderId="64" xfId="1" applyFont="1" applyFill="1" applyBorder="1" applyAlignment="1">
      <alignment horizontal="right" vertical="center"/>
    </xf>
    <xf numFmtId="38" fontId="3" fillId="0" borderId="98" xfId="1" applyFont="1" applyFill="1" applyBorder="1" applyAlignment="1">
      <alignment horizontal="right" vertical="center"/>
    </xf>
    <xf numFmtId="38" fontId="3" fillId="0" borderId="2" xfId="1" applyFont="1" applyFill="1" applyBorder="1" applyAlignment="1">
      <alignment horizontal="right" vertical="center"/>
    </xf>
    <xf numFmtId="38" fontId="3" fillId="5" borderId="38" xfId="1" applyFont="1" applyFill="1" applyBorder="1" applyAlignment="1">
      <alignment vertical="center"/>
    </xf>
    <xf numFmtId="38" fontId="3" fillId="0" borderId="38" xfId="1" applyFont="1" applyFill="1" applyBorder="1" applyAlignment="1">
      <alignment vertical="center"/>
    </xf>
    <xf numFmtId="38" fontId="3" fillId="5" borderId="7" xfId="1" applyFont="1" applyFill="1" applyBorder="1" applyAlignment="1">
      <alignment vertical="center" shrinkToFit="1"/>
    </xf>
    <xf numFmtId="38" fontId="3" fillId="5" borderId="5" xfId="1" applyFont="1" applyFill="1" applyBorder="1" applyAlignment="1">
      <alignment vertical="center" shrinkToFit="1"/>
    </xf>
    <xf numFmtId="38" fontId="3" fillId="0" borderId="7" xfId="1" applyFont="1" applyFill="1" applyBorder="1" applyAlignment="1">
      <alignment vertical="center" shrinkToFit="1"/>
    </xf>
    <xf numFmtId="38" fontId="3" fillId="0" borderId="5" xfId="1" applyFont="1" applyFill="1" applyBorder="1" applyAlignment="1">
      <alignment vertical="center" shrinkToFit="1"/>
    </xf>
    <xf numFmtId="38" fontId="3" fillId="0" borderId="96" xfId="1" applyFont="1" applyFill="1" applyBorder="1" applyAlignment="1">
      <alignment vertical="center" shrinkToFit="1"/>
    </xf>
    <xf numFmtId="38" fontId="3" fillId="0" borderId="97" xfId="1" applyFont="1" applyFill="1" applyBorder="1" applyAlignment="1">
      <alignment vertical="center" shrinkToFit="1"/>
    </xf>
    <xf numFmtId="38" fontId="3" fillId="0" borderId="100" xfId="1" applyFont="1" applyFill="1" applyBorder="1" applyAlignment="1">
      <alignment horizontal="distributed" vertical="center" wrapText="1" justifyLastLine="1"/>
    </xf>
    <xf numFmtId="38" fontId="3" fillId="0" borderId="127" xfId="1" applyFont="1" applyFill="1" applyBorder="1" applyAlignment="1">
      <alignment horizontal="distributed" vertical="center" justifyLastLine="1"/>
    </xf>
    <xf numFmtId="0" fontId="3" fillId="0" borderId="128" xfId="0" applyFont="1" applyBorder="1" applyAlignment="1">
      <alignment horizontal="center"/>
    </xf>
    <xf numFmtId="0" fontId="3" fillId="0" borderId="126" xfId="0" applyFont="1" applyBorder="1" applyAlignment="1">
      <alignment horizontal="center"/>
    </xf>
    <xf numFmtId="0" fontId="3" fillId="0" borderId="38" xfId="0" applyFont="1" applyBorder="1" applyAlignment="1">
      <alignment horizontal="distributed" vertical="center" wrapText="1"/>
    </xf>
    <xf numFmtId="38" fontId="3" fillId="0" borderId="3" xfId="1" applyFont="1" applyFill="1" applyBorder="1" applyAlignment="1">
      <alignment vertical="center" shrinkToFit="1"/>
    </xf>
    <xf numFmtId="38" fontId="3" fillId="0" borderId="107" xfId="1" applyFont="1" applyFill="1" applyBorder="1" applyAlignment="1">
      <alignment vertical="center" shrinkToFit="1"/>
    </xf>
    <xf numFmtId="0" fontId="3" fillId="0" borderId="124" xfId="0" applyFont="1" applyBorder="1" applyAlignment="1">
      <alignment horizontal="distributed" vertical="center"/>
    </xf>
    <xf numFmtId="0" fontId="3" fillId="0" borderId="123" xfId="0" applyFont="1" applyBorder="1" applyAlignment="1">
      <alignment horizontal="distributed" vertical="center"/>
    </xf>
    <xf numFmtId="0" fontId="3" fillId="0" borderId="57" xfId="0" applyFont="1" applyBorder="1" applyAlignment="1">
      <alignment horizontal="center" vertical="center"/>
    </xf>
    <xf numFmtId="0" fontId="3" fillId="0" borderId="120" xfId="0" applyFont="1" applyBorder="1" applyAlignment="1">
      <alignment horizontal="center" vertical="center"/>
    </xf>
    <xf numFmtId="0" fontId="3" fillId="0" borderId="125" xfId="0" applyFont="1" applyBorder="1" applyAlignment="1">
      <alignment horizontal="center"/>
    </xf>
    <xf numFmtId="38" fontId="3" fillId="5" borderId="2" xfId="1" applyFont="1" applyFill="1" applyBorder="1" applyAlignment="1">
      <alignment vertical="center"/>
    </xf>
    <xf numFmtId="38" fontId="3" fillId="0" borderId="2" xfId="1" applyFont="1" applyFill="1" applyBorder="1" applyAlignment="1">
      <alignment vertical="center"/>
    </xf>
    <xf numFmtId="38" fontId="3" fillId="0" borderId="64" xfId="1" applyFont="1" applyFill="1" applyBorder="1" applyAlignment="1">
      <alignment vertical="center"/>
    </xf>
    <xf numFmtId="0" fontId="3" fillId="0" borderId="121" xfId="0" applyFont="1" applyFill="1" applyBorder="1" applyAlignment="1">
      <alignment horizontal="distributed" vertical="center"/>
    </xf>
    <xf numFmtId="0" fontId="3" fillId="0" borderId="63" xfId="0" applyFont="1" applyFill="1" applyBorder="1" applyAlignment="1">
      <alignment horizontal="distributed" vertical="center"/>
    </xf>
    <xf numFmtId="0" fontId="3" fillId="0" borderId="80" xfId="0" applyFont="1" applyBorder="1" applyAlignment="1">
      <alignment horizontal="center" vertical="center"/>
    </xf>
    <xf numFmtId="0" fontId="3" fillId="0" borderId="38" xfId="0" applyFont="1" applyBorder="1" applyAlignment="1">
      <alignment horizontal="distributed" vertical="center"/>
    </xf>
    <xf numFmtId="0" fontId="3" fillId="0" borderId="13" xfId="0" applyFont="1" applyBorder="1" applyAlignment="1">
      <alignment horizontal="distributed" vertical="center" wrapText="1"/>
    </xf>
    <xf numFmtId="0" fontId="3" fillId="0" borderId="5" xfId="0" applyFont="1" applyBorder="1" applyAlignment="1">
      <alignment horizontal="distributed" vertical="center"/>
    </xf>
    <xf numFmtId="0" fontId="3" fillId="0" borderId="7" xfId="0" applyFont="1" applyFill="1" applyBorder="1" applyAlignment="1">
      <alignment horizontal="distributed" vertical="center" wrapText="1"/>
    </xf>
    <xf numFmtId="0" fontId="3" fillId="0" borderId="2" xfId="0" applyFont="1" applyFill="1" applyBorder="1" applyAlignment="1">
      <alignment horizontal="distributed" vertical="center"/>
    </xf>
    <xf numFmtId="0" fontId="3" fillId="0" borderId="9" xfId="0" applyFont="1" applyFill="1" applyBorder="1" applyAlignment="1">
      <alignment horizontal="distributed" vertical="center" wrapText="1"/>
    </xf>
    <xf numFmtId="0" fontId="3" fillId="0" borderId="15" xfId="0" applyFont="1" applyFill="1" applyBorder="1" applyAlignment="1">
      <alignment horizontal="distributed" vertical="center"/>
    </xf>
    <xf numFmtId="0" fontId="3" fillId="0" borderId="9" xfId="0" applyFont="1" applyBorder="1" applyAlignment="1">
      <alignment horizontal="distributed" vertical="center" wrapText="1"/>
    </xf>
    <xf numFmtId="0" fontId="3" fillId="0" borderId="7" xfId="0" applyFont="1" applyBorder="1" applyAlignment="1">
      <alignment horizontal="center" vertical="center" justifyLastLine="1"/>
    </xf>
    <xf numFmtId="0" fontId="3" fillId="0" borderId="5" xfId="0" applyFont="1" applyBorder="1" applyAlignment="1">
      <alignment horizontal="center" vertical="center" justifyLastLine="1"/>
    </xf>
    <xf numFmtId="38" fontId="3" fillId="0" borderId="97" xfId="1" applyFont="1" applyFill="1" applyBorder="1" applyAlignment="1">
      <alignment horizontal="right" vertical="center"/>
    </xf>
    <xf numFmtId="38" fontId="3" fillId="5" borderId="5" xfId="1" applyFont="1" applyFill="1" applyBorder="1" applyAlignment="1">
      <alignment horizontal="right" vertical="center"/>
    </xf>
    <xf numFmtId="0" fontId="3" fillId="0" borderId="122" xfId="0" applyFont="1" applyBorder="1" applyAlignment="1">
      <alignment horizontal="distributed" vertical="center"/>
    </xf>
    <xf numFmtId="0" fontId="3" fillId="0" borderId="57" xfId="0" applyFont="1" applyBorder="1" applyAlignment="1">
      <alignment horizontal="center"/>
    </xf>
    <xf numFmtId="0" fontId="3" fillId="0" borderId="120" xfId="0" applyFont="1" applyBorder="1" applyAlignment="1">
      <alignment horizontal="center"/>
    </xf>
    <xf numFmtId="0" fontId="3" fillId="0" borderId="121" xfId="0" applyFont="1" applyBorder="1" applyAlignment="1">
      <alignment horizontal="distributed" vertical="center"/>
    </xf>
    <xf numFmtId="0" fontId="3" fillId="0" borderId="15" xfId="0" applyFont="1" applyBorder="1" applyAlignment="1">
      <alignment horizontal="distributed" vertical="center"/>
    </xf>
    <xf numFmtId="38" fontId="3" fillId="0" borderId="56" xfId="1" applyFont="1" applyFill="1" applyBorder="1" applyAlignment="1">
      <alignment vertical="center"/>
    </xf>
    <xf numFmtId="0" fontId="3" fillId="0" borderId="81" xfId="0" applyFont="1" applyBorder="1" applyAlignment="1">
      <alignment horizontal="center" vertical="distributed" textRotation="255" justifyLastLine="1"/>
    </xf>
    <xf numFmtId="0" fontId="15" fillId="0" borderId="81" xfId="0" applyFont="1" applyBorder="1" applyAlignment="1">
      <alignment horizontal="center" vertical="distributed" textRotation="255" justifyLastLine="1"/>
    </xf>
    <xf numFmtId="0" fontId="3" fillId="3" borderId="38" xfId="0" applyFont="1" applyFill="1" applyBorder="1" applyAlignment="1">
      <alignment horizontal="distributed" vertical="center" wrapText="1"/>
    </xf>
    <xf numFmtId="0" fontId="3" fillId="3" borderId="38" xfId="0" applyFont="1" applyFill="1" applyBorder="1" applyAlignment="1">
      <alignment horizontal="distributed" vertical="center"/>
    </xf>
    <xf numFmtId="38" fontId="3" fillId="3" borderId="7" xfId="1" applyFont="1" applyFill="1" applyBorder="1" applyAlignment="1">
      <alignment vertical="center"/>
    </xf>
    <xf numFmtId="38" fontId="3" fillId="3" borderId="5" xfId="1" applyFont="1" applyFill="1" applyBorder="1" applyAlignment="1">
      <alignment vertical="center"/>
    </xf>
    <xf numFmtId="38" fontId="3" fillId="0" borderId="37" xfId="1" applyFont="1" applyFill="1" applyBorder="1" applyAlignment="1">
      <alignment vertical="center"/>
    </xf>
    <xf numFmtId="0" fontId="3" fillId="0" borderId="3" xfId="0" applyFont="1" applyBorder="1" applyAlignment="1">
      <alignment horizontal="distributed" vertical="center"/>
    </xf>
    <xf numFmtId="0" fontId="3" fillId="0" borderId="37" xfId="0" applyFont="1" applyBorder="1" applyAlignment="1">
      <alignment horizontal="distributed" vertical="center"/>
    </xf>
    <xf numFmtId="38" fontId="3" fillId="0" borderId="134" xfId="1" applyFont="1" applyFill="1" applyBorder="1" applyAlignment="1">
      <alignment vertical="center"/>
    </xf>
    <xf numFmtId="38" fontId="3" fillId="0" borderId="135" xfId="1" applyFont="1" applyFill="1" applyBorder="1" applyAlignment="1">
      <alignment vertical="center"/>
    </xf>
    <xf numFmtId="38" fontId="15" fillId="0" borderId="80" xfId="1" applyFont="1" applyFill="1" applyBorder="1" applyAlignment="1">
      <alignment horizontal="right"/>
    </xf>
    <xf numFmtId="38" fontId="15" fillId="0" borderId="153" xfId="1" applyFont="1" applyFill="1" applyBorder="1" applyAlignment="1">
      <alignment horizontal="right"/>
    </xf>
    <xf numFmtId="38" fontId="3" fillId="3" borderId="38" xfId="1" applyFont="1" applyFill="1" applyBorder="1" applyAlignment="1">
      <alignment vertical="center"/>
    </xf>
    <xf numFmtId="0" fontId="3" fillId="3" borderId="52" xfId="0" applyFont="1" applyFill="1" applyBorder="1" applyAlignment="1">
      <alignment horizontal="distributed" vertical="center" wrapText="1"/>
    </xf>
    <xf numFmtId="0" fontId="3" fillId="3" borderId="54" xfId="0" applyFont="1" applyFill="1" applyBorder="1" applyAlignment="1">
      <alignment horizontal="distributed" vertical="center"/>
    </xf>
    <xf numFmtId="0" fontId="3" fillId="3" borderId="94" xfId="0" applyFont="1" applyFill="1" applyBorder="1" applyAlignment="1">
      <alignment horizontal="distributed" vertical="center"/>
    </xf>
    <xf numFmtId="0" fontId="3" fillId="3" borderId="95" xfId="0" applyFont="1" applyFill="1" applyBorder="1" applyAlignment="1">
      <alignment horizontal="distributed" vertical="center"/>
    </xf>
    <xf numFmtId="0" fontId="3" fillId="3" borderId="7" xfId="0" applyFont="1" applyFill="1" applyBorder="1" applyAlignment="1">
      <alignment horizontal="distributed" vertical="center"/>
    </xf>
    <xf numFmtId="0" fontId="3" fillId="3" borderId="5" xfId="0" applyFont="1" applyFill="1" applyBorder="1" applyAlignment="1">
      <alignment horizontal="distributed" vertical="center"/>
    </xf>
    <xf numFmtId="0" fontId="3" fillId="3" borderId="7" xfId="0" applyFont="1" applyFill="1" applyBorder="1" applyAlignment="1">
      <alignment horizontal="distributed" vertical="center" wrapText="1"/>
    </xf>
    <xf numFmtId="0" fontId="3" fillId="3" borderId="5" xfId="0" applyFont="1" applyFill="1" applyBorder="1" applyAlignment="1">
      <alignment horizontal="distributed" vertical="center" wrapText="1"/>
    </xf>
    <xf numFmtId="0" fontId="3" fillId="0" borderId="6" xfId="0" applyFont="1" applyBorder="1" applyAlignment="1">
      <alignment horizontal="center" vertical="center"/>
    </xf>
    <xf numFmtId="0" fontId="3" fillId="0" borderId="53" xfId="0" applyFont="1" applyBorder="1" applyAlignment="1">
      <alignment horizontal="center" vertical="center"/>
    </xf>
    <xf numFmtId="0" fontId="3" fillId="0" borderId="121" xfId="0" applyFont="1" applyBorder="1" applyAlignment="1">
      <alignment horizontal="center" vertical="center"/>
    </xf>
    <xf numFmtId="0" fontId="3" fillId="0" borderId="63" xfId="0" applyFont="1" applyBorder="1" applyAlignment="1">
      <alignment horizontal="center" vertical="center"/>
    </xf>
    <xf numFmtId="0" fontId="3" fillId="0" borderId="122" xfId="0" applyFont="1" applyBorder="1" applyAlignment="1">
      <alignment horizontal="distributed" vertical="center" justifyLastLine="1"/>
    </xf>
    <xf numFmtId="0" fontId="3" fillId="0" borderId="25" xfId="0" applyFont="1" applyBorder="1" applyAlignment="1">
      <alignment horizontal="distributed" vertical="center" justifyLastLine="1"/>
    </xf>
    <xf numFmtId="0" fontId="3" fillId="0" borderId="26" xfId="0" applyFont="1" applyBorder="1" applyAlignment="1">
      <alignment horizontal="distributed" vertical="center" justifyLastLine="1"/>
    </xf>
    <xf numFmtId="38" fontId="3" fillId="0" borderId="127" xfId="1" applyFont="1" applyFill="1" applyBorder="1" applyAlignment="1">
      <alignment vertical="center"/>
    </xf>
    <xf numFmtId="38" fontId="3" fillId="0" borderId="131" xfId="1" applyFont="1" applyFill="1" applyBorder="1" applyAlignment="1">
      <alignment vertical="center"/>
    </xf>
    <xf numFmtId="0" fontId="3" fillId="0" borderId="52" xfId="0" applyFont="1" applyFill="1" applyBorder="1" applyAlignment="1">
      <alignment horizontal="distributed" vertical="center" wrapText="1"/>
    </xf>
    <xf numFmtId="38" fontId="3" fillId="3" borderId="3" xfId="1" applyFont="1" applyFill="1" applyBorder="1" applyAlignment="1">
      <alignment vertical="center"/>
    </xf>
    <xf numFmtId="38" fontId="15" fillId="0" borderId="20" xfId="1" applyFont="1" applyFill="1" applyBorder="1" applyAlignment="1">
      <alignment horizontal="right"/>
    </xf>
    <xf numFmtId="38" fontId="15" fillId="0" borderId="23" xfId="1" applyFont="1" applyFill="1" applyBorder="1" applyAlignment="1">
      <alignment horizontal="right"/>
    </xf>
    <xf numFmtId="0" fontId="3" fillId="3" borderId="6" xfId="0" applyFont="1" applyFill="1" applyBorder="1" applyAlignment="1">
      <alignment horizontal="distributed" vertical="center" wrapText="1"/>
    </xf>
    <xf numFmtId="0" fontId="3" fillId="3" borderId="53" xfId="0" applyFont="1" applyFill="1" applyBorder="1" applyAlignment="1">
      <alignment horizontal="distributed" vertical="center"/>
    </xf>
    <xf numFmtId="0" fontId="3" fillId="3" borderId="6" xfId="0" applyFont="1" applyFill="1" applyBorder="1" applyAlignment="1">
      <alignment horizontal="distributed" vertical="center"/>
    </xf>
    <xf numFmtId="38" fontId="15" fillId="0" borderId="57" xfId="1" applyFont="1" applyFill="1" applyBorder="1" applyAlignment="1">
      <alignment horizontal="right" wrapText="1"/>
    </xf>
    <xf numFmtId="38" fontId="15" fillId="0" borderId="132" xfId="1" applyFont="1" applyFill="1" applyBorder="1" applyAlignment="1">
      <alignment horizontal="right" wrapText="1"/>
    </xf>
    <xf numFmtId="0" fontId="3" fillId="3" borderId="3" xfId="0" applyFont="1" applyFill="1" applyBorder="1" applyAlignment="1">
      <alignment horizontal="distributed" vertical="center"/>
    </xf>
    <xf numFmtId="0" fontId="3" fillId="3" borderId="54" xfId="0" applyFont="1" applyFill="1" applyBorder="1" applyAlignment="1">
      <alignment horizontal="distributed" vertical="center" wrapText="1"/>
    </xf>
    <xf numFmtId="0" fontId="3" fillId="3" borderId="94" xfId="0" applyFont="1" applyFill="1" applyBorder="1" applyAlignment="1">
      <alignment horizontal="distributed" vertical="center" wrapText="1"/>
    </xf>
    <xf numFmtId="0" fontId="3" fillId="3" borderId="95" xfId="0" applyFont="1" applyFill="1" applyBorder="1" applyAlignment="1">
      <alignment horizontal="distributed" vertical="center" wrapText="1"/>
    </xf>
    <xf numFmtId="0" fontId="3" fillId="3" borderId="152" xfId="0" applyFont="1" applyFill="1" applyBorder="1" applyAlignment="1">
      <alignment horizontal="distributed" vertical="center" wrapText="1"/>
    </xf>
    <xf numFmtId="0" fontId="3" fillId="3" borderId="26" xfId="0" applyFont="1" applyFill="1" applyBorder="1" applyAlignment="1">
      <alignment horizontal="distributed" vertical="center"/>
    </xf>
    <xf numFmtId="0" fontId="3" fillId="0" borderId="3" xfId="0" applyFont="1" applyBorder="1" applyAlignment="1">
      <alignment horizontal="distributed" vertical="center" wrapText="1"/>
    </xf>
    <xf numFmtId="0" fontId="3" fillId="3" borderId="3" xfId="0" applyFont="1" applyFill="1" applyBorder="1" applyAlignment="1">
      <alignment horizontal="distributed" vertical="center" wrapText="1"/>
    </xf>
    <xf numFmtId="0" fontId="3" fillId="0" borderId="136" xfId="0" applyFont="1" applyBorder="1" applyAlignment="1">
      <alignment horizontal="center" vertical="center"/>
    </xf>
    <xf numFmtId="0" fontId="3" fillId="0" borderId="51" xfId="0" applyFont="1" applyBorder="1" applyAlignment="1">
      <alignment horizontal="center" vertical="center"/>
    </xf>
    <xf numFmtId="38" fontId="3" fillId="3" borderId="7" xfId="1" applyFont="1" applyFill="1" applyBorder="1" applyAlignment="1">
      <alignment horizontal="distributed" vertical="center"/>
    </xf>
    <xf numFmtId="38" fontId="3" fillId="3" borderId="5" xfId="1" applyFont="1" applyFill="1" applyBorder="1" applyAlignment="1">
      <alignment horizontal="distributed" vertical="center"/>
    </xf>
    <xf numFmtId="0" fontId="3" fillId="0" borderId="129" xfId="0" applyFont="1" applyBorder="1" applyAlignment="1">
      <alignment horizontal="center" vertical="distributed" textRotation="255" justifyLastLine="1"/>
    </xf>
    <xf numFmtId="0" fontId="3" fillId="0" borderId="82" xfId="0" applyFont="1" applyBorder="1" applyAlignment="1">
      <alignment horizontal="center" vertical="distributed" textRotation="255" justifyLastLine="1"/>
    </xf>
    <xf numFmtId="38" fontId="3" fillId="7" borderId="38" xfId="1" applyFont="1" applyFill="1" applyBorder="1" applyAlignment="1">
      <alignment vertical="center"/>
    </xf>
    <xf numFmtId="38" fontId="3" fillId="7" borderId="5" xfId="1" applyFont="1" applyFill="1" applyBorder="1" applyAlignment="1">
      <alignment vertical="center"/>
    </xf>
    <xf numFmtId="38" fontId="3" fillId="7" borderId="7" xfId="1" applyFont="1" applyFill="1" applyBorder="1" applyAlignment="1">
      <alignment vertical="center"/>
    </xf>
    <xf numFmtId="38" fontId="3" fillId="0" borderId="106" xfId="1" applyFont="1" applyFill="1" applyBorder="1" applyAlignment="1">
      <alignment vertical="center"/>
    </xf>
    <xf numFmtId="0" fontId="3" fillId="0" borderId="122" xfId="0" applyFont="1" applyFill="1" applyBorder="1" applyAlignment="1">
      <alignment horizontal="distributed" vertical="center" wrapText="1"/>
    </xf>
    <xf numFmtId="0" fontId="3" fillId="0" borderId="25" xfId="0" applyFont="1" applyFill="1" applyBorder="1" applyAlignment="1">
      <alignment horizontal="distributed" vertical="center" wrapText="1"/>
    </xf>
    <xf numFmtId="0" fontId="3" fillId="0" borderId="26" xfId="0" applyFont="1" applyFill="1" applyBorder="1" applyAlignment="1">
      <alignment horizontal="distributed" vertical="center" wrapText="1"/>
    </xf>
    <xf numFmtId="0" fontId="3" fillId="0" borderId="42" xfId="0" applyFont="1" applyFill="1" applyBorder="1" applyAlignment="1">
      <alignment horizontal="distributed" vertical="center" wrapText="1"/>
    </xf>
    <xf numFmtId="0" fontId="3" fillId="0" borderId="117" xfId="0" applyFont="1" applyFill="1" applyBorder="1" applyAlignment="1">
      <alignment horizontal="distributed" vertical="center" wrapText="1"/>
    </xf>
    <xf numFmtId="0" fontId="3" fillId="0" borderId="51" xfId="0" applyFont="1" applyFill="1" applyBorder="1" applyAlignment="1">
      <alignment horizontal="distributed" vertical="center" wrapText="1"/>
    </xf>
    <xf numFmtId="0" fontId="3" fillId="0" borderId="130" xfId="0" applyFont="1" applyBorder="1" applyAlignment="1">
      <alignment horizontal="center" vertical="distributed" textRotation="255" justifyLastLine="1"/>
    </xf>
    <xf numFmtId="38" fontId="3" fillId="7" borderId="3" xfId="1" applyFont="1" applyFill="1" applyBorder="1" applyAlignment="1">
      <alignment vertical="center"/>
    </xf>
    <xf numFmtId="38" fontId="3" fillId="7" borderId="37" xfId="1" applyFont="1" applyFill="1" applyBorder="1" applyAlignment="1">
      <alignment vertical="center"/>
    </xf>
    <xf numFmtId="38" fontId="15" fillId="0" borderId="154" xfId="1" applyFont="1" applyFill="1" applyBorder="1" applyAlignment="1">
      <alignment horizontal="right"/>
    </xf>
    <xf numFmtId="0" fontId="3" fillId="0" borderId="21" xfId="0" applyFont="1" applyBorder="1" applyAlignment="1">
      <alignment horizontal="distributed" vertical="center"/>
    </xf>
    <xf numFmtId="38" fontId="8" fillId="0" borderId="38" xfId="1" applyFont="1" applyFill="1" applyBorder="1" applyAlignment="1">
      <alignment horizontal="right" vertical="center"/>
    </xf>
    <xf numFmtId="38" fontId="8" fillId="0" borderId="98" xfId="1" applyFont="1" applyFill="1" applyBorder="1" applyAlignment="1">
      <alignment horizontal="right" vertical="center"/>
    </xf>
    <xf numFmtId="0" fontId="3" fillId="0" borderId="83" xfId="0" applyFont="1" applyBorder="1" applyAlignment="1">
      <alignment horizontal="distributed" vertical="center"/>
    </xf>
    <xf numFmtId="0" fontId="3" fillId="0" borderId="83" xfId="0" applyFont="1" applyBorder="1" applyAlignment="1">
      <alignment vertical="center"/>
    </xf>
    <xf numFmtId="176" fontId="8" fillId="0" borderId="131" xfId="0" applyNumberFormat="1" applyFont="1" applyBorder="1" applyAlignment="1">
      <alignment vertical="center"/>
    </xf>
    <xf numFmtId="176" fontId="8" fillId="0" borderId="106" xfId="0" applyNumberFormat="1" applyFont="1" applyBorder="1" applyAlignment="1">
      <alignment vertical="center"/>
    </xf>
    <xf numFmtId="0" fontId="3" fillId="0" borderId="3" xfId="0" applyFont="1" applyBorder="1" applyAlignment="1">
      <alignment horizontal="center" vertical="center" textRotation="255" wrapText="1"/>
    </xf>
    <xf numFmtId="0" fontId="3" fillId="0" borderId="38" xfId="0" applyFont="1" applyBorder="1" applyAlignment="1">
      <alignment horizontal="center" vertical="center" textRotation="255" wrapText="1"/>
    </xf>
    <xf numFmtId="0" fontId="3" fillId="0" borderId="2" xfId="0" applyFont="1" applyBorder="1" applyAlignment="1">
      <alignment horizontal="center" vertical="center" textRotation="255" wrapText="1"/>
    </xf>
    <xf numFmtId="0" fontId="3" fillId="0" borderId="60" xfId="0" applyFont="1" applyBorder="1" applyAlignment="1">
      <alignment vertical="center"/>
    </xf>
    <xf numFmtId="0" fontId="5" fillId="0" borderId="3" xfId="0" applyFont="1" applyBorder="1" applyAlignment="1">
      <alignment horizontal="distributed" vertical="center" wrapText="1" indent="1"/>
    </xf>
    <xf numFmtId="0" fontId="5" fillId="0" borderId="38" xfId="0" applyFont="1" applyBorder="1" applyAlignment="1">
      <alignment horizontal="distributed" vertical="center" wrapText="1" indent="1"/>
    </xf>
    <xf numFmtId="176" fontId="3" fillId="3" borderId="3" xfId="0" applyNumberFormat="1" applyFont="1" applyFill="1" applyBorder="1" applyAlignment="1">
      <alignment horizontal="right" vertical="center"/>
    </xf>
    <xf numFmtId="176" fontId="3" fillId="3" borderId="5" xfId="0" applyNumberFormat="1" applyFont="1" applyFill="1" applyBorder="1" applyAlignment="1">
      <alignment horizontal="right" vertical="center"/>
    </xf>
    <xf numFmtId="0" fontId="5" fillId="0" borderId="2" xfId="0" applyFont="1" applyBorder="1" applyAlignment="1">
      <alignment horizontal="distributed" vertical="center" wrapText="1" indent="1"/>
    </xf>
    <xf numFmtId="0" fontId="3" fillId="29" borderId="12" xfId="0" applyFont="1" applyFill="1" applyBorder="1" applyAlignment="1">
      <alignment horizontal="distributed" vertical="center"/>
    </xf>
    <xf numFmtId="0" fontId="3" fillId="29" borderId="26" xfId="0" applyFont="1" applyFill="1" applyBorder="1" applyAlignment="1">
      <alignment horizontal="distributed" vertical="center"/>
    </xf>
    <xf numFmtId="0" fontId="3" fillId="29" borderId="19" xfId="0" applyFont="1" applyFill="1" applyBorder="1" applyAlignment="1">
      <alignment horizontal="distributed" vertical="center"/>
    </xf>
    <xf numFmtId="0" fontId="3" fillId="29" borderId="51" xfId="0" applyFont="1" applyFill="1" applyBorder="1" applyAlignment="1">
      <alignment horizontal="distributed" vertical="center"/>
    </xf>
    <xf numFmtId="0" fontId="3" fillId="0" borderId="132" xfId="0" applyFont="1" applyBorder="1" applyAlignment="1">
      <alignment horizontal="center" vertical="center"/>
    </xf>
    <xf numFmtId="0" fontId="3" fillId="0" borderId="132" xfId="0" applyFont="1" applyBorder="1" applyAlignment="1">
      <alignment horizontal="center"/>
    </xf>
    <xf numFmtId="176" fontId="8" fillId="0" borderId="37" xfId="0" applyNumberFormat="1" applyFont="1" applyBorder="1" applyAlignment="1">
      <alignment vertical="center"/>
    </xf>
    <xf numFmtId="0" fontId="3" fillId="0" borderId="18" xfId="0" applyFont="1" applyBorder="1" applyAlignment="1">
      <alignment horizontal="distributed" vertical="center"/>
    </xf>
    <xf numFmtId="0" fontId="3" fillId="0" borderId="18" xfId="0" applyFont="1" applyBorder="1" applyAlignment="1">
      <alignment vertical="center"/>
    </xf>
    <xf numFmtId="0" fontId="3" fillId="0" borderId="37" xfId="0" applyFont="1" applyBorder="1" applyAlignment="1">
      <alignment horizontal="center" vertical="center" textRotation="255" wrapText="1"/>
    </xf>
    <xf numFmtId="0" fontId="3" fillId="0" borderId="60" xfId="0" applyFont="1" applyBorder="1" applyAlignment="1">
      <alignment horizontal="distributed" vertical="center" wrapText="1"/>
    </xf>
    <xf numFmtId="0" fontId="5" fillId="0" borderId="37" xfId="0" applyFont="1" applyBorder="1" applyAlignment="1">
      <alignment horizontal="distributed" vertical="center" wrapText="1" indent="1"/>
    </xf>
    <xf numFmtId="176" fontId="8" fillId="0" borderId="56" xfId="0" applyNumberFormat="1" applyFont="1" applyBorder="1" applyAlignment="1">
      <alignment vertical="center"/>
    </xf>
    <xf numFmtId="0" fontId="3" fillId="0" borderId="17" xfId="0" applyFont="1" applyBorder="1" applyAlignment="1">
      <alignment horizontal="distributed" vertical="center"/>
    </xf>
    <xf numFmtId="0" fontId="3" fillId="0" borderId="0" xfId="0" applyFont="1" applyBorder="1" applyAlignment="1">
      <alignment horizontal="distributed" vertical="center"/>
    </xf>
    <xf numFmtId="0" fontId="3" fillId="0" borderId="153" xfId="0" applyFont="1" applyBorder="1" applyAlignment="1">
      <alignment horizontal="center" vertical="center"/>
    </xf>
    <xf numFmtId="0" fontId="3" fillId="0" borderId="153" xfId="0" applyFont="1" applyBorder="1" applyAlignment="1">
      <alignment horizontal="center"/>
    </xf>
    <xf numFmtId="176" fontId="8" fillId="0" borderId="38" xfId="0" applyNumberFormat="1" applyFont="1" applyBorder="1" applyAlignment="1">
      <alignment vertical="center"/>
    </xf>
    <xf numFmtId="0" fontId="3" fillId="0" borderId="21" xfId="0" applyFont="1" applyFill="1" applyBorder="1" applyAlignment="1">
      <alignment vertical="center"/>
    </xf>
    <xf numFmtId="38" fontId="3" fillId="0" borderId="80" xfId="1" applyFont="1" applyFill="1" applyBorder="1" applyAlignment="1">
      <alignment vertical="center"/>
    </xf>
    <xf numFmtId="38" fontId="3" fillId="0" borderId="120" xfId="1" applyFont="1" applyFill="1" applyBorder="1" applyAlignment="1">
      <alignment vertical="center"/>
    </xf>
    <xf numFmtId="38" fontId="3" fillId="3" borderId="21" xfId="1" applyFont="1" applyFill="1" applyBorder="1" applyAlignment="1">
      <alignment vertical="center"/>
    </xf>
    <xf numFmtId="0" fontId="5" fillId="0" borderId="7" xfId="0" applyFont="1" applyFill="1" applyBorder="1" applyAlignment="1">
      <alignment horizontal="distributed" vertical="center" wrapText="1"/>
    </xf>
    <xf numFmtId="0" fontId="5" fillId="0" borderId="38" xfId="0" applyFont="1" applyFill="1" applyBorder="1" applyAlignment="1">
      <alignment horizontal="distributed" vertical="center"/>
    </xf>
    <xf numFmtId="38" fontId="3" fillId="3" borderId="7" xfId="44" applyNumberFormat="1" applyFont="1" applyFill="1" applyBorder="1" applyAlignment="1">
      <alignment vertical="center"/>
    </xf>
    <xf numFmtId="38" fontId="3" fillId="3" borderId="5" xfId="44" applyNumberFormat="1" applyFont="1" applyFill="1" applyBorder="1" applyAlignment="1">
      <alignment vertical="center"/>
    </xf>
    <xf numFmtId="0" fontId="3" fillId="0" borderId="48" xfId="0" applyFont="1" applyFill="1" applyBorder="1" applyAlignment="1">
      <alignment horizontal="distributed" vertical="center"/>
    </xf>
    <xf numFmtId="0" fontId="3" fillId="0" borderId="48" xfId="0" applyFont="1" applyFill="1" applyBorder="1" applyAlignment="1">
      <alignment horizontal="distributed" vertical="center" wrapText="1"/>
    </xf>
    <xf numFmtId="0" fontId="3" fillId="3" borderId="21" xfId="0" applyFont="1" applyFill="1" applyBorder="1" applyAlignment="1">
      <alignment vertical="center"/>
    </xf>
    <xf numFmtId="0" fontId="3" fillId="3" borderId="60" xfId="0" applyFont="1" applyFill="1" applyBorder="1" applyAlignment="1">
      <alignment vertical="center"/>
    </xf>
    <xf numFmtId="0" fontId="3" fillId="0" borderId="57" xfId="0" applyFont="1" applyFill="1" applyBorder="1" applyAlignment="1">
      <alignment horizontal="center"/>
    </xf>
    <xf numFmtId="0" fontId="3" fillId="0" borderId="120" xfId="0" applyFont="1" applyFill="1" applyBorder="1" applyAlignment="1">
      <alignment horizontal="center"/>
    </xf>
    <xf numFmtId="0" fontId="3" fillId="0" borderId="17" xfId="0" applyFont="1" applyFill="1" applyBorder="1" applyAlignment="1">
      <alignment horizontal="distributed" vertical="center"/>
    </xf>
    <xf numFmtId="0" fontId="3" fillId="0" borderId="0" xfId="0" applyFont="1" applyFill="1" applyBorder="1" applyAlignment="1">
      <alignment horizontal="distributed" vertical="center"/>
    </xf>
    <xf numFmtId="0" fontId="3" fillId="0" borderId="53" xfId="0" applyFont="1" applyFill="1" applyBorder="1" applyAlignment="1">
      <alignment horizontal="distributed" vertical="center"/>
    </xf>
    <xf numFmtId="0" fontId="3" fillId="0" borderId="123" xfId="0" applyFont="1" applyFill="1" applyBorder="1" applyAlignment="1">
      <alignment horizontal="distributed" vertical="center"/>
    </xf>
    <xf numFmtId="0" fontId="3" fillId="0" borderId="67" xfId="0" applyFont="1" applyFill="1" applyBorder="1" applyAlignment="1">
      <alignment horizontal="distributed" vertical="center"/>
    </xf>
    <xf numFmtId="0" fontId="3" fillId="0" borderId="139" xfId="0" applyFont="1" applyFill="1" applyBorder="1" applyAlignment="1">
      <alignment horizontal="center" vertical="center" wrapText="1"/>
    </xf>
    <xf numFmtId="0" fontId="3" fillId="0" borderId="140" xfId="0" applyFont="1" applyFill="1" applyBorder="1" applyAlignment="1">
      <alignment horizontal="center" vertical="center" wrapText="1"/>
    </xf>
    <xf numFmtId="0" fontId="3" fillId="0" borderId="141" xfId="0" applyFont="1" applyFill="1" applyBorder="1" applyAlignment="1">
      <alignment horizontal="center" vertical="center" wrapText="1"/>
    </xf>
    <xf numFmtId="0" fontId="3" fillId="0" borderId="138" xfId="0" applyFont="1" applyFill="1" applyBorder="1" applyAlignment="1">
      <alignment horizontal="distributed" vertical="center"/>
    </xf>
    <xf numFmtId="0" fontId="3" fillId="0" borderId="57" xfId="0" applyFont="1" applyFill="1" applyBorder="1" applyAlignment="1">
      <alignment horizontal="center" vertical="center"/>
    </xf>
    <xf numFmtId="0" fontId="3" fillId="0" borderId="120" xfId="0" applyFont="1" applyFill="1" applyBorder="1" applyAlignment="1">
      <alignment horizontal="center" vertical="center"/>
    </xf>
    <xf numFmtId="0" fontId="3" fillId="0" borderId="137" xfId="0" applyFont="1" applyFill="1" applyBorder="1" applyAlignment="1">
      <alignment horizontal="distributed" vertical="center"/>
    </xf>
    <xf numFmtId="0" fontId="3" fillId="0" borderId="103" xfId="0" applyFont="1" applyFill="1" applyBorder="1" applyAlignment="1">
      <alignment horizontal="distributed" vertical="center" justifyLastLine="1"/>
    </xf>
    <xf numFmtId="0" fontId="3" fillId="0" borderId="101" xfId="0" applyFont="1" applyFill="1" applyBorder="1" applyAlignment="1">
      <alignment horizontal="distributed" vertical="center" justifyLastLine="1"/>
    </xf>
    <xf numFmtId="0" fontId="3" fillId="0" borderId="102" xfId="0" applyFont="1" applyFill="1" applyBorder="1" applyAlignment="1">
      <alignment horizontal="distributed" vertical="center" justifyLastLine="1"/>
    </xf>
    <xf numFmtId="0" fontId="3" fillId="0" borderId="42" xfId="0" applyFont="1" applyFill="1" applyBorder="1" applyAlignment="1">
      <alignment horizontal="distributed" vertical="center" justifyLastLine="1"/>
    </xf>
    <xf numFmtId="0" fontId="3" fillId="0" borderId="117" xfId="0" applyFont="1" applyFill="1" applyBorder="1" applyAlignment="1">
      <alignment horizontal="distributed" vertical="center" justifyLastLine="1"/>
    </xf>
    <xf numFmtId="0" fontId="3" fillId="0" borderId="51" xfId="0" applyFont="1" applyFill="1" applyBorder="1" applyAlignment="1">
      <alignment horizontal="distributed" vertical="center" justifyLastLine="1"/>
    </xf>
    <xf numFmtId="0" fontId="3" fillId="0" borderId="1" xfId="0" applyFont="1" applyFill="1" applyBorder="1" applyAlignment="1">
      <alignment horizontal="distributed" vertical="center" justifyLastLine="1"/>
    </xf>
    <xf numFmtId="0" fontId="3" fillId="0" borderId="37" xfId="0" applyFont="1" applyFill="1" applyBorder="1" applyAlignment="1">
      <alignment horizontal="distributed" vertical="center" justifyLastLine="1"/>
    </xf>
    <xf numFmtId="38" fontId="3" fillId="0" borderId="133" xfId="1" applyFont="1" applyFill="1" applyBorder="1" applyAlignment="1">
      <alignment vertical="center"/>
    </xf>
    <xf numFmtId="0" fontId="3" fillId="0" borderId="83" xfId="0" applyFont="1" applyFill="1" applyBorder="1" applyAlignment="1">
      <alignment vertical="center"/>
    </xf>
    <xf numFmtId="0" fontId="5" fillId="0" borderId="3" xfId="0" applyFont="1" applyFill="1" applyBorder="1" applyAlignment="1">
      <alignment horizontal="distributed" vertical="center" wrapText="1"/>
    </xf>
    <xf numFmtId="0" fontId="5" fillId="0" borderId="2" xfId="0" applyFont="1" applyFill="1" applyBorder="1" applyAlignment="1">
      <alignment horizontal="distributed" vertical="center"/>
    </xf>
    <xf numFmtId="38" fontId="3" fillId="3" borderId="3" xfId="1" applyFont="1" applyFill="1" applyBorder="1" applyAlignment="1">
      <alignment horizontal="right" vertical="center"/>
    </xf>
    <xf numFmtId="38" fontId="3" fillId="3" borderId="5" xfId="1" applyFont="1" applyFill="1" applyBorder="1" applyAlignment="1">
      <alignment horizontal="right" vertical="center"/>
    </xf>
    <xf numFmtId="38" fontId="3" fillId="0" borderId="132" xfId="1" applyFont="1" applyFill="1" applyBorder="1" applyAlignment="1">
      <alignment vertical="center"/>
    </xf>
    <xf numFmtId="38" fontId="3" fillId="0" borderId="20" xfId="1" applyFont="1" applyFill="1" applyBorder="1" applyAlignment="1">
      <alignment vertical="center"/>
    </xf>
    <xf numFmtId="0" fontId="3" fillId="0" borderId="18" xfId="0" applyFont="1" applyFill="1" applyBorder="1" applyAlignment="1">
      <alignment vertical="center"/>
    </xf>
    <xf numFmtId="38" fontId="3" fillId="0" borderId="170" xfId="1" applyFont="1" applyFill="1" applyBorder="1" applyAlignment="1">
      <alignment vertical="center"/>
    </xf>
    <xf numFmtId="38" fontId="3" fillId="0" borderId="171" xfId="1" applyFont="1" applyFill="1" applyBorder="1" applyAlignment="1">
      <alignment vertical="center"/>
    </xf>
    <xf numFmtId="38" fontId="31" fillId="3" borderId="3" xfId="1" applyFont="1" applyFill="1" applyBorder="1" applyAlignment="1">
      <alignment vertical="center"/>
    </xf>
    <xf numFmtId="38" fontId="31" fillId="3" borderId="5" xfId="1" applyFont="1" applyFill="1" applyBorder="1" applyAlignment="1">
      <alignment vertical="center"/>
    </xf>
    <xf numFmtId="0" fontId="3" fillId="3" borderId="5" xfId="0" applyFont="1" applyFill="1" applyBorder="1" applyAlignment="1">
      <alignment vertical="center"/>
    </xf>
    <xf numFmtId="38" fontId="8" fillId="0" borderId="131" xfId="1" applyFont="1" applyFill="1" applyBorder="1" applyAlignment="1">
      <alignment vertical="center"/>
    </xf>
    <xf numFmtId="38" fontId="8" fillId="0" borderId="135" xfId="1" applyFont="1" applyFill="1" applyBorder="1" applyAlignment="1">
      <alignment vertical="center"/>
    </xf>
    <xf numFmtId="38" fontId="8" fillId="0" borderId="38" xfId="1" applyFont="1" applyFill="1" applyBorder="1" applyAlignment="1">
      <alignment vertical="center"/>
    </xf>
    <xf numFmtId="38" fontId="8" fillId="0" borderId="5" xfId="1" applyFont="1" applyFill="1" applyBorder="1" applyAlignment="1">
      <alignment vertical="center"/>
    </xf>
    <xf numFmtId="38" fontId="31" fillId="3" borderId="7" xfId="1" applyFont="1" applyFill="1" applyBorder="1" applyAlignment="1">
      <alignment vertical="center"/>
    </xf>
    <xf numFmtId="0" fontId="3" fillId="3" borderId="21" xfId="0" applyFont="1" applyFill="1" applyBorder="1" applyAlignment="1">
      <alignment vertical="center" wrapText="1"/>
    </xf>
    <xf numFmtId="38" fontId="17" fillId="0" borderId="38" xfId="1" applyFont="1" applyBorder="1" applyAlignment="1">
      <alignment vertical="center"/>
    </xf>
    <xf numFmtId="38" fontId="17" fillId="0" borderId="2" xfId="1" applyFont="1" applyBorder="1" applyAlignment="1">
      <alignment vertical="center"/>
    </xf>
    <xf numFmtId="38" fontId="17" fillId="0" borderId="98" xfId="1" applyFont="1" applyBorder="1" applyAlignment="1">
      <alignment vertical="center"/>
    </xf>
    <xf numFmtId="38" fontId="17" fillId="0" borderId="64" xfId="1" applyFont="1" applyBorder="1" applyAlignment="1">
      <alignment vertical="center"/>
    </xf>
    <xf numFmtId="38" fontId="17" fillId="0" borderId="3" xfId="1" applyFont="1" applyBorder="1" applyAlignment="1">
      <alignment vertical="center"/>
    </xf>
    <xf numFmtId="38" fontId="17" fillId="0" borderId="107" xfId="1" applyFont="1" applyBorder="1" applyAlignment="1">
      <alignment vertical="center"/>
    </xf>
    <xf numFmtId="38" fontId="17" fillId="0" borderId="96" xfId="1" applyFont="1" applyBorder="1" applyAlignment="1">
      <alignment vertical="center"/>
    </xf>
    <xf numFmtId="38" fontId="17" fillId="0" borderId="97" xfId="1" applyFont="1" applyBorder="1" applyAlignment="1">
      <alignment vertical="center"/>
    </xf>
    <xf numFmtId="38" fontId="17" fillId="0" borderId="7" xfId="1" applyFont="1" applyBorder="1" applyAlignment="1">
      <alignment vertical="center"/>
    </xf>
    <xf numFmtId="38" fontId="17" fillId="0" borderId="5" xfId="1" applyFont="1" applyBorder="1" applyAlignment="1">
      <alignment vertical="center"/>
    </xf>
    <xf numFmtId="0" fontId="3" fillId="0" borderId="8" xfId="0" applyFont="1" applyBorder="1" applyAlignment="1">
      <alignment horizontal="distributed" vertical="center" wrapText="1"/>
    </xf>
    <xf numFmtId="0" fontId="3" fillId="0" borderId="142" xfId="0" applyFont="1" applyBorder="1" applyAlignment="1">
      <alignment horizontal="distributed" vertical="center"/>
    </xf>
    <xf numFmtId="0" fontId="3" fillId="0" borderId="143" xfId="0" applyFont="1" applyBorder="1" applyAlignment="1">
      <alignment horizontal="distributed" vertical="center"/>
    </xf>
    <xf numFmtId="38" fontId="17" fillId="0" borderId="98" xfId="1" applyFont="1" applyFill="1" applyBorder="1" applyAlignment="1">
      <alignment vertical="center" shrinkToFit="1"/>
    </xf>
    <xf numFmtId="38" fontId="17" fillId="0" borderId="64" xfId="1" applyFont="1" applyFill="1" applyBorder="1" applyAlignment="1">
      <alignment vertical="center" shrinkToFit="1"/>
    </xf>
    <xf numFmtId="0" fontId="3" fillId="0" borderId="8" xfId="0" applyFont="1" applyFill="1" applyBorder="1" applyAlignment="1">
      <alignment horizontal="distributed" vertical="center" wrapText="1"/>
    </xf>
    <xf numFmtId="0" fontId="3" fillId="0" borderId="50" xfId="0" applyFont="1" applyFill="1" applyBorder="1" applyAlignment="1">
      <alignment horizontal="distributed" vertical="center"/>
    </xf>
    <xf numFmtId="0" fontId="3" fillId="0" borderId="142" xfId="0" applyFont="1" applyFill="1" applyBorder="1" applyAlignment="1">
      <alignment horizontal="distributed" vertical="center"/>
    </xf>
    <xf numFmtId="0" fontId="3" fillId="0" borderId="143" xfId="0" applyFont="1" applyFill="1" applyBorder="1" applyAlignment="1">
      <alignment horizontal="distributed" vertical="center"/>
    </xf>
    <xf numFmtId="38" fontId="17" fillId="0" borderId="38" xfId="1" applyFont="1" applyFill="1" applyBorder="1" applyAlignment="1">
      <alignment vertical="center"/>
    </xf>
    <xf numFmtId="38" fontId="17" fillId="0" borderId="2" xfId="1" applyFont="1" applyFill="1" applyBorder="1" applyAlignment="1">
      <alignment vertical="center"/>
    </xf>
    <xf numFmtId="38" fontId="17" fillId="0" borderId="38" xfId="1" applyFont="1" applyFill="1" applyBorder="1" applyAlignment="1">
      <alignment vertical="center" shrinkToFit="1"/>
    </xf>
    <xf numFmtId="38" fontId="17" fillId="0" borderId="2" xfId="1" applyFont="1" applyFill="1" applyBorder="1" applyAlignment="1">
      <alignment vertical="center" shrinkToFit="1"/>
    </xf>
    <xf numFmtId="38" fontId="17" fillId="0" borderId="107" xfId="1" applyFont="1" applyFill="1" applyBorder="1" applyAlignment="1">
      <alignment vertical="center" shrinkToFit="1"/>
    </xf>
    <xf numFmtId="0" fontId="3" fillId="0" borderId="8" xfId="0" applyFont="1" applyFill="1" applyBorder="1" applyAlignment="1">
      <alignment horizontal="distributed" vertical="center"/>
    </xf>
    <xf numFmtId="0" fontId="3" fillId="0" borderId="4" xfId="0" applyFont="1" applyFill="1" applyBorder="1" applyAlignment="1">
      <alignment horizontal="distributed" vertical="center"/>
    </xf>
    <xf numFmtId="38" fontId="17" fillId="0" borderId="7" xfId="1" applyFont="1" applyFill="1" applyBorder="1" applyAlignment="1">
      <alignment vertical="center"/>
    </xf>
    <xf numFmtId="38" fontId="17" fillId="0" borderId="5" xfId="1" applyFont="1" applyFill="1" applyBorder="1" applyAlignment="1">
      <alignment vertical="center"/>
    </xf>
    <xf numFmtId="38" fontId="17" fillId="0" borderId="7" xfId="1" applyFont="1" applyFill="1" applyBorder="1" applyAlignment="1">
      <alignment vertical="center" shrinkToFit="1"/>
    </xf>
    <xf numFmtId="38" fontId="17" fillId="0" borderId="5" xfId="1" applyFont="1" applyFill="1" applyBorder="1" applyAlignment="1">
      <alignment vertical="center" shrinkToFit="1"/>
    </xf>
    <xf numFmtId="38" fontId="17" fillId="0" borderId="96" xfId="1" applyFont="1" applyFill="1" applyBorder="1" applyAlignment="1">
      <alignment vertical="center" shrinkToFit="1"/>
    </xf>
    <xf numFmtId="38" fontId="17" fillId="0" borderId="97" xfId="1" applyFont="1" applyFill="1" applyBorder="1" applyAlignment="1">
      <alignment vertical="center" shrinkToFit="1"/>
    </xf>
    <xf numFmtId="0" fontId="3" fillId="0" borderId="124" xfId="0" applyFont="1" applyFill="1" applyBorder="1" applyAlignment="1">
      <alignment horizontal="distributed" vertical="center"/>
    </xf>
    <xf numFmtId="0" fontId="3" fillId="0" borderId="66" xfId="0" applyFont="1" applyFill="1" applyBorder="1" applyAlignment="1">
      <alignment horizontal="distributed" vertical="center"/>
    </xf>
    <xf numFmtId="38" fontId="17" fillId="0" borderId="3" xfId="1" applyFont="1" applyFill="1" applyBorder="1" applyAlignment="1">
      <alignment vertical="center"/>
    </xf>
    <xf numFmtId="38" fontId="17" fillId="0" borderId="3" xfId="1" applyFont="1" applyFill="1" applyBorder="1" applyAlignment="1">
      <alignment vertical="center" shrinkToFit="1"/>
    </xf>
    <xf numFmtId="176" fontId="8" fillId="0" borderId="135" xfId="0" applyNumberFormat="1" applyFont="1" applyBorder="1" applyAlignment="1">
      <alignment vertical="center"/>
    </xf>
    <xf numFmtId="38" fontId="0" fillId="10" borderId="96" xfId="1" applyFont="1" applyFill="1" applyBorder="1" applyAlignment="1">
      <alignment vertical="center"/>
    </xf>
    <xf numFmtId="38" fontId="0" fillId="10" borderId="97" xfId="1" applyFont="1" applyFill="1" applyBorder="1" applyAlignment="1">
      <alignment vertical="center"/>
    </xf>
    <xf numFmtId="38" fontId="0" fillId="10" borderId="7" xfId="1" applyFont="1" applyFill="1" applyBorder="1" applyAlignment="1">
      <alignment vertical="center"/>
    </xf>
    <xf numFmtId="38" fontId="0" fillId="10" borderId="5" xfId="1" applyFont="1" applyFill="1" applyBorder="1" applyAlignment="1">
      <alignment vertical="center"/>
    </xf>
    <xf numFmtId="38" fontId="27" fillId="33" borderId="7" xfId="1" applyFont="1" applyFill="1" applyBorder="1" applyAlignment="1">
      <alignment vertical="center"/>
    </xf>
    <xf numFmtId="38" fontId="27" fillId="33" borderId="5" xfId="1" applyFont="1" applyFill="1" applyBorder="1" applyAlignment="1">
      <alignment vertical="center"/>
    </xf>
    <xf numFmtId="38" fontId="0" fillId="0" borderId="7" xfId="1" applyFont="1" applyFill="1" applyBorder="1" applyAlignment="1">
      <alignment vertical="center"/>
    </xf>
    <xf numFmtId="38" fontId="0" fillId="0" borderId="38" xfId="1" applyFont="1" applyFill="1" applyBorder="1" applyAlignment="1">
      <alignment vertical="center"/>
    </xf>
    <xf numFmtId="38" fontId="0" fillId="0" borderId="96" xfId="1" applyFont="1" applyFill="1" applyBorder="1" applyAlignment="1">
      <alignment vertical="center"/>
    </xf>
    <xf numFmtId="38" fontId="0" fillId="0" borderId="98" xfId="1" applyFont="1" applyFill="1" applyBorder="1" applyAlignment="1">
      <alignment vertical="center"/>
    </xf>
    <xf numFmtId="38" fontId="0" fillId="0" borderId="3" xfId="1" applyFont="1" applyFill="1" applyBorder="1" applyAlignment="1">
      <alignment vertical="center"/>
    </xf>
    <xf numFmtId="38" fontId="0" fillId="0" borderId="5" xfId="1" applyFont="1" applyFill="1" applyBorder="1" applyAlignment="1">
      <alignment vertical="center"/>
    </xf>
    <xf numFmtId="0" fontId="3" fillId="0" borderId="55" xfId="0" applyFont="1" applyFill="1" applyBorder="1" applyAlignment="1">
      <alignment horizontal="distributed" vertical="center" wrapText="1"/>
    </xf>
    <xf numFmtId="0" fontId="3" fillId="0" borderId="55" xfId="0" applyFont="1" applyFill="1" applyBorder="1" applyAlignment="1">
      <alignment horizontal="distributed" vertical="center"/>
    </xf>
    <xf numFmtId="0" fontId="3" fillId="0" borderId="5" xfId="0" applyFont="1" applyFill="1" applyBorder="1" applyAlignment="1">
      <alignment horizontal="distributed" vertical="center"/>
    </xf>
    <xf numFmtId="38" fontId="0" fillId="0" borderId="107" xfId="1" applyFont="1" applyFill="1" applyBorder="1" applyAlignment="1">
      <alignment vertical="center"/>
    </xf>
    <xf numFmtId="38" fontId="0" fillId="0" borderId="97" xfId="1" applyFont="1" applyFill="1" applyBorder="1" applyAlignment="1">
      <alignment vertical="center"/>
    </xf>
    <xf numFmtId="38" fontId="0" fillId="10" borderId="38" xfId="1" applyFont="1" applyFill="1" applyBorder="1" applyAlignment="1">
      <alignment vertical="center"/>
    </xf>
    <xf numFmtId="0" fontId="4" fillId="0" borderId="21" xfId="0" applyFont="1" applyFill="1" applyBorder="1" applyAlignment="1">
      <alignment vertical="center" wrapText="1"/>
    </xf>
    <xf numFmtId="0" fontId="4" fillId="0" borderId="21" xfId="0" applyFont="1" applyFill="1" applyBorder="1" applyAlignment="1">
      <alignment vertical="center"/>
    </xf>
    <xf numFmtId="0" fontId="3" fillId="0" borderId="70" xfId="0" applyFont="1" applyFill="1" applyBorder="1" applyAlignment="1">
      <alignment horizontal="distributed" vertical="center"/>
    </xf>
    <xf numFmtId="0" fontId="3" fillId="0" borderId="38" xfId="0" applyFont="1" applyFill="1" applyBorder="1" applyAlignment="1">
      <alignment horizontal="distributed" vertical="center"/>
    </xf>
    <xf numFmtId="0" fontId="3" fillId="0" borderId="75" xfId="0" applyFont="1" applyFill="1" applyBorder="1" applyAlignment="1">
      <alignment horizontal="distributed" vertical="center" wrapText="1"/>
    </xf>
    <xf numFmtId="0" fontId="3" fillId="0" borderId="38" xfId="0" applyFont="1" applyFill="1" applyBorder="1" applyAlignment="1">
      <alignment horizontal="distributed" vertical="center" wrapText="1"/>
    </xf>
    <xf numFmtId="38" fontId="27" fillId="0" borderId="38" xfId="1" applyFont="1" applyFill="1" applyBorder="1" applyAlignment="1">
      <alignment vertical="center"/>
    </xf>
    <xf numFmtId="0" fontId="3" fillId="0" borderId="21" xfId="0" applyFont="1" applyFill="1" applyBorder="1" applyAlignment="1">
      <alignment horizontal="distributed" vertical="center" wrapText="1"/>
    </xf>
    <xf numFmtId="0" fontId="3" fillId="0" borderId="21" xfId="0" applyFont="1" applyFill="1" applyBorder="1" applyAlignment="1">
      <alignment horizontal="distributed" vertical="center"/>
    </xf>
    <xf numFmtId="38" fontId="0" fillId="10" borderId="21" xfId="1" applyFont="1" applyFill="1" applyBorder="1" applyAlignment="1">
      <alignment vertical="center"/>
    </xf>
    <xf numFmtId="38" fontId="27" fillId="33" borderId="21" xfId="1" applyFont="1" applyFill="1" applyBorder="1" applyAlignment="1">
      <alignment vertical="center"/>
    </xf>
    <xf numFmtId="38" fontId="0" fillId="0" borderId="65" xfId="1" applyFont="1" applyFill="1" applyBorder="1" applyAlignment="1">
      <alignment vertical="center"/>
    </xf>
    <xf numFmtId="0" fontId="3" fillId="0" borderId="48" xfId="0" applyFont="1" applyFill="1" applyBorder="1" applyAlignment="1">
      <alignment horizontal="center" vertical="center"/>
    </xf>
    <xf numFmtId="38" fontId="0" fillId="10" borderId="2" xfId="1" applyFont="1" applyFill="1" applyBorder="1" applyAlignment="1">
      <alignment vertical="center"/>
    </xf>
    <xf numFmtId="38" fontId="27" fillId="33" borderId="38" xfId="1" applyFont="1" applyFill="1" applyBorder="1" applyAlignment="1">
      <alignment vertical="center"/>
    </xf>
    <xf numFmtId="38" fontId="27" fillId="33" borderId="2" xfId="1" applyFont="1" applyFill="1" applyBorder="1" applyAlignment="1">
      <alignment vertical="center"/>
    </xf>
    <xf numFmtId="38" fontId="0" fillId="0" borderId="64" xfId="1" applyFont="1" applyFill="1" applyBorder="1" applyAlignment="1">
      <alignment vertical="center"/>
    </xf>
    <xf numFmtId="0" fontId="3" fillId="0" borderId="47" xfId="0" applyFont="1" applyFill="1" applyBorder="1" applyAlignment="1">
      <alignment horizontal="center" vertical="center"/>
    </xf>
    <xf numFmtId="0" fontId="3" fillId="0" borderId="173" xfId="0" applyFont="1" applyFill="1" applyBorder="1" applyAlignment="1">
      <alignment horizontal="center" vertical="center"/>
    </xf>
    <xf numFmtId="0" fontId="15" fillId="0" borderId="55" xfId="0" applyFont="1" applyBorder="1" applyAlignment="1">
      <alignment horizontal="distributed" vertical="center" justifyLastLine="1"/>
    </xf>
    <xf numFmtId="0" fontId="15" fillId="0" borderId="70" xfId="0" applyFont="1" applyBorder="1" applyAlignment="1">
      <alignment horizontal="distributed" vertical="center" justifyLastLine="1"/>
    </xf>
    <xf numFmtId="0" fontId="15" fillId="0" borderId="55" xfId="0" applyFont="1" applyBorder="1" applyAlignment="1">
      <alignment horizontal="distributed" vertical="center" wrapText="1"/>
    </xf>
    <xf numFmtId="0" fontId="15" fillId="0" borderId="55" xfId="0" applyFont="1" applyBorder="1" applyAlignment="1">
      <alignment horizontal="distributed" vertical="center"/>
    </xf>
    <xf numFmtId="0" fontId="15" fillId="0" borderId="70" xfId="0" applyFont="1" applyBorder="1" applyAlignment="1">
      <alignment horizontal="distributed" vertical="center"/>
    </xf>
    <xf numFmtId="0" fontId="15" fillId="0" borderId="55" xfId="0" applyFont="1" applyFill="1" applyBorder="1" applyAlignment="1">
      <alignment horizontal="distributed" vertical="center" justifyLastLine="1"/>
    </xf>
    <xf numFmtId="0" fontId="15" fillId="0" borderId="70" xfId="0" applyFont="1" applyFill="1" applyBorder="1" applyAlignment="1">
      <alignment horizontal="distributed" vertical="center" justifyLastLine="1"/>
    </xf>
    <xf numFmtId="0" fontId="15" fillId="0" borderId="55" xfId="0" applyFont="1" applyBorder="1" applyAlignment="1">
      <alignment horizontal="distributed" vertical="center" wrapText="1" justifyLastLine="1"/>
    </xf>
    <xf numFmtId="0" fontId="15" fillId="0" borderId="55" xfId="0" applyFont="1" applyFill="1" applyBorder="1" applyAlignment="1">
      <alignment horizontal="center" vertical="center" justifyLastLine="1"/>
    </xf>
    <xf numFmtId="0" fontId="15" fillId="0" borderId="70" xfId="0" applyFont="1" applyBorder="1" applyAlignment="1">
      <alignment horizontal="center" vertical="center" wrapText="1" justifyLastLine="1"/>
    </xf>
    <xf numFmtId="0" fontId="15" fillId="0" borderId="74" xfId="0" applyFont="1" applyBorder="1" applyAlignment="1">
      <alignment horizontal="center" vertical="center" wrapText="1" justifyLastLine="1"/>
    </xf>
    <xf numFmtId="0" fontId="15" fillId="0" borderId="75" xfId="0" applyFont="1" applyBorder="1" applyAlignment="1">
      <alignment horizontal="center" vertical="center" wrapText="1" justifyLastLine="1"/>
    </xf>
    <xf numFmtId="0" fontId="15" fillId="0" borderId="55" xfId="0" applyFont="1" applyBorder="1" applyAlignment="1">
      <alignment horizontal="center" vertical="center" wrapText="1"/>
    </xf>
    <xf numFmtId="0" fontId="15" fillId="0" borderId="55" xfId="0" applyFont="1" applyBorder="1" applyAlignment="1">
      <alignment horizontal="center" vertical="center"/>
    </xf>
    <xf numFmtId="0" fontId="15" fillId="0" borderId="55" xfId="0" applyFont="1" applyBorder="1" applyAlignment="1">
      <alignment horizontal="center"/>
    </xf>
    <xf numFmtId="0" fontId="3" fillId="0" borderId="12" xfId="0" applyFont="1" applyBorder="1" applyAlignment="1">
      <alignment horizontal="distributed" vertical="center" justifyLastLine="1"/>
    </xf>
    <xf numFmtId="0" fontId="3" fillId="0" borderId="19" xfId="0" applyFont="1" applyBorder="1" applyAlignment="1">
      <alignment horizontal="distributed" vertical="center" justifyLastLine="1"/>
    </xf>
    <xf numFmtId="0" fontId="3" fillId="0" borderId="144" xfId="0" applyFont="1" applyBorder="1" applyAlignment="1">
      <alignment horizontal="distributed" vertical="center" justifyLastLine="1"/>
    </xf>
    <xf numFmtId="0" fontId="3" fillId="0" borderId="145" xfId="0" applyFont="1" applyBorder="1" applyAlignment="1">
      <alignment horizontal="distributed" vertical="center" justifyLastLine="1"/>
    </xf>
    <xf numFmtId="0" fontId="3" fillId="0" borderId="37" xfId="0" applyFont="1" applyBorder="1" applyAlignment="1">
      <alignment horizontal="distributed" vertical="center" wrapText="1"/>
    </xf>
    <xf numFmtId="38" fontId="1" fillId="3" borderId="146" xfId="1" applyFont="1" applyFill="1" applyBorder="1" applyAlignment="1">
      <alignment horizontal="right" vertical="center"/>
    </xf>
    <xf numFmtId="0" fontId="5" fillId="0" borderId="3" xfId="0" applyFont="1" applyBorder="1" applyAlignment="1">
      <alignment horizontal="center" vertical="center" justifyLastLine="1"/>
    </xf>
    <xf numFmtId="0" fontId="5" fillId="0" borderId="37" xfId="0" applyFont="1" applyBorder="1" applyAlignment="1">
      <alignment horizontal="center" vertical="center" justifyLastLine="1"/>
    </xf>
    <xf numFmtId="0" fontId="5" fillId="0" borderId="3" xfId="0" applyFont="1" applyBorder="1" applyAlignment="1">
      <alignment horizontal="distributed" vertical="center"/>
    </xf>
    <xf numFmtId="0" fontId="5" fillId="0" borderId="37" xfId="0" applyFont="1" applyBorder="1" applyAlignment="1">
      <alignment horizontal="distributed" vertical="center"/>
    </xf>
    <xf numFmtId="0" fontId="5" fillId="0" borderId="26" xfId="0" applyFont="1" applyBorder="1" applyAlignment="1">
      <alignment horizontal="distributed" vertical="center" wrapText="1"/>
    </xf>
    <xf numFmtId="0" fontId="5" fillId="0" borderId="51" xfId="0" applyFont="1" applyBorder="1" applyAlignment="1">
      <alignment horizontal="distributed" vertical="center"/>
    </xf>
    <xf numFmtId="0" fontId="0" fillId="0" borderId="0" xfId="0" applyAlignment="1">
      <alignment horizontal="center" wrapText="1"/>
    </xf>
    <xf numFmtId="0" fontId="0" fillId="0" borderId="0" xfId="0" applyAlignment="1">
      <alignment horizontal="center"/>
    </xf>
    <xf numFmtId="0" fontId="5" fillId="0" borderId="3" xfId="0" applyFont="1" applyBorder="1" applyAlignment="1">
      <alignment horizontal="distributed" vertical="center" justifyLastLine="1"/>
    </xf>
    <xf numFmtId="0" fontId="5" fillId="0" borderId="38" xfId="0" applyFont="1" applyBorder="1" applyAlignment="1">
      <alignment horizontal="distributed" vertical="center" justifyLastLine="1"/>
    </xf>
    <xf numFmtId="0" fontId="5" fillId="0" borderId="37" xfId="0" applyFont="1" applyBorder="1" applyAlignment="1">
      <alignment horizontal="distributed" vertical="center" justifyLastLine="1"/>
    </xf>
    <xf numFmtId="0" fontId="5" fillId="0" borderId="3" xfId="0" applyFont="1" applyBorder="1" applyAlignment="1">
      <alignment horizontal="distributed" vertical="center" wrapText="1"/>
    </xf>
    <xf numFmtId="180" fontId="5" fillId="0" borderId="3" xfId="0" applyNumberFormat="1" applyFont="1" applyBorder="1" applyAlignment="1">
      <alignment horizontal="center" vertical="center"/>
    </xf>
    <xf numFmtId="180" fontId="5" fillId="0" borderId="37" xfId="0" applyNumberFormat="1" applyFont="1" applyBorder="1" applyAlignment="1">
      <alignment horizontal="center" vertical="center"/>
    </xf>
    <xf numFmtId="0" fontId="0" fillId="0" borderId="103" xfId="0" applyBorder="1" applyAlignment="1">
      <alignment horizontal="center" vertical="center"/>
    </xf>
    <xf numFmtId="0" fontId="0" fillId="0" borderId="148" xfId="0" applyBorder="1" applyAlignment="1">
      <alignment horizontal="center" vertical="center"/>
    </xf>
    <xf numFmtId="0" fontId="0" fillId="0" borderId="42" xfId="0" applyBorder="1" applyAlignment="1">
      <alignment horizontal="center" vertical="center"/>
    </xf>
    <xf numFmtId="0" fontId="0" fillId="0" borderId="149" xfId="0" applyBorder="1" applyAlignment="1">
      <alignment horizontal="center" vertical="center"/>
    </xf>
    <xf numFmtId="38" fontId="25" fillId="0" borderId="150" xfId="1" applyFont="1" applyBorder="1" applyAlignment="1">
      <alignment horizontal="center" vertical="center"/>
    </xf>
    <xf numFmtId="38" fontId="25" fillId="0" borderId="151" xfId="1" applyFont="1" applyBorder="1" applyAlignment="1">
      <alignment horizontal="center" vertical="center"/>
    </xf>
    <xf numFmtId="38" fontId="1" fillId="3" borderId="147" xfId="1" applyFont="1" applyFill="1" applyBorder="1" applyAlignment="1">
      <alignment horizontal="right" vertical="center"/>
    </xf>
    <xf numFmtId="0" fontId="5" fillId="0" borderId="37" xfId="0" applyFont="1" applyBorder="1" applyAlignment="1">
      <alignment horizontal="distributed" vertical="center" wrapText="1"/>
    </xf>
    <xf numFmtId="0" fontId="0" fillId="0" borderId="3" xfId="0" applyBorder="1" applyAlignment="1">
      <alignment horizontal="center" vertical="center" wrapText="1"/>
    </xf>
    <xf numFmtId="0" fontId="0" fillId="0" borderId="38" xfId="0" applyBorder="1" applyAlignment="1">
      <alignment horizontal="center" vertical="center" wrapText="1"/>
    </xf>
    <xf numFmtId="0" fontId="0" fillId="0" borderId="37" xfId="0" applyBorder="1" applyAlignment="1">
      <alignment horizontal="center" vertical="center" wrapText="1"/>
    </xf>
    <xf numFmtId="0" fontId="5" fillId="0" borderId="25" xfId="0" applyFont="1" applyBorder="1" applyAlignment="1">
      <alignment horizontal="distributed" vertical="center" justifyLastLine="1"/>
    </xf>
    <xf numFmtId="0" fontId="0" fillId="0" borderId="38" xfId="0" applyBorder="1" applyAlignment="1">
      <alignment horizontal="center" wrapText="1"/>
    </xf>
    <xf numFmtId="0" fontId="0" fillId="0" borderId="38" xfId="0" applyBorder="1" applyAlignment="1">
      <alignment horizontal="center"/>
    </xf>
    <xf numFmtId="179" fontId="5" fillId="0" borderId="3" xfId="0" applyNumberFormat="1" applyFont="1" applyBorder="1" applyAlignment="1">
      <alignment horizontal="center" vertical="center"/>
    </xf>
    <xf numFmtId="179" fontId="5" fillId="0" borderId="37" xfId="0" applyNumberFormat="1" applyFont="1" applyBorder="1" applyAlignment="1">
      <alignment horizontal="center" vertical="center"/>
    </xf>
    <xf numFmtId="176" fontId="5" fillId="3" borderId="3" xfId="0" applyNumberFormat="1" applyFont="1" applyFill="1" applyBorder="1" applyAlignment="1">
      <alignment vertical="center"/>
    </xf>
    <xf numFmtId="176" fontId="5" fillId="3" borderId="37" xfId="0" applyNumberFormat="1" applyFont="1" applyFill="1" applyBorder="1" applyAlignment="1">
      <alignment vertical="center"/>
    </xf>
    <xf numFmtId="176" fontId="7" fillId="0" borderId="3" xfId="0" applyNumberFormat="1" applyFont="1" applyBorder="1" applyAlignment="1">
      <alignment vertical="center"/>
    </xf>
    <xf numFmtId="176" fontId="7" fillId="0" borderId="37" xfId="0" applyNumberFormat="1" applyFont="1" applyBorder="1" applyAlignment="1">
      <alignment vertical="center"/>
    </xf>
    <xf numFmtId="0" fontId="0" fillId="0" borderId="3" xfId="0" applyBorder="1" applyAlignment="1">
      <alignment horizontal="distributed" vertical="center"/>
    </xf>
    <xf numFmtId="0" fontId="0" fillId="0" borderId="37" xfId="0" applyBorder="1" applyAlignment="1">
      <alignment horizontal="distributed" vertical="center"/>
    </xf>
    <xf numFmtId="0" fontId="5" fillId="0" borderId="25" xfId="0" applyFont="1" applyBorder="1" applyAlignment="1">
      <alignment horizontal="distributed" vertical="center"/>
    </xf>
    <xf numFmtId="0" fontId="0" fillId="0" borderId="25" xfId="0" applyBorder="1" applyAlignment="1">
      <alignment horizontal="distributed" vertical="center"/>
    </xf>
    <xf numFmtId="176" fontId="8" fillId="0" borderId="3" xfId="0" applyNumberFormat="1" applyFont="1" applyBorder="1" applyAlignment="1">
      <alignment horizontal="right" vertical="center"/>
    </xf>
    <xf numFmtId="176" fontId="8" fillId="0" borderId="107" xfId="0" applyNumberFormat="1" applyFont="1" applyBorder="1" applyAlignment="1">
      <alignment horizontal="right" vertical="center"/>
    </xf>
    <xf numFmtId="176" fontId="8" fillId="0" borderId="5" xfId="0" applyNumberFormat="1" applyFont="1" applyBorder="1" applyAlignment="1">
      <alignment horizontal="right" vertical="center"/>
    </xf>
    <xf numFmtId="176" fontId="8" fillId="0" borderId="97" xfId="0" applyNumberFormat="1" applyFont="1" applyBorder="1" applyAlignment="1">
      <alignment horizontal="right" vertical="center"/>
    </xf>
    <xf numFmtId="176" fontId="8" fillId="0" borderId="7" xfId="0" applyNumberFormat="1" applyFont="1" applyBorder="1" applyAlignment="1">
      <alignment horizontal="right" vertical="center"/>
    </xf>
    <xf numFmtId="176" fontId="8" fillId="0" borderId="96" xfId="0" applyNumberFormat="1" applyFont="1" applyBorder="1" applyAlignment="1">
      <alignment horizontal="right" vertical="center"/>
    </xf>
    <xf numFmtId="176" fontId="29" fillId="0" borderId="54" xfId="0" applyNumberFormat="1" applyFont="1" applyBorder="1" applyAlignment="1">
      <alignment horizontal="right" vertical="center"/>
    </xf>
    <xf numFmtId="176" fontId="29" fillId="0" borderId="95" xfId="0" applyNumberFormat="1" applyFont="1" applyBorder="1" applyAlignment="1">
      <alignment horizontal="right" vertical="center"/>
    </xf>
    <xf numFmtId="176" fontId="26" fillId="0" borderId="7" xfId="0" applyNumberFormat="1" applyFont="1" applyBorder="1" applyAlignment="1">
      <alignment horizontal="right" vertical="center"/>
    </xf>
    <xf numFmtId="176" fontId="26" fillId="0" borderId="5" xfId="0" applyNumberFormat="1" applyFont="1" applyBorder="1" applyAlignment="1">
      <alignment horizontal="right" vertical="center"/>
    </xf>
    <xf numFmtId="176" fontId="3" fillId="0" borderId="7" xfId="0" applyNumberFormat="1" applyFont="1" applyFill="1" applyBorder="1" applyAlignment="1">
      <alignment horizontal="right" vertical="center"/>
    </xf>
    <xf numFmtId="176" fontId="3" fillId="0" borderId="7" xfId="0" applyNumberFormat="1" applyFont="1" applyBorder="1" applyAlignment="1">
      <alignment horizontal="right" vertical="center"/>
    </xf>
    <xf numFmtId="176" fontId="3" fillId="0" borderId="5" xfId="0" applyNumberFormat="1" applyFont="1" applyFill="1" applyBorder="1" applyAlignment="1">
      <alignment horizontal="right" vertical="center"/>
    </xf>
    <xf numFmtId="176" fontId="3" fillId="0" borderId="5" xfId="0" applyNumberFormat="1" applyFont="1" applyBorder="1" applyAlignment="1">
      <alignment horizontal="right" vertical="center"/>
    </xf>
    <xf numFmtId="176" fontId="13" fillId="0" borderId="7" xfId="0" applyNumberFormat="1" applyFont="1" applyFill="1" applyBorder="1" applyAlignment="1">
      <alignment horizontal="right" vertical="center"/>
    </xf>
    <xf numFmtId="176" fontId="13" fillId="0" borderId="5" xfId="0" applyNumberFormat="1" applyFont="1" applyFill="1" applyBorder="1" applyAlignment="1">
      <alignment horizontal="right" vertical="center"/>
    </xf>
    <xf numFmtId="176" fontId="8" fillId="0" borderId="7" xfId="0" applyNumberFormat="1" applyFont="1" applyFill="1" applyBorder="1" applyAlignment="1">
      <alignment horizontal="right" vertical="center"/>
    </xf>
    <xf numFmtId="176" fontId="8" fillId="0" borderId="96" xfId="0" applyNumberFormat="1" applyFont="1" applyFill="1" applyBorder="1" applyAlignment="1">
      <alignment horizontal="right" vertical="center"/>
    </xf>
    <xf numFmtId="176" fontId="8" fillId="0" borderId="5" xfId="0" applyNumberFormat="1" applyFont="1" applyFill="1" applyBorder="1" applyAlignment="1">
      <alignment horizontal="right" vertical="center"/>
    </xf>
    <xf numFmtId="176" fontId="8" fillId="0" borderId="97" xfId="0" applyNumberFormat="1" applyFont="1" applyFill="1" applyBorder="1" applyAlignment="1">
      <alignment horizontal="right" vertical="center"/>
    </xf>
    <xf numFmtId="176" fontId="29" fillId="0" borderId="2" xfId="0" applyNumberFormat="1" applyFont="1" applyFill="1" applyBorder="1" applyAlignment="1">
      <alignment horizontal="right" vertical="center"/>
    </xf>
    <xf numFmtId="176" fontId="29" fillId="0" borderId="2" xfId="0" applyNumberFormat="1" applyFont="1" applyBorder="1" applyAlignment="1">
      <alignment horizontal="right" vertical="center"/>
    </xf>
    <xf numFmtId="176" fontId="8" fillId="0" borderId="64" xfId="0" applyNumberFormat="1" applyFont="1" applyBorder="1" applyAlignment="1">
      <alignment horizontal="right" vertical="center"/>
    </xf>
    <xf numFmtId="176" fontId="8" fillId="0" borderId="1" xfId="0" applyNumberFormat="1" applyFont="1" applyFill="1" applyBorder="1" applyAlignment="1">
      <alignment horizontal="right" vertical="center"/>
    </xf>
    <xf numFmtId="176" fontId="8" fillId="0" borderId="1" xfId="0" applyNumberFormat="1" applyFont="1" applyBorder="1" applyAlignment="1">
      <alignment horizontal="right" vertical="center"/>
    </xf>
    <xf numFmtId="176" fontId="8" fillId="0" borderId="100" xfId="0" applyNumberFormat="1" applyFont="1" applyBorder="1" applyAlignment="1">
      <alignment horizontal="right" vertical="center"/>
    </xf>
    <xf numFmtId="176" fontId="8" fillId="0" borderId="2" xfId="0" applyNumberFormat="1" applyFont="1" applyFill="1" applyBorder="1" applyAlignment="1">
      <alignment horizontal="right" vertical="center"/>
    </xf>
    <xf numFmtId="176" fontId="8" fillId="0" borderId="2" xfId="0" applyNumberFormat="1" applyFont="1" applyBorder="1" applyAlignment="1">
      <alignment horizontal="right" vertical="center"/>
    </xf>
    <xf numFmtId="176" fontId="26" fillId="0" borderId="1" xfId="0" applyNumberFormat="1" applyFont="1" applyBorder="1" applyAlignment="1">
      <alignment horizontal="right" vertical="center"/>
    </xf>
    <xf numFmtId="176" fontId="26" fillId="0" borderId="100" xfId="0" applyNumberFormat="1" applyFont="1" applyBorder="1" applyAlignment="1">
      <alignment horizontal="right" vertical="center"/>
    </xf>
    <xf numFmtId="176" fontId="26" fillId="0" borderId="97" xfId="0" applyNumberFormat="1" applyFont="1" applyBorder="1" applyAlignment="1">
      <alignment horizontal="right" vertical="center"/>
    </xf>
    <xf numFmtId="176" fontId="29" fillId="0" borderId="98" xfId="0" applyNumberFormat="1" applyFont="1" applyBorder="1" applyAlignment="1">
      <alignment horizontal="right" vertical="center"/>
    </xf>
    <xf numFmtId="176" fontId="29" fillId="0" borderId="21" xfId="0" applyNumberFormat="1" applyFont="1" applyBorder="1" applyAlignment="1">
      <alignment horizontal="right" vertical="center"/>
    </xf>
    <xf numFmtId="176" fontId="10" fillId="0" borderId="7" xfId="0" applyNumberFormat="1" applyFont="1" applyBorder="1" applyAlignment="1">
      <alignment horizontal="right" vertical="center"/>
    </xf>
    <xf numFmtId="176" fontId="10" fillId="0" borderId="96" xfId="0" applyNumberFormat="1" applyFont="1" applyBorder="1" applyAlignment="1">
      <alignment horizontal="right" vertical="center"/>
    </xf>
    <xf numFmtId="176" fontId="10" fillId="0" borderId="5" xfId="0" applyNumberFormat="1" applyFont="1" applyBorder="1" applyAlignment="1">
      <alignment horizontal="right" vertical="center"/>
    </xf>
    <xf numFmtId="176" fontId="10" fillId="0" borderId="97" xfId="0" applyNumberFormat="1" applyFont="1" applyBorder="1" applyAlignment="1">
      <alignment horizontal="right" vertical="center"/>
    </xf>
    <xf numFmtId="176" fontId="26" fillId="0" borderId="96" xfId="0" applyNumberFormat="1" applyFont="1" applyBorder="1" applyAlignment="1">
      <alignment horizontal="right" vertical="center"/>
    </xf>
    <xf numFmtId="176" fontId="29" fillId="3" borderId="21" xfId="0" applyNumberFormat="1" applyFont="1" applyFill="1" applyBorder="1" applyAlignment="1">
      <alignment horizontal="right" vertical="center"/>
    </xf>
    <xf numFmtId="176" fontId="29" fillId="0" borderId="96" xfId="0" applyNumberFormat="1" applyFont="1" applyFill="1" applyBorder="1" applyAlignment="1">
      <alignment horizontal="right" vertical="center"/>
    </xf>
    <xf numFmtId="176" fontId="29" fillId="0" borderId="98" xfId="0" applyNumberFormat="1" applyFont="1" applyFill="1" applyBorder="1" applyAlignment="1">
      <alignment horizontal="right" vertical="center"/>
    </xf>
    <xf numFmtId="176" fontId="29" fillId="3" borderId="7" xfId="0" applyNumberFormat="1" applyFont="1" applyFill="1" applyBorder="1" applyAlignment="1">
      <alignment horizontal="right" vertical="center"/>
    </xf>
    <xf numFmtId="176" fontId="29" fillId="3" borderId="5" xfId="0" applyNumberFormat="1" applyFont="1" applyFill="1" applyBorder="1" applyAlignment="1">
      <alignment horizontal="right" vertical="center"/>
    </xf>
    <xf numFmtId="176" fontId="29" fillId="0" borderId="97" xfId="0" applyNumberFormat="1" applyFont="1" applyFill="1" applyBorder="1" applyAlignment="1">
      <alignment horizontal="right" vertical="center"/>
    </xf>
    <xf numFmtId="176" fontId="29" fillId="3" borderId="38" xfId="0" applyNumberFormat="1" applyFont="1" applyFill="1" applyBorder="1" applyAlignment="1">
      <alignment horizontal="right" vertical="center"/>
    </xf>
    <xf numFmtId="177" fontId="3" fillId="0" borderId="7" xfId="0" applyNumberFormat="1" applyFont="1" applyBorder="1" applyAlignment="1">
      <alignment horizontal="right" vertical="center"/>
    </xf>
    <xf numFmtId="177" fontId="3" fillId="0" borderId="96" xfId="0" applyNumberFormat="1" applyFont="1" applyBorder="1" applyAlignment="1">
      <alignment horizontal="right" vertical="center"/>
    </xf>
    <xf numFmtId="177" fontId="3" fillId="0" borderId="5" xfId="0" applyNumberFormat="1" applyFont="1" applyBorder="1" applyAlignment="1">
      <alignment horizontal="right" vertical="center"/>
    </xf>
    <xf numFmtId="177" fontId="3" fillId="0" borderId="97" xfId="0" applyNumberFormat="1" applyFont="1" applyBorder="1" applyAlignment="1">
      <alignment horizontal="right" vertical="center"/>
    </xf>
    <xf numFmtId="176" fontId="29" fillId="0" borderId="65" xfId="0" applyNumberFormat="1" applyFont="1" applyBorder="1" applyAlignment="1">
      <alignment horizontal="right" vertical="center"/>
    </xf>
    <xf numFmtId="176" fontId="8" fillId="0" borderId="61" xfId="0" applyNumberFormat="1" applyFont="1" applyBorder="1" applyAlignment="1">
      <alignment horizontal="right" vertical="center"/>
    </xf>
    <xf numFmtId="176" fontId="8" fillId="0" borderId="110" xfId="0" applyNumberFormat="1" applyFont="1" applyBorder="1" applyAlignment="1">
      <alignment horizontal="right" vertical="center"/>
    </xf>
    <xf numFmtId="176" fontId="8" fillId="0" borderId="11" xfId="0" applyNumberFormat="1" applyFont="1" applyBorder="1" applyAlignment="1">
      <alignment horizontal="right" vertical="center"/>
    </xf>
    <xf numFmtId="176" fontId="8" fillId="0" borderId="108" xfId="0" applyNumberFormat="1" applyFont="1" applyBorder="1" applyAlignment="1">
      <alignment horizontal="right" vertical="center"/>
    </xf>
    <xf numFmtId="176" fontId="8" fillId="0" borderId="109" xfId="0" applyNumberFormat="1" applyFont="1" applyBorder="1" applyAlignment="1">
      <alignment horizontal="right" vertical="center"/>
    </xf>
  </cellXfs>
  <cellStyles count="45">
    <cellStyle name="20% - アクセント 1 2" xfId="3"/>
    <cellStyle name="20% - アクセント 2 2" xfId="4"/>
    <cellStyle name="20% - アクセント 3 2" xfId="5"/>
    <cellStyle name="20% - アクセント 4 2" xfId="6"/>
    <cellStyle name="20% - アクセント 5 2" xfId="7"/>
    <cellStyle name="20% - アクセント 6 2" xfId="8"/>
    <cellStyle name="40% - アクセント 1 2" xfId="9"/>
    <cellStyle name="40% - アクセント 2 2" xfId="10"/>
    <cellStyle name="40% - アクセント 3 2" xfId="11"/>
    <cellStyle name="40% - アクセント 4 2" xfId="12"/>
    <cellStyle name="40% - アクセント 5 2" xfId="13"/>
    <cellStyle name="40% - アクセント 6 2" xfId="14"/>
    <cellStyle name="60% - アクセント 1 2" xfId="15"/>
    <cellStyle name="60% - アクセント 2 2" xfId="16"/>
    <cellStyle name="60% - アクセント 3 2" xfId="17"/>
    <cellStyle name="60% - アクセント 4 2" xfId="18"/>
    <cellStyle name="60% - アクセント 5 2" xfId="19"/>
    <cellStyle name="60% - アクセント 6 2" xfId="20"/>
    <cellStyle name="アクセント 1 2" xfId="21"/>
    <cellStyle name="アクセント 2 2" xfId="22"/>
    <cellStyle name="アクセント 3 2" xfId="23"/>
    <cellStyle name="アクセント 4 2" xfId="24"/>
    <cellStyle name="アクセント 5 2" xfId="25"/>
    <cellStyle name="アクセント 6 2" xfId="26"/>
    <cellStyle name="タイトル 2" xfId="27"/>
    <cellStyle name="チェック セル 2" xfId="28"/>
    <cellStyle name="どちらでもない 2" xfId="29"/>
    <cellStyle name="パーセント" xfId="2" builtinId="5"/>
    <cellStyle name="メモ 2" xfId="30"/>
    <cellStyle name="リンク セル 2" xfId="31"/>
    <cellStyle name="悪い 2" xfId="32"/>
    <cellStyle name="計算 2" xfId="33"/>
    <cellStyle name="警告文 2" xfId="34"/>
    <cellStyle name="桁区切り" xfId="1" builtinId="6"/>
    <cellStyle name="桁区切り [0.00]" xfId="44" builtinId="3"/>
    <cellStyle name="見出し 1 2" xfId="35"/>
    <cellStyle name="見出し 2 2" xfId="36"/>
    <cellStyle name="見出し 3 2" xfId="37"/>
    <cellStyle name="見出し 4 2" xfId="38"/>
    <cellStyle name="集計 2" xfId="39"/>
    <cellStyle name="出力 2" xfId="40"/>
    <cellStyle name="説明文 2" xfId="41"/>
    <cellStyle name="入力 2" xfId="42"/>
    <cellStyle name="標準" xfId="0" builtinId="0"/>
    <cellStyle name="良い 2" xfId="43"/>
  </cellStyles>
  <dxfs count="16">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9" defaultPivotStyle="PivotStyleLight16"/>
  <colors>
    <mruColors>
      <color rgb="FFFFFF99"/>
      <color rgb="FFFF66FF"/>
      <color rgb="FF0000FF"/>
      <color rgb="FFFF00FF"/>
      <color rgb="FF00FFFF"/>
      <color rgb="FFFFFFCC"/>
      <color rgb="FF66FF33"/>
      <color rgb="FFFF0066"/>
      <color rgb="FFFFCCF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theme" Target="theme/theme1.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13</xdr:col>
      <xdr:colOff>533400</xdr:colOff>
      <xdr:row>3</xdr:row>
      <xdr:rowOff>114300</xdr:rowOff>
    </xdr:from>
    <xdr:to>
      <xdr:col>14</xdr:col>
      <xdr:colOff>9525</xdr:colOff>
      <xdr:row>5</xdr:row>
      <xdr:rowOff>19050</xdr:rowOff>
    </xdr:to>
    <xdr:sp macro="" textlink="">
      <xdr:nvSpPr>
        <xdr:cNvPr id="3" name="正方形/長方形 2"/>
        <xdr:cNvSpPr/>
      </xdr:nvSpPr>
      <xdr:spPr bwMode="auto">
        <a:xfrm>
          <a:off x="11639550" y="581025"/>
          <a:ext cx="342900" cy="171450"/>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800"/>
            <a:t>（軽）</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616324</xdr:colOff>
      <xdr:row>4</xdr:row>
      <xdr:rowOff>22412</xdr:rowOff>
    </xdr:from>
    <xdr:to>
      <xdr:col>13</xdr:col>
      <xdr:colOff>0</xdr:colOff>
      <xdr:row>4</xdr:row>
      <xdr:rowOff>235322</xdr:rowOff>
    </xdr:to>
    <xdr:sp macro="" textlink="">
      <xdr:nvSpPr>
        <xdr:cNvPr id="2" name="正方形/長方形 1"/>
        <xdr:cNvSpPr/>
      </xdr:nvSpPr>
      <xdr:spPr bwMode="auto">
        <a:xfrm>
          <a:off x="12214412" y="941294"/>
          <a:ext cx="347382" cy="212910"/>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616324</xdr:colOff>
      <xdr:row>4</xdr:row>
      <xdr:rowOff>22412</xdr:rowOff>
    </xdr:from>
    <xdr:to>
      <xdr:col>13</xdr:col>
      <xdr:colOff>0</xdr:colOff>
      <xdr:row>4</xdr:row>
      <xdr:rowOff>235322</xdr:rowOff>
    </xdr:to>
    <xdr:sp macro="" textlink="">
      <xdr:nvSpPr>
        <xdr:cNvPr id="2" name="正方形/長方形 1"/>
        <xdr:cNvSpPr/>
      </xdr:nvSpPr>
      <xdr:spPr bwMode="auto">
        <a:xfrm>
          <a:off x="12179674" y="927287"/>
          <a:ext cx="345701" cy="212910"/>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9</xdr:col>
      <xdr:colOff>219075</xdr:colOff>
      <xdr:row>13</xdr:row>
      <xdr:rowOff>104775</xdr:rowOff>
    </xdr:from>
    <xdr:to>
      <xdr:col>14</xdr:col>
      <xdr:colOff>25400</xdr:colOff>
      <xdr:row>18</xdr:row>
      <xdr:rowOff>136525</xdr:rowOff>
    </xdr:to>
    <xdr:sp macro="" textlink="">
      <xdr:nvSpPr>
        <xdr:cNvPr id="3" name="楕円 2"/>
        <xdr:cNvSpPr/>
      </xdr:nvSpPr>
      <xdr:spPr bwMode="auto">
        <a:xfrm>
          <a:off x="9277350" y="3238500"/>
          <a:ext cx="3873500" cy="1270000"/>
        </a:xfrm>
        <a:prstGeom prst="ellipse">
          <a:avLst/>
        </a:prstGeom>
        <a:ln>
          <a:headEnd type="none" w="med" len="med"/>
          <a:tailEnd type="none" w="med" len="med"/>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lIns="18288" tIns="0" rIns="0" bIns="0" rtlCol="0" anchor="ctr" upright="1"/>
        <a:lstStyle/>
        <a:p>
          <a:pPr algn="ctr"/>
          <a:r>
            <a:rPr kumimoji="1" lang="en-US" altLang="ja-JP" sz="4000"/>
            <a:t>R6.5.6</a:t>
          </a:r>
          <a:r>
            <a:rPr kumimoji="1" lang="ja-JP" altLang="en-US" sz="4000"/>
            <a:t>すみ</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616324</xdr:colOff>
      <xdr:row>4</xdr:row>
      <xdr:rowOff>22412</xdr:rowOff>
    </xdr:from>
    <xdr:to>
      <xdr:col>13</xdr:col>
      <xdr:colOff>0</xdr:colOff>
      <xdr:row>4</xdr:row>
      <xdr:rowOff>235322</xdr:rowOff>
    </xdr:to>
    <xdr:sp macro="" textlink="">
      <xdr:nvSpPr>
        <xdr:cNvPr id="2" name="正方形/長方形 1"/>
        <xdr:cNvSpPr/>
      </xdr:nvSpPr>
      <xdr:spPr bwMode="auto">
        <a:xfrm>
          <a:off x="12179674" y="927287"/>
          <a:ext cx="345701" cy="212910"/>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9</xdr:col>
      <xdr:colOff>470647</xdr:colOff>
      <xdr:row>6</xdr:row>
      <xdr:rowOff>56029</xdr:rowOff>
    </xdr:from>
    <xdr:to>
      <xdr:col>13</xdr:col>
      <xdr:colOff>818030</xdr:colOff>
      <xdr:row>10</xdr:row>
      <xdr:rowOff>56028</xdr:rowOff>
    </xdr:to>
    <xdr:sp macro="" textlink="">
      <xdr:nvSpPr>
        <xdr:cNvPr id="3" name="楕円 2"/>
        <xdr:cNvSpPr/>
      </xdr:nvSpPr>
      <xdr:spPr bwMode="auto">
        <a:xfrm>
          <a:off x="9558618" y="1467970"/>
          <a:ext cx="3462618" cy="986117"/>
        </a:xfrm>
        <a:prstGeom prst="ellipse">
          <a:avLst/>
        </a:prstGeom>
        <a:ln>
          <a:headEnd type="none" w="med" len="med"/>
          <a:tailEnd type="none" w="med" len="med"/>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lIns="18288" tIns="0" rIns="0" bIns="0" rtlCol="0" anchor="ctr" upright="1"/>
        <a:lstStyle/>
        <a:p>
          <a:pPr algn="ctr"/>
          <a:r>
            <a:rPr kumimoji="1" lang="en-US" altLang="ja-JP" sz="4000"/>
            <a:t>R6.5.6</a:t>
          </a:r>
          <a:r>
            <a:rPr kumimoji="1" lang="ja-JP" altLang="en-US" sz="4000"/>
            <a:t>済</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12</xdr:col>
      <xdr:colOff>616324</xdr:colOff>
      <xdr:row>4</xdr:row>
      <xdr:rowOff>34318</xdr:rowOff>
    </xdr:from>
    <xdr:to>
      <xdr:col>13</xdr:col>
      <xdr:colOff>0</xdr:colOff>
      <xdr:row>4</xdr:row>
      <xdr:rowOff>247228</xdr:rowOff>
    </xdr:to>
    <xdr:sp macro="" textlink="">
      <xdr:nvSpPr>
        <xdr:cNvPr id="2" name="正方形/長方形 1"/>
        <xdr:cNvSpPr/>
      </xdr:nvSpPr>
      <xdr:spPr bwMode="auto">
        <a:xfrm>
          <a:off x="12189199" y="927287"/>
          <a:ext cx="348082" cy="212910"/>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21</xdr:col>
      <xdr:colOff>616324</xdr:colOff>
      <xdr:row>0</xdr:row>
      <xdr:rowOff>22412</xdr:rowOff>
    </xdr:from>
    <xdr:to>
      <xdr:col>22</xdr:col>
      <xdr:colOff>0</xdr:colOff>
      <xdr:row>1</xdr:row>
      <xdr:rowOff>1959</xdr:rowOff>
    </xdr:to>
    <xdr:sp macro="" textlink="">
      <xdr:nvSpPr>
        <xdr:cNvPr id="3" name="正方形/長方形 2"/>
        <xdr:cNvSpPr/>
      </xdr:nvSpPr>
      <xdr:spPr bwMode="auto">
        <a:xfrm>
          <a:off x="20606918" y="22412"/>
          <a:ext cx="324270" cy="193860"/>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9</xdr:col>
      <xdr:colOff>212911</xdr:colOff>
      <xdr:row>24</xdr:row>
      <xdr:rowOff>56030</xdr:rowOff>
    </xdr:from>
    <xdr:to>
      <xdr:col>13</xdr:col>
      <xdr:colOff>560294</xdr:colOff>
      <xdr:row>32</xdr:row>
      <xdr:rowOff>56029</xdr:rowOff>
    </xdr:to>
    <xdr:sp macro="" textlink="">
      <xdr:nvSpPr>
        <xdr:cNvPr id="4" name="楕円 3"/>
        <xdr:cNvSpPr/>
      </xdr:nvSpPr>
      <xdr:spPr bwMode="auto">
        <a:xfrm>
          <a:off x="9300882" y="4426324"/>
          <a:ext cx="3462618" cy="986117"/>
        </a:xfrm>
        <a:prstGeom prst="ellipse">
          <a:avLst/>
        </a:prstGeom>
        <a:ln>
          <a:headEnd type="none" w="med" len="med"/>
          <a:tailEnd type="none" w="med" len="med"/>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lIns="18288" tIns="0" rIns="0" bIns="0" rtlCol="0" anchor="ctr" upright="1"/>
        <a:lstStyle/>
        <a:p>
          <a:pPr algn="ctr"/>
          <a:r>
            <a:rPr kumimoji="1" lang="en-US" altLang="ja-JP" sz="4000"/>
            <a:t>R6.5.6</a:t>
          </a:r>
          <a:r>
            <a:rPr kumimoji="1" lang="ja-JP" altLang="en-US" sz="4000"/>
            <a:t>済</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12</xdr:col>
      <xdr:colOff>616324</xdr:colOff>
      <xdr:row>4</xdr:row>
      <xdr:rowOff>56030</xdr:rowOff>
    </xdr:from>
    <xdr:to>
      <xdr:col>13</xdr:col>
      <xdr:colOff>0</xdr:colOff>
      <xdr:row>4</xdr:row>
      <xdr:rowOff>268940</xdr:rowOff>
    </xdr:to>
    <xdr:sp macro="" textlink="">
      <xdr:nvSpPr>
        <xdr:cNvPr id="2" name="正方形/長方形 1"/>
        <xdr:cNvSpPr/>
      </xdr:nvSpPr>
      <xdr:spPr bwMode="auto">
        <a:xfrm>
          <a:off x="12797118" y="997324"/>
          <a:ext cx="381000" cy="212910"/>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685800</xdr:colOff>
      <xdr:row>1</xdr:row>
      <xdr:rowOff>47625</xdr:rowOff>
    </xdr:from>
    <xdr:to>
      <xdr:col>6</xdr:col>
      <xdr:colOff>742950</xdr:colOff>
      <xdr:row>2</xdr:row>
      <xdr:rowOff>133350</xdr:rowOff>
    </xdr:to>
    <xdr:sp macro="" textlink="">
      <xdr:nvSpPr>
        <xdr:cNvPr id="1026" name="AutoShape 2"/>
        <xdr:cNvSpPr>
          <a:spLocks noChangeArrowheads="1"/>
        </xdr:cNvSpPr>
      </xdr:nvSpPr>
      <xdr:spPr bwMode="auto">
        <a:xfrm>
          <a:off x="6257925" y="219075"/>
          <a:ext cx="1057275" cy="257175"/>
        </a:xfrm>
        <a:prstGeom prst="wedgeRoundRectCallout">
          <a:avLst>
            <a:gd name="adj1" fmla="val -43750"/>
            <a:gd name="adj2" fmla="val 70000"/>
            <a:gd name="adj3" fmla="val 16667"/>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計調データ</a:t>
          </a:r>
        </a:p>
        <a:p>
          <a:pPr algn="l" rtl="0">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12</xdr:col>
      <xdr:colOff>616324</xdr:colOff>
      <xdr:row>4</xdr:row>
      <xdr:rowOff>0</xdr:rowOff>
    </xdr:from>
    <xdr:to>
      <xdr:col>13</xdr:col>
      <xdr:colOff>0</xdr:colOff>
      <xdr:row>5</xdr:row>
      <xdr:rowOff>5602</xdr:rowOff>
    </xdr:to>
    <xdr:sp macro="" textlink="">
      <xdr:nvSpPr>
        <xdr:cNvPr id="6" name="正方形/長方形 5"/>
        <xdr:cNvSpPr/>
      </xdr:nvSpPr>
      <xdr:spPr bwMode="auto">
        <a:xfrm>
          <a:off x="12584206" y="840441"/>
          <a:ext cx="347382" cy="173690"/>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17</xdr:col>
      <xdr:colOff>616324</xdr:colOff>
      <xdr:row>3</xdr:row>
      <xdr:rowOff>134471</xdr:rowOff>
    </xdr:from>
    <xdr:to>
      <xdr:col>18</xdr:col>
      <xdr:colOff>0</xdr:colOff>
      <xdr:row>5</xdr:row>
      <xdr:rowOff>5602</xdr:rowOff>
    </xdr:to>
    <xdr:sp macro="" textlink="">
      <xdr:nvSpPr>
        <xdr:cNvPr id="7" name="正方形/長方形 6"/>
        <xdr:cNvSpPr/>
      </xdr:nvSpPr>
      <xdr:spPr bwMode="auto">
        <a:xfrm>
          <a:off x="17122589" y="806824"/>
          <a:ext cx="347382" cy="207307"/>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15</xdr:col>
      <xdr:colOff>152399</xdr:colOff>
      <xdr:row>24</xdr:row>
      <xdr:rowOff>33338</xdr:rowOff>
    </xdr:from>
    <xdr:to>
      <xdr:col>20</xdr:col>
      <xdr:colOff>1404937</xdr:colOff>
      <xdr:row>34</xdr:row>
      <xdr:rowOff>47625</xdr:rowOff>
    </xdr:to>
    <xdr:sp macro="" textlink="">
      <xdr:nvSpPr>
        <xdr:cNvPr id="5" name="楕円 4"/>
        <xdr:cNvSpPr/>
      </xdr:nvSpPr>
      <xdr:spPr bwMode="auto">
        <a:xfrm>
          <a:off x="13154024" y="4176713"/>
          <a:ext cx="4586288" cy="1681162"/>
        </a:xfrm>
        <a:prstGeom prst="ellipse">
          <a:avLst/>
        </a:prstGeom>
        <a:ln>
          <a:headEnd type="none" w="med" len="med"/>
          <a:tailEnd type="none" w="med" len="med"/>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lIns="18288" tIns="0" rIns="0" bIns="0" rtlCol="0" anchor="ctr" upright="1"/>
        <a:lstStyle/>
        <a:p>
          <a:pPr algn="ctr"/>
          <a:r>
            <a:rPr kumimoji="1" lang="en-US" altLang="ja-JP" sz="4000"/>
            <a:t>R6.5.6</a:t>
          </a:r>
          <a:r>
            <a:rPr kumimoji="1" lang="ja-JP" altLang="en-US" sz="4000"/>
            <a:t>すみ</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685800</xdr:colOff>
      <xdr:row>1</xdr:row>
      <xdr:rowOff>47625</xdr:rowOff>
    </xdr:from>
    <xdr:to>
      <xdr:col>6</xdr:col>
      <xdr:colOff>742950</xdr:colOff>
      <xdr:row>2</xdr:row>
      <xdr:rowOff>133350</xdr:rowOff>
    </xdr:to>
    <xdr:sp macro="" textlink="">
      <xdr:nvSpPr>
        <xdr:cNvPr id="10241" name="AutoShape 1"/>
        <xdr:cNvSpPr>
          <a:spLocks noChangeArrowheads="1"/>
        </xdr:cNvSpPr>
      </xdr:nvSpPr>
      <xdr:spPr bwMode="auto">
        <a:xfrm>
          <a:off x="6257925" y="219075"/>
          <a:ext cx="1057275" cy="257175"/>
        </a:xfrm>
        <a:prstGeom prst="wedgeRoundRectCallout">
          <a:avLst>
            <a:gd name="adj1" fmla="val -43750"/>
            <a:gd name="adj2" fmla="val 70000"/>
            <a:gd name="adj3" fmla="val 16667"/>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mn-ea"/>
            </a:rPr>
            <a:t>計調データ</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12</xdr:col>
      <xdr:colOff>616324</xdr:colOff>
      <xdr:row>4</xdr:row>
      <xdr:rowOff>0</xdr:rowOff>
    </xdr:from>
    <xdr:to>
      <xdr:col>13</xdr:col>
      <xdr:colOff>0</xdr:colOff>
      <xdr:row>5</xdr:row>
      <xdr:rowOff>5602</xdr:rowOff>
    </xdr:to>
    <xdr:sp macro="" textlink="">
      <xdr:nvSpPr>
        <xdr:cNvPr id="5" name="正方形/長方形 4"/>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17</xdr:col>
      <xdr:colOff>616324</xdr:colOff>
      <xdr:row>4</xdr:row>
      <xdr:rowOff>0</xdr:rowOff>
    </xdr:from>
    <xdr:to>
      <xdr:col>18</xdr:col>
      <xdr:colOff>0</xdr:colOff>
      <xdr:row>5</xdr:row>
      <xdr:rowOff>5602</xdr:rowOff>
    </xdr:to>
    <xdr:sp macro="" textlink="">
      <xdr:nvSpPr>
        <xdr:cNvPr id="6" name="正方形/長方形 5"/>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13</xdr:col>
      <xdr:colOff>873125</xdr:colOff>
      <xdr:row>25</xdr:row>
      <xdr:rowOff>15876</xdr:rowOff>
    </xdr:from>
    <xdr:to>
      <xdr:col>19</xdr:col>
      <xdr:colOff>603250</xdr:colOff>
      <xdr:row>32</xdr:row>
      <xdr:rowOff>63501</xdr:rowOff>
    </xdr:to>
    <xdr:sp macro="" textlink="">
      <xdr:nvSpPr>
        <xdr:cNvPr id="7" name="楕円 6"/>
        <xdr:cNvSpPr/>
      </xdr:nvSpPr>
      <xdr:spPr bwMode="auto">
        <a:xfrm>
          <a:off x="12303125" y="4524376"/>
          <a:ext cx="3873500" cy="1270000"/>
        </a:xfrm>
        <a:prstGeom prst="ellipse">
          <a:avLst/>
        </a:prstGeom>
        <a:ln>
          <a:headEnd type="none" w="med" len="med"/>
          <a:tailEnd type="none" w="med" len="med"/>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lIns="18288" tIns="0" rIns="0" bIns="0" rtlCol="0" anchor="ctr" upright="1"/>
        <a:lstStyle/>
        <a:p>
          <a:pPr algn="ctr"/>
          <a:r>
            <a:rPr kumimoji="1" lang="en-US" altLang="ja-JP" sz="4000"/>
            <a:t>R6.5.6</a:t>
          </a:r>
          <a:r>
            <a:rPr kumimoji="1" lang="ja-JP" altLang="en-US" sz="4000"/>
            <a:t>すみ</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685800</xdr:colOff>
      <xdr:row>1</xdr:row>
      <xdr:rowOff>47625</xdr:rowOff>
    </xdr:from>
    <xdr:to>
      <xdr:col>6</xdr:col>
      <xdr:colOff>742950</xdr:colOff>
      <xdr:row>2</xdr:row>
      <xdr:rowOff>133350</xdr:rowOff>
    </xdr:to>
    <xdr:sp macro="" textlink="">
      <xdr:nvSpPr>
        <xdr:cNvPr id="11265" name="AutoShape 1"/>
        <xdr:cNvSpPr>
          <a:spLocks noChangeArrowheads="1"/>
        </xdr:cNvSpPr>
      </xdr:nvSpPr>
      <xdr:spPr bwMode="auto">
        <a:xfrm>
          <a:off x="6257925" y="219075"/>
          <a:ext cx="1057275" cy="257175"/>
        </a:xfrm>
        <a:prstGeom prst="wedgeRoundRectCallout">
          <a:avLst>
            <a:gd name="adj1" fmla="val -43750"/>
            <a:gd name="adj2" fmla="val 70000"/>
            <a:gd name="adj3" fmla="val 16667"/>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mn-ea"/>
            </a:rPr>
            <a:t>計調データ</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12</xdr:col>
      <xdr:colOff>616324</xdr:colOff>
      <xdr:row>4</xdr:row>
      <xdr:rowOff>0</xdr:rowOff>
    </xdr:from>
    <xdr:to>
      <xdr:col>13</xdr:col>
      <xdr:colOff>0</xdr:colOff>
      <xdr:row>5</xdr:row>
      <xdr:rowOff>5602</xdr:rowOff>
    </xdr:to>
    <xdr:sp macro="" textlink="">
      <xdr:nvSpPr>
        <xdr:cNvPr id="3" name="正方形/長方形 2"/>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17</xdr:col>
      <xdr:colOff>616324</xdr:colOff>
      <xdr:row>4</xdr:row>
      <xdr:rowOff>0</xdr:rowOff>
    </xdr:from>
    <xdr:to>
      <xdr:col>18</xdr:col>
      <xdr:colOff>0</xdr:colOff>
      <xdr:row>5</xdr:row>
      <xdr:rowOff>5602</xdr:rowOff>
    </xdr:to>
    <xdr:sp macro="" textlink="">
      <xdr:nvSpPr>
        <xdr:cNvPr id="4" name="正方形/長方形 3"/>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3</xdr:col>
      <xdr:colOff>1023937</xdr:colOff>
      <xdr:row>13</xdr:row>
      <xdr:rowOff>-1</xdr:rowOff>
    </xdr:from>
    <xdr:to>
      <xdr:col>9</xdr:col>
      <xdr:colOff>381000</xdr:colOff>
      <xdr:row>32</xdr:row>
      <xdr:rowOff>83344</xdr:rowOff>
    </xdr:to>
    <xdr:sp macro="" textlink="">
      <xdr:nvSpPr>
        <xdr:cNvPr id="2" name="テキスト ボックス 1"/>
        <xdr:cNvSpPr txBox="1"/>
      </xdr:nvSpPr>
      <xdr:spPr>
        <a:xfrm>
          <a:off x="3000375" y="2309812"/>
          <a:ext cx="6846094" cy="3250407"/>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kumimoji="1" lang="ja-JP" altLang="en-US" sz="4000"/>
            <a:t>該当なし</a:t>
          </a:r>
          <a:endParaRPr kumimoji="1" lang="en-US" altLang="ja-JP" sz="4000"/>
        </a:p>
        <a:p>
          <a:pPr algn="ctr"/>
          <a:r>
            <a:rPr kumimoji="1" lang="en-US" altLang="ja-JP" sz="4000"/>
            <a:t>R6.4.28</a:t>
          </a:r>
          <a:endParaRPr kumimoji="1" lang="ja-JP" altLang="en-US" sz="40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xdr:col>
      <xdr:colOff>685800</xdr:colOff>
      <xdr:row>1</xdr:row>
      <xdr:rowOff>47625</xdr:rowOff>
    </xdr:from>
    <xdr:to>
      <xdr:col>6</xdr:col>
      <xdr:colOff>742950</xdr:colOff>
      <xdr:row>2</xdr:row>
      <xdr:rowOff>133350</xdr:rowOff>
    </xdr:to>
    <xdr:sp macro="" textlink="">
      <xdr:nvSpPr>
        <xdr:cNvPr id="12289" name="AutoShape 1"/>
        <xdr:cNvSpPr>
          <a:spLocks noChangeArrowheads="1"/>
        </xdr:cNvSpPr>
      </xdr:nvSpPr>
      <xdr:spPr bwMode="auto">
        <a:xfrm>
          <a:off x="6257925" y="219075"/>
          <a:ext cx="1057275" cy="257175"/>
        </a:xfrm>
        <a:prstGeom prst="wedgeRoundRectCallout">
          <a:avLst>
            <a:gd name="adj1" fmla="val -43750"/>
            <a:gd name="adj2" fmla="val 70000"/>
            <a:gd name="adj3" fmla="val 16667"/>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mn-ea"/>
            </a:rPr>
            <a:t>計調データ</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12</xdr:col>
      <xdr:colOff>616324</xdr:colOff>
      <xdr:row>4</xdr:row>
      <xdr:rowOff>0</xdr:rowOff>
    </xdr:from>
    <xdr:to>
      <xdr:col>13</xdr:col>
      <xdr:colOff>0</xdr:colOff>
      <xdr:row>5</xdr:row>
      <xdr:rowOff>5602</xdr:rowOff>
    </xdr:to>
    <xdr:sp macro="" textlink="">
      <xdr:nvSpPr>
        <xdr:cNvPr id="3" name="正方形/長方形 2"/>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17</xdr:col>
      <xdr:colOff>616324</xdr:colOff>
      <xdr:row>4</xdr:row>
      <xdr:rowOff>0</xdr:rowOff>
    </xdr:from>
    <xdr:to>
      <xdr:col>18</xdr:col>
      <xdr:colOff>0</xdr:colOff>
      <xdr:row>5</xdr:row>
      <xdr:rowOff>5602</xdr:rowOff>
    </xdr:to>
    <xdr:sp macro="" textlink="">
      <xdr:nvSpPr>
        <xdr:cNvPr id="4" name="正方形/長方形 3"/>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13</xdr:col>
      <xdr:colOff>302559</xdr:colOff>
      <xdr:row>23</xdr:row>
      <xdr:rowOff>11206</xdr:rowOff>
    </xdr:from>
    <xdr:to>
      <xdr:col>18</xdr:col>
      <xdr:colOff>437030</xdr:colOff>
      <xdr:row>28</xdr:row>
      <xdr:rowOff>156882</xdr:rowOff>
    </xdr:to>
    <xdr:sp macro="" textlink="">
      <xdr:nvSpPr>
        <xdr:cNvPr id="5" name="楕円 4"/>
        <xdr:cNvSpPr/>
      </xdr:nvSpPr>
      <xdr:spPr bwMode="auto">
        <a:xfrm>
          <a:off x="11911853" y="4045324"/>
          <a:ext cx="3462618" cy="986117"/>
        </a:xfrm>
        <a:prstGeom prst="ellipse">
          <a:avLst/>
        </a:prstGeom>
        <a:ln>
          <a:headEnd type="none" w="med" len="med"/>
          <a:tailEnd type="none" w="med" len="med"/>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lIns="18288" tIns="0" rIns="0" bIns="0" rtlCol="0" anchor="ctr" upright="1"/>
        <a:lstStyle/>
        <a:p>
          <a:pPr algn="ctr"/>
          <a:r>
            <a:rPr kumimoji="1" lang="en-US" altLang="ja-JP" sz="4000"/>
            <a:t>R6.5.6</a:t>
          </a:r>
          <a:r>
            <a:rPr kumimoji="1" lang="ja-JP" altLang="en-US" sz="4000"/>
            <a:t>済</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12</xdr:col>
      <xdr:colOff>616324</xdr:colOff>
      <xdr:row>4</xdr:row>
      <xdr:rowOff>0</xdr:rowOff>
    </xdr:from>
    <xdr:to>
      <xdr:col>13</xdr:col>
      <xdr:colOff>0</xdr:colOff>
      <xdr:row>5</xdr:row>
      <xdr:rowOff>5602</xdr:rowOff>
    </xdr:to>
    <xdr:sp macro="" textlink="">
      <xdr:nvSpPr>
        <xdr:cNvPr id="2" name="正方形/長方形 1"/>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17</xdr:col>
      <xdr:colOff>616324</xdr:colOff>
      <xdr:row>4</xdr:row>
      <xdr:rowOff>0</xdr:rowOff>
    </xdr:from>
    <xdr:to>
      <xdr:col>18</xdr:col>
      <xdr:colOff>0</xdr:colOff>
      <xdr:row>5</xdr:row>
      <xdr:rowOff>5602</xdr:rowOff>
    </xdr:to>
    <xdr:sp macro="" textlink="">
      <xdr:nvSpPr>
        <xdr:cNvPr id="3" name="正方形/長方形 2"/>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15</xdr:col>
      <xdr:colOff>508000</xdr:colOff>
      <xdr:row>11</xdr:row>
      <xdr:rowOff>158751</xdr:rowOff>
    </xdr:from>
    <xdr:to>
      <xdr:col>19</xdr:col>
      <xdr:colOff>349250</xdr:colOff>
      <xdr:row>20</xdr:row>
      <xdr:rowOff>111126</xdr:rowOff>
    </xdr:to>
    <xdr:sp macro="" textlink="">
      <xdr:nvSpPr>
        <xdr:cNvPr id="4" name="楕円 3"/>
        <xdr:cNvSpPr/>
      </xdr:nvSpPr>
      <xdr:spPr bwMode="auto">
        <a:xfrm>
          <a:off x="14906625" y="3365501"/>
          <a:ext cx="3714750" cy="1524000"/>
        </a:xfrm>
        <a:prstGeom prst="ellipse">
          <a:avLst/>
        </a:prstGeom>
        <a:ln>
          <a:headEnd type="none" w="med" len="med"/>
          <a:tailEnd type="none" w="med" len="med"/>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lIns="18288" tIns="0" rIns="0" bIns="0" rtlCol="0" anchor="ctr" upright="1"/>
        <a:lstStyle/>
        <a:p>
          <a:pPr algn="ctr"/>
          <a:r>
            <a:rPr kumimoji="1" lang="en-US" altLang="ja-JP" sz="4000"/>
            <a:t>R6.5.6</a:t>
          </a:r>
          <a:r>
            <a:rPr kumimoji="1" lang="ja-JP" altLang="en-US" sz="4000"/>
            <a:t>すみ</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12</xdr:col>
      <xdr:colOff>616324</xdr:colOff>
      <xdr:row>4</xdr:row>
      <xdr:rowOff>0</xdr:rowOff>
    </xdr:from>
    <xdr:to>
      <xdr:col>13</xdr:col>
      <xdr:colOff>0</xdr:colOff>
      <xdr:row>5</xdr:row>
      <xdr:rowOff>5602</xdr:rowOff>
    </xdr:to>
    <xdr:sp macro="" textlink="">
      <xdr:nvSpPr>
        <xdr:cNvPr id="2" name="正方形/長方形 1"/>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17</xdr:col>
      <xdr:colOff>616324</xdr:colOff>
      <xdr:row>4</xdr:row>
      <xdr:rowOff>0</xdr:rowOff>
    </xdr:from>
    <xdr:to>
      <xdr:col>18</xdr:col>
      <xdr:colOff>0</xdr:colOff>
      <xdr:row>5</xdr:row>
      <xdr:rowOff>5602</xdr:rowOff>
    </xdr:to>
    <xdr:sp macro="" textlink="">
      <xdr:nvSpPr>
        <xdr:cNvPr id="3" name="正方形/長方形 2"/>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13</xdr:col>
      <xdr:colOff>539750</xdr:colOff>
      <xdr:row>12</xdr:row>
      <xdr:rowOff>47626</xdr:rowOff>
    </xdr:from>
    <xdr:to>
      <xdr:col>18</xdr:col>
      <xdr:colOff>111125</xdr:colOff>
      <xdr:row>22</xdr:row>
      <xdr:rowOff>79376</xdr:rowOff>
    </xdr:to>
    <xdr:sp macro="" textlink="">
      <xdr:nvSpPr>
        <xdr:cNvPr id="4" name="楕円 3"/>
        <xdr:cNvSpPr/>
      </xdr:nvSpPr>
      <xdr:spPr bwMode="auto">
        <a:xfrm>
          <a:off x="12811125" y="3429001"/>
          <a:ext cx="4127500" cy="1778000"/>
        </a:xfrm>
        <a:prstGeom prst="ellipse">
          <a:avLst/>
        </a:prstGeom>
        <a:ln>
          <a:headEnd type="none" w="med" len="med"/>
          <a:tailEnd type="none" w="med" len="med"/>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lIns="18288" tIns="0" rIns="0" bIns="0" rtlCol="0" anchor="ctr" upright="1"/>
        <a:lstStyle/>
        <a:p>
          <a:pPr algn="ctr"/>
          <a:r>
            <a:rPr kumimoji="1" lang="en-US" altLang="ja-JP" sz="4000"/>
            <a:t>R6.5.6</a:t>
          </a:r>
          <a:r>
            <a:rPr kumimoji="1" lang="ja-JP" altLang="en-US" sz="4000"/>
            <a:t>すみ</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5</xdr:col>
      <xdr:colOff>685800</xdr:colOff>
      <xdr:row>1</xdr:row>
      <xdr:rowOff>47625</xdr:rowOff>
    </xdr:from>
    <xdr:to>
      <xdr:col>6</xdr:col>
      <xdr:colOff>742950</xdr:colOff>
      <xdr:row>2</xdr:row>
      <xdr:rowOff>133350</xdr:rowOff>
    </xdr:to>
    <xdr:sp macro="" textlink="">
      <xdr:nvSpPr>
        <xdr:cNvPr id="13313" name="AutoShape 1"/>
        <xdr:cNvSpPr>
          <a:spLocks noChangeArrowheads="1"/>
        </xdr:cNvSpPr>
      </xdr:nvSpPr>
      <xdr:spPr bwMode="auto">
        <a:xfrm>
          <a:off x="6257925" y="219075"/>
          <a:ext cx="1057275" cy="257175"/>
        </a:xfrm>
        <a:prstGeom prst="wedgeRoundRectCallout">
          <a:avLst>
            <a:gd name="adj1" fmla="val -43750"/>
            <a:gd name="adj2" fmla="val 70000"/>
            <a:gd name="adj3" fmla="val 16667"/>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管路課データ</a:t>
          </a:r>
        </a:p>
        <a:p>
          <a:pPr algn="l" rtl="0">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12</xdr:col>
      <xdr:colOff>616324</xdr:colOff>
      <xdr:row>4</xdr:row>
      <xdr:rowOff>0</xdr:rowOff>
    </xdr:from>
    <xdr:to>
      <xdr:col>13</xdr:col>
      <xdr:colOff>0</xdr:colOff>
      <xdr:row>5</xdr:row>
      <xdr:rowOff>5602</xdr:rowOff>
    </xdr:to>
    <xdr:sp macro="" textlink="">
      <xdr:nvSpPr>
        <xdr:cNvPr id="5" name="正方形/長方形 4"/>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17</xdr:col>
      <xdr:colOff>616324</xdr:colOff>
      <xdr:row>4</xdr:row>
      <xdr:rowOff>0</xdr:rowOff>
    </xdr:from>
    <xdr:to>
      <xdr:col>18</xdr:col>
      <xdr:colOff>0</xdr:colOff>
      <xdr:row>5</xdr:row>
      <xdr:rowOff>5602</xdr:rowOff>
    </xdr:to>
    <xdr:sp macro="" textlink="">
      <xdr:nvSpPr>
        <xdr:cNvPr id="6" name="正方形/長方形 5"/>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28575</xdr:colOff>
      <xdr:row>26</xdr:row>
      <xdr:rowOff>28575</xdr:rowOff>
    </xdr:from>
    <xdr:to>
      <xdr:col>2</xdr:col>
      <xdr:colOff>1257300</xdr:colOff>
      <xdr:row>28</xdr:row>
      <xdr:rowOff>9525</xdr:rowOff>
    </xdr:to>
    <xdr:sp macro="" textlink="">
      <xdr:nvSpPr>
        <xdr:cNvPr id="2049" name="AutoShape 1"/>
        <xdr:cNvSpPr>
          <a:spLocks noChangeArrowheads="1"/>
        </xdr:cNvSpPr>
      </xdr:nvSpPr>
      <xdr:spPr bwMode="auto">
        <a:xfrm>
          <a:off x="657225" y="4495800"/>
          <a:ext cx="1228725" cy="323850"/>
        </a:xfrm>
        <a:prstGeom prst="wedgeRoundRectCallout">
          <a:avLst>
            <a:gd name="adj1" fmla="val 44971"/>
            <a:gd name="adj2" fmla="val 73530"/>
            <a:gd name="adj3" fmla="val 16667"/>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公共は計調データ</a:t>
          </a:r>
        </a:p>
      </xdr:txBody>
    </xdr:sp>
    <xdr:clientData/>
  </xdr:twoCellAnchor>
  <xdr:twoCellAnchor>
    <xdr:from>
      <xdr:col>20</xdr:col>
      <xdr:colOff>33617</xdr:colOff>
      <xdr:row>8</xdr:row>
      <xdr:rowOff>67236</xdr:rowOff>
    </xdr:from>
    <xdr:to>
      <xdr:col>20</xdr:col>
      <xdr:colOff>134470</xdr:colOff>
      <xdr:row>12</xdr:row>
      <xdr:rowOff>268941</xdr:rowOff>
    </xdr:to>
    <xdr:sp macro="" textlink="">
      <xdr:nvSpPr>
        <xdr:cNvPr id="2" name="右中かっこ 1"/>
        <xdr:cNvSpPr/>
      </xdr:nvSpPr>
      <xdr:spPr bwMode="auto">
        <a:xfrm>
          <a:off x="19823205" y="2308412"/>
          <a:ext cx="100853" cy="1456764"/>
        </a:xfrm>
        <a:prstGeom prst="rightBrace">
          <a:avLst>
            <a:gd name="adj1" fmla="val 8333"/>
            <a:gd name="adj2" fmla="val 9231"/>
          </a:avLst>
        </a:prstGeom>
        <a:no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616324</xdr:colOff>
      <xdr:row>4</xdr:row>
      <xdr:rowOff>0</xdr:rowOff>
    </xdr:from>
    <xdr:to>
      <xdr:col>13</xdr:col>
      <xdr:colOff>0</xdr:colOff>
      <xdr:row>5</xdr:row>
      <xdr:rowOff>5602</xdr:rowOff>
    </xdr:to>
    <xdr:sp macro="" textlink="">
      <xdr:nvSpPr>
        <xdr:cNvPr id="4" name="正方形/長方形 3"/>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17</xdr:col>
      <xdr:colOff>616324</xdr:colOff>
      <xdr:row>4</xdr:row>
      <xdr:rowOff>0</xdr:rowOff>
    </xdr:from>
    <xdr:to>
      <xdr:col>18</xdr:col>
      <xdr:colOff>0</xdr:colOff>
      <xdr:row>5</xdr:row>
      <xdr:rowOff>5602</xdr:rowOff>
    </xdr:to>
    <xdr:sp macro="" textlink="">
      <xdr:nvSpPr>
        <xdr:cNvPr id="5" name="正方形/長方形 4"/>
        <xdr:cNvSpPr/>
      </xdr:nvSpPr>
      <xdr:spPr bwMode="auto">
        <a:xfrm>
          <a:off x="12579724" y="828675"/>
          <a:ext cx="345701" cy="17705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b" upright="1"/>
        <a:lstStyle/>
        <a:p>
          <a:pPr algn="ctr"/>
          <a:r>
            <a:rPr kumimoji="1" lang="ja-JP" altLang="en-US" sz="1000"/>
            <a:t>（軽）</a:t>
          </a:r>
        </a:p>
      </xdr:txBody>
    </xdr:sp>
    <xdr:clientData/>
  </xdr:twoCellAnchor>
  <xdr:twoCellAnchor>
    <xdr:from>
      <xdr:col>20</xdr:col>
      <xdr:colOff>66796</xdr:colOff>
      <xdr:row>9</xdr:row>
      <xdr:rowOff>44822</xdr:rowOff>
    </xdr:from>
    <xdr:to>
      <xdr:col>20</xdr:col>
      <xdr:colOff>750796</xdr:colOff>
      <xdr:row>16</xdr:row>
      <xdr:rowOff>224469</xdr:rowOff>
    </xdr:to>
    <xdr:cxnSp macro="">
      <xdr:nvCxnSpPr>
        <xdr:cNvPr id="8" name="カギ線コネクタ 7"/>
        <xdr:cNvCxnSpPr/>
      </xdr:nvCxnSpPr>
      <xdr:spPr bwMode="auto">
        <a:xfrm rot="5400000" flipH="1" flipV="1">
          <a:off x="19010384" y="3445763"/>
          <a:ext cx="2376000" cy="684000"/>
        </a:xfrm>
        <a:prstGeom prst="bentConnector3">
          <a:avLst>
            <a:gd name="adj1" fmla="val 481"/>
          </a:avLst>
        </a:prstGeom>
        <a:solidFill>
          <a:srgbClr val="FFFFFF"/>
        </a:solidFill>
        <a:ln w="12700" cap="flat" cmpd="sng" algn="ctr">
          <a:solidFill>
            <a:srgbClr val="000000"/>
          </a:solidFill>
          <a:prstDash val="solid"/>
          <a:round/>
          <a:headEnd type="none" w="med" len="med"/>
          <a:tailEnd type="triangle"/>
        </a:ln>
        <a:effectLst/>
      </xdr:spPr>
    </xdr:cxnSp>
    <xdr:clientData/>
  </xdr:twoCellAnchor>
  <xdr:twoCellAnchor editAs="oneCell">
    <xdr:from>
      <xdr:col>12</xdr:col>
      <xdr:colOff>313765</xdr:colOff>
      <xdr:row>23</xdr:row>
      <xdr:rowOff>156883</xdr:rowOff>
    </xdr:from>
    <xdr:to>
      <xdr:col>19</xdr:col>
      <xdr:colOff>727262</xdr:colOff>
      <xdr:row>82</xdr:row>
      <xdr:rowOff>166408</xdr:rowOff>
    </xdr:to>
    <xdr:pic>
      <xdr:nvPicPr>
        <xdr:cNvPr id="11" name="図 1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3853" y="7104530"/>
          <a:ext cx="6879291" cy="99267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605119</xdr:colOff>
      <xdr:row>28</xdr:row>
      <xdr:rowOff>67236</xdr:rowOff>
    </xdr:from>
    <xdr:to>
      <xdr:col>16</xdr:col>
      <xdr:colOff>78442</xdr:colOff>
      <xdr:row>31</xdr:row>
      <xdr:rowOff>67236</xdr:rowOff>
    </xdr:to>
    <xdr:sp macro="" textlink="">
      <xdr:nvSpPr>
        <xdr:cNvPr id="3" name="角丸四角形 2"/>
        <xdr:cNvSpPr/>
      </xdr:nvSpPr>
      <xdr:spPr bwMode="auto">
        <a:xfrm>
          <a:off x="12965207" y="7855324"/>
          <a:ext cx="3048000" cy="504265"/>
        </a:xfrm>
        <a:prstGeom prst="roundRect">
          <a:avLst/>
        </a:prstGeom>
        <a:solidFill>
          <a:srgbClr val="FFFF99"/>
        </a:solidFill>
        <a:ln w="38100"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1600" b="1"/>
            <a:t>不課税収入の使途の特定方法</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15</xdr:col>
      <xdr:colOff>0</xdr:colOff>
      <xdr:row>59</xdr:row>
      <xdr:rowOff>0</xdr:rowOff>
    </xdr:from>
    <xdr:to>
      <xdr:col>23</xdr:col>
      <xdr:colOff>806824</xdr:colOff>
      <xdr:row>65</xdr:row>
      <xdr:rowOff>11206</xdr:rowOff>
    </xdr:to>
    <xdr:sp macro="" textlink="">
      <xdr:nvSpPr>
        <xdr:cNvPr id="2" name="テキスト ボックス 1"/>
        <xdr:cNvSpPr txBox="1"/>
      </xdr:nvSpPr>
      <xdr:spPr>
        <a:xfrm>
          <a:off x="11967882" y="9917206"/>
          <a:ext cx="6555442" cy="1019735"/>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kumimoji="1" lang="en-US" altLang="ja-JP" sz="1100"/>
            <a:t>R6.4.26</a:t>
          </a:r>
        </a:p>
        <a:p>
          <a:r>
            <a:rPr kumimoji="1" lang="ja-JP" altLang="en-US" sz="1100"/>
            <a:t>例年、①</a:t>
          </a:r>
          <a:r>
            <a:rPr kumimoji="1" lang="en-US" altLang="ja-JP" sz="1100"/>
            <a:t>9</a:t>
          </a:r>
          <a:r>
            <a:rPr kumimoji="1" lang="ja-JP" altLang="en-US" sz="1100"/>
            <a:t>月分と②</a:t>
          </a:r>
          <a:r>
            <a:rPr kumimoji="1" lang="en-US" altLang="ja-JP" sz="1100"/>
            <a:t>3</a:t>
          </a:r>
          <a:r>
            <a:rPr kumimoji="1" lang="ja-JP" altLang="en-US" sz="1100"/>
            <a:t>月分の（案）の提出がある。</a:t>
          </a:r>
          <a:endParaRPr kumimoji="1" lang="en-US" altLang="ja-JP" sz="1100"/>
        </a:p>
        <a:p>
          <a:r>
            <a:rPr kumimoji="1" lang="ja-JP" altLang="en-US" sz="1100"/>
            <a:t>このうち、①</a:t>
          </a:r>
          <a:r>
            <a:rPr kumimoji="1" lang="en-US" altLang="ja-JP" sz="1100"/>
            <a:t>9</a:t>
          </a:r>
          <a:r>
            <a:rPr kumimoji="1" lang="ja-JP" altLang="en-US" sz="1100"/>
            <a:t>月分については、ア　案の実物とイ　交付税変更後で作成したもの</a:t>
          </a:r>
          <a:r>
            <a:rPr kumimoji="1" lang="en-US" altLang="ja-JP" sz="1100"/>
            <a:t>2</a:t>
          </a:r>
          <a:r>
            <a:rPr kumimoji="1" lang="ja-JP" altLang="en-US" sz="1100"/>
            <a:t>パターンある。</a:t>
          </a:r>
          <a:endParaRPr kumimoji="1" lang="en-US" altLang="ja-JP" sz="1100"/>
        </a:p>
        <a:p>
          <a:r>
            <a:rPr kumimoji="1" lang="ja-JP" altLang="en-US" sz="1100"/>
            <a:t>②とイが整合が取れていることを確認すること。</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14</xdr:col>
      <xdr:colOff>447675</xdr:colOff>
      <xdr:row>35</xdr:row>
      <xdr:rowOff>200025</xdr:rowOff>
    </xdr:from>
    <xdr:to>
      <xdr:col>18</xdr:col>
      <xdr:colOff>342900</xdr:colOff>
      <xdr:row>39</xdr:row>
      <xdr:rowOff>104775</xdr:rowOff>
    </xdr:to>
    <xdr:sp macro="" textlink="">
      <xdr:nvSpPr>
        <xdr:cNvPr id="2" name="テキスト ボックス 1"/>
        <xdr:cNvSpPr txBox="1"/>
      </xdr:nvSpPr>
      <xdr:spPr>
        <a:xfrm>
          <a:off x="13992225" y="8791575"/>
          <a:ext cx="2638425" cy="895350"/>
        </a:xfrm>
        <a:prstGeom prst="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kumimoji="1" lang="ja-JP" altLang="en-US" sz="1100"/>
            <a:t>←</a:t>
          </a:r>
          <a:r>
            <a:rPr kumimoji="1" lang="en-US" altLang="ja-JP" sz="1100"/>
            <a:t>R6.4.26 </a:t>
          </a:r>
          <a:r>
            <a:rPr kumimoji="1" lang="ja-JP" altLang="en-US" sz="1100"/>
            <a:t>入力済み</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9312;R5%20&#65299;&#26465;&#25903;&#2098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9313;R5%20&#65299;&#26465;&#21454;&#2083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9316;R5%20&#38632;&#27738;&#277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9315;R5%20&#65300;&#26465;&#21454;&#20837;.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9314;R5%20&#65300;&#26465;&#25903;&#2098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年度"/>
      <sheetName val="全伝票"/>
      <sheetName val="災害伝票"/>
      <sheetName val="3条支出"/>
      <sheetName val="管"/>
      <sheetName val="水質"/>
      <sheetName val="ポ"/>
      <sheetName val="処"/>
      <sheetName val="受工"/>
      <sheetName val="普及"/>
      <sheetName val="貸付"/>
      <sheetName val="業務"/>
      <sheetName val="総係"/>
      <sheetName val="特環"/>
      <sheetName val="農集"/>
      <sheetName val="浄化"/>
      <sheetName val="災"/>
      <sheetName val="減価"/>
      <sheetName val="減耗"/>
      <sheetName val="営外"/>
      <sheetName val="特損"/>
      <sheetName val="3条支出(共通按分後)"/>
      <sheetName val="総係(共通按分後)"/>
      <sheetName val="特環(共通按分後)"/>
      <sheetName val="農集(共通按分後)"/>
      <sheetName val="浄化(共通按分後)"/>
    </sheetNames>
    <sheetDataSet>
      <sheetData sheetId="0">
        <row r="2">
          <cell r="A2">
            <v>5</v>
          </cell>
        </row>
      </sheetData>
      <sheetData sheetId="1"/>
      <sheetData sheetId="2"/>
      <sheetData sheetId="3">
        <row r="7">
          <cell r="E7">
            <v>52443869</v>
          </cell>
          <cell r="F7">
            <v>0</v>
          </cell>
          <cell r="G7">
            <v>0</v>
          </cell>
          <cell r="H7">
            <v>0</v>
          </cell>
          <cell r="I7">
            <v>0</v>
          </cell>
          <cell r="J7">
            <v>12436317</v>
          </cell>
          <cell r="K7">
            <v>12436317</v>
          </cell>
        </row>
        <row r="11">
          <cell r="E11">
            <v>88849549</v>
          </cell>
          <cell r="F11">
            <v>0</v>
          </cell>
          <cell r="G11">
            <v>0</v>
          </cell>
          <cell r="H11">
            <v>0</v>
          </cell>
          <cell r="I11">
            <v>0</v>
          </cell>
          <cell r="J11">
            <v>18870469</v>
          </cell>
          <cell r="K11">
            <v>18870469</v>
          </cell>
        </row>
        <row r="12">
          <cell r="E12">
            <v>10483859</v>
          </cell>
          <cell r="F12">
            <v>0</v>
          </cell>
          <cell r="G12">
            <v>0</v>
          </cell>
          <cell r="H12">
            <v>0</v>
          </cell>
          <cell r="I12">
            <v>0</v>
          </cell>
          <cell r="J12">
            <v>963485</v>
          </cell>
          <cell r="K12">
            <v>963485</v>
          </cell>
        </row>
        <row r="41">
          <cell r="E41">
            <v>42643669657</v>
          </cell>
          <cell r="F41">
            <v>0</v>
          </cell>
          <cell r="G41">
            <v>0</v>
          </cell>
          <cell r="H41">
            <v>1236141</v>
          </cell>
          <cell r="I41">
            <v>500878</v>
          </cell>
          <cell r="J41">
            <v>9106828850</v>
          </cell>
          <cell r="K41">
            <v>9108565869</v>
          </cell>
        </row>
        <row r="53">
          <cell r="E53">
            <v>3688023972</v>
          </cell>
          <cell r="F53">
            <v>0</v>
          </cell>
          <cell r="G53">
            <v>0</v>
          </cell>
          <cell r="H53">
            <v>496314</v>
          </cell>
          <cell r="I53">
            <v>142297</v>
          </cell>
          <cell r="J53">
            <v>2459472462</v>
          </cell>
          <cell r="K53">
            <v>2460111073</v>
          </cell>
        </row>
        <row r="88">
          <cell r="E88">
            <v>0</v>
          </cell>
          <cell r="F88">
            <v>0</v>
          </cell>
          <cell r="G88">
            <v>0</v>
          </cell>
          <cell r="H88">
            <v>0</v>
          </cell>
          <cell r="I88">
            <v>0</v>
          </cell>
          <cell r="J88">
            <v>0</v>
          </cell>
          <cell r="K88">
            <v>0</v>
          </cell>
        </row>
        <row r="89">
          <cell r="E89">
            <v>0</v>
          </cell>
          <cell r="F89">
            <v>0</v>
          </cell>
          <cell r="G89">
            <v>0</v>
          </cell>
          <cell r="H89">
            <v>0</v>
          </cell>
          <cell r="I89">
            <v>0</v>
          </cell>
          <cell r="J89">
            <v>0</v>
          </cell>
          <cell r="K89">
            <v>0</v>
          </cell>
        </row>
        <row r="90">
          <cell r="E90">
            <v>0</v>
          </cell>
          <cell r="F90">
            <v>0</v>
          </cell>
          <cell r="G90">
            <v>0</v>
          </cell>
          <cell r="H90">
            <v>0</v>
          </cell>
          <cell r="I90">
            <v>0</v>
          </cell>
          <cell r="J90">
            <v>0</v>
          </cell>
          <cell r="K90">
            <v>0</v>
          </cell>
        </row>
        <row r="91">
          <cell r="E91">
            <v>0</v>
          </cell>
          <cell r="F91">
            <v>0</v>
          </cell>
          <cell r="G91">
            <v>0</v>
          </cell>
          <cell r="H91">
            <v>0</v>
          </cell>
          <cell r="I91">
            <v>0</v>
          </cell>
          <cell r="J91">
            <v>0</v>
          </cell>
          <cell r="K91">
            <v>0</v>
          </cell>
        </row>
        <row r="92">
          <cell r="E92">
            <v>0</v>
          </cell>
          <cell r="F92">
            <v>0</v>
          </cell>
          <cell r="G92">
            <v>0</v>
          </cell>
          <cell r="H92">
            <v>0</v>
          </cell>
          <cell r="I92">
            <v>0</v>
          </cell>
          <cell r="J92">
            <v>0</v>
          </cell>
          <cell r="K92">
            <v>0</v>
          </cell>
        </row>
        <row r="93">
          <cell r="E93">
            <v>0</v>
          </cell>
          <cell r="F93">
            <v>0</v>
          </cell>
          <cell r="G93">
            <v>0</v>
          </cell>
          <cell r="H93">
            <v>0</v>
          </cell>
          <cell r="I93">
            <v>0</v>
          </cell>
          <cell r="J93">
            <v>0</v>
          </cell>
          <cell r="K93">
            <v>0</v>
          </cell>
        </row>
        <row r="101">
          <cell r="E101">
            <v>0</v>
          </cell>
          <cell r="F101">
            <v>0</v>
          </cell>
          <cell r="G101">
            <v>0</v>
          </cell>
          <cell r="H101">
            <v>0</v>
          </cell>
          <cell r="I101">
            <v>0</v>
          </cell>
          <cell r="J101">
            <v>0</v>
          </cell>
          <cell r="K101">
            <v>0</v>
          </cell>
        </row>
        <row r="102">
          <cell r="E102">
            <v>0</v>
          </cell>
          <cell r="F102">
            <v>0</v>
          </cell>
          <cell r="G102">
            <v>0</v>
          </cell>
          <cell r="H102">
            <v>0</v>
          </cell>
          <cell r="I102">
            <v>0</v>
          </cell>
          <cell r="J102">
            <v>0</v>
          </cell>
          <cell r="K102">
            <v>0</v>
          </cell>
        </row>
        <row r="103">
          <cell r="E103">
            <v>0</v>
          </cell>
          <cell r="F103">
            <v>0</v>
          </cell>
          <cell r="G103">
            <v>0</v>
          </cell>
          <cell r="H103">
            <v>0</v>
          </cell>
          <cell r="I103">
            <v>0</v>
          </cell>
          <cell r="J103">
            <v>0</v>
          </cell>
          <cell r="K103">
            <v>0</v>
          </cell>
        </row>
        <row r="104">
          <cell r="E104">
            <v>0</v>
          </cell>
          <cell r="F104">
            <v>0</v>
          </cell>
          <cell r="G104">
            <v>0</v>
          </cell>
          <cell r="H104">
            <v>0</v>
          </cell>
          <cell r="I104">
            <v>0</v>
          </cell>
          <cell r="J104">
            <v>0</v>
          </cell>
          <cell r="K104">
            <v>0</v>
          </cell>
        </row>
        <row r="105">
          <cell r="E105">
            <v>0</v>
          </cell>
          <cell r="F105">
            <v>0</v>
          </cell>
          <cell r="G105">
            <v>0</v>
          </cell>
          <cell r="H105">
            <v>0</v>
          </cell>
          <cell r="I105">
            <v>0</v>
          </cell>
          <cell r="J105">
            <v>0</v>
          </cell>
          <cell r="K105">
            <v>0</v>
          </cell>
        </row>
        <row r="106">
          <cell r="E106">
            <v>0</v>
          </cell>
          <cell r="F106">
            <v>0</v>
          </cell>
          <cell r="G106">
            <v>0</v>
          </cell>
          <cell r="H106">
            <v>0</v>
          </cell>
          <cell r="I106">
            <v>0</v>
          </cell>
          <cell r="J106">
            <v>0</v>
          </cell>
          <cell r="K106">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9">
          <cell r="E9">
            <v>61813753</v>
          </cell>
          <cell r="F9">
            <v>0</v>
          </cell>
          <cell r="G9">
            <v>0</v>
          </cell>
          <cell r="H9">
            <v>0</v>
          </cell>
          <cell r="I9">
            <v>0</v>
          </cell>
          <cell r="J9">
            <v>61813753</v>
          </cell>
          <cell r="K9">
            <v>61813753</v>
          </cell>
        </row>
        <row r="20">
          <cell r="E20">
            <v>9198273</v>
          </cell>
          <cell r="K20">
            <v>5368538</v>
          </cell>
        </row>
      </sheetData>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条収入"/>
    </sheetNames>
    <sheetDataSet>
      <sheetData sheetId="0">
        <row r="34">
          <cell r="E34">
            <v>0</v>
          </cell>
        </row>
        <row r="41">
          <cell r="V41">
            <v>16476593</v>
          </cell>
        </row>
        <row r="49">
          <cell r="V49">
            <v>0</v>
          </cell>
        </row>
        <row r="50">
          <cell r="E50">
            <v>0</v>
          </cell>
        </row>
        <row r="51">
          <cell r="V51">
            <v>1202214</v>
          </cell>
        </row>
        <row r="60">
          <cell r="V60">
            <v>1155175</v>
          </cell>
        </row>
        <row r="62">
          <cell r="V62">
            <v>1429429</v>
          </cell>
        </row>
        <row r="64">
          <cell r="E64">
            <v>455622</v>
          </cell>
        </row>
        <row r="65">
          <cell r="E65">
            <v>109000</v>
          </cell>
        </row>
        <row r="69">
          <cell r="U69">
            <v>9697829110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雨汚水"/>
      <sheetName val="雨汚収入"/>
      <sheetName val="雨汚支出"/>
      <sheetName val="補助補給"/>
      <sheetName val="3条税込み"/>
      <sheetName val="3条税抜き"/>
      <sheetName val="3条税抜き (消費税雑支出加算)"/>
      <sheetName val="収入税込"/>
      <sheetName val="収入税抜き"/>
      <sheetName val="収入税抜き (消費税雑収入加算）)"/>
      <sheetName val="雨汚水(共通按分後)"/>
      <sheetName val="3条税込み(共通按分後)"/>
      <sheetName val="3条税抜き(共通按分後)"/>
      <sheetName val="3条税抜き (消費税雑支出加算)(共通按分後)"/>
      <sheetName val="雨汚水(共通按分後) (確認用)"/>
    </sheetNames>
    <sheetDataSet>
      <sheetData sheetId="0">
        <row r="88">
          <cell r="E88">
            <v>16476593</v>
          </cell>
        </row>
        <row r="89">
          <cell r="E89">
            <v>0</v>
          </cell>
        </row>
        <row r="109">
          <cell r="O109">
            <v>13974628227</v>
          </cell>
        </row>
        <row r="111">
          <cell r="O111">
            <v>3383678341</v>
          </cell>
        </row>
        <row r="112">
          <cell r="O112">
            <v>8476549651</v>
          </cell>
        </row>
        <row r="114">
          <cell r="O114">
            <v>1981328911</v>
          </cell>
        </row>
        <row r="115">
          <cell r="O115">
            <v>27794733</v>
          </cell>
        </row>
        <row r="116">
          <cell r="O116">
            <v>51313295</v>
          </cell>
        </row>
        <row r="117">
          <cell r="O117">
            <v>43567026</v>
          </cell>
        </row>
        <row r="118">
          <cell r="O118">
            <v>10396270</v>
          </cell>
        </row>
        <row r="120">
          <cell r="O120">
            <v>9203253</v>
          </cell>
        </row>
        <row r="123">
          <cell r="O123">
            <v>0</v>
          </cell>
        </row>
        <row r="124">
          <cell r="O124">
            <v>0</v>
          </cell>
        </row>
        <row r="125">
          <cell r="O125">
            <v>4980</v>
          </cell>
        </row>
        <row r="126">
          <cell r="O126">
            <v>9198273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条収入"/>
    </sheetNames>
    <sheetDataSet>
      <sheetData sheetId="0">
        <row r="25">
          <cell r="AH25">
            <v>516208819</v>
          </cell>
        </row>
        <row r="26">
          <cell r="E26">
            <v>0</v>
          </cell>
          <cell r="AH26">
            <v>0</v>
          </cell>
        </row>
        <row r="27">
          <cell r="AH27">
            <v>0</v>
          </cell>
        </row>
        <row r="28">
          <cell r="AH28">
            <v>0</v>
          </cell>
        </row>
        <row r="29">
          <cell r="AH29">
            <v>0</v>
          </cell>
        </row>
        <row r="30">
          <cell r="AH30">
            <v>0</v>
          </cell>
        </row>
        <row r="32">
          <cell r="AH32">
            <v>2772727</v>
          </cell>
        </row>
        <row r="33">
          <cell r="AH33">
            <v>0</v>
          </cell>
        </row>
        <row r="34">
          <cell r="AH34">
            <v>317091</v>
          </cell>
        </row>
        <row r="44">
          <cell r="AH44">
            <v>775000</v>
          </cell>
        </row>
        <row r="46">
          <cell r="AH46">
            <v>3041767</v>
          </cell>
        </row>
        <row r="47">
          <cell r="AH47">
            <v>1431014</v>
          </cell>
        </row>
        <row r="48">
          <cell r="AH48">
            <v>1253458</v>
          </cell>
        </row>
        <row r="49">
          <cell r="AH49">
            <v>357295</v>
          </cell>
        </row>
        <row r="50">
          <cell r="V50">
            <v>514968182</v>
          </cell>
          <cell r="AH50">
            <v>26207717</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条支出"/>
      <sheetName val="公整"/>
      <sheetName val="受益"/>
      <sheetName val="排水"/>
      <sheetName val="都下"/>
      <sheetName val="流下"/>
      <sheetName val="諸公"/>
      <sheetName val="諸特"/>
      <sheetName val="諸農"/>
      <sheetName val="建利"/>
      <sheetName val="特整"/>
      <sheetName val="農整"/>
      <sheetName val="浄整"/>
      <sheetName val="償還"/>
      <sheetName val="水洗"/>
      <sheetName val="返還"/>
    </sheetNames>
    <sheetDataSet>
      <sheetData sheetId="0">
        <row r="8">
          <cell r="E8">
            <v>665100151</v>
          </cell>
          <cell r="K8">
            <v>518619849</v>
          </cell>
        </row>
        <row r="11">
          <cell r="E11">
            <v>59178010</v>
          </cell>
          <cell r="K11">
            <v>59178010</v>
          </cell>
        </row>
        <row r="17">
          <cell r="E17">
            <v>453738774</v>
          </cell>
          <cell r="K17">
            <v>440688000</v>
          </cell>
        </row>
        <row r="18">
          <cell r="E18">
            <v>146106803</v>
          </cell>
          <cell r="K18">
            <v>136580009</v>
          </cell>
        </row>
        <row r="19">
          <cell r="E19">
            <v>88399847</v>
          </cell>
          <cell r="K19">
            <v>79397453</v>
          </cell>
        </row>
      </sheetData>
      <sheetData sheetId="1"/>
      <sheetData sheetId="2"/>
      <sheetData sheetId="3">
        <row r="41">
          <cell r="F41">
            <v>0</v>
          </cell>
          <cell r="G41">
            <v>0</v>
          </cell>
          <cell r="H41">
            <v>0</v>
          </cell>
          <cell r="I41">
            <v>0</v>
          </cell>
          <cell r="J41">
            <v>518619849</v>
          </cell>
        </row>
      </sheetData>
      <sheetData sheetId="4"/>
      <sheetData sheetId="5"/>
      <sheetData sheetId="6">
        <row r="41">
          <cell r="F41">
            <v>0</v>
          </cell>
          <cell r="G41">
            <v>0</v>
          </cell>
          <cell r="H41">
            <v>0</v>
          </cell>
          <cell r="I41">
            <v>0</v>
          </cell>
          <cell r="J41">
            <v>59178010</v>
          </cell>
        </row>
      </sheetData>
      <sheetData sheetId="7"/>
      <sheetData sheetId="8"/>
      <sheetData sheetId="9"/>
      <sheetData sheetId="10">
        <row r="41">
          <cell r="F41">
            <v>0</v>
          </cell>
          <cell r="G41">
            <v>0</v>
          </cell>
          <cell r="H41">
            <v>0</v>
          </cell>
          <cell r="I41">
            <v>0</v>
          </cell>
          <cell r="J41">
            <v>440688000</v>
          </cell>
        </row>
      </sheetData>
      <sheetData sheetId="11">
        <row r="41">
          <cell r="F41">
            <v>0</v>
          </cell>
          <cell r="G41">
            <v>0</v>
          </cell>
          <cell r="H41">
            <v>0</v>
          </cell>
          <cell r="I41">
            <v>0</v>
          </cell>
          <cell r="J41">
            <v>136580009</v>
          </cell>
        </row>
      </sheetData>
      <sheetData sheetId="12">
        <row r="41">
          <cell r="F41">
            <v>0</v>
          </cell>
          <cell r="G41">
            <v>0</v>
          </cell>
          <cell r="H41">
            <v>0</v>
          </cell>
          <cell r="I41">
            <v>0</v>
          </cell>
          <cell r="J41">
            <v>79397453</v>
          </cell>
        </row>
      </sheetData>
      <sheetData sheetId="13"/>
      <sheetData sheetId="14"/>
      <sheetData sheetId="15"/>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5.xml"/><Relationship Id="rId1" Type="http://schemas.openxmlformats.org/officeDocument/2006/relationships/printerSettings" Target="../printerSettings/printerSettings19.bin"/><Relationship Id="rId4" Type="http://schemas.openxmlformats.org/officeDocument/2006/relationships/comments" Target="../comments17.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165"/>
  <sheetViews>
    <sheetView showGridLines="0" tabSelected="1" zoomScale="90" zoomScaleNormal="90" zoomScaleSheetLayoutView="100" workbookViewId="0">
      <pane xSplit="5" ySplit="5" topLeftCell="F6" activePane="bottomRight" state="frozen"/>
      <selection sqref="A1:XFD1048576"/>
      <selection pane="topRight" sqref="A1:XFD1048576"/>
      <selection pane="bottomLeft" sqref="A1:XFD1048576"/>
      <selection pane="bottomRight" activeCell="F6" sqref="F6"/>
    </sheetView>
  </sheetViews>
  <sheetFormatPr defaultRowHeight="13.5" outlineLevelRow="1"/>
  <cols>
    <col min="1" max="1" width="4.625" customWidth="1"/>
    <col min="2" max="2" width="2.125" customWidth="1"/>
    <col min="3" max="3" width="3.625" customWidth="1"/>
    <col min="4" max="4" width="19.625" customWidth="1"/>
    <col min="5" max="5" width="22.625" customWidth="1"/>
    <col min="6" max="6" width="23.625" customWidth="1"/>
    <col min="7" max="9" width="13.375" customWidth="1"/>
    <col min="10" max="10" width="11.125" customWidth="1"/>
  </cols>
  <sheetData>
    <row r="1" spans="1:10" ht="8.25" customHeight="1"/>
    <row r="2" spans="1:10" ht="15" customHeight="1">
      <c r="A2" s="579"/>
      <c r="B2" s="579"/>
      <c r="C2" s="579"/>
      <c r="D2" s="579"/>
      <c r="E2" s="579"/>
      <c r="F2" s="579"/>
      <c r="G2" s="579"/>
      <c r="H2" s="579"/>
      <c r="I2" s="579"/>
      <c r="J2" s="21"/>
    </row>
    <row r="3" spans="1:10" ht="13.5" customHeight="1" thickBot="1">
      <c r="B3" s="1"/>
      <c r="C3" s="1"/>
      <c r="D3" s="1"/>
      <c r="E3" s="1"/>
      <c r="F3" s="1"/>
      <c r="G3" s="1"/>
      <c r="H3" s="1"/>
      <c r="I3" s="22" t="s">
        <v>213</v>
      </c>
      <c r="J3" s="22"/>
    </row>
    <row r="4" spans="1:10" ht="12" customHeight="1">
      <c r="A4" s="587" t="s">
        <v>170</v>
      </c>
      <c r="B4" s="582"/>
      <c r="C4" s="582"/>
      <c r="D4" s="588"/>
      <c r="E4" s="584" t="s">
        <v>214</v>
      </c>
      <c r="F4" s="582" t="s">
        <v>215</v>
      </c>
      <c r="G4" s="584" t="s">
        <v>216</v>
      </c>
      <c r="H4" s="584" t="s">
        <v>217</v>
      </c>
      <c r="I4" s="580" t="s">
        <v>218</v>
      </c>
      <c r="J4" s="43"/>
    </row>
    <row r="5" spans="1:10" ht="12.75" customHeight="1">
      <c r="A5" s="589"/>
      <c r="B5" s="583"/>
      <c r="C5" s="583"/>
      <c r="D5" s="590"/>
      <c r="E5" s="585"/>
      <c r="F5" s="583"/>
      <c r="G5" s="585"/>
      <c r="H5" s="585"/>
      <c r="I5" s="581"/>
      <c r="J5" s="14"/>
    </row>
    <row r="6" spans="1:10" ht="10.5" customHeight="1">
      <c r="A6" s="570" t="s">
        <v>224</v>
      </c>
      <c r="B6" s="593" t="s">
        <v>225</v>
      </c>
      <c r="C6" s="593"/>
      <c r="D6" s="594"/>
      <c r="E6" s="5"/>
      <c r="F6" s="15"/>
      <c r="G6" s="1134">
        <f>G8+G16+G18+G20</f>
        <v>13974628227</v>
      </c>
      <c r="H6" s="1134">
        <f>H8+H16+H18+H20</f>
        <v>2307267553</v>
      </c>
      <c r="I6" s="1135">
        <f>I8+I16+I18+I20</f>
        <v>11667360674</v>
      </c>
      <c r="J6" s="44"/>
    </row>
    <row r="7" spans="1:10" ht="10.5" customHeight="1">
      <c r="A7" s="543"/>
      <c r="B7" s="532"/>
      <c r="C7" s="532"/>
      <c r="D7" s="533"/>
      <c r="E7" s="7"/>
      <c r="F7" s="16"/>
      <c r="G7" s="1136"/>
      <c r="H7" s="1136"/>
      <c r="I7" s="1137"/>
      <c r="J7" s="44"/>
    </row>
    <row r="8" spans="1:10" ht="10.5" customHeight="1">
      <c r="A8" s="543"/>
      <c r="B8" s="2"/>
      <c r="C8" s="503" t="s">
        <v>226</v>
      </c>
      <c r="D8" s="504"/>
      <c r="E8" s="9"/>
      <c r="F8" s="12"/>
      <c r="G8" s="1138">
        <f>G10+G12+G14</f>
        <v>13869351636</v>
      </c>
      <c r="H8" s="1138">
        <f>H10+H12+H14</f>
        <v>2284890841</v>
      </c>
      <c r="I8" s="1139">
        <f>I10+I12+I14</f>
        <v>11584460795</v>
      </c>
      <c r="J8" s="44"/>
    </row>
    <row r="9" spans="1:10" ht="10.5" customHeight="1">
      <c r="A9" s="543"/>
      <c r="B9" s="2"/>
      <c r="C9" s="554"/>
      <c r="D9" s="533"/>
      <c r="E9" s="7"/>
      <c r="F9" s="16"/>
      <c r="G9" s="1136"/>
      <c r="H9" s="1136"/>
      <c r="I9" s="1137"/>
      <c r="J9" s="44"/>
    </row>
    <row r="10" spans="1:10" ht="10.5" customHeight="1">
      <c r="A10" s="543"/>
      <c r="B10" s="2"/>
      <c r="C10" s="8"/>
      <c r="D10" s="487" t="s">
        <v>227</v>
      </c>
      <c r="E10" s="475" t="s">
        <v>228</v>
      </c>
      <c r="F10" s="472" t="s">
        <v>229</v>
      </c>
      <c r="G10" s="484">
        <f>'3条一般会計'!G10</f>
        <v>3383678341</v>
      </c>
      <c r="H10" s="484">
        <f>'3条一般会計'!H10</f>
        <v>2257096108</v>
      </c>
      <c r="I10" s="1139">
        <f>G10-H10</f>
        <v>1126582233</v>
      </c>
      <c r="J10" s="44"/>
    </row>
    <row r="11" spans="1:10" ht="10.5" customHeight="1">
      <c r="A11" s="543"/>
      <c r="B11" s="2"/>
      <c r="C11" s="8"/>
      <c r="D11" s="488"/>
      <c r="E11" s="476"/>
      <c r="F11" s="473"/>
      <c r="G11" s="486"/>
      <c r="H11" s="486"/>
      <c r="I11" s="1137"/>
      <c r="J11" s="44"/>
    </row>
    <row r="12" spans="1:10" ht="10.5" customHeight="1">
      <c r="A12" s="543"/>
      <c r="B12" s="2"/>
      <c r="C12" s="8"/>
      <c r="D12" s="487" t="s">
        <v>230</v>
      </c>
      <c r="E12" s="466" t="s">
        <v>231</v>
      </c>
      <c r="F12" s="472" t="s">
        <v>232</v>
      </c>
      <c r="G12" s="484">
        <f>'3条一般会計'!G12</f>
        <v>8476549651</v>
      </c>
      <c r="H12" s="484">
        <f>'3条一般会計'!H12</f>
        <v>0</v>
      </c>
      <c r="I12" s="1139">
        <f>G12-H12</f>
        <v>8476549651</v>
      </c>
      <c r="J12" s="44"/>
    </row>
    <row r="13" spans="1:10" ht="10.5" customHeight="1">
      <c r="A13" s="543"/>
      <c r="B13" s="2"/>
      <c r="C13" s="8"/>
      <c r="D13" s="496"/>
      <c r="E13" s="521"/>
      <c r="F13" s="473"/>
      <c r="G13" s="486"/>
      <c r="H13" s="486"/>
      <c r="I13" s="1137"/>
      <c r="J13" s="44"/>
    </row>
    <row r="14" spans="1:10" ht="10.5" customHeight="1">
      <c r="A14" s="543"/>
      <c r="B14" s="2"/>
      <c r="C14" s="8"/>
      <c r="D14" s="487" t="s">
        <v>233</v>
      </c>
      <c r="E14" s="520" t="s">
        <v>234</v>
      </c>
      <c r="F14" s="466" t="s">
        <v>222</v>
      </c>
      <c r="G14" s="484">
        <f>'3条一般会計'!G18</f>
        <v>2009123644</v>
      </c>
      <c r="H14" s="1140">
        <f>'3条一般会計'!H18</f>
        <v>27794733</v>
      </c>
      <c r="I14" s="1139">
        <f>G14-H14</f>
        <v>1981328911</v>
      </c>
      <c r="J14" s="44"/>
    </row>
    <row r="15" spans="1:10" ht="10.5" customHeight="1">
      <c r="A15" s="543"/>
      <c r="B15" s="2"/>
      <c r="C15" s="8"/>
      <c r="D15" s="496"/>
      <c r="E15" s="490"/>
      <c r="F15" s="521"/>
      <c r="G15" s="486"/>
      <c r="H15" s="1141"/>
      <c r="I15" s="1137"/>
      <c r="J15" s="44"/>
    </row>
    <row r="16" spans="1:10" ht="10.5" customHeight="1">
      <c r="A16" s="543"/>
      <c r="B16" s="2"/>
      <c r="C16" s="501" t="s">
        <v>235</v>
      </c>
      <c r="D16" s="502"/>
      <c r="E16" s="519" t="s">
        <v>236</v>
      </c>
      <c r="F16" s="472" t="s">
        <v>237</v>
      </c>
      <c r="G16" s="484">
        <f>'3条一般会計'!G20</f>
        <v>51313295</v>
      </c>
      <c r="H16" s="484">
        <f>'3条一般会計'!H20</f>
        <v>12168217</v>
      </c>
      <c r="I16" s="1139">
        <f>G16-H16</f>
        <v>39145078</v>
      </c>
      <c r="J16" s="44"/>
    </row>
    <row r="17" spans="1:10" ht="10.5" customHeight="1">
      <c r="A17" s="543"/>
      <c r="B17" s="2"/>
      <c r="C17" s="501"/>
      <c r="D17" s="502"/>
      <c r="E17" s="519"/>
      <c r="F17" s="473"/>
      <c r="G17" s="486"/>
      <c r="H17" s="486"/>
      <c r="I17" s="1137"/>
      <c r="J17" s="44"/>
    </row>
    <row r="18" spans="1:10" ht="10.5" customHeight="1">
      <c r="A18" s="543"/>
      <c r="B18" s="2"/>
      <c r="C18" s="501" t="s">
        <v>238</v>
      </c>
      <c r="D18" s="502"/>
      <c r="E18" s="519" t="s">
        <v>239</v>
      </c>
      <c r="F18" s="472" t="s">
        <v>240</v>
      </c>
      <c r="G18" s="484">
        <f>'3条一般会計'!G22</f>
        <v>43567026</v>
      </c>
      <c r="H18" s="484">
        <f>'3条一般会計'!H22</f>
        <v>9253060</v>
      </c>
      <c r="I18" s="1139">
        <f>G18-H18</f>
        <v>34313966</v>
      </c>
      <c r="J18" s="44"/>
    </row>
    <row r="19" spans="1:10" ht="10.5" customHeight="1">
      <c r="A19" s="543"/>
      <c r="B19" s="2"/>
      <c r="C19" s="501"/>
      <c r="D19" s="502"/>
      <c r="E19" s="519"/>
      <c r="F19" s="473"/>
      <c r="G19" s="486"/>
      <c r="H19" s="486"/>
      <c r="I19" s="1137"/>
      <c r="J19" s="44"/>
    </row>
    <row r="20" spans="1:10" ht="10.5" customHeight="1">
      <c r="A20" s="543"/>
      <c r="B20" s="2"/>
      <c r="C20" s="501" t="s">
        <v>241</v>
      </c>
      <c r="D20" s="502"/>
      <c r="E20" s="519" t="s">
        <v>242</v>
      </c>
      <c r="F20" s="472" t="s">
        <v>243</v>
      </c>
      <c r="G20" s="484">
        <f>'3条一般会計'!G28</f>
        <v>10396270</v>
      </c>
      <c r="H20" s="484">
        <f>'3条一般会計'!H28</f>
        <v>955435</v>
      </c>
      <c r="I20" s="1139">
        <f>G20-H20</f>
        <v>9440835</v>
      </c>
      <c r="J20" s="44"/>
    </row>
    <row r="21" spans="1:10" ht="10.5" customHeight="1">
      <c r="A21" s="543"/>
      <c r="B21" s="2"/>
      <c r="C21" s="503"/>
      <c r="D21" s="504"/>
      <c r="E21" s="480"/>
      <c r="F21" s="474"/>
      <c r="G21" s="486"/>
      <c r="H21" s="486"/>
      <c r="I21" s="1137"/>
      <c r="J21" s="44"/>
    </row>
    <row r="22" spans="1:10" ht="10.5" hidden="1" customHeight="1" outlineLevel="1">
      <c r="A22" s="543"/>
      <c r="B22" s="505" t="s">
        <v>244</v>
      </c>
      <c r="C22" s="505"/>
      <c r="D22" s="504"/>
      <c r="E22" s="477"/>
      <c r="F22" s="64"/>
      <c r="G22" s="1142">
        <f>G24+G26</f>
        <v>0</v>
      </c>
      <c r="H22" s="1142">
        <f>H24+H26</f>
        <v>0</v>
      </c>
      <c r="I22" s="1139">
        <f>I24+I26</f>
        <v>0</v>
      </c>
      <c r="J22" s="44"/>
    </row>
    <row r="23" spans="1:10" ht="10.5" hidden="1" customHeight="1" outlineLevel="1">
      <c r="A23" s="543"/>
      <c r="B23" s="532"/>
      <c r="C23" s="532"/>
      <c r="D23" s="533"/>
      <c r="E23" s="478"/>
      <c r="F23" s="66"/>
      <c r="G23" s="1143"/>
      <c r="H23" s="1143"/>
      <c r="I23" s="1137"/>
      <c r="J23" s="44"/>
    </row>
    <row r="24" spans="1:10" ht="10.5" hidden="1" customHeight="1" outlineLevel="1">
      <c r="A24" s="543"/>
      <c r="B24" s="2"/>
      <c r="C24" s="595" t="s">
        <v>245</v>
      </c>
      <c r="D24" s="489"/>
      <c r="E24" s="475" t="s">
        <v>246</v>
      </c>
      <c r="F24" s="472" t="s">
        <v>247</v>
      </c>
      <c r="G24" s="1144">
        <v>0</v>
      </c>
      <c r="H24" s="1145">
        <v>0</v>
      </c>
      <c r="I24" s="1139">
        <f>G24-H24</f>
        <v>0</v>
      </c>
      <c r="J24" s="44"/>
    </row>
    <row r="25" spans="1:10" ht="10.5" hidden="1" customHeight="1" outlineLevel="1">
      <c r="A25" s="543"/>
      <c r="B25" s="2"/>
      <c r="C25" s="596"/>
      <c r="D25" s="490"/>
      <c r="E25" s="476"/>
      <c r="F25" s="473"/>
      <c r="G25" s="1146"/>
      <c r="H25" s="1147"/>
      <c r="I25" s="1137"/>
      <c r="J25" s="44"/>
    </row>
    <row r="26" spans="1:10" ht="10.5" hidden="1" customHeight="1" outlineLevel="1">
      <c r="A26" s="543"/>
      <c r="B26" s="83"/>
      <c r="C26" s="505" t="s">
        <v>283</v>
      </c>
      <c r="D26" s="506"/>
      <c r="E26" s="479" t="s">
        <v>285</v>
      </c>
      <c r="F26" s="472" t="s">
        <v>284</v>
      </c>
      <c r="G26" s="484">
        <f>SUM(G28:G43)</f>
        <v>0</v>
      </c>
      <c r="H26" s="484">
        <f t="shared" ref="H26:I26" si="0">SUM(H28:H43)</f>
        <v>0</v>
      </c>
      <c r="I26" s="1139">
        <f t="shared" si="0"/>
        <v>0</v>
      </c>
      <c r="J26" s="44"/>
    </row>
    <row r="27" spans="1:10" ht="10.5" hidden="1" customHeight="1" outlineLevel="1">
      <c r="A27" s="543"/>
      <c r="B27" s="84"/>
      <c r="C27" s="507"/>
      <c r="D27" s="508"/>
      <c r="E27" s="480"/>
      <c r="F27" s="473"/>
      <c r="G27" s="486"/>
      <c r="H27" s="486"/>
      <c r="I27" s="1137"/>
      <c r="J27" s="44"/>
    </row>
    <row r="28" spans="1:10" ht="15.75" hidden="1" customHeight="1" outlineLevel="1">
      <c r="A28" s="543"/>
      <c r="B28" s="391"/>
      <c r="C28" s="460" t="s">
        <v>482</v>
      </c>
      <c r="D28" s="463" t="str">
        <f>総括表!E28</f>
        <v>公共土木施設災害
復旧事業費国庫負担金</v>
      </c>
      <c r="E28" s="465" t="str">
        <f>総括表!F28</f>
        <v>対象事業費×２／３</v>
      </c>
      <c r="F28" s="466" t="str">
        <f>総括表!G28</f>
        <v>3年度分
公共土木施設災害復旧事業費(補助事業現年分)の課税支出割合</v>
      </c>
      <c r="G28" s="468">
        <f>総括表!H28</f>
        <v>0</v>
      </c>
      <c r="H28" s="470">
        <f>総括表!I28</f>
        <v>0</v>
      </c>
      <c r="I28" s="471">
        <f>総括表!J28</f>
        <v>0</v>
      </c>
      <c r="J28" s="44"/>
    </row>
    <row r="29" spans="1:10" ht="15.75" hidden="1" customHeight="1" outlineLevel="1">
      <c r="A29" s="543"/>
      <c r="B29" s="391"/>
      <c r="C29" s="461"/>
      <c r="D29" s="464"/>
      <c r="E29" s="465"/>
      <c r="F29" s="467"/>
      <c r="G29" s="469"/>
      <c r="H29" s="470"/>
      <c r="I29" s="471"/>
      <c r="J29" s="44"/>
    </row>
    <row r="30" spans="1:10" ht="15.75" hidden="1" customHeight="1" outlineLevel="1">
      <c r="A30" s="543"/>
      <c r="B30" s="391"/>
      <c r="C30" s="461"/>
      <c r="D30" s="463" t="str">
        <f>総括表!E30</f>
        <v>公共土木施設災害
復旧事業費国庫負担金</v>
      </c>
      <c r="E30" s="465" t="str">
        <f>総括表!F30</f>
        <v>対象事業費×２／３</v>
      </c>
      <c r="F30" s="466" t="str">
        <f>総括表!G30</f>
        <v>2年度分
公共土木施設災害復旧事業費(補助事業繰越分)の課税支出割合</v>
      </c>
      <c r="G30" s="468">
        <f>総括表!H30</f>
        <v>0</v>
      </c>
      <c r="H30" s="470">
        <f>総括表!I30</f>
        <v>0</v>
      </c>
      <c r="I30" s="471">
        <f>総括表!J30</f>
        <v>0</v>
      </c>
      <c r="J30" s="44"/>
    </row>
    <row r="31" spans="1:10" ht="15.75" hidden="1" customHeight="1" outlineLevel="1">
      <c r="A31" s="543"/>
      <c r="B31" s="391"/>
      <c r="C31" s="462"/>
      <c r="D31" s="464"/>
      <c r="E31" s="465"/>
      <c r="F31" s="467"/>
      <c r="G31" s="469"/>
      <c r="H31" s="470"/>
      <c r="I31" s="471"/>
      <c r="J31" s="44"/>
    </row>
    <row r="32" spans="1:10" ht="15.75" hidden="1" customHeight="1" outlineLevel="1">
      <c r="A32" s="543"/>
      <c r="B32" s="391"/>
      <c r="C32" s="460" t="s">
        <v>306</v>
      </c>
      <c r="D32" s="463" t="str">
        <f>総括表!E32</f>
        <v>公共土木施設災害
復旧事業費国庫負担金</v>
      </c>
      <c r="E32" s="465" t="str">
        <f>総括表!F32</f>
        <v>対象事業費×２／３</v>
      </c>
      <c r="F32" s="466" t="str">
        <f>総括表!G32</f>
        <v>3年度分
公共土木施設災害復旧事業費(補助事業現年分)の課税支出割合</v>
      </c>
      <c r="G32" s="468">
        <f>総括表!H32</f>
        <v>0</v>
      </c>
      <c r="H32" s="470">
        <f>総括表!I32</f>
        <v>0</v>
      </c>
      <c r="I32" s="471">
        <f>総括表!J32</f>
        <v>0</v>
      </c>
      <c r="J32" s="44"/>
    </row>
    <row r="33" spans="1:10" ht="15.75" hidden="1" customHeight="1" outlineLevel="1">
      <c r="A33" s="543"/>
      <c r="B33" s="391"/>
      <c r="C33" s="461"/>
      <c r="D33" s="464"/>
      <c r="E33" s="465"/>
      <c r="F33" s="467"/>
      <c r="G33" s="469"/>
      <c r="H33" s="470"/>
      <c r="I33" s="471"/>
      <c r="J33" s="44"/>
    </row>
    <row r="34" spans="1:10" ht="15.75" hidden="1" customHeight="1" outlineLevel="1">
      <c r="A34" s="543"/>
      <c r="B34" s="391"/>
      <c r="C34" s="461"/>
      <c r="D34" s="463" t="str">
        <f>総括表!E34</f>
        <v>公共土木施設災害
復旧事業費国庫負担金</v>
      </c>
      <c r="E34" s="465" t="str">
        <f>総括表!F34</f>
        <v>対象事業費×２／３</v>
      </c>
      <c r="F34" s="466" t="str">
        <f>総括表!G34</f>
        <v>2年度分
公共土木施設災害復旧事業費(補助事業繰越分)の課税支出割合</v>
      </c>
      <c r="G34" s="468">
        <f>総括表!H34</f>
        <v>0</v>
      </c>
      <c r="H34" s="470">
        <f>総括表!I34</f>
        <v>0</v>
      </c>
      <c r="I34" s="471">
        <f>総括表!J34</f>
        <v>0</v>
      </c>
      <c r="J34" s="44"/>
    </row>
    <row r="35" spans="1:10" ht="15.75" hidden="1" customHeight="1" outlineLevel="1">
      <c r="A35" s="543"/>
      <c r="B35" s="391"/>
      <c r="C35" s="462"/>
      <c r="D35" s="464"/>
      <c r="E35" s="465"/>
      <c r="F35" s="467"/>
      <c r="G35" s="469"/>
      <c r="H35" s="470"/>
      <c r="I35" s="471"/>
      <c r="J35" s="44"/>
    </row>
    <row r="36" spans="1:10" ht="15.75" hidden="1" customHeight="1" outlineLevel="1">
      <c r="A36" s="543"/>
      <c r="B36" s="391"/>
      <c r="C36" s="460" t="s">
        <v>483</v>
      </c>
      <c r="D36" s="463" t="str">
        <f>総括表!E36</f>
        <v>災害関連農村生活環境
施設復旧事業国庫補助金</v>
      </c>
      <c r="E36" s="465">
        <f>総括表!F36</f>
        <v>0</v>
      </c>
      <c r="F36" s="466" t="str">
        <f>総括表!G36</f>
        <v>3年度分
災害関連農村生活環境施設復旧事業(補助事業現年分)の課税支出割合</v>
      </c>
      <c r="G36" s="468">
        <f>総括表!H36</f>
        <v>0</v>
      </c>
      <c r="H36" s="470">
        <f>総括表!I36</f>
        <v>0</v>
      </c>
      <c r="I36" s="471">
        <f>総括表!J36</f>
        <v>0</v>
      </c>
      <c r="J36" s="44"/>
    </row>
    <row r="37" spans="1:10" ht="15.75" hidden="1" customHeight="1" outlineLevel="1">
      <c r="A37" s="543"/>
      <c r="B37" s="391"/>
      <c r="C37" s="461"/>
      <c r="D37" s="464"/>
      <c r="E37" s="465"/>
      <c r="F37" s="467"/>
      <c r="G37" s="469"/>
      <c r="H37" s="470"/>
      <c r="I37" s="471"/>
      <c r="J37" s="44"/>
    </row>
    <row r="38" spans="1:10" ht="15.75" hidden="1" customHeight="1" outlineLevel="1">
      <c r="A38" s="543"/>
      <c r="B38" s="391"/>
      <c r="C38" s="461"/>
      <c r="D38" s="463" t="str">
        <f>総括表!E38</f>
        <v>災害関連農村生活環境
施設復旧事業国庫補助金</v>
      </c>
      <c r="E38" s="465" t="str">
        <f>総括表!F38</f>
        <v>対象事業費×１／２</v>
      </c>
      <c r="F38" s="466" t="str">
        <f>総括表!G38</f>
        <v>2年度分
災害関連農村生活環境施設復旧事業(補助事業繰越分)の課税支出割合</v>
      </c>
      <c r="G38" s="468">
        <f>総括表!H38</f>
        <v>0</v>
      </c>
      <c r="H38" s="470">
        <f>総括表!I38</f>
        <v>0</v>
      </c>
      <c r="I38" s="471">
        <f>総括表!J38</f>
        <v>0</v>
      </c>
      <c r="J38" s="44"/>
    </row>
    <row r="39" spans="1:10" ht="15.75" hidden="1" customHeight="1" outlineLevel="1">
      <c r="A39" s="543"/>
      <c r="B39" s="391"/>
      <c r="C39" s="462"/>
      <c r="D39" s="464"/>
      <c r="E39" s="465"/>
      <c r="F39" s="467"/>
      <c r="G39" s="469"/>
      <c r="H39" s="470"/>
      <c r="I39" s="471"/>
      <c r="J39" s="44"/>
    </row>
    <row r="40" spans="1:10" ht="15.75" hidden="1" customHeight="1" outlineLevel="1">
      <c r="A40" s="543"/>
      <c r="B40" s="391"/>
      <c r="C40" s="460" t="s">
        <v>308</v>
      </c>
      <c r="D40" s="463">
        <f>総括表!E40</f>
        <v>0</v>
      </c>
      <c r="E40" s="465">
        <f>総括表!F40</f>
        <v>0</v>
      </c>
      <c r="F40" s="466">
        <f>総括表!G40</f>
        <v>0</v>
      </c>
      <c r="G40" s="468">
        <f>総括表!H40</f>
        <v>0</v>
      </c>
      <c r="H40" s="470">
        <f>総括表!I40</f>
        <v>0</v>
      </c>
      <c r="I40" s="471">
        <f>総括表!J40</f>
        <v>0</v>
      </c>
      <c r="J40" s="44"/>
    </row>
    <row r="41" spans="1:10" ht="15.75" hidden="1" customHeight="1" outlineLevel="1">
      <c r="A41" s="543"/>
      <c r="B41" s="391"/>
      <c r="C41" s="461"/>
      <c r="D41" s="464"/>
      <c r="E41" s="465"/>
      <c r="F41" s="467"/>
      <c r="G41" s="469"/>
      <c r="H41" s="470"/>
      <c r="I41" s="471"/>
      <c r="J41" s="44"/>
    </row>
    <row r="42" spans="1:10" ht="15.75" hidden="1" customHeight="1" outlineLevel="1">
      <c r="A42" s="543"/>
      <c r="B42" s="391"/>
      <c r="C42" s="461"/>
      <c r="D42" s="463">
        <f>総括表!E42</f>
        <v>0</v>
      </c>
      <c r="E42" s="465">
        <f>総括表!F42</f>
        <v>0</v>
      </c>
      <c r="F42" s="466">
        <f>総括表!G42</f>
        <v>0</v>
      </c>
      <c r="G42" s="468">
        <f>総括表!H42</f>
        <v>0</v>
      </c>
      <c r="H42" s="470">
        <f>総括表!I42</f>
        <v>0</v>
      </c>
      <c r="I42" s="471">
        <f>総括表!J42</f>
        <v>0</v>
      </c>
      <c r="J42" s="44"/>
    </row>
    <row r="43" spans="1:10" ht="15.75" hidden="1" customHeight="1" outlineLevel="1">
      <c r="A43" s="543"/>
      <c r="B43" s="391"/>
      <c r="C43" s="462"/>
      <c r="D43" s="464"/>
      <c r="E43" s="465"/>
      <c r="F43" s="467"/>
      <c r="G43" s="469"/>
      <c r="H43" s="470"/>
      <c r="I43" s="471"/>
      <c r="J43" s="44"/>
    </row>
    <row r="44" spans="1:10" ht="10.5" customHeight="1" collapsed="1">
      <c r="A44" s="543"/>
      <c r="B44" s="505" t="s">
        <v>248</v>
      </c>
      <c r="C44" s="505"/>
      <c r="D44" s="504"/>
      <c r="E44" s="63"/>
      <c r="F44" s="67"/>
      <c r="G44" s="1138">
        <f>G46</f>
        <v>16476593</v>
      </c>
      <c r="H44" s="1142">
        <f>H46</f>
        <v>0</v>
      </c>
      <c r="I44" s="1139">
        <f>I46</f>
        <v>16476593</v>
      </c>
      <c r="J44" s="44"/>
    </row>
    <row r="45" spans="1:10" ht="10.5" customHeight="1">
      <c r="A45" s="543"/>
      <c r="B45" s="532"/>
      <c r="C45" s="532"/>
      <c r="D45" s="533"/>
      <c r="E45" s="65"/>
      <c r="F45" s="62"/>
      <c r="G45" s="1136"/>
      <c r="H45" s="1143"/>
      <c r="I45" s="1137"/>
      <c r="J45" s="44"/>
    </row>
    <row r="46" spans="1:10" ht="10.5" customHeight="1">
      <c r="A46" s="543"/>
      <c r="B46" s="2"/>
      <c r="C46" s="503" t="s">
        <v>249</v>
      </c>
      <c r="D46" s="504"/>
      <c r="E46" s="475" t="s">
        <v>250</v>
      </c>
      <c r="F46" s="472" t="s">
        <v>251</v>
      </c>
      <c r="G46" s="1148">
        <f>+'3条他会計'!G6</f>
        <v>16476593</v>
      </c>
      <c r="H46" s="1145">
        <f>+'3条他会計'!H6</f>
        <v>0</v>
      </c>
      <c r="I46" s="1139">
        <f>G46-H46</f>
        <v>16476593</v>
      </c>
      <c r="J46" s="44"/>
    </row>
    <row r="47" spans="1:10" ht="10.5" customHeight="1">
      <c r="A47" s="543"/>
      <c r="B47" s="2"/>
      <c r="C47" s="591"/>
      <c r="D47" s="592"/>
      <c r="E47" s="476"/>
      <c r="F47" s="514"/>
      <c r="G47" s="1149"/>
      <c r="H47" s="1147"/>
      <c r="I47" s="1137"/>
      <c r="J47" s="44"/>
    </row>
    <row r="48" spans="1:10" ht="10.5" customHeight="1">
      <c r="A48" s="543"/>
      <c r="B48" s="505" t="s">
        <v>252</v>
      </c>
      <c r="C48" s="505"/>
      <c r="D48" s="504"/>
      <c r="E48" s="63"/>
      <c r="F48" s="68"/>
      <c r="G48" s="1138">
        <f>G50+G58</f>
        <v>9203253</v>
      </c>
      <c r="H48" s="1138">
        <f>H50+H58</f>
        <v>5368538</v>
      </c>
      <c r="I48" s="1139">
        <f>I50+I58</f>
        <v>3834715</v>
      </c>
      <c r="J48" s="44"/>
    </row>
    <row r="49" spans="1:10" ht="10.5" customHeight="1">
      <c r="A49" s="543"/>
      <c r="B49" s="532"/>
      <c r="C49" s="532"/>
      <c r="D49" s="533"/>
      <c r="E49" s="65"/>
      <c r="F49" s="66"/>
      <c r="G49" s="1136"/>
      <c r="H49" s="1136"/>
      <c r="I49" s="1137"/>
      <c r="J49" s="44"/>
    </row>
    <row r="50" spans="1:10" ht="10.5" customHeight="1">
      <c r="A50" s="543"/>
      <c r="B50" s="2"/>
      <c r="C50" s="503" t="s">
        <v>253</v>
      </c>
      <c r="D50" s="504"/>
      <c r="E50" s="63"/>
      <c r="F50" s="68"/>
      <c r="G50" s="1138">
        <f>SUM(G52:G57)</f>
        <v>4980</v>
      </c>
      <c r="H50" s="1138">
        <f>SUM(H52:H57)</f>
        <v>0</v>
      </c>
      <c r="I50" s="1139">
        <f>SUM(I52:I57)</f>
        <v>4980</v>
      </c>
      <c r="J50" s="44"/>
    </row>
    <row r="51" spans="1:10" ht="10.5" customHeight="1">
      <c r="A51" s="543"/>
      <c r="B51" s="2"/>
      <c r="C51" s="554"/>
      <c r="D51" s="533"/>
      <c r="E51" s="65"/>
      <c r="F51" s="66"/>
      <c r="G51" s="1136"/>
      <c r="H51" s="1136"/>
      <c r="I51" s="1137"/>
      <c r="J51" s="44"/>
    </row>
    <row r="52" spans="1:10" ht="10.5" hidden="1" customHeight="1" outlineLevel="1">
      <c r="A52" s="543"/>
      <c r="B52" s="2"/>
      <c r="C52" s="8"/>
      <c r="D52" s="487" t="s">
        <v>230</v>
      </c>
      <c r="E52" s="475" t="s">
        <v>254</v>
      </c>
      <c r="F52" s="472" t="s">
        <v>232</v>
      </c>
      <c r="G52" s="484">
        <f>'3条補助金'!G10</f>
        <v>0</v>
      </c>
      <c r="H52" s="484">
        <f>'3条補助金'!H10</f>
        <v>0</v>
      </c>
      <c r="I52" s="1139">
        <f>G52-H52</f>
        <v>0</v>
      </c>
      <c r="J52" s="44"/>
    </row>
    <row r="53" spans="1:10" ht="10.5" hidden="1" customHeight="1" outlineLevel="1">
      <c r="A53" s="543"/>
      <c r="B53" s="2"/>
      <c r="C53" s="8"/>
      <c r="D53" s="488"/>
      <c r="E53" s="476"/>
      <c r="F53" s="474"/>
      <c r="G53" s="485"/>
      <c r="H53" s="486"/>
      <c r="I53" s="1137"/>
      <c r="J53" s="44"/>
    </row>
    <row r="54" spans="1:10" ht="10.5" hidden="1" customHeight="1" outlineLevel="1">
      <c r="A54" s="543"/>
      <c r="B54" s="2"/>
      <c r="C54" s="8"/>
      <c r="D54" s="487" t="s">
        <v>233</v>
      </c>
      <c r="E54" s="489" t="s">
        <v>255</v>
      </c>
      <c r="F54" s="466" t="s">
        <v>223</v>
      </c>
      <c r="G54" s="484">
        <f>'3条補助金'!G16</f>
        <v>0</v>
      </c>
      <c r="H54" s="1140">
        <f>'3条補助金'!H16</f>
        <v>0</v>
      </c>
      <c r="I54" s="1139">
        <f>G54-H54</f>
        <v>0</v>
      </c>
      <c r="J54" s="44"/>
    </row>
    <row r="55" spans="1:10" ht="10.5" hidden="1" customHeight="1" outlineLevel="1">
      <c r="A55" s="543"/>
      <c r="B55" s="2"/>
      <c r="C55" s="8"/>
      <c r="D55" s="496"/>
      <c r="E55" s="490"/>
      <c r="F55" s="521"/>
      <c r="G55" s="485"/>
      <c r="H55" s="1141"/>
      <c r="I55" s="1137"/>
      <c r="J55" s="44"/>
    </row>
    <row r="56" spans="1:10" ht="10.5" customHeight="1" collapsed="1">
      <c r="A56" s="543"/>
      <c r="B56" s="2"/>
      <c r="C56" s="8"/>
      <c r="D56" s="488" t="s">
        <v>256</v>
      </c>
      <c r="E56" s="476" t="s">
        <v>257</v>
      </c>
      <c r="F56" s="516" t="s">
        <v>212</v>
      </c>
      <c r="G56" s="484">
        <f>'3条補助金'!G18</f>
        <v>4980</v>
      </c>
      <c r="H56" s="484">
        <f>'3条補助金'!H18</f>
        <v>0</v>
      </c>
      <c r="I56" s="1139">
        <f>G56-H56</f>
        <v>4980</v>
      </c>
      <c r="J56" s="44"/>
    </row>
    <row r="57" spans="1:10" ht="10.5" customHeight="1">
      <c r="A57" s="543"/>
      <c r="B57" s="2"/>
      <c r="C57" s="8"/>
      <c r="D57" s="488"/>
      <c r="E57" s="476"/>
      <c r="F57" s="474"/>
      <c r="G57" s="486"/>
      <c r="H57" s="485"/>
      <c r="I57" s="1137"/>
      <c r="J57" s="44"/>
    </row>
    <row r="58" spans="1:10" ht="10.5" customHeight="1">
      <c r="A58" s="543"/>
      <c r="B58" s="2"/>
      <c r="C58" s="619" t="s">
        <v>324</v>
      </c>
      <c r="D58" s="620"/>
      <c r="E58" s="623" t="s">
        <v>327</v>
      </c>
      <c r="F58" s="625" t="s">
        <v>326</v>
      </c>
      <c r="G58" s="1150">
        <f>'3条補助金'!G20</f>
        <v>9198273</v>
      </c>
      <c r="H58" s="1150">
        <f>'3条補助金'!H20</f>
        <v>5368538</v>
      </c>
      <c r="I58" s="1151">
        <f>G58-H58</f>
        <v>3829735</v>
      </c>
      <c r="J58" s="44"/>
    </row>
    <row r="59" spans="1:10" ht="10.5" customHeight="1">
      <c r="A59" s="543"/>
      <c r="B59" s="2"/>
      <c r="C59" s="621"/>
      <c r="D59" s="622"/>
      <c r="E59" s="624"/>
      <c r="F59" s="626"/>
      <c r="G59" s="1152"/>
      <c r="H59" s="1152"/>
      <c r="I59" s="1153"/>
      <c r="J59" s="44"/>
    </row>
    <row r="60" spans="1:10" ht="10.5" customHeight="1">
      <c r="A60" s="543"/>
      <c r="B60" s="611" t="s">
        <v>258</v>
      </c>
      <c r="C60" s="612"/>
      <c r="D60" s="613"/>
      <c r="E60" s="605"/>
      <c r="F60" s="466" t="s">
        <v>286</v>
      </c>
      <c r="G60" s="574">
        <f>+総括表!H60</f>
        <v>9701615928</v>
      </c>
      <c r="H60" s="484">
        <f>+総括表!I60</f>
        <v>256789</v>
      </c>
      <c r="I60" s="1139">
        <f>G60-H60</f>
        <v>9701359139</v>
      </c>
      <c r="J60" s="44"/>
    </row>
    <row r="61" spans="1:10" ht="10.5" customHeight="1" thickBot="1">
      <c r="A61" s="543"/>
      <c r="B61" s="614"/>
      <c r="C61" s="615"/>
      <c r="D61" s="616"/>
      <c r="E61" s="606"/>
      <c r="F61" s="627"/>
      <c r="G61" s="1154"/>
      <c r="H61" s="1155"/>
      <c r="I61" s="1156"/>
      <c r="J61" s="44"/>
    </row>
    <row r="62" spans="1:10" ht="10.5" customHeight="1">
      <c r="A62" s="544"/>
      <c r="B62" s="607" t="s">
        <v>174</v>
      </c>
      <c r="C62" s="603"/>
      <c r="D62" s="604"/>
      <c r="E62" s="11"/>
      <c r="F62" s="18"/>
      <c r="G62" s="1157">
        <f>G6+G22+G44+G48+G60</f>
        <v>23701924001</v>
      </c>
      <c r="H62" s="1158">
        <f>H6+H22+H44+H48+H60</f>
        <v>2312892880</v>
      </c>
      <c r="I62" s="1159">
        <f>I6+I22+I44+I48+I60</f>
        <v>21389031121</v>
      </c>
      <c r="J62" s="44"/>
    </row>
    <row r="63" spans="1:10" ht="10.5" customHeight="1" thickBot="1">
      <c r="A63" s="571"/>
      <c r="B63" s="608"/>
      <c r="C63" s="609"/>
      <c r="D63" s="610"/>
      <c r="E63" s="4"/>
      <c r="F63" s="19"/>
      <c r="G63" s="1160"/>
      <c r="H63" s="1161"/>
      <c r="I63" s="1156"/>
      <c r="J63" s="44"/>
    </row>
    <row r="64" spans="1:10" ht="10.5" customHeight="1">
      <c r="A64" s="542" t="s">
        <v>259</v>
      </c>
      <c r="B64" s="603" t="s">
        <v>244</v>
      </c>
      <c r="C64" s="603"/>
      <c r="D64" s="604"/>
      <c r="E64" s="11"/>
      <c r="F64" s="18"/>
      <c r="G64" s="1162">
        <f>G66+G94</f>
        <v>5717788000</v>
      </c>
      <c r="H64" s="1162">
        <f>H66+H94</f>
        <v>5712285006</v>
      </c>
      <c r="I64" s="1163">
        <f>I66+I94</f>
        <v>5502994</v>
      </c>
      <c r="J64" s="44"/>
    </row>
    <row r="65" spans="1:10" ht="10.5" customHeight="1">
      <c r="A65" s="543"/>
      <c r="B65" s="532"/>
      <c r="C65" s="532"/>
      <c r="D65" s="533"/>
      <c r="E65" s="7"/>
      <c r="F65" s="16"/>
      <c r="G65" s="1143"/>
      <c r="H65" s="1143"/>
      <c r="I65" s="1164"/>
      <c r="J65" s="44"/>
    </row>
    <row r="66" spans="1:10" ht="10.5" customHeight="1">
      <c r="A66" s="543"/>
      <c r="B66" s="2"/>
      <c r="C66" s="503" t="s">
        <v>314</v>
      </c>
      <c r="D66" s="504"/>
      <c r="E66" s="46"/>
      <c r="F66" s="91"/>
      <c r="G66" s="484">
        <f>'4条補助（公）'!G6</f>
        <v>5683800000</v>
      </c>
      <c r="H66" s="484">
        <f>'4条補助（公）'!H6</f>
        <v>5678297006</v>
      </c>
      <c r="I66" s="617">
        <f>'4条補助（公）'!I6</f>
        <v>5502994</v>
      </c>
      <c r="J66" s="44"/>
    </row>
    <row r="67" spans="1:10" ht="10.5" customHeight="1">
      <c r="A67" s="543"/>
      <c r="B67" s="2"/>
      <c r="C67" s="554"/>
      <c r="D67" s="533"/>
      <c r="E67" s="7"/>
      <c r="F67" s="91"/>
      <c r="G67" s="486"/>
      <c r="H67" s="486"/>
      <c r="I67" s="618"/>
      <c r="J67" s="44"/>
    </row>
    <row r="68" spans="1:10" ht="10.5" customHeight="1">
      <c r="A68" s="543"/>
      <c r="B68" s="2"/>
      <c r="C68" s="509" t="s">
        <v>260</v>
      </c>
      <c r="D68" s="487" t="str">
        <f>'4条補助（公）'!C8</f>
        <v>管路等・一般</v>
      </c>
      <c r="E68" s="513" t="str">
        <f>'4条補助（公）'!D8</f>
        <v>4,762,313.150千円×５／１０</v>
      </c>
      <c r="F68" s="558" t="str">
        <f>'4条補助（公）'!E8</f>
        <v>5年度分
公共下水道整備事業
(補助事業現年分)の
課税支出割合</v>
      </c>
      <c r="G68" s="484">
        <f>'4条補助（公）'!G8</f>
        <v>2411526000</v>
      </c>
      <c r="H68" s="484">
        <f>'4条補助（公）'!H19</f>
        <v>2527700000</v>
      </c>
      <c r="I68" s="617">
        <f>'4条補助（公）'!I19</f>
        <v>0</v>
      </c>
      <c r="J68" s="45"/>
    </row>
    <row r="69" spans="1:10" ht="10.5" customHeight="1">
      <c r="A69" s="543"/>
      <c r="B69" s="2"/>
      <c r="C69" s="510"/>
      <c r="D69" s="496"/>
      <c r="E69" s="513"/>
      <c r="F69" s="559"/>
      <c r="G69" s="486"/>
      <c r="H69" s="485"/>
      <c r="I69" s="1165"/>
      <c r="J69" s="45"/>
    </row>
    <row r="70" spans="1:10" ht="10.5" hidden="1" customHeight="1" outlineLevel="1">
      <c r="A70" s="543"/>
      <c r="B70" s="2"/>
      <c r="C70" s="510"/>
      <c r="D70" s="487" t="str">
        <f>'4条補助（公）'!C10</f>
        <v>管路等・補助裏単市</v>
      </c>
      <c r="E70" s="497" t="str">
        <f>'4条補助（公）'!D10</f>
        <v>60,375.850千円×５／１０</v>
      </c>
      <c r="F70" s="559"/>
      <c r="G70" s="484">
        <f>'4条補助（公）'!G10</f>
        <v>0</v>
      </c>
      <c r="H70" s="485"/>
      <c r="I70" s="1165"/>
      <c r="J70" s="45"/>
    </row>
    <row r="71" spans="1:10" ht="10.5" hidden="1" customHeight="1" outlineLevel="1">
      <c r="A71" s="543"/>
      <c r="B71" s="2"/>
      <c r="C71" s="510"/>
      <c r="D71" s="496"/>
      <c r="E71" s="497"/>
      <c r="F71" s="559"/>
      <c r="G71" s="486"/>
      <c r="H71" s="485"/>
      <c r="I71" s="1165"/>
      <c r="J71" s="45"/>
    </row>
    <row r="72" spans="1:10" ht="10.5" hidden="1" customHeight="1" outlineLevel="1">
      <c r="A72" s="543"/>
      <c r="B72" s="2"/>
      <c r="C72" s="510"/>
      <c r="D72" s="487" t="str">
        <f>'4条補助（公）'!C18</f>
        <v>管路等・促進・工事国債</v>
      </c>
      <c r="E72" s="497">
        <f>'4条補助（公）'!D18</f>
        <v>0</v>
      </c>
      <c r="F72" s="559"/>
      <c r="G72" s="484">
        <f>'4条補助（公）'!G18</f>
        <v>0</v>
      </c>
      <c r="H72" s="485"/>
      <c r="I72" s="1165"/>
      <c r="J72" s="45"/>
    </row>
    <row r="73" spans="1:10" ht="10.5" hidden="1" customHeight="1" outlineLevel="1">
      <c r="A73" s="543"/>
      <c r="B73" s="2"/>
      <c r="C73" s="510"/>
      <c r="D73" s="496"/>
      <c r="E73" s="497"/>
      <c r="F73" s="559"/>
      <c r="G73" s="486"/>
      <c r="H73" s="485"/>
      <c r="I73" s="1165"/>
      <c r="J73" s="45"/>
    </row>
    <row r="74" spans="1:10" ht="10.5" customHeight="1" collapsed="1">
      <c r="A74" s="543"/>
      <c r="B74" s="2"/>
      <c r="C74" s="510"/>
      <c r="D74" s="487" t="str">
        <f>'4条補助（公）'!C20</f>
        <v>処理場・一般・高率</v>
      </c>
      <c r="E74" s="599" t="str">
        <f>'4条補助（公）'!D20</f>
        <v>191,660千円×５．５／１０</v>
      </c>
      <c r="F74" s="559"/>
      <c r="G74" s="484">
        <f>'4条補助（公）'!G20</f>
        <v>105413000</v>
      </c>
      <c r="H74" s="485"/>
      <c r="I74" s="1165"/>
      <c r="J74" s="45"/>
    </row>
    <row r="75" spans="1:10" ht="10.5" customHeight="1">
      <c r="A75" s="543"/>
      <c r="B75" s="2"/>
      <c r="C75" s="510"/>
      <c r="D75" s="496"/>
      <c r="E75" s="600"/>
      <c r="F75" s="559"/>
      <c r="G75" s="486"/>
      <c r="H75" s="485"/>
      <c r="I75" s="1165"/>
      <c r="J75" s="45"/>
    </row>
    <row r="76" spans="1:10" ht="10.5" customHeight="1">
      <c r="A76" s="543"/>
      <c r="B76" s="2"/>
      <c r="C76" s="511"/>
      <c r="D76" s="487" t="str">
        <f>'4条補助（公）'!C22</f>
        <v>処理場・一般・低率</v>
      </c>
      <c r="E76" s="497" t="str">
        <f>'4条補助（公）'!D22</f>
        <v>21,525千円×５／１０</v>
      </c>
      <c r="F76" s="559"/>
      <c r="G76" s="484">
        <f>'4条補助（公）'!G22</f>
        <v>10761000</v>
      </c>
      <c r="H76" s="485"/>
      <c r="I76" s="1165"/>
      <c r="J76" s="45"/>
    </row>
    <row r="77" spans="1:10" ht="10.5" customHeight="1">
      <c r="A77" s="543"/>
      <c r="B77" s="2"/>
      <c r="C77" s="511"/>
      <c r="D77" s="496"/>
      <c r="E77" s="497"/>
      <c r="F77" s="559"/>
      <c r="G77" s="486"/>
      <c r="H77" s="485"/>
      <c r="I77" s="1165"/>
      <c r="J77" s="45"/>
    </row>
    <row r="78" spans="1:10" ht="10.5" hidden="1" customHeight="1" outlineLevel="1">
      <c r="A78" s="543"/>
      <c r="B78" s="2"/>
      <c r="C78" s="511"/>
      <c r="D78" s="487" t="str">
        <f>'4条補助（公）'!C30</f>
        <v>過年度補助金</v>
      </c>
      <c r="E78" s="497">
        <f>'4条補助（公）'!D30</f>
        <v>0</v>
      </c>
      <c r="F78" s="559"/>
      <c r="G78" s="484">
        <f>'4条補助（公）'!G30</f>
        <v>0</v>
      </c>
      <c r="H78" s="485"/>
      <c r="I78" s="1165"/>
      <c r="J78" s="45"/>
    </row>
    <row r="79" spans="1:10" ht="10.5" hidden="1" customHeight="1" outlineLevel="1">
      <c r="A79" s="543"/>
      <c r="B79" s="2"/>
      <c r="C79" s="511"/>
      <c r="D79" s="496"/>
      <c r="E79" s="497"/>
      <c r="F79" s="559"/>
      <c r="G79" s="486"/>
      <c r="H79" s="485"/>
      <c r="I79" s="1165"/>
      <c r="J79" s="45"/>
    </row>
    <row r="80" spans="1:10" ht="10.5" customHeight="1" collapsed="1">
      <c r="A80" s="543"/>
      <c r="B80" s="2"/>
      <c r="C80" s="511"/>
      <c r="D80" s="552" t="str">
        <f>'4条補助（公）'!C32</f>
        <v>管路等・一般(繰越分)</v>
      </c>
      <c r="E80" s="513" t="str">
        <f>'4条補助（公）'!D32</f>
        <v>4,286,012.1千円×５／１０</v>
      </c>
      <c r="F80" s="558" t="str">
        <f>+'4条補助（公）'!E32</f>
        <v>4年度分
公共下水道整備事業
(補助事業繰越分)の
課税支出割合</v>
      </c>
      <c r="G80" s="484">
        <f>'4条補助（公）'!G32</f>
        <v>2201500000</v>
      </c>
      <c r="H80" s="484">
        <f>'4条補助（公）'!H37</f>
        <v>3150597006</v>
      </c>
      <c r="I80" s="617">
        <f>'4条補助（公）'!I37</f>
        <v>5502994</v>
      </c>
    </row>
    <row r="81" spans="1:10" ht="10.5" customHeight="1">
      <c r="A81" s="543"/>
      <c r="B81" s="2"/>
      <c r="C81" s="511"/>
      <c r="D81" s="552"/>
      <c r="E81" s="513"/>
      <c r="F81" s="559"/>
      <c r="G81" s="485"/>
      <c r="H81" s="485"/>
      <c r="I81" s="1165"/>
    </row>
    <row r="82" spans="1:10" ht="10.5" customHeight="1">
      <c r="A82" s="543"/>
      <c r="B82" s="2"/>
      <c r="C82" s="511"/>
      <c r="D82" s="552" t="str">
        <f>'4条補助（公）'!C34</f>
        <v>管路等・補助裏単市
（繰越分）</v>
      </c>
      <c r="E82" s="497" t="str">
        <f>'4条補助（公）'!D34</f>
        <v>13,187.9千円×５／１０</v>
      </c>
      <c r="F82" s="559"/>
      <c r="G82" s="485"/>
      <c r="H82" s="485"/>
      <c r="I82" s="1165"/>
    </row>
    <row r="83" spans="1:10" ht="10.5" customHeight="1">
      <c r="A83" s="543"/>
      <c r="B83" s="2"/>
      <c r="C83" s="511"/>
      <c r="D83" s="552"/>
      <c r="E83" s="497"/>
      <c r="F83" s="559"/>
      <c r="G83" s="486"/>
      <c r="H83" s="485"/>
      <c r="I83" s="1165"/>
    </row>
    <row r="84" spans="1:10" ht="10.5" hidden="1" customHeight="1" outlineLevel="1">
      <c r="A84" s="543"/>
      <c r="B84" s="2"/>
      <c r="C84" s="511"/>
      <c r="D84" s="494" t="str">
        <f>'4条補助（公）'!C36</f>
        <v>管路等・一般(高率分)</v>
      </c>
      <c r="E84" s="497">
        <f>'4条補助（公）'!D36</f>
        <v>0</v>
      </c>
      <c r="F84" s="559"/>
      <c r="G84" s="1166">
        <f>'4条補助（公）'!G36</f>
        <v>0</v>
      </c>
      <c r="H84" s="485"/>
      <c r="I84" s="1165"/>
    </row>
    <row r="85" spans="1:10" ht="10.5" hidden="1" customHeight="1" outlineLevel="1">
      <c r="A85" s="543"/>
      <c r="B85" s="2"/>
      <c r="C85" s="511"/>
      <c r="D85" s="495"/>
      <c r="E85" s="497"/>
      <c r="F85" s="559"/>
      <c r="G85" s="1166"/>
      <c r="H85" s="485"/>
      <c r="I85" s="1165"/>
    </row>
    <row r="86" spans="1:10" ht="10.5" customHeight="1" collapsed="1">
      <c r="A86" s="543"/>
      <c r="B86" s="2"/>
      <c r="C86" s="511"/>
      <c r="D86" s="494" t="str">
        <f>'4条補助（公）'!C38</f>
        <v>処理場・一般・高率
(繰越分)</v>
      </c>
      <c r="E86" s="599" t="str">
        <f>'4条補助（公）'!D38</f>
        <v>1,292,000千円×５．５／１０</v>
      </c>
      <c r="F86" s="559"/>
      <c r="G86" s="1166">
        <f>'4条補助（公）'!G38</f>
        <v>710600000</v>
      </c>
      <c r="H86" s="485"/>
      <c r="I86" s="1165"/>
    </row>
    <row r="87" spans="1:10" ht="10.5" customHeight="1">
      <c r="A87" s="543"/>
      <c r="B87" s="2"/>
      <c r="C87" s="511"/>
      <c r="D87" s="495"/>
      <c r="E87" s="600"/>
      <c r="F87" s="559"/>
      <c r="G87" s="1166"/>
      <c r="H87" s="485"/>
      <c r="I87" s="1165"/>
    </row>
    <row r="88" spans="1:10" ht="10.5" customHeight="1">
      <c r="A88" s="543"/>
      <c r="B88" s="2"/>
      <c r="C88" s="511"/>
      <c r="D88" s="494" t="str">
        <f>'4条補助（公）'!C40</f>
        <v>処理場・一般・低率
(繰越分)</v>
      </c>
      <c r="E88" s="498" t="str">
        <f>'4条補助（公）'!D40</f>
        <v>488,000千円×５／１０</v>
      </c>
      <c r="F88" s="559"/>
      <c r="G88" s="485">
        <f>'4条補助（公）'!G40</f>
        <v>244000000</v>
      </c>
      <c r="H88" s="485"/>
      <c r="I88" s="1165"/>
    </row>
    <row r="89" spans="1:10" ht="10.5" customHeight="1">
      <c r="A89" s="543"/>
      <c r="B89" s="2"/>
      <c r="C89" s="512"/>
      <c r="D89" s="495"/>
      <c r="E89" s="500"/>
      <c r="F89" s="560"/>
      <c r="G89" s="486"/>
      <c r="H89" s="486"/>
      <c r="I89" s="618"/>
    </row>
    <row r="90" spans="1:10" ht="10.5" hidden="1" customHeight="1">
      <c r="A90" s="543"/>
      <c r="B90" s="546" t="s">
        <v>219</v>
      </c>
      <c r="C90" s="505"/>
      <c r="D90" s="504"/>
      <c r="E90" s="9"/>
      <c r="F90" s="12"/>
      <c r="G90" s="1167">
        <f>G92</f>
        <v>0</v>
      </c>
      <c r="H90" s="1167">
        <f>H92</f>
        <v>0</v>
      </c>
      <c r="I90" s="1168">
        <f>I92</f>
        <v>0</v>
      </c>
      <c r="J90" s="44"/>
    </row>
    <row r="91" spans="1:10" ht="10.5" hidden="1" customHeight="1">
      <c r="A91" s="543"/>
      <c r="B91" s="547"/>
      <c r="C91" s="532"/>
      <c r="D91" s="533"/>
      <c r="E91" s="7"/>
      <c r="F91" s="16"/>
      <c r="G91" s="1169"/>
      <c r="H91" s="1169"/>
      <c r="I91" s="1170"/>
      <c r="J91" s="44"/>
    </row>
    <row r="92" spans="1:10" ht="10.5" hidden="1" customHeight="1">
      <c r="A92" s="543"/>
      <c r="B92" s="2"/>
      <c r="C92" s="528" t="s">
        <v>273</v>
      </c>
      <c r="D92" s="529"/>
      <c r="E92" s="497"/>
      <c r="F92" s="472" t="s">
        <v>220</v>
      </c>
      <c r="G92" s="1167">
        <v>0</v>
      </c>
      <c r="H92" s="1167">
        <v>0</v>
      </c>
      <c r="I92" s="1168">
        <v>0</v>
      </c>
      <c r="J92" s="44"/>
    </row>
    <row r="93" spans="1:10" ht="10.5" hidden="1" customHeight="1">
      <c r="A93" s="543"/>
      <c r="B93" s="2"/>
      <c r="C93" s="530"/>
      <c r="D93" s="529"/>
      <c r="E93" s="497"/>
      <c r="F93" s="473"/>
      <c r="G93" s="1169"/>
      <c r="H93" s="1169"/>
      <c r="I93" s="1170"/>
      <c r="J93" s="44"/>
    </row>
    <row r="94" spans="1:10" ht="10.5" customHeight="1">
      <c r="A94" s="543"/>
      <c r="B94" s="2"/>
      <c r="C94" s="503" t="s">
        <v>305</v>
      </c>
      <c r="D94" s="504"/>
      <c r="E94" s="9"/>
      <c r="F94" s="67"/>
      <c r="G94" s="1142">
        <f>SUM(G96:G115)</f>
        <v>33988000</v>
      </c>
      <c r="H94" s="1142">
        <f>SUM(H96:H115)</f>
        <v>33988000</v>
      </c>
      <c r="I94" s="1171">
        <f>SUM(I96:I115)</f>
        <v>0</v>
      </c>
      <c r="J94" s="44"/>
    </row>
    <row r="95" spans="1:10" ht="10.5" customHeight="1">
      <c r="A95" s="543"/>
      <c r="B95" s="2"/>
      <c r="C95" s="554"/>
      <c r="D95" s="533"/>
      <c r="E95" s="7"/>
      <c r="F95" s="62"/>
      <c r="G95" s="1143"/>
      <c r="H95" s="1143"/>
      <c r="I95" s="1164"/>
      <c r="J95" s="44"/>
    </row>
    <row r="96" spans="1:10" ht="10.5" customHeight="1">
      <c r="A96" s="543"/>
      <c r="B96" s="2"/>
      <c r="C96" s="555" t="s">
        <v>306</v>
      </c>
      <c r="D96" s="487" t="str">
        <f>'4条補助（特）'!C8</f>
        <v>管路等・一般</v>
      </c>
      <c r="E96" s="498" t="str">
        <f>'4条補助（特）'!D8</f>
        <v>25,200千円×５／１０</v>
      </c>
      <c r="F96" s="565" t="str">
        <f>+'4条補助（特）'!E8</f>
        <v>5年度分
特定環境保全公共下水道整備事業
(補助事業現年分)の
課税支出割合</v>
      </c>
      <c r="G96" s="484">
        <f>'4条補助（特）'!G8</f>
        <v>12600000</v>
      </c>
      <c r="H96" s="484">
        <f>'4条補助（特）'!H19</f>
        <v>12600000</v>
      </c>
      <c r="I96" s="617">
        <f>'4条補助（特）'!I19</f>
        <v>0</v>
      </c>
      <c r="J96" s="44"/>
    </row>
    <row r="97" spans="1:10" ht="10.5" customHeight="1">
      <c r="A97" s="543"/>
      <c r="B97" s="2"/>
      <c r="C97" s="556"/>
      <c r="D97" s="488"/>
      <c r="E97" s="499"/>
      <c r="F97" s="566"/>
      <c r="G97" s="485"/>
      <c r="H97" s="485"/>
      <c r="I97" s="1165"/>
      <c r="J97" s="44"/>
    </row>
    <row r="98" spans="1:10" ht="10.5" customHeight="1">
      <c r="A98" s="543"/>
      <c r="B98" s="2"/>
      <c r="C98" s="556"/>
      <c r="D98" s="488">
        <f>'4条補助（公）'!C50</f>
        <v>0</v>
      </c>
      <c r="E98" s="499"/>
      <c r="F98" s="566"/>
      <c r="G98" s="485"/>
      <c r="H98" s="485"/>
      <c r="I98" s="1165"/>
      <c r="J98" s="44"/>
    </row>
    <row r="99" spans="1:10" ht="10.5" customHeight="1">
      <c r="A99" s="543"/>
      <c r="B99" s="2"/>
      <c r="C99" s="556"/>
      <c r="D99" s="496"/>
      <c r="E99" s="500"/>
      <c r="F99" s="567"/>
      <c r="G99" s="486"/>
      <c r="H99" s="486"/>
      <c r="I99" s="618"/>
      <c r="J99" s="44"/>
    </row>
    <row r="100" spans="1:10" ht="10.5" customHeight="1">
      <c r="A100" s="543"/>
      <c r="B100" s="2"/>
      <c r="C100" s="556"/>
      <c r="D100" s="548" t="str">
        <f>'4条補助（特）'!C32</f>
        <v>管路等・一般(繰越分)</v>
      </c>
      <c r="E100" s="491" t="str">
        <f>'4条補助（特）'!D32</f>
        <v>5,000千円×５／１０</v>
      </c>
      <c r="F100" s="562" t="str">
        <f>+'4条補助（特）'!E32</f>
        <v>4年度分
特定環境保全公共下水道整備事業
(補助事業繰越分)の
課税支出割合</v>
      </c>
      <c r="G100" s="1172">
        <f>'4条補助（特）'!G32</f>
        <v>2500000</v>
      </c>
      <c r="H100" s="574">
        <f>'4条補助（特）'!H37</f>
        <v>17900000</v>
      </c>
      <c r="I100" s="1173">
        <f>'4条補助（特）'!I37</f>
        <v>0</v>
      </c>
      <c r="J100" s="44"/>
    </row>
    <row r="101" spans="1:10" ht="10.5" customHeight="1">
      <c r="A101" s="543"/>
      <c r="B101" s="2"/>
      <c r="C101" s="556"/>
      <c r="D101" s="549"/>
      <c r="E101" s="492"/>
      <c r="F101" s="563"/>
      <c r="G101" s="1172"/>
      <c r="H101" s="575"/>
      <c r="I101" s="1174"/>
      <c r="J101" s="44"/>
    </row>
    <row r="102" spans="1:10" ht="10.5" customHeight="1">
      <c r="A102" s="543"/>
      <c r="B102" s="2"/>
      <c r="C102" s="556"/>
      <c r="D102" s="549">
        <f>'4条補助（公）'!C54</f>
        <v>0</v>
      </c>
      <c r="E102" s="492">
        <f>'4条補助（公）'!D54</f>
        <v>0</v>
      </c>
      <c r="F102" s="563"/>
      <c r="G102" s="1175">
        <f>総括表!H109</f>
        <v>15400000</v>
      </c>
      <c r="H102" s="575"/>
      <c r="I102" s="1174"/>
      <c r="J102" s="44"/>
    </row>
    <row r="103" spans="1:10" ht="10.5" customHeight="1">
      <c r="A103" s="543"/>
      <c r="B103" s="2"/>
      <c r="C103" s="557"/>
      <c r="D103" s="550"/>
      <c r="E103" s="493"/>
      <c r="F103" s="564"/>
      <c r="G103" s="1176"/>
      <c r="H103" s="576"/>
      <c r="I103" s="1177"/>
      <c r="J103" s="44"/>
    </row>
    <row r="104" spans="1:10" ht="10.5" hidden="1" customHeight="1" outlineLevel="1">
      <c r="A104" s="543"/>
      <c r="B104" s="2"/>
      <c r="C104" s="481" t="s">
        <v>307</v>
      </c>
      <c r="D104" s="487" t="str">
        <f>'4条補助（農）'!C8</f>
        <v>管路等・一般</v>
      </c>
      <c r="E104" s="498">
        <f>'4条補助（農）'!D8</f>
        <v>0</v>
      </c>
      <c r="F104" s="565" t="str">
        <f>+'4条補助（農）'!E8</f>
        <v>5年度分
農業集落排水事業
(補助事業現年分)の
課税支出割合</v>
      </c>
      <c r="G104" s="484">
        <f>'4条補助（農）'!G8</f>
        <v>0</v>
      </c>
      <c r="H104" s="484">
        <f>'4条補助（農）'!H19</f>
        <v>0</v>
      </c>
      <c r="I104" s="617">
        <f>'4条補助（農）'!I19</f>
        <v>0</v>
      </c>
      <c r="J104" s="44"/>
    </row>
    <row r="105" spans="1:10" ht="10.5" hidden="1" customHeight="1" outlineLevel="1">
      <c r="A105" s="543"/>
      <c r="B105" s="2"/>
      <c r="C105" s="482"/>
      <c r="D105" s="488"/>
      <c r="E105" s="499"/>
      <c r="F105" s="566"/>
      <c r="G105" s="485"/>
      <c r="H105" s="485"/>
      <c r="I105" s="1165"/>
      <c r="J105" s="44"/>
    </row>
    <row r="106" spans="1:10" ht="10.5" hidden="1" customHeight="1" outlineLevel="1">
      <c r="A106" s="543"/>
      <c r="B106" s="2"/>
      <c r="C106" s="482"/>
      <c r="D106" s="488"/>
      <c r="E106" s="499"/>
      <c r="F106" s="566"/>
      <c r="G106" s="485"/>
      <c r="H106" s="485"/>
      <c r="I106" s="1165"/>
      <c r="J106" s="44"/>
    </row>
    <row r="107" spans="1:10" ht="10.5" hidden="1" customHeight="1" outlineLevel="1">
      <c r="A107" s="543"/>
      <c r="B107" s="2"/>
      <c r="C107" s="482"/>
      <c r="D107" s="496"/>
      <c r="E107" s="500"/>
      <c r="F107" s="567"/>
      <c r="G107" s="486"/>
      <c r="H107" s="486"/>
      <c r="I107" s="618"/>
      <c r="J107" s="44"/>
    </row>
    <row r="108" spans="1:10" ht="10.5" hidden="1" customHeight="1" outlineLevel="1">
      <c r="A108" s="543"/>
      <c r="B108" s="2"/>
      <c r="C108" s="482"/>
      <c r="D108" s="548" t="str">
        <f>'4条補助（農）'!C32</f>
        <v>管路等・一般(繰越分)</v>
      </c>
      <c r="E108" s="491" t="str">
        <f>'4条補助（農）'!D32</f>
        <v>75,000千円×５／１０</v>
      </c>
      <c r="F108" s="562" t="str">
        <f>'4条補助（農）'!E32</f>
        <v>4年度分
農業集落排水事業
(補助事業繰越分)の
課税支出割合</v>
      </c>
      <c r="G108" s="574">
        <f>'4条補助（農）'!G32</f>
        <v>0</v>
      </c>
      <c r="H108" s="574">
        <f>'4条補助（農）'!H37</f>
        <v>0</v>
      </c>
      <c r="I108" s="1173">
        <f>'4条補助（農）'!I37</f>
        <v>0</v>
      </c>
      <c r="J108" s="44"/>
    </row>
    <row r="109" spans="1:10" ht="10.5" hidden="1" customHeight="1" outlineLevel="1">
      <c r="A109" s="543"/>
      <c r="B109" s="2"/>
      <c r="C109" s="482"/>
      <c r="D109" s="549"/>
      <c r="E109" s="492"/>
      <c r="F109" s="563"/>
      <c r="G109" s="575"/>
      <c r="H109" s="575"/>
      <c r="I109" s="1174"/>
      <c r="J109" s="44"/>
    </row>
    <row r="110" spans="1:10" ht="10.5" hidden="1" customHeight="1" outlineLevel="1">
      <c r="A110" s="543"/>
      <c r="B110" s="2"/>
      <c r="C110" s="482"/>
      <c r="D110" s="549"/>
      <c r="E110" s="492"/>
      <c r="F110" s="563"/>
      <c r="G110" s="575"/>
      <c r="H110" s="575"/>
      <c r="I110" s="1174"/>
      <c r="J110" s="44"/>
    </row>
    <row r="111" spans="1:10" ht="10.5" hidden="1" customHeight="1" outlineLevel="1">
      <c r="A111" s="543"/>
      <c r="B111" s="2"/>
      <c r="C111" s="483"/>
      <c r="D111" s="550"/>
      <c r="E111" s="493"/>
      <c r="F111" s="564"/>
      <c r="G111" s="576"/>
      <c r="H111" s="576"/>
      <c r="I111" s="1177"/>
      <c r="J111" s="44"/>
    </row>
    <row r="112" spans="1:10" ht="10.5" customHeight="1" collapsed="1">
      <c r="A112" s="543"/>
      <c r="B112" s="2"/>
      <c r="C112" s="481" t="s">
        <v>308</v>
      </c>
      <c r="D112" s="487" t="str">
        <f>'4条補助（浄）'!C8</f>
        <v>浄化槽</v>
      </c>
      <c r="E112" s="498" t="str">
        <f>'4条補助（浄）'!D8</f>
        <v>12,726.2千円×１／３</v>
      </c>
      <c r="F112" s="565" t="str">
        <f>+'4条補助（浄）'!E8</f>
        <v>5年度分
市営浄化槽事業
(補助事業現年分)の
課税支出割合</v>
      </c>
      <c r="G112" s="1175">
        <f>'4条補助（浄）'!G6</f>
        <v>3488000</v>
      </c>
      <c r="H112" s="484">
        <f>'4条補助（浄）'!H6</f>
        <v>3488000</v>
      </c>
      <c r="I112" s="617">
        <f>'4条補助（浄）'!I6</f>
        <v>0</v>
      </c>
      <c r="J112" s="44"/>
    </row>
    <row r="113" spans="1:10" ht="10.5" customHeight="1">
      <c r="A113" s="543"/>
      <c r="B113" s="2"/>
      <c r="C113" s="482"/>
      <c r="D113" s="488"/>
      <c r="E113" s="499"/>
      <c r="F113" s="566"/>
      <c r="G113" s="1178"/>
      <c r="H113" s="485"/>
      <c r="I113" s="1165"/>
      <c r="J113" s="44"/>
    </row>
    <row r="114" spans="1:10" ht="10.5" customHeight="1">
      <c r="A114" s="543"/>
      <c r="B114" s="2"/>
      <c r="C114" s="482"/>
      <c r="D114" s="488"/>
      <c r="E114" s="499"/>
      <c r="F114" s="566"/>
      <c r="G114" s="1178"/>
      <c r="H114" s="485"/>
      <c r="I114" s="1165"/>
      <c r="J114" s="44"/>
    </row>
    <row r="115" spans="1:10" ht="10.5" customHeight="1">
      <c r="A115" s="543"/>
      <c r="B115" s="2"/>
      <c r="C115" s="482"/>
      <c r="D115" s="488"/>
      <c r="E115" s="499"/>
      <c r="F115" s="567"/>
      <c r="G115" s="1178"/>
      <c r="H115" s="485"/>
      <c r="I115" s="1165"/>
      <c r="J115" s="44"/>
    </row>
    <row r="116" spans="1:10" ht="10.5" hidden="1" customHeight="1" outlineLevel="1">
      <c r="A116" s="543"/>
      <c r="B116" s="546" t="s">
        <v>319</v>
      </c>
      <c r="C116" s="505"/>
      <c r="D116" s="504"/>
      <c r="E116" s="9"/>
      <c r="F116" s="99"/>
      <c r="G116" s="484">
        <f>SUM(G118:G133)</f>
        <v>0</v>
      </c>
      <c r="H116" s="484">
        <f t="shared" ref="H116:I116" si="1">SUM(H118:H133)</f>
        <v>0</v>
      </c>
      <c r="I116" s="617">
        <f t="shared" si="1"/>
        <v>0</v>
      </c>
      <c r="J116" s="44"/>
    </row>
    <row r="117" spans="1:10" ht="10.5" hidden="1" customHeight="1" outlineLevel="1">
      <c r="A117" s="543"/>
      <c r="B117" s="547"/>
      <c r="C117" s="532"/>
      <c r="D117" s="533"/>
      <c r="E117" s="7"/>
      <c r="F117" s="98"/>
      <c r="G117" s="486"/>
      <c r="H117" s="486"/>
      <c r="I117" s="618"/>
      <c r="J117" s="44"/>
    </row>
    <row r="118" spans="1:10" ht="10.5" hidden="1" customHeight="1" outlineLevel="1">
      <c r="A118" s="543"/>
      <c r="B118" s="385"/>
      <c r="C118" s="460" t="s">
        <v>482</v>
      </c>
      <c r="D118" s="463" t="str">
        <f>総括表!E122</f>
        <v>公共土木施設災害
復旧事業費国庫負担金</v>
      </c>
      <c r="E118" s="597" t="str">
        <f>総括表!F122</f>
        <v>対象事業費×２／３</v>
      </c>
      <c r="F118" s="463" t="str">
        <f>総括表!G122</f>
        <v>4年度分
公共土木施設災害復旧事業費(補助事業現年分)の課税支出割合</v>
      </c>
      <c r="G118" s="1179">
        <f>総括表!H122</f>
        <v>0</v>
      </c>
      <c r="H118" s="1179">
        <f>総括表!I122</f>
        <v>0</v>
      </c>
      <c r="I118" s="1180">
        <f>総括表!J122</f>
        <v>0</v>
      </c>
      <c r="J118" s="44"/>
    </row>
    <row r="119" spans="1:10" ht="10.5" hidden="1" customHeight="1" outlineLevel="1">
      <c r="A119" s="543"/>
      <c r="B119" s="385"/>
      <c r="C119" s="461"/>
      <c r="D119" s="464"/>
      <c r="E119" s="598"/>
      <c r="F119" s="464"/>
      <c r="G119" s="1181"/>
      <c r="H119" s="1181"/>
      <c r="I119" s="1182"/>
      <c r="J119" s="44"/>
    </row>
    <row r="120" spans="1:10" ht="10.5" hidden="1" customHeight="1" outlineLevel="1">
      <c r="A120" s="543"/>
      <c r="B120" s="385"/>
      <c r="C120" s="461"/>
      <c r="D120" s="463" t="str">
        <f>総括表!E124</f>
        <v>公共土木施設災害
復旧事業費国庫負担金</v>
      </c>
      <c r="E120" s="597" t="str">
        <f>総括表!F124</f>
        <v>対象事業費×２／３</v>
      </c>
      <c r="F120" s="463" t="str">
        <f>総括表!G124</f>
        <v>3年度分
公共土木施設災害復旧事業費(補助事業繰越分)の課税支出割合</v>
      </c>
      <c r="G120" s="1179">
        <f>総括表!H124</f>
        <v>0</v>
      </c>
      <c r="H120" s="1179">
        <f>総括表!I124</f>
        <v>0</v>
      </c>
      <c r="I120" s="1180">
        <f>総括表!J124</f>
        <v>0</v>
      </c>
      <c r="J120" s="44"/>
    </row>
    <row r="121" spans="1:10" ht="10.5" hidden="1" customHeight="1" outlineLevel="1">
      <c r="A121" s="543"/>
      <c r="B121" s="385"/>
      <c r="C121" s="462"/>
      <c r="D121" s="464"/>
      <c r="E121" s="598"/>
      <c r="F121" s="464"/>
      <c r="G121" s="1181"/>
      <c r="H121" s="1181"/>
      <c r="I121" s="1182"/>
      <c r="J121" s="44"/>
    </row>
    <row r="122" spans="1:10" ht="10.5" hidden="1" customHeight="1" outlineLevel="1">
      <c r="A122" s="543"/>
      <c r="B122" s="385"/>
      <c r="C122" s="460" t="s">
        <v>306</v>
      </c>
      <c r="D122" s="463" t="str">
        <f>総括表!E126</f>
        <v>公共土木施設災害
復旧事業費国庫負担金</v>
      </c>
      <c r="E122" s="597" t="str">
        <f>総括表!F126</f>
        <v>対象事業費×２／３</v>
      </c>
      <c r="F122" s="463" t="str">
        <f>総括表!G126</f>
        <v>4年度分
公共土木施設災害復旧事業費(補助事業現年分)の課税支出割合</v>
      </c>
      <c r="G122" s="1179">
        <f>総括表!H126</f>
        <v>0</v>
      </c>
      <c r="H122" s="1179">
        <f>総括表!I126</f>
        <v>0</v>
      </c>
      <c r="I122" s="1180">
        <f>総括表!J126</f>
        <v>0</v>
      </c>
      <c r="J122" s="44"/>
    </row>
    <row r="123" spans="1:10" ht="10.5" hidden="1" customHeight="1" outlineLevel="1">
      <c r="A123" s="543"/>
      <c r="B123" s="385"/>
      <c r="C123" s="461"/>
      <c r="D123" s="464"/>
      <c r="E123" s="598"/>
      <c r="F123" s="464"/>
      <c r="G123" s="1181"/>
      <c r="H123" s="1181"/>
      <c r="I123" s="1182"/>
      <c r="J123" s="44"/>
    </row>
    <row r="124" spans="1:10" ht="10.5" hidden="1" customHeight="1" outlineLevel="1">
      <c r="A124" s="543"/>
      <c r="B124" s="385"/>
      <c r="C124" s="461"/>
      <c r="D124" s="463" t="str">
        <f>総括表!E128</f>
        <v>公共土木施設災害
復旧事業費国庫負担金</v>
      </c>
      <c r="E124" s="597" t="str">
        <f>総括表!F128</f>
        <v>対象事業費×２／３</v>
      </c>
      <c r="F124" s="463" t="str">
        <f>総括表!G128</f>
        <v>3年度分
公共土木施設災害復旧事業費(補助事業繰越分)の課税支出割合</v>
      </c>
      <c r="G124" s="1179">
        <f>総括表!H128</f>
        <v>0</v>
      </c>
      <c r="H124" s="1179">
        <f>総括表!I128</f>
        <v>0</v>
      </c>
      <c r="I124" s="1180">
        <f>総括表!J128</f>
        <v>0</v>
      </c>
      <c r="J124" s="44"/>
    </row>
    <row r="125" spans="1:10" ht="10.5" hidden="1" customHeight="1" outlineLevel="1">
      <c r="A125" s="543"/>
      <c r="B125" s="385"/>
      <c r="C125" s="462"/>
      <c r="D125" s="464"/>
      <c r="E125" s="598"/>
      <c r="F125" s="464"/>
      <c r="G125" s="1181"/>
      <c r="H125" s="1181"/>
      <c r="I125" s="1182"/>
      <c r="J125" s="44"/>
    </row>
    <row r="126" spans="1:10" ht="10.5" hidden="1" customHeight="1" outlineLevel="1">
      <c r="A126" s="543"/>
      <c r="B126" s="385"/>
      <c r="C126" s="460" t="s">
        <v>483</v>
      </c>
      <c r="D126" s="463" t="str">
        <f>総括表!E130</f>
        <v>災害関連農村生活環境
施設復旧事業国庫補助金</v>
      </c>
      <c r="E126" s="597" t="str">
        <f>総括表!F130</f>
        <v>対象事業費×１／２</v>
      </c>
      <c r="F126" s="463" t="str">
        <f>総括表!G130</f>
        <v>4年度分
災害関連農村生活環境施設復旧事業(補助事業現年分)の課税支出割合</v>
      </c>
      <c r="G126" s="1179">
        <f>総括表!H130</f>
        <v>0</v>
      </c>
      <c r="H126" s="1179">
        <f>総括表!I130</f>
        <v>0</v>
      </c>
      <c r="I126" s="1180">
        <f>総括表!J130</f>
        <v>0</v>
      </c>
      <c r="J126" s="44"/>
    </row>
    <row r="127" spans="1:10" ht="10.5" hidden="1" customHeight="1" outlineLevel="1">
      <c r="A127" s="543"/>
      <c r="B127" s="385"/>
      <c r="C127" s="461"/>
      <c r="D127" s="464"/>
      <c r="E127" s="598"/>
      <c r="F127" s="464"/>
      <c r="G127" s="1181"/>
      <c r="H127" s="1181"/>
      <c r="I127" s="1182"/>
      <c r="J127" s="44"/>
    </row>
    <row r="128" spans="1:10" ht="10.5" hidden="1" customHeight="1" outlineLevel="1">
      <c r="A128" s="543"/>
      <c r="B128" s="385"/>
      <c r="C128" s="461"/>
      <c r="D128" s="463" t="str">
        <f>総括表!E132</f>
        <v>災害関連農村生活環境
施設復旧事業国庫補助金</v>
      </c>
      <c r="E128" s="597" t="str">
        <f>総括表!F132</f>
        <v>対象事業費×１／２</v>
      </c>
      <c r="F128" s="463" t="str">
        <f>総括表!G132</f>
        <v>3年度分
災害関連農村生活環境施設復旧事業(補助事業繰越分)の課税支出割合</v>
      </c>
      <c r="G128" s="1179">
        <f>総括表!H132</f>
        <v>0</v>
      </c>
      <c r="H128" s="1179">
        <f>総括表!I132</f>
        <v>0</v>
      </c>
      <c r="I128" s="1180">
        <f>総括表!J132</f>
        <v>0</v>
      </c>
      <c r="J128" s="44"/>
    </row>
    <row r="129" spans="1:10" ht="10.5" hidden="1" customHeight="1" outlineLevel="1">
      <c r="A129" s="543"/>
      <c r="B129" s="385"/>
      <c r="C129" s="462"/>
      <c r="D129" s="464"/>
      <c r="E129" s="598"/>
      <c r="F129" s="464"/>
      <c r="G129" s="1181"/>
      <c r="H129" s="1181"/>
      <c r="I129" s="1182"/>
      <c r="J129" s="44"/>
    </row>
    <row r="130" spans="1:10" ht="10.5" hidden="1" customHeight="1" outlineLevel="1">
      <c r="A130" s="543"/>
      <c r="B130" s="385"/>
      <c r="C130" s="460" t="s">
        <v>308</v>
      </c>
      <c r="D130" s="463">
        <f>総括表!E134</f>
        <v>0</v>
      </c>
      <c r="E130" s="597">
        <f>総括表!F134</f>
        <v>0</v>
      </c>
      <c r="F130" s="463">
        <f>総括表!G134</f>
        <v>0</v>
      </c>
      <c r="G130" s="1179">
        <f>総括表!H134</f>
        <v>0</v>
      </c>
      <c r="H130" s="1179">
        <f>総括表!I134</f>
        <v>0</v>
      </c>
      <c r="I130" s="1180">
        <f>総括表!J134</f>
        <v>0</v>
      </c>
      <c r="J130" s="44"/>
    </row>
    <row r="131" spans="1:10" ht="10.5" hidden="1" customHeight="1" outlineLevel="1">
      <c r="A131" s="543"/>
      <c r="B131" s="385"/>
      <c r="C131" s="461"/>
      <c r="D131" s="464"/>
      <c r="E131" s="598"/>
      <c r="F131" s="464"/>
      <c r="G131" s="1181"/>
      <c r="H131" s="1181"/>
      <c r="I131" s="1182"/>
      <c r="J131" s="44"/>
    </row>
    <row r="132" spans="1:10" ht="10.5" hidden="1" customHeight="1" outlineLevel="1">
      <c r="A132" s="543"/>
      <c r="B132" s="385"/>
      <c r="C132" s="461"/>
      <c r="D132" s="463">
        <f>総括表!E136</f>
        <v>0</v>
      </c>
      <c r="E132" s="597">
        <f>総括表!F136</f>
        <v>0</v>
      </c>
      <c r="F132" s="463">
        <f>総括表!G136</f>
        <v>0</v>
      </c>
      <c r="G132" s="1179">
        <f>総括表!H136</f>
        <v>0</v>
      </c>
      <c r="H132" s="1179">
        <f>総括表!I136</f>
        <v>0</v>
      </c>
      <c r="I132" s="1180">
        <f>総括表!J136</f>
        <v>0</v>
      </c>
      <c r="J132" s="44"/>
    </row>
    <row r="133" spans="1:10" ht="10.5" hidden="1" customHeight="1" outlineLevel="1">
      <c r="A133" s="543"/>
      <c r="B133" s="385"/>
      <c r="C133" s="462"/>
      <c r="D133" s="464"/>
      <c r="E133" s="598"/>
      <c r="F133" s="464"/>
      <c r="G133" s="1181"/>
      <c r="H133" s="1181"/>
      <c r="I133" s="1182"/>
      <c r="J133" s="44"/>
    </row>
    <row r="134" spans="1:10" ht="10.5" customHeight="1" collapsed="1">
      <c r="A134" s="543"/>
      <c r="B134" s="546" t="s">
        <v>274</v>
      </c>
      <c r="C134" s="505"/>
      <c r="D134" s="504"/>
      <c r="E134" s="9"/>
      <c r="F134" s="12"/>
      <c r="G134" s="484">
        <f>'受益（公）'!G6</f>
        <v>8799605</v>
      </c>
      <c r="H134" s="484">
        <f>'受益（公）'!H6</f>
        <v>8525089</v>
      </c>
      <c r="I134" s="617">
        <f>'受益（公）'!I6</f>
        <v>274516</v>
      </c>
      <c r="J134" s="44"/>
    </row>
    <row r="135" spans="1:10" ht="10.5" customHeight="1">
      <c r="A135" s="543"/>
      <c r="B135" s="547"/>
      <c r="C135" s="532"/>
      <c r="D135" s="533"/>
      <c r="E135" s="7"/>
      <c r="F135" s="16"/>
      <c r="G135" s="486"/>
      <c r="H135" s="486"/>
      <c r="I135" s="618"/>
      <c r="J135" s="44"/>
    </row>
    <row r="136" spans="1:10" ht="10.5" customHeight="1">
      <c r="A136" s="543"/>
      <c r="B136" s="2"/>
      <c r="C136" s="528" t="s">
        <v>273</v>
      </c>
      <c r="D136" s="529"/>
      <c r="E136" s="497"/>
      <c r="F136" s="472" t="str">
        <f>+'受益（公）'!E8</f>
        <v>5年度分補助事業
の課税支出割合
（現年）</v>
      </c>
      <c r="G136" s="484">
        <f>'受益（公）'!G8</f>
        <v>5005000</v>
      </c>
      <c r="H136" s="484">
        <f>'受益（公）'!H8</f>
        <v>5005000</v>
      </c>
      <c r="I136" s="617">
        <f>'受益（公）'!I8</f>
        <v>0</v>
      </c>
      <c r="J136" s="44"/>
    </row>
    <row r="137" spans="1:10" ht="10.5" customHeight="1">
      <c r="A137" s="543"/>
      <c r="B137" s="2"/>
      <c r="C137" s="530"/>
      <c r="D137" s="529"/>
      <c r="E137" s="497"/>
      <c r="F137" s="473"/>
      <c r="G137" s="486"/>
      <c r="H137" s="486"/>
      <c r="I137" s="618"/>
      <c r="J137" s="44"/>
    </row>
    <row r="138" spans="1:10" ht="10.5" customHeight="1">
      <c r="A138" s="543"/>
      <c r="B138" s="2"/>
      <c r="C138" s="528" t="s">
        <v>275</v>
      </c>
      <c r="D138" s="529"/>
      <c r="E138" s="497"/>
      <c r="F138" s="472" t="str">
        <f>+'受益（公）'!E10</f>
        <v>5年度分起債事業
の課税支出割合
（現年）</v>
      </c>
      <c r="G138" s="484">
        <f>'受益（公）'!G10</f>
        <v>3794605</v>
      </c>
      <c r="H138" s="484">
        <f>'受益（公）'!H10</f>
        <v>3520089</v>
      </c>
      <c r="I138" s="617">
        <f>'受益（公）'!I10</f>
        <v>274516</v>
      </c>
      <c r="J138" s="44"/>
    </row>
    <row r="139" spans="1:10" ht="10.5" customHeight="1">
      <c r="A139" s="543"/>
      <c r="B139" s="2"/>
      <c r="C139" s="531"/>
      <c r="D139" s="489"/>
      <c r="E139" s="498"/>
      <c r="F139" s="473"/>
      <c r="G139" s="485"/>
      <c r="H139" s="485"/>
      <c r="I139" s="1165"/>
      <c r="J139" s="44"/>
    </row>
    <row r="140" spans="1:10" ht="10.5" customHeight="1">
      <c r="A140" s="543"/>
      <c r="B140" s="546" t="s">
        <v>300</v>
      </c>
      <c r="C140" s="505"/>
      <c r="D140" s="504"/>
      <c r="E140" s="9"/>
      <c r="F140" s="67"/>
      <c r="G140" s="484">
        <f>SUM(G142:G145)</f>
        <v>35218280</v>
      </c>
      <c r="H140" s="484">
        <f>SUM(H142:H145)</f>
        <v>33459431</v>
      </c>
      <c r="I140" s="617">
        <f>SUM(I142:I145)</f>
        <v>1758849</v>
      </c>
      <c r="J140" s="44"/>
    </row>
    <row r="141" spans="1:10" ht="10.5" customHeight="1">
      <c r="A141" s="543"/>
      <c r="B141" s="547"/>
      <c r="C141" s="532"/>
      <c r="D141" s="533"/>
      <c r="E141" s="7"/>
      <c r="F141" s="62"/>
      <c r="G141" s="486"/>
      <c r="H141" s="486"/>
      <c r="I141" s="618"/>
      <c r="J141" s="44"/>
    </row>
    <row r="142" spans="1:10" ht="10.5" customHeight="1">
      <c r="A142" s="543"/>
      <c r="B142" s="2"/>
      <c r="C142" s="528" t="s">
        <v>316</v>
      </c>
      <c r="D142" s="529"/>
      <c r="E142" s="601"/>
      <c r="F142" s="472" t="str">
        <f>+F136</f>
        <v>5年度分補助事業
の課税支出割合
（現年）</v>
      </c>
      <c r="G142" s="484">
        <f>'受益（区域外）'!G8</f>
        <v>1842000</v>
      </c>
      <c r="H142" s="1166">
        <f>'受益（区域外）'!H8</f>
        <v>1842000</v>
      </c>
      <c r="I142" s="1183">
        <f>'受益（区域外）'!I8</f>
        <v>0</v>
      </c>
      <c r="J142" s="44"/>
    </row>
    <row r="143" spans="1:10" ht="10.5" customHeight="1">
      <c r="A143" s="543"/>
      <c r="B143" s="2"/>
      <c r="C143" s="530"/>
      <c r="D143" s="529"/>
      <c r="E143" s="602"/>
      <c r="F143" s="473"/>
      <c r="G143" s="485"/>
      <c r="H143" s="1166"/>
      <c r="I143" s="1183"/>
      <c r="J143" s="44"/>
    </row>
    <row r="144" spans="1:10" ht="10.5" customHeight="1">
      <c r="A144" s="543"/>
      <c r="B144" s="2"/>
      <c r="C144" s="528" t="s">
        <v>318</v>
      </c>
      <c r="D144" s="529"/>
      <c r="E144" s="601"/>
      <c r="F144" s="472" t="str">
        <f>+F138</f>
        <v>5年度分起債事業
の課税支出割合
（現年）</v>
      </c>
      <c r="G144" s="484">
        <f>'受益（区域外）'!G10</f>
        <v>33376280</v>
      </c>
      <c r="H144" s="1166">
        <f>'受益（区域外）'!H10</f>
        <v>31617431</v>
      </c>
      <c r="I144" s="1183">
        <f>'受益（区域外）'!I10</f>
        <v>1758849</v>
      </c>
      <c r="J144" s="44"/>
    </row>
    <row r="145" spans="1:10" ht="10.5" customHeight="1">
      <c r="A145" s="543"/>
      <c r="B145" s="2"/>
      <c r="C145" s="531"/>
      <c r="D145" s="489"/>
      <c r="E145" s="602"/>
      <c r="F145" s="473"/>
      <c r="G145" s="485"/>
      <c r="H145" s="1166"/>
      <c r="I145" s="1183"/>
      <c r="J145" s="44"/>
    </row>
    <row r="146" spans="1:10" ht="10.5" customHeight="1">
      <c r="A146" s="543"/>
      <c r="B146" s="505" t="s">
        <v>276</v>
      </c>
      <c r="C146" s="505"/>
      <c r="D146" s="504"/>
      <c r="E146" s="9"/>
      <c r="F146" s="10"/>
      <c r="G146" s="484">
        <f>'4条工事負担金'!G6</f>
        <v>514968182</v>
      </c>
      <c r="H146" s="484">
        <f>'4条工事負担金'!H6</f>
        <v>351364357</v>
      </c>
      <c r="I146" s="617">
        <f>'4条工事負担金'!I6</f>
        <v>163603825</v>
      </c>
      <c r="J146" s="44"/>
    </row>
    <row r="147" spans="1:10" ht="10.5" customHeight="1">
      <c r="A147" s="543"/>
      <c r="B147" s="532"/>
      <c r="C147" s="532"/>
      <c r="D147" s="533"/>
      <c r="E147" s="7"/>
      <c r="F147" s="6"/>
      <c r="G147" s="486"/>
      <c r="H147" s="486"/>
      <c r="I147" s="618"/>
      <c r="J147" s="44"/>
    </row>
    <row r="148" spans="1:10" ht="10.5" hidden="1" customHeight="1" outlineLevel="1">
      <c r="A148" s="543"/>
      <c r="B148" s="2"/>
      <c r="C148" s="534" t="s">
        <v>277</v>
      </c>
      <c r="D148" s="495"/>
      <c r="E148" s="569"/>
      <c r="F148" s="472" t="str">
        <f>+'4条工事負担金'!E8</f>
        <v>5年度分単市事業
の課税支出割合
(現年＋繰越)</v>
      </c>
      <c r="G148" s="484">
        <f>'4条工事負担金'!G8</f>
        <v>0</v>
      </c>
      <c r="H148" s="484">
        <f>'4条工事負担金'!H8</f>
        <v>0</v>
      </c>
      <c r="I148" s="617">
        <f>'4条工事負担金'!I8</f>
        <v>0</v>
      </c>
      <c r="J148" s="44"/>
    </row>
    <row r="149" spans="1:10" ht="10.5" hidden="1" customHeight="1" outlineLevel="1">
      <c r="A149" s="543"/>
      <c r="B149" s="2"/>
      <c r="C149" s="535"/>
      <c r="D149" s="495"/>
      <c r="E149" s="569"/>
      <c r="F149" s="473"/>
      <c r="G149" s="486"/>
      <c r="H149" s="486"/>
      <c r="I149" s="618"/>
      <c r="J149" s="44"/>
    </row>
    <row r="150" spans="1:10" ht="10.5" customHeight="1" collapsed="1">
      <c r="A150" s="543"/>
      <c r="B150" s="2"/>
      <c r="C150" s="534" t="s">
        <v>278</v>
      </c>
      <c r="D150" s="495"/>
      <c r="E150" s="568"/>
      <c r="F150" s="472" t="str">
        <f>+'4条工事負担金'!E10</f>
        <v>5年度分排水設備事業
の課税支出割合</v>
      </c>
      <c r="G150" s="484">
        <f>'4条工事負担金'!G10</f>
        <v>279746516</v>
      </c>
      <c r="H150" s="484">
        <f>'4条工事負担金'!H10</f>
        <v>218135713</v>
      </c>
      <c r="I150" s="617">
        <f>'4条工事負担金'!I10</f>
        <v>61610803</v>
      </c>
      <c r="J150" s="44"/>
    </row>
    <row r="151" spans="1:10" ht="10.5" customHeight="1">
      <c r="A151" s="543"/>
      <c r="B151" s="2"/>
      <c r="C151" s="535"/>
      <c r="D151" s="495"/>
      <c r="E151" s="569"/>
      <c r="F151" s="473"/>
      <c r="G151" s="486"/>
      <c r="H151" s="486"/>
      <c r="I151" s="618"/>
      <c r="J151" s="44"/>
    </row>
    <row r="152" spans="1:10" ht="10.5" hidden="1" customHeight="1" outlineLevel="1">
      <c r="A152" s="543"/>
      <c r="B152" s="2"/>
      <c r="C152" s="534" t="s">
        <v>279</v>
      </c>
      <c r="D152" s="495"/>
      <c r="E152" s="497"/>
      <c r="F152" s="472" t="str">
        <f>+'4条工事負担金'!E12</f>
        <v>5年度分諸設備新設改良
事業の課税支出割合</v>
      </c>
      <c r="G152" s="484">
        <f>'4条工事負担金'!G12</f>
        <v>0</v>
      </c>
      <c r="H152" s="484">
        <f>'4条工事負担金'!H12</f>
        <v>0</v>
      </c>
      <c r="I152" s="617">
        <f>'4条工事負担金'!I12</f>
        <v>0</v>
      </c>
      <c r="J152" s="44"/>
    </row>
    <row r="153" spans="1:10" ht="10.5" hidden="1" customHeight="1" outlineLevel="1">
      <c r="A153" s="543"/>
      <c r="B153" s="2"/>
      <c r="C153" s="535"/>
      <c r="D153" s="495"/>
      <c r="E153" s="497"/>
      <c r="F153" s="473"/>
      <c r="G153" s="486"/>
      <c r="H153" s="486"/>
      <c r="I153" s="618"/>
      <c r="J153" s="44"/>
    </row>
    <row r="154" spans="1:10" ht="10.5" hidden="1" customHeight="1" outlineLevel="1">
      <c r="A154" s="543"/>
      <c r="B154" s="429"/>
      <c r="C154" s="534" t="s">
        <v>517</v>
      </c>
      <c r="D154" s="495"/>
      <c r="E154" s="497"/>
      <c r="F154" s="472" t="str">
        <f>+'4条工事負担金'!E18</f>
        <v>5年度分(特環)市街化区域外汚水処理施設整備事業の課税支出割合</v>
      </c>
      <c r="G154" s="484">
        <f>'4条工事負担金'!G18</f>
        <v>0</v>
      </c>
      <c r="H154" s="484">
        <f>'4条工事負担金'!H18</f>
        <v>0</v>
      </c>
      <c r="I154" s="617">
        <f>'4条工事負担金'!I18</f>
        <v>0</v>
      </c>
      <c r="J154" s="44"/>
    </row>
    <row r="155" spans="1:10" ht="10.5" hidden="1" customHeight="1" outlineLevel="1">
      <c r="A155" s="543"/>
      <c r="B155" s="429"/>
      <c r="C155" s="535"/>
      <c r="D155" s="495"/>
      <c r="E155" s="497"/>
      <c r="F155" s="473"/>
      <c r="G155" s="486"/>
      <c r="H155" s="486"/>
      <c r="I155" s="618"/>
      <c r="J155" s="44"/>
    </row>
    <row r="156" spans="1:10" ht="10.5" hidden="1" customHeight="1" outlineLevel="1">
      <c r="A156" s="543"/>
      <c r="B156" s="429"/>
      <c r="C156" s="534" t="s">
        <v>518</v>
      </c>
      <c r="D156" s="495"/>
      <c r="E156" s="497"/>
      <c r="F156" s="472" t="str">
        <f>+'4条工事負担金'!E20</f>
        <v>5年度分(農集)市街化区域外汚水処理施設整備事業の課税支出割合</v>
      </c>
      <c r="G156" s="484">
        <f>'4条工事負担金'!G20</f>
        <v>0</v>
      </c>
      <c r="H156" s="484">
        <f>'4条工事負担金'!H20</f>
        <v>0</v>
      </c>
      <c r="I156" s="617">
        <f>'4条工事負担金'!I20</f>
        <v>0</v>
      </c>
      <c r="J156" s="44"/>
    </row>
    <row r="157" spans="1:10" ht="10.5" hidden="1" customHeight="1" outlineLevel="1">
      <c r="A157" s="543"/>
      <c r="B157" s="429"/>
      <c r="C157" s="535"/>
      <c r="D157" s="495"/>
      <c r="E157" s="497"/>
      <c r="F157" s="473"/>
      <c r="G157" s="486"/>
      <c r="H157" s="486"/>
      <c r="I157" s="618"/>
      <c r="J157" s="44"/>
    </row>
    <row r="158" spans="1:10" ht="10.5" hidden="1" customHeight="1" outlineLevel="1">
      <c r="A158" s="543"/>
      <c r="B158" s="429"/>
      <c r="C158" s="534" t="s">
        <v>515</v>
      </c>
      <c r="D158" s="495"/>
      <c r="E158" s="497"/>
      <c r="F158" s="472" t="str">
        <f>+'4条工事負担金'!E22</f>
        <v>5年度分(浄化槽)市街化区域外汚水処理施設整備事業の課税支出割合</v>
      </c>
      <c r="G158" s="484">
        <f>'4条工事負担金'!G22</f>
        <v>0</v>
      </c>
      <c r="H158" s="484">
        <f>'4条工事負担金'!H22</f>
        <v>0</v>
      </c>
      <c r="I158" s="617">
        <f>'4条工事負担金'!I22</f>
        <v>0</v>
      </c>
      <c r="J158" s="44"/>
    </row>
    <row r="159" spans="1:10" ht="10.5" hidden="1" customHeight="1" outlineLevel="1">
      <c r="A159" s="543"/>
      <c r="B159" s="429"/>
      <c r="C159" s="535"/>
      <c r="D159" s="495"/>
      <c r="E159" s="497"/>
      <c r="F159" s="473"/>
      <c r="G159" s="486"/>
      <c r="H159" s="486"/>
      <c r="I159" s="618"/>
      <c r="J159" s="44"/>
    </row>
    <row r="160" spans="1:10" ht="10.5" customHeight="1" collapsed="1">
      <c r="A160" s="543"/>
      <c r="B160" s="2"/>
      <c r="C160" s="551" t="s">
        <v>280</v>
      </c>
      <c r="D160" s="552"/>
      <c r="E160" s="9"/>
      <c r="F160" s="546" t="s">
        <v>281</v>
      </c>
      <c r="G160" s="484">
        <f>'4条工事負担金'!G14</f>
        <v>235221666</v>
      </c>
      <c r="H160" s="484">
        <f>'4条工事負担金'!H14</f>
        <v>133228644</v>
      </c>
      <c r="I160" s="617">
        <f>'4条工事負担金'!I14</f>
        <v>101993022</v>
      </c>
      <c r="J160" s="44"/>
    </row>
    <row r="161" spans="1:10" ht="10.5" customHeight="1" thickBot="1">
      <c r="A161" s="543"/>
      <c r="B161" s="2"/>
      <c r="C161" s="553"/>
      <c r="D161" s="487"/>
      <c r="E161" s="46"/>
      <c r="F161" s="561"/>
      <c r="G161" s="485"/>
      <c r="H161" s="485"/>
      <c r="I161" s="1165"/>
      <c r="J161" s="44"/>
    </row>
    <row r="162" spans="1:10" ht="10.5" customHeight="1">
      <c r="A162" s="544"/>
      <c r="B162" s="536" t="s">
        <v>174</v>
      </c>
      <c r="C162" s="537"/>
      <c r="D162" s="538"/>
      <c r="E162" s="69"/>
      <c r="F162" s="18"/>
      <c r="G162" s="1158">
        <f>G64+G90+G134+G146+G116+G140</f>
        <v>6276774067</v>
      </c>
      <c r="H162" s="1158">
        <f>H64+H90+H134+H146+H140+H116</f>
        <v>6105633883</v>
      </c>
      <c r="I162" s="1159">
        <f>I64+I90+I134+I146+I140+I116</f>
        <v>171140184</v>
      </c>
      <c r="J162" s="44"/>
    </row>
    <row r="163" spans="1:10" ht="10.5" customHeight="1" thickBot="1">
      <c r="A163" s="545"/>
      <c r="B163" s="539"/>
      <c r="C163" s="540"/>
      <c r="D163" s="541"/>
      <c r="E163" s="70"/>
      <c r="F163" s="71"/>
      <c r="G163" s="1184"/>
      <c r="H163" s="1184"/>
      <c r="I163" s="1185"/>
      <c r="J163" s="44"/>
    </row>
    <row r="164" spans="1:10" ht="10.5" customHeight="1" thickTop="1">
      <c r="A164" s="522" t="s">
        <v>169</v>
      </c>
      <c r="B164" s="523"/>
      <c r="C164" s="523"/>
      <c r="D164" s="524"/>
      <c r="E164" s="13"/>
      <c r="F164" s="20"/>
      <c r="G164" s="1186">
        <f>G62+G162</f>
        <v>29978698068</v>
      </c>
      <c r="H164" s="1186">
        <f>H62+H162</f>
        <v>8418526763</v>
      </c>
      <c r="I164" s="1187">
        <f>I62+I162</f>
        <v>21560171305</v>
      </c>
      <c r="J164" s="44"/>
    </row>
    <row r="165" spans="1:10" ht="10.5" customHeight="1" thickBot="1">
      <c r="A165" s="525"/>
      <c r="B165" s="526"/>
      <c r="C165" s="526"/>
      <c r="D165" s="527"/>
      <c r="E165" s="3"/>
      <c r="F165" s="19"/>
      <c r="G165" s="1161"/>
      <c r="H165" s="1161"/>
      <c r="I165" s="1188"/>
      <c r="J165" s="44"/>
    </row>
  </sheetData>
  <mergeCells count="410">
    <mergeCell ref="C158:D159"/>
    <mergeCell ref="E158:E159"/>
    <mergeCell ref="F158:F159"/>
    <mergeCell ref="G158:G159"/>
    <mergeCell ref="H158:H159"/>
    <mergeCell ref="I158:I159"/>
    <mergeCell ref="C154:D155"/>
    <mergeCell ref="E154:E155"/>
    <mergeCell ref="F154:F155"/>
    <mergeCell ref="G154:G155"/>
    <mergeCell ref="H154:H155"/>
    <mergeCell ref="I154:I155"/>
    <mergeCell ref="C156:D157"/>
    <mergeCell ref="E156:E157"/>
    <mergeCell ref="F156:F157"/>
    <mergeCell ref="G156:G157"/>
    <mergeCell ref="H156:H157"/>
    <mergeCell ref="I156:I157"/>
    <mergeCell ref="I128:I129"/>
    <mergeCell ref="E130:E131"/>
    <mergeCell ref="F130:F131"/>
    <mergeCell ref="G130:G131"/>
    <mergeCell ref="H130:H131"/>
    <mergeCell ref="I130:I131"/>
    <mergeCell ref="B116:D117"/>
    <mergeCell ref="H116:H117"/>
    <mergeCell ref="F120:F121"/>
    <mergeCell ref="H120:H121"/>
    <mergeCell ref="I120:I121"/>
    <mergeCell ref="F122:F123"/>
    <mergeCell ref="H122:H123"/>
    <mergeCell ref="I122:I123"/>
    <mergeCell ref="F124:F125"/>
    <mergeCell ref="H124:H125"/>
    <mergeCell ref="I124:I125"/>
    <mergeCell ref="I136:I137"/>
    <mergeCell ref="I134:I135"/>
    <mergeCell ref="E136:E137"/>
    <mergeCell ref="E112:E115"/>
    <mergeCell ref="E124:E125"/>
    <mergeCell ref="H112:H115"/>
    <mergeCell ref="E118:E119"/>
    <mergeCell ref="E122:E123"/>
    <mergeCell ref="I112:I115"/>
    <mergeCell ref="I116:I117"/>
    <mergeCell ref="F118:F119"/>
    <mergeCell ref="H118:H119"/>
    <mergeCell ref="I118:I119"/>
    <mergeCell ref="E126:E127"/>
    <mergeCell ref="F126:F127"/>
    <mergeCell ref="G126:G127"/>
    <mergeCell ref="H126:H127"/>
    <mergeCell ref="I126:I127"/>
    <mergeCell ref="E132:E133"/>
    <mergeCell ref="F132:F133"/>
    <mergeCell ref="G132:G133"/>
    <mergeCell ref="H132:H133"/>
    <mergeCell ref="I132:I133"/>
    <mergeCell ref="E128:E129"/>
    <mergeCell ref="D76:D77"/>
    <mergeCell ref="D82:D83"/>
    <mergeCell ref="E100:E103"/>
    <mergeCell ref="D96:D99"/>
    <mergeCell ref="H100:H103"/>
    <mergeCell ref="D84:D85"/>
    <mergeCell ref="F92:F93"/>
    <mergeCell ref="H90:H91"/>
    <mergeCell ref="H92:H93"/>
    <mergeCell ref="B90:D91"/>
    <mergeCell ref="G86:G87"/>
    <mergeCell ref="D86:D87"/>
    <mergeCell ref="E80:E81"/>
    <mergeCell ref="E84:E85"/>
    <mergeCell ref="E88:E89"/>
    <mergeCell ref="E86:E87"/>
    <mergeCell ref="C92:D93"/>
    <mergeCell ref="E92:E93"/>
    <mergeCell ref="G100:G101"/>
    <mergeCell ref="G102:G103"/>
    <mergeCell ref="I92:I93"/>
    <mergeCell ref="I96:I99"/>
    <mergeCell ref="H94:H95"/>
    <mergeCell ref="I94:I95"/>
    <mergeCell ref="I104:I107"/>
    <mergeCell ref="H48:H49"/>
    <mergeCell ref="I50:I51"/>
    <mergeCell ref="I52:I53"/>
    <mergeCell ref="I60:I61"/>
    <mergeCell ref="I80:I89"/>
    <mergeCell ref="H80:H89"/>
    <mergeCell ref="C112:C115"/>
    <mergeCell ref="B64:D65"/>
    <mergeCell ref="E60:E61"/>
    <mergeCell ref="C66:D67"/>
    <mergeCell ref="B62:D63"/>
    <mergeCell ref="B60:D61"/>
    <mergeCell ref="I66:I67"/>
    <mergeCell ref="C50:D51"/>
    <mergeCell ref="F52:F53"/>
    <mergeCell ref="C58:D59"/>
    <mergeCell ref="G58:G59"/>
    <mergeCell ref="H58:H59"/>
    <mergeCell ref="I58:I59"/>
    <mergeCell ref="E58:E59"/>
    <mergeCell ref="F58:F59"/>
    <mergeCell ref="F60:F61"/>
    <mergeCell ref="G64:G65"/>
    <mergeCell ref="I56:I57"/>
    <mergeCell ref="I62:I63"/>
    <mergeCell ref="H66:H67"/>
    <mergeCell ref="G66:G67"/>
    <mergeCell ref="I90:I91"/>
    <mergeCell ref="I108:I111"/>
    <mergeCell ref="I100:I103"/>
    <mergeCell ref="E142:E143"/>
    <mergeCell ref="C144:D145"/>
    <mergeCell ref="B140:D141"/>
    <mergeCell ref="F144:F145"/>
    <mergeCell ref="C142:D143"/>
    <mergeCell ref="E144:E145"/>
    <mergeCell ref="G120:G121"/>
    <mergeCell ref="G122:G123"/>
    <mergeCell ref="G124:G125"/>
    <mergeCell ref="E138:E139"/>
    <mergeCell ref="C118:C121"/>
    <mergeCell ref="C122:C125"/>
    <mergeCell ref="C126:C129"/>
    <mergeCell ref="C130:C133"/>
    <mergeCell ref="D118:D119"/>
    <mergeCell ref="D120:D121"/>
    <mergeCell ref="D122:D123"/>
    <mergeCell ref="D124:D125"/>
    <mergeCell ref="D126:D127"/>
    <mergeCell ref="D128:D129"/>
    <mergeCell ref="D130:D131"/>
    <mergeCell ref="D132:D133"/>
    <mergeCell ref="F128:F129"/>
    <mergeCell ref="G128:G129"/>
    <mergeCell ref="E104:E107"/>
    <mergeCell ref="H96:H99"/>
    <mergeCell ref="H104:H107"/>
    <mergeCell ref="H108:H111"/>
    <mergeCell ref="E120:E121"/>
    <mergeCell ref="H136:H137"/>
    <mergeCell ref="H134:H135"/>
    <mergeCell ref="G68:G69"/>
    <mergeCell ref="E74:E75"/>
    <mergeCell ref="E76:E77"/>
    <mergeCell ref="H68:H79"/>
    <mergeCell ref="G70:G71"/>
    <mergeCell ref="G72:G73"/>
    <mergeCell ref="E70:E71"/>
    <mergeCell ref="E72:E73"/>
    <mergeCell ref="F108:F111"/>
    <mergeCell ref="H128:H129"/>
    <mergeCell ref="G80:G83"/>
    <mergeCell ref="E148:E149"/>
    <mergeCell ref="H20:H21"/>
    <mergeCell ref="H4:H5"/>
    <mergeCell ref="H22:H23"/>
    <mergeCell ref="H24:H25"/>
    <mergeCell ref="H6:H7"/>
    <mergeCell ref="H16:H17"/>
    <mergeCell ref="D80:D81"/>
    <mergeCell ref="D72:D73"/>
    <mergeCell ref="E78:E79"/>
    <mergeCell ref="H44:H45"/>
    <mergeCell ref="G56:G57"/>
    <mergeCell ref="H56:H57"/>
    <mergeCell ref="F54:F55"/>
    <mergeCell ref="F68:F79"/>
    <mergeCell ref="C16:D17"/>
    <mergeCell ref="F16:F17"/>
    <mergeCell ref="B44:D45"/>
    <mergeCell ref="C46:D47"/>
    <mergeCell ref="B22:D23"/>
    <mergeCell ref="B48:D49"/>
    <mergeCell ref="B6:D7"/>
    <mergeCell ref="C24:D25"/>
    <mergeCell ref="C18:D19"/>
    <mergeCell ref="A2:I2"/>
    <mergeCell ref="H14:H15"/>
    <mergeCell ref="I14:I15"/>
    <mergeCell ref="H10:H11"/>
    <mergeCell ref="H12:H13"/>
    <mergeCell ref="G10:G11"/>
    <mergeCell ref="I4:I5"/>
    <mergeCell ref="I6:I7"/>
    <mergeCell ref="I8:I9"/>
    <mergeCell ref="F14:F15"/>
    <mergeCell ref="I10:I11"/>
    <mergeCell ref="I12:I13"/>
    <mergeCell ref="F4:F5"/>
    <mergeCell ref="C8:D9"/>
    <mergeCell ref="D12:D13"/>
    <mergeCell ref="G4:G5"/>
    <mergeCell ref="G6:G7"/>
    <mergeCell ref="G8:G9"/>
    <mergeCell ref="E10:E11"/>
    <mergeCell ref="F10:F11"/>
    <mergeCell ref="F12:F13"/>
    <mergeCell ref="A4:D5"/>
    <mergeCell ref="E4:E5"/>
    <mergeCell ref="A6:A63"/>
    <mergeCell ref="G164:G165"/>
    <mergeCell ref="G138:G139"/>
    <mergeCell ref="G146:G147"/>
    <mergeCell ref="G148:G149"/>
    <mergeCell ref="G150:G151"/>
    <mergeCell ref="G12:G13"/>
    <mergeCell ref="G16:G17"/>
    <mergeCell ref="G14:G15"/>
    <mergeCell ref="G142:G143"/>
    <mergeCell ref="G92:G93"/>
    <mergeCell ref="G162:G163"/>
    <mergeCell ref="G46:G47"/>
    <mergeCell ref="G48:G49"/>
    <mergeCell ref="G134:G135"/>
    <mergeCell ref="G24:G25"/>
    <mergeCell ref="G136:G137"/>
    <mergeCell ref="G54:G55"/>
    <mergeCell ref="G112:G115"/>
    <mergeCell ref="G108:G111"/>
    <mergeCell ref="G140:G141"/>
    <mergeCell ref="G118:G119"/>
    <mergeCell ref="G74:G75"/>
    <mergeCell ref="G78:G79"/>
    <mergeCell ref="E150:E151"/>
    <mergeCell ref="E152:E153"/>
    <mergeCell ref="C150:D151"/>
    <mergeCell ref="C152:D153"/>
    <mergeCell ref="I16:I17"/>
    <mergeCell ref="H8:H9"/>
    <mergeCell ref="G22:G23"/>
    <mergeCell ref="H18:H19"/>
    <mergeCell ref="G18:G19"/>
    <mergeCell ref="G20:G21"/>
    <mergeCell ref="I20:I21"/>
    <mergeCell ref="I18:I19"/>
    <mergeCell ref="G76:G77"/>
    <mergeCell ref="G88:G89"/>
    <mergeCell ref="G84:G85"/>
    <mergeCell ref="G60:G61"/>
    <mergeCell ref="H54:H55"/>
    <mergeCell ref="G116:G117"/>
    <mergeCell ref="H64:H65"/>
    <mergeCell ref="H150:H151"/>
    <mergeCell ref="H148:H149"/>
    <mergeCell ref="G90:G91"/>
    <mergeCell ref="G26:G27"/>
    <mergeCell ref="F150:F151"/>
    <mergeCell ref="F152:F153"/>
    <mergeCell ref="F80:F89"/>
    <mergeCell ref="G160:G161"/>
    <mergeCell ref="G152:G153"/>
    <mergeCell ref="G144:G145"/>
    <mergeCell ref="F160:F161"/>
    <mergeCell ref="F142:F143"/>
    <mergeCell ref="F100:F103"/>
    <mergeCell ref="G94:G95"/>
    <mergeCell ref="G96:G99"/>
    <mergeCell ref="F104:F107"/>
    <mergeCell ref="F96:F99"/>
    <mergeCell ref="F112:F115"/>
    <mergeCell ref="F148:F149"/>
    <mergeCell ref="F136:F137"/>
    <mergeCell ref="F138:F139"/>
    <mergeCell ref="H164:H165"/>
    <mergeCell ref="I164:I165"/>
    <mergeCell ref="H138:H139"/>
    <mergeCell ref="I138:I139"/>
    <mergeCell ref="H146:H147"/>
    <mergeCell ref="I146:I147"/>
    <mergeCell ref="I150:I151"/>
    <mergeCell ref="H162:H163"/>
    <mergeCell ref="I162:I163"/>
    <mergeCell ref="H152:H153"/>
    <mergeCell ref="H160:H161"/>
    <mergeCell ref="I160:I161"/>
    <mergeCell ref="I152:I153"/>
    <mergeCell ref="H144:H145"/>
    <mergeCell ref="H142:H143"/>
    <mergeCell ref="I148:I149"/>
    <mergeCell ref="H140:H141"/>
    <mergeCell ref="I140:I141"/>
    <mergeCell ref="I144:I145"/>
    <mergeCell ref="I142:I143"/>
    <mergeCell ref="D10:D11"/>
    <mergeCell ref="D14:D15"/>
    <mergeCell ref="E16:E17"/>
    <mergeCell ref="E14:E15"/>
    <mergeCell ref="E12:E13"/>
    <mergeCell ref="E18:E19"/>
    <mergeCell ref="E20:E21"/>
    <mergeCell ref="A164:D165"/>
    <mergeCell ref="C136:D137"/>
    <mergeCell ref="C138:D139"/>
    <mergeCell ref="B146:D147"/>
    <mergeCell ref="C148:D149"/>
    <mergeCell ref="B162:D163"/>
    <mergeCell ref="A64:A163"/>
    <mergeCell ref="B134:D135"/>
    <mergeCell ref="D70:D71"/>
    <mergeCell ref="D104:D107"/>
    <mergeCell ref="D108:D111"/>
    <mergeCell ref="C160:D161"/>
    <mergeCell ref="C94:D95"/>
    <mergeCell ref="C96:C103"/>
    <mergeCell ref="D100:D103"/>
    <mergeCell ref="D112:D115"/>
    <mergeCell ref="C28:C31"/>
    <mergeCell ref="I22:I23"/>
    <mergeCell ref="I24:I25"/>
    <mergeCell ref="H52:H53"/>
    <mergeCell ref="E68:E69"/>
    <mergeCell ref="E52:E53"/>
    <mergeCell ref="I64:I65"/>
    <mergeCell ref="H60:H61"/>
    <mergeCell ref="G62:G63"/>
    <mergeCell ref="I68:I79"/>
    <mergeCell ref="I54:I55"/>
    <mergeCell ref="F26:F27"/>
    <mergeCell ref="F46:F47"/>
    <mergeCell ref="I48:I49"/>
    <mergeCell ref="G50:G51"/>
    <mergeCell ref="H50:H51"/>
    <mergeCell ref="H26:H27"/>
    <mergeCell ref="I26:I27"/>
    <mergeCell ref="I46:I47"/>
    <mergeCell ref="H62:H63"/>
    <mergeCell ref="F56:F57"/>
    <mergeCell ref="G44:G45"/>
    <mergeCell ref="G52:G53"/>
    <mergeCell ref="H46:H47"/>
    <mergeCell ref="I44:I45"/>
    <mergeCell ref="F18:F19"/>
    <mergeCell ref="F20:F21"/>
    <mergeCell ref="F24:F25"/>
    <mergeCell ref="E24:E25"/>
    <mergeCell ref="E46:E47"/>
    <mergeCell ref="E22:E23"/>
    <mergeCell ref="E26:E27"/>
    <mergeCell ref="C104:C111"/>
    <mergeCell ref="G104:G107"/>
    <mergeCell ref="D52:D53"/>
    <mergeCell ref="E56:E57"/>
    <mergeCell ref="E54:E55"/>
    <mergeCell ref="E108:E111"/>
    <mergeCell ref="D88:D89"/>
    <mergeCell ref="D74:D75"/>
    <mergeCell ref="E82:E83"/>
    <mergeCell ref="D54:D55"/>
    <mergeCell ref="D56:D57"/>
    <mergeCell ref="E96:E99"/>
    <mergeCell ref="C20:D21"/>
    <mergeCell ref="C26:D27"/>
    <mergeCell ref="C68:C89"/>
    <mergeCell ref="D68:D69"/>
    <mergeCell ref="D78:D79"/>
    <mergeCell ref="D28:D29"/>
    <mergeCell ref="E28:E29"/>
    <mergeCell ref="F28:F29"/>
    <mergeCell ref="G28:G29"/>
    <mergeCell ref="H28:H29"/>
    <mergeCell ref="I28:I29"/>
    <mergeCell ref="D30:D31"/>
    <mergeCell ref="E30:E31"/>
    <mergeCell ref="F30:F31"/>
    <mergeCell ref="G30:G31"/>
    <mergeCell ref="H30:H31"/>
    <mergeCell ref="I30:I31"/>
    <mergeCell ref="C32:C35"/>
    <mergeCell ref="D32:D33"/>
    <mergeCell ref="E32:E33"/>
    <mergeCell ref="F32:F33"/>
    <mergeCell ref="G32:G33"/>
    <mergeCell ref="H32:H33"/>
    <mergeCell ref="I32:I33"/>
    <mergeCell ref="D34:D35"/>
    <mergeCell ref="E34:E35"/>
    <mergeCell ref="F34:F35"/>
    <mergeCell ref="G34:G35"/>
    <mergeCell ref="H34:H35"/>
    <mergeCell ref="I34:I35"/>
    <mergeCell ref="C36:C39"/>
    <mergeCell ref="D36:D37"/>
    <mergeCell ref="E36:E37"/>
    <mergeCell ref="F36:F37"/>
    <mergeCell ref="G36:G37"/>
    <mergeCell ref="H36:H37"/>
    <mergeCell ref="I36:I37"/>
    <mergeCell ref="D38:D39"/>
    <mergeCell ref="E38:E39"/>
    <mergeCell ref="F38:F39"/>
    <mergeCell ref="G38:G39"/>
    <mergeCell ref="H38:H39"/>
    <mergeCell ref="I38:I39"/>
    <mergeCell ref="C40:C43"/>
    <mergeCell ref="D40:D41"/>
    <mergeCell ref="E40:E41"/>
    <mergeCell ref="F40:F41"/>
    <mergeCell ref="G40:G41"/>
    <mergeCell ref="H40:H41"/>
    <mergeCell ref="I40:I41"/>
    <mergeCell ref="D42:D43"/>
    <mergeCell ref="E42:E43"/>
    <mergeCell ref="F42:F43"/>
    <mergeCell ref="G42:G43"/>
    <mergeCell ref="H42:H43"/>
    <mergeCell ref="I42:I43"/>
  </mergeCells>
  <phoneticPr fontId="2"/>
  <printOptions horizontalCentered="1" verticalCentered="1"/>
  <pageMargins left="0.59055118110236227" right="0.39370078740157483" top="0.39370078740157483" bottom="0.31496062992125984" header="0.39370078740157483" footer="0.31496062992125984"/>
  <pageSetup paperSize="9" scale="48"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00000"/>
    <pageSetUpPr fitToPage="1"/>
  </sheetPr>
  <dimension ref="A1:O175"/>
  <sheetViews>
    <sheetView showGridLines="0" view="pageBreakPreview" zoomScaleNormal="115" zoomScaleSheetLayoutView="100" workbookViewId="0">
      <pane xSplit="6" ySplit="5" topLeftCell="G6" activePane="bottomRight" state="frozen"/>
      <selection sqref="A1:XFD1048576"/>
      <selection pane="topRight" sqref="A1:XFD1048576"/>
      <selection pane="bottomLeft" sqref="A1:XFD1048576"/>
      <selection pane="bottomRight" activeCell="F80" sqref="F80:F81"/>
    </sheetView>
  </sheetViews>
  <sheetFormatPr defaultColWidth="9" defaultRowHeight="13.5" outlineLevelRow="1"/>
  <cols>
    <col min="1" max="1" width="4" style="140" customWidth="1"/>
    <col min="2" max="2" width="1.375" style="140" customWidth="1"/>
    <col min="3" max="3" width="1.625" style="140" customWidth="1"/>
    <col min="4" max="4" width="2.375" style="140" customWidth="1"/>
    <col min="5" max="5" width="19.625" style="140" customWidth="1"/>
    <col min="6" max="6" width="22.625" style="140" customWidth="1"/>
    <col min="7" max="7" width="25.125" style="140" customWidth="1"/>
    <col min="8" max="10" width="13.375" style="140" customWidth="1"/>
    <col min="11" max="11" width="7.625" style="140" customWidth="1"/>
    <col min="12" max="16" width="11.375" style="140" customWidth="1"/>
    <col min="17" max="16384" width="9" style="140"/>
  </cols>
  <sheetData>
    <row r="1" spans="1:15" ht="8.25" customHeight="1"/>
    <row r="2" spans="1:15" ht="15" customHeight="1">
      <c r="A2" s="659" t="str">
        <f>+CONCATENATE("令和",DBCS([1]年度!$A$2),"年度決算　不課税収入区分表")</f>
        <v>令和５年度決算　不課税収入区分表</v>
      </c>
      <c r="B2" s="659"/>
      <c r="C2" s="659"/>
      <c r="D2" s="659"/>
      <c r="E2" s="659"/>
      <c r="F2" s="659"/>
      <c r="G2" s="659"/>
      <c r="H2" s="659"/>
      <c r="I2" s="659"/>
      <c r="J2" s="659"/>
      <c r="K2" s="163"/>
    </row>
    <row r="3" spans="1:15" ht="13.5" customHeight="1" thickBot="1">
      <c r="B3" s="1"/>
      <c r="C3" s="1"/>
      <c r="D3" s="1"/>
      <c r="E3" s="1"/>
      <c r="F3" s="1"/>
      <c r="G3" s="1"/>
      <c r="H3" s="1"/>
      <c r="I3" s="1"/>
      <c r="J3" s="22" t="s">
        <v>14</v>
      </c>
      <c r="K3" s="22"/>
    </row>
    <row r="4" spans="1:15" ht="10.5" customHeight="1">
      <c r="A4" s="587" t="s">
        <v>43</v>
      </c>
      <c r="B4" s="582"/>
      <c r="C4" s="582"/>
      <c r="D4" s="582"/>
      <c r="E4" s="588"/>
      <c r="F4" s="584" t="s">
        <v>44</v>
      </c>
      <c r="G4" s="582" t="s">
        <v>45</v>
      </c>
      <c r="H4" s="584" t="s">
        <v>47</v>
      </c>
      <c r="I4" s="584" t="s">
        <v>42</v>
      </c>
      <c r="J4" s="580" t="s">
        <v>46</v>
      </c>
      <c r="K4" s="141" t="s">
        <v>384</v>
      </c>
      <c r="L4" s="142"/>
      <c r="M4" s="142"/>
      <c r="N4" s="142"/>
    </row>
    <row r="5" spans="1:15" ht="10.5" customHeight="1">
      <c r="A5" s="589"/>
      <c r="B5" s="583"/>
      <c r="C5" s="583"/>
      <c r="D5" s="583"/>
      <c r="E5" s="590"/>
      <c r="F5" s="585"/>
      <c r="G5" s="583"/>
      <c r="H5" s="585"/>
      <c r="I5" s="585"/>
      <c r="J5" s="581"/>
      <c r="K5" s="273">
        <v>0.03</v>
      </c>
      <c r="L5" s="273">
        <v>0.05</v>
      </c>
      <c r="M5" s="273">
        <v>0.08</v>
      </c>
      <c r="N5" s="416">
        <v>0.08</v>
      </c>
      <c r="O5" s="273">
        <v>0.1</v>
      </c>
    </row>
    <row r="6" spans="1:15" ht="10.5" customHeight="1">
      <c r="A6" s="707" t="s">
        <v>155</v>
      </c>
      <c r="B6" s="593" t="s">
        <v>27</v>
      </c>
      <c r="C6" s="593"/>
      <c r="D6" s="593"/>
      <c r="E6" s="594"/>
      <c r="F6" s="5"/>
      <c r="G6" s="15"/>
      <c r="H6" s="686">
        <f>H8+H16+H18+H20</f>
        <v>13974628227</v>
      </c>
      <c r="I6" s="686">
        <f>I8+I16+I18+I20</f>
        <v>2307267553</v>
      </c>
      <c r="J6" s="687">
        <f>J8+J16+J18+J20</f>
        <v>11667360674</v>
      </c>
      <c r="K6" s="44"/>
    </row>
    <row r="7" spans="1:15" ht="10.5" customHeight="1">
      <c r="A7" s="696"/>
      <c r="B7" s="532"/>
      <c r="C7" s="532"/>
      <c r="D7" s="532"/>
      <c r="E7" s="533"/>
      <c r="F7" s="160"/>
      <c r="G7" s="16"/>
      <c r="H7" s="518"/>
      <c r="I7" s="518"/>
      <c r="J7" s="662"/>
      <c r="K7" s="44"/>
    </row>
    <row r="8" spans="1:15" ht="10.5" customHeight="1">
      <c r="A8" s="696"/>
      <c r="B8" s="168"/>
      <c r="C8" s="503" t="s">
        <v>0</v>
      </c>
      <c r="D8" s="669"/>
      <c r="E8" s="670"/>
      <c r="F8" s="155"/>
      <c r="G8" s="12"/>
      <c r="H8" s="517">
        <f>H10+H12+H14</f>
        <v>13869351636</v>
      </c>
      <c r="I8" s="517">
        <f>I10+I12+I14</f>
        <v>2284890841</v>
      </c>
      <c r="J8" s="638">
        <f>J10+J12+J14</f>
        <v>11584460795</v>
      </c>
      <c r="K8" s="44"/>
    </row>
    <row r="9" spans="1:15" ht="10.5" customHeight="1">
      <c r="A9" s="696"/>
      <c r="B9" s="168"/>
      <c r="C9" s="706"/>
      <c r="D9" s="671"/>
      <c r="E9" s="672"/>
      <c r="F9" s="160"/>
      <c r="G9" s="16"/>
      <c r="H9" s="518"/>
      <c r="I9" s="518"/>
      <c r="J9" s="662"/>
      <c r="K9" s="44"/>
    </row>
    <row r="10" spans="1:15" ht="10.5" customHeight="1">
      <c r="A10" s="696"/>
      <c r="B10" s="168"/>
      <c r="C10" s="162"/>
      <c r="D10" s="501" t="s">
        <v>1</v>
      </c>
      <c r="E10" s="699"/>
      <c r="F10" s="475" t="s">
        <v>63</v>
      </c>
      <c r="G10" s="472" t="s">
        <v>164</v>
      </c>
      <c r="H10" s="667">
        <f>'3条一般会計'!G10</f>
        <v>3383678341</v>
      </c>
      <c r="I10" s="667">
        <f>'3条一般会計'!H10</f>
        <v>2257096108</v>
      </c>
      <c r="J10" s="638">
        <f>H10-I10</f>
        <v>1126582233</v>
      </c>
      <c r="K10" s="44"/>
    </row>
    <row r="11" spans="1:15" ht="10.5" customHeight="1">
      <c r="A11" s="696"/>
      <c r="B11" s="168"/>
      <c r="C11" s="162"/>
      <c r="D11" s="704"/>
      <c r="E11" s="699"/>
      <c r="F11" s="476"/>
      <c r="G11" s="473"/>
      <c r="H11" s="668"/>
      <c r="I11" s="668"/>
      <c r="J11" s="662"/>
      <c r="K11" s="44"/>
    </row>
    <row r="12" spans="1:15" ht="10.5" customHeight="1">
      <c r="A12" s="696"/>
      <c r="B12" s="168"/>
      <c r="C12" s="162"/>
      <c r="D12" s="501" t="s">
        <v>18</v>
      </c>
      <c r="E12" s="699"/>
      <c r="F12" s="466" t="s">
        <v>36</v>
      </c>
      <c r="G12" s="472" t="s">
        <v>64</v>
      </c>
      <c r="H12" s="667">
        <f>'3条一般会計'!G12</f>
        <v>8476549651</v>
      </c>
      <c r="I12" s="667">
        <f>'3条一般会計'!H12</f>
        <v>0</v>
      </c>
      <c r="J12" s="638">
        <f>H12-I12</f>
        <v>8476549651</v>
      </c>
      <c r="K12" s="44"/>
    </row>
    <row r="13" spans="1:15" ht="10.5" customHeight="1">
      <c r="A13" s="696"/>
      <c r="B13" s="168"/>
      <c r="C13" s="162"/>
      <c r="D13" s="704"/>
      <c r="E13" s="699"/>
      <c r="F13" s="521"/>
      <c r="G13" s="473"/>
      <c r="H13" s="668"/>
      <c r="I13" s="668"/>
      <c r="J13" s="662"/>
      <c r="K13" s="44"/>
    </row>
    <row r="14" spans="1:15" ht="10.5" customHeight="1">
      <c r="A14" s="696"/>
      <c r="B14" s="168"/>
      <c r="C14" s="162"/>
      <c r="D14" s="501" t="s">
        <v>111</v>
      </c>
      <c r="E14" s="699"/>
      <c r="F14" s="520" t="s">
        <v>144</v>
      </c>
      <c r="G14" s="466" t="s">
        <v>222</v>
      </c>
      <c r="H14" s="667">
        <f>'3条一般会計'!G18</f>
        <v>2009123644</v>
      </c>
      <c r="I14" s="663">
        <f>'3条一般会計'!H18</f>
        <v>27794733</v>
      </c>
      <c r="J14" s="638">
        <f>H14-I14</f>
        <v>1981328911</v>
      </c>
      <c r="K14" s="44"/>
    </row>
    <row r="15" spans="1:15" ht="10.5" customHeight="1">
      <c r="A15" s="696"/>
      <c r="B15" s="168"/>
      <c r="C15" s="162"/>
      <c r="D15" s="700"/>
      <c r="E15" s="670"/>
      <c r="F15" s="490"/>
      <c r="G15" s="521"/>
      <c r="H15" s="668"/>
      <c r="I15" s="664"/>
      <c r="J15" s="662"/>
      <c r="K15" s="44"/>
    </row>
    <row r="16" spans="1:15" ht="10.5" customHeight="1">
      <c r="A16" s="696"/>
      <c r="B16" s="168"/>
      <c r="C16" s="501" t="s">
        <v>19</v>
      </c>
      <c r="D16" s="703"/>
      <c r="E16" s="699"/>
      <c r="F16" s="519" t="s">
        <v>145</v>
      </c>
      <c r="G16" s="472" t="s">
        <v>57</v>
      </c>
      <c r="H16" s="667">
        <f>'3条一般会計'!G20</f>
        <v>51313295</v>
      </c>
      <c r="I16" s="667">
        <f>'3条一般会計'!H20</f>
        <v>12168217</v>
      </c>
      <c r="J16" s="638">
        <f>H16-I16</f>
        <v>39145078</v>
      </c>
      <c r="K16" s="44"/>
    </row>
    <row r="17" spans="1:11" ht="10.5" customHeight="1">
      <c r="A17" s="696"/>
      <c r="B17" s="168"/>
      <c r="C17" s="704"/>
      <c r="D17" s="703"/>
      <c r="E17" s="699"/>
      <c r="F17" s="519"/>
      <c r="G17" s="473"/>
      <c r="H17" s="668"/>
      <c r="I17" s="668"/>
      <c r="J17" s="662"/>
      <c r="K17" s="44"/>
    </row>
    <row r="18" spans="1:11" ht="10.5" customHeight="1">
      <c r="A18" s="696"/>
      <c r="B18" s="168"/>
      <c r="C18" s="501" t="s">
        <v>20</v>
      </c>
      <c r="D18" s="703"/>
      <c r="E18" s="699"/>
      <c r="F18" s="519" t="s">
        <v>146</v>
      </c>
      <c r="G18" s="472" t="s">
        <v>60</v>
      </c>
      <c r="H18" s="667">
        <f>'3条一般会計'!G22</f>
        <v>43567026</v>
      </c>
      <c r="I18" s="667">
        <f>'3条一般会計'!H22</f>
        <v>9253060</v>
      </c>
      <c r="J18" s="638">
        <f>H18-I18</f>
        <v>34313966</v>
      </c>
      <c r="K18" s="44"/>
    </row>
    <row r="19" spans="1:11" ht="10.5" customHeight="1">
      <c r="A19" s="696"/>
      <c r="B19" s="168"/>
      <c r="C19" s="704"/>
      <c r="D19" s="703"/>
      <c r="E19" s="699"/>
      <c r="F19" s="519"/>
      <c r="G19" s="473"/>
      <c r="H19" s="668"/>
      <c r="I19" s="668"/>
      <c r="J19" s="662"/>
      <c r="K19" s="44"/>
    </row>
    <row r="20" spans="1:11" ht="10.5" customHeight="1">
      <c r="A20" s="696"/>
      <c r="B20" s="168"/>
      <c r="C20" s="501" t="s">
        <v>21</v>
      </c>
      <c r="D20" s="703"/>
      <c r="E20" s="699"/>
      <c r="F20" s="519" t="s">
        <v>147</v>
      </c>
      <c r="G20" s="472" t="s">
        <v>148</v>
      </c>
      <c r="H20" s="667">
        <f>'3条一般会計'!G28</f>
        <v>10396270</v>
      </c>
      <c r="I20" s="667">
        <f>'3条一般会計'!H28</f>
        <v>955435</v>
      </c>
      <c r="J20" s="638">
        <f>H20-I20</f>
        <v>9440835</v>
      </c>
      <c r="K20" s="44"/>
    </row>
    <row r="21" spans="1:11" ht="10.5" customHeight="1">
      <c r="A21" s="696"/>
      <c r="B21" s="168"/>
      <c r="C21" s="704"/>
      <c r="D21" s="703"/>
      <c r="E21" s="699"/>
      <c r="F21" s="480"/>
      <c r="G21" s="474"/>
      <c r="H21" s="668"/>
      <c r="I21" s="668"/>
      <c r="J21" s="662"/>
      <c r="K21" s="44"/>
    </row>
    <row r="22" spans="1:11" ht="10.5" hidden="1" customHeight="1" outlineLevel="1">
      <c r="A22" s="696"/>
      <c r="B22" s="505" t="s">
        <v>22</v>
      </c>
      <c r="C22" s="505"/>
      <c r="D22" s="505"/>
      <c r="E22" s="504"/>
      <c r="F22" s="477"/>
      <c r="G22" s="64"/>
      <c r="H22" s="517">
        <f>H24+H26</f>
        <v>0</v>
      </c>
      <c r="I22" s="517">
        <f>I24+I26</f>
        <v>0</v>
      </c>
      <c r="J22" s="638">
        <f>J24+J26</f>
        <v>0</v>
      </c>
      <c r="K22" s="44"/>
    </row>
    <row r="23" spans="1:11" ht="10.5" hidden="1" customHeight="1" outlineLevel="1">
      <c r="A23" s="696"/>
      <c r="B23" s="532"/>
      <c r="C23" s="532"/>
      <c r="D23" s="532"/>
      <c r="E23" s="533"/>
      <c r="F23" s="478"/>
      <c r="G23" s="66"/>
      <c r="H23" s="518"/>
      <c r="I23" s="518"/>
      <c r="J23" s="662"/>
      <c r="K23" s="44"/>
    </row>
    <row r="24" spans="1:11" ht="10.5" hidden="1" customHeight="1" outlineLevel="1">
      <c r="A24" s="696"/>
      <c r="B24" s="92"/>
      <c r="C24" s="717" t="s">
        <v>158</v>
      </c>
      <c r="D24" s="669"/>
      <c r="E24" s="670"/>
      <c r="F24" s="475" t="s">
        <v>37</v>
      </c>
      <c r="G24" s="472" t="s">
        <v>149</v>
      </c>
      <c r="H24" s="673">
        <v>0</v>
      </c>
      <c r="I24" s="673">
        <v>0</v>
      </c>
      <c r="J24" s="638">
        <f>H24-I24</f>
        <v>0</v>
      </c>
      <c r="K24" s="44"/>
    </row>
    <row r="25" spans="1:11" ht="10.5" hidden="1" customHeight="1" outlineLevel="1">
      <c r="A25" s="696"/>
      <c r="B25" s="93"/>
      <c r="C25" s="671"/>
      <c r="D25" s="671"/>
      <c r="E25" s="672"/>
      <c r="F25" s="476"/>
      <c r="G25" s="473"/>
      <c r="H25" s="674"/>
      <c r="I25" s="674"/>
      <c r="J25" s="662"/>
      <c r="K25" s="44"/>
    </row>
    <row r="26" spans="1:11" ht="10.5" hidden="1" customHeight="1" outlineLevel="1" collapsed="1">
      <c r="A26" s="696"/>
      <c r="B26" s="93"/>
      <c r="C26" s="505" t="s">
        <v>283</v>
      </c>
      <c r="D26" s="669"/>
      <c r="E26" s="670"/>
      <c r="F26" s="479" t="s">
        <v>285</v>
      </c>
      <c r="G26" s="472" t="s">
        <v>284</v>
      </c>
      <c r="H26" s="572">
        <f>SUM(H28:H43)</f>
        <v>0</v>
      </c>
      <c r="I26" s="572">
        <f>SUM(I28:I43)</f>
        <v>0</v>
      </c>
      <c r="J26" s="638">
        <f>SUM(J28:J43)</f>
        <v>0</v>
      </c>
      <c r="K26" s="44"/>
    </row>
    <row r="27" spans="1:11" ht="10.5" hidden="1" customHeight="1" outlineLevel="1">
      <c r="A27" s="696"/>
      <c r="B27" s="94"/>
      <c r="C27" s="671"/>
      <c r="D27" s="671"/>
      <c r="E27" s="672"/>
      <c r="F27" s="480"/>
      <c r="G27" s="473"/>
      <c r="H27" s="573"/>
      <c r="I27" s="573"/>
      <c r="J27" s="662"/>
      <c r="K27" s="44"/>
    </row>
    <row r="28" spans="1:11" ht="18" hidden="1" customHeight="1" outlineLevel="1">
      <c r="A28" s="696"/>
      <c r="B28" s="391"/>
      <c r="C28" s="391"/>
      <c r="D28" s="460" t="s">
        <v>482</v>
      </c>
      <c r="E28" s="487" t="str">
        <f>+'3条災害補助'!$C$10</f>
        <v>公共土木施設災害
復旧事業費国庫負担金</v>
      </c>
      <c r="F28" s="630" t="str">
        <f>+'3条災害補助'!$D$10</f>
        <v>対象事業費×２／３</v>
      </c>
      <c r="G28" s="631" t="str">
        <f>+'3条災害補助'!$E$10</f>
        <v>3年度分
公共土木施設災害復旧事業費(補助事業現年分)の課税支出割合</v>
      </c>
      <c r="H28" s="633">
        <f>+'3条災害補助'!$G$10</f>
        <v>0</v>
      </c>
      <c r="I28" s="635">
        <f>+'3条災害補助'!H$12</f>
        <v>0</v>
      </c>
      <c r="J28" s="636">
        <f>+'3条災害補助'!I$12</f>
        <v>0</v>
      </c>
      <c r="K28" s="44"/>
    </row>
    <row r="29" spans="1:11" ht="18" hidden="1" customHeight="1" outlineLevel="1">
      <c r="A29" s="696"/>
      <c r="B29" s="391"/>
      <c r="C29" s="391"/>
      <c r="D29" s="461"/>
      <c r="E29" s="496"/>
      <c r="F29" s="630"/>
      <c r="G29" s="632"/>
      <c r="H29" s="634"/>
      <c r="I29" s="635"/>
      <c r="J29" s="636"/>
      <c r="K29" s="44"/>
    </row>
    <row r="30" spans="1:11" ht="18" hidden="1" customHeight="1" outlineLevel="1">
      <c r="A30" s="696"/>
      <c r="B30" s="391"/>
      <c r="C30" s="391"/>
      <c r="D30" s="461"/>
      <c r="E30" s="487" t="str">
        <f>+'3条災害補助'!$C$16</f>
        <v>公共土木施設災害
復旧事業費国庫負担金</v>
      </c>
      <c r="F30" s="630" t="str">
        <f>+'3条災害補助'!$D$16</f>
        <v>対象事業費×２／３</v>
      </c>
      <c r="G30" s="631" t="str">
        <f>+'3条災害補助'!$E$16</f>
        <v>2年度分
公共土木施設災害復旧事業費(補助事業繰越分)の課税支出割合</v>
      </c>
      <c r="H30" s="633">
        <f>+'3条災害補助'!$G$16</f>
        <v>0</v>
      </c>
      <c r="I30" s="635">
        <f>+'3条災害補助'!H$18</f>
        <v>0</v>
      </c>
      <c r="J30" s="636">
        <f>+'3条災害補助'!I$18</f>
        <v>0</v>
      </c>
      <c r="K30" s="44"/>
    </row>
    <row r="31" spans="1:11" ht="18" hidden="1" customHeight="1" outlineLevel="1">
      <c r="A31" s="696"/>
      <c r="B31" s="391"/>
      <c r="C31" s="391"/>
      <c r="D31" s="462"/>
      <c r="E31" s="496"/>
      <c r="F31" s="630"/>
      <c r="G31" s="632"/>
      <c r="H31" s="634"/>
      <c r="I31" s="635"/>
      <c r="J31" s="636"/>
      <c r="K31" s="44"/>
    </row>
    <row r="32" spans="1:11" ht="18" hidden="1" customHeight="1" outlineLevel="1">
      <c r="A32" s="696"/>
      <c r="B32" s="391"/>
      <c r="C32" s="391"/>
      <c r="D32" s="460" t="s">
        <v>306</v>
      </c>
      <c r="E32" s="487" t="str">
        <f>+'3条災害補助'!$C$24</f>
        <v>公共土木施設災害
復旧事業費国庫負担金</v>
      </c>
      <c r="F32" s="630" t="str">
        <f>+'3条災害補助'!$D$24</f>
        <v>対象事業費×２／３</v>
      </c>
      <c r="G32" s="631" t="str">
        <f>+'3条災害補助'!$E$24</f>
        <v>3年度分
公共土木施設災害復旧事業費(補助事業現年分)の課税支出割合</v>
      </c>
      <c r="H32" s="633">
        <f>+'3条災害補助'!$G$24</f>
        <v>0</v>
      </c>
      <c r="I32" s="635">
        <f>+'3条災害補助'!H$26</f>
        <v>0</v>
      </c>
      <c r="J32" s="636">
        <f>+'3条災害補助'!I$26</f>
        <v>0</v>
      </c>
      <c r="K32" s="44"/>
    </row>
    <row r="33" spans="1:11" ht="18" hidden="1" customHeight="1" outlineLevel="1">
      <c r="A33" s="696"/>
      <c r="B33" s="391"/>
      <c r="C33" s="391"/>
      <c r="D33" s="461"/>
      <c r="E33" s="496"/>
      <c r="F33" s="630"/>
      <c r="G33" s="632"/>
      <c r="H33" s="634"/>
      <c r="I33" s="635"/>
      <c r="J33" s="636"/>
      <c r="K33" s="44"/>
    </row>
    <row r="34" spans="1:11" ht="18" hidden="1" customHeight="1" outlineLevel="1">
      <c r="A34" s="696"/>
      <c r="B34" s="391"/>
      <c r="C34" s="391"/>
      <c r="D34" s="461"/>
      <c r="E34" s="487" t="str">
        <f>+'3条災害補助'!$C$30</f>
        <v>公共土木施設災害
復旧事業費国庫負担金</v>
      </c>
      <c r="F34" s="630" t="str">
        <f>+'3条災害補助'!$D$30</f>
        <v>対象事業費×２／３</v>
      </c>
      <c r="G34" s="631" t="str">
        <f>+'3条災害補助'!$E$30</f>
        <v>2年度分
公共土木施設災害復旧事業費(補助事業繰越分)の課税支出割合</v>
      </c>
      <c r="H34" s="633">
        <f>+'3条災害補助'!$G$30</f>
        <v>0</v>
      </c>
      <c r="I34" s="635">
        <f>+'3条災害補助'!H$32</f>
        <v>0</v>
      </c>
      <c r="J34" s="636">
        <f>+'3条災害補助'!I$32</f>
        <v>0</v>
      </c>
      <c r="K34" s="44"/>
    </row>
    <row r="35" spans="1:11" ht="18" hidden="1" customHeight="1" outlineLevel="1">
      <c r="A35" s="696"/>
      <c r="B35" s="391"/>
      <c r="C35" s="391"/>
      <c r="D35" s="462"/>
      <c r="E35" s="496"/>
      <c r="F35" s="630"/>
      <c r="G35" s="632"/>
      <c r="H35" s="634"/>
      <c r="I35" s="635"/>
      <c r="J35" s="636"/>
      <c r="K35" s="44"/>
    </row>
    <row r="36" spans="1:11" ht="18" hidden="1" customHeight="1" outlineLevel="1">
      <c r="A36" s="696"/>
      <c r="B36" s="391"/>
      <c r="C36" s="391"/>
      <c r="D36" s="460" t="s">
        <v>483</v>
      </c>
      <c r="E36" s="487" t="str">
        <f>+'3条災害補助'!$C$38</f>
        <v>災害関連農村生活環境
施設復旧事業国庫補助金</v>
      </c>
      <c r="F36" s="630">
        <f>+'3条災害補助'!$D$38</f>
        <v>0</v>
      </c>
      <c r="G36" s="631" t="str">
        <f>+'3条災害補助'!$E$38</f>
        <v>3年度分
災害関連農村生活環境施設復旧事業(補助事業現年分)の課税支出割合</v>
      </c>
      <c r="H36" s="633">
        <f>+'3条災害補助'!$G$38</f>
        <v>0</v>
      </c>
      <c r="I36" s="635">
        <f>+'3条災害補助'!H$40</f>
        <v>0</v>
      </c>
      <c r="J36" s="636">
        <f>+'3条災害補助'!I$40</f>
        <v>0</v>
      </c>
      <c r="K36" s="44"/>
    </row>
    <row r="37" spans="1:11" ht="18" hidden="1" customHeight="1" outlineLevel="1">
      <c r="A37" s="696"/>
      <c r="B37" s="391"/>
      <c r="C37" s="391"/>
      <c r="D37" s="461"/>
      <c r="E37" s="496"/>
      <c r="F37" s="630"/>
      <c r="G37" s="632"/>
      <c r="H37" s="634"/>
      <c r="I37" s="635"/>
      <c r="J37" s="636"/>
      <c r="K37" s="44"/>
    </row>
    <row r="38" spans="1:11" ht="18" hidden="1" customHeight="1" outlineLevel="1">
      <c r="A38" s="696"/>
      <c r="B38" s="391"/>
      <c r="C38" s="391"/>
      <c r="D38" s="461"/>
      <c r="E38" s="487" t="str">
        <f>+'3条災害補助'!$C$44</f>
        <v>災害関連農村生活環境
施設復旧事業国庫補助金</v>
      </c>
      <c r="F38" s="630" t="str">
        <f>+'3条災害補助'!$D$44</f>
        <v>対象事業費×１／２</v>
      </c>
      <c r="G38" s="631" t="str">
        <f>+'3条災害補助'!$E$44</f>
        <v>2年度分
災害関連農村生活環境施設復旧事業(補助事業繰越分)の課税支出割合</v>
      </c>
      <c r="H38" s="633">
        <f>+'3条災害補助'!$G$44</f>
        <v>0</v>
      </c>
      <c r="I38" s="635">
        <f>+'3条災害補助'!H$46</f>
        <v>0</v>
      </c>
      <c r="J38" s="636">
        <f>+'3条災害補助'!I$46</f>
        <v>0</v>
      </c>
      <c r="K38" s="44"/>
    </row>
    <row r="39" spans="1:11" ht="18" hidden="1" customHeight="1" outlineLevel="1">
      <c r="A39" s="696"/>
      <c r="B39" s="391"/>
      <c r="C39" s="391"/>
      <c r="D39" s="462"/>
      <c r="E39" s="496"/>
      <c r="F39" s="630"/>
      <c r="G39" s="632"/>
      <c r="H39" s="634"/>
      <c r="I39" s="635"/>
      <c r="J39" s="636"/>
      <c r="K39" s="44"/>
    </row>
    <row r="40" spans="1:11" ht="18" hidden="1" customHeight="1" outlineLevel="1">
      <c r="A40" s="696"/>
      <c r="B40" s="391"/>
      <c r="C40" s="391"/>
      <c r="D40" s="460" t="s">
        <v>308</v>
      </c>
      <c r="E40" s="487">
        <f>+'3条災害補助'!$C$52</f>
        <v>0</v>
      </c>
      <c r="F40" s="630">
        <f>+'3条災害補助'!$D$52</f>
        <v>0</v>
      </c>
      <c r="G40" s="631">
        <f>+'3条災害補助'!$E$52</f>
        <v>0</v>
      </c>
      <c r="H40" s="633">
        <f>+'3条災害補助'!$G$52</f>
        <v>0</v>
      </c>
      <c r="I40" s="635">
        <f>+'3条災害補助'!H$54</f>
        <v>0</v>
      </c>
      <c r="J40" s="636">
        <f>+'3条災害補助'!I$54</f>
        <v>0</v>
      </c>
      <c r="K40" s="44"/>
    </row>
    <row r="41" spans="1:11" ht="18" hidden="1" customHeight="1" outlineLevel="1">
      <c r="A41" s="696"/>
      <c r="B41" s="391"/>
      <c r="C41" s="391"/>
      <c r="D41" s="461"/>
      <c r="E41" s="496"/>
      <c r="F41" s="630"/>
      <c r="G41" s="632"/>
      <c r="H41" s="634"/>
      <c r="I41" s="635"/>
      <c r="J41" s="636"/>
      <c r="K41" s="44"/>
    </row>
    <row r="42" spans="1:11" ht="18" hidden="1" customHeight="1" outlineLevel="1">
      <c r="A42" s="696"/>
      <c r="B42" s="391"/>
      <c r="C42" s="391"/>
      <c r="D42" s="461"/>
      <c r="E42" s="487">
        <f>+'3条災害補助'!$C$58</f>
        <v>0</v>
      </c>
      <c r="F42" s="630">
        <f>+'3条災害補助'!$D$58</f>
        <v>0</v>
      </c>
      <c r="G42" s="631">
        <f>+'3条災害補助'!$E$58</f>
        <v>0</v>
      </c>
      <c r="H42" s="633">
        <f>+'3条災害補助'!$G$58</f>
        <v>0</v>
      </c>
      <c r="I42" s="635">
        <f>+'3条災害補助'!H$60</f>
        <v>0</v>
      </c>
      <c r="J42" s="636">
        <f>+'3条災害補助'!I$60</f>
        <v>0</v>
      </c>
      <c r="K42" s="44"/>
    </row>
    <row r="43" spans="1:11" ht="18" hidden="1" customHeight="1" outlineLevel="1">
      <c r="A43" s="696"/>
      <c r="B43" s="391"/>
      <c r="C43" s="391"/>
      <c r="D43" s="462"/>
      <c r="E43" s="496"/>
      <c r="F43" s="630"/>
      <c r="G43" s="632"/>
      <c r="H43" s="634"/>
      <c r="I43" s="635"/>
      <c r="J43" s="636"/>
      <c r="K43" s="44"/>
    </row>
    <row r="44" spans="1:11" ht="10.5" customHeight="1" collapsed="1">
      <c r="A44" s="696"/>
      <c r="B44" s="505" t="s">
        <v>2</v>
      </c>
      <c r="C44" s="505"/>
      <c r="D44" s="505"/>
      <c r="E44" s="504"/>
      <c r="F44" s="166"/>
      <c r="G44" s="67"/>
      <c r="H44" s="517">
        <f>H46</f>
        <v>16476593</v>
      </c>
      <c r="I44" s="517">
        <f>I46</f>
        <v>0</v>
      </c>
      <c r="J44" s="638">
        <f>J46</f>
        <v>16476593</v>
      </c>
      <c r="K44" s="44"/>
    </row>
    <row r="45" spans="1:11" ht="10.5" customHeight="1">
      <c r="A45" s="696"/>
      <c r="B45" s="532"/>
      <c r="C45" s="532"/>
      <c r="D45" s="532"/>
      <c r="E45" s="533"/>
      <c r="F45" s="167"/>
      <c r="G45" s="157"/>
      <c r="H45" s="518"/>
      <c r="I45" s="518"/>
      <c r="J45" s="662"/>
      <c r="K45" s="44"/>
    </row>
    <row r="46" spans="1:11" ht="10.5" customHeight="1">
      <c r="A46" s="696"/>
      <c r="B46" s="168"/>
      <c r="C46" s="503" t="s">
        <v>23</v>
      </c>
      <c r="D46" s="669"/>
      <c r="E46" s="670"/>
      <c r="F46" s="475" t="s">
        <v>150</v>
      </c>
      <c r="G46" s="472" t="s">
        <v>151</v>
      </c>
      <c r="H46" s="667">
        <f>+'3条他会計'!G6</f>
        <v>16476593</v>
      </c>
      <c r="I46" s="667">
        <f>+'3条他会計'!H8</f>
        <v>0</v>
      </c>
      <c r="J46" s="638">
        <f>H46-I46</f>
        <v>16476593</v>
      </c>
      <c r="K46" s="44"/>
    </row>
    <row r="47" spans="1:11" ht="10.5" customHeight="1">
      <c r="A47" s="696"/>
      <c r="B47" s="168"/>
      <c r="C47" s="706"/>
      <c r="D47" s="671"/>
      <c r="E47" s="672"/>
      <c r="F47" s="476"/>
      <c r="G47" s="514"/>
      <c r="H47" s="668"/>
      <c r="I47" s="668"/>
      <c r="J47" s="662"/>
      <c r="K47" s="44"/>
    </row>
    <row r="48" spans="1:11" ht="10.5" customHeight="1">
      <c r="A48" s="696"/>
      <c r="B48" s="505" t="s">
        <v>24</v>
      </c>
      <c r="C48" s="505"/>
      <c r="D48" s="505"/>
      <c r="E48" s="504"/>
      <c r="F48" s="166"/>
      <c r="G48" s="68"/>
      <c r="H48" s="517">
        <f>H50+H58</f>
        <v>9203253</v>
      </c>
      <c r="I48" s="517">
        <f>I50+I58</f>
        <v>5368538</v>
      </c>
      <c r="J48" s="638">
        <f>J50+J58</f>
        <v>3834715</v>
      </c>
      <c r="K48" s="44"/>
    </row>
    <row r="49" spans="1:15" ht="10.5" customHeight="1">
      <c r="A49" s="696"/>
      <c r="B49" s="532"/>
      <c r="C49" s="532"/>
      <c r="D49" s="532"/>
      <c r="E49" s="533"/>
      <c r="F49" s="167"/>
      <c r="G49" s="66"/>
      <c r="H49" s="518"/>
      <c r="I49" s="518"/>
      <c r="J49" s="662"/>
      <c r="K49" s="44"/>
    </row>
    <row r="50" spans="1:15" ht="10.5" customHeight="1">
      <c r="A50" s="696"/>
      <c r="B50" s="168"/>
      <c r="C50" s="503" t="s">
        <v>3</v>
      </c>
      <c r="D50" s="669"/>
      <c r="E50" s="670"/>
      <c r="F50" s="166"/>
      <c r="G50" s="68"/>
      <c r="H50" s="517">
        <f>SUM(H52:H57)</f>
        <v>4980</v>
      </c>
      <c r="I50" s="517">
        <f>SUM(I52:I57)</f>
        <v>0</v>
      </c>
      <c r="J50" s="638">
        <f>SUM(J52:J57)</f>
        <v>4980</v>
      </c>
      <c r="K50" s="44"/>
    </row>
    <row r="51" spans="1:15" ht="10.5" customHeight="1">
      <c r="A51" s="696"/>
      <c r="B51" s="168"/>
      <c r="C51" s="706"/>
      <c r="D51" s="671"/>
      <c r="E51" s="672"/>
      <c r="F51" s="167"/>
      <c r="G51" s="66"/>
      <c r="H51" s="518"/>
      <c r="I51" s="518"/>
      <c r="J51" s="662"/>
      <c r="K51" s="44"/>
    </row>
    <row r="52" spans="1:15" ht="10.5" hidden="1" customHeight="1" outlineLevel="1">
      <c r="A52" s="696"/>
      <c r="B52" s="168"/>
      <c r="C52" s="165"/>
      <c r="D52" s="501" t="s">
        <v>28</v>
      </c>
      <c r="E52" s="699"/>
      <c r="F52" s="475" t="s">
        <v>152</v>
      </c>
      <c r="G52" s="472" t="s">
        <v>153</v>
      </c>
      <c r="H52" s="667">
        <f>'3条補助金'!G10</f>
        <v>0</v>
      </c>
      <c r="I52" s="667">
        <f>'3条補助金'!H10</f>
        <v>0</v>
      </c>
      <c r="J52" s="638">
        <f>H52-I52</f>
        <v>0</v>
      </c>
      <c r="K52" s="44"/>
    </row>
    <row r="53" spans="1:15" ht="10.5" hidden="1" customHeight="1" outlineLevel="1">
      <c r="A53" s="696"/>
      <c r="B53" s="168"/>
      <c r="C53" s="95"/>
      <c r="D53" s="704"/>
      <c r="E53" s="699"/>
      <c r="F53" s="476"/>
      <c r="G53" s="474"/>
      <c r="H53" s="682"/>
      <c r="I53" s="668"/>
      <c r="J53" s="662"/>
      <c r="K53" s="44"/>
    </row>
    <row r="54" spans="1:15" ht="10.5" hidden="1" customHeight="1" outlineLevel="1">
      <c r="A54" s="696"/>
      <c r="B54" s="168"/>
      <c r="C54" s="95"/>
      <c r="D54" s="501" t="s">
        <v>111</v>
      </c>
      <c r="E54" s="699"/>
      <c r="F54" s="489" t="s">
        <v>70</v>
      </c>
      <c r="G54" s="466" t="s">
        <v>223</v>
      </c>
      <c r="H54" s="667">
        <f>'3条補助金'!G16</f>
        <v>0</v>
      </c>
      <c r="I54" s="663">
        <f>'3条補助金'!H16</f>
        <v>0</v>
      </c>
      <c r="J54" s="638">
        <f>H54-I54</f>
        <v>0</v>
      </c>
      <c r="K54" s="44"/>
    </row>
    <row r="55" spans="1:15" ht="10.5" hidden="1" customHeight="1" outlineLevel="1">
      <c r="A55" s="696"/>
      <c r="B55" s="168"/>
      <c r="C55" s="95"/>
      <c r="D55" s="704"/>
      <c r="E55" s="699"/>
      <c r="F55" s="490"/>
      <c r="G55" s="521"/>
      <c r="H55" s="682"/>
      <c r="I55" s="664"/>
      <c r="J55" s="662"/>
      <c r="K55" s="44"/>
    </row>
    <row r="56" spans="1:15" ht="10.5" customHeight="1" collapsed="1">
      <c r="A56" s="696"/>
      <c r="B56" s="168"/>
      <c r="C56" s="95"/>
      <c r="D56" s="501" t="s">
        <v>25</v>
      </c>
      <c r="E56" s="699"/>
      <c r="F56" s="476" t="s">
        <v>154</v>
      </c>
      <c r="G56" s="516" t="s">
        <v>212</v>
      </c>
      <c r="H56" s="667">
        <f>'3条補助金'!G18</f>
        <v>4980</v>
      </c>
      <c r="I56" s="667">
        <f>'3条補助金'!H18</f>
        <v>0</v>
      </c>
      <c r="J56" s="638">
        <f>H56-I56</f>
        <v>4980</v>
      </c>
      <c r="K56" s="44"/>
    </row>
    <row r="57" spans="1:15" ht="10.5" customHeight="1">
      <c r="A57" s="696"/>
      <c r="B57" s="168"/>
      <c r="C57" s="96"/>
      <c r="D57" s="704"/>
      <c r="E57" s="699"/>
      <c r="F57" s="476"/>
      <c r="G57" s="474"/>
      <c r="H57" s="668"/>
      <c r="I57" s="682"/>
      <c r="J57" s="662"/>
      <c r="K57" s="44"/>
    </row>
    <row r="58" spans="1:15" ht="10.5" customHeight="1">
      <c r="A58" s="696"/>
      <c r="B58" s="168"/>
      <c r="C58" s="619" t="s">
        <v>324</v>
      </c>
      <c r="D58" s="718"/>
      <c r="E58" s="719"/>
      <c r="F58" s="623" t="s">
        <v>327</v>
      </c>
      <c r="G58" s="625" t="s">
        <v>326</v>
      </c>
      <c r="H58" s="667">
        <f>+'3条補助金'!G20</f>
        <v>9198273</v>
      </c>
      <c r="I58" s="667">
        <f>+'3条補助金'!H20</f>
        <v>5368538</v>
      </c>
      <c r="J58" s="715">
        <f>H58-I58</f>
        <v>3829735</v>
      </c>
      <c r="K58" s="44"/>
    </row>
    <row r="59" spans="1:15" ht="10.5" customHeight="1">
      <c r="A59" s="696"/>
      <c r="B59" s="168"/>
      <c r="C59" s="720"/>
      <c r="D59" s="721"/>
      <c r="E59" s="722"/>
      <c r="F59" s="624"/>
      <c r="G59" s="626"/>
      <c r="H59" s="668"/>
      <c r="I59" s="668"/>
      <c r="J59" s="716"/>
      <c r="K59" s="44"/>
    </row>
    <row r="60" spans="1:15" ht="10.5" customHeight="1">
      <c r="A60" s="696"/>
      <c r="B60" s="611" t="s">
        <v>113</v>
      </c>
      <c r="C60" s="612"/>
      <c r="D60" s="612"/>
      <c r="E60" s="613"/>
      <c r="F60" s="605"/>
      <c r="G60" s="466" t="s">
        <v>286</v>
      </c>
      <c r="H60" s="711">
        <f>+'3条その他'!G6+'[2]3条収入'!$U$69</f>
        <v>9701615928</v>
      </c>
      <c r="I60" s="667">
        <f>+'3条その他'!H6</f>
        <v>256789</v>
      </c>
      <c r="J60" s="638">
        <f>H60-I60</f>
        <v>9701359139</v>
      </c>
      <c r="K60" s="44"/>
    </row>
    <row r="61" spans="1:15" ht="10.5" customHeight="1" thickBot="1">
      <c r="A61" s="696"/>
      <c r="B61" s="614"/>
      <c r="C61" s="615"/>
      <c r="D61" s="615"/>
      <c r="E61" s="616"/>
      <c r="F61" s="606"/>
      <c r="G61" s="627"/>
      <c r="H61" s="712"/>
      <c r="I61" s="710"/>
      <c r="J61" s="666"/>
      <c r="K61" s="44"/>
    </row>
    <row r="62" spans="1:15" ht="10.5" customHeight="1">
      <c r="A62" s="708"/>
      <c r="B62" s="607" t="s">
        <v>26</v>
      </c>
      <c r="C62" s="603"/>
      <c r="D62" s="603"/>
      <c r="E62" s="604"/>
      <c r="F62" s="11"/>
      <c r="G62" s="18"/>
      <c r="H62" s="637">
        <f>H6+H22+H44+H48+H60</f>
        <v>23701924001</v>
      </c>
      <c r="I62" s="637">
        <f>I6+I22+I44+I48+I60</f>
        <v>2312892880</v>
      </c>
      <c r="J62" s="665">
        <f>J6+J22+J44+J48+J60</f>
        <v>21389031121</v>
      </c>
      <c r="K62" s="276">
        <f>+SUM('3条一般会計:3条災害補助'!J6)</f>
        <v>0</v>
      </c>
      <c r="L62" s="276">
        <f>+SUM('3条一般会計:3条災害補助'!K6)</f>
        <v>0</v>
      </c>
      <c r="M62" s="276">
        <f>+SUM('3条一般会計:3条災害補助'!L6)</f>
        <v>455392</v>
      </c>
      <c r="N62" s="276">
        <f>+SUM('3条一般会計:3条災害補助'!M6)</f>
        <v>130568</v>
      </c>
      <c r="O62" s="276">
        <f>+SUM('3条一般会計:3条災害補助'!N6)</f>
        <v>2312306920</v>
      </c>
    </row>
    <row r="63" spans="1:15" ht="10.5" customHeight="1" thickBot="1">
      <c r="A63" s="709"/>
      <c r="B63" s="608"/>
      <c r="C63" s="609"/>
      <c r="D63" s="609"/>
      <c r="E63" s="610"/>
      <c r="F63" s="4"/>
      <c r="G63" s="19"/>
      <c r="H63" s="681"/>
      <c r="I63" s="681"/>
      <c r="J63" s="666"/>
      <c r="K63" s="44"/>
    </row>
    <row r="64" spans="1:15" ht="10.5" customHeight="1">
      <c r="A64" s="695" t="s">
        <v>156</v>
      </c>
      <c r="B64" s="713" t="s">
        <v>4</v>
      </c>
      <c r="C64" s="603"/>
      <c r="D64" s="603"/>
      <c r="E64" s="604"/>
      <c r="F64" s="11"/>
      <c r="G64" s="18"/>
      <c r="H64" s="637">
        <f>H66+H104</f>
        <v>5717788000</v>
      </c>
      <c r="I64" s="637">
        <f>I66+I104</f>
        <v>5712285006</v>
      </c>
      <c r="J64" s="665">
        <f>J66+J104</f>
        <v>5502994</v>
      </c>
      <c r="K64" s="44"/>
    </row>
    <row r="65" spans="1:15" ht="10.5" customHeight="1">
      <c r="A65" s="696"/>
      <c r="B65" s="547"/>
      <c r="C65" s="532"/>
      <c r="D65" s="532"/>
      <c r="E65" s="533"/>
      <c r="F65" s="160"/>
      <c r="G65" s="16"/>
      <c r="H65" s="518"/>
      <c r="I65" s="518"/>
      <c r="J65" s="662"/>
      <c r="K65" s="44"/>
    </row>
    <row r="66" spans="1:15" ht="10.5" customHeight="1">
      <c r="A66" s="696"/>
      <c r="B66" s="92"/>
      <c r="C66" s="505" t="s">
        <v>314</v>
      </c>
      <c r="D66" s="669"/>
      <c r="E66" s="670"/>
      <c r="F66" s="156"/>
      <c r="G66" s="91"/>
      <c r="H66" s="680">
        <f>'4条補助（公）'!G6</f>
        <v>5683800000</v>
      </c>
      <c r="I66" s="680">
        <f>'4条補助（公）'!H6</f>
        <v>5678297006</v>
      </c>
      <c r="J66" s="677">
        <f>'4条補助（公）'!I6</f>
        <v>5502994</v>
      </c>
      <c r="K66" s="44"/>
    </row>
    <row r="67" spans="1:15" ht="10.5" customHeight="1">
      <c r="A67" s="696"/>
      <c r="B67" s="93"/>
      <c r="C67" s="671"/>
      <c r="D67" s="671"/>
      <c r="E67" s="672"/>
      <c r="F67" s="160"/>
      <c r="G67" s="16"/>
      <c r="H67" s="518"/>
      <c r="I67" s="518"/>
      <c r="J67" s="662"/>
      <c r="K67" s="44"/>
    </row>
    <row r="68" spans="1:15" ht="10.5" customHeight="1">
      <c r="A68" s="696"/>
      <c r="B68" s="93"/>
      <c r="C68" s="168"/>
      <c r="D68" s="654" t="s">
        <v>40</v>
      </c>
      <c r="E68" s="552" t="s">
        <v>5</v>
      </c>
      <c r="F68" s="497" t="str">
        <f>'4条補助（公）'!D8</f>
        <v>4,762,313.150千円×５／１０</v>
      </c>
      <c r="G68" s="660" t="str">
        <f>'4条補助（公）'!E8</f>
        <v>5年度分
公共下水道整備事業
(補助事業現年分)の
課税支出割合</v>
      </c>
      <c r="H68" s="640">
        <f>'4条補助（公）'!G8</f>
        <v>2411526000</v>
      </c>
      <c r="I68" s="679">
        <f>'4条補助（公）'!H19</f>
        <v>2527700000</v>
      </c>
      <c r="J68" s="675">
        <f>'4条補助（公）'!I19</f>
        <v>0</v>
      </c>
      <c r="K68" s="45"/>
      <c r="O68" s="286"/>
    </row>
    <row r="69" spans="1:15" ht="10.5" customHeight="1">
      <c r="A69" s="696"/>
      <c r="B69" s="93"/>
      <c r="C69" s="168"/>
      <c r="D69" s="511"/>
      <c r="E69" s="552"/>
      <c r="F69" s="497"/>
      <c r="G69" s="661"/>
      <c r="H69" s="641"/>
      <c r="I69" s="651"/>
      <c r="J69" s="678"/>
      <c r="K69" s="45"/>
    </row>
    <row r="70" spans="1:15" ht="10.5" customHeight="1">
      <c r="A70" s="696"/>
      <c r="B70" s="93"/>
      <c r="C70" s="168"/>
      <c r="D70" s="511"/>
      <c r="E70" s="487" t="s">
        <v>261</v>
      </c>
      <c r="F70" s="497" t="str">
        <f>'4条補助（公）'!D10</f>
        <v>60,375.850千円×５／１０</v>
      </c>
      <c r="G70" s="661"/>
      <c r="H70" s="641"/>
      <c r="I70" s="651"/>
      <c r="J70" s="678"/>
      <c r="K70" s="45"/>
    </row>
    <row r="71" spans="1:15" ht="10.5" customHeight="1">
      <c r="A71" s="696"/>
      <c r="B71" s="93"/>
      <c r="C71" s="168"/>
      <c r="D71" s="511"/>
      <c r="E71" s="496"/>
      <c r="F71" s="497"/>
      <c r="G71" s="661"/>
      <c r="H71" s="642"/>
      <c r="I71" s="651"/>
      <c r="J71" s="678"/>
      <c r="K71" s="45"/>
    </row>
    <row r="72" spans="1:15" ht="10.5" hidden="1" customHeight="1" outlineLevel="1">
      <c r="A72" s="696"/>
      <c r="B72" s="93"/>
      <c r="C72" s="168"/>
      <c r="D72" s="511"/>
      <c r="E72" s="552" t="s">
        <v>6</v>
      </c>
      <c r="F72" s="497">
        <f>'4条補助（公）'!D12</f>
        <v>0</v>
      </c>
      <c r="G72" s="661"/>
      <c r="H72" s="679">
        <f>'4条補助（公）'!G12</f>
        <v>0</v>
      </c>
      <c r="I72" s="651"/>
      <c r="J72" s="678"/>
      <c r="K72" s="45"/>
    </row>
    <row r="73" spans="1:15" ht="10.5" hidden="1" customHeight="1" outlineLevel="1">
      <c r="A73" s="696"/>
      <c r="B73" s="93"/>
      <c r="C73" s="168"/>
      <c r="D73" s="511"/>
      <c r="E73" s="552"/>
      <c r="F73" s="497"/>
      <c r="G73" s="661"/>
      <c r="H73" s="652"/>
      <c r="I73" s="651"/>
      <c r="J73" s="678"/>
      <c r="K73" s="45"/>
    </row>
    <row r="74" spans="1:15" ht="10.5" hidden="1" customHeight="1" outlineLevel="1">
      <c r="A74" s="696"/>
      <c r="B74" s="93"/>
      <c r="C74" s="168"/>
      <c r="D74" s="511"/>
      <c r="E74" s="552" t="s">
        <v>7</v>
      </c>
      <c r="F74" s="497">
        <f>'4条補助（公）'!D14</f>
        <v>0</v>
      </c>
      <c r="G74" s="661"/>
      <c r="H74" s="679">
        <f>'4条補助（公）'!G14</f>
        <v>0</v>
      </c>
      <c r="I74" s="651"/>
      <c r="J74" s="678"/>
      <c r="K74" s="45"/>
    </row>
    <row r="75" spans="1:15" ht="10.5" hidden="1" customHeight="1" outlineLevel="1">
      <c r="A75" s="696"/>
      <c r="B75" s="93"/>
      <c r="C75" s="168"/>
      <c r="D75" s="511"/>
      <c r="E75" s="552"/>
      <c r="F75" s="497"/>
      <c r="G75" s="661"/>
      <c r="H75" s="652"/>
      <c r="I75" s="651"/>
      <c r="J75" s="678"/>
      <c r="K75" s="45"/>
    </row>
    <row r="76" spans="1:15" ht="10.5" hidden="1" customHeight="1" outlineLevel="1">
      <c r="A76" s="696"/>
      <c r="B76" s="93"/>
      <c r="C76" s="168"/>
      <c r="D76" s="511"/>
      <c r="E76" s="552" t="s">
        <v>288</v>
      </c>
      <c r="F76" s="497">
        <f>'4条補助（公）'!D16</f>
        <v>0</v>
      </c>
      <c r="G76" s="661"/>
      <c r="H76" s="679">
        <f>'4条補助（公）'!G16</f>
        <v>0</v>
      </c>
      <c r="I76" s="651"/>
      <c r="J76" s="678"/>
      <c r="K76" s="45"/>
    </row>
    <row r="77" spans="1:15" ht="10.5" hidden="1" customHeight="1" outlineLevel="1">
      <c r="A77" s="696"/>
      <c r="B77" s="93"/>
      <c r="C77" s="168"/>
      <c r="D77" s="511"/>
      <c r="E77" s="552"/>
      <c r="F77" s="497"/>
      <c r="G77" s="661"/>
      <c r="H77" s="652"/>
      <c r="I77" s="651"/>
      <c r="J77" s="678"/>
      <c r="K77" s="45"/>
    </row>
    <row r="78" spans="1:15" ht="10.5" hidden="1" customHeight="1" outlineLevel="1">
      <c r="A78" s="696"/>
      <c r="B78" s="93"/>
      <c r="C78" s="168"/>
      <c r="D78" s="511"/>
      <c r="E78" s="552" t="s">
        <v>29</v>
      </c>
      <c r="F78" s="497">
        <f>'4条補助（公）'!D18</f>
        <v>0</v>
      </c>
      <c r="G78" s="661"/>
      <c r="H78" s="679">
        <f>'4条補助（公）'!G18</f>
        <v>0</v>
      </c>
      <c r="I78" s="651"/>
      <c r="J78" s="678"/>
      <c r="K78" s="45"/>
    </row>
    <row r="79" spans="1:15" ht="10.5" hidden="1" customHeight="1" outlineLevel="1">
      <c r="A79" s="696"/>
      <c r="B79" s="93"/>
      <c r="C79" s="168"/>
      <c r="D79" s="511"/>
      <c r="E79" s="552"/>
      <c r="F79" s="497"/>
      <c r="G79" s="661"/>
      <c r="H79" s="652"/>
      <c r="I79" s="651"/>
      <c r="J79" s="678"/>
      <c r="K79" s="45"/>
    </row>
    <row r="80" spans="1:15" ht="10.5" customHeight="1" collapsed="1">
      <c r="A80" s="696"/>
      <c r="B80" s="93"/>
      <c r="C80" s="168"/>
      <c r="D80" s="511"/>
      <c r="E80" s="552" t="s">
        <v>8</v>
      </c>
      <c r="F80" s="497" t="str">
        <f>'4条補助（公）'!D20</f>
        <v>191,660千円×５．５／１０</v>
      </c>
      <c r="G80" s="661"/>
      <c r="H80" s="679">
        <f>'4条補助（公）'!G20</f>
        <v>105413000</v>
      </c>
      <c r="I80" s="651"/>
      <c r="J80" s="678"/>
      <c r="K80" s="45"/>
    </row>
    <row r="81" spans="1:11" ht="10.5" customHeight="1">
      <c r="A81" s="696"/>
      <c r="B81" s="93"/>
      <c r="C81" s="168"/>
      <c r="D81" s="511"/>
      <c r="E81" s="552"/>
      <c r="F81" s="497"/>
      <c r="G81" s="661"/>
      <c r="H81" s="652"/>
      <c r="I81" s="651"/>
      <c r="J81" s="678"/>
      <c r="K81" s="45"/>
    </row>
    <row r="82" spans="1:11" ht="10.5" customHeight="1">
      <c r="A82" s="696"/>
      <c r="B82" s="93"/>
      <c r="C82" s="168"/>
      <c r="D82" s="511"/>
      <c r="E82" s="552" t="s">
        <v>9</v>
      </c>
      <c r="F82" s="497" t="str">
        <f>'4条補助（公）'!D22</f>
        <v>21,525千円×５／１０</v>
      </c>
      <c r="G82" s="661"/>
      <c r="H82" s="679">
        <f>'4条補助（公）'!G22</f>
        <v>10761000</v>
      </c>
      <c r="I82" s="651"/>
      <c r="J82" s="678"/>
      <c r="K82" s="45"/>
    </row>
    <row r="83" spans="1:11" ht="10.5" customHeight="1">
      <c r="A83" s="696"/>
      <c r="B83" s="93"/>
      <c r="C83" s="168"/>
      <c r="D83" s="511"/>
      <c r="E83" s="552"/>
      <c r="F83" s="497"/>
      <c r="G83" s="661"/>
      <c r="H83" s="652"/>
      <c r="I83" s="651"/>
      <c r="J83" s="678"/>
      <c r="K83" s="45"/>
    </row>
    <row r="84" spans="1:11" ht="10.5" hidden="1" customHeight="1" outlineLevel="1">
      <c r="A84" s="696"/>
      <c r="B84" s="93"/>
      <c r="C84" s="168"/>
      <c r="D84" s="511"/>
      <c r="E84" s="552" t="s">
        <v>10</v>
      </c>
      <c r="F84" s="497">
        <f>'4条補助（公）'!D24</f>
        <v>0</v>
      </c>
      <c r="G84" s="661"/>
      <c r="H84" s="679">
        <f>'4条補助（公）'!G24</f>
        <v>0</v>
      </c>
      <c r="I84" s="651"/>
      <c r="J84" s="678"/>
      <c r="K84" s="45"/>
    </row>
    <row r="85" spans="1:11" ht="10.5" hidden="1" customHeight="1" outlineLevel="1">
      <c r="A85" s="696"/>
      <c r="B85" s="93"/>
      <c r="C85" s="168"/>
      <c r="D85" s="511"/>
      <c r="E85" s="552"/>
      <c r="F85" s="497"/>
      <c r="G85" s="661"/>
      <c r="H85" s="652"/>
      <c r="I85" s="651"/>
      <c r="J85" s="678"/>
      <c r="K85" s="45"/>
    </row>
    <row r="86" spans="1:11" ht="10.5" hidden="1" customHeight="1" outlineLevel="1">
      <c r="A86" s="696"/>
      <c r="B86" s="93"/>
      <c r="C86" s="168"/>
      <c r="D86" s="511"/>
      <c r="E86" s="552" t="s">
        <v>11</v>
      </c>
      <c r="F86" s="497">
        <f>'4条補助（公）'!D26</f>
        <v>0</v>
      </c>
      <c r="G86" s="661"/>
      <c r="H86" s="679">
        <f>'4条補助（公）'!G26</f>
        <v>0</v>
      </c>
      <c r="I86" s="651"/>
      <c r="J86" s="678"/>
      <c r="K86" s="45"/>
    </row>
    <row r="87" spans="1:11" ht="10.5" hidden="1" customHeight="1" outlineLevel="1">
      <c r="A87" s="696"/>
      <c r="B87" s="93"/>
      <c r="C87" s="168"/>
      <c r="D87" s="511"/>
      <c r="E87" s="552"/>
      <c r="F87" s="497"/>
      <c r="G87" s="661"/>
      <c r="H87" s="652"/>
      <c r="I87" s="651"/>
      <c r="J87" s="678"/>
      <c r="K87" s="45"/>
    </row>
    <row r="88" spans="1:11" ht="10.5" hidden="1" customHeight="1" outlineLevel="1">
      <c r="A88" s="696"/>
      <c r="B88" s="93"/>
      <c r="C88" s="168"/>
      <c r="D88" s="511"/>
      <c r="E88" s="552" t="s">
        <v>12</v>
      </c>
      <c r="F88" s="497">
        <f>'4条補助（公）'!D28</f>
        <v>0</v>
      </c>
      <c r="G88" s="661"/>
      <c r="H88" s="679">
        <f>'4条補助（公）'!G28</f>
        <v>0</v>
      </c>
      <c r="I88" s="651"/>
      <c r="J88" s="678"/>
      <c r="K88" s="45"/>
    </row>
    <row r="89" spans="1:11" ht="10.5" hidden="1" customHeight="1" outlineLevel="1">
      <c r="A89" s="696"/>
      <c r="B89" s="93"/>
      <c r="C89" s="168"/>
      <c r="D89" s="511"/>
      <c r="E89" s="552"/>
      <c r="F89" s="497"/>
      <c r="G89" s="661"/>
      <c r="H89" s="652"/>
      <c r="I89" s="651"/>
      <c r="J89" s="678"/>
      <c r="K89" s="45"/>
    </row>
    <row r="90" spans="1:11" ht="10.5" hidden="1" customHeight="1" outlineLevel="1" collapsed="1">
      <c r="A90" s="696"/>
      <c r="B90" s="93"/>
      <c r="C90" s="168"/>
      <c r="D90" s="511"/>
      <c r="E90" s="552" t="s">
        <v>13</v>
      </c>
      <c r="F90" s="155"/>
      <c r="G90" s="661"/>
      <c r="H90" s="679">
        <f>'4条補助（公）'!G30</f>
        <v>0</v>
      </c>
      <c r="I90" s="651"/>
      <c r="J90" s="678"/>
      <c r="K90" s="45"/>
    </row>
    <row r="91" spans="1:11" ht="10.5" hidden="1" customHeight="1" outlineLevel="1">
      <c r="A91" s="696"/>
      <c r="B91" s="93"/>
      <c r="C91" s="168"/>
      <c r="D91" s="511"/>
      <c r="E91" s="487"/>
      <c r="F91" s="156"/>
      <c r="G91" s="661"/>
      <c r="H91" s="651"/>
      <c r="I91" s="651"/>
      <c r="J91" s="678"/>
      <c r="K91" s="45"/>
    </row>
    <row r="92" spans="1:11" ht="10.5" customHeight="1" collapsed="1">
      <c r="A92" s="696"/>
      <c r="B92" s="93"/>
      <c r="C92" s="168"/>
      <c r="D92" s="511"/>
      <c r="E92" s="552" t="s">
        <v>269</v>
      </c>
      <c r="F92" s="497" t="str">
        <f>'4条補助（公）'!D32</f>
        <v>4,286,012.1千円×５／１０</v>
      </c>
      <c r="G92" s="558" t="str">
        <f>'4条補助（公）'!E32</f>
        <v>4年度分
公共下水道整備事業
(補助事業繰越分)の
課税支出割合</v>
      </c>
      <c r="H92" s="640">
        <f>'4条補助（公）'!G32</f>
        <v>2201500000</v>
      </c>
      <c r="I92" s="679">
        <f>'4条補助（公）'!H37</f>
        <v>3150597006</v>
      </c>
      <c r="J92" s="675">
        <f>'4条補助（公）'!I37</f>
        <v>5502994</v>
      </c>
    </row>
    <row r="93" spans="1:11" ht="10.5" customHeight="1">
      <c r="A93" s="696"/>
      <c r="B93" s="93"/>
      <c r="C93" s="168"/>
      <c r="D93" s="511"/>
      <c r="E93" s="552"/>
      <c r="F93" s="497"/>
      <c r="G93" s="559"/>
      <c r="H93" s="641"/>
      <c r="I93" s="651"/>
      <c r="J93" s="678"/>
    </row>
    <row r="94" spans="1:11" ht="10.5" customHeight="1">
      <c r="A94" s="696"/>
      <c r="B94" s="93"/>
      <c r="C94" s="168"/>
      <c r="D94" s="511"/>
      <c r="E94" s="463" t="s">
        <v>583</v>
      </c>
      <c r="F94" s="497" t="str">
        <f>'4条補助（公）'!D34</f>
        <v>13,187.9千円×５／１０</v>
      </c>
      <c r="G94" s="559"/>
      <c r="H94" s="641"/>
      <c r="I94" s="651"/>
      <c r="J94" s="678"/>
    </row>
    <row r="95" spans="1:11" ht="10.5" customHeight="1">
      <c r="A95" s="696"/>
      <c r="B95" s="93"/>
      <c r="C95" s="168"/>
      <c r="D95" s="511"/>
      <c r="E95" s="464"/>
      <c r="F95" s="497"/>
      <c r="G95" s="559"/>
      <c r="H95" s="642"/>
      <c r="I95" s="651"/>
      <c r="J95" s="678"/>
    </row>
    <row r="96" spans="1:11" ht="10.5" hidden="1" customHeight="1" outlineLevel="1">
      <c r="A96" s="696"/>
      <c r="B96" s="93"/>
      <c r="C96" s="168"/>
      <c r="D96" s="511"/>
      <c r="E96" s="487" t="s">
        <v>270</v>
      </c>
      <c r="F96" s="497">
        <f>'4条補助（公）'!D36</f>
        <v>0</v>
      </c>
      <c r="G96" s="559"/>
      <c r="H96" s="649">
        <f>'4条補助（公）'!G36</f>
        <v>0</v>
      </c>
      <c r="I96" s="651"/>
      <c r="J96" s="678"/>
    </row>
    <row r="97" spans="1:10" ht="10.5" hidden="1" customHeight="1" outlineLevel="1">
      <c r="A97" s="696"/>
      <c r="B97" s="93"/>
      <c r="C97" s="168"/>
      <c r="D97" s="511"/>
      <c r="E97" s="496"/>
      <c r="F97" s="497"/>
      <c r="G97" s="559"/>
      <c r="H97" s="649"/>
      <c r="I97" s="651"/>
      <c r="J97" s="678"/>
    </row>
    <row r="98" spans="1:10" ht="10.5" customHeight="1" collapsed="1">
      <c r="A98" s="696"/>
      <c r="B98" s="93"/>
      <c r="C98" s="168"/>
      <c r="D98" s="511"/>
      <c r="E98" s="494" t="s">
        <v>159</v>
      </c>
      <c r="F98" s="497" t="str">
        <f>'4条補助（公）'!D38</f>
        <v>1,292,000千円×５．５／１０</v>
      </c>
      <c r="G98" s="559"/>
      <c r="H98" s="649">
        <f>'4条補助（公）'!G38</f>
        <v>710600000</v>
      </c>
      <c r="I98" s="651"/>
      <c r="J98" s="678"/>
    </row>
    <row r="99" spans="1:10" ht="10.5" customHeight="1">
      <c r="A99" s="696"/>
      <c r="B99" s="93"/>
      <c r="C99" s="168"/>
      <c r="D99" s="511"/>
      <c r="E99" s="495"/>
      <c r="F99" s="497"/>
      <c r="G99" s="559"/>
      <c r="H99" s="649"/>
      <c r="I99" s="651"/>
      <c r="J99" s="678"/>
    </row>
    <row r="100" spans="1:10" ht="10.5" customHeight="1">
      <c r="A100" s="696"/>
      <c r="B100" s="93"/>
      <c r="C100" s="168"/>
      <c r="D100" s="511"/>
      <c r="E100" s="494" t="s">
        <v>160</v>
      </c>
      <c r="F100" s="497" t="str">
        <f>'4条補助（公）'!D40</f>
        <v>488,000千円×５／１０</v>
      </c>
      <c r="G100" s="559"/>
      <c r="H100" s="649">
        <f>'4条補助（公）'!G40</f>
        <v>244000000</v>
      </c>
      <c r="I100" s="651"/>
      <c r="J100" s="678"/>
    </row>
    <row r="101" spans="1:10" ht="10.5" customHeight="1">
      <c r="A101" s="696"/>
      <c r="B101" s="93"/>
      <c r="C101" s="168"/>
      <c r="D101" s="511"/>
      <c r="E101" s="495"/>
      <c r="F101" s="497"/>
      <c r="G101" s="559"/>
      <c r="H101" s="649"/>
      <c r="I101" s="651"/>
      <c r="J101" s="678"/>
    </row>
    <row r="102" spans="1:10" ht="10.5" hidden="1" customHeight="1" outlineLevel="1">
      <c r="A102" s="696"/>
      <c r="B102" s="93"/>
      <c r="C102" s="168"/>
      <c r="D102" s="511"/>
      <c r="E102" s="494" t="s">
        <v>120</v>
      </c>
      <c r="F102" s="497">
        <f>'4条補助（公）'!D42</f>
        <v>0</v>
      </c>
      <c r="G102" s="559"/>
      <c r="H102" s="680">
        <f>'4条補助（公）'!G42</f>
        <v>0</v>
      </c>
      <c r="I102" s="651"/>
      <c r="J102" s="678"/>
    </row>
    <row r="103" spans="1:10" ht="10.5" hidden="1" customHeight="1" outlineLevel="1">
      <c r="A103" s="696"/>
      <c r="B103" s="93"/>
      <c r="C103" s="168"/>
      <c r="D103" s="511"/>
      <c r="E103" s="463"/>
      <c r="F103" s="497"/>
      <c r="G103" s="560"/>
      <c r="H103" s="518"/>
      <c r="I103" s="652"/>
      <c r="J103" s="676"/>
    </row>
    <row r="104" spans="1:10" ht="10.5" customHeight="1" collapsed="1">
      <c r="A104" s="696"/>
      <c r="B104" s="93"/>
      <c r="C104" s="503" t="s">
        <v>305</v>
      </c>
      <c r="D104" s="655"/>
      <c r="E104" s="656"/>
      <c r="F104" s="155"/>
      <c r="G104" s="97"/>
      <c r="H104" s="517">
        <f>SUM(H106:H119)</f>
        <v>33988000</v>
      </c>
      <c r="I104" s="517">
        <f>SUM(I106:I119)</f>
        <v>33988000</v>
      </c>
      <c r="J104" s="638">
        <f>SUM(J106:J119)</f>
        <v>0</v>
      </c>
    </row>
    <row r="105" spans="1:10" ht="10.5" customHeight="1">
      <c r="A105" s="696"/>
      <c r="B105" s="274"/>
      <c r="C105" s="705"/>
      <c r="D105" s="657"/>
      <c r="E105" s="658"/>
      <c r="F105" s="160"/>
      <c r="G105" s="164"/>
      <c r="H105" s="518"/>
      <c r="I105" s="518"/>
      <c r="J105" s="662"/>
    </row>
    <row r="106" spans="1:10" ht="23.25" customHeight="1">
      <c r="A106" s="696"/>
      <c r="B106" s="93"/>
      <c r="C106" s="165"/>
      <c r="D106" s="653" t="s">
        <v>301</v>
      </c>
      <c r="E106" s="502" t="s">
        <v>321</v>
      </c>
      <c r="F106" s="701" t="str">
        <f>'4条補助（特）'!D8</f>
        <v>25,200千円×５／１０</v>
      </c>
      <c r="G106" s="558" t="str">
        <f>+'4条補助（特）'!E8</f>
        <v>5年度分
特定環境保全公共下水道整備事業
(補助事業現年分)の
課税支出割合</v>
      </c>
      <c r="H106" s="679">
        <f>'4条補助（特）'!G8</f>
        <v>12600000</v>
      </c>
      <c r="I106" s="649">
        <f>'4条補助（特）'!H19</f>
        <v>12600000</v>
      </c>
      <c r="J106" s="650">
        <f>'4条補助（特）'!I19</f>
        <v>0</v>
      </c>
    </row>
    <row r="107" spans="1:10" ht="23.25" customHeight="1">
      <c r="A107" s="696"/>
      <c r="B107" s="93"/>
      <c r="C107" s="95"/>
      <c r="D107" s="653"/>
      <c r="E107" s="502"/>
      <c r="F107" s="702"/>
      <c r="G107" s="690"/>
      <c r="H107" s="651"/>
      <c r="I107" s="714"/>
      <c r="J107" s="683"/>
    </row>
    <row r="108" spans="1:10" ht="23.25" customHeight="1">
      <c r="A108" s="696"/>
      <c r="B108" s="93"/>
      <c r="C108" s="95"/>
      <c r="D108" s="698"/>
      <c r="E108" s="457" t="s">
        <v>269</v>
      </c>
      <c r="F108" s="459" t="str">
        <f>'4条補助（特）'!D32</f>
        <v>5,000千円×５／１０</v>
      </c>
      <c r="G108" s="565" t="str">
        <f>+'4条補助（特）'!E32</f>
        <v>4年度分
特定環境保全公共下水道整備事業
(補助事業繰越分)の
課税支出割合</v>
      </c>
      <c r="H108" s="455">
        <f>'4条補助（特）'!G32</f>
        <v>2500000</v>
      </c>
      <c r="I108" s="649">
        <f>'4条補助（特）'!H37</f>
        <v>17900000</v>
      </c>
      <c r="J108" s="650">
        <f>'4条補助（特）'!I37</f>
        <v>0</v>
      </c>
    </row>
    <row r="109" spans="1:10" ht="23.25" customHeight="1">
      <c r="A109" s="696"/>
      <c r="B109" s="93"/>
      <c r="C109" s="95"/>
      <c r="D109" s="698"/>
      <c r="E109" s="458" t="s">
        <v>581</v>
      </c>
      <c r="F109" s="456" t="str">
        <f>'4条補助（特）'!D38</f>
        <v>28,000千円×５．５／１０</v>
      </c>
      <c r="G109" s="691"/>
      <c r="H109" s="454">
        <f>'4条補助（特）'!G38</f>
        <v>15400000</v>
      </c>
      <c r="I109" s="649"/>
      <c r="J109" s="650"/>
    </row>
    <row r="110" spans="1:10" ht="12" hidden="1" customHeight="1" outlineLevel="1">
      <c r="A110" s="696"/>
      <c r="B110" s="93"/>
      <c r="C110" s="95"/>
      <c r="D110" s="654" t="s">
        <v>302</v>
      </c>
      <c r="E110" s="487" t="s">
        <v>261</v>
      </c>
      <c r="F110" s="498">
        <f>'4条補助（農）'!D8</f>
        <v>0</v>
      </c>
      <c r="G110" s="558" t="str">
        <f>+'4条補助（農）'!E8</f>
        <v>5年度分
農業集落排水事業
(補助事業現年分)の
課税支出割合</v>
      </c>
      <c r="H110" s="640">
        <f>'4条補助（農）'!G8</f>
        <v>0</v>
      </c>
      <c r="I110" s="649">
        <f>'4条補助（農）'!H19</f>
        <v>0</v>
      </c>
      <c r="J110" s="650">
        <f>'4条補助（農）'!I19</f>
        <v>0</v>
      </c>
    </row>
    <row r="111" spans="1:10" ht="12" hidden="1" customHeight="1" outlineLevel="1">
      <c r="A111" s="696"/>
      <c r="B111" s="93"/>
      <c r="C111" s="95"/>
      <c r="D111" s="511"/>
      <c r="E111" s="488"/>
      <c r="F111" s="499"/>
      <c r="G111" s="688"/>
      <c r="H111" s="641"/>
      <c r="I111" s="649"/>
      <c r="J111" s="650"/>
    </row>
    <row r="112" spans="1:10" ht="12" hidden="1" customHeight="1" outlineLevel="1">
      <c r="A112" s="696"/>
      <c r="B112" s="93"/>
      <c r="C112" s="95"/>
      <c r="D112" s="511"/>
      <c r="E112" s="488"/>
      <c r="F112" s="499"/>
      <c r="G112" s="688"/>
      <c r="H112" s="641"/>
      <c r="I112" s="649"/>
      <c r="J112" s="650"/>
    </row>
    <row r="113" spans="1:10" ht="12" hidden="1" customHeight="1" outlineLevel="1">
      <c r="A113" s="696"/>
      <c r="B113" s="93"/>
      <c r="C113" s="95"/>
      <c r="D113" s="511"/>
      <c r="E113" s="496"/>
      <c r="F113" s="500"/>
      <c r="G113" s="689"/>
      <c r="H113" s="642"/>
      <c r="I113" s="649"/>
      <c r="J113" s="650"/>
    </row>
    <row r="114" spans="1:10" ht="12" hidden="1" customHeight="1" outlineLevel="1">
      <c r="A114" s="696"/>
      <c r="B114" s="93"/>
      <c r="C114" s="95"/>
      <c r="D114" s="511"/>
      <c r="E114" s="548" t="s">
        <v>320</v>
      </c>
      <c r="F114" s="491" t="str">
        <f>'4条補助（農）'!D32</f>
        <v>75,000千円×５／１０</v>
      </c>
      <c r="G114" s="643" t="str">
        <f>+'4条補助（農）'!E32</f>
        <v>4年度分
農業集落排水事業
(補助事業繰越分)の
課税支出割合</v>
      </c>
      <c r="H114" s="640">
        <f>'4条補助（農）'!G32</f>
        <v>0</v>
      </c>
      <c r="I114" s="649">
        <f>'4条補助（農）'!H37</f>
        <v>0</v>
      </c>
      <c r="J114" s="650">
        <f>'4条補助（農）'!I37</f>
        <v>0</v>
      </c>
    </row>
    <row r="115" spans="1:10" ht="12" hidden="1" customHeight="1" outlineLevel="1">
      <c r="A115" s="696"/>
      <c r="B115" s="93"/>
      <c r="C115" s="95"/>
      <c r="D115" s="511"/>
      <c r="E115" s="549"/>
      <c r="F115" s="492"/>
      <c r="G115" s="644"/>
      <c r="H115" s="641"/>
      <c r="I115" s="649"/>
      <c r="J115" s="650"/>
    </row>
    <row r="116" spans="1:10" ht="12" hidden="1" customHeight="1" outlineLevel="1">
      <c r="A116" s="696"/>
      <c r="B116" s="93"/>
      <c r="C116" s="95"/>
      <c r="D116" s="511"/>
      <c r="E116" s="549"/>
      <c r="F116" s="492"/>
      <c r="G116" s="644"/>
      <c r="H116" s="641"/>
      <c r="I116" s="649"/>
      <c r="J116" s="650"/>
    </row>
    <row r="117" spans="1:10" ht="12" hidden="1" customHeight="1" outlineLevel="1">
      <c r="A117" s="696"/>
      <c r="B117" s="93"/>
      <c r="C117" s="95"/>
      <c r="D117" s="512"/>
      <c r="E117" s="550"/>
      <c r="F117" s="493"/>
      <c r="G117" s="645"/>
      <c r="H117" s="642"/>
      <c r="I117" s="649"/>
      <c r="J117" s="650"/>
    </row>
    <row r="118" spans="1:10" ht="23.25" customHeight="1" collapsed="1">
      <c r="A118" s="696"/>
      <c r="B118" s="93"/>
      <c r="C118" s="95"/>
      <c r="D118" s="653" t="s">
        <v>303</v>
      </c>
      <c r="E118" s="502" t="s">
        <v>297</v>
      </c>
      <c r="F118" s="498" t="str">
        <f>'4条補助（浄）'!D8</f>
        <v>12,726.2千円×１／３</v>
      </c>
      <c r="G118" s="688" t="str">
        <f>+'4条補助（浄）'!E8</f>
        <v>5年度分
市営浄化槽事業
(補助事業現年分)の
課税支出割合</v>
      </c>
      <c r="H118" s="651">
        <f>'4条補助（浄）'!G8</f>
        <v>3488000</v>
      </c>
      <c r="I118" s="649">
        <f>'4条補助（浄）'!H19</f>
        <v>3488000</v>
      </c>
      <c r="J118" s="650">
        <f>'4条補助（浄）'!I6</f>
        <v>0</v>
      </c>
    </row>
    <row r="119" spans="1:10" ht="21.75" customHeight="1">
      <c r="A119" s="696"/>
      <c r="B119" s="94"/>
      <c r="C119" s="96"/>
      <c r="D119" s="653"/>
      <c r="E119" s="504"/>
      <c r="F119" s="499"/>
      <c r="G119" s="689"/>
      <c r="H119" s="652"/>
      <c r="I119" s="649"/>
      <c r="J119" s="650"/>
    </row>
    <row r="120" spans="1:10" ht="10.5" hidden="1" customHeight="1" outlineLevel="1">
      <c r="A120" s="696"/>
      <c r="B120" s="505" t="s">
        <v>311</v>
      </c>
      <c r="C120" s="505"/>
      <c r="D120" s="655"/>
      <c r="E120" s="656"/>
      <c r="F120" s="155"/>
      <c r="G120" s="90"/>
      <c r="H120" s="517">
        <f>SUM(H122:H137)</f>
        <v>0</v>
      </c>
      <c r="I120" s="517">
        <f t="shared" ref="I120:J120" si="0">SUM(I122:I137)</f>
        <v>0</v>
      </c>
      <c r="J120" s="638">
        <f t="shared" si="0"/>
        <v>0</v>
      </c>
    </row>
    <row r="121" spans="1:10" ht="10.5" hidden="1" customHeight="1" outlineLevel="1">
      <c r="A121" s="696"/>
      <c r="B121" s="657"/>
      <c r="C121" s="657"/>
      <c r="D121" s="657"/>
      <c r="E121" s="658"/>
      <c r="F121" s="160"/>
      <c r="G121" s="17"/>
      <c r="H121" s="648"/>
      <c r="I121" s="648"/>
      <c r="J121" s="639"/>
    </row>
    <row r="122" spans="1:10" ht="16.5" hidden="1" customHeight="1" outlineLevel="1">
      <c r="A122" s="696"/>
      <c r="B122" s="168"/>
      <c r="C122" s="168"/>
      <c r="D122" s="460" t="s">
        <v>482</v>
      </c>
      <c r="E122" s="487" t="str">
        <f>'4条その他'!C$10</f>
        <v>公共土木施設災害
復旧事業費国庫負担金</v>
      </c>
      <c r="F122" s="646" t="str">
        <f>'4条その他'!D$10</f>
        <v>対象事業費×２／３</v>
      </c>
      <c r="G122" s="487" t="str">
        <f>'4条その他'!E$10</f>
        <v>4年度分
公共土木施設災害復旧事業費(補助事業現年分)の課税支出割合</v>
      </c>
      <c r="H122" s="577">
        <f>'4条その他'!G$10</f>
        <v>0</v>
      </c>
      <c r="I122" s="577">
        <f>'4条その他'!H$12</f>
        <v>0</v>
      </c>
      <c r="J122" s="628">
        <f>'4条その他'!I$12</f>
        <v>0</v>
      </c>
    </row>
    <row r="123" spans="1:10" ht="16.5" hidden="1" customHeight="1" outlineLevel="1">
      <c r="A123" s="696"/>
      <c r="B123" s="168"/>
      <c r="C123" s="168"/>
      <c r="D123" s="461"/>
      <c r="E123" s="496"/>
      <c r="F123" s="647"/>
      <c r="G123" s="496"/>
      <c r="H123" s="578"/>
      <c r="I123" s="578"/>
      <c r="J123" s="629"/>
    </row>
    <row r="124" spans="1:10" ht="16.5" hidden="1" customHeight="1" outlineLevel="1">
      <c r="A124" s="696"/>
      <c r="B124" s="168"/>
      <c r="C124" s="168"/>
      <c r="D124" s="461"/>
      <c r="E124" s="487" t="str">
        <f>'4条その他'!C$16</f>
        <v>公共土木施設災害
復旧事業費国庫負担金</v>
      </c>
      <c r="F124" s="646" t="str">
        <f>'4条その他'!D$16</f>
        <v>対象事業費×２／３</v>
      </c>
      <c r="G124" s="487" t="str">
        <f>'4条その他'!E$16</f>
        <v>3年度分
公共土木施設災害復旧事業費(補助事業繰越分)の課税支出割合</v>
      </c>
      <c r="H124" s="577">
        <f>'4条その他'!G$16</f>
        <v>0</v>
      </c>
      <c r="I124" s="577">
        <f>'4条その他'!H$18</f>
        <v>0</v>
      </c>
      <c r="J124" s="628">
        <f>'4条その他'!I$18</f>
        <v>0</v>
      </c>
    </row>
    <row r="125" spans="1:10" ht="16.5" hidden="1" customHeight="1" outlineLevel="1">
      <c r="A125" s="696"/>
      <c r="B125" s="168"/>
      <c r="C125" s="168"/>
      <c r="D125" s="462"/>
      <c r="E125" s="496"/>
      <c r="F125" s="647"/>
      <c r="G125" s="496"/>
      <c r="H125" s="578"/>
      <c r="I125" s="578"/>
      <c r="J125" s="629"/>
    </row>
    <row r="126" spans="1:10" ht="16.5" hidden="1" customHeight="1" outlineLevel="1">
      <c r="A126" s="696"/>
      <c r="B126" s="168"/>
      <c r="C126" s="168"/>
      <c r="D126" s="460" t="s">
        <v>306</v>
      </c>
      <c r="E126" s="487" t="str">
        <f>'4条その他'!C$24</f>
        <v>公共土木施設災害
復旧事業費国庫負担金</v>
      </c>
      <c r="F126" s="646" t="str">
        <f>'4条その他'!D$24</f>
        <v>対象事業費×２／３</v>
      </c>
      <c r="G126" s="487" t="str">
        <f>'4条その他'!E$24</f>
        <v>4年度分
公共土木施設災害復旧事業費(補助事業現年分)の課税支出割合</v>
      </c>
      <c r="H126" s="577">
        <f>'4条その他'!G$24</f>
        <v>0</v>
      </c>
      <c r="I126" s="577">
        <f>'4条その他'!H$26</f>
        <v>0</v>
      </c>
      <c r="J126" s="628">
        <f>'4条その他'!I$26</f>
        <v>0</v>
      </c>
    </row>
    <row r="127" spans="1:10" ht="16.5" hidden="1" customHeight="1" outlineLevel="1">
      <c r="A127" s="696"/>
      <c r="B127" s="168"/>
      <c r="C127" s="168"/>
      <c r="D127" s="461"/>
      <c r="E127" s="496"/>
      <c r="F127" s="647"/>
      <c r="G127" s="496"/>
      <c r="H127" s="578"/>
      <c r="I127" s="578"/>
      <c r="J127" s="629"/>
    </row>
    <row r="128" spans="1:10" ht="16.5" hidden="1" customHeight="1" outlineLevel="1">
      <c r="A128" s="696"/>
      <c r="B128" s="168"/>
      <c r="C128" s="168"/>
      <c r="D128" s="461"/>
      <c r="E128" s="487" t="str">
        <f>'4条その他'!C$30</f>
        <v>公共土木施設災害
復旧事業費国庫負担金</v>
      </c>
      <c r="F128" s="646" t="str">
        <f>'4条その他'!D$30</f>
        <v>対象事業費×２／３</v>
      </c>
      <c r="G128" s="487" t="str">
        <f>'4条その他'!E$30</f>
        <v>3年度分
公共土木施設災害復旧事業費(補助事業繰越分)の課税支出割合</v>
      </c>
      <c r="H128" s="577">
        <f>'4条その他'!G$30</f>
        <v>0</v>
      </c>
      <c r="I128" s="577">
        <f>'4条その他'!H$32</f>
        <v>0</v>
      </c>
      <c r="J128" s="628">
        <f>'4条その他'!I$32</f>
        <v>0</v>
      </c>
    </row>
    <row r="129" spans="1:11" ht="16.5" hidden="1" customHeight="1" outlineLevel="1">
      <c r="A129" s="696"/>
      <c r="B129" s="168"/>
      <c r="C129" s="168"/>
      <c r="D129" s="462"/>
      <c r="E129" s="496"/>
      <c r="F129" s="647"/>
      <c r="G129" s="496"/>
      <c r="H129" s="578"/>
      <c r="I129" s="578"/>
      <c r="J129" s="629"/>
    </row>
    <row r="130" spans="1:11" ht="16.5" hidden="1" customHeight="1" outlineLevel="1">
      <c r="A130" s="696"/>
      <c r="B130" s="385"/>
      <c r="C130" s="385"/>
      <c r="D130" s="460" t="s">
        <v>483</v>
      </c>
      <c r="E130" s="487" t="str">
        <f>'4条その他'!C$38</f>
        <v>災害関連農村生活環境
施設復旧事業国庫補助金</v>
      </c>
      <c r="F130" s="646" t="str">
        <f>'4条その他'!D$38</f>
        <v>対象事業費×１／２</v>
      </c>
      <c r="G130" s="487" t="str">
        <f>'4条その他'!E$38</f>
        <v>4年度分
災害関連農村生活環境施設復旧事業(補助事業現年分)の課税支出割合</v>
      </c>
      <c r="H130" s="577">
        <f>'4条その他'!G$38</f>
        <v>0</v>
      </c>
      <c r="I130" s="577">
        <f>'4条その他'!H$40</f>
        <v>0</v>
      </c>
      <c r="J130" s="628">
        <f>'4条その他'!I$40</f>
        <v>0</v>
      </c>
    </row>
    <row r="131" spans="1:11" ht="16.5" hidden="1" customHeight="1" outlineLevel="1">
      <c r="A131" s="696"/>
      <c r="B131" s="385"/>
      <c r="C131" s="385"/>
      <c r="D131" s="461"/>
      <c r="E131" s="496"/>
      <c r="F131" s="647"/>
      <c r="G131" s="496"/>
      <c r="H131" s="578"/>
      <c r="I131" s="578"/>
      <c r="J131" s="629"/>
    </row>
    <row r="132" spans="1:11" ht="16.5" hidden="1" customHeight="1" outlineLevel="1">
      <c r="A132" s="696"/>
      <c r="B132" s="385"/>
      <c r="C132" s="385"/>
      <c r="D132" s="461"/>
      <c r="E132" s="487" t="str">
        <f>'4条その他'!C$44</f>
        <v>災害関連農村生活環境
施設復旧事業国庫補助金</v>
      </c>
      <c r="F132" s="646" t="str">
        <f>'4条その他'!D$44</f>
        <v>対象事業費×１／２</v>
      </c>
      <c r="G132" s="487" t="str">
        <f>'4条その他'!E$44</f>
        <v>3年度分
災害関連農村生活環境施設復旧事業(補助事業繰越分)の課税支出割合</v>
      </c>
      <c r="H132" s="577">
        <f>'4条その他'!G$44</f>
        <v>0</v>
      </c>
      <c r="I132" s="577">
        <f>'4条その他'!H$46</f>
        <v>0</v>
      </c>
      <c r="J132" s="628">
        <f>'4条その他'!I$46</f>
        <v>0</v>
      </c>
    </row>
    <row r="133" spans="1:11" ht="16.5" hidden="1" customHeight="1" outlineLevel="1">
      <c r="A133" s="696"/>
      <c r="B133" s="385"/>
      <c r="C133" s="385"/>
      <c r="D133" s="462"/>
      <c r="E133" s="496"/>
      <c r="F133" s="647"/>
      <c r="G133" s="496"/>
      <c r="H133" s="578"/>
      <c r="I133" s="578"/>
      <c r="J133" s="629"/>
    </row>
    <row r="134" spans="1:11" ht="16.5" hidden="1" customHeight="1" outlineLevel="1">
      <c r="A134" s="696"/>
      <c r="B134" s="385"/>
      <c r="C134" s="385"/>
      <c r="D134" s="460" t="s">
        <v>308</v>
      </c>
      <c r="E134" s="487">
        <f>'4条その他'!C$52</f>
        <v>0</v>
      </c>
      <c r="F134" s="646">
        <f>'4条その他'!D$52</f>
        <v>0</v>
      </c>
      <c r="G134" s="487">
        <f>'4条その他'!E$52</f>
        <v>0</v>
      </c>
      <c r="H134" s="577">
        <f>'4条その他'!G$52</f>
        <v>0</v>
      </c>
      <c r="I134" s="577">
        <f>'4条その他'!H$54</f>
        <v>0</v>
      </c>
      <c r="J134" s="628">
        <f>'4条その他'!I$54</f>
        <v>0</v>
      </c>
    </row>
    <row r="135" spans="1:11" ht="16.5" hidden="1" customHeight="1" outlineLevel="1">
      <c r="A135" s="696"/>
      <c r="B135" s="385"/>
      <c r="C135" s="385"/>
      <c r="D135" s="461"/>
      <c r="E135" s="496"/>
      <c r="F135" s="647"/>
      <c r="G135" s="496"/>
      <c r="H135" s="578"/>
      <c r="I135" s="578"/>
      <c r="J135" s="629"/>
    </row>
    <row r="136" spans="1:11" ht="16.5" hidden="1" customHeight="1" outlineLevel="1">
      <c r="A136" s="696"/>
      <c r="B136" s="385"/>
      <c r="C136" s="385"/>
      <c r="D136" s="461"/>
      <c r="E136" s="487">
        <f>'4条その他'!C$58</f>
        <v>0</v>
      </c>
      <c r="F136" s="646">
        <f>'4条その他'!D$58</f>
        <v>0</v>
      </c>
      <c r="G136" s="487">
        <f>'4条その他'!E$58</f>
        <v>0</v>
      </c>
      <c r="H136" s="577">
        <f>'4条その他'!G$58</f>
        <v>0</v>
      </c>
      <c r="I136" s="577">
        <f>'4条その他'!H$60</f>
        <v>0</v>
      </c>
      <c r="J136" s="628">
        <f>'4条その他'!I$60</f>
        <v>0</v>
      </c>
    </row>
    <row r="137" spans="1:11" ht="16.5" hidden="1" customHeight="1" outlineLevel="1">
      <c r="A137" s="696"/>
      <c r="B137" s="385"/>
      <c r="C137" s="385"/>
      <c r="D137" s="462"/>
      <c r="E137" s="496"/>
      <c r="F137" s="647"/>
      <c r="G137" s="496"/>
      <c r="H137" s="578"/>
      <c r="I137" s="578"/>
      <c r="J137" s="629"/>
    </row>
    <row r="138" spans="1:11" ht="10.5" hidden="1" customHeight="1" outlineLevel="1">
      <c r="A138" s="696"/>
      <c r="B138" s="505" t="s">
        <v>219</v>
      </c>
      <c r="C138" s="505"/>
      <c r="D138" s="505"/>
      <c r="E138" s="504"/>
      <c r="F138" s="155"/>
      <c r="G138" s="12"/>
      <c r="H138" s="517">
        <f>H140</f>
        <v>0</v>
      </c>
      <c r="I138" s="517">
        <f>I140</f>
        <v>0</v>
      </c>
      <c r="J138" s="638">
        <f>J140</f>
        <v>0</v>
      </c>
      <c r="K138" s="44"/>
    </row>
    <row r="139" spans="1:11" ht="10.5" hidden="1" customHeight="1" outlineLevel="1">
      <c r="A139" s="696"/>
      <c r="B139" s="532"/>
      <c r="C139" s="532"/>
      <c r="D139" s="532"/>
      <c r="E139" s="533"/>
      <c r="F139" s="160"/>
      <c r="G139" s="16"/>
      <c r="H139" s="518"/>
      <c r="I139" s="518"/>
      <c r="J139" s="662"/>
      <c r="K139" s="44"/>
    </row>
    <row r="140" spans="1:11" ht="10.5" hidden="1" customHeight="1" outlineLevel="1">
      <c r="A140" s="696"/>
      <c r="B140" s="168"/>
      <c r="C140" s="168"/>
      <c r="D140" s="528" t="s">
        <v>136</v>
      </c>
      <c r="E140" s="529"/>
      <c r="F140" s="497"/>
      <c r="G140" s="466" t="s">
        <v>282</v>
      </c>
      <c r="H140" s="517">
        <v>0</v>
      </c>
      <c r="I140" s="517">
        <v>0</v>
      </c>
      <c r="J140" s="638">
        <v>0</v>
      </c>
      <c r="K140" s="44"/>
    </row>
    <row r="141" spans="1:11" ht="10.5" hidden="1" customHeight="1" outlineLevel="1">
      <c r="A141" s="696"/>
      <c r="B141" s="168"/>
      <c r="C141" s="168"/>
      <c r="D141" s="530"/>
      <c r="E141" s="529"/>
      <c r="F141" s="497"/>
      <c r="G141" s="467"/>
      <c r="H141" s="518"/>
      <c r="I141" s="518"/>
      <c r="J141" s="662"/>
      <c r="K141" s="44"/>
    </row>
    <row r="142" spans="1:11" ht="10.5" customHeight="1" collapsed="1">
      <c r="A142" s="696"/>
      <c r="B142" s="505" t="s">
        <v>30</v>
      </c>
      <c r="C142" s="505"/>
      <c r="D142" s="505"/>
      <c r="E142" s="504"/>
      <c r="F142" s="155"/>
      <c r="G142" s="12"/>
      <c r="H142" s="517">
        <f>'受益（公）'!G6</f>
        <v>8799605</v>
      </c>
      <c r="I142" s="517">
        <f>'受益（公）'!H6</f>
        <v>8525089</v>
      </c>
      <c r="J142" s="638">
        <f>'受益（公）'!I6</f>
        <v>274516</v>
      </c>
      <c r="K142" s="44"/>
    </row>
    <row r="143" spans="1:11" ht="10.5" customHeight="1">
      <c r="A143" s="696"/>
      <c r="B143" s="532"/>
      <c r="C143" s="532"/>
      <c r="D143" s="532"/>
      <c r="E143" s="533"/>
      <c r="F143" s="160"/>
      <c r="G143" s="16"/>
      <c r="H143" s="518"/>
      <c r="I143" s="518"/>
      <c r="J143" s="662"/>
      <c r="K143" s="44"/>
    </row>
    <row r="144" spans="1:11" ht="10.5" customHeight="1">
      <c r="A144" s="696"/>
      <c r="B144" s="168"/>
      <c r="C144" s="168"/>
      <c r="D144" s="528" t="s">
        <v>136</v>
      </c>
      <c r="E144" s="529"/>
      <c r="F144" s="497"/>
      <c r="G144" s="472" t="str">
        <f>+'受益（公）'!E8</f>
        <v>5年度分補助事業
の課税支出割合
（現年）</v>
      </c>
      <c r="H144" s="679">
        <f>'受益（公）'!G8</f>
        <v>5005000</v>
      </c>
      <c r="I144" s="679">
        <f>'受益（公）'!H8</f>
        <v>5005000</v>
      </c>
      <c r="J144" s="675">
        <f>'受益（公）'!I8</f>
        <v>0</v>
      </c>
      <c r="K144" s="44"/>
    </row>
    <row r="145" spans="1:11" ht="10.5" customHeight="1">
      <c r="A145" s="696"/>
      <c r="B145" s="168"/>
      <c r="C145" s="168"/>
      <c r="D145" s="530"/>
      <c r="E145" s="529"/>
      <c r="F145" s="497"/>
      <c r="G145" s="473"/>
      <c r="H145" s="652"/>
      <c r="I145" s="652"/>
      <c r="J145" s="676"/>
      <c r="K145" s="44"/>
    </row>
    <row r="146" spans="1:11" ht="10.5" customHeight="1">
      <c r="A146" s="696"/>
      <c r="B146" s="168"/>
      <c r="C146" s="168"/>
      <c r="D146" s="528" t="s">
        <v>31</v>
      </c>
      <c r="E146" s="529"/>
      <c r="F146" s="497"/>
      <c r="G146" s="472" t="str">
        <f>+'受益（公）'!E10</f>
        <v>5年度分起債事業
の課税支出割合
（現年）</v>
      </c>
      <c r="H146" s="679">
        <f>'受益（公）'!G10</f>
        <v>3794605</v>
      </c>
      <c r="I146" s="679">
        <f>'受益（公）'!H10</f>
        <v>3520089</v>
      </c>
      <c r="J146" s="675">
        <f>'受益（公）'!I10</f>
        <v>274516</v>
      </c>
      <c r="K146" s="44"/>
    </row>
    <row r="147" spans="1:11" ht="10.5" customHeight="1">
      <c r="A147" s="696"/>
      <c r="B147" s="168"/>
      <c r="C147" s="168"/>
      <c r="D147" s="531"/>
      <c r="E147" s="489"/>
      <c r="F147" s="498"/>
      <c r="G147" s="473"/>
      <c r="H147" s="652"/>
      <c r="I147" s="652"/>
      <c r="J147" s="676"/>
      <c r="K147" s="44"/>
    </row>
    <row r="148" spans="1:11" ht="10.5" customHeight="1">
      <c r="A148" s="696"/>
      <c r="B148" s="505" t="s">
        <v>304</v>
      </c>
      <c r="C148" s="505"/>
      <c r="D148" s="505"/>
      <c r="E148" s="504"/>
      <c r="F148" s="155"/>
      <c r="G148" s="161"/>
      <c r="H148" s="517">
        <f>'受益（区域外）'!G6</f>
        <v>35218280</v>
      </c>
      <c r="I148" s="517">
        <f>'受益（区域外）'!H6</f>
        <v>33459431</v>
      </c>
      <c r="J148" s="638">
        <f>'受益（区域外）'!I6</f>
        <v>1758849</v>
      </c>
      <c r="K148" s="44"/>
    </row>
    <row r="149" spans="1:11" ht="10.5" customHeight="1">
      <c r="A149" s="696"/>
      <c r="B149" s="532"/>
      <c r="C149" s="532"/>
      <c r="D149" s="532"/>
      <c r="E149" s="533"/>
      <c r="F149" s="160"/>
      <c r="G149" s="161"/>
      <c r="H149" s="518"/>
      <c r="I149" s="518"/>
      <c r="J149" s="662"/>
      <c r="K149" s="44"/>
    </row>
    <row r="150" spans="1:11" ht="10.5" customHeight="1">
      <c r="A150" s="696"/>
      <c r="B150" s="168"/>
      <c r="C150" s="168"/>
      <c r="D150" s="528" t="s">
        <v>316</v>
      </c>
      <c r="E150" s="529"/>
      <c r="F150" s="498"/>
      <c r="G150" s="472" t="str">
        <f>+G144</f>
        <v>5年度分補助事業
の課税支出割合
（現年）</v>
      </c>
      <c r="H150" s="649">
        <f>'受益（区域外）'!G8</f>
        <v>1842000</v>
      </c>
      <c r="I150" s="649">
        <f>'受益（区域外）'!H8</f>
        <v>1842000</v>
      </c>
      <c r="J150" s="650">
        <f>'受益（区域外）'!I8</f>
        <v>0</v>
      </c>
      <c r="K150" s="44"/>
    </row>
    <row r="151" spans="1:11" ht="10.5" customHeight="1">
      <c r="A151" s="696"/>
      <c r="B151" s="168"/>
      <c r="C151" s="168"/>
      <c r="D151" s="530"/>
      <c r="E151" s="529"/>
      <c r="F151" s="500"/>
      <c r="G151" s="473"/>
      <c r="H151" s="649"/>
      <c r="I151" s="649"/>
      <c r="J151" s="650"/>
      <c r="K151" s="44"/>
    </row>
    <row r="152" spans="1:11" ht="10.5" customHeight="1">
      <c r="A152" s="696"/>
      <c r="B152" s="168"/>
      <c r="C152" s="168"/>
      <c r="D152" s="528" t="s">
        <v>317</v>
      </c>
      <c r="E152" s="529"/>
      <c r="F152" s="498"/>
      <c r="G152" s="472" t="str">
        <f>+G146</f>
        <v>5年度分起債事業
の課税支出割合
（現年）</v>
      </c>
      <c r="H152" s="649">
        <f>'受益（区域外）'!G10</f>
        <v>33376280</v>
      </c>
      <c r="I152" s="649">
        <f>'受益（区域外）'!H10</f>
        <v>31617431</v>
      </c>
      <c r="J152" s="650">
        <f>'受益（区域外）'!I10</f>
        <v>1758849</v>
      </c>
      <c r="K152" s="44"/>
    </row>
    <row r="153" spans="1:11" ht="10.5" customHeight="1">
      <c r="A153" s="696"/>
      <c r="B153" s="168"/>
      <c r="C153" s="168"/>
      <c r="D153" s="531"/>
      <c r="E153" s="489"/>
      <c r="F153" s="500"/>
      <c r="G153" s="473"/>
      <c r="H153" s="649"/>
      <c r="I153" s="649"/>
      <c r="J153" s="650"/>
      <c r="K153" s="44"/>
    </row>
    <row r="154" spans="1:11" ht="10.5" customHeight="1">
      <c r="A154" s="696"/>
      <c r="B154" s="505" t="s">
        <v>32</v>
      </c>
      <c r="C154" s="505"/>
      <c r="D154" s="505"/>
      <c r="E154" s="504"/>
      <c r="F154" s="155"/>
      <c r="G154" s="158"/>
      <c r="H154" s="517">
        <f>'4条工事負担金'!G6</f>
        <v>514968182</v>
      </c>
      <c r="I154" s="517">
        <f>'4条工事負担金'!H6</f>
        <v>351364357</v>
      </c>
      <c r="J154" s="638">
        <f>'4条工事負担金'!I6</f>
        <v>163603825</v>
      </c>
      <c r="K154" s="44"/>
    </row>
    <row r="155" spans="1:11" ht="10.5" customHeight="1">
      <c r="A155" s="696"/>
      <c r="B155" s="532"/>
      <c r="C155" s="532"/>
      <c r="D155" s="532"/>
      <c r="E155" s="533"/>
      <c r="F155" s="160"/>
      <c r="G155" s="159"/>
      <c r="H155" s="518"/>
      <c r="I155" s="518"/>
      <c r="J155" s="662"/>
      <c r="K155" s="44"/>
    </row>
    <row r="156" spans="1:11" ht="10.5" hidden="1" customHeight="1" outlineLevel="1">
      <c r="A156" s="696"/>
      <c r="B156" s="168"/>
      <c r="C156" s="168"/>
      <c r="D156" s="534" t="s">
        <v>161</v>
      </c>
      <c r="E156" s="495"/>
      <c r="F156" s="497"/>
      <c r="G156" s="472" t="str">
        <f>+'4条工事負担金'!E8</f>
        <v>5年度分単市事業
の課税支出割合
(現年＋繰越)</v>
      </c>
      <c r="H156" s="679">
        <f>'4条工事負担金'!G8</f>
        <v>0</v>
      </c>
      <c r="I156" s="679">
        <f>'4条工事負担金'!H8</f>
        <v>0</v>
      </c>
      <c r="J156" s="675">
        <f>'4条工事負担金'!I8</f>
        <v>0</v>
      </c>
      <c r="K156" s="44"/>
    </row>
    <row r="157" spans="1:11" ht="10.5" hidden="1" customHeight="1" outlineLevel="1">
      <c r="A157" s="696"/>
      <c r="B157" s="168"/>
      <c r="C157" s="168"/>
      <c r="D157" s="535"/>
      <c r="E157" s="495"/>
      <c r="F157" s="497"/>
      <c r="G157" s="473"/>
      <c r="H157" s="652"/>
      <c r="I157" s="652"/>
      <c r="J157" s="676"/>
      <c r="K157" s="44"/>
    </row>
    <row r="158" spans="1:11" ht="10.5" customHeight="1" collapsed="1">
      <c r="A158" s="696"/>
      <c r="B158" s="168"/>
      <c r="C158" s="168"/>
      <c r="D158" s="534" t="s">
        <v>162</v>
      </c>
      <c r="E158" s="495"/>
      <c r="F158" s="568"/>
      <c r="G158" s="472" t="str">
        <f>+'4条工事負担金'!E10</f>
        <v>5年度分排水設備事業
の課税支出割合</v>
      </c>
      <c r="H158" s="679">
        <f>'4条工事負担金'!G10</f>
        <v>279746516</v>
      </c>
      <c r="I158" s="679">
        <f>'4条工事負担金'!H10</f>
        <v>218135713</v>
      </c>
      <c r="J158" s="675">
        <f>'4条工事負担金'!I10</f>
        <v>61610803</v>
      </c>
      <c r="K158" s="44"/>
    </row>
    <row r="159" spans="1:11" ht="10.5" customHeight="1">
      <c r="A159" s="696"/>
      <c r="B159" s="168"/>
      <c r="C159" s="168"/>
      <c r="D159" s="535"/>
      <c r="E159" s="495"/>
      <c r="F159" s="569"/>
      <c r="G159" s="473"/>
      <c r="H159" s="652"/>
      <c r="I159" s="652"/>
      <c r="J159" s="676"/>
      <c r="K159" s="44"/>
    </row>
    <row r="160" spans="1:11" ht="10.5" hidden="1" customHeight="1" outlineLevel="1">
      <c r="A160" s="696"/>
      <c r="B160" s="168"/>
      <c r="C160" s="168"/>
      <c r="D160" s="534" t="s">
        <v>163</v>
      </c>
      <c r="E160" s="495"/>
      <c r="F160" s="497"/>
      <c r="G160" s="472" t="str">
        <f>+'4条工事負担金'!E12</f>
        <v>5年度分諸設備新設改良
事業の課税支出割合</v>
      </c>
      <c r="H160" s="679">
        <f>'4条工事負担金'!G12</f>
        <v>0</v>
      </c>
      <c r="I160" s="679">
        <f>'4条工事負担金'!H12</f>
        <v>0</v>
      </c>
      <c r="J160" s="675">
        <f>'4条工事負担金'!I12</f>
        <v>0</v>
      </c>
      <c r="K160" s="44"/>
    </row>
    <row r="161" spans="1:15" ht="10.5" hidden="1" customHeight="1" outlineLevel="1">
      <c r="A161" s="696"/>
      <c r="B161" s="168"/>
      <c r="C161" s="168"/>
      <c r="D161" s="535"/>
      <c r="E161" s="495"/>
      <c r="F161" s="497"/>
      <c r="G161" s="473"/>
      <c r="H161" s="652"/>
      <c r="I161" s="652"/>
      <c r="J161" s="676"/>
      <c r="K161" s="44"/>
    </row>
    <row r="162" spans="1:15" ht="10.5" hidden="1" customHeight="1" outlineLevel="1">
      <c r="A162" s="696"/>
      <c r="B162" s="429"/>
      <c r="C162" s="429"/>
      <c r="D162" s="534" t="s">
        <v>513</v>
      </c>
      <c r="E162" s="495"/>
      <c r="F162" s="497"/>
      <c r="G162" s="472" t="str">
        <f>+'4条工事負担金'!E18</f>
        <v>5年度分(特環)市街化区域外汚水処理施設整備事業の課税支出割合</v>
      </c>
      <c r="H162" s="679">
        <f>'4条工事負担金'!G18</f>
        <v>0</v>
      </c>
      <c r="I162" s="679">
        <f>'4条工事負担金'!H18</f>
        <v>0</v>
      </c>
      <c r="J162" s="675">
        <f>'4条工事負担金'!I18</f>
        <v>0</v>
      </c>
      <c r="K162" s="44"/>
    </row>
    <row r="163" spans="1:15" ht="10.5" hidden="1" customHeight="1" outlineLevel="1">
      <c r="A163" s="696"/>
      <c r="B163" s="429"/>
      <c r="C163" s="429"/>
      <c r="D163" s="535"/>
      <c r="E163" s="495"/>
      <c r="F163" s="497"/>
      <c r="G163" s="473"/>
      <c r="H163" s="652"/>
      <c r="I163" s="652"/>
      <c r="J163" s="676"/>
      <c r="K163" s="44"/>
    </row>
    <row r="164" spans="1:15" ht="10.5" hidden="1" customHeight="1" outlineLevel="1">
      <c r="A164" s="696"/>
      <c r="B164" s="429"/>
      <c r="C164" s="429"/>
      <c r="D164" s="534" t="s">
        <v>514</v>
      </c>
      <c r="E164" s="495"/>
      <c r="F164" s="497"/>
      <c r="G164" s="472" t="str">
        <f>+'4条工事負担金'!E20</f>
        <v>5年度分(農集)市街化区域外汚水処理施設整備事業の課税支出割合</v>
      </c>
      <c r="H164" s="679">
        <f>'4条工事負担金'!G20</f>
        <v>0</v>
      </c>
      <c r="I164" s="679">
        <f>'4条工事負担金'!H20</f>
        <v>0</v>
      </c>
      <c r="J164" s="675">
        <f>'4条工事負担金'!I20</f>
        <v>0</v>
      </c>
      <c r="K164" s="44"/>
    </row>
    <row r="165" spans="1:15" ht="10.5" hidden="1" customHeight="1" outlineLevel="1">
      <c r="A165" s="696"/>
      <c r="B165" s="429"/>
      <c r="C165" s="429"/>
      <c r="D165" s="535"/>
      <c r="E165" s="495"/>
      <c r="F165" s="497"/>
      <c r="G165" s="473"/>
      <c r="H165" s="652"/>
      <c r="I165" s="652"/>
      <c r="J165" s="676"/>
      <c r="K165" s="44"/>
    </row>
    <row r="166" spans="1:15" ht="10.5" hidden="1" customHeight="1" outlineLevel="1">
      <c r="A166" s="696"/>
      <c r="B166" s="429"/>
      <c r="C166" s="429"/>
      <c r="D166" s="534" t="s">
        <v>516</v>
      </c>
      <c r="E166" s="495"/>
      <c r="F166" s="497"/>
      <c r="G166" s="472" t="str">
        <f>+'4条工事負担金'!E22</f>
        <v>5年度分(浄化槽)市街化区域外汚水処理施設整備事業の課税支出割合</v>
      </c>
      <c r="H166" s="679">
        <f>'4条工事負担金'!G22</f>
        <v>0</v>
      </c>
      <c r="I166" s="679">
        <f>'4条工事負担金'!H22</f>
        <v>0</v>
      </c>
      <c r="J166" s="675">
        <f>'4条工事負担金'!I22</f>
        <v>0</v>
      </c>
      <c r="K166" s="44"/>
    </row>
    <row r="167" spans="1:15" ht="10.5" hidden="1" customHeight="1" outlineLevel="1">
      <c r="A167" s="696"/>
      <c r="B167" s="429"/>
      <c r="C167" s="429"/>
      <c r="D167" s="535"/>
      <c r="E167" s="495"/>
      <c r="F167" s="497"/>
      <c r="G167" s="473"/>
      <c r="H167" s="652"/>
      <c r="I167" s="652"/>
      <c r="J167" s="676"/>
      <c r="K167" s="44"/>
    </row>
    <row r="168" spans="1:15" ht="10.5" customHeight="1" collapsed="1">
      <c r="A168" s="696"/>
      <c r="B168" s="168"/>
      <c r="C168" s="168"/>
      <c r="D168" s="551" t="s">
        <v>38</v>
      </c>
      <c r="E168" s="552"/>
      <c r="F168" s="155"/>
      <c r="G168" s="546" t="s">
        <v>39</v>
      </c>
      <c r="H168" s="679">
        <f>'4条工事負担金'!G14</f>
        <v>235221666</v>
      </c>
      <c r="I168" s="679">
        <f>'4条工事負担金'!H14</f>
        <v>133228644</v>
      </c>
      <c r="J168" s="675">
        <f>'4条工事負担金'!I14</f>
        <v>101993022</v>
      </c>
      <c r="K168" s="44"/>
    </row>
    <row r="169" spans="1:15" ht="10.5" customHeight="1" thickBot="1">
      <c r="A169" s="696"/>
      <c r="B169" s="168"/>
      <c r="C169" s="168"/>
      <c r="D169" s="553"/>
      <c r="E169" s="487"/>
      <c r="F169" s="156"/>
      <c r="G169" s="561"/>
      <c r="H169" s="651"/>
      <c r="I169" s="651"/>
      <c r="J169" s="678"/>
      <c r="K169" s="44"/>
    </row>
    <row r="170" spans="1:15" ht="10.5" customHeight="1">
      <c r="A170" s="696"/>
      <c r="B170" s="537" t="s">
        <v>34</v>
      </c>
      <c r="C170" s="537"/>
      <c r="D170" s="537"/>
      <c r="E170" s="538"/>
      <c r="F170" s="69"/>
      <c r="G170" s="18"/>
      <c r="H170" s="637">
        <f>H64+H120+H138+H142+H148+H154</f>
        <v>6276774067</v>
      </c>
      <c r="I170" s="637">
        <f>I64+I120+I138+I142+I148+I154</f>
        <v>6105633883</v>
      </c>
      <c r="J170" s="665">
        <f>J64+J120+J138+J142+J148+J154</f>
        <v>171140184</v>
      </c>
      <c r="K170" s="44"/>
    </row>
    <row r="171" spans="1:15" ht="10.5" customHeight="1" thickBot="1">
      <c r="A171" s="697"/>
      <c r="B171" s="540"/>
      <c r="C171" s="540"/>
      <c r="D171" s="540"/>
      <c r="E171" s="541"/>
      <c r="F171" s="70"/>
      <c r="G171" s="71"/>
      <c r="H171" s="684"/>
      <c r="I171" s="684"/>
      <c r="J171" s="694"/>
      <c r="K171" s="44"/>
    </row>
    <row r="172" spans="1:15" ht="10.5" customHeight="1" thickTop="1">
      <c r="A172" s="522" t="s">
        <v>35</v>
      </c>
      <c r="B172" s="523"/>
      <c r="C172" s="523"/>
      <c r="D172" s="523"/>
      <c r="E172" s="524"/>
      <c r="F172" s="13"/>
      <c r="G172" s="20"/>
      <c r="H172" s="685">
        <f>H62+H170</f>
        <v>29978698068</v>
      </c>
      <c r="I172" s="685">
        <f>I62+I170</f>
        <v>8418526763</v>
      </c>
      <c r="J172" s="692">
        <f>J62+J170</f>
        <v>21560171305</v>
      </c>
      <c r="K172" s="275">
        <f>+SUM('4条補助（公）:4条工事負担金'!J6)</f>
        <v>0</v>
      </c>
      <c r="L172" s="275">
        <f>+SUM('4条補助（公）:4条工事負担金'!K6)</f>
        <v>131982078</v>
      </c>
      <c r="M172" s="275">
        <f>+SUM('4条補助（公）:4条工事負担金'!L6)</f>
        <v>1246904</v>
      </c>
      <c r="N172" s="275">
        <f>+SUM('4条補助（公）:4条工事負担金'!M6)</f>
        <v>99</v>
      </c>
      <c r="O172" s="275">
        <f>+SUM('4条補助（公）:4条工事負担金'!N6)</f>
        <v>5972404802</v>
      </c>
    </row>
    <row r="173" spans="1:15" ht="10.5" customHeight="1" thickBot="1">
      <c r="A173" s="525"/>
      <c r="B173" s="526"/>
      <c r="C173" s="526"/>
      <c r="D173" s="526"/>
      <c r="E173" s="527"/>
      <c r="F173" s="3"/>
      <c r="G173" s="19"/>
      <c r="H173" s="681"/>
      <c r="I173" s="681"/>
      <c r="J173" s="693"/>
      <c r="K173" s="44"/>
    </row>
    <row r="175" spans="1:15">
      <c r="M175" s="287"/>
      <c r="N175" s="287"/>
    </row>
  </sheetData>
  <mergeCells count="425">
    <mergeCell ref="I162:I163"/>
    <mergeCell ref="J162:J163"/>
    <mergeCell ref="D164:E165"/>
    <mergeCell ref="F164:F165"/>
    <mergeCell ref="G164:G165"/>
    <mergeCell ref="H164:H165"/>
    <mergeCell ref="I164:I165"/>
    <mergeCell ref="J164:J165"/>
    <mergeCell ref="G136:G137"/>
    <mergeCell ref="F156:F157"/>
    <mergeCell ref="F158:F159"/>
    <mergeCell ref="F160:F161"/>
    <mergeCell ref="D160:E161"/>
    <mergeCell ref="B148:E149"/>
    <mergeCell ref="D150:E151"/>
    <mergeCell ref="F150:F151"/>
    <mergeCell ref="F152:F153"/>
    <mergeCell ref="B138:E139"/>
    <mergeCell ref="H138:H139"/>
    <mergeCell ref="I140:I141"/>
    <mergeCell ref="D140:E141"/>
    <mergeCell ref="D166:E167"/>
    <mergeCell ref="F166:F167"/>
    <mergeCell ref="G166:G167"/>
    <mergeCell ref="H166:H167"/>
    <mergeCell ref="D162:E163"/>
    <mergeCell ref="F162:F163"/>
    <mergeCell ref="G162:G163"/>
    <mergeCell ref="H162:H163"/>
    <mergeCell ref="D130:D133"/>
    <mergeCell ref="D134:D137"/>
    <mergeCell ref="E130:E131"/>
    <mergeCell ref="E132:E133"/>
    <mergeCell ref="E134:E135"/>
    <mergeCell ref="E136:E137"/>
    <mergeCell ref="F130:F131"/>
    <mergeCell ref="F132:F133"/>
    <mergeCell ref="F134:F135"/>
    <mergeCell ref="F136:F137"/>
    <mergeCell ref="F144:F145"/>
    <mergeCell ref="F146:F147"/>
    <mergeCell ref="F140:F141"/>
    <mergeCell ref="G140:G141"/>
    <mergeCell ref="H140:H141"/>
    <mergeCell ref="J24:J25"/>
    <mergeCell ref="I50:I51"/>
    <mergeCell ref="I52:I53"/>
    <mergeCell ref="H50:H51"/>
    <mergeCell ref="H52:H53"/>
    <mergeCell ref="G52:G53"/>
    <mergeCell ref="J28:J29"/>
    <mergeCell ref="J30:J31"/>
    <mergeCell ref="I32:I33"/>
    <mergeCell ref="J32:J33"/>
    <mergeCell ref="J34:J35"/>
    <mergeCell ref="J36:J37"/>
    <mergeCell ref="J38:J39"/>
    <mergeCell ref="J40:J41"/>
    <mergeCell ref="C24:E25"/>
    <mergeCell ref="C26:E27"/>
    <mergeCell ref="C46:E47"/>
    <mergeCell ref="C50:E51"/>
    <mergeCell ref="D54:E55"/>
    <mergeCell ref="C58:E59"/>
    <mergeCell ref="H58:H59"/>
    <mergeCell ref="I58:I59"/>
    <mergeCell ref="H24:H25"/>
    <mergeCell ref="H44:H45"/>
    <mergeCell ref="D36:D39"/>
    <mergeCell ref="E36:E37"/>
    <mergeCell ref="H36:H37"/>
    <mergeCell ref="I36:I37"/>
    <mergeCell ref="E38:E39"/>
    <mergeCell ref="H38:H39"/>
    <mergeCell ref="I38:I39"/>
    <mergeCell ref="D40:D43"/>
    <mergeCell ref="E40:E41"/>
    <mergeCell ref="F40:F41"/>
    <mergeCell ref="G40:G41"/>
    <mergeCell ref="H40:H41"/>
    <mergeCell ref="I40:I41"/>
    <mergeCell ref="E42:E43"/>
    <mergeCell ref="E88:E89"/>
    <mergeCell ref="E86:E87"/>
    <mergeCell ref="F76:F77"/>
    <mergeCell ref="F78:F79"/>
    <mergeCell ref="F118:F119"/>
    <mergeCell ref="H142:H143"/>
    <mergeCell ref="H124:H125"/>
    <mergeCell ref="H126:H127"/>
    <mergeCell ref="J58:J59"/>
    <mergeCell ref="G58:G59"/>
    <mergeCell ref="F58:F59"/>
    <mergeCell ref="I126:I127"/>
    <mergeCell ref="I128:I129"/>
    <mergeCell ref="I130:I131"/>
    <mergeCell ref="J130:J131"/>
    <mergeCell ref="I132:I133"/>
    <mergeCell ref="J132:J133"/>
    <mergeCell ref="I134:I135"/>
    <mergeCell ref="J134:J135"/>
    <mergeCell ref="I136:I137"/>
    <mergeCell ref="J136:J137"/>
    <mergeCell ref="G130:G131"/>
    <mergeCell ref="G132:G133"/>
    <mergeCell ref="G134:G135"/>
    <mergeCell ref="H88:H89"/>
    <mergeCell ref="F68:F69"/>
    <mergeCell ref="H76:H77"/>
    <mergeCell ref="H102:H103"/>
    <mergeCell ref="F94:F95"/>
    <mergeCell ref="F72:F73"/>
    <mergeCell ref="F74:F75"/>
    <mergeCell ref="F88:F89"/>
    <mergeCell ref="H100:H101"/>
    <mergeCell ref="H86:H87"/>
    <mergeCell ref="H72:H73"/>
    <mergeCell ref="H68:H71"/>
    <mergeCell ref="J92:J103"/>
    <mergeCell ref="H106:H107"/>
    <mergeCell ref="H104:H105"/>
    <mergeCell ref="H90:H91"/>
    <mergeCell ref="J108:J109"/>
    <mergeCell ref="I106:I107"/>
    <mergeCell ref="I108:I109"/>
    <mergeCell ref="H98:H99"/>
    <mergeCell ref="H96:H97"/>
    <mergeCell ref="H92:H95"/>
    <mergeCell ref="I60:I61"/>
    <mergeCell ref="G54:G55"/>
    <mergeCell ref="H56:H57"/>
    <mergeCell ref="H22:H23"/>
    <mergeCell ref="E90:E91"/>
    <mergeCell ref="F98:F99"/>
    <mergeCell ref="H60:H61"/>
    <mergeCell ref="H84:H85"/>
    <mergeCell ref="H54:H55"/>
    <mergeCell ref="H78:H79"/>
    <mergeCell ref="H80:H81"/>
    <mergeCell ref="H74:H75"/>
    <mergeCell ref="H66:H67"/>
    <mergeCell ref="E92:E93"/>
    <mergeCell ref="F92:F93"/>
    <mergeCell ref="H28:H29"/>
    <mergeCell ref="I28:I29"/>
    <mergeCell ref="H30:H31"/>
    <mergeCell ref="I30:I31"/>
    <mergeCell ref="H32:H33"/>
    <mergeCell ref="B64:E65"/>
    <mergeCell ref="H64:H65"/>
    <mergeCell ref="H34:H35"/>
    <mergeCell ref="I34:I35"/>
    <mergeCell ref="J20:J21"/>
    <mergeCell ref="A4:E5"/>
    <mergeCell ref="F4:F5"/>
    <mergeCell ref="C8:E9"/>
    <mergeCell ref="D10:E11"/>
    <mergeCell ref="G4:G5"/>
    <mergeCell ref="F10:F11"/>
    <mergeCell ref="G10:G11"/>
    <mergeCell ref="A6:A63"/>
    <mergeCell ref="F22:F23"/>
    <mergeCell ref="F52:F53"/>
    <mergeCell ref="F24:F25"/>
    <mergeCell ref="F46:F47"/>
    <mergeCell ref="F56:F57"/>
    <mergeCell ref="G26:G27"/>
    <mergeCell ref="G46:G47"/>
    <mergeCell ref="B6:E7"/>
    <mergeCell ref="B22:E23"/>
    <mergeCell ref="D12:E13"/>
    <mergeCell ref="F60:F61"/>
    <mergeCell ref="F18:F19"/>
    <mergeCell ref="F20:F21"/>
    <mergeCell ref="F16:F17"/>
    <mergeCell ref="F14:F15"/>
    <mergeCell ref="D14:E15"/>
    <mergeCell ref="F106:F107"/>
    <mergeCell ref="F102:F103"/>
    <mergeCell ref="F96:F97"/>
    <mergeCell ref="F84:F85"/>
    <mergeCell ref="F70:F71"/>
    <mergeCell ref="F12:F13"/>
    <mergeCell ref="E98:E99"/>
    <mergeCell ref="E100:E101"/>
    <mergeCell ref="C16:E17"/>
    <mergeCell ref="C18:E19"/>
    <mergeCell ref="C20:E21"/>
    <mergeCell ref="D56:E57"/>
    <mergeCell ref="F54:F55"/>
    <mergeCell ref="D52:E53"/>
    <mergeCell ref="E96:E97"/>
    <mergeCell ref="E94:E95"/>
    <mergeCell ref="C104:E105"/>
    <mergeCell ref="D28:D31"/>
    <mergeCell ref="E28:E29"/>
    <mergeCell ref="E30:E31"/>
    <mergeCell ref="D32:D35"/>
    <mergeCell ref="E32:E33"/>
    <mergeCell ref="E34:E35"/>
    <mergeCell ref="G12:G13"/>
    <mergeCell ref="G92:G103"/>
    <mergeCell ref="F82:F83"/>
    <mergeCell ref="F86:F87"/>
    <mergeCell ref="G18:G19"/>
    <mergeCell ref="G20:G21"/>
    <mergeCell ref="G14:G15"/>
    <mergeCell ref="F26:F27"/>
    <mergeCell ref="F80:F81"/>
    <mergeCell ref="F100:F101"/>
    <mergeCell ref="G24:G25"/>
    <mergeCell ref="G16:G17"/>
    <mergeCell ref="F28:F29"/>
    <mergeCell ref="G28:G29"/>
    <mergeCell ref="F30:F31"/>
    <mergeCell ref="G30:G31"/>
    <mergeCell ref="F32:F33"/>
    <mergeCell ref="G32:G33"/>
    <mergeCell ref="F34:F35"/>
    <mergeCell ref="G34:G35"/>
    <mergeCell ref="F36:F37"/>
    <mergeCell ref="G36:G37"/>
    <mergeCell ref="F38:F39"/>
    <mergeCell ref="G38:G39"/>
    <mergeCell ref="A172:E173"/>
    <mergeCell ref="D144:E145"/>
    <mergeCell ref="D146:E147"/>
    <mergeCell ref="B154:E155"/>
    <mergeCell ref="D156:E157"/>
    <mergeCell ref="B170:E171"/>
    <mergeCell ref="D152:E153"/>
    <mergeCell ref="A64:A171"/>
    <mergeCell ref="D68:D103"/>
    <mergeCell ref="E102:E103"/>
    <mergeCell ref="D168:E169"/>
    <mergeCell ref="E106:E107"/>
    <mergeCell ref="D106:D109"/>
    <mergeCell ref="E68:E69"/>
    <mergeCell ref="E72:E73"/>
    <mergeCell ref="E74:E75"/>
    <mergeCell ref="E70:E71"/>
    <mergeCell ref="E78:E79"/>
    <mergeCell ref="E80:E81"/>
    <mergeCell ref="E76:E77"/>
    <mergeCell ref="E82:E83"/>
    <mergeCell ref="E84:E85"/>
    <mergeCell ref="B142:E143"/>
    <mergeCell ref="D158:E159"/>
    <mergeCell ref="I172:I173"/>
    <mergeCell ref="J172:J173"/>
    <mergeCell ref="I146:I147"/>
    <mergeCell ref="J146:J147"/>
    <mergeCell ref="I154:I155"/>
    <mergeCell ref="J154:J155"/>
    <mergeCell ref="J160:J161"/>
    <mergeCell ref="I156:I157"/>
    <mergeCell ref="J156:J157"/>
    <mergeCell ref="I170:I171"/>
    <mergeCell ref="J170:J171"/>
    <mergeCell ref="I168:I169"/>
    <mergeCell ref="J168:J169"/>
    <mergeCell ref="J150:J151"/>
    <mergeCell ref="I152:I153"/>
    <mergeCell ref="I158:I159"/>
    <mergeCell ref="J158:J159"/>
    <mergeCell ref="I160:I161"/>
    <mergeCell ref="J152:J153"/>
    <mergeCell ref="J148:J149"/>
    <mergeCell ref="I150:I151"/>
    <mergeCell ref="I148:I149"/>
    <mergeCell ref="I166:I167"/>
    <mergeCell ref="J166:J167"/>
    <mergeCell ref="H10:H11"/>
    <mergeCell ref="H12:H13"/>
    <mergeCell ref="H16:H17"/>
    <mergeCell ref="H18:H19"/>
    <mergeCell ref="H14:H15"/>
    <mergeCell ref="H20:H21"/>
    <mergeCell ref="H62:H63"/>
    <mergeCell ref="G168:G169"/>
    <mergeCell ref="G56:G57"/>
    <mergeCell ref="G144:G145"/>
    <mergeCell ref="G146:G147"/>
    <mergeCell ref="G60:G61"/>
    <mergeCell ref="G110:G113"/>
    <mergeCell ref="G118:G119"/>
    <mergeCell ref="G150:G151"/>
    <mergeCell ref="G152:G153"/>
    <mergeCell ref="G156:G157"/>
    <mergeCell ref="G106:G107"/>
    <mergeCell ref="G108:G109"/>
    <mergeCell ref="G160:G161"/>
    <mergeCell ref="G158:G159"/>
    <mergeCell ref="H144:H145"/>
    <mergeCell ref="H148:H149"/>
    <mergeCell ref="H82:H83"/>
    <mergeCell ref="J4:J5"/>
    <mergeCell ref="H4:H5"/>
    <mergeCell ref="H6:H7"/>
    <mergeCell ref="H8:H9"/>
    <mergeCell ref="J6:J7"/>
    <mergeCell ref="J8:J9"/>
    <mergeCell ref="I4:I5"/>
    <mergeCell ref="I6:I7"/>
    <mergeCell ref="I8:I9"/>
    <mergeCell ref="H170:H171"/>
    <mergeCell ref="H172:H173"/>
    <mergeCell ref="H146:H147"/>
    <mergeCell ref="H154:H155"/>
    <mergeCell ref="H156:H157"/>
    <mergeCell ref="H158:H159"/>
    <mergeCell ref="H160:H161"/>
    <mergeCell ref="H152:H153"/>
    <mergeCell ref="H168:H169"/>
    <mergeCell ref="H150:H151"/>
    <mergeCell ref="J10:J11"/>
    <mergeCell ref="J12:J13"/>
    <mergeCell ref="J16:J17"/>
    <mergeCell ref="I18:I19"/>
    <mergeCell ref="J18:J19"/>
    <mergeCell ref="I14:I15"/>
    <mergeCell ref="J14:J15"/>
    <mergeCell ref="I10:I11"/>
    <mergeCell ref="I12:I13"/>
    <mergeCell ref="I16:I17"/>
    <mergeCell ref="I20:I21"/>
    <mergeCell ref="J52:J53"/>
    <mergeCell ref="J144:J145"/>
    <mergeCell ref="J66:J67"/>
    <mergeCell ref="J68:J91"/>
    <mergeCell ref="I68:I91"/>
    <mergeCell ref="I66:I67"/>
    <mergeCell ref="J104:J105"/>
    <mergeCell ref="I92:I103"/>
    <mergeCell ref="I62:I63"/>
    <mergeCell ref="I120:I121"/>
    <mergeCell ref="I56:I57"/>
    <mergeCell ref="J60:J61"/>
    <mergeCell ref="J140:J141"/>
    <mergeCell ref="I138:I139"/>
    <mergeCell ref="J138:J139"/>
    <mergeCell ref="I142:I143"/>
    <mergeCell ref="J142:J143"/>
    <mergeCell ref="I144:I145"/>
    <mergeCell ref="I22:I23"/>
    <mergeCell ref="J64:J65"/>
    <mergeCell ref="I104:I105"/>
    <mergeCell ref="J106:J107"/>
    <mergeCell ref="J118:J119"/>
    <mergeCell ref="A2:J2"/>
    <mergeCell ref="G68:G91"/>
    <mergeCell ref="B60:E61"/>
    <mergeCell ref="J56:J57"/>
    <mergeCell ref="I54:I55"/>
    <mergeCell ref="J54:J55"/>
    <mergeCell ref="H26:H27"/>
    <mergeCell ref="I26:I27"/>
    <mergeCell ref="J26:J27"/>
    <mergeCell ref="J62:J63"/>
    <mergeCell ref="I46:I47"/>
    <mergeCell ref="J46:J47"/>
    <mergeCell ref="J48:J49"/>
    <mergeCell ref="I44:I45"/>
    <mergeCell ref="H48:H49"/>
    <mergeCell ref="H46:H47"/>
    <mergeCell ref="J44:J45"/>
    <mergeCell ref="I48:I49"/>
    <mergeCell ref="J50:J51"/>
    <mergeCell ref="B44:E45"/>
    <mergeCell ref="C66:E67"/>
    <mergeCell ref="B62:E63"/>
    <mergeCell ref="J22:J23"/>
    <mergeCell ref="I24:I25"/>
    <mergeCell ref="D122:D125"/>
    <mergeCell ref="D126:D129"/>
    <mergeCell ref="H130:H131"/>
    <mergeCell ref="H132:H133"/>
    <mergeCell ref="H134:H135"/>
    <mergeCell ref="H136:H137"/>
    <mergeCell ref="G128:G129"/>
    <mergeCell ref="I118:I119"/>
    <mergeCell ref="I110:I113"/>
    <mergeCell ref="D118:D119"/>
    <mergeCell ref="E118:E119"/>
    <mergeCell ref="D110:D117"/>
    <mergeCell ref="E110:E113"/>
    <mergeCell ref="E122:E123"/>
    <mergeCell ref="B120:E121"/>
    <mergeCell ref="E124:E125"/>
    <mergeCell ref="J122:J123"/>
    <mergeCell ref="J124:J125"/>
    <mergeCell ref="J126:J127"/>
    <mergeCell ref="J128:J129"/>
    <mergeCell ref="I122:I123"/>
    <mergeCell ref="I124:I125"/>
    <mergeCell ref="H118:H119"/>
    <mergeCell ref="E114:E117"/>
    <mergeCell ref="F122:F123"/>
    <mergeCell ref="F126:F127"/>
    <mergeCell ref="E126:E127"/>
    <mergeCell ref="E128:E129"/>
    <mergeCell ref="F42:F43"/>
    <mergeCell ref="G42:G43"/>
    <mergeCell ref="H42:H43"/>
    <mergeCell ref="I42:I43"/>
    <mergeCell ref="J42:J43"/>
    <mergeCell ref="I64:I65"/>
    <mergeCell ref="B48:E49"/>
    <mergeCell ref="J120:J121"/>
    <mergeCell ref="H128:H129"/>
    <mergeCell ref="F114:F117"/>
    <mergeCell ref="H110:H113"/>
    <mergeCell ref="H114:H117"/>
    <mergeCell ref="G114:G117"/>
    <mergeCell ref="F128:F129"/>
    <mergeCell ref="H120:H121"/>
    <mergeCell ref="F124:F125"/>
    <mergeCell ref="I114:I117"/>
    <mergeCell ref="H122:H123"/>
    <mergeCell ref="F110:F113"/>
    <mergeCell ref="J114:J117"/>
    <mergeCell ref="J110:J113"/>
    <mergeCell ref="G122:G123"/>
    <mergeCell ref="G124:G125"/>
    <mergeCell ref="G126:G127"/>
  </mergeCells>
  <phoneticPr fontId="2"/>
  <printOptions horizontalCentered="1"/>
  <pageMargins left="0.59055118110236227" right="0.39370078740157483" top="0.39370078740157483" bottom="0.31496062992125984" header="0.39370078740157483" footer="0.31496062992125984"/>
  <pageSetup paperSize="9" scale="81" orientation="portrait" blackAndWhite="1" r:id="rId1"/>
  <headerFooter alignWithMargins="0"/>
  <rowBreaks count="1" manualBreakCount="1">
    <brk id="147" max="14"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FFC000"/>
    <pageSetUpPr fitToPage="1"/>
  </sheetPr>
  <dimension ref="A1:N123"/>
  <sheetViews>
    <sheetView zoomScale="85" zoomScaleNormal="85" zoomScaleSheetLayoutView="85" workbookViewId="0">
      <pane xSplit="5" ySplit="5" topLeftCell="F6" activePane="bottomRight" state="frozen"/>
      <selection activeCell="F12" sqref="F12"/>
      <selection pane="topRight" activeCell="F12" sqref="F12"/>
      <selection pane="bottomLeft" activeCell="F12" sqref="F12"/>
      <selection pane="bottomRight" activeCell="G10" sqref="G10:G11"/>
    </sheetView>
  </sheetViews>
  <sheetFormatPr defaultColWidth="9" defaultRowHeight="13.5"/>
  <cols>
    <col min="1" max="1" width="1.875" style="72" customWidth="1"/>
    <col min="2" max="2" width="4.125" style="72" customWidth="1"/>
    <col min="3" max="3" width="12.625" style="72" customWidth="1"/>
    <col min="4" max="5" width="22.625" style="72" customWidth="1"/>
    <col min="6" max="9" width="13.75" style="145" customWidth="1"/>
    <col min="10" max="11" width="8.125" style="145" customWidth="1"/>
    <col min="12" max="14" width="12.625" style="145" customWidth="1"/>
    <col min="15" max="16" width="13.625" style="72" bestFit="1" customWidth="1"/>
    <col min="17" max="16384" width="9" style="72"/>
  </cols>
  <sheetData>
    <row r="1" spans="1:14" ht="17.25" customHeight="1">
      <c r="A1" s="771" t="str">
        <f>+"令和"&amp;MID(総括表!A2,3,1)&amp;"年度決算　不課税収入区分表(一般会計負担金)"</f>
        <v>令和５年度決算　不課税収入区分表(一般会計負担金)</v>
      </c>
      <c r="B1" s="771"/>
      <c r="C1" s="771"/>
      <c r="D1" s="771"/>
      <c r="E1" s="771"/>
      <c r="F1" s="771"/>
      <c r="G1" s="771"/>
      <c r="H1" s="771"/>
      <c r="I1" s="771"/>
    </row>
    <row r="2" spans="1:14" ht="17.25" customHeight="1">
      <c r="A2" s="169"/>
      <c r="B2" s="169"/>
      <c r="C2" s="169"/>
      <c r="D2" s="169"/>
      <c r="E2" s="169"/>
      <c r="F2" s="170"/>
      <c r="G2" s="170"/>
      <c r="H2" s="170"/>
      <c r="I2" s="170"/>
    </row>
    <row r="3" spans="1:14" ht="17.25" customHeight="1" thickBot="1">
      <c r="A3" s="171"/>
      <c r="B3" s="171"/>
      <c r="C3" s="171"/>
      <c r="D3" s="171"/>
      <c r="E3" s="171"/>
      <c r="F3" s="172"/>
      <c r="G3" s="172"/>
      <c r="H3" s="172"/>
      <c r="I3" s="173" t="s">
        <v>14</v>
      </c>
    </row>
    <row r="4" spans="1:14" s="74" customFormat="1" ht="19.5" customHeight="1">
      <c r="A4" s="774" t="s">
        <v>62</v>
      </c>
      <c r="B4" s="737"/>
      <c r="C4" s="775"/>
      <c r="D4" s="735" t="s">
        <v>44</v>
      </c>
      <c r="E4" s="737" t="s">
        <v>45</v>
      </c>
      <c r="F4" s="281" t="s">
        <v>66</v>
      </c>
      <c r="G4" s="778" t="s">
        <v>47</v>
      </c>
      <c r="H4" s="778" t="s">
        <v>49</v>
      </c>
      <c r="I4" s="772" t="s">
        <v>50</v>
      </c>
      <c r="J4" s="292" t="s">
        <v>384</v>
      </c>
      <c r="K4" s="293"/>
      <c r="L4" s="293"/>
      <c r="M4" s="293"/>
      <c r="N4" s="185"/>
    </row>
    <row r="5" spans="1:14" s="74" customFormat="1" ht="19.5" customHeight="1">
      <c r="A5" s="776"/>
      <c r="B5" s="738"/>
      <c r="C5" s="777"/>
      <c r="D5" s="736"/>
      <c r="E5" s="738"/>
      <c r="F5" s="177" t="s">
        <v>68</v>
      </c>
      <c r="G5" s="779"/>
      <c r="H5" s="779"/>
      <c r="I5" s="773"/>
      <c r="J5" s="325">
        <v>0.03</v>
      </c>
      <c r="K5" s="421">
        <v>0.05</v>
      </c>
      <c r="L5" s="294">
        <v>0.08</v>
      </c>
      <c r="M5" s="416">
        <v>0.08</v>
      </c>
      <c r="N5" s="294">
        <v>0.1</v>
      </c>
    </row>
    <row r="6" spans="1:14" s="74" customFormat="1" ht="19.5" customHeight="1">
      <c r="A6" s="746" t="s">
        <v>51</v>
      </c>
      <c r="B6" s="747"/>
      <c r="C6" s="748"/>
      <c r="D6" s="788"/>
      <c r="E6" s="789"/>
      <c r="F6" s="179"/>
      <c r="G6" s="787">
        <f>G8+G20+G22+G28</f>
        <v>13974628227</v>
      </c>
      <c r="H6" s="787">
        <f>H8+H20+H22+H28</f>
        <v>2307267553</v>
      </c>
      <c r="I6" s="790">
        <f>I8+I20+I22+I28</f>
        <v>11667360674</v>
      </c>
      <c r="J6" s="185">
        <f>+SUM(J11,J15,J21,J23,J25)</f>
        <v>0</v>
      </c>
      <c r="K6" s="185">
        <f t="shared" ref="K6:N6" si="0">+SUM(K11,K15,K21,K23,K25)</f>
        <v>0</v>
      </c>
      <c r="L6" s="185">
        <f>+SUM(L11,L15,L21,L23,L25)</f>
        <v>455357</v>
      </c>
      <c r="M6" s="185">
        <f>+SUM(M11,M15,M21,M23,M25)</f>
        <v>130554</v>
      </c>
      <c r="N6" s="185">
        <f t="shared" si="0"/>
        <v>2306681642</v>
      </c>
    </row>
    <row r="7" spans="1:14" s="74" customFormat="1" ht="19.5" customHeight="1">
      <c r="A7" s="749"/>
      <c r="B7" s="750"/>
      <c r="C7" s="751"/>
      <c r="D7" s="786"/>
      <c r="E7" s="784"/>
      <c r="F7" s="284"/>
      <c r="G7" s="782"/>
      <c r="H7" s="782"/>
      <c r="I7" s="791"/>
      <c r="J7" s="185"/>
      <c r="K7" s="185"/>
      <c r="L7" s="185"/>
      <c r="M7" s="185"/>
      <c r="N7" s="185"/>
    </row>
    <row r="8" spans="1:14" s="74" customFormat="1" ht="19.5" customHeight="1">
      <c r="A8" s="180"/>
      <c r="B8" s="723" t="s">
        <v>0</v>
      </c>
      <c r="C8" s="724"/>
      <c r="D8" s="785"/>
      <c r="E8" s="783"/>
      <c r="F8" s="284"/>
      <c r="G8" s="781">
        <f>G10+G12+G18</f>
        <v>13869351636</v>
      </c>
      <c r="H8" s="781">
        <f>H10+H12+H18</f>
        <v>2284890841</v>
      </c>
      <c r="I8" s="792">
        <f>I10+I12+I18</f>
        <v>11584460795</v>
      </c>
      <c r="J8" s="185"/>
      <c r="K8" s="185"/>
      <c r="L8" s="185"/>
      <c r="M8" s="185"/>
      <c r="N8" s="185"/>
    </row>
    <row r="9" spans="1:14" s="74" customFormat="1" ht="19.5" customHeight="1">
      <c r="A9" s="180"/>
      <c r="B9" s="780"/>
      <c r="C9" s="751"/>
      <c r="D9" s="786"/>
      <c r="E9" s="784"/>
      <c r="F9" s="284"/>
      <c r="G9" s="782"/>
      <c r="H9" s="782"/>
      <c r="I9" s="791"/>
      <c r="J9" s="290"/>
      <c r="K9" s="290"/>
      <c r="L9" s="290"/>
      <c r="M9" s="290"/>
      <c r="N9" s="185"/>
    </row>
    <row r="10" spans="1:14" s="74" customFormat="1" ht="19.5" customHeight="1">
      <c r="A10" s="180"/>
      <c r="B10" s="280"/>
      <c r="C10" s="752" t="s">
        <v>1</v>
      </c>
      <c r="D10" s="763" t="s">
        <v>63</v>
      </c>
      <c r="E10" s="742" t="s">
        <v>52</v>
      </c>
      <c r="F10" s="272">
        <f>+'[1]3条支出'!$K$53</f>
        <v>2460111073</v>
      </c>
      <c r="G10" s="760">
        <f>+[3]雨汚水!$O$111</f>
        <v>3383678341</v>
      </c>
      <c r="H10" s="781">
        <f>IFERROR(ROUND((G10)*F10/F11,0),0)</f>
        <v>2257096108</v>
      </c>
      <c r="I10" s="792">
        <f>G10-H10</f>
        <v>1126582233</v>
      </c>
      <c r="J10" s="185"/>
      <c r="K10" s="290"/>
      <c r="L10" s="291">
        <f>+'[1]3条支出'!F$53+'[1]3条支出'!G$53+'[1]3条支出'!H$53</f>
        <v>496314</v>
      </c>
      <c r="M10" s="291">
        <f>+'[1]3条支出'!I$53</f>
        <v>142297</v>
      </c>
      <c r="N10" s="291">
        <f>+'[1]3条支出'!J$53</f>
        <v>2459472462</v>
      </c>
    </row>
    <row r="11" spans="1:14" s="74" customFormat="1" ht="19.5" customHeight="1">
      <c r="A11" s="180"/>
      <c r="B11" s="280"/>
      <c r="C11" s="762"/>
      <c r="D11" s="732"/>
      <c r="E11" s="743"/>
      <c r="F11" s="272">
        <f>'[1]3条支出'!$E$53</f>
        <v>3688023972</v>
      </c>
      <c r="G11" s="761"/>
      <c r="H11" s="782"/>
      <c r="I11" s="791"/>
      <c r="J11" s="185"/>
      <c r="K11" s="290"/>
      <c r="L11" s="185">
        <f>+H10-SUM(J11:K11,M11:N11)</f>
        <v>455357</v>
      </c>
      <c r="M11" s="185">
        <f>IFERROR(ROUND(M10/$F10*$H10,0),0)</f>
        <v>130554</v>
      </c>
      <c r="N11" s="185">
        <f>IFERROR(ROUND(N10/$F10*$H10,0),0)</f>
        <v>2256510197</v>
      </c>
    </row>
    <row r="12" spans="1:14" s="74" customFormat="1" ht="19.5" customHeight="1">
      <c r="A12" s="180"/>
      <c r="B12" s="280"/>
      <c r="C12" s="752" t="s">
        <v>18</v>
      </c>
      <c r="D12" s="744" t="s">
        <v>36</v>
      </c>
      <c r="E12" s="742" t="s">
        <v>64</v>
      </c>
      <c r="F12" s="284"/>
      <c r="G12" s="760">
        <f>+[3]雨汚水!$O$112</f>
        <v>8476549651</v>
      </c>
      <c r="H12" s="781">
        <f>IFERROR(ROUND((G12)*F12/F13,0),0)</f>
        <v>0</v>
      </c>
      <c r="I12" s="792">
        <f>G12-H12</f>
        <v>8476549651</v>
      </c>
      <c r="J12" s="185"/>
      <c r="K12" s="290"/>
      <c r="L12" s="185"/>
      <c r="M12" s="185"/>
      <c r="N12" s="185"/>
    </row>
    <row r="13" spans="1:14" s="74" customFormat="1" ht="19.5" customHeight="1">
      <c r="A13" s="180"/>
      <c r="B13" s="280"/>
      <c r="C13" s="753"/>
      <c r="D13" s="745"/>
      <c r="E13" s="743"/>
      <c r="F13" s="284"/>
      <c r="G13" s="761"/>
      <c r="H13" s="782"/>
      <c r="I13" s="791"/>
      <c r="J13" s="185"/>
      <c r="K13" s="290"/>
      <c r="L13" s="185"/>
      <c r="M13" s="185"/>
      <c r="N13" s="185"/>
    </row>
    <row r="14" spans="1:14" s="74" customFormat="1" ht="19.5" customHeight="1">
      <c r="A14" s="180"/>
      <c r="B14" s="280"/>
      <c r="C14" s="752" t="s">
        <v>53</v>
      </c>
      <c r="D14" s="744" t="s">
        <v>54</v>
      </c>
      <c r="E14" s="744" t="s">
        <v>209</v>
      </c>
      <c r="F14" s="198">
        <f>+[1]営外!$K$9</f>
        <v>61813753</v>
      </c>
      <c r="G14" s="760">
        <f>+[3]雨汚水!$O$115</f>
        <v>27794733</v>
      </c>
      <c r="H14" s="781">
        <f>G14</f>
        <v>27794733</v>
      </c>
      <c r="I14" s="792">
        <f>G14-H14</f>
        <v>0</v>
      </c>
      <c r="J14" s="185"/>
      <c r="K14" s="290"/>
      <c r="L14" s="295">
        <f>+[1]営外!F$9+[1]営外!G$9+[1]営外!H$9</f>
        <v>0</v>
      </c>
      <c r="M14" s="295">
        <f>+[1]営外!I$9</f>
        <v>0</v>
      </c>
      <c r="N14" s="295">
        <f>+[1]営外!J$9</f>
        <v>61813753</v>
      </c>
    </row>
    <row r="15" spans="1:14" s="74" customFormat="1" ht="19.5" customHeight="1">
      <c r="A15" s="180"/>
      <c r="B15" s="280"/>
      <c r="C15" s="764"/>
      <c r="D15" s="754"/>
      <c r="E15" s="745"/>
      <c r="F15" s="198">
        <f>+[1]営外!$E$9</f>
        <v>61813753</v>
      </c>
      <c r="G15" s="761"/>
      <c r="H15" s="782"/>
      <c r="I15" s="791"/>
      <c r="J15" s="185"/>
      <c r="K15" s="290"/>
      <c r="L15" s="185">
        <f>+H14-SUM(J15:K15,M15:N15)</f>
        <v>0</v>
      </c>
      <c r="M15" s="185">
        <f>IFERROR(ROUND(M14/$F14*$H14,0),0)</f>
        <v>0</v>
      </c>
      <c r="N15" s="185">
        <f>IFERROR(ROUND(N14/$F14*$H14,0),0)</f>
        <v>27794733</v>
      </c>
    </row>
    <row r="16" spans="1:14" s="74" customFormat="1" ht="19.5" customHeight="1">
      <c r="A16" s="180"/>
      <c r="B16" s="280"/>
      <c r="C16" s="764"/>
      <c r="D16" s="754"/>
      <c r="E16" s="731" t="s">
        <v>112</v>
      </c>
      <c r="F16" s="284"/>
      <c r="G16" s="768">
        <f>+[3]雨汚水!$O$114</f>
        <v>1981328911</v>
      </c>
      <c r="H16" s="781">
        <f>IFERROR(ROUND((G16)*F16/F17,0),0)</f>
        <v>0</v>
      </c>
      <c r="I16" s="795">
        <f>G16-H16</f>
        <v>1981328911</v>
      </c>
      <c r="J16" s="185"/>
      <c r="K16" s="290"/>
      <c r="L16" s="185"/>
      <c r="M16" s="185"/>
      <c r="N16" s="185"/>
    </row>
    <row r="17" spans="1:14" s="74" customFormat="1" ht="19.5" customHeight="1">
      <c r="A17" s="180"/>
      <c r="B17" s="280"/>
      <c r="C17" s="764"/>
      <c r="D17" s="754"/>
      <c r="E17" s="732"/>
      <c r="F17" s="284"/>
      <c r="G17" s="769"/>
      <c r="H17" s="782"/>
      <c r="I17" s="795"/>
      <c r="J17" s="185"/>
      <c r="K17" s="290"/>
      <c r="L17" s="185"/>
      <c r="M17" s="185"/>
      <c r="N17" s="185"/>
    </row>
    <row r="18" spans="1:14" s="74" customFormat="1" ht="19.5" customHeight="1">
      <c r="A18" s="180"/>
      <c r="B18" s="280"/>
      <c r="C18" s="764"/>
      <c r="D18" s="754"/>
      <c r="E18" s="758" t="s">
        <v>387</v>
      </c>
      <c r="F18" s="284"/>
      <c r="G18" s="766">
        <f>G14+G16</f>
        <v>2009123644</v>
      </c>
      <c r="H18" s="796">
        <f>H14+H16</f>
        <v>27794733</v>
      </c>
      <c r="I18" s="795">
        <f>I14+I16</f>
        <v>1981328911</v>
      </c>
      <c r="J18" s="185"/>
      <c r="K18" s="290"/>
      <c r="L18" s="185"/>
      <c r="M18" s="185"/>
      <c r="N18" s="185"/>
    </row>
    <row r="19" spans="1:14" s="74" customFormat="1" ht="19.5" customHeight="1">
      <c r="A19" s="180"/>
      <c r="B19" s="280"/>
      <c r="C19" s="765"/>
      <c r="D19" s="755"/>
      <c r="E19" s="770"/>
      <c r="F19" s="284"/>
      <c r="G19" s="767"/>
      <c r="H19" s="767"/>
      <c r="I19" s="795"/>
      <c r="J19" s="185"/>
      <c r="K19" s="290"/>
      <c r="L19" s="185"/>
      <c r="M19" s="185"/>
      <c r="N19" s="185"/>
    </row>
    <row r="20" spans="1:14" s="74" customFormat="1" ht="19.5" customHeight="1">
      <c r="A20" s="180"/>
      <c r="B20" s="739" t="s">
        <v>55</v>
      </c>
      <c r="C20" s="740"/>
      <c r="D20" s="741" t="s">
        <v>56</v>
      </c>
      <c r="E20" s="742" t="s">
        <v>57</v>
      </c>
      <c r="F20" s="272">
        <f>+'[1]3条支出'!$K$7</f>
        <v>12436317</v>
      </c>
      <c r="G20" s="760">
        <f>+[3]雨汚水!$O$116</f>
        <v>51313295</v>
      </c>
      <c r="H20" s="781">
        <f>IFERROR(ROUND((G20)*F20/F21,0),0)</f>
        <v>12168217</v>
      </c>
      <c r="I20" s="792">
        <f>G20-H20</f>
        <v>39145078</v>
      </c>
      <c r="J20" s="185"/>
      <c r="K20" s="290"/>
      <c r="L20" s="291">
        <f>+'[1]3条支出'!F$7+'[1]3条支出'!G$7+'[1]3条支出'!H$7</f>
        <v>0</v>
      </c>
      <c r="M20" s="291">
        <f>+'[1]3条支出'!I$7</f>
        <v>0</v>
      </c>
      <c r="N20" s="291">
        <f>+'[1]3条支出'!J$7</f>
        <v>12436317</v>
      </c>
    </row>
    <row r="21" spans="1:14" s="74" customFormat="1" ht="19.5" customHeight="1">
      <c r="A21" s="180"/>
      <c r="B21" s="739"/>
      <c r="C21" s="740"/>
      <c r="D21" s="741"/>
      <c r="E21" s="743"/>
      <c r="F21" s="272">
        <f>+'[1]3条支出'!$E$7</f>
        <v>52443869</v>
      </c>
      <c r="G21" s="761"/>
      <c r="H21" s="782"/>
      <c r="I21" s="791"/>
      <c r="J21" s="185"/>
      <c r="K21" s="290"/>
      <c r="L21" s="185">
        <f>+H20-SUM(J21:K21,M21:N21)</f>
        <v>0</v>
      </c>
      <c r="M21" s="185">
        <f>IFERROR(ROUND(M20/$F20*$H20,0),0)</f>
        <v>0</v>
      </c>
      <c r="N21" s="185">
        <f>IFERROR(ROUND(N20/$F20*$H20,0),0)</f>
        <v>12168217</v>
      </c>
    </row>
    <row r="22" spans="1:14" s="74" customFormat="1" ht="19.5" customHeight="1">
      <c r="A22" s="180"/>
      <c r="B22" s="739" t="s">
        <v>58</v>
      </c>
      <c r="C22" s="740"/>
      <c r="D22" s="741" t="s">
        <v>59</v>
      </c>
      <c r="E22" s="742" t="s">
        <v>60</v>
      </c>
      <c r="F22" s="272">
        <f>+'[1]3条支出'!$K$11</f>
        <v>18870469</v>
      </c>
      <c r="G22" s="760">
        <f>+[3]雨汚水!$O$117</f>
        <v>43567026</v>
      </c>
      <c r="H22" s="781">
        <f>IFERROR(ROUND((G22)*F22/F23,0),0)</f>
        <v>9253060</v>
      </c>
      <c r="I22" s="792">
        <f>G22-H22</f>
        <v>34313966</v>
      </c>
      <c r="J22" s="185"/>
      <c r="K22" s="290"/>
      <c r="L22" s="291">
        <f>+'[1]3条支出'!F$11+'[1]3条支出'!G$11+'[1]3条支出'!H$11</f>
        <v>0</v>
      </c>
      <c r="M22" s="291">
        <f>+'[1]3条支出'!I$11</f>
        <v>0</v>
      </c>
      <c r="N22" s="291">
        <f>+'[1]3条支出'!J$11</f>
        <v>18870469</v>
      </c>
    </row>
    <row r="23" spans="1:14" s="74" customFormat="1" ht="19.5" customHeight="1">
      <c r="A23" s="180"/>
      <c r="B23" s="739"/>
      <c r="C23" s="740"/>
      <c r="D23" s="741"/>
      <c r="E23" s="743"/>
      <c r="F23" s="272">
        <f>+'[1]3条支出'!$E$11</f>
        <v>88849549</v>
      </c>
      <c r="G23" s="761"/>
      <c r="H23" s="782"/>
      <c r="I23" s="791"/>
      <c r="J23" s="185"/>
      <c r="K23" s="290"/>
      <c r="L23" s="185">
        <f>+H22-SUM(J23:K23,M23:N23)</f>
        <v>0</v>
      </c>
      <c r="M23" s="185">
        <f>IFERROR(ROUND(M22/$F22*$H22,0),0)</f>
        <v>0</v>
      </c>
      <c r="N23" s="185">
        <f>IFERROR(ROUND(N22/$F22*$H22,0),0)</f>
        <v>9253060</v>
      </c>
    </row>
    <row r="24" spans="1:14" s="74" customFormat="1" ht="19.5" customHeight="1">
      <c r="A24" s="180"/>
      <c r="B24" s="723" t="s">
        <v>21</v>
      </c>
      <c r="C24" s="724"/>
      <c r="D24" s="731" t="s">
        <v>61</v>
      </c>
      <c r="E24" s="756" t="s">
        <v>143</v>
      </c>
      <c r="F24" s="272">
        <f>+'[1]3条支出'!$K$12</f>
        <v>963485</v>
      </c>
      <c r="G24" s="760">
        <f>+[3]雨汚水!$O$118</f>
        <v>10396270</v>
      </c>
      <c r="H24" s="781">
        <f>IFERROR(ROUND((G24)*F24/F25,0),0)</f>
        <v>955435</v>
      </c>
      <c r="I24" s="792">
        <f>G24-H24</f>
        <v>9440835</v>
      </c>
      <c r="J24" s="185"/>
      <c r="K24" s="290"/>
      <c r="L24" s="291">
        <f>+'[1]3条支出'!F$12+'[1]3条支出'!G$12+'[1]3条支出'!H$12</f>
        <v>0</v>
      </c>
      <c r="M24" s="291">
        <f>+'[1]3条支出'!I$12</f>
        <v>0</v>
      </c>
      <c r="N24" s="291">
        <f>+'[1]3条支出'!J$12</f>
        <v>963485</v>
      </c>
    </row>
    <row r="25" spans="1:14" s="74" customFormat="1" ht="19.5" customHeight="1">
      <c r="A25" s="180"/>
      <c r="B25" s="725"/>
      <c r="C25" s="726"/>
      <c r="D25" s="732"/>
      <c r="E25" s="757"/>
      <c r="F25" s="288">
        <f>+'[1]3条支出'!$E$12</f>
        <v>10483859</v>
      </c>
      <c r="G25" s="793"/>
      <c r="H25" s="782"/>
      <c r="I25" s="794"/>
      <c r="J25" s="185"/>
      <c r="K25" s="290"/>
      <c r="L25" s="185">
        <f>+H24-SUM(J25:K25,M25:N25)</f>
        <v>0</v>
      </c>
      <c r="M25" s="185">
        <f>IFERROR(ROUND(M24/$F24*$H24,0),0)</f>
        <v>0</v>
      </c>
      <c r="N25" s="185">
        <f>IFERROR(ROUND(N24/$F24*$H24,0),0)</f>
        <v>955435</v>
      </c>
    </row>
    <row r="26" spans="1:14" s="74" customFormat="1" ht="19.5" customHeight="1">
      <c r="A26" s="180"/>
      <c r="B26" s="727"/>
      <c r="C26" s="728"/>
      <c r="D26" s="733"/>
      <c r="E26" s="731" t="s">
        <v>210</v>
      </c>
      <c r="F26" s="182"/>
      <c r="G26" s="766">
        <f>G28-G24</f>
        <v>0</v>
      </c>
      <c r="H26" s="781">
        <f>IFERROR(ROUND((G26)*F26/F27,0),0)</f>
        <v>0</v>
      </c>
      <c r="I26" s="797">
        <f>G26-H26</f>
        <v>0</v>
      </c>
      <c r="J26" s="185"/>
      <c r="K26" s="290"/>
      <c r="L26" s="185"/>
      <c r="M26" s="185"/>
      <c r="N26" s="185"/>
    </row>
    <row r="27" spans="1:14" s="74" customFormat="1" ht="19.5" customHeight="1">
      <c r="A27" s="180"/>
      <c r="B27" s="727"/>
      <c r="C27" s="728"/>
      <c r="D27" s="733"/>
      <c r="E27" s="732"/>
      <c r="F27" s="183"/>
      <c r="G27" s="796"/>
      <c r="H27" s="782"/>
      <c r="I27" s="799"/>
      <c r="J27" s="185"/>
      <c r="K27" s="290"/>
      <c r="L27" s="185"/>
      <c r="M27" s="185"/>
      <c r="N27" s="185"/>
    </row>
    <row r="28" spans="1:14" s="74" customFormat="1" ht="19.5" customHeight="1">
      <c r="A28" s="180"/>
      <c r="B28" s="727"/>
      <c r="C28" s="728"/>
      <c r="D28" s="733"/>
      <c r="E28" s="758" t="s">
        <v>387</v>
      </c>
      <c r="F28" s="183"/>
      <c r="G28" s="766">
        <f>+G24</f>
        <v>10396270</v>
      </c>
      <c r="H28" s="796">
        <f>H24+H26</f>
        <v>955435</v>
      </c>
      <c r="I28" s="797">
        <f>I24+I26</f>
        <v>9440835</v>
      </c>
      <c r="J28" s="185"/>
      <c r="K28" s="185"/>
      <c r="L28" s="185"/>
      <c r="M28" s="185"/>
      <c r="N28" s="185"/>
    </row>
    <row r="29" spans="1:14" s="74" customFormat="1" ht="19.5" customHeight="1" thickBot="1">
      <c r="A29" s="296"/>
      <c r="B29" s="729"/>
      <c r="C29" s="730"/>
      <c r="D29" s="734"/>
      <c r="E29" s="759"/>
      <c r="F29" s="184"/>
      <c r="G29" s="800"/>
      <c r="H29" s="800"/>
      <c r="I29" s="798"/>
      <c r="J29" s="185"/>
      <c r="K29" s="185"/>
      <c r="L29" s="185"/>
      <c r="M29" s="185"/>
      <c r="N29" s="185"/>
    </row>
    <row r="30" spans="1:14" s="74" customFormat="1" ht="19.5" customHeight="1">
      <c r="F30" s="289" t="s">
        <v>390</v>
      </c>
      <c r="G30" s="172">
        <f>+[3]雨汚水!$O$109</f>
        <v>13974628227</v>
      </c>
      <c r="H30" s="185"/>
      <c r="I30" s="185"/>
      <c r="J30" s="185"/>
      <c r="K30" s="185"/>
      <c r="L30" s="185"/>
      <c r="M30" s="185"/>
      <c r="N30" s="185"/>
    </row>
    <row r="31" spans="1:14" s="74" customFormat="1" ht="11.25">
      <c r="F31" s="289" t="s">
        <v>391</v>
      </c>
      <c r="G31" s="172">
        <f>+G6-G30</f>
        <v>0</v>
      </c>
      <c r="H31" s="185"/>
      <c r="I31" s="185"/>
      <c r="J31" s="185"/>
      <c r="K31" s="185"/>
      <c r="L31" s="185"/>
      <c r="M31" s="185"/>
      <c r="N31" s="185"/>
    </row>
    <row r="32" spans="1:14" s="74" customFormat="1" ht="11.25">
      <c r="F32" s="185"/>
      <c r="G32" s="185"/>
      <c r="H32" s="185"/>
      <c r="I32" s="185"/>
      <c r="J32" s="185"/>
      <c r="K32" s="185"/>
      <c r="L32" s="185"/>
      <c r="M32" s="185"/>
      <c r="N32" s="185"/>
    </row>
    <row r="33" spans="6:14" s="74" customFormat="1" ht="11.25">
      <c r="F33" s="185"/>
      <c r="G33" s="185"/>
      <c r="H33" s="185"/>
      <c r="I33" s="185"/>
      <c r="J33" s="185"/>
      <c r="K33" s="185"/>
      <c r="L33" s="185"/>
      <c r="M33" s="185"/>
      <c r="N33" s="185"/>
    </row>
    <row r="34" spans="6:14" s="74" customFormat="1" ht="11.25">
      <c r="F34" s="185"/>
      <c r="G34" s="185"/>
      <c r="H34" s="185"/>
      <c r="I34" s="185"/>
      <c r="J34" s="185"/>
      <c r="K34" s="185"/>
      <c r="L34" s="185"/>
      <c r="M34" s="185"/>
      <c r="N34" s="185"/>
    </row>
    <row r="35" spans="6:14" s="74" customFormat="1" ht="11.25">
      <c r="F35" s="185"/>
      <c r="G35" s="185"/>
      <c r="H35" s="185"/>
      <c r="I35" s="185"/>
      <c r="J35" s="185"/>
      <c r="K35" s="185"/>
      <c r="L35" s="185"/>
      <c r="M35" s="185"/>
      <c r="N35" s="185"/>
    </row>
    <row r="36" spans="6:14" s="74" customFormat="1" ht="11.25">
      <c r="F36" s="185"/>
      <c r="G36" s="185"/>
      <c r="H36" s="185"/>
      <c r="I36" s="185"/>
      <c r="J36" s="185"/>
      <c r="K36" s="185"/>
      <c r="L36" s="185"/>
      <c r="M36" s="185"/>
      <c r="N36" s="185"/>
    </row>
    <row r="37" spans="6:14" s="74" customFormat="1" ht="11.25">
      <c r="F37" s="185"/>
      <c r="G37" s="185"/>
      <c r="H37" s="185"/>
      <c r="I37" s="185"/>
      <c r="J37" s="185"/>
      <c r="K37" s="185"/>
      <c r="L37" s="185"/>
      <c r="M37" s="185"/>
      <c r="N37" s="185"/>
    </row>
    <row r="38" spans="6:14" s="74" customFormat="1" ht="11.25">
      <c r="F38" s="185"/>
      <c r="G38" s="185"/>
      <c r="H38" s="185"/>
      <c r="I38" s="185"/>
      <c r="J38" s="185"/>
      <c r="K38" s="185"/>
      <c r="L38" s="185"/>
      <c r="M38" s="185"/>
      <c r="N38" s="185"/>
    </row>
    <row r="39" spans="6:14" s="74" customFormat="1" ht="11.25">
      <c r="F39" s="185"/>
      <c r="G39" s="185"/>
      <c r="H39" s="185"/>
      <c r="I39" s="185"/>
      <c r="J39" s="185"/>
      <c r="K39" s="185"/>
      <c r="L39" s="185"/>
      <c r="M39" s="185"/>
      <c r="N39" s="185"/>
    </row>
    <row r="40" spans="6:14" s="74" customFormat="1" ht="11.25">
      <c r="F40" s="185"/>
      <c r="G40" s="185"/>
      <c r="H40" s="185"/>
      <c r="I40" s="185"/>
      <c r="J40" s="185"/>
      <c r="K40" s="185"/>
      <c r="L40" s="185"/>
      <c r="M40" s="185"/>
      <c r="N40" s="185"/>
    </row>
    <row r="41" spans="6:14" s="74" customFormat="1" ht="11.25">
      <c r="F41" s="185"/>
      <c r="G41" s="185"/>
      <c r="H41" s="185"/>
      <c r="I41" s="185"/>
      <c r="J41" s="185"/>
      <c r="K41" s="185"/>
      <c r="L41" s="185"/>
      <c r="M41" s="185"/>
      <c r="N41" s="185"/>
    </row>
    <row r="42" spans="6:14" s="74" customFormat="1" ht="11.25">
      <c r="F42" s="185"/>
      <c r="G42" s="185"/>
      <c r="H42" s="185"/>
      <c r="I42" s="185"/>
      <c r="J42" s="185"/>
      <c r="K42" s="185"/>
      <c r="L42" s="185"/>
      <c r="M42" s="185"/>
      <c r="N42" s="185"/>
    </row>
    <row r="43" spans="6:14" s="74" customFormat="1" ht="11.25">
      <c r="F43" s="185"/>
      <c r="G43" s="185"/>
      <c r="H43" s="185"/>
      <c r="I43" s="185"/>
      <c r="J43" s="185"/>
      <c r="K43" s="185"/>
      <c r="L43" s="185"/>
      <c r="M43" s="185"/>
      <c r="N43" s="185"/>
    </row>
    <row r="44" spans="6:14" s="74" customFormat="1" ht="11.25">
      <c r="F44" s="185"/>
      <c r="G44" s="185"/>
      <c r="H44" s="185"/>
      <c r="I44" s="185"/>
      <c r="J44" s="185"/>
      <c r="K44" s="185"/>
      <c r="L44" s="185"/>
      <c r="M44" s="185"/>
      <c r="N44" s="185"/>
    </row>
    <row r="45" spans="6:14" s="74" customFormat="1" ht="11.25">
      <c r="F45" s="185"/>
      <c r="G45" s="185"/>
      <c r="H45" s="185"/>
      <c r="I45" s="185"/>
      <c r="J45" s="185"/>
      <c r="K45" s="185"/>
      <c r="L45" s="185"/>
      <c r="M45" s="185"/>
      <c r="N45" s="185"/>
    </row>
    <row r="46" spans="6:14" s="74" customFormat="1" ht="11.25">
      <c r="F46" s="185"/>
      <c r="G46" s="185"/>
      <c r="H46" s="185"/>
      <c r="I46" s="185"/>
      <c r="J46" s="185"/>
      <c r="K46" s="185"/>
      <c r="L46" s="185"/>
      <c r="M46" s="185"/>
      <c r="N46" s="185"/>
    </row>
    <row r="47" spans="6:14" s="74" customFormat="1" ht="11.25">
      <c r="F47" s="185"/>
      <c r="G47" s="185"/>
      <c r="H47" s="185"/>
      <c r="I47" s="185"/>
      <c r="J47" s="185"/>
      <c r="K47" s="185"/>
      <c r="L47" s="185"/>
      <c r="M47" s="185"/>
      <c r="N47" s="185"/>
    </row>
    <row r="48" spans="6:14" s="74" customFormat="1" ht="11.25">
      <c r="F48" s="185"/>
      <c r="G48" s="185"/>
      <c r="H48" s="185"/>
      <c r="I48" s="185"/>
      <c r="J48" s="185"/>
      <c r="K48" s="185"/>
      <c r="L48" s="185"/>
      <c r="M48" s="185"/>
      <c r="N48" s="185"/>
    </row>
    <row r="49" spans="6:14" s="74" customFormat="1" ht="11.25">
      <c r="F49" s="185"/>
      <c r="G49" s="185"/>
      <c r="H49" s="185"/>
      <c r="I49" s="185"/>
      <c r="J49" s="185"/>
      <c r="K49" s="185"/>
      <c r="L49" s="185"/>
      <c r="M49" s="185"/>
      <c r="N49" s="185"/>
    </row>
    <row r="50" spans="6:14" s="74" customFormat="1" ht="11.25">
      <c r="F50" s="185"/>
      <c r="G50" s="185"/>
      <c r="H50" s="185"/>
      <c r="I50" s="185"/>
      <c r="J50" s="185"/>
      <c r="K50" s="185"/>
      <c r="L50" s="185"/>
      <c r="M50" s="185"/>
      <c r="N50" s="185"/>
    </row>
    <row r="51" spans="6:14" s="74" customFormat="1" ht="11.25">
      <c r="F51" s="185"/>
      <c r="G51" s="185"/>
      <c r="H51" s="185"/>
      <c r="I51" s="185"/>
      <c r="J51" s="185"/>
      <c r="K51" s="185"/>
      <c r="L51" s="185"/>
      <c r="M51" s="185"/>
      <c r="N51" s="185"/>
    </row>
    <row r="52" spans="6:14" s="74" customFormat="1" ht="11.25">
      <c r="F52" s="185"/>
      <c r="G52" s="185"/>
      <c r="H52" s="185"/>
      <c r="I52" s="185"/>
      <c r="J52" s="185"/>
      <c r="K52" s="185"/>
      <c r="L52" s="185"/>
      <c r="M52" s="185"/>
      <c r="N52" s="185"/>
    </row>
    <row r="53" spans="6:14" s="74" customFormat="1" ht="11.25">
      <c r="F53" s="185"/>
      <c r="G53" s="185"/>
      <c r="H53" s="185"/>
      <c r="I53" s="185"/>
      <c r="J53" s="185"/>
      <c r="K53" s="185"/>
      <c r="L53" s="185"/>
      <c r="M53" s="185"/>
      <c r="N53" s="185"/>
    </row>
    <row r="54" spans="6:14" s="74" customFormat="1" ht="11.25">
      <c r="F54" s="185"/>
      <c r="G54" s="185"/>
      <c r="H54" s="185"/>
      <c r="I54" s="185"/>
      <c r="J54" s="185"/>
      <c r="K54" s="185"/>
      <c r="L54" s="185"/>
      <c r="M54" s="185"/>
      <c r="N54" s="185"/>
    </row>
    <row r="55" spans="6:14" s="74" customFormat="1" ht="11.25">
      <c r="F55" s="185"/>
      <c r="G55" s="185"/>
      <c r="H55" s="185"/>
      <c r="I55" s="185"/>
      <c r="J55" s="185"/>
      <c r="K55" s="185"/>
      <c r="L55" s="185"/>
      <c r="M55" s="185"/>
      <c r="N55" s="185"/>
    </row>
    <row r="56" spans="6:14" s="74" customFormat="1" ht="11.25">
      <c r="F56" s="185"/>
      <c r="G56" s="185"/>
      <c r="H56" s="185"/>
      <c r="I56" s="185"/>
      <c r="J56" s="185"/>
      <c r="K56" s="185"/>
      <c r="L56" s="185"/>
      <c r="M56" s="185"/>
      <c r="N56" s="185"/>
    </row>
    <row r="57" spans="6:14" s="74" customFormat="1" ht="11.25">
      <c r="F57" s="185"/>
      <c r="G57" s="185"/>
      <c r="H57" s="185"/>
      <c r="I57" s="185"/>
      <c r="J57" s="185"/>
      <c r="K57" s="185"/>
      <c r="L57" s="185"/>
      <c r="M57" s="185"/>
      <c r="N57" s="185"/>
    </row>
    <row r="58" spans="6:14" s="74" customFormat="1" ht="11.25">
      <c r="F58" s="185"/>
      <c r="G58" s="185"/>
      <c r="H58" s="185"/>
      <c r="I58" s="185"/>
      <c r="J58" s="185"/>
      <c r="K58" s="185"/>
      <c r="L58" s="185"/>
      <c r="M58" s="185"/>
      <c r="N58" s="185"/>
    </row>
    <row r="59" spans="6:14" s="74" customFormat="1" ht="11.25">
      <c r="F59" s="185"/>
      <c r="G59" s="185"/>
      <c r="H59" s="185"/>
      <c r="I59" s="185"/>
      <c r="J59" s="185"/>
      <c r="K59" s="185"/>
      <c r="L59" s="185"/>
      <c r="M59" s="185"/>
      <c r="N59" s="185"/>
    </row>
    <row r="60" spans="6:14" s="74" customFormat="1" ht="11.25">
      <c r="F60" s="185"/>
      <c r="G60" s="185"/>
      <c r="H60" s="185"/>
      <c r="I60" s="185"/>
      <c r="J60" s="185"/>
      <c r="K60" s="185"/>
      <c r="L60" s="185"/>
      <c r="M60" s="185"/>
      <c r="N60" s="185"/>
    </row>
    <row r="61" spans="6:14" s="74" customFormat="1" ht="11.25">
      <c r="F61" s="185"/>
      <c r="G61" s="185"/>
      <c r="H61" s="185"/>
      <c r="I61" s="185"/>
      <c r="J61" s="185"/>
      <c r="K61" s="185"/>
      <c r="L61" s="185"/>
      <c r="M61" s="185"/>
      <c r="N61" s="185"/>
    </row>
    <row r="62" spans="6:14" s="74" customFormat="1" ht="11.25">
      <c r="F62" s="185"/>
      <c r="G62" s="185"/>
      <c r="H62" s="185"/>
      <c r="I62" s="185"/>
      <c r="J62" s="185"/>
      <c r="K62" s="185"/>
      <c r="L62" s="185"/>
      <c r="M62" s="185"/>
      <c r="N62" s="185"/>
    </row>
    <row r="63" spans="6:14" s="74" customFormat="1" ht="11.25">
      <c r="F63" s="185"/>
      <c r="G63" s="185"/>
      <c r="H63" s="185"/>
      <c r="I63" s="185"/>
      <c r="J63" s="185"/>
      <c r="K63" s="185"/>
      <c r="L63" s="185"/>
      <c r="M63" s="185"/>
      <c r="N63" s="185"/>
    </row>
    <row r="64" spans="6:14" s="74" customFormat="1" ht="11.25">
      <c r="F64" s="185"/>
      <c r="G64" s="185"/>
      <c r="H64" s="185"/>
      <c r="I64" s="185"/>
      <c r="J64" s="185"/>
      <c r="K64" s="185"/>
      <c r="L64" s="185"/>
      <c r="M64" s="185"/>
      <c r="N64" s="185"/>
    </row>
    <row r="65" spans="6:14" s="74" customFormat="1" ht="11.25">
      <c r="F65" s="185"/>
      <c r="G65" s="185"/>
      <c r="H65" s="185"/>
      <c r="I65" s="185"/>
      <c r="J65" s="185"/>
      <c r="K65" s="185"/>
      <c r="L65" s="185"/>
      <c r="M65" s="185"/>
      <c r="N65" s="185"/>
    </row>
    <row r="66" spans="6:14" s="74" customFormat="1" ht="11.25">
      <c r="F66" s="185"/>
      <c r="G66" s="185"/>
      <c r="H66" s="185"/>
      <c r="I66" s="185"/>
      <c r="J66" s="185"/>
      <c r="K66" s="185"/>
      <c r="L66" s="185"/>
      <c r="M66" s="185"/>
      <c r="N66" s="185"/>
    </row>
    <row r="67" spans="6:14" s="74" customFormat="1" ht="11.25">
      <c r="F67" s="185"/>
      <c r="G67" s="185"/>
      <c r="H67" s="185"/>
      <c r="I67" s="185"/>
      <c r="J67" s="185"/>
      <c r="K67" s="185"/>
      <c r="L67" s="185"/>
      <c r="M67" s="185"/>
      <c r="N67" s="185"/>
    </row>
    <row r="68" spans="6:14" s="74" customFormat="1" ht="11.25">
      <c r="F68" s="185"/>
      <c r="G68" s="185"/>
      <c r="H68" s="185"/>
      <c r="I68" s="185"/>
      <c r="J68" s="185"/>
      <c r="K68" s="185"/>
      <c r="L68" s="185"/>
      <c r="M68" s="185"/>
      <c r="N68" s="185"/>
    </row>
    <row r="69" spans="6:14" s="74" customFormat="1" ht="11.25">
      <c r="F69" s="185"/>
      <c r="G69" s="185"/>
      <c r="H69" s="185"/>
      <c r="I69" s="185"/>
      <c r="J69" s="185"/>
      <c r="K69" s="185"/>
      <c r="L69" s="185"/>
      <c r="M69" s="185"/>
      <c r="N69" s="185"/>
    </row>
    <row r="70" spans="6:14" s="74" customFormat="1" ht="11.25">
      <c r="F70" s="185"/>
      <c r="G70" s="185"/>
      <c r="H70" s="185"/>
      <c r="I70" s="185"/>
      <c r="J70" s="185"/>
      <c r="K70" s="185"/>
      <c r="L70" s="185"/>
      <c r="M70" s="185"/>
      <c r="N70" s="185"/>
    </row>
    <row r="71" spans="6:14" s="74" customFormat="1" ht="11.25">
      <c r="F71" s="185"/>
      <c r="G71" s="185"/>
      <c r="H71" s="185"/>
      <c r="I71" s="185"/>
      <c r="J71" s="185"/>
      <c r="K71" s="185"/>
      <c r="L71" s="185"/>
      <c r="M71" s="185"/>
      <c r="N71" s="185"/>
    </row>
    <row r="72" spans="6:14" s="74" customFormat="1" ht="11.25">
      <c r="F72" s="185"/>
      <c r="G72" s="185"/>
      <c r="H72" s="185"/>
      <c r="I72" s="185"/>
      <c r="J72" s="185"/>
      <c r="K72" s="185"/>
      <c r="L72" s="185"/>
      <c r="M72" s="185"/>
      <c r="N72" s="185"/>
    </row>
    <row r="73" spans="6:14" s="74" customFormat="1" ht="11.25">
      <c r="F73" s="185"/>
      <c r="G73" s="185"/>
      <c r="H73" s="185"/>
      <c r="I73" s="185"/>
      <c r="J73" s="185"/>
      <c r="K73" s="185"/>
      <c r="L73" s="185"/>
      <c r="M73" s="185"/>
      <c r="N73" s="185"/>
    </row>
    <row r="74" spans="6:14" s="74" customFormat="1" ht="11.25">
      <c r="F74" s="185"/>
      <c r="G74" s="185"/>
      <c r="H74" s="185"/>
      <c r="I74" s="185"/>
      <c r="J74" s="185"/>
      <c r="K74" s="185"/>
      <c r="L74" s="185"/>
      <c r="M74" s="185"/>
      <c r="N74" s="185"/>
    </row>
    <row r="75" spans="6:14" s="74" customFormat="1" ht="11.25">
      <c r="F75" s="185"/>
      <c r="G75" s="185"/>
      <c r="H75" s="185"/>
      <c r="I75" s="185"/>
      <c r="J75" s="185"/>
      <c r="K75" s="185"/>
      <c r="L75" s="185"/>
      <c r="M75" s="185"/>
      <c r="N75" s="185"/>
    </row>
    <row r="76" spans="6:14" s="74" customFormat="1" ht="11.25">
      <c r="F76" s="185"/>
      <c r="G76" s="185"/>
      <c r="H76" s="185"/>
      <c r="I76" s="185"/>
      <c r="J76" s="185"/>
      <c r="K76" s="185"/>
      <c r="L76" s="185"/>
      <c r="M76" s="185"/>
      <c r="N76" s="185"/>
    </row>
    <row r="77" spans="6:14" s="74" customFormat="1" ht="11.25">
      <c r="F77" s="185"/>
      <c r="G77" s="185"/>
      <c r="H77" s="185"/>
      <c r="I77" s="185"/>
      <c r="J77" s="185"/>
      <c r="K77" s="185"/>
      <c r="L77" s="185"/>
      <c r="M77" s="185"/>
      <c r="N77" s="185"/>
    </row>
    <row r="78" spans="6:14" s="74" customFormat="1" ht="11.25">
      <c r="F78" s="185"/>
      <c r="G78" s="185"/>
      <c r="H78" s="185"/>
      <c r="I78" s="185"/>
      <c r="J78" s="185"/>
      <c r="K78" s="185"/>
      <c r="L78" s="185"/>
      <c r="M78" s="185"/>
      <c r="N78" s="185"/>
    </row>
    <row r="79" spans="6:14" s="74" customFormat="1" ht="11.25">
      <c r="F79" s="185"/>
      <c r="G79" s="185"/>
      <c r="H79" s="185"/>
      <c r="I79" s="185"/>
      <c r="J79" s="185"/>
      <c r="K79" s="185"/>
      <c r="L79" s="185"/>
      <c r="M79" s="185"/>
      <c r="N79" s="185"/>
    </row>
    <row r="80" spans="6:14" s="74" customFormat="1" ht="11.25">
      <c r="F80" s="185"/>
      <c r="G80" s="185"/>
      <c r="H80" s="185"/>
      <c r="I80" s="185"/>
      <c r="J80" s="185"/>
      <c r="K80" s="185"/>
      <c r="L80" s="185"/>
      <c r="M80" s="185"/>
      <c r="N80" s="185"/>
    </row>
    <row r="81" spans="6:14" s="74" customFormat="1" ht="11.25">
      <c r="F81" s="185"/>
      <c r="G81" s="185"/>
      <c r="H81" s="185"/>
      <c r="I81" s="185"/>
      <c r="J81" s="185"/>
      <c r="K81" s="185"/>
      <c r="L81" s="185"/>
      <c r="M81" s="185"/>
      <c r="N81" s="185"/>
    </row>
    <row r="82" spans="6:14" s="74" customFormat="1" ht="11.25">
      <c r="F82" s="185"/>
      <c r="G82" s="185"/>
      <c r="H82" s="185"/>
      <c r="I82" s="185"/>
      <c r="J82" s="185"/>
      <c r="K82" s="185"/>
      <c r="L82" s="185"/>
      <c r="M82" s="185"/>
      <c r="N82" s="185"/>
    </row>
    <row r="83" spans="6:14" s="74" customFormat="1" ht="11.25">
      <c r="F83" s="185"/>
      <c r="G83" s="185"/>
      <c r="H83" s="185"/>
      <c r="I83" s="185"/>
      <c r="J83" s="185"/>
      <c r="K83" s="185"/>
      <c r="L83" s="185"/>
      <c r="M83" s="185"/>
      <c r="N83" s="185"/>
    </row>
    <row r="84" spans="6:14" s="74" customFormat="1" ht="11.25">
      <c r="F84" s="185"/>
      <c r="G84" s="185"/>
      <c r="H84" s="185"/>
      <c r="I84" s="185"/>
      <c r="J84" s="185"/>
      <c r="K84" s="185"/>
      <c r="L84" s="185"/>
      <c r="M84" s="185"/>
      <c r="N84" s="185"/>
    </row>
    <row r="85" spans="6:14" s="74" customFormat="1" ht="11.25">
      <c r="F85" s="185"/>
      <c r="G85" s="185"/>
      <c r="H85" s="185"/>
      <c r="I85" s="185"/>
      <c r="J85" s="185"/>
      <c r="K85" s="185"/>
      <c r="L85" s="185"/>
      <c r="M85" s="185"/>
      <c r="N85" s="185"/>
    </row>
    <row r="86" spans="6:14" s="74" customFormat="1" ht="11.25">
      <c r="F86" s="185"/>
      <c r="G86" s="185"/>
      <c r="H86" s="185"/>
      <c r="I86" s="185"/>
      <c r="J86" s="185"/>
      <c r="K86" s="185"/>
      <c r="L86" s="185"/>
      <c r="M86" s="185"/>
      <c r="N86" s="185"/>
    </row>
    <row r="87" spans="6:14" s="74" customFormat="1" ht="11.25">
      <c r="F87" s="185"/>
      <c r="G87" s="185"/>
      <c r="H87" s="185"/>
      <c r="I87" s="185"/>
      <c r="J87" s="185"/>
      <c r="K87" s="185"/>
      <c r="L87" s="185"/>
      <c r="M87" s="185"/>
      <c r="N87" s="185"/>
    </row>
    <row r="88" spans="6:14" s="74" customFormat="1" ht="11.25">
      <c r="F88" s="185"/>
      <c r="G88" s="185"/>
      <c r="H88" s="185"/>
      <c r="I88" s="185"/>
      <c r="J88" s="185"/>
      <c r="K88" s="185"/>
      <c r="L88" s="185"/>
      <c r="M88" s="185"/>
      <c r="N88" s="185"/>
    </row>
    <row r="89" spans="6:14" s="74" customFormat="1" ht="11.25">
      <c r="F89" s="185"/>
      <c r="G89" s="185"/>
      <c r="H89" s="185"/>
      <c r="I89" s="185"/>
      <c r="J89" s="185"/>
      <c r="K89" s="185"/>
      <c r="L89" s="185"/>
      <c r="M89" s="185"/>
      <c r="N89" s="185"/>
    </row>
    <row r="90" spans="6:14" s="74" customFormat="1" ht="11.25">
      <c r="F90" s="185"/>
      <c r="G90" s="185"/>
      <c r="H90" s="185"/>
      <c r="I90" s="185"/>
      <c r="J90" s="185"/>
      <c r="K90" s="185"/>
      <c r="L90" s="185"/>
      <c r="M90" s="185"/>
      <c r="N90" s="185"/>
    </row>
    <row r="91" spans="6:14" s="74" customFormat="1" ht="11.25">
      <c r="F91" s="185"/>
      <c r="G91" s="185"/>
      <c r="H91" s="185"/>
      <c r="I91" s="185"/>
      <c r="J91" s="185"/>
      <c r="K91" s="185"/>
      <c r="L91" s="185"/>
      <c r="M91" s="185"/>
      <c r="N91" s="185"/>
    </row>
    <row r="92" spans="6:14" s="74" customFormat="1" ht="11.25">
      <c r="F92" s="185"/>
      <c r="G92" s="185"/>
      <c r="H92" s="185"/>
      <c r="I92" s="185"/>
      <c r="J92" s="185"/>
      <c r="K92" s="185"/>
      <c r="L92" s="185"/>
      <c r="M92" s="185"/>
      <c r="N92" s="185"/>
    </row>
    <row r="93" spans="6:14" s="74" customFormat="1" ht="11.25">
      <c r="F93" s="185"/>
      <c r="G93" s="185"/>
      <c r="H93" s="185"/>
      <c r="I93" s="185"/>
      <c r="J93" s="185"/>
      <c r="K93" s="185"/>
      <c r="L93" s="185"/>
      <c r="M93" s="185"/>
      <c r="N93" s="185"/>
    </row>
    <row r="94" spans="6:14" s="74" customFormat="1" ht="11.25">
      <c r="F94" s="185"/>
      <c r="G94" s="185"/>
      <c r="H94" s="185"/>
      <c r="I94" s="185"/>
      <c r="J94" s="185"/>
      <c r="K94" s="185"/>
      <c r="L94" s="185"/>
      <c r="M94" s="185"/>
      <c r="N94" s="185"/>
    </row>
    <row r="95" spans="6:14" s="74" customFormat="1" ht="11.25">
      <c r="F95" s="185"/>
      <c r="G95" s="185"/>
      <c r="H95" s="185"/>
      <c r="I95" s="185"/>
      <c r="J95" s="185"/>
      <c r="K95" s="185"/>
      <c r="L95" s="185"/>
      <c r="M95" s="185"/>
      <c r="N95" s="185"/>
    </row>
    <row r="96" spans="6:14" s="74" customFormat="1" ht="11.25">
      <c r="F96" s="185"/>
      <c r="G96" s="185"/>
      <c r="H96" s="185"/>
      <c r="I96" s="185"/>
      <c r="J96" s="185"/>
      <c r="K96" s="185"/>
      <c r="L96" s="185"/>
      <c r="M96" s="185"/>
      <c r="N96" s="185"/>
    </row>
    <row r="97" spans="6:14" s="74" customFormat="1" ht="11.25">
      <c r="F97" s="185"/>
      <c r="G97" s="185"/>
      <c r="H97" s="185"/>
      <c r="I97" s="185"/>
      <c r="J97" s="185"/>
      <c r="K97" s="185"/>
      <c r="L97" s="185"/>
      <c r="M97" s="185"/>
      <c r="N97" s="185"/>
    </row>
    <row r="98" spans="6:14" s="74" customFormat="1" ht="11.25">
      <c r="F98" s="185"/>
      <c r="G98" s="185"/>
      <c r="H98" s="185"/>
      <c r="I98" s="185"/>
      <c r="J98" s="185"/>
      <c r="K98" s="185"/>
      <c r="L98" s="185"/>
      <c r="M98" s="185"/>
      <c r="N98" s="185"/>
    </row>
    <row r="99" spans="6:14" s="74" customFormat="1" ht="11.25">
      <c r="F99" s="185"/>
      <c r="G99" s="185"/>
      <c r="H99" s="185"/>
      <c r="I99" s="185"/>
      <c r="J99" s="185"/>
      <c r="K99" s="185"/>
      <c r="L99" s="185"/>
      <c r="M99" s="185"/>
      <c r="N99" s="185"/>
    </row>
    <row r="100" spans="6:14" s="74" customFormat="1" ht="11.25">
      <c r="F100" s="185"/>
      <c r="G100" s="185"/>
      <c r="H100" s="185"/>
      <c r="I100" s="185"/>
      <c r="J100" s="185"/>
      <c r="K100" s="185"/>
      <c r="L100" s="185"/>
      <c r="M100" s="185"/>
      <c r="N100" s="185"/>
    </row>
    <row r="101" spans="6:14" s="74" customFormat="1" ht="11.25">
      <c r="F101" s="185"/>
      <c r="G101" s="185"/>
      <c r="H101" s="185"/>
      <c r="I101" s="185"/>
      <c r="J101" s="185"/>
      <c r="K101" s="185"/>
      <c r="L101" s="185"/>
      <c r="M101" s="185"/>
      <c r="N101" s="185"/>
    </row>
    <row r="102" spans="6:14" s="74" customFormat="1" ht="11.25">
      <c r="F102" s="185"/>
      <c r="G102" s="185"/>
      <c r="H102" s="185"/>
      <c r="I102" s="185"/>
      <c r="J102" s="185"/>
      <c r="K102" s="185"/>
      <c r="L102" s="185"/>
      <c r="M102" s="185"/>
      <c r="N102" s="185"/>
    </row>
    <row r="103" spans="6:14" s="74" customFormat="1" ht="11.25">
      <c r="F103" s="185"/>
      <c r="G103" s="185"/>
      <c r="H103" s="185"/>
      <c r="I103" s="185"/>
      <c r="J103" s="185"/>
      <c r="K103" s="185"/>
      <c r="L103" s="185"/>
      <c r="M103" s="185"/>
      <c r="N103" s="185"/>
    </row>
    <row r="104" spans="6:14" s="74" customFormat="1" ht="11.25">
      <c r="F104" s="185"/>
      <c r="G104" s="185"/>
      <c r="H104" s="185"/>
      <c r="I104" s="185"/>
      <c r="J104" s="185"/>
      <c r="K104" s="185"/>
      <c r="L104" s="185"/>
      <c r="M104" s="185"/>
      <c r="N104" s="185"/>
    </row>
    <row r="105" spans="6:14" s="74" customFormat="1" ht="11.25">
      <c r="F105" s="185"/>
      <c r="G105" s="185"/>
      <c r="H105" s="185"/>
      <c r="I105" s="185"/>
      <c r="J105" s="185"/>
      <c r="K105" s="185"/>
      <c r="L105" s="185"/>
      <c r="M105" s="185"/>
      <c r="N105" s="185"/>
    </row>
    <row r="106" spans="6:14" s="74" customFormat="1" ht="11.25">
      <c r="F106" s="185"/>
      <c r="G106" s="185"/>
      <c r="H106" s="185"/>
      <c r="I106" s="185"/>
      <c r="J106" s="185"/>
      <c r="K106" s="185"/>
      <c r="L106" s="185"/>
      <c r="M106" s="185"/>
      <c r="N106" s="185"/>
    </row>
    <row r="107" spans="6:14" s="74" customFormat="1" ht="11.25">
      <c r="F107" s="185"/>
      <c r="G107" s="185"/>
      <c r="H107" s="185"/>
      <c r="I107" s="185"/>
      <c r="J107" s="185"/>
      <c r="K107" s="185"/>
      <c r="L107" s="185"/>
      <c r="M107" s="185"/>
      <c r="N107" s="185"/>
    </row>
    <row r="108" spans="6:14" s="74" customFormat="1" ht="11.25">
      <c r="F108" s="185"/>
      <c r="G108" s="185"/>
      <c r="H108" s="185"/>
      <c r="I108" s="185"/>
      <c r="J108" s="185"/>
      <c r="K108" s="185"/>
      <c r="L108" s="185"/>
      <c r="M108" s="185"/>
      <c r="N108" s="185"/>
    </row>
    <row r="109" spans="6:14" s="74" customFormat="1" ht="11.25">
      <c r="F109" s="185"/>
      <c r="G109" s="185"/>
      <c r="H109" s="185"/>
      <c r="I109" s="185"/>
      <c r="J109" s="185"/>
      <c r="K109" s="185"/>
      <c r="L109" s="185"/>
      <c r="M109" s="185"/>
      <c r="N109" s="185"/>
    </row>
    <row r="110" spans="6:14" s="74" customFormat="1" ht="11.25">
      <c r="F110" s="185"/>
      <c r="G110" s="185"/>
      <c r="H110" s="185"/>
      <c r="I110" s="185"/>
      <c r="J110" s="185"/>
      <c r="K110" s="185"/>
      <c r="L110" s="185"/>
      <c r="M110" s="185"/>
      <c r="N110" s="185"/>
    </row>
    <row r="111" spans="6:14" s="74" customFormat="1" ht="11.25">
      <c r="F111" s="185"/>
      <c r="G111" s="185"/>
      <c r="H111" s="185"/>
      <c r="I111" s="185"/>
      <c r="J111" s="185"/>
      <c r="K111" s="185"/>
      <c r="L111" s="185"/>
      <c r="M111" s="185"/>
      <c r="N111" s="185"/>
    </row>
    <row r="112" spans="6:14" s="74" customFormat="1" ht="11.25">
      <c r="F112" s="185"/>
      <c r="G112" s="185"/>
      <c r="H112" s="185"/>
      <c r="I112" s="185"/>
      <c r="J112" s="185"/>
      <c r="K112" s="185"/>
      <c r="L112" s="185"/>
      <c r="M112" s="185"/>
      <c r="N112" s="185"/>
    </row>
    <row r="113" spans="6:14" s="74" customFormat="1" ht="11.25">
      <c r="F113" s="185"/>
      <c r="G113" s="185"/>
      <c r="H113" s="185"/>
      <c r="I113" s="185"/>
      <c r="J113" s="185"/>
      <c r="K113" s="185"/>
      <c r="L113" s="185"/>
      <c r="M113" s="185"/>
      <c r="N113" s="185"/>
    </row>
    <row r="114" spans="6:14" s="74" customFormat="1" ht="11.25">
      <c r="F114" s="185"/>
      <c r="G114" s="185"/>
      <c r="H114" s="185"/>
      <c r="I114" s="185"/>
      <c r="J114" s="185"/>
      <c r="K114" s="185"/>
      <c r="L114" s="185"/>
      <c r="M114" s="185"/>
      <c r="N114" s="185"/>
    </row>
    <row r="115" spans="6:14" s="74" customFormat="1" ht="11.25">
      <c r="F115" s="185"/>
      <c r="G115" s="185"/>
      <c r="H115" s="185"/>
      <c r="I115" s="185"/>
      <c r="J115" s="185"/>
      <c r="K115" s="185"/>
      <c r="L115" s="185"/>
      <c r="M115" s="185"/>
      <c r="N115" s="185"/>
    </row>
    <row r="116" spans="6:14" s="74" customFormat="1" ht="11.25">
      <c r="F116" s="185"/>
      <c r="G116" s="185"/>
      <c r="H116" s="185"/>
      <c r="I116" s="185"/>
      <c r="J116" s="185"/>
      <c r="K116" s="185"/>
      <c r="L116" s="185"/>
      <c r="M116" s="185"/>
      <c r="N116" s="185"/>
    </row>
    <row r="117" spans="6:14" s="74" customFormat="1" ht="11.25">
      <c r="F117" s="185"/>
      <c r="G117" s="185"/>
      <c r="H117" s="185"/>
      <c r="I117" s="185"/>
      <c r="J117" s="185"/>
      <c r="K117" s="185"/>
      <c r="L117" s="185"/>
      <c r="M117" s="185"/>
      <c r="N117" s="185"/>
    </row>
    <row r="118" spans="6:14" s="74" customFormat="1" ht="11.25">
      <c r="F118" s="185"/>
      <c r="G118" s="185"/>
      <c r="H118" s="185"/>
      <c r="I118" s="185"/>
      <c r="J118" s="185"/>
      <c r="K118" s="185"/>
      <c r="L118" s="185"/>
      <c r="M118" s="185"/>
      <c r="N118" s="185"/>
    </row>
    <row r="119" spans="6:14" s="74" customFormat="1" ht="11.25">
      <c r="F119" s="185"/>
      <c r="G119" s="185"/>
      <c r="H119" s="185"/>
      <c r="I119" s="185"/>
      <c r="J119" s="185"/>
      <c r="K119" s="185"/>
      <c r="L119" s="185"/>
      <c r="M119" s="185"/>
      <c r="N119" s="185"/>
    </row>
    <row r="120" spans="6:14" s="74" customFormat="1" ht="11.25">
      <c r="F120" s="185"/>
      <c r="G120" s="185"/>
      <c r="H120" s="185"/>
      <c r="I120" s="185"/>
      <c r="J120" s="185"/>
      <c r="K120" s="185"/>
      <c r="L120" s="185"/>
      <c r="M120" s="185"/>
      <c r="N120" s="185"/>
    </row>
    <row r="121" spans="6:14" s="74" customFormat="1" ht="11.25">
      <c r="F121" s="185"/>
      <c r="G121" s="185"/>
      <c r="H121" s="185"/>
      <c r="I121" s="185"/>
      <c r="J121" s="185"/>
      <c r="K121" s="185"/>
      <c r="L121" s="185"/>
      <c r="M121" s="185"/>
      <c r="N121" s="185"/>
    </row>
    <row r="122" spans="6:14" s="74" customFormat="1" ht="11.25">
      <c r="F122" s="185"/>
      <c r="G122" s="185"/>
      <c r="H122" s="185"/>
      <c r="I122" s="185"/>
      <c r="J122" s="185"/>
      <c r="K122" s="185"/>
      <c r="L122" s="185"/>
      <c r="M122" s="185"/>
      <c r="N122" s="185"/>
    </row>
    <row r="123" spans="6:14" s="74" customFormat="1" ht="11.25">
      <c r="F123" s="185"/>
      <c r="G123" s="185"/>
      <c r="H123" s="185"/>
      <c r="I123" s="185"/>
      <c r="J123" s="185"/>
      <c r="K123" s="185"/>
      <c r="L123" s="185"/>
      <c r="M123" s="185"/>
      <c r="N123" s="185"/>
    </row>
  </sheetData>
  <mergeCells count="71">
    <mergeCell ref="E26:E27"/>
    <mergeCell ref="I28:I29"/>
    <mergeCell ref="I26:I27"/>
    <mergeCell ref="H28:H29"/>
    <mergeCell ref="H26:H27"/>
    <mergeCell ref="G28:G29"/>
    <mergeCell ref="G26:G27"/>
    <mergeCell ref="H10:H11"/>
    <mergeCell ref="I10:I11"/>
    <mergeCell ref="H22:H23"/>
    <mergeCell ref="H12:H13"/>
    <mergeCell ref="I12:I13"/>
    <mergeCell ref="H20:H21"/>
    <mergeCell ref="I14:I15"/>
    <mergeCell ref="H14:H15"/>
    <mergeCell ref="I18:I19"/>
    <mergeCell ref="I16:I17"/>
    <mergeCell ref="H18:H19"/>
    <mergeCell ref="H16:H17"/>
    <mergeCell ref="G24:G25"/>
    <mergeCell ref="H24:H25"/>
    <mergeCell ref="G22:G23"/>
    <mergeCell ref="I20:I21"/>
    <mergeCell ref="I24:I25"/>
    <mergeCell ref="I22:I23"/>
    <mergeCell ref="A1:I1"/>
    <mergeCell ref="I4:I5"/>
    <mergeCell ref="A4:C5"/>
    <mergeCell ref="H4:H5"/>
    <mergeCell ref="B8:C9"/>
    <mergeCell ref="G8:G9"/>
    <mergeCell ref="E8:E9"/>
    <mergeCell ref="D8:D9"/>
    <mergeCell ref="G6:G7"/>
    <mergeCell ref="D6:D7"/>
    <mergeCell ref="E6:E7"/>
    <mergeCell ref="G4:G5"/>
    <mergeCell ref="H6:H7"/>
    <mergeCell ref="I6:I7"/>
    <mergeCell ref="H8:H9"/>
    <mergeCell ref="I8:I9"/>
    <mergeCell ref="G12:G13"/>
    <mergeCell ref="E10:E11"/>
    <mergeCell ref="G10:G11"/>
    <mergeCell ref="G20:G21"/>
    <mergeCell ref="C10:C11"/>
    <mergeCell ref="D10:D11"/>
    <mergeCell ref="E14:E15"/>
    <mergeCell ref="G14:G15"/>
    <mergeCell ref="E12:E13"/>
    <mergeCell ref="C14:C19"/>
    <mergeCell ref="G18:G19"/>
    <mergeCell ref="G16:G17"/>
    <mergeCell ref="E18:E19"/>
    <mergeCell ref="E16:E17"/>
    <mergeCell ref="B24:C29"/>
    <mergeCell ref="D24:D29"/>
    <mergeCell ref="D4:D5"/>
    <mergeCell ref="E4:E5"/>
    <mergeCell ref="B22:C23"/>
    <mergeCell ref="D22:D23"/>
    <mergeCell ref="E20:E21"/>
    <mergeCell ref="D12:D13"/>
    <mergeCell ref="A6:C7"/>
    <mergeCell ref="C12:C13"/>
    <mergeCell ref="D14:D19"/>
    <mergeCell ref="B20:C21"/>
    <mergeCell ref="D20:D21"/>
    <mergeCell ref="E24:E25"/>
    <mergeCell ref="E22:E23"/>
    <mergeCell ref="E28:E29"/>
  </mergeCells>
  <phoneticPr fontId="2"/>
  <printOptions horizontalCentered="1"/>
  <pageMargins left="0.59055118110236227" right="0.39370078740157483" top="0.78740157480314965" bottom="0.39370078740157483" header="0.39370078740157483" footer="0.19685039370078741"/>
  <pageSetup paperSize="9" scale="79" fitToHeight="2" orientation="portrait" blackAndWhite="1" r:id="rId1"/>
  <headerFooter alignWithMargins="0">
    <oddFooter>&amp;L&amp;6&amp;F &amp;A&amp;R&amp;6&amp;D &amp;T</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rgb="FFFFC000"/>
    <pageSetUpPr fitToPage="1"/>
  </sheetPr>
  <dimension ref="A1:N123"/>
  <sheetViews>
    <sheetView zoomScaleNormal="100" zoomScaleSheetLayoutView="80" workbookViewId="0">
      <pane xSplit="5" ySplit="5" topLeftCell="F12" activePane="bottomRight" state="frozen"/>
      <selection activeCell="F11" sqref="F11"/>
      <selection pane="topRight" activeCell="F11" sqref="F11"/>
      <selection pane="bottomLeft" activeCell="F11" sqref="F11"/>
      <selection pane="bottomRight" activeCell="G18" sqref="G18:G19"/>
    </sheetView>
  </sheetViews>
  <sheetFormatPr defaultColWidth="9" defaultRowHeight="13.5"/>
  <cols>
    <col min="1" max="1" width="1.875" style="140" customWidth="1"/>
    <col min="2" max="2" width="4.125" style="140" customWidth="1"/>
    <col min="3" max="3" width="12.625" style="140" customWidth="1"/>
    <col min="4" max="5" width="22.625" style="140" customWidth="1"/>
    <col min="6" max="9" width="13.75" style="145" customWidth="1"/>
    <col min="10" max="11" width="7.75" style="145" customWidth="1"/>
    <col min="12" max="14" width="12.625" style="145" customWidth="1"/>
    <col min="15" max="16384" width="9" style="140"/>
  </cols>
  <sheetData>
    <row r="1" spans="1:14" ht="17.25" customHeight="1">
      <c r="A1" s="659" t="str">
        <f>+"令和"&amp;MID(総括表!A2,3,1)&amp;"年度決算　不課税収入区分表(一般会計補助金)"</f>
        <v>令和５年度決算　不課税収入区分表(一般会計補助金)</v>
      </c>
      <c r="B1" s="659"/>
      <c r="C1" s="659"/>
      <c r="D1" s="659"/>
      <c r="E1" s="659"/>
      <c r="F1" s="659"/>
      <c r="G1" s="659"/>
      <c r="H1" s="659"/>
      <c r="I1" s="659"/>
    </row>
    <row r="2" spans="1:14" ht="17.25" customHeight="1">
      <c r="A2" s="1"/>
      <c r="B2" s="1"/>
      <c r="C2" s="1"/>
      <c r="D2" s="1"/>
      <c r="E2" s="1"/>
      <c r="F2" s="172"/>
      <c r="G2" s="172"/>
      <c r="H2" s="172"/>
      <c r="I2" s="172"/>
    </row>
    <row r="3" spans="1:14" ht="17.25" customHeight="1" thickBot="1">
      <c r="A3" s="1"/>
      <c r="B3" s="1"/>
      <c r="C3" s="1"/>
      <c r="D3" s="1"/>
      <c r="E3" s="1"/>
      <c r="F3" s="172"/>
      <c r="G3" s="172"/>
      <c r="H3" s="172"/>
      <c r="I3" s="173" t="s">
        <v>73</v>
      </c>
    </row>
    <row r="4" spans="1:14" s="73" customFormat="1" ht="19.5" customHeight="1">
      <c r="A4" s="587" t="s">
        <v>15</v>
      </c>
      <c r="B4" s="582"/>
      <c r="C4" s="588"/>
      <c r="D4" s="584" t="s">
        <v>74</v>
      </c>
      <c r="E4" s="582" t="s">
        <v>75</v>
      </c>
      <c r="F4" s="281" t="s">
        <v>76</v>
      </c>
      <c r="G4" s="778" t="s">
        <v>47</v>
      </c>
      <c r="H4" s="778" t="s">
        <v>49</v>
      </c>
      <c r="I4" s="809" t="s">
        <v>50</v>
      </c>
      <c r="J4" s="292" t="s">
        <v>384</v>
      </c>
      <c r="K4" s="293"/>
      <c r="L4" s="293"/>
      <c r="M4" s="293"/>
      <c r="N4" s="185"/>
    </row>
    <row r="5" spans="1:14" s="73" customFormat="1" ht="19.5" customHeight="1">
      <c r="A5" s="589"/>
      <c r="B5" s="583"/>
      <c r="C5" s="590"/>
      <c r="D5" s="585"/>
      <c r="E5" s="583"/>
      <c r="F5" s="177" t="s">
        <v>69</v>
      </c>
      <c r="G5" s="779"/>
      <c r="H5" s="779"/>
      <c r="I5" s="810"/>
      <c r="J5" s="325">
        <v>0.03</v>
      </c>
      <c r="K5" s="421">
        <v>0.05</v>
      </c>
      <c r="L5" s="294">
        <v>0.08</v>
      </c>
      <c r="M5" s="416">
        <v>0.08</v>
      </c>
      <c r="N5" s="297">
        <v>0.1</v>
      </c>
    </row>
    <row r="6" spans="1:14" s="73" customFormat="1" ht="19.5" customHeight="1">
      <c r="A6" s="816" t="s">
        <v>77</v>
      </c>
      <c r="B6" s="505"/>
      <c r="C6" s="504"/>
      <c r="D6" s="818"/>
      <c r="E6" s="820"/>
      <c r="F6" s="195"/>
      <c r="G6" s="814">
        <f>G8+G20</f>
        <v>9203253</v>
      </c>
      <c r="H6" s="814">
        <f>H8+H20</f>
        <v>5368538</v>
      </c>
      <c r="I6" s="815">
        <f>I8+I20</f>
        <v>3834715</v>
      </c>
      <c r="J6" s="185">
        <f t="shared" ref="J6" si="0">+J13+J21</f>
        <v>0</v>
      </c>
      <c r="K6" s="185">
        <f>+K13+K21</f>
        <v>0</v>
      </c>
      <c r="L6" s="185">
        <f t="shared" ref="L6:N6" si="1">+L13+L21</f>
        <v>0</v>
      </c>
      <c r="M6" s="185">
        <f t="shared" si="1"/>
        <v>0</v>
      </c>
      <c r="N6" s="185">
        <f t="shared" si="1"/>
        <v>5368538</v>
      </c>
    </row>
    <row r="7" spans="1:14" s="73" customFormat="1" ht="19.5" customHeight="1">
      <c r="A7" s="817"/>
      <c r="B7" s="532"/>
      <c r="C7" s="533"/>
      <c r="D7" s="819"/>
      <c r="E7" s="812"/>
      <c r="F7" s="284"/>
      <c r="G7" s="806"/>
      <c r="H7" s="806"/>
      <c r="I7" s="808"/>
      <c r="J7" s="185"/>
      <c r="K7" s="185"/>
      <c r="L7" s="185"/>
      <c r="M7" s="185"/>
      <c r="N7" s="185"/>
    </row>
    <row r="8" spans="1:14" s="73" customFormat="1" ht="19.5" customHeight="1">
      <c r="A8" s="285"/>
      <c r="B8" s="503" t="s">
        <v>3</v>
      </c>
      <c r="C8" s="504"/>
      <c r="D8" s="826"/>
      <c r="E8" s="811"/>
      <c r="F8" s="284"/>
      <c r="G8" s="805">
        <f>G10+G16+G18</f>
        <v>4980</v>
      </c>
      <c r="H8" s="805">
        <f>H10+H16+H18</f>
        <v>0</v>
      </c>
      <c r="I8" s="807">
        <f>I10+I16+I18</f>
        <v>4980</v>
      </c>
      <c r="J8" s="185"/>
      <c r="K8" s="185"/>
      <c r="L8" s="185"/>
      <c r="M8" s="185"/>
      <c r="N8" s="185"/>
    </row>
    <row r="9" spans="1:14" s="73" customFormat="1" ht="19.5" customHeight="1">
      <c r="A9" s="285"/>
      <c r="B9" s="554"/>
      <c r="C9" s="533"/>
      <c r="D9" s="819"/>
      <c r="E9" s="812"/>
      <c r="F9" s="284"/>
      <c r="G9" s="806"/>
      <c r="H9" s="806"/>
      <c r="I9" s="808"/>
      <c r="J9" s="185"/>
      <c r="K9" s="185"/>
      <c r="L9" s="185"/>
      <c r="M9" s="185"/>
      <c r="N9" s="185"/>
    </row>
    <row r="10" spans="1:14" s="73" customFormat="1" ht="19.5" customHeight="1">
      <c r="A10" s="285"/>
      <c r="B10" s="278"/>
      <c r="C10" s="487" t="s">
        <v>78</v>
      </c>
      <c r="D10" s="813" t="s">
        <v>79</v>
      </c>
      <c r="E10" s="834" t="s">
        <v>64</v>
      </c>
      <c r="F10" s="284"/>
      <c r="G10" s="803">
        <f>+[3]雨汚水!$O$123</f>
        <v>0</v>
      </c>
      <c r="H10" s="805">
        <f>IFERROR(ROUND((G10)*F10/F11,0),0)</f>
        <v>0</v>
      </c>
      <c r="I10" s="807">
        <f>G10-H10</f>
        <v>0</v>
      </c>
      <c r="J10" s="185"/>
      <c r="K10" s="185"/>
      <c r="L10" s="185"/>
      <c r="M10" s="185"/>
      <c r="N10" s="185"/>
    </row>
    <row r="11" spans="1:14" s="73" customFormat="1" ht="19.5" customHeight="1">
      <c r="A11" s="285"/>
      <c r="B11" s="278"/>
      <c r="C11" s="488"/>
      <c r="D11" s="827"/>
      <c r="E11" s="547"/>
      <c r="F11" s="284"/>
      <c r="G11" s="804"/>
      <c r="H11" s="806"/>
      <c r="I11" s="808"/>
      <c r="J11" s="185"/>
      <c r="K11" s="185"/>
      <c r="L11" s="185"/>
      <c r="M11" s="185"/>
      <c r="N11" s="185"/>
    </row>
    <row r="12" spans="1:14" s="73" customFormat="1" ht="19.5" customHeight="1">
      <c r="A12" s="285"/>
      <c r="B12" s="278"/>
      <c r="C12" s="487" t="s">
        <v>53</v>
      </c>
      <c r="D12" s="631" t="s">
        <v>70</v>
      </c>
      <c r="E12" s="631" t="s">
        <v>211</v>
      </c>
      <c r="F12" s="198">
        <f>+[1]営外!$K$9</f>
        <v>61813753</v>
      </c>
      <c r="G12" s="781">
        <v>0</v>
      </c>
      <c r="H12" s="781">
        <f>IFERROR(ROUND((G12)*F12/F13,0),0)</f>
        <v>0</v>
      </c>
      <c r="I12" s="792">
        <f>G12-H12</f>
        <v>0</v>
      </c>
      <c r="J12" s="185"/>
      <c r="K12" s="185"/>
      <c r="L12" s="295">
        <f>+[1]営外!F$9+[1]営外!G$9+[1]営外!H$9</f>
        <v>0</v>
      </c>
      <c r="M12" s="295">
        <f>+[1]営外!I$9</f>
        <v>0</v>
      </c>
      <c r="N12" s="295">
        <f>+[1]営外!J$9</f>
        <v>61813753</v>
      </c>
    </row>
    <row r="13" spans="1:14" s="73" customFormat="1" ht="19.5" customHeight="1">
      <c r="A13" s="285"/>
      <c r="B13" s="278"/>
      <c r="C13" s="488"/>
      <c r="D13" s="813"/>
      <c r="E13" s="829"/>
      <c r="F13" s="198">
        <f>+[1]営外!$E$9</f>
        <v>61813753</v>
      </c>
      <c r="G13" s="782"/>
      <c r="H13" s="782"/>
      <c r="I13" s="791"/>
      <c r="J13" s="185"/>
      <c r="K13" s="185"/>
      <c r="L13" s="185">
        <f>+H12-SUM(J13:K13,M13:N13)</f>
        <v>0</v>
      </c>
      <c r="M13" s="185">
        <f>IFERROR(ROUND(M12/$F12*$H12,0),0)</f>
        <v>0</v>
      </c>
      <c r="N13" s="185">
        <f>IFERROR(ROUND(N12/$F12*$H12,0),0)</f>
        <v>0</v>
      </c>
    </row>
    <row r="14" spans="1:14" s="73" customFormat="1" ht="19.5" customHeight="1">
      <c r="A14" s="285"/>
      <c r="B14" s="278"/>
      <c r="C14" s="488"/>
      <c r="D14" s="813"/>
      <c r="E14" s="605" t="s">
        <v>112</v>
      </c>
      <c r="F14" s="284"/>
      <c r="G14" s="766">
        <f>G16-G12</f>
        <v>0</v>
      </c>
      <c r="H14" s="781">
        <f>IFERROR(ROUND((G14)*F14/F15,0),0)</f>
        <v>0</v>
      </c>
      <c r="I14" s="792">
        <f>G14-H14</f>
        <v>0</v>
      </c>
      <c r="J14" s="185"/>
      <c r="K14" s="185"/>
      <c r="L14" s="185"/>
      <c r="M14" s="185"/>
      <c r="N14" s="185"/>
    </row>
    <row r="15" spans="1:14" s="73" customFormat="1" ht="19.5" customHeight="1">
      <c r="A15" s="285"/>
      <c r="B15" s="278"/>
      <c r="C15" s="488"/>
      <c r="D15" s="813"/>
      <c r="E15" s="829"/>
      <c r="F15" s="284"/>
      <c r="G15" s="767"/>
      <c r="H15" s="782"/>
      <c r="I15" s="791"/>
      <c r="J15" s="185"/>
      <c r="K15" s="185"/>
      <c r="L15" s="185"/>
      <c r="M15" s="185"/>
      <c r="N15" s="185"/>
    </row>
    <row r="16" spans="1:14" s="73" customFormat="1" ht="19.5" customHeight="1">
      <c r="A16" s="285"/>
      <c r="B16" s="278"/>
      <c r="C16" s="488"/>
      <c r="D16" s="813"/>
      <c r="E16" s="835" t="s">
        <v>388</v>
      </c>
      <c r="F16" s="284"/>
      <c r="G16" s="768">
        <f>+[3]雨汚水!$O$124</f>
        <v>0</v>
      </c>
      <c r="H16" s="766">
        <f>H12+H14</f>
        <v>0</v>
      </c>
      <c r="I16" s="797">
        <f>I12+I14</f>
        <v>0</v>
      </c>
      <c r="J16" s="185"/>
      <c r="K16" s="185"/>
      <c r="L16" s="185"/>
      <c r="M16" s="185"/>
      <c r="N16" s="185"/>
    </row>
    <row r="17" spans="1:14" s="73" customFormat="1" ht="19.5" customHeight="1">
      <c r="A17" s="285"/>
      <c r="B17" s="278"/>
      <c r="C17" s="496"/>
      <c r="D17" s="632"/>
      <c r="E17" s="836"/>
      <c r="F17" s="284"/>
      <c r="G17" s="838"/>
      <c r="H17" s="767"/>
      <c r="I17" s="837"/>
      <c r="J17" s="185"/>
      <c r="K17" s="185"/>
      <c r="L17" s="185"/>
      <c r="M17" s="185"/>
      <c r="N17" s="185"/>
    </row>
    <row r="18" spans="1:14" s="73" customFormat="1" ht="19.5" customHeight="1">
      <c r="A18" s="285"/>
      <c r="B18" s="278"/>
      <c r="C18" s="488" t="s">
        <v>71</v>
      </c>
      <c r="D18" s="827" t="s">
        <v>72</v>
      </c>
      <c r="E18" s="828" t="s">
        <v>212</v>
      </c>
      <c r="F18" s="284"/>
      <c r="G18" s="760">
        <f>+[3]雨汚水!$O$125</f>
        <v>4980</v>
      </c>
      <c r="H18" s="781">
        <f>IFERROR(ROUND((G18)*F18/F19,0),0)</f>
        <v>0</v>
      </c>
      <c r="I18" s="792">
        <f>G18-H18</f>
        <v>4980</v>
      </c>
      <c r="J18" s="185"/>
      <c r="K18" s="185"/>
      <c r="L18" s="185"/>
      <c r="M18" s="185"/>
      <c r="N18" s="185"/>
    </row>
    <row r="19" spans="1:14" s="73" customFormat="1" ht="19.5" customHeight="1">
      <c r="A19" s="285"/>
      <c r="B19" s="278"/>
      <c r="C19" s="488"/>
      <c r="D19" s="827"/>
      <c r="E19" s="561"/>
      <c r="F19" s="283"/>
      <c r="G19" s="801"/>
      <c r="H19" s="802"/>
      <c r="I19" s="794"/>
      <c r="J19" s="185"/>
      <c r="K19" s="185"/>
      <c r="L19" s="185"/>
      <c r="M19" s="185"/>
      <c r="N19" s="185"/>
    </row>
    <row r="20" spans="1:14" s="73" customFormat="1" ht="19.5" customHeight="1">
      <c r="A20" s="110"/>
      <c r="B20" s="619" t="s">
        <v>324</v>
      </c>
      <c r="C20" s="620"/>
      <c r="D20" s="830" t="s">
        <v>570</v>
      </c>
      <c r="E20" s="832" t="s">
        <v>325</v>
      </c>
      <c r="F20" s="198">
        <f>+[1]営外!$K$20</f>
        <v>5368538</v>
      </c>
      <c r="G20" s="760">
        <f>+[3]雨汚水!$O$126</f>
        <v>9198273</v>
      </c>
      <c r="H20" s="781">
        <f>IFERROR(ROUND((G20)*F20/F21,0),0)</f>
        <v>5368538</v>
      </c>
      <c r="I20" s="792">
        <f>G20-H20</f>
        <v>3829735</v>
      </c>
      <c r="J20" s="185"/>
      <c r="K20" s="185"/>
      <c r="L20" s="295">
        <f>+[1]営外!$F$20+[1]営外!$F$20+[1]営外!$F$20</f>
        <v>0</v>
      </c>
      <c r="M20" s="295">
        <f>+[1]営外!$F$20</f>
        <v>0</v>
      </c>
      <c r="N20" s="295">
        <f>+[1]営外!$F$20</f>
        <v>0</v>
      </c>
    </row>
    <row r="21" spans="1:14" s="73" customFormat="1" ht="19.5" customHeight="1" thickBot="1">
      <c r="A21" s="111"/>
      <c r="B21" s="824"/>
      <c r="C21" s="825"/>
      <c r="D21" s="831"/>
      <c r="E21" s="833"/>
      <c r="F21" s="199">
        <f>+[1]営外!$E$20</f>
        <v>9198273</v>
      </c>
      <c r="G21" s="821"/>
      <c r="H21" s="822"/>
      <c r="I21" s="823"/>
      <c r="J21" s="185"/>
      <c r="K21" s="185"/>
      <c r="L21" s="185">
        <f>+H20-SUM(J21:K21,M21:N21)</f>
        <v>0</v>
      </c>
      <c r="M21" s="185">
        <f>IFERROR(ROUND(M20/$F20*$H20,0),0)</f>
        <v>0</v>
      </c>
      <c r="N21" s="185">
        <v>5368538</v>
      </c>
    </row>
    <row r="22" spans="1:14" s="73" customFormat="1" ht="18.75" customHeight="1">
      <c r="F22" s="289" t="s">
        <v>390</v>
      </c>
      <c r="G22" s="172">
        <f>+[3]雨汚水!$O$120</f>
        <v>9203253</v>
      </c>
      <c r="H22" s="185"/>
      <c r="I22" s="185"/>
      <c r="J22" s="185"/>
      <c r="K22" s="185"/>
      <c r="L22" s="185"/>
      <c r="M22" s="185"/>
      <c r="N22" s="185"/>
    </row>
    <row r="23" spans="1:14" s="73" customFormat="1" ht="11.25">
      <c r="F23" s="289" t="s">
        <v>391</v>
      </c>
      <c r="G23" s="172">
        <f>+G6-G22</f>
        <v>0</v>
      </c>
      <c r="H23" s="185"/>
      <c r="I23" s="185"/>
      <c r="J23" s="185"/>
      <c r="K23" s="185"/>
      <c r="L23" s="185"/>
      <c r="M23" s="185"/>
      <c r="N23" s="185"/>
    </row>
    <row r="24" spans="1:14" s="73" customFormat="1" ht="11.25">
      <c r="F24" s="185"/>
      <c r="G24" s="185"/>
      <c r="H24" s="185"/>
      <c r="I24" s="185"/>
      <c r="J24" s="185"/>
      <c r="K24" s="185"/>
      <c r="L24" s="185"/>
      <c r="M24" s="185"/>
      <c r="N24" s="185"/>
    </row>
    <row r="25" spans="1:14" s="73" customFormat="1" ht="11.25">
      <c r="F25" s="185"/>
      <c r="G25" s="185"/>
      <c r="H25" s="185"/>
      <c r="I25" s="185"/>
      <c r="J25" s="185"/>
      <c r="K25" s="185"/>
      <c r="L25" s="185"/>
      <c r="M25" s="185"/>
      <c r="N25" s="185"/>
    </row>
    <row r="26" spans="1:14" s="73" customFormat="1" ht="11.25">
      <c r="F26" s="185"/>
      <c r="G26" s="185"/>
      <c r="H26" s="185"/>
      <c r="I26" s="185"/>
      <c r="J26" s="185"/>
      <c r="K26" s="185"/>
      <c r="L26" s="185"/>
      <c r="M26" s="185"/>
      <c r="N26" s="185"/>
    </row>
    <row r="27" spans="1:14" s="73" customFormat="1" ht="11.25">
      <c r="F27" s="185"/>
      <c r="G27" s="185"/>
      <c r="H27" s="185"/>
      <c r="I27" s="185"/>
      <c r="J27" s="185"/>
      <c r="K27" s="185"/>
      <c r="L27" s="185"/>
      <c r="M27" s="185"/>
      <c r="N27" s="185"/>
    </row>
    <row r="28" spans="1:14" s="73" customFormat="1" ht="11.25">
      <c r="F28" s="185"/>
      <c r="G28" s="185"/>
      <c r="H28" s="185"/>
      <c r="I28" s="185"/>
      <c r="J28" s="185"/>
      <c r="K28" s="185"/>
      <c r="L28" s="185"/>
      <c r="M28" s="185"/>
      <c r="N28" s="185"/>
    </row>
    <row r="29" spans="1:14" s="73" customFormat="1" ht="11.25">
      <c r="F29" s="185"/>
      <c r="G29" s="185"/>
      <c r="H29" s="185"/>
      <c r="I29" s="185"/>
      <c r="J29" s="185"/>
      <c r="K29" s="185"/>
      <c r="L29" s="185"/>
      <c r="M29" s="185"/>
      <c r="N29" s="185"/>
    </row>
    <row r="30" spans="1:14" s="73" customFormat="1" ht="11.25">
      <c r="F30" s="185"/>
      <c r="G30" s="185"/>
      <c r="H30" s="185"/>
      <c r="I30" s="185"/>
      <c r="J30" s="185"/>
      <c r="K30" s="185"/>
      <c r="L30" s="185"/>
      <c r="M30" s="185"/>
      <c r="N30" s="185"/>
    </row>
    <row r="31" spans="1:14" s="73" customFormat="1" ht="11.25">
      <c r="F31" s="185"/>
      <c r="G31" s="185"/>
      <c r="H31" s="185"/>
      <c r="I31" s="185"/>
      <c r="J31" s="185"/>
      <c r="K31" s="185"/>
      <c r="L31" s="185"/>
      <c r="M31" s="185"/>
      <c r="N31" s="185"/>
    </row>
    <row r="32" spans="1:14" s="73" customFormat="1" ht="11.25">
      <c r="F32" s="185"/>
      <c r="G32" s="185"/>
      <c r="H32" s="185"/>
      <c r="I32" s="185"/>
      <c r="J32" s="185"/>
      <c r="K32" s="185"/>
      <c r="L32" s="185"/>
      <c r="M32" s="185"/>
      <c r="N32" s="185"/>
    </row>
    <row r="33" spans="6:14" s="73" customFormat="1" ht="11.25">
      <c r="F33" s="185"/>
      <c r="G33" s="185"/>
      <c r="H33" s="185"/>
      <c r="I33" s="185"/>
      <c r="J33" s="185"/>
      <c r="K33" s="185"/>
      <c r="L33" s="185"/>
      <c r="M33" s="185"/>
      <c r="N33" s="185"/>
    </row>
    <row r="34" spans="6:14" s="73" customFormat="1" ht="11.25">
      <c r="F34" s="185"/>
      <c r="G34" s="185"/>
      <c r="H34" s="185"/>
      <c r="I34" s="185"/>
      <c r="J34" s="185"/>
      <c r="K34" s="185"/>
      <c r="L34" s="185"/>
      <c r="M34" s="185"/>
      <c r="N34" s="185"/>
    </row>
    <row r="35" spans="6:14" s="73" customFormat="1" ht="11.25">
      <c r="F35" s="185"/>
      <c r="G35" s="185"/>
      <c r="H35" s="185"/>
      <c r="I35" s="185"/>
      <c r="J35" s="185"/>
      <c r="K35" s="185"/>
      <c r="L35" s="185"/>
      <c r="M35" s="185"/>
      <c r="N35" s="185"/>
    </row>
    <row r="36" spans="6:14" s="73" customFormat="1" ht="11.25">
      <c r="F36" s="185"/>
      <c r="G36" s="185"/>
      <c r="H36" s="185"/>
      <c r="I36" s="185"/>
      <c r="J36" s="185"/>
      <c r="K36" s="185"/>
      <c r="L36" s="185"/>
      <c r="M36" s="185"/>
      <c r="N36" s="185"/>
    </row>
    <row r="37" spans="6:14" s="73" customFormat="1" ht="11.25">
      <c r="F37" s="185"/>
      <c r="G37" s="185"/>
      <c r="H37" s="185"/>
      <c r="I37" s="185"/>
      <c r="J37" s="185"/>
      <c r="K37" s="185"/>
      <c r="L37" s="185"/>
      <c r="M37" s="185"/>
      <c r="N37" s="185"/>
    </row>
    <row r="38" spans="6:14" s="73" customFormat="1" ht="11.25">
      <c r="F38" s="185"/>
      <c r="G38" s="185"/>
      <c r="H38" s="185"/>
      <c r="I38" s="185"/>
      <c r="J38" s="185"/>
      <c r="K38" s="185"/>
      <c r="L38" s="185"/>
      <c r="M38" s="185"/>
      <c r="N38" s="185"/>
    </row>
    <row r="39" spans="6:14" s="73" customFormat="1" ht="11.25">
      <c r="F39" s="185"/>
      <c r="G39" s="185"/>
      <c r="H39" s="185"/>
      <c r="I39" s="185"/>
      <c r="J39" s="185"/>
      <c r="K39" s="185"/>
      <c r="L39" s="185"/>
      <c r="M39" s="185"/>
      <c r="N39" s="185"/>
    </row>
    <row r="40" spans="6:14" s="73" customFormat="1" ht="11.25">
      <c r="F40" s="185"/>
      <c r="G40" s="185"/>
      <c r="H40" s="185"/>
      <c r="I40" s="185"/>
      <c r="J40" s="185"/>
      <c r="K40" s="185"/>
      <c r="L40" s="185"/>
      <c r="M40" s="185"/>
      <c r="N40" s="185"/>
    </row>
    <row r="41" spans="6:14" s="73" customFormat="1" ht="11.25">
      <c r="F41" s="185"/>
      <c r="G41" s="185"/>
      <c r="H41" s="185"/>
      <c r="I41" s="185"/>
      <c r="J41" s="185"/>
      <c r="K41" s="185"/>
      <c r="L41" s="185"/>
      <c r="M41" s="185"/>
      <c r="N41" s="185"/>
    </row>
    <row r="42" spans="6:14" s="73" customFormat="1" ht="11.25">
      <c r="F42" s="185"/>
      <c r="G42" s="185"/>
      <c r="H42" s="185"/>
      <c r="I42" s="185"/>
      <c r="J42" s="185"/>
      <c r="K42" s="185"/>
      <c r="L42" s="185"/>
      <c r="M42" s="185"/>
      <c r="N42" s="185"/>
    </row>
    <row r="43" spans="6:14" s="73" customFormat="1" ht="11.25">
      <c r="F43" s="185"/>
      <c r="G43" s="185"/>
      <c r="H43" s="185"/>
      <c r="I43" s="185"/>
      <c r="J43" s="185"/>
      <c r="K43" s="185"/>
      <c r="L43" s="185"/>
      <c r="M43" s="185"/>
      <c r="N43" s="185"/>
    </row>
    <row r="44" spans="6:14" s="73" customFormat="1" ht="11.25">
      <c r="F44" s="185"/>
      <c r="G44" s="185"/>
      <c r="H44" s="185"/>
      <c r="I44" s="185"/>
      <c r="J44" s="185"/>
      <c r="K44" s="185"/>
      <c r="L44" s="185"/>
      <c r="M44" s="185"/>
      <c r="N44" s="185"/>
    </row>
    <row r="45" spans="6:14" s="73" customFormat="1" ht="11.25">
      <c r="F45" s="185"/>
      <c r="G45" s="185"/>
      <c r="H45" s="185"/>
      <c r="I45" s="185"/>
      <c r="J45" s="185"/>
      <c r="K45" s="185"/>
      <c r="L45" s="185"/>
      <c r="M45" s="185"/>
      <c r="N45" s="185"/>
    </row>
    <row r="46" spans="6:14" s="73" customFormat="1" ht="11.25">
      <c r="F46" s="185"/>
      <c r="G46" s="185"/>
      <c r="H46" s="185"/>
      <c r="I46" s="185"/>
      <c r="J46" s="185"/>
      <c r="K46" s="185"/>
      <c r="L46" s="185"/>
      <c r="M46" s="185"/>
      <c r="N46" s="185"/>
    </row>
    <row r="47" spans="6:14" s="73" customFormat="1" ht="11.25">
      <c r="F47" s="185"/>
      <c r="G47" s="185"/>
      <c r="H47" s="185"/>
      <c r="I47" s="185"/>
      <c r="J47" s="185"/>
      <c r="K47" s="185"/>
      <c r="L47" s="185"/>
      <c r="M47" s="185"/>
      <c r="N47" s="185"/>
    </row>
    <row r="48" spans="6:14" s="73" customFormat="1" ht="11.25">
      <c r="F48" s="185"/>
      <c r="G48" s="185"/>
      <c r="H48" s="185"/>
      <c r="I48" s="185"/>
      <c r="J48" s="185"/>
      <c r="K48" s="185"/>
      <c r="L48" s="185"/>
      <c r="M48" s="185"/>
      <c r="N48" s="185"/>
    </row>
    <row r="49" spans="6:14" s="73" customFormat="1" ht="11.25">
      <c r="F49" s="185"/>
      <c r="G49" s="185"/>
      <c r="H49" s="185"/>
      <c r="I49" s="185"/>
      <c r="J49" s="185"/>
      <c r="K49" s="185"/>
      <c r="L49" s="185"/>
      <c r="M49" s="185"/>
      <c r="N49" s="185"/>
    </row>
    <row r="50" spans="6:14" s="73" customFormat="1" ht="11.25">
      <c r="F50" s="185"/>
      <c r="G50" s="185"/>
      <c r="H50" s="185"/>
      <c r="I50" s="185"/>
      <c r="J50" s="185"/>
      <c r="K50" s="185"/>
      <c r="L50" s="185"/>
      <c r="M50" s="185"/>
      <c r="N50" s="185"/>
    </row>
    <row r="51" spans="6:14" s="73" customFormat="1" ht="11.25">
      <c r="F51" s="185"/>
      <c r="G51" s="185"/>
      <c r="H51" s="185"/>
      <c r="I51" s="185"/>
      <c r="J51" s="185"/>
      <c r="K51" s="185"/>
      <c r="L51" s="185"/>
      <c r="M51" s="185"/>
      <c r="N51" s="185"/>
    </row>
    <row r="52" spans="6:14" s="73" customFormat="1" ht="11.25">
      <c r="F52" s="185"/>
      <c r="G52" s="185"/>
      <c r="H52" s="185"/>
      <c r="I52" s="185"/>
      <c r="J52" s="185"/>
      <c r="K52" s="185"/>
      <c r="L52" s="185"/>
      <c r="M52" s="185"/>
      <c r="N52" s="185"/>
    </row>
    <row r="53" spans="6:14" s="73" customFormat="1" ht="11.25">
      <c r="F53" s="185"/>
      <c r="G53" s="185"/>
      <c r="H53" s="185"/>
      <c r="I53" s="185"/>
      <c r="J53" s="185"/>
      <c r="K53" s="185"/>
      <c r="L53" s="185"/>
      <c r="M53" s="185"/>
      <c r="N53" s="185"/>
    </row>
    <row r="54" spans="6:14" s="73" customFormat="1" ht="11.25">
      <c r="F54" s="185"/>
      <c r="G54" s="185"/>
      <c r="H54" s="185"/>
      <c r="I54" s="185"/>
      <c r="J54" s="185"/>
      <c r="K54" s="185"/>
      <c r="L54" s="185"/>
      <c r="M54" s="185"/>
      <c r="N54" s="185"/>
    </row>
    <row r="55" spans="6:14" s="73" customFormat="1" ht="11.25">
      <c r="F55" s="185"/>
      <c r="G55" s="185"/>
      <c r="H55" s="185"/>
      <c r="I55" s="185"/>
      <c r="J55" s="185"/>
      <c r="K55" s="185"/>
      <c r="L55" s="185"/>
      <c r="M55" s="185"/>
      <c r="N55" s="185"/>
    </row>
    <row r="56" spans="6:14" s="73" customFormat="1" ht="11.25">
      <c r="F56" s="185"/>
      <c r="G56" s="185"/>
      <c r="H56" s="185"/>
      <c r="I56" s="185"/>
      <c r="J56" s="185"/>
      <c r="K56" s="185"/>
      <c r="L56" s="185"/>
      <c r="M56" s="185"/>
      <c r="N56" s="185"/>
    </row>
    <row r="57" spans="6:14" s="73" customFormat="1" ht="11.25">
      <c r="F57" s="185"/>
      <c r="G57" s="185"/>
      <c r="H57" s="185"/>
      <c r="I57" s="185"/>
      <c r="J57" s="185"/>
      <c r="K57" s="185"/>
      <c r="L57" s="185"/>
      <c r="M57" s="185"/>
      <c r="N57" s="185"/>
    </row>
    <row r="58" spans="6:14" s="73" customFormat="1" ht="11.25">
      <c r="F58" s="185"/>
      <c r="G58" s="185"/>
      <c r="H58" s="185"/>
      <c r="I58" s="185"/>
      <c r="J58" s="185"/>
      <c r="K58" s="185"/>
      <c r="L58" s="185"/>
      <c r="M58" s="185"/>
      <c r="N58" s="185"/>
    </row>
    <row r="59" spans="6:14" s="73" customFormat="1" ht="11.25">
      <c r="F59" s="185"/>
      <c r="G59" s="185"/>
      <c r="H59" s="185"/>
      <c r="I59" s="185"/>
      <c r="J59" s="185"/>
      <c r="K59" s="185"/>
      <c r="L59" s="185"/>
      <c r="M59" s="185"/>
      <c r="N59" s="185"/>
    </row>
    <row r="60" spans="6:14" s="73" customFormat="1" ht="11.25">
      <c r="F60" s="185"/>
      <c r="G60" s="185"/>
      <c r="H60" s="185"/>
      <c r="I60" s="185"/>
      <c r="J60" s="185"/>
      <c r="K60" s="185"/>
      <c r="L60" s="185"/>
      <c r="M60" s="185"/>
      <c r="N60" s="185"/>
    </row>
    <row r="61" spans="6:14" s="73" customFormat="1" ht="11.25">
      <c r="F61" s="185"/>
      <c r="G61" s="185"/>
      <c r="H61" s="185"/>
      <c r="I61" s="185"/>
      <c r="J61" s="185"/>
      <c r="K61" s="185"/>
      <c r="L61" s="185"/>
      <c r="M61" s="185"/>
      <c r="N61" s="185"/>
    </row>
    <row r="62" spans="6:14" s="73" customFormat="1" ht="11.25">
      <c r="F62" s="185"/>
      <c r="G62" s="185"/>
      <c r="H62" s="185"/>
      <c r="I62" s="185"/>
      <c r="J62" s="185"/>
      <c r="K62" s="185"/>
      <c r="L62" s="185"/>
      <c r="M62" s="185"/>
      <c r="N62" s="185"/>
    </row>
    <row r="63" spans="6:14" s="73" customFormat="1" ht="11.25">
      <c r="F63" s="185"/>
      <c r="G63" s="185"/>
      <c r="H63" s="185"/>
      <c r="I63" s="185"/>
      <c r="J63" s="185"/>
      <c r="K63" s="185"/>
      <c r="L63" s="185"/>
      <c r="M63" s="185"/>
      <c r="N63" s="185"/>
    </row>
    <row r="64" spans="6:14" s="73" customFormat="1" ht="11.25">
      <c r="F64" s="185"/>
      <c r="G64" s="185"/>
      <c r="H64" s="185"/>
      <c r="I64" s="185"/>
      <c r="J64" s="185"/>
      <c r="K64" s="185"/>
      <c r="L64" s="185"/>
      <c r="M64" s="185"/>
      <c r="N64" s="185"/>
    </row>
    <row r="65" spans="6:14" s="73" customFormat="1" ht="11.25">
      <c r="F65" s="185"/>
      <c r="G65" s="185"/>
      <c r="H65" s="185"/>
      <c r="I65" s="185"/>
      <c r="J65" s="185"/>
      <c r="K65" s="185"/>
      <c r="L65" s="185"/>
      <c r="M65" s="185"/>
      <c r="N65" s="185"/>
    </row>
    <row r="66" spans="6:14" s="73" customFormat="1" ht="11.25">
      <c r="F66" s="185"/>
      <c r="G66" s="185"/>
      <c r="H66" s="185"/>
      <c r="I66" s="185"/>
      <c r="J66" s="185"/>
      <c r="K66" s="185"/>
      <c r="L66" s="185"/>
      <c r="M66" s="185"/>
      <c r="N66" s="185"/>
    </row>
    <row r="67" spans="6:14" s="73" customFormat="1" ht="11.25">
      <c r="F67" s="185"/>
      <c r="G67" s="185"/>
      <c r="H67" s="185"/>
      <c r="I67" s="185"/>
      <c r="J67" s="185"/>
      <c r="K67" s="185"/>
      <c r="L67" s="185"/>
      <c r="M67" s="185"/>
      <c r="N67" s="185"/>
    </row>
    <row r="68" spans="6:14" s="73" customFormat="1" ht="11.25">
      <c r="F68" s="185"/>
      <c r="G68" s="185"/>
      <c r="H68" s="185"/>
      <c r="I68" s="185"/>
      <c r="J68" s="185"/>
      <c r="K68" s="185"/>
      <c r="L68" s="185"/>
      <c r="M68" s="185"/>
      <c r="N68" s="185"/>
    </row>
    <row r="69" spans="6:14" s="73" customFormat="1" ht="11.25">
      <c r="F69" s="185"/>
      <c r="G69" s="185"/>
      <c r="H69" s="185"/>
      <c r="I69" s="185"/>
      <c r="J69" s="185"/>
      <c r="K69" s="185"/>
      <c r="L69" s="185"/>
      <c r="M69" s="185"/>
      <c r="N69" s="185"/>
    </row>
    <row r="70" spans="6:14" s="73" customFormat="1" ht="11.25">
      <c r="F70" s="185"/>
      <c r="G70" s="185"/>
      <c r="H70" s="185"/>
      <c r="I70" s="185"/>
      <c r="J70" s="185"/>
      <c r="K70" s="185"/>
      <c r="L70" s="185"/>
      <c r="M70" s="185"/>
      <c r="N70" s="185"/>
    </row>
    <row r="71" spans="6:14" s="73" customFormat="1" ht="11.25">
      <c r="F71" s="185"/>
      <c r="G71" s="185"/>
      <c r="H71" s="185"/>
      <c r="I71" s="185"/>
      <c r="J71" s="185"/>
      <c r="K71" s="185"/>
      <c r="L71" s="185"/>
      <c r="M71" s="185"/>
      <c r="N71" s="185"/>
    </row>
    <row r="72" spans="6:14" s="73" customFormat="1" ht="11.25">
      <c r="F72" s="185"/>
      <c r="G72" s="185"/>
      <c r="H72" s="185"/>
      <c r="I72" s="185"/>
      <c r="J72" s="185"/>
      <c r="K72" s="185"/>
      <c r="L72" s="185"/>
      <c r="M72" s="185"/>
      <c r="N72" s="185"/>
    </row>
    <row r="73" spans="6:14" s="73" customFormat="1" ht="11.25">
      <c r="F73" s="185"/>
      <c r="G73" s="185"/>
      <c r="H73" s="185"/>
      <c r="I73" s="185"/>
      <c r="J73" s="185"/>
      <c r="K73" s="185"/>
      <c r="L73" s="185"/>
      <c r="M73" s="185"/>
      <c r="N73" s="185"/>
    </row>
    <row r="74" spans="6:14" s="73" customFormat="1" ht="11.25">
      <c r="F74" s="185"/>
      <c r="G74" s="185"/>
      <c r="H74" s="185"/>
      <c r="I74" s="185"/>
      <c r="J74" s="185"/>
      <c r="K74" s="185"/>
      <c r="L74" s="185"/>
      <c r="M74" s="185"/>
      <c r="N74" s="185"/>
    </row>
    <row r="75" spans="6:14" s="73" customFormat="1" ht="11.25">
      <c r="F75" s="185"/>
      <c r="G75" s="185"/>
      <c r="H75" s="185"/>
      <c r="I75" s="185"/>
      <c r="J75" s="185"/>
      <c r="K75" s="185"/>
      <c r="L75" s="185"/>
      <c r="M75" s="185"/>
      <c r="N75" s="185"/>
    </row>
    <row r="76" spans="6:14" s="73" customFormat="1" ht="11.25">
      <c r="F76" s="185"/>
      <c r="G76" s="185"/>
      <c r="H76" s="185"/>
      <c r="I76" s="185"/>
      <c r="J76" s="185"/>
      <c r="K76" s="185"/>
      <c r="L76" s="185"/>
      <c r="M76" s="185"/>
      <c r="N76" s="185"/>
    </row>
    <row r="77" spans="6:14" s="73" customFormat="1" ht="11.25">
      <c r="F77" s="185"/>
      <c r="G77" s="185"/>
      <c r="H77" s="185"/>
      <c r="I77" s="185"/>
      <c r="J77" s="185"/>
      <c r="K77" s="185"/>
      <c r="L77" s="185"/>
      <c r="M77" s="185"/>
      <c r="N77" s="185"/>
    </row>
    <row r="78" spans="6:14" s="73" customFormat="1" ht="11.25">
      <c r="F78" s="185"/>
      <c r="G78" s="185"/>
      <c r="H78" s="185"/>
      <c r="I78" s="185"/>
      <c r="J78" s="185"/>
      <c r="K78" s="185"/>
      <c r="L78" s="185"/>
      <c r="M78" s="185"/>
      <c r="N78" s="185"/>
    </row>
    <row r="79" spans="6:14" s="73" customFormat="1" ht="11.25">
      <c r="F79" s="185"/>
      <c r="G79" s="185"/>
      <c r="H79" s="185"/>
      <c r="I79" s="185"/>
      <c r="J79" s="185"/>
      <c r="K79" s="185"/>
      <c r="L79" s="185"/>
      <c r="M79" s="185"/>
      <c r="N79" s="185"/>
    </row>
    <row r="80" spans="6:14" s="73" customFormat="1" ht="11.25">
      <c r="F80" s="185"/>
      <c r="G80" s="185"/>
      <c r="H80" s="185"/>
      <c r="I80" s="185"/>
      <c r="J80" s="185"/>
      <c r="K80" s="185"/>
      <c r="L80" s="185"/>
      <c r="M80" s="185"/>
      <c r="N80" s="185"/>
    </row>
    <row r="81" spans="6:14" s="73" customFormat="1" ht="11.25">
      <c r="F81" s="185"/>
      <c r="G81" s="185"/>
      <c r="H81" s="185"/>
      <c r="I81" s="185"/>
      <c r="J81" s="185"/>
      <c r="K81" s="185"/>
      <c r="L81" s="185"/>
      <c r="M81" s="185"/>
      <c r="N81" s="185"/>
    </row>
    <row r="82" spans="6:14" s="73" customFormat="1" ht="11.25">
      <c r="F82" s="185"/>
      <c r="G82" s="185"/>
      <c r="H82" s="185"/>
      <c r="I82" s="185"/>
      <c r="J82" s="185"/>
      <c r="K82" s="185"/>
      <c r="L82" s="185"/>
      <c r="M82" s="185"/>
      <c r="N82" s="185"/>
    </row>
    <row r="83" spans="6:14" s="73" customFormat="1" ht="11.25">
      <c r="F83" s="185"/>
      <c r="G83" s="185"/>
      <c r="H83" s="185"/>
      <c r="I83" s="185"/>
      <c r="J83" s="185"/>
      <c r="K83" s="185"/>
      <c r="L83" s="185"/>
      <c r="M83" s="185"/>
      <c r="N83" s="185"/>
    </row>
    <row r="84" spans="6:14" s="73" customFormat="1" ht="11.25">
      <c r="F84" s="185"/>
      <c r="G84" s="185"/>
      <c r="H84" s="185"/>
      <c r="I84" s="185"/>
      <c r="J84" s="185"/>
      <c r="K84" s="185"/>
      <c r="L84" s="185"/>
      <c r="M84" s="185"/>
      <c r="N84" s="185"/>
    </row>
    <row r="85" spans="6:14" s="73" customFormat="1" ht="11.25">
      <c r="F85" s="185"/>
      <c r="G85" s="185"/>
      <c r="H85" s="185"/>
      <c r="I85" s="185"/>
      <c r="J85" s="185"/>
      <c r="K85" s="185"/>
      <c r="L85" s="185"/>
      <c r="M85" s="185"/>
      <c r="N85" s="185"/>
    </row>
    <row r="86" spans="6:14" s="73" customFormat="1" ht="11.25">
      <c r="F86" s="185"/>
      <c r="G86" s="185"/>
      <c r="H86" s="185"/>
      <c r="I86" s="185"/>
      <c r="J86" s="185"/>
      <c r="K86" s="185"/>
      <c r="L86" s="185"/>
      <c r="M86" s="185"/>
      <c r="N86" s="185"/>
    </row>
    <row r="87" spans="6:14" s="73" customFormat="1" ht="11.25">
      <c r="F87" s="185"/>
      <c r="G87" s="185"/>
      <c r="H87" s="185"/>
      <c r="I87" s="185"/>
      <c r="J87" s="185"/>
      <c r="K87" s="185"/>
      <c r="L87" s="185"/>
      <c r="M87" s="185"/>
      <c r="N87" s="185"/>
    </row>
    <row r="88" spans="6:14" s="73" customFormat="1" ht="11.25">
      <c r="F88" s="185"/>
      <c r="G88" s="185"/>
      <c r="H88" s="185"/>
      <c r="I88" s="185"/>
      <c r="J88" s="185"/>
      <c r="K88" s="185"/>
      <c r="L88" s="185"/>
      <c r="M88" s="185"/>
      <c r="N88" s="185"/>
    </row>
    <row r="89" spans="6:14" s="73" customFormat="1" ht="11.25">
      <c r="F89" s="185"/>
      <c r="G89" s="185"/>
      <c r="H89" s="185"/>
      <c r="I89" s="185"/>
      <c r="J89" s="185"/>
      <c r="K89" s="185"/>
      <c r="L89" s="185"/>
      <c r="M89" s="185"/>
      <c r="N89" s="185"/>
    </row>
    <row r="90" spans="6:14" s="73" customFormat="1" ht="11.25">
      <c r="F90" s="185"/>
      <c r="G90" s="185"/>
      <c r="H90" s="185"/>
      <c r="I90" s="185"/>
      <c r="J90" s="185"/>
      <c r="K90" s="185"/>
      <c r="L90" s="185"/>
      <c r="M90" s="185"/>
      <c r="N90" s="185"/>
    </row>
    <row r="91" spans="6:14" s="73" customFormat="1" ht="11.25">
      <c r="F91" s="185"/>
      <c r="G91" s="185"/>
      <c r="H91" s="185"/>
      <c r="I91" s="185"/>
      <c r="J91" s="185"/>
      <c r="K91" s="185"/>
      <c r="L91" s="185"/>
      <c r="M91" s="185"/>
      <c r="N91" s="185"/>
    </row>
    <row r="92" spans="6:14" s="73" customFormat="1" ht="11.25">
      <c r="F92" s="185"/>
      <c r="G92" s="185"/>
      <c r="H92" s="185"/>
      <c r="I92" s="185"/>
      <c r="J92" s="185"/>
      <c r="K92" s="185"/>
      <c r="L92" s="185"/>
      <c r="M92" s="185"/>
      <c r="N92" s="185"/>
    </row>
    <row r="93" spans="6:14" s="73" customFormat="1" ht="11.25">
      <c r="F93" s="185"/>
      <c r="G93" s="185"/>
      <c r="H93" s="185"/>
      <c r="I93" s="185"/>
      <c r="J93" s="185"/>
      <c r="K93" s="185"/>
      <c r="L93" s="185"/>
      <c r="M93" s="185"/>
      <c r="N93" s="185"/>
    </row>
    <row r="94" spans="6:14" s="73" customFormat="1" ht="11.25">
      <c r="F94" s="185"/>
      <c r="G94" s="185"/>
      <c r="H94" s="185"/>
      <c r="I94" s="185"/>
      <c r="J94" s="185"/>
      <c r="K94" s="185"/>
      <c r="L94" s="185"/>
      <c r="M94" s="185"/>
      <c r="N94" s="185"/>
    </row>
    <row r="95" spans="6:14" s="73" customFormat="1" ht="11.25">
      <c r="F95" s="185"/>
      <c r="G95" s="185"/>
      <c r="H95" s="185"/>
      <c r="I95" s="185"/>
      <c r="J95" s="185"/>
      <c r="K95" s="185"/>
      <c r="L95" s="185"/>
      <c r="M95" s="185"/>
      <c r="N95" s="185"/>
    </row>
    <row r="96" spans="6:14" s="73" customFormat="1" ht="11.25">
      <c r="F96" s="185"/>
      <c r="G96" s="185"/>
      <c r="H96" s="185"/>
      <c r="I96" s="185"/>
      <c r="J96" s="185"/>
      <c r="K96" s="185"/>
      <c r="L96" s="185"/>
      <c r="M96" s="185"/>
      <c r="N96" s="185"/>
    </row>
    <row r="97" spans="6:14" s="73" customFormat="1" ht="11.25">
      <c r="F97" s="185"/>
      <c r="G97" s="185"/>
      <c r="H97" s="185"/>
      <c r="I97" s="185"/>
      <c r="J97" s="185"/>
      <c r="K97" s="185"/>
      <c r="L97" s="185"/>
      <c r="M97" s="185"/>
      <c r="N97" s="185"/>
    </row>
    <row r="98" spans="6:14" s="73" customFormat="1" ht="11.25">
      <c r="F98" s="185"/>
      <c r="G98" s="185"/>
      <c r="H98" s="185"/>
      <c r="I98" s="185"/>
      <c r="J98" s="185"/>
      <c r="K98" s="185"/>
      <c r="L98" s="185"/>
      <c r="M98" s="185"/>
      <c r="N98" s="185"/>
    </row>
    <row r="99" spans="6:14" s="73" customFormat="1" ht="11.25">
      <c r="F99" s="185"/>
      <c r="G99" s="185"/>
      <c r="H99" s="185"/>
      <c r="I99" s="185"/>
      <c r="J99" s="185"/>
      <c r="K99" s="185"/>
      <c r="L99" s="185"/>
      <c r="M99" s="185"/>
      <c r="N99" s="185"/>
    </row>
    <row r="100" spans="6:14" s="73" customFormat="1" ht="11.25">
      <c r="F100" s="185"/>
      <c r="G100" s="185"/>
      <c r="H100" s="185"/>
      <c r="I100" s="185"/>
      <c r="J100" s="185"/>
      <c r="K100" s="185"/>
      <c r="L100" s="185"/>
      <c r="M100" s="185"/>
      <c r="N100" s="185"/>
    </row>
    <row r="101" spans="6:14" s="73" customFormat="1" ht="11.25">
      <c r="F101" s="185"/>
      <c r="G101" s="185"/>
      <c r="H101" s="185"/>
      <c r="I101" s="185"/>
      <c r="J101" s="185"/>
      <c r="K101" s="185"/>
      <c r="L101" s="185"/>
      <c r="M101" s="185"/>
      <c r="N101" s="185"/>
    </row>
    <row r="102" spans="6:14" s="73" customFormat="1" ht="11.25">
      <c r="F102" s="185"/>
      <c r="G102" s="185"/>
      <c r="H102" s="185"/>
      <c r="I102" s="185"/>
      <c r="J102" s="185"/>
      <c r="K102" s="185"/>
      <c r="L102" s="185"/>
      <c r="M102" s="185"/>
      <c r="N102" s="185"/>
    </row>
    <row r="103" spans="6:14" s="73" customFormat="1" ht="11.25">
      <c r="F103" s="185"/>
      <c r="G103" s="185"/>
      <c r="H103" s="185"/>
      <c r="I103" s="185"/>
      <c r="J103" s="185"/>
      <c r="K103" s="185"/>
      <c r="L103" s="185"/>
      <c r="M103" s="185"/>
      <c r="N103" s="185"/>
    </row>
    <row r="104" spans="6:14" s="73" customFormat="1" ht="11.25">
      <c r="F104" s="185"/>
      <c r="G104" s="185"/>
      <c r="H104" s="185"/>
      <c r="I104" s="185"/>
      <c r="J104" s="185"/>
      <c r="K104" s="185"/>
      <c r="L104" s="185"/>
      <c r="M104" s="185"/>
      <c r="N104" s="185"/>
    </row>
    <row r="105" spans="6:14" s="73" customFormat="1" ht="11.25">
      <c r="F105" s="185"/>
      <c r="G105" s="185"/>
      <c r="H105" s="185"/>
      <c r="I105" s="185"/>
      <c r="J105" s="185"/>
      <c r="K105" s="185"/>
      <c r="L105" s="185"/>
      <c r="M105" s="185"/>
      <c r="N105" s="185"/>
    </row>
    <row r="106" spans="6:14" s="73" customFormat="1" ht="11.25">
      <c r="F106" s="185"/>
      <c r="G106" s="185"/>
      <c r="H106" s="185"/>
      <c r="I106" s="185"/>
      <c r="J106" s="185"/>
      <c r="K106" s="185"/>
      <c r="L106" s="185"/>
      <c r="M106" s="185"/>
      <c r="N106" s="185"/>
    </row>
    <row r="107" spans="6:14" s="73" customFormat="1" ht="11.25">
      <c r="F107" s="185"/>
      <c r="G107" s="185"/>
      <c r="H107" s="185"/>
      <c r="I107" s="185"/>
      <c r="J107" s="185"/>
      <c r="K107" s="185"/>
      <c r="L107" s="185"/>
      <c r="M107" s="185"/>
      <c r="N107" s="185"/>
    </row>
    <row r="108" spans="6:14" s="73" customFormat="1" ht="11.25">
      <c r="F108" s="185"/>
      <c r="G108" s="185"/>
      <c r="H108" s="185"/>
      <c r="I108" s="185"/>
      <c r="J108" s="185"/>
      <c r="K108" s="185"/>
      <c r="L108" s="185"/>
      <c r="M108" s="185"/>
      <c r="N108" s="185"/>
    </row>
    <row r="109" spans="6:14" s="73" customFormat="1" ht="11.25">
      <c r="F109" s="185"/>
      <c r="G109" s="185"/>
      <c r="H109" s="185"/>
      <c r="I109" s="185"/>
      <c r="J109" s="185"/>
      <c r="K109" s="185"/>
      <c r="L109" s="185"/>
      <c r="M109" s="185"/>
      <c r="N109" s="185"/>
    </row>
    <row r="110" spans="6:14" s="73" customFormat="1" ht="11.25">
      <c r="F110" s="185"/>
      <c r="G110" s="185"/>
      <c r="H110" s="185"/>
      <c r="I110" s="185"/>
      <c r="J110" s="185"/>
      <c r="K110" s="185"/>
      <c r="L110" s="185"/>
      <c r="M110" s="185"/>
      <c r="N110" s="185"/>
    </row>
    <row r="111" spans="6:14" s="73" customFormat="1" ht="11.25">
      <c r="F111" s="185"/>
      <c r="G111" s="185"/>
      <c r="H111" s="185"/>
      <c r="I111" s="185"/>
      <c r="J111" s="185"/>
      <c r="K111" s="185"/>
      <c r="L111" s="185"/>
      <c r="M111" s="185"/>
      <c r="N111" s="185"/>
    </row>
    <row r="112" spans="6:14" s="73" customFormat="1" ht="11.25">
      <c r="F112" s="185"/>
      <c r="G112" s="185"/>
      <c r="H112" s="185"/>
      <c r="I112" s="185"/>
      <c r="J112" s="185"/>
      <c r="K112" s="185"/>
      <c r="L112" s="185"/>
      <c r="M112" s="185"/>
      <c r="N112" s="185"/>
    </row>
    <row r="113" spans="6:14" s="73" customFormat="1" ht="11.25">
      <c r="F113" s="185"/>
      <c r="G113" s="185"/>
      <c r="H113" s="185"/>
      <c r="I113" s="185"/>
      <c r="J113" s="185"/>
      <c r="K113" s="185"/>
      <c r="L113" s="185"/>
      <c r="M113" s="185"/>
      <c r="N113" s="185"/>
    </row>
    <row r="114" spans="6:14" s="73" customFormat="1" ht="11.25">
      <c r="F114" s="185"/>
      <c r="G114" s="185"/>
      <c r="H114" s="185"/>
      <c r="I114" s="185"/>
      <c r="J114" s="185"/>
      <c r="K114" s="185"/>
      <c r="L114" s="185"/>
      <c r="M114" s="185"/>
      <c r="N114" s="185"/>
    </row>
    <row r="115" spans="6:14" s="73" customFormat="1" ht="11.25">
      <c r="F115" s="185"/>
      <c r="G115" s="185"/>
      <c r="H115" s="185"/>
      <c r="I115" s="185"/>
      <c r="J115" s="185"/>
      <c r="K115" s="185"/>
      <c r="L115" s="185"/>
      <c r="M115" s="185"/>
      <c r="N115" s="185"/>
    </row>
    <row r="116" spans="6:14" s="73" customFormat="1" ht="11.25">
      <c r="F116" s="185"/>
      <c r="G116" s="185"/>
      <c r="H116" s="185"/>
      <c r="I116" s="185"/>
      <c r="J116" s="185"/>
      <c r="K116" s="185"/>
      <c r="L116" s="185"/>
      <c r="M116" s="185"/>
      <c r="N116" s="185"/>
    </row>
    <row r="117" spans="6:14" s="73" customFormat="1" ht="11.25">
      <c r="F117" s="185"/>
      <c r="G117" s="185"/>
      <c r="H117" s="185"/>
      <c r="I117" s="185"/>
      <c r="J117" s="185"/>
      <c r="K117" s="185"/>
      <c r="L117" s="185"/>
      <c r="M117" s="185"/>
      <c r="N117" s="185"/>
    </row>
    <row r="118" spans="6:14" s="73" customFormat="1" ht="11.25">
      <c r="F118" s="185"/>
      <c r="G118" s="185"/>
      <c r="H118" s="185"/>
      <c r="I118" s="185"/>
      <c r="J118" s="185"/>
      <c r="K118" s="185"/>
      <c r="L118" s="185"/>
      <c r="M118" s="185"/>
      <c r="N118" s="185"/>
    </row>
    <row r="119" spans="6:14" s="73" customFormat="1" ht="11.25">
      <c r="F119" s="185"/>
      <c r="G119" s="185"/>
      <c r="H119" s="185"/>
      <c r="I119" s="185"/>
      <c r="J119" s="185"/>
      <c r="K119" s="185"/>
      <c r="L119" s="185"/>
      <c r="M119" s="185"/>
      <c r="N119" s="185"/>
    </row>
    <row r="120" spans="6:14" s="73" customFormat="1" ht="11.25">
      <c r="F120" s="185"/>
      <c r="G120" s="185"/>
      <c r="H120" s="185"/>
      <c r="I120" s="185"/>
      <c r="J120" s="185"/>
      <c r="K120" s="185"/>
      <c r="L120" s="185"/>
      <c r="M120" s="185"/>
      <c r="N120" s="185"/>
    </row>
    <row r="121" spans="6:14" s="73" customFormat="1" ht="11.25">
      <c r="F121" s="185"/>
      <c r="G121" s="185"/>
      <c r="H121" s="185"/>
      <c r="I121" s="185"/>
      <c r="J121" s="185"/>
      <c r="K121" s="185"/>
      <c r="L121" s="185"/>
      <c r="M121" s="185"/>
      <c r="N121" s="185"/>
    </row>
    <row r="122" spans="6:14" s="73" customFormat="1" ht="11.25">
      <c r="F122" s="185"/>
      <c r="G122" s="185"/>
      <c r="H122" s="185"/>
      <c r="I122" s="185"/>
      <c r="J122" s="185"/>
      <c r="K122" s="185"/>
      <c r="L122" s="185"/>
      <c r="M122" s="185"/>
      <c r="N122" s="185"/>
    </row>
    <row r="123" spans="6:14" s="73" customFormat="1" ht="11.25">
      <c r="F123" s="185"/>
      <c r="G123" s="185"/>
      <c r="H123" s="185"/>
      <c r="I123" s="185"/>
      <c r="J123" s="185"/>
      <c r="K123" s="185"/>
      <c r="L123" s="185"/>
      <c r="M123" s="185"/>
      <c r="N123" s="185"/>
    </row>
  </sheetData>
  <mergeCells count="51">
    <mergeCell ref="E14:E15"/>
    <mergeCell ref="G14:G15"/>
    <mergeCell ref="H14:H15"/>
    <mergeCell ref="I14:I15"/>
    <mergeCell ref="E16:E17"/>
    <mergeCell ref="I16:I17"/>
    <mergeCell ref="H16:H17"/>
    <mergeCell ref="G16:G17"/>
    <mergeCell ref="G20:G21"/>
    <mergeCell ref="H20:H21"/>
    <mergeCell ref="I20:I21"/>
    <mergeCell ref="B20:C21"/>
    <mergeCell ref="D8:D9"/>
    <mergeCell ref="C18:C19"/>
    <mergeCell ref="D18:D19"/>
    <mergeCell ref="E18:E19"/>
    <mergeCell ref="C10:C11"/>
    <mergeCell ref="D10:D11"/>
    <mergeCell ref="E12:E13"/>
    <mergeCell ref="D20:D21"/>
    <mergeCell ref="E20:E21"/>
    <mergeCell ref="H12:H13"/>
    <mergeCell ref="B8:C9"/>
    <mergeCell ref="E10:E11"/>
    <mergeCell ref="A6:C7"/>
    <mergeCell ref="A4:C5"/>
    <mergeCell ref="D4:D5"/>
    <mergeCell ref="E4:E5"/>
    <mergeCell ref="D6:D7"/>
    <mergeCell ref="E6:E7"/>
    <mergeCell ref="H6:H7"/>
    <mergeCell ref="H4:H5"/>
    <mergeCell ref="I6:I7"/>
    <mergeCell ref="H8:H9"/>
    <mergeCell ref="G8:G9"/>
    <mergeCell ref="A1:I1"/>
    <mergeCell ref="I12:I13"/>
    <mergeCell ref="G18:G19"/>
    <mergeCell ref="H18:H19"/>
    <mergeCell ref="I18:I19"/>
    <mergeCell ref="G10:G11"/>
    <mergeCell ref="H10:H11"/>
    <mergeCell ref="I10:I11"/>
    <mergeCell ref="I4:I5"/>
    <mergeCell ref="E8:E9"/>
    <mergeCell ref="G12:G13"/>
    <mergeCell ref="C12:C17"/>
    <mergeCell ref="D12:D17"/>
    <mergeCell ref="I8:I9"/>
    <mergeCell ref="G4:G5"/>
    <mergeCell ref="G6:G7"/>
  </mergeCells>
  <phoneticPr fontId="2"/>
  <printOptions horizontalCentered="1"/>
  <pageMargins left="0.59055118110236227" right="0.39370078740157483" top="0.78740157480314965" bottom="0.39370078740157483" header="0.39370078740157483" footer="0.19685039370078741"/>
  <pageSetup paperSize="9" scale="79" fitToHeight="2" orientation="portrait" blackAndWhite="1" r:id="rId1"/>
  <headerFooter alignWithMargins="0">
    <oddFooter>&amp;L&amp;6&amp;F &amp;A&amp;R&amp;6&amp;D &amp;T</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pageSetUpPr fitToPage="1"/>
  </sheetPr>
  <dimension ref="A1:N123"/>
  <sheetViews>
    <sheetView zoomScale="85" zoomScaleNormal="85" workbookViewId="0">
      <selection activeCell="G8" sqref="G8:G9"/>
    </sheetView>
  </sheetViews>
  <sheetFormatPr defaultRowHeight="13.5"/>
  <cols>
    <col min="1" max="1" width="1.875" customWidth="1"/>
    <col min="2" max="2" width="4.125" customWidth="1"/>
    <col min="3" max="3" width="12.625" customWidth="1"/>
    <col min="4" max="5" width="22.625" customWidth="1"/>
    <col min="6" max="9" width="13.75" style="145" customWidth="1"/>
    <col min="10" max="11" width="7.75" style="145" customWidth="1"/>
    <col min="12" max="14" width="12.625" style="145" customWidth="1"/>
    <col min="15" max="16" width="13.625" bestFit="1" customWidth="1"/>
  </cols>
  <sheetData>
    <row r="1" spans="1:14" ht="17.25" customHeight="1">
      <c r="A1" s="659" t="str">
        <f>+"令和"&amp;MID(総括表!A2,3,1)&amp;"年度決算　不課税収入区分表(他会計負担金)"</f>
        <v>令和５年度決算　不課税収入区分表(他会計負担金)</v>
      </c>
      <c r="B1" s="659"/>
      <c r="C1" s="659"/>
      <c r="D1" s="659"/>
      <c r="E1" s="659"/>
      <c r="F1" s="659"/>
      <c r="G1" s="659"/>
      <c r="H1" s="659"/>
      <c r="I1" s="659"/>
    </row>
    <row r="2" spans="1:14" ht="17.25" customHeight="1">
      <c r="A2" s="139"/>
      <c r="B2" s="139"/>
      <c r="C2" s="139"/>
      <c r="D2" s="139"/>
      <c r="E2" s="139"/>
      <c r="F2" s="170"/>
      <c r="G2" s="170"/>
      <c r="H2" s="170"/>
      <c r="I2" s="170"/>
    </row>
    <row r="3" spans="1:14" ht="17.25" customHeight="1" thickBot="1">
      <c r="A3" s="1"/>
      <c r="B3" s="1"/>
      <c r="C3" s="1"/>
      <c r="D3" s="1"/>
      <c r="E3" s="1"/>
      <c r="F3" s="172"/>
      <c r="G3" s="172"/>
      <c r="H3" s="172"/>
      <c r="I3" s="173" t="s">
        <v>14</v>
      </c>
    </row>
    <row r="4" spans="1:14" s="73" customFormat="1" ht="19.5" customHeight="1">
      <c r="A4" s="587" t="s">
        <v>15</v>
      </c>
      <c r="B4" s="582"/>
      <c r="C4" s="588"/>
      <c r="D4" s="584" t="s">
        <v>44</v>
      </c>
      <c r="E4" s="582" t="s">
        <v>45</v>
      </c>
      <c r="F4" s="281" t="s">
        <v>66</v>
      </c>
      <c r="G4" s="778" t="s">
        <v>47</v>
      </c>
      <c r="H4" s="778" t="s">
        <v>16</v>
      </c>
      <c r="I4" s="772" t="s">
        <v>46</v>
      </c>
      <c r="J4" s="292" t="s">
        <v>384</v>
      </c>
      <c r="K4" s="293"/>
      <c r="L4" s="293"/>
      <c r="M4" s="293"/>
      <c r="N4" s="185"/>
    </row>
    <row r="5" spans="1:14" s="73" customFormat="1" ht="19.5" customHeight="1">
      <c r="A5" s="589"/>
      <c r="B5" s="583"/>
      <c r="C5" s="590"/>
      <c r="D5" s="585"/>
      <c r="E5" s="583"/>
      <c r="F5" s="177" t="s">
        <v>68</v>
      </c>
      <c r="G5" s="779"/>
      <c r="H5" s="779"/>
      <c r="I5" s="773"/>
      <c r="J5" s="325">
        <v>0.03</v>
      </c>
      <c r="K5" s="421">
        <v>0.05</v>
      </c>
      <c r="L5" s="294">
        <v>0.08</v>
      </c>
      <c r="M5" s="416">
        <v>0.08</v>
      </c>
      <c r="N5" s="297">
        <v>0.1</v>
      </c>
    </row>
    <row r="6" spans="1:14" s="73" customFormat="1" ht="19.5" customHeight="1">
      <c r="A6" s="839" t="s">
        <v>2</v>
      </c>
      <c r="B6" s="593"/>
      <c r="C6" s="594"/>
      <c r="D6" s="818"/>
      <c r="E6" s="840"/>
      <c r="F6" s="179"/>
      <c r="G6" s="787">
        <f>+SUM(G8:G11)</f>
        <v>16476593</v>
      </c>
      <c r="H6" s="787">
        <f t="shared" ref="H6:I6" si="0">+SUM(H8:H11)</f>
        <v>0</v>
      </c>
      <c r="I6" s="790">
        <f t="shared" si="0"/>
        <v>16476593</v>
      </c>
      <c r="J6" s="185"/>
      <c r="K6" s="185"/>
      <c r="L6" s="185"/>
      <c r="M6" s="185"/>
      <c r="N6" s="185"/>
    </row>
    <row r="7" spans="1:14" s="73" customFormat="1" ht="19.5" customHeight="1">
      <c r="A7" s="817"/>
      <c r="B7" s="532"/>
      <c r="C7" s="533"/>
      <c r="D7" s="819"/>
      <c r="E7" s="841"/>
      <c r="F7" s="284"/>
      <c r="G7" s="782"/>
      <c r="H7" s="782"/>
      <c r="I7" s="791"/>
      <c r="J7" s="185"/>
      <c r="K7" s="185"/>
      <c r="L7" s="185"/>
      <c r="M7" s="185"/>
      <c r="N7" s="185"/>
    </row>
    <row r="8" spans="1:14" s="73" customFormat="1" ht="19.5" customHeight="1">
      <c r="A8" s="282"/>
      <c r="B8" s="503" t="s">
        <v>385</v>
      </c>
      <c r="C8" s="504"/>
      <c r="D8" s="631" t="s">
        <v>150</v>
      </c>
      <c r="E8" s="834" t="s">
        <v>151</v>
      </c>
      <c r="F8" s="284"/>
      <c r="G8" s="760">
        <f>+[3]雨汚水!$E$88</f>
        <v>16476593</v>
      </c>
      <c r="H8" s="781">
        <f>IFERROR(ROUND((G8)*F8/F9,0),0)</f>
        <v>0</v>
      </c>
      <c r="I8" s="792">
        <f>G8-H8</f>
        <v>16476593</v>
      </c>
      <c r="J8" s="185"/>
      <c r="K8" s="185"/>
      <c r="L8" s="185"/>
      <c r="M8" s="185"/>
      <c r="N8" s="185"/>
    </row>
    <row r="9" spans="1:14" s="73" customFormat="1" ht="19.5" customHeight="1">
      <c r="A9" s="285"/>
      <c r="B9" s="591"/>
      <c r="C9" s="592"/>
      <c r="D9" s="827"/>
      <c r="E9" s="561"/>
      <c r="F9" s="283"/>
      <c r="G9" s="801"/>
      <c r="H9" s="802"/>
      <c r="I9" s="794"/>
      <c r="J9" s="290"/>
      <c r="K9" s="290"/>
      <c r="L9" s="290"/>
      <c r="M9" s="290"/>
      <c r="N9" s="185"/>
    </row>
    <row r="10" spans="1:14" s="73" customFormat="1" ht="19.5" customHeight="1">
      <c r="A10" s="282"/>
      <c r="B10" s="503" t="s">
        <v>385</v>
      </c>
      <c r="C10" s="504"/>
      <c r="D10" s="631" t="s">
        <v>72</v>
      </c>
      <c r="E10" s="834" t="s">
        <v>212</v>
      </c>
      <c r="F10" s="284"/>
      <c r="G10" s="760">
        <f>+[3]雨汚水!$E$89</f>
        <v>0</v>
      </c>
      <c r="H10" s="781">
        <f>IFERROR(ROUND((G10)*F10/F11,0),0)</f>
        <v>0</v>
      </c>
      <c r="I10" s="792">
        <f>G10-H10</f>
        <v>0</v>
      </c>
      <c r="J10" s="185"/>
      <c r="K10" s="185"/>
      <c r="L10" s="185"/>
      <c r="M10" s="185"/>
      <c r="N10" s="185"/>
    </row>
    <row r="11" spans="1:14" s="73" customFormat="1" ht="19.5" customHeight="1" thickBot="1">
      <c r="A11" s="279"/>
      <c r="B11" s="842"/>
      <c r="C11" s="610"/>
      <c r="D11" s="606"/>
      <c r="E11" s="843"/>
      <c r="F11" s="184"/>
      <c r="G11" s="821"/>
      <c r="H11" s="822"/>
      <c r="I11" s="823"/>
      <c r="J11" s="290"/>
      <c r="K11" s="290"/>
      <c r="L11" s="290"/>
      <c r="M11" s="290"/>
      <c r="N11" s="185"/>
    </row>
    <row r="12" spans="1:14" s="73" customFormat="1" ht="19.5" customHeight="1">
      <c r="F12" s="289" t="s">
        <v>392</v>
      </c>
      <c r="G12" s="172">
        <f>+'[2]3条収入'!$V$41</f>
        <v>16476593</v>
      </c>
      <c r="H12" s="185"/>
      <c r="I12" s="185"/>
      <c r="J12" s="185"/>
      <c r="K12" s="185"/>
      <c r="L12" s="185"/>
      <c r="M12" s="185"/>
      <c r="N12" s="185"/>
    </row>
    <row r="13" spans="1:14" s="73" customFormat="1" ht="11.25">
      <c r="F13" s="289" t="s">
        <v>391</v>
      </c>
      <c r="G13" s="172">
        <f>G6-G12</f>
        <v>0</v>
      </c>
      <c r="H13" s="185"/>
      <c r="I13" s="185"/>
      <c r="J13" s="185"/>
      <c r="K13" s="185"/>
      <c r="L13" s="185"/>
      <c r="M13" s="185"/>
      <c r="N13" s="185"/>
    </row>
    <row r="14" spans="1:14" s="73" customFormat="1" ht="11.25">
      <c r="F14" s="185"/>
      <c r="G14" s="185"/>
      <c r="H14" s="185"/>
      <c r="I14" s="185"/>
      <c r="J14" s="185"/>
      <c r="K14" s="185"/>
      <c r="L14" s="185"/>
      <c r="M14" s="185"/>
      <c r="N14" s="185"/>
    </row>
    <row r="15" spans="1:14" s="73" customFormat="1" ht="11.25">
      <c r="F15" s="185"/>
      <c r="G15" s="185"/>
      <c r="H15" s="185"/>
      <c r="I15" s="185"/>
      <c r="J15" s="185"/>
      <c r="K15" s="185"/>
      <c r="L15" s="185"/>
      <c r="M15" s="185"/>
      <c r="N15" s="185"/>
    </row>
    <row r="16" spans="1:14" s="73" customFormat="1" ht="11.25">
      <c r="F16" s="185"/>
      <c r="G16" s="185"/>
      <c r="H16" s="185"/>
      <c r="I16" s="185"/>
      <c r="J16" s="185"/>
      <c r="K16" s="185"/>
      <c r="L16" s="185"/>
      <c r="M16" s="185"/>
      <c r="N16" s="185"/>
    </row>
    <row r="17" spans="6:14" s="73" customFormat="1" ht="11.25">
      <c r="F17" s="185"/>
      <c r="G17" s="185"/>
      <c r="H17" s="185"/>
      <c r="I17" s="185"/>
      <c r="J17" s="185"/>
      <c r="K17" s="185"/>
      <c r="L17" s="185"/>
      <c r="M17" s="185"/>
      <c r="N17" s="185"/>
    </row>
    <row r="18" spans="6:14" s="73" customFormat="1" ht="11.25">
      <c r="F18" s="185"/>
      <c r="G18" s="185"/>
      <c r="H18" s="185"/>
      <c r="I18" s="185"/>
      <c r="J18" s="185"/>
      <c r="K18" s="185"/>
      <c r="L18" s="185"/>
      <c r="M18" s="185"/>
      <c r="N18" s="185"/>
    </row>
    <row r="19" spans="6:14" s="73" customFormat="1" ht="11.25">
      <c r="F19" s="185"/>
      <c r="G19" s="185"/>
      <c r="H19" s="185"/>
      <c r="I19" s="185"/>
      <c r="J19" s="185"/>
      <c r="K19" s="185"/>
      <c r="L19" s="185"/>
      <c r="M19" s="185"/>
      <c r="N19" s="185"/>
    </row>
    <row r="20" spans="6:14" s="73" customFormat="1" ht="11.25">
      <c r="F20" s="185"/>
      <c r="G20" s="185"/>
      <c r="H20" s="185"/>
      <c r="I20" s="185"/>
      <c r="J20" s="185"/>
      <c r="K20" s="185"/>
      <c r="L20" s="185"/>
      <c r="M20" s="185"/>
      <c r="N20" s="185"/>
    </row>
    <row r="21" spans="6:14" s="73" customFormat="1" ht="11.25">
      <c r="F21" s="185"/>
      <c r="G21" s="185"/>
      <c r="H21" s="185"/>
      <c r="I21" s="185"/>
      <c r="J21" s="185"/>
      <c r="K21" s="185"/>
      <c r="L21" s="185"/>
      <c r="M21" s="185"/>
      <c r="N21" s="185"/>
    </row>
    <row r="22" spans="6:14" s="73" customFormat="1" ht="11.25">
      <c r="F22" s="185"/>
      <c r="G22" s="185"/>
      <c r="H22" s="185"/>
      <c r="I22" s="185"/>
      <c r="J22" s="185"/>
      <c r="K22" s="185"/>
      <c r="L22" s="185"/>
      <c r="M22" s="185"/>
      <c r="N22" s="185"/>
    </row>
    <row r="23" spans="6:14" s="73" customFormat="1" ht="11.25">
      <c r="F23" s="185"/>
      <c r="G23" s="185"/>
      <c r="H23" s="185"/>
      <c r="I23" s="185"/>
      <c r="J23" s="185"/>
      <c r="K23" s="185"/>
      <c r="L23" s="185"/>
      <c r="M23" s="185"/>
      <c r="N23" s="185"/>
    </row>
    <row r="24" spans="6:14" s="73" customFormat="1" ht="11.25">
      <c r="F24" s="185"/>
      <c r="G24" s="185"/>
      <c r="H24" s="185"/>
      <c r="I24" s="185"/>
      <c r="J24" s="185"/>
      <c r="K24" s="185"/>
      <c r="L24" s="185"/>
      <c r="M24" s="185"/>
      <c r="N24" s="185"/>
    </row>
    <row r="25" spans="6:14" s="73" customFormat="1" ht="11.25">
      <c r="F25" s="185"/>
      <c r="G25" s="185"/>
      <c r="H25" s="185"/>
      <c r="I25" s="185"/>
      <c r="J25" s="185"/>
      <c r="K25" s="185"/>
      <c r="L25" s="185"/>
      <c r="M25" s="185"/>
      <c r="N25" s="185"/>
    </row>
    <row r="26" spans="6:14" s="73" customFormat="1" ht="11.25">
      <c r="F26" s="185"/>
      <c r="G26" s="185"/>
      <c r="H26" s="185"/>
      <c r="I26" s="185"/>
      <c r="J26" s="185"/>
      <c r="K26" s="185"/>
      <c r="L26" s="185"/>
      <c r="M26" s="185"/>
      <c r="N26" s="185"/>
    </row>
    <row r="27" spans="6:14" s="73" customFormat="1" ht="11.25">
      <c r="F27" s="185"/>
      <c r="G27" s="185"/>
      <c r="H27" s="185"/>
      <c r="I27" s="185"/>
      <c r="J27" s="185"/>
      <c r="K27" s="185"/>
      <c r="L27" s="185"/>
      <c r="M27" s="185"/>
      <c r="N27" s="185"/>
    </row>
    <row r="28" spans="6:14" s="73" customFormat="1" ht="11.25">
      <c r="F28" s="185"/>
      <c r="G28" s="185"/>
      <c r="H28" s="185"/>
      <c r="I28" s="185"/>
      <c r="J28" s="185"/>
      <c r="K28" s="185"/>
      <c r="L28" s="185"/>
      <c r="M28" s="185"/>
      <c r="N28" s="185"/>
    </row>
    <row r="29" spans="6:14" s="73" customFormat="1" ht="11.25">
      <c r="F29" s="185"/>
      <c r="G29" s="185"/>
      <c r="H29" s="185"/>
      <c r="I29" s="185"/>
      <c r="J29" s="185"/>
      <c r="K29" s="185"/>
      <c r="L29" s="185"/>
      <c r="M29" s="185"/>
      <c r="N29" s="185"/>
    </row>
    <row r="30" spans="6:14" s="73" customFormat="1" ht="11.25">
      <c r="F30" s="185"/>
      <c r="G30" s="185"/>
      <c r="H30" s="185"/>
      <c r="I30" s="185"/>
      <c r="J30" s="185"/>
      <c r="K30" s="185"/>
      <c r="L30" s="185"/>
      <c r="M30" s="185"/>
      <c r="N30" s="185"/>
    </row>
    <row r="31" spans="6:14" s="73" customFormat="1" ht="11.25">
      <c r="F31" s="185"/>
      <c r="G31" s="185"/>
      <c r="H31" s="185"/>
      <c r="I31" s="185"/>
      <c r="J31" s="185"/>
      <c r="K31" s="185"/>
      <c r="L31" s="185"/>
      <c r="M31" s="185"/>
      <c r="N31" s="185"/>
    </row>
    <row r="32" spans="6:14" s="73" customFormat="1" ht="11.25">
      <c r="F32" s="185"/>
      <c r="G32" s="185"/>
      <c r="H32" s="185"/>
      <c r="I32" s="185"/>
      <c r="J32" s="185"/>
      <c r="K32" s="185"/>
      <c r="L32" s="185"/>
      <c r="M32" s="185"/>
      <c r="N32" s="185"/>
    </row>
    <row r="33" spans="6:14" s="73" customFormat="1" ht="11.25">
      <c r="F33" s="185"/>
      <c r="G33" s="185"/>
      <c r="H33" s="185"/>
      <c r="I33" s="185"/>
      <c r="J33" s="185"/>
      <c r="K33" s="185"/>
      <c r="L33" s="185"/>
      <c r="M33" s="185"/>
      <c r="N33" s="185"/>
    </row>
    <row r="34" spans="6:14" s="73" customFormat="1" ht="11.25">
      <c r="F34" s="185"/>
      <c r="G34" s="185"/>
      <c r="H34" s="185"/>
      <c r="I34" s="185"/>
      <c r="J34" s="185"/>
      <c r="K34" s="185"/>
      <c r="L34" s="185"/>
      <c r="M34" s="185"/>
      <c r="N34" s="185"/>
    </row>
    <row r="35" spans="6:14" s="73" customFormat="1" ht="11.25">
      <c r="F35" s="185"/>
      <c r="G35" s="185"/>
      <c r="H35" s="185"/>
      <c r="I35" s="185"/>
      <c r="J35" s="185"/>
      <c r="K35" s="185"/>
      <c r="L35" s="185"/>
      <c r="M35" s="185"/>
      <c r="N35" s="185"/>
    </row>
    <row r="36" spans="6:14" s="73" customFormat="1" ht="11.25">
      <c r="F36" s="185"/>
      <c r="G36" s="185"/>
      <c r="H36" s="185"/>
      <c r="I36" s="185"/>
      <c r="J36" s="185"/>
      <c r="K36" s="185"/>
      <c r="L36" s="185"/>
      <c r="M36" s="185"/>
      <c r="N36" s="185"/>
    </row>
    <row r="37" spans="6:14" s="73" customFormat="1" ht="11.25">
      <c r="F37" s="185"/>
      <c r="G37" s="185"/>
      <c r="H37" s="185"/>
      <c r="I37" s="185"/>
      <c r="J37" s="185"/>
      <c r="K37" s="185"/>
      <c r="L37" s="185"/>
      <c r="M37" s="185"/>
      <c r="N37" s="185"/>
    </row>
    <row r="38" spans="6:14" s="73" customFormat="1" ht="11.25">
      <c r="F38" s="185"/>
      <c r="G38" s="185"/>
      <c r="H38" s="185"/>
      <c r="I38" s="185"/>
      <c r="J38" s="185"/>
      <c r="K38" s="185"/>
      <c r="L38" s="185"/>
      <c r="M38" s="185"/>
      <c r="N38" s="185"/>
    </row>
    <row r="39" spans="6:14" s="73" customFormat="1" ht="11.25">
      <c r="F39" s="185"/>
      <c r="G39" s="185"/>
      <c r="H39" s="185"/>
      <c r="I39" s="185"/>
      <c r="J39" s="185"/>
      <c r="K39" s="185"/>
      <c r="L39" s="185"/>
      <c r="M39" s="185"/>
      <c r="N39" s="185"/>
    </row>
    <row r="40" spans="6:14" s="73" customFormat="1" ht="11.25">
      <c r="F40" s="185"/>
      <c r="G40" s="185"/>
      <c r="H40" s="185"/>
      <c r="I40" s="185"/>
      <c r="J40" s="185"/>
      <c r="K40" s="185"/>
      <c r="L40" s="185"/>
      <c r="M40" s="185"/>
      <c r="N40" s="185"/>
    </row>
    <row r="41" spans="6:14" s="73" customFormat="1" ht="11.25">
      <c r="F41" s="185"/>
      <c r="G41" s="185"/>
      <c r="H41" s="185"/>
      <c r="I41" s="185"/>
      <c r="J41" s="185"/>
      <c r="K41" s="185"/>
      <c r="L41" s="185"/>
      <c r="M41" s="185"/>
      <c r="N41" s="185"/>
    </row>
    <row r="42" spans="6:14" s="73" customFormat="1" ht="11.25">
      <c r="F42" s="185"/>
      <c r="G42" s="185"/>
      <c r="H42" s="185"/>
      <c r="I42" s="185"/>
      <c r="J42" s="185"/>
      <c r="K42" s="185"/>
      <c r="L42" s="185"/>
      <c r="M42" s="185"/>
      <c r="N42" s="185"/>
    </row>
    <row r="43" spans="6:14" s="73" customFormat="1" ht="11.25">
      <c r="F43" s="185"/>
      <c r="G43" s="185"/>
      <c r="H43" s="185"/>
      <c r="I43" s="185"/>
      <c r="J43" s="185"/>
      <c r="K43" s="185"/>
      <c r="L43" s="185"/>
      <c r="M43" s="185"/>
      <c r="N43" s="185"/>
    </row>
    <row r="44" spans="6:14" s="73" customFormat="1" ht="11.25">
      <c r="F44" s="185"/>
      <c r="G44" s="185"/>
      <c r="H44" s="185"/>
      <c r="I44" s="185"/>
      <c r="J44" s="185"/>
      <c r="K44" s="185"/>
      <c r="L44" s="185"/>
      <c r="M44" s="185"/>
      <c r="N44" s="185"/>
    </row>
    <row r="45" spans="6:14" s="73" customFormat="1" ht="11.25">
      <c r="F45" s="185"/>
      <c r="G45" s="185"/>
      <c r="H45" s="185"/>
      <c r="I45" s="185"/>
      <c r="J45" s="185"/>
      <c r="K45" s="185"/>
      <c r="L45" s="185"/>
      <c r="M45" s="185"/>
      <c r="N45" s="185"/>
    </row>
    <row r="46" spans="6:14" s="73" customFormat="1" ht="11.25">
      <c r="F46" s="185"/>
      <c r="G46" s="185"/>
      <c r="H46" s="185"/>
      <c r="I46" s="185"/>
      <c r="J46" s="185"/>
      <c r="K46" s="185"/>
      <c r="L46" s="185"/>
      <c r="M46" s="185"/>
      <c r="N46" s="185"/>
    </row>
    <row r="47" spans="6:14" s="73" customFormat="1" ht="11.25">
      <c r="F47" s="185"/>
      <c r="G47" s="185"/>
      <c r="H47" s="185"/>
      <c r="I47" s="185"/>
      <c r="J47" s="185"/>
      <c r="K47" s="185"/>
      <c r="L47" s="185"/>
      <c r="M47" s="185"/>
      <c r="N47" s="185"/>
    </row>
    <row r="48" spans="6:14" s="73" customFormat="1" ht="11.25">
      <c r="F48" s="185"/>
      <c r="G48" s="185"/>
      <c r="H48" s="185"/>
      <c r="I48" s="185"/>
      <c r="J48" s="185"/>
      <c r="K48" s="185"/>
      <c r="L48" s="185"/>
      <c r="M48" s="185"/>
      <c r="N48" s="185"/>
    </row>
    <row r="49" spans="6:14" s="73" customFormat="1" ht="11.25">
      <c r="F49" s="185"/>
      <c r="G49" s="185"/>
      <c r="H49" s="185"/>
      <c r="I49" s="185"/>
      <c r="J49" s="185"/>
      <c r="K49" s="185"/>
      <c r="L49" s="185"/>
      <c r="M49" s="185"/>
      <c r="N49" s="185"/>
    </row>
    <row r="50" spans="6:14" s="73" customFormat="1" ht="11.25">
      <c r="F50" s="185"/>
      <c r="G50" s="185"/>
      <c r="H50" s="185"/>
      <c r="I50" s="185"/>
      <c r="J50" s="185"/>
      <c r="K50" s="185"/>
      <c r="L50" s="185"/>
      <c r="M50" s="185"/>
      <c r="N50" s="185"/>
    </row>
    <row r="51" spans="6:14" s="73" customFormat="1" ht="11.25">
      <c r="F51" s="185"/>
      <c r="G51" s="185"/>
      <c r="H51" s="185"/>
      <c r="I51" s="185"/>
      <c r="J51" s="185"/>
      <c r="K51" s="185"/>
      <c r="L51" s="185"/>
      <c r="M51" s="185"/>
      <c r="N51" s="185"/>
    </row>
    <row r="52" spans="6:14" s="73" customFormat="1" ht="11.25">
      <c r="F52" s="185"/>
      <c r="G52" s="185"/>
      <c r="H52" s="185"/>
      <c r="I52" s="185"/>
      <c r="J52" s="185"/>
      <c r="K52" s="185"/>
      <c r="L52" s="185"/>
      <c r="M52" s="185"/>
      <c r="N52" s="185"/>
    </row>
    <row r="53" spans="6:14" s="73" customFormat="1" ht="11.25">
      <c r="F53" s="185"/>
      <c r="G53" s="185"/>
      <c r="H53" s="185"/>
      <c r="I53" s="185"/>
      <c r="J53" s="185"/>
      <c r="K53" s="185"/>
      <c r="L53" s="185"/>
      <c r="M53" s="185"/>
      <c r="N53" s="185"/>
    </row>
    <row r="54" spans="6:14" s="73" customFormat="1" ht="11.25">
      <c r="F54" s="185"/>
      <c r="G54" s="185"/>
      <c r="H54" s="185"/>
      <c r="I54" s="185"/>
      <c r="J54" s="185"/>
      <c r="K54" s="185"/>
      <c r="L54" s="185"/>
      <c r="M54" s="185"/>
      <c r="N54" s="185"/>
    </row>
    <row r="55" spans="6:14" s="73" customFormat="1" ht="11.25">
      <c r="F55" s="185"/>
      <c r="G55" s="185"/>
      <c r="H55" s="185"/>
      <c r="I55" s="185"/>
      <c r="J55" s="185"/>
      <c r="K55" s="185"/>
      <c r="L55" s="185"/>
      <c r="M55" s="185"/>
      <c r="N55" s="185"/>
    </row>
    <row r="56" spans="6:14" s="73" customFormat="1" ht="11.25">
      <c r="F56" s="185"/>
      <c r="G56" s="185"/>
      <c r="H56" s="185"/>
      <c r="I56" s="185"/>
      <c r="J56" s="185"/>
      <c r="K56" s="185"/>
      <c r="L56" s="185"/>
      <c r="M56" s="185"/>
      <c r="N56" s="185"/>
    </row>
    <row r="57" spans="6:14" s="73" customFormat="1" ht="11.25">
      <c r="F57" s="185"/>
      <c r="G57" s="185"/>
      <c r="H57" s="185"/>
      <c r="I57" s="185"/>
      <c r="J57" s="185"/>
      <c r="K57" s="185"/>
      <c r="L57" s="185"/>
      <c r="M57" s="185"/>
      <c r="N57" s="185"/>
    </row>
    <row r="58" spans="6:14" s="73" customFormat="1" ht="11.25">
      <c r="F58" s="185"/>
      <c r="G58" s="185"/>
      <c r="H58" s="185"/>
      <c r="I58" s="185"/>
      <c r="J58" s="185"/>
      <c r="K58" s="185"/>
      <c r="L58" s="185"/>
      <c r="M58" s="185"/>
      <c r="N58" s="185"/>
    </row>
    <row r="59" spans="6:14" s="73" customFormat="1" ht="11.25">
      <c r="F59" s="185"/>
      <c r="G59" s="185"/>
      <c r="H59" s="185"/>
      <c r="I59" s="185"/>
      <c r="J59" s="185"/>
      <c r="K59" s="185"/>
      <c r="L59" s="185"/>
      <c r="M59" s="185"/>
      <c r="N59" s="185"/>
    </row>
    <row r="60" spans="6:14" s="73" customFormat="1" ht="11.25">
      <c r="F60" s="185"/>
      <c r="G60" s="185"/>
      <c r="H60" s="185"/>
      <c r="I60" s="185"/>
      <c r="J60" s="185"/>
      <c r="K60" s="185"/>
      <c r="L60" s="185"/>
      <c r="M60" s="185"/>
      <c r="N60" s="185"/>
    </row>
    <row r="61" spans="6:14" s="73" customFormat="1" ht="11.25">
      <c r="F61" s="185"/>
      <c r="G61" s="185"/>
      <c r="H61" s="185"/>
      <c r="I61" s="185"/>
      <c r="J61" s="185"/>
      <c r="K61" s="185"/>
      <c r="L61" s="185"/>
      <c r="M61" s="185"/>
      <c r="N61" s="185"/>
    </row>
    <row r="62" spans="6:14" s="73" customFormat="1" ht="11.25">
      <c r="F62" s="185"/>
      <c r="G62" s="185"/>
      <c r="H62" s="185"/>
      <c r="I62" s="185"/>
      <c r="J62" s="185"/>
      <c r="K62" s="185"/>
      <c r="L62" s="185"/>
      <c r="M62" s="185"/>
      <c r="N62" s="185"/>
    </row>
    <row r="63" spans="6:14" s="73" customFormat="1" ht="11.25">
      <c r="F63" s="185"/>
      <c r="G63" s="185"/>
      <c r="H63" s="185"/>
      <c r="I63" s="185"/>
      <c r="J63" s="185"/>
      <c r="K63" s="185"/>
      <c r="L63" s="185"/>
      <c r="M63" s="185"/>
      <c r="N63" s="185"/>
    </row>
    <row r="64" spans="6:14" s="73" customFormat="1" ht="11.25">
      <c r="F64" s="185"/>
      <c r="G64" s="185"/>
      <c r="H64" s="185"/>
      <c r="I64" s="185"/>
      <c r="J64" s="185"/>
      <c r="K64" s="185"/>
      <c r="L64" s="185"/>
      <c r="M64" s="185"/>
      <c r="N64" s="185"/>
    </row>
    <row r="65" spans="6:14" s="73" customFormat="1" ht="11.25">
      <c r="F65" s="185"/>
      <c r="G65" s="185"/>
      <c r="H65" s="185"/>
      <c r="I65" s="185"/>
      <c r="J65" s="185"/>
      <c r="K65" s="185"/>
      <c r="L65" s="185"/>
      <c r="M65" s="185"/>
      <c r="N65" s="185"/>
    </row>
    <row r="66" spans="6:14" s="73" customFormat="1" ht="11.25">
      <c r="F66" s="185"/>
      <c r="G66" s="185"/>
      <c r="H66" s="185"/>
      <c r="I66" s="185"/>
      <c r="J66" s="185"/>
      <c r="K66" s="185"/>
      <c r="L66" s="185"/>
      <c r="M66" s="185"/>
      <c r="N66" s="185"/>
    </row>
    <row r="67" spans="6:14" s="73" customFormat="1" ht="11.25">
      <c r="F67" s="185"/>
      <c r="G67" s="185"/>
      <c r="H67" s="185"/>
      <c r="I67" s="185"/>
      <c r="J67" s="185"/>
      <c r="K67" s="185"/>
      <c r="L67" s="185"/>
      <c r="M67" s="185"/>
      <c r="N67" s="185"/>
    </row>
    <row r="68" spans="6:14" s="73" customFormat="1" ht="11.25">
      <c r="F68" s="185"/>
      <c r="G68" s="185"/>
      <c r="H68" s="185"/>
      <c r="I68" s="185"/>
      <c r="J68" s="185"/>
      <c r="K68" s="185"/>
      <c r="L68" s="185"/>
      <c r="M68" s="185"/>
      <c r="N68" s="185"/>
    </row>
    <row r="69" spans="6:14" s="73" customFormat="1" ht="11.25">
      <c r="F69" s="185"/>
      <c r="G69" s="185"/>
      <c r="H69" s="185"/>
      <c r="I69" s="185"/>
      <c r="J69" s="185"/>
      <c r="K69" s="185"/>
      <c r="L69" s="185"/>
      <c r="M69" s="185"/>
      <c r="N69" s="185"/>
    </row>
    <row r="70" spans="6:14" s="73" customFormat="1" ht="11.25">
      <c r="F70" s="185"/>
      <c r="G70" s="185"/>
      <c r="H70" s="185"/>
      <c r="I70" s="185"/>
      <c r="J70" s="185"/>
      <c r="K70" s="185"/>
      <c r="L70" s="185"/>
      <c r="M70" s="185"/>
      <c r="N70" s="185"/>
    </row>
    <row r="71" spans="6:14" s="73" customFormat="1" ht="11.25">
      <c r="F71" s="185"/>
      <c r="G71" s="185"/>
      <c r="H71" s="185"/>
      <c r="I71" s="185"/>
      <c r="J71" s="185"/>
      <c r="K71" s="185"/>
      <c r="L71" s="185"/>
      <c r="M71" s="185"/>
      <c r="N71" s="185"/>
    </row>
    <row r="72" spans="6:14" s="73" customFormat="1" ht="11.25">
      <c r="F72" s="185"/>
      <c r="G72" s="185"/>
      <c r="H72" s="185"/>
      <c r="I72" s="185"/>
      <c r="J72" s="185"/>
      <c r="K72" s="185"/>
      <c r="L72" s="185"/>
      <c r="M72" s="185"/>
      <c r="N72" s="185"/>
    </row>
    <row r="73" spans="6:14" s="73" customFormat="1" ht="11.25">
      <c r="F73" s="185"/>
      <c r="G73" s="185"/>
      <c r="H73" s="185"/>
      <c r="I73" s="185"/>
      <c r="J73" s="185"/>
      <c r="K73" s="185"/>
      <c r="L73" s="185"/>
      <c r="M73" s="185"/>
      <c r="N73" s="185"/>
    </row>
    <row r="74" spans="6:14" s="73" customFormat="1" ht="11.25">
      <c r="F74" s="185"/>
      <c r="G74" s="185"/>
      <c r="H74" s="185"/>
      <c r="I74" s="185"/>
      <c r="J74" s="185"/>
      <c r="K74" s="185"/>
      <c r="L74" s="185"/>
      <c r="M74" s="185"/>
      <c r="N74" s="185"/>
    </row>
    <row r="75" spans="6:14" s="73" customFormat="1" ht="11.25">
      <c r="F75" s="185"/>
      <c r="G75" s="185"/>
      <c r="H75" s="185"/>
      <c r="I75" s="185"/>
      <c r="J75" s="185"/>
      <c r="K75" s="185"/>
      <c r="L75" s="185"/>
      <c r="M75" s="185"/>
      <c r="N75" s="185"/>
    </row>
    <row r="76" spans="6:14" s="73" customFormat="1" ht="11.25">
      <c r="F76" s="185"/>
      <c r="G76" s="185"/>
      <c r="H76" s="185"/>
      <c r="I76" s="185"/>
      <c r="J76" s="185"/>
      <c r="K76" s="185"/>
      <c r="L76" s="185"/>
      <c r="M76" s="185"/>
      <c r="N76" s="185"/>
    </row>
    <row r="77" spans="6:14" s="73" customFormat="1" ht="11.25">
      <c r="F77" s="185"/>
      <c r="G77" s="185"/>
      <c r="H77" s="185"/>
      <c r="I77" s="185"/>
      <c r="J77" s="185"/>
      <c r="K77" s="185"/>
      <c r="L77" s="185"/>
      <c r="M77" s="185"/>
      <c r="N77" s="185"/>
    </row>
    <row r="78" spans="6:14" s="73" customFormat="1" ht="11.25">
      <c r="F78" s="185"/>
      <c r="G78" s="185"/>
      <c r="H78" s="185"/>
      <c r="I78" s="185"/>
      <c r="J78" s="185"/>
      <c r="K78" s="185"/>
      <c r="L78" s="185"/>
      <c r="M78" s="185"/>
      <c r="N78" s="185"/>
    </row>
    <row r="79" spans="6:14" s="73" customFormat="1" ht="11.25">
      <c r="F79" s="185"/>
      <c r="G79" s="185"/>
      <c r="H79" s="185"/>
      <c r="I79" s="185"/>
      <c r="J79" s="185"/>
      <c r="K79" s="185"/>
      <c r="L79" s="185"/>
      <c r="M79" s="185"/>
      <c r="N79" s="185"/>
    </row>
    <row r="80" spans="6:14" s="73" customFormat="1" ht="11.25">
      <c r="F80" s="185"/>
      <c r="G80" s="185"/>
      <c r="H80" s="185"/>
      <c r="I80" s="185"/>
      <c r="J80" s="185"/>
      <c r="K80" s="185"/>
      <c r="L80" s="185"/>
      <c r="M80" s="185"/>
      <c r="N80" s="185"/>
    </row>
    <row r="81" spans="6:14" s="73" customFormat="1" ht="11.25">
      <c r="F81" s="185"/>
      <c r="G81" s="185"/>
      <c r="H81" s="185"/>
      <c r="I81" s="185"/>
      <c r="J81" s="185"/>
      <c r="K81" s="185"/>
      <c r="L81" s="185"/>
      <c r="M81" s="185"/>
      <c r="N81" s="185"/>
    </row>
    <row r="82" spans="6:14" s="73" customFormat="1" ht="11.25">
      <c r="F82" s="185"/>
      <c r="G82" s="185"/>
      <c r="H82" s="185"/>
      <c r="I82" s="185"/>
      <c r="J82" s="185"/>
      <c r="K82" s="185"/>
      <c r="L82" s="185"/>
      <c r="M82" s="185"/>
      <c r="N82" s="185"/>
    </row>
    <row r="83" spans="6:14" s="73" customFormat="1" ht="11.25">
      <c r="F83" s="185"/>
      <c r="G83" s="185"/>
      <c r="H83" s="185"/>
      <c r="I83" s="185"/>
      <c r="J83" s="185"/>
      <c r="K83" s="185"/>
      <c r="L83" s="185"/>
      <c r="M83" s="185"/>
      <c r="N83" s="185"/>
    </row>
    <row r="84" spans="6:14" s="73" customFormat="1" ht="11.25">
      <c r="F84" s="185"/>
      <c r="G84" s="185"/>
      <c r="H84" s="185"/>
      <c r="I84" s="185"/>
      <c r="J84" s="185"/>
      <c r="K84" s="185"/>
      <c r="L84" s="185"/>
      <c r="M84" s="185"/>
      <c r="N84" s="185"/>
    </row>
    <row r="85" spans="6:14" s="73" customFormat="1" ht="11.25">
      <c r="F85" s="185"/>
      <c r="G85" s="185"/>
      <c r="H85" s="185"/>
      <c r="I85" s="185"/>
      <c r="J85" s="185"/>
      <c r="K85" s="185"/>
      <c r="L85" s="185"/>
      <c r="M85" s="185"/>
      <c r="N85" s="185"/>
    </row>
    <row r="86" spans="6:14" s="73" customFormat="1" ht="11.25">
      <c r="F86" s="185"/>
      <c r="G86" s="185"/>
      <c r="H86" s="185"/>
      <c r="I86" s="185"/>
      <c r="J86" s="185"/>
      <c r="K86" s="185"/>
      <c r="L86" s="185"/>
      <c r="M86" s="185"/>
      <c r="N86" s="185"/>
    </row>
    <row r="87" spans="6:14" s="73" customFormat="1" ht="11.25">
      <c r="F87" s="185"/>
      <c r="G87" s="185"/>
      <c r="H87" s="185"/>
      <c r="I87" s="185"/>
      <c r="J87" s="185"/>
      <c r="K87" s="185"/>
      <c r="L87" s="185"/>
      <c r="M87" s="185"/>
      <c r="N87" s="185"/>
    </row>
    <row r="88" spans="6:14" s="73" customFormat="1" ht="11.25">
      <c r="F88" s="185"/>
      <c r="G88" s="185"/>
      <c r="H88" s="185"/>
      <c r="I88" s="185"/>
      <c r="J88" s="185"/>
      <c r="K88" s="185"/>
      <c r="L88" s="185"/>
      <c r="M88" s="185"/>
      <c r="N88" s="185"/>
    </row>
    <row r="89" spans="6:14" s="73" customFormat="1" ht="11.25">
      <c r="F89" s="185"/>
      <c r="G89" s="185"/>
      <c r="H89" s="185"/>
      <c r="I89" s="185"/>
      <c r="J89" s="185"/>
      <c r="K89" s="185"/>
      <c r="L89" s="185"/>
      <c r="M89" s="185"/>
      <c r="N89" s="185"/>
    </row>
    <row r="90" spans="6:14" s="73" customFormat="1" ht="11.25">
      <c r="F90" s="185"/>
      <c r="G90" s="185"/>
      <c r="H90" s="185"/>
      <c r="I90" s="185"/>
      <c r="J90" s="185"/>
      <c r="K90" s="185"/>
      <c r="L90" s="185"/>
      <c r="M90" s="185"/>
      <c r="N90" s="185"/>
    </row>
    <row r="91" spans="6:14" s="73" customFormat="1" ht="11.25">
      <c r="F91" s="185"/>
      <c r="G91" s="185"/>
      <c r="H91" s="185"/>
      <c r="I91" s="185"/>
      <c r="J91" s="185"/>
      <c r="K91" s="185"/>
      <c r="L91" s="185"/>
      <c r="M91" s="185"/>
      <c r="N91" s="185"/>
    </row>
    <row r="92" spans="6:14" s="73" customFormat="1" ht="11.25">
      <c r="F92" s="185"/>
      <c r="G92" s="185"/>
      <c r="H92" s="185"/>
      <c r="I92" s="185"/>
      <c r="J92" s="185"/>
      <c r="K92" s="185"/>
      <c r="L92" s="185"/>
      <c r="M92" s="185"/>
      <c r="N92" s="185"/>
    </row>
    <row r="93" spans="6:14" s="73" customFormat="1" ht="11.25">
      <c r="F93" s="185"/>
      <c r="G93" s="185"/>
      <c r="H93" s="185"/>
      <c r="I93" s="185"/>
      <c r="J93" s="185"/>
      <c r="K93" s="185"/>
      <c r="L93" s="185"/>
      <c r="M93" s="185"/>
      <c r="N93" s="185"/>
    </row>
    <row r="94" spans="6:14" s="73" customFormat="1" ht="11.25">
      <c r="F94" s="185"/>
      <c r="G94" s="185"/>
      <c r="H94" s="185"/>
      <c r="I94" s="185"/>
      <c r="J94" s="185"/>
      <c r="K94" s="185"/>
      <c r="L94" s="185"/>
      <c r="M94" s="185"/>
      <c r="N94" s="185"/>
    </row>
    <row r="95" spans="6:14" s="73" customFormat="1" ht="11.25">
      <c r="F95" s="185"/>
      <c r="G95" s="185"/>
      <c r="H95" s="185"/>
      <c r="I95" s="185"/>
      <c r="J95" s="185"/>
      <c r="K95" s="185"/>
      <c r="L95" s="185"/>
      <c r="M95" s="185"/>
      <c r="N95" s="185"/>
    </row>
    <row r="96" spans="6:14" s="73" customFormat="1" ht="11.25">
      <c r="F96" s="185"/>
      <c r="G96" s="185"/>
      <c r="H96" s="185"/>
      <c r="I96" s="185"/>
      <c r="J96" s="185"/>
      <c r="K96" s="185"/>
      <c r="L96" s="185"/>
      <c r="M96" s="185"/>
      <c r="N96" s="185"/>
    </row>
    <row r="97" spans="6:14" s="73" customFormat="1" ht="11.25">
      <c r="F97" s="185"/>
      <c r="G97" s="185"/>
      <c r="H97" s="185"/>
      <c r="I97" s="185"/>
      <c r="J97" s="185"/>
      <c r="K97" s="185"/>
      <c r="L97" s="185"/>
      <c r="M97" s="185"/>
      <c r="N97" s="185"/>
    </row>
    <row r="98" spans="6:14" s="73" customFormat="1" ht="11.25">
      <c r="F98" s="185"/>
      <c r="G98" s="185"/>
      <c r="H98" s="185"/>
      <c r="I98" s="185"/>
      <c r="J98" s="185"/>
      <c r="K98" s="185"/>
      <c r="L98" s="185"/>
      <c r="M98" s="185"/>
      <c r="N98" s="185"/>
    </row>
    <row r="99" spans="6:14" s="73" customFormat="1" ht="11.25">
      <c r="F99" s="185"/>
      <c r="G99" s="185"/>
      <c r="H99" s="185"/>
      <c r="I99" s="185"/>
      <c r="J99" s="185"/>
      <c r="K99" s="185"/>
      <c r="L99" s="185"/>
      <c r="M99" s="185"/>
      <c r="N99" s="185"/>
    </row>
    <row r="100" spans="6:14" s="73" customFormat="1" ht="11.25">
      <c r="F100" s="185"/>
      <c r="G100" s="185"/>
      <c r="H100" s="185"/>
      <c r="I100" s="185"/>
      <c r="J100" s="185"/>
      <c r="K100" s="185"/>
      <c r="L100" s="185"/>
      <c r="M100" s="185"/>
      <c r="N100" s="185"/>
    </row>
    <row r="101" spans="6:14" s="73" customFormat="1" ht="11.25">
      <c r="F101" s="185"/>
      <c r="G101" s="185"/>
      <c r="H101" s="185"/>
      <c r="I101" s="185"/>
      <c r="J101" s="185"/>
      <c r="K101" s="185"/>
      <c r="L101" s="185"/>
      <c r="M101" s="185"/>
      <c r="N101" s="185"/>
    </row>
    <row r="102" spans="6:14" s="73" customFormat="1" ht="11.25">
      <c r="F102" s="185"/>
      <c r="G102" s="185"/>
      <c r="H102" s="185"/>
      <c r="I102" s="185"/>
      <c r="J102" s="185"/>
      <c r="K102" s="185"/>
      <c r="L102" s="185"/>
      <c r="M102" s="185"/>
      <c r="N102" s="185"/>
    </row>
    <row r="103" spans="6:14" s="73" customFormat="1" ht="11.25">
      <c r="F103" s="185"/>
      <c r="G103" s="185"/>
      <c r="H103" s="185"/>
      <c r="I103" s="185"/>
      <c r="J103" s="185"/>
      <c r="K103" s="185"/>
      <c r="L103" s="185"/>
      <c r="M103" s="185"/>
      <c r="N103" s="185"/>
    </row>
    <row r="104" spans="6:14" s="73" customFormat="1" ht="11.25">
      <c r="F104" s="185"/>
      <c r="G104" s="185"/>
      <c r="H104" s="185"/>
      <c r="I104" s="185"/>
      <c r="J104" s="185"/>
      <c r="K104" s="185"/>
      <c r="L104" s="185"/>
      <c r="M104" s="185"/>
      <c r="N104" s="185"/>
    </row>
    <row r="105" spans="6:14" s="73" customFormat="1" ht="11.25">
      <c r="F105" s="185"/>
      <c r="G105" s="185"/>
      <c r="H105" s="185"/>
      <c r="I105" s="185"/>
      <c r="J105" s="185"/>
      <c r="K105" s="185"/>
      <c r="L105" s="185"/>
      <c r="M105" s="185"/>
      <c r="N105" s="185"/>
    </row>
    <row r="106" spans="6:14" s="73" customFormat="1" ht="11.25">
      <c r="F106" s="185"/>
      <c r="G106" s="185"/>
      <c r="H106" s="185"/>
      <c r="I106" s="185"/>
      <c r="J106" s="185"/>
      <c r="K106" s="185"/>
      <c r="L106" s="185"/>
      <c r="M106" s="185"/>
      <c r="N106" s="185"/>
    </row>
    <row r="107" spans="6:14" s="73" customFormat="1" ht="11.25">
      <c r="F107" s="185"/>
      <c r="G107" s="185"/>
      <c r="H107" s="185"/>
      <c r="I107" s="185"/>
      <c r="J107" s="185"/>
      <c r="K107" s="185"/>
      <c r="L107" s="185"/>
      <c r="M107" s="185"/>
      <c r="N107" s="185"/>
    </row>
    <row r="108" spans="6:14" s="73" customFormat="1" ht="11.25">
      <c r="F108" s="185"/>
      <c r="G108" s="185"/>
      <c r="H108" s="185"/>
      <c r="I108" s="185"/>
      <c r="J108" s="185"/>
      <c r="K108" s="185"/>
      <c r="L108" s="185"/>
      <c r="M108" s="185"/>
      <c r="N108" s="185"/>
    </row>
    <row r="109" spans="6:14" s="73" customFormat="1" ht="11.25">
      <c r="F109" s="185"/>
      <c r="G109" s="185"/>
      <c r="H109" s="185"/>
      <c r="I109" s="185"/>
      <c r="J109" s="185"/>
      <c r="K109" s="185"/>
      <c r="L109" s="185"/>
      <c r="M109" s="185"/>
      <c r="N109" s="185"/>
    </row>
    <row r="110" spans="6:14" s="73" customFormat="1" ht="11.25">
      <c r="F110" s="185"/>
      <c r="G110" s="185"/>
      <c r="H110" s="185"/>
      <c r="I110" s="185"/>
      <c r="J110" s="185"/>
      <c r="K110" s="185"/>
      <c r="L110" s="185"/>
      <c r="M110" s="185"/>
      <c r="N110" s="185"/>
    </row>
    <row r="111" spans="6:14" s="73" customFormat="1" ht="11.25">
      <c r="F111" s="185"/>
      <c r="G111" s="185"/>
      <c r="H111" s="185"/>
      <c r="I111" s="185"/>
      <c r="J111" s="185"/>
      <c r="K111" s="185"/>
      <c r="L111" s="185"/>
      <c r="M111" s="185"/>
      <c r="N111" s="185"/>
    </row>
    <row r="112" spans="6:14" s="73" customFormat="1" ht="11.25">
      <c r="F112" s="185"/>
      <c r="G112" s="185"/>
      <c r="H112" s="185"/>
      <c r="I112" s="185"/>
      <c r="J112" s="185"/>
      <c r="K112" s="185"/>
      <c r="L112" s="185"/>
      <c r="M112" s="185"/>
      <c r="N112" s="185"/>
    </row>
    <row r="113" spans="6:14" s="73" customFormat="1" ht="11.25">
      <c r="F113" s="185"/>
      <c r="G113" s="185"/>
      <c r="H113" s="185"/>
      <c r="I113" s="185"/>
      <c r="J113" s="185"/>
      <c r="K113" s="185"/>
      <c r="L113" s="185"/>
      <c r="M113" s="185"/>
      <c r="N113" s="185"/>
    </row>
    <row r="114" spans="6:14" s="73" customFormat="1" ht="11.25">
      <c r="F114" s="185"/>
      <c r="G114" s="185"/>
      <c r="H114" s="185"/>
      <c r="I114" s="185"/>
      <c r="J114" s="185"/>
      <c r="K114" s="185"/>
      <c r="L114" s="185"/>
      <c r="M114" s="185"/>
      <c r="N114" s="185"/>
    </row>
    <row r="115" spans="6:14" s="73" customFormat="1" ht="11.25">
      <c r="F115" s="185"/>
      <c r="G115" s="185"/>
      <c r="H115" s="185"/>
      <c r="I115" s="185"/>
      <c r="J115" s="185"/>
      <c r="K115" s="185"/>
      <c r="L115" s="185"/>
      <c r="M115" s="185"/>
      <c r="N115" s="185"/>
    </row>
    <row r="116" spans="6:14" s="73" customFormat="1" ht="11.25">
      <c r="F116" s="185"/>
      <c r="G116" s="185"/>
      <c r="H116" s="185"/>
      <c r="I116" s="185"/>
      <c r="J116" s="185"/>
      <c r="K116" s="185"/>
      <c r="L116" s="185"/>
      <c r="M116" s="185"/>
      <c r="N116" s="185"/>
    </row>
    <row r="117" spans="6:14" s="73" customFormat="1" ht="11.25">
      <c r="F117" s="185"/>
      <c r="G117" s="185"/>
      <c r="H117" s="185"/>
      <c r="I117" s="185"/>
      <c r="J117" s="185"/>
      <c r="K117" s="185"/>
      <c r="L117" s="185"/>
      <c r="M117" s="185"/>
      <c r="N117" s="185"/>
    </row>
    <row r="118" spans="6:14" s="73" customFormat="1" ht="11.25">
      <c r="F118" s="185"/>
      <c r="G118" s="185"/>
      <c r="H118" s="185"/>
      <c r="I118" s="185"/>
      <c r="J118" s="185"/>
      <c r="K118" s="185"/>
      <c r="L118" s="185"/>
      <c r="M118" s="185"/>
      <c r="N118" s="185"/>
    </row>
    <row r="119" spans="6:14" s="73" customFormat="1" ht="11.25">
      <c r="F119" s="185"/>
      <c r="G119" s="185"/>
      <c r="H119" s="185"/>
      <c r="I119" s="185"/>
      <c r="J119" s="185"/>
      <c r="K119" s="185"/>
      <c r="L119" s="185"/>
      <c r="M119" s="185"/>
      <c r="N119" s="185"/>
    </row>
    <row r="120" spans="6:14" s="73" customFormat="1" ht="11.25">
      <c r="F120" s="185"/>
      <c r="G120" s="185"/>
      <c r="H120" s="185"/>
      <c r="I120" s="185"/>
      <c r="J120" s="185"/>
      <c r="K120" s="185"/>
      <c r="L120" s="185"/>
      <c r="M120" s="185"/>
      <c r="N120" s="185"/>
    </row>
    <row r="121" spans="6:14" s="73" customFormat="1" ht="11.25">
      <c r="F121" s="185"/>
      <c r="G121" s="185"/>
      <c r="H121" s="185"/>
      <c r="I121" s="185"/>
      <c r="J121" s="185"/>
      <c r="K121" s="185"/>
      <c r="L121" s="185"/>
      <c r="M121" s="185"/>
      <c r="N121" s="185"/>
    </row>
    <row r="122" spans="6:14" s="73" customFormat="1" ht="11.25">
      <c r="F122" s="185"/>
      <c r="G122" s="185"/>
      <c r="H122" s="185"/>
      <c r="I122" s="185"/>
      <c r="J122" s="185"/>
      <c r="K122" s="185"/>
      <c r="L122" s="185"/>
      <c r="M122" s="185"/>
      <c r="N122" s="185"/>
    </row>
    <row r="123" spans="6:14" s="73" customFormat="1" ht="11.25">
      <c r="F123" s="185"/>
      <c r="G123" s="185"/>
      <c r="H123" s="185"/>
      <c r="I123" s="185"/>
      <c r="J123" s="185"/>
      <c r="K123" s="185"/>
      <c r="L123" s="185"/>
      <c r="M123" s="185"/>
      <c r="N123" s="185"/>
    </row>
  </sheetData>
  <mergeCells count="25">
    <mergeCell ref="I10:I11"/>
    <mergeCell ref="B10:C11"/>
    <mergeCell ref="D10:D11"/>
    <mergeCell ref="E10:E11"/>
    <mergeCell ref="G10:G11"/>
    <mergeCell ref="H10:H11"/>
    <mergeCell ref="I8:I9"/>
    <mergeCell ref="A6:C7"/>
    <mergeCell ref="D6:D7"/>
    <mergeCell ref="E6:E7"/>
    <mergeCell ref="G6:G7"/>
    <mergeCell ref="H6:H7"/>
    <mergeCell ref="I6:I7"/>
    <mergeCell ref="B8:C9"/>
    <mergeCell ref="D8:D9"/>
    <mergeCell ref="E8:E9"/>
    <mergeCell ref="G8:G9"/>
    <mergeCell ref="H8:H9"/>
    <mergeCell ref="A1:I1"/>
    <mergeCell ref="A4:C5"/>
    <mergeCell ref="D4:D5"/>
    <mergeCell ref="E4:E5"/>
    <mergeCell ref="G4:G5"/>
    <mergeCell ref="H4:H5"/>
    <mergeCell ref="I4:I5"/>
  </mergeCells>
  <phoneticPr fontId="2"/>
  <printOptions horizontalCentered="1"/>
  <pageMargins left="0.59055118110236227" right="0.39370078740157483" top="0.78740157480314965" bottom="0.39370078740157483" header="0.39370078740157483" footer="0.19685039370078741"/>
  <pageSetup paperSize="9" scale="79" fitToHeight="2" orientation="portrait" blackAndWhite="1" r:id="rId1"/>
  <headerFooter alignWithMargins="0">
    <oddFooter>&amp;L&amp;6&amp;F &amp;A&amp;R&amp;6&amp;D &amp;T</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rgb="FFFFC000"/>
  </sheetPr>
  <dimension ref="A1:W125"/>
  <sheetViews>
    <sheetView view="pageBreakPreview" zoomScale="85" zoomScaleNormal="80" zoomScaleSheetLayoutView="85" workbookViewId="0">
      <pane xSplit="3" ySplit="7" topLeftCell="D8" activePane="bottomRight" state="frozen"/>
      <selection activeCell="F11" sqref="F11"/>
      <selection pane="topRight" activeCell="F11" sqref="F11"/>
      <selection pane="bottomLeft" activeCell="F11" sqref="F11"/>
      <selection pane="bottomRight" activeCell="F46" sqref="D46:F47"/>
    </sheetView>
  </sheetViews>
  <sheetFormatPr defaultColWidth="9" defaultRowHeight="13.5" outlineLevelRow="1"/>
  <cols>
    <col min="1" max="1" width="1.875" style="140" customWidth="1"/>
    <col min="2" max="2" width="4.125" style="140" customWidth="1"/>
    <col min="3" max="3" width="12.625" style="140" customWidth="1"/>
    <col min="4" max="5" width="22.625" style="140" customWidth="1"/>
    <col min="6" max="6" width="13.75" style="316" customWidth="1"/>
    <col min="7" max="9" width="13.75" style="145" customWidth="1"/>
    <col min="10" max="11" width="7.75" style="145" customWidth="1"/>
    <col min="12" max="14" width="12.625" style="145" customWidth="1"/>
    <col min="15" max="15" width="9" style="140"/>
    <col min="16" max="16" width="14.375" style="140" customWidth="1"/>
    <col min="17" max="23" width="12.375" style="140" customWidth="1"/>
    <col min="24" max="24" width="12.625" style="140" customWidth="1"/>
    <col min="25" max="16384" width="9" style="140"/>
  </cols>
  <sheetData>
    <row r="1" spans="1:23" ht="17.25" customHeight="1">
      <c r="A1" s="579" t="str">
        <f>+"令和"&amp;MID(総括表!A2,3,1)&amp;"年度決算(その他の収入)"</f>
        <v>令和５年度決算(その他の収入)</v>
      </c>
      <c r="B1" s="579"/>
      <c r="C1" s="579"/>
      <c r="D1" s="579"/>
      <c r="E1" s="579"/>
      <c r="F1" s="579"/>
      <c r="G1" s="579"/>
      <c r="H1" s="579"/>
      <c r="I1" s="579"/>
      <c r="J1" s="289"/>
      <c r="K1" s="289" t="str">
        <f>+IFERROR(VLOOKUP($E1,$P$2:$W$5,5,0),"-")</f>
        <v>-</v>
      </c>
      <c r="L1" s="289" t="str">
        <f>+IFERROR(VLOOKUP($E1,$P$2:$W$5,6,0),"-")</f>
        <v>-</v>
      </c>
      <c r="M1" s="289" t="str">
        <f>+IFERROR(VLOOKUP($E1,$P$2:$W$5,7,0),"-")</f>
        <v>-</v>
      </c>
      <c r="N1" s="289" t="str">
        <f>+IFERROR(VLOOKUP($E1,$P$2:$W$5,8,0),"-")</f>
        <v>-</v>
      </c>
      <c r="O1" s="140" t="s">
        <v>419</v>
      </c>
      <c r="P1" s="73" t="s">
        <v>413</v>
      </c>
      <c r="Q1" s="73" t="s">
        <v>414</v>
      </c>
      <c r="R1" s="73" t="s">
        <v>415</v>
      </c>
      <c r="S1" s="294">
        <v>0.03</v>
      </c>
      <c r="T1" s="294">
        <v>0.05</v>
      </c>
      <c r="U1" s="294">
        <v>0.08</v>
      </c>
      <c r="V1" s="416">
        <v>0.08</v>
      </c>
      <c r="W1" s="297">
        <v>0.1</v>
      </c>
    </row>
    <row r="2" spans="1:23" ht="17.25" customHeight="1">
      <c r="A2" s="1"/>
      <c r="B2" s="1"/>
      <c r="C2" s="1"/>
      <c r="D2" s="1"/>
      <c r="E2" s="1"/>
      <c r="F2" s="173"/>
      <c r="G2" s="172"/>
      <c r="H2" s="172"/>
      <c r="I2" s="172"/>
      <c r="P2" s="73" t="s">
        <v>411</v>
      </c>
      <c r="Q2" s="291">
        <f>+'[1]3条支出'!$K$41</f>
        <v>9108565869</v>
      </c>
      <c r="R2" s="291">
        <f>+'[1]3条支出'!$E$41</f>
        <v>42643669657</v>
      </c>
      <c r="S2" s="289">
        <v>0</v>
      </c>
      <c r="T2" s="289">
        <v>0</v>
      </c>
      <c r="U2" s="291">
        <f>+SUM('[1]3条支出'!$F$41:$G$41)+'[1]3条支出'!H$41</f>
        <v>1236141</v>
      </c>
      <c r="V2" s="291">
        <f>+'[1]3条支出'!I$41</f>
        <v>500878</v>
      </c>
      <c r="W2" s="291">
        <f>+'[1]3条支出'!J$41</f>
        <v>9106828850</v>
      </c>
    </row>
    <row r="3" spans="1:23" ht="17.25" customHeight="1" thickBot="1">
      <c r="A3" s="1"/>
      <c r="B3" s="1"/>
      <c r="C3" s="1"/>
      <c r="D3" s="1"/>
      <c r="E3" s="1"/>
      <c r="F3" s="173"/>
      <c r="G3" s="172"/>
      <c r="H3" s="172"/>
      <c r="I3" s="173" t="s">
        <v>114</v>
      </c>
      <c r="P3" s="73" t="s">
        <v>412</v>
      </c>
      <c r="Q3" s="311">
        <v>1</v>
      </c>
      <c r="R3" s="311">
        <v>1</v>
      </c>
      <c r="S3" s="319" t="s">
        <v>420</v>
      </c>
      <c r="T3" s="319" t="s">
        <v>420</v>
      </c>
      <c r="U3" s="312" t="s">
        <v>418</v>
      </c>
      <c r="V3" s="312" t="s">
        <v>418</v>
      </c>
      <c r="W3" s="312" t="s">
        <v>418</v>
      </c>
    </row>
    <row r="4" spans="1:23" s="73" customFormat="1" ht="20.100000000000001" customHeight="1">
      <c r="A4" s="587" t="s">
        <v>15</v>
      </c>
      <c r="B4" s="582"/>
      <c r="C4" s="588"/>
      <c r="D4" s="588" t="s">
        <v>115</v>
      </c>
      <c r="E4" s="582" t="s">
        <v>116</v>
      </c>
      <c r="F4" s="326" t="s">
        <v>117</v>
      </c>
      <c r="G4" s="778" t="s">
        <v>47</v>
      </c>
      <c r="H4" s="778" t="s">
        <v>49</v>
      </c>
      <c r="I4" s="772" t="s">
        <v>50</v>
      </c>
      <c r="J4" s="292" t="s">
        <v>384</v>
      </c>
      <c r="K4" s="293"/>
      <c r="L4" s="293"/>
      <c r="M4" s="293"/>
      <c r="N4" s="185"/>
      <c r="P4" s="73" t="s">
        <v>407</v>
      </c>
      <c r="Q4" s="311" t="s">
        <v>416</v>
      </c>
      <c r="R4" s="311" t="s">
        <v>416</v>
      </c>
      <c r="S4" s="311" t="s">
        <v>416</v>
      </c>
      <c r="T4" s="311" t="s">
        <v>416</v>
      </c>
      <c r="U4" s="311" t="s">
        <v>416</v>
      </c>
      <c r="V4" s="311" t="s">
        <v>416</v>
      </c>
      <c r="W4" s="311" t="s">
        <v>416</v>
      </c>
    </row>
    <row r="5" spans="1:23" s="73" customFormat="1" ht="20.100000000000001" customHeight="1">
      <c r="A5" s="589"/>
      <c r="B5" s="583"/>
      <c r="C5" s="590"/>
      <c r="D5" s="590"/>
      <c r="E5" s="583"/>
      <c r="F5" s="327" t="s">
        <v>69</v>
      </c>
      <c r="G5" s="779"/>
      <c r="H5" s="779"/>
      <c r="I5" s="773"/>
      <c r="J5" s="325">
        <v>0.03</v>
      </c>
      <c r="K5" s="421">
        <v>0.05</v>
      </c>
      <c r="L5" s="294">
        <v>0.08</v>
      </c>
      <c r="M5" s="416">
        <v>0.08</v>
      </c>
      <c r="N5" s="297">
        <v>0.1</v>
      </c>
      <c r="P5" s="73" t="s">
        <v>417</v>
      </c>
      <c r="Q5" s="311" t="s">
        <v>416</v>
      </c>
      <c r="R5" s="311" t="s">
        <v>416</v>
      </c>
      <c r="S5" s="311" t="s">
        <v>416</v>
      </c>
      <c r="T5" s="311" t="s">
        <v>416</v>
      </c>
      <c r="U5" s="311" t="s">
        <v>416</v>
      </c>
      <c r="V5" s="311" t="s">
        <v>416</v>
      </c>
      <c r="W5" s="311" t="s">
        <v>416</v>
      </c>
    </row>
    <row r="6" spans="1:23" s="73" customFormat="1" ht="20.100000000000001" customHeight="1">
      <c r="A6" s="871" t="s">
        <v>386</v>
      </c>
      <c r="B6" s="872"/>
      <c r="C6" s="873"/>
      <c r="D6" s="852"/>
      <c r="E6" s="852"/>
      <c r="F6" s="883"/>
      <c r="G6" s="787">
        <f>+G18+G32+G48</f>
        <v>3786818</v>
      </c>
      <c r="H6" s="787">
        <f>+H18+H32+H48</f>
        <v>256789</v>
      </c>
      <c r="I6" s="790">
        <f>+I18+I32+I48</f>
        <v>3530029</v>
      </c>
      <c r="J6" s="320"/>
      <c r="K6" s="320"/>
      <c r="L6" s="320">
        <f>+SUM(L19,L33,L21,L49)</f>
        <v>35</v>
      </c>
      <c r="M6" s="320">
        <f>+SUM(M19,M33,M21,M49)</f>
        <v>14</v>
      </c>
      <c r="N6" s="320">
        <f>+SUM(N19,N33,N21,N49)</f>
        <v>256740</v>
      </c>
    </row>
    <row r="7" spans="1:23" s="73" customFormat="1" ht="20.100000000000001" customHeight="1">
      <c r="A7" s="589"/>
      <c r="B7" s="583"/>
      <c r="C7" s="590"/>
      <c r="D7" s="853"/>
      <c r="E7" s="853"/>
      <c r="F7" s="884"/>
      <c r="G7" s="851"/>
      <c r="H7" s="851"/>
      <c r="I7" s="874"/>
      <c r="J7" s="185"/>
      <c r="K7" s="185"/>
      <c r="L7" s="185"/>
      <c r="M7" s="185"/>
      <c r="N7" s="185"/>
    </row>
    <row r="8" spans="1:23" s="73" customFormat="1" ht="20.100000000000001" customHeight="1">
      <c r="A8" s="845" t="s">
        <v>208</v>
      </c>
      <c r="B8" s="880" t="s">
        <v>409</v>
      </c>
      <c r="C8" s="881"/>
      <c r="D8" s="847"/>
      <c r="E8" s="847" t="s">
        <v>411</v>
      </c>
      <c r="F8" s="317">
        <f>+IFERROR(VLOOKUP($E8,$P$2:$W$5,2,0),"-")</f>
        <v>9108565869</v>
      </c>
      <c r="G8" s="858">
        <v>1202214</v>
      </c>
      <c r="H8" s="802">
        <f>IFERROR(ROUND((G8)*F8/F9,0),0)</f>
        <v>256789</v>
      </c>
      <c r="I8" s="844">
        <f>G8-H8</f>
        <v>945425</v>
      </c>
      <c r="J8" s="289"/>
      <c r="K8" s="289"/>
      <c r="L8" s="289">
        <f>+IFERROR(VLOOKUP($E8,$P$2:$W$5,6,0),"-")</f>
        <v>1236141</v>
      </c>
      <c r="M8" s="289">
        <f>+IFERROR(VLOOKUP($E8,$P$2:$W$5,7,0),"-")</f>
        <v>500878</v>
      </c>
      <c r="N8" s="289">
        <f>+IFERROR(VLOOKUP($E8,$P$2:$W$5,8,0),"-")</f>
        <v>9106828850</v>
      </c>
    </row>
    <row r="9" spans="1:23" s="73" customFormat="1" ht="20.100000000000001" customHeight="1">
      <c r="A9" s="846"/>
      <c r="B9" s="882"/>
      <c r="C9" s="881"/>
      <c r="D9" s="848"/>
      <c r="E9" s="848"/>
      <c r="F9" s="317">
        <f>+IFERROR(VLOOKUP($E8,$P$2:$W$5,3,0),"-")</f>
        <v>42643669657</v>
      </c>
      <c r="G9" s="858"/>
      <c r="H9" s="802"/>
      <c r="I9" s="844"/>
      <c r="J9" s="321"/>
      <c r="K9" s="321"/>
      <c r="L9" s="321">
        <f>+H8-SUM(J9:K9,M9:N9)</f>
        <v>35</v>
      </c>
      <c r="M9" s="321">
        <f>IFERROR(ROUND(M8/$F8*$H8,0),0)</f>
        <v>14</v>
      </c>
      <c r="N9" s="321">
        <f>IFERROR(ROUND(N8/$F8*$H8,0),0)</f>
        <v>256740</v>
      </c>
    </row>
    <row r="10" spans="1:23" s="73" customFormat="1" ht="20.100000000000001" hidden="1" customHeight="1" outlineLevel="1">
      <c r="A10" s="846"/>
      <c r="B10" s="859" t="s">
        <v>410</v>
      </c>
      <c r="C10" s="860"/>
      <c r="D10" s="863"/>
      <c r="E10" s="865" t="s">
        <v>119</v>
      </c>
      <c r="F10" s="317">
        <f>+IFERROR(VLOOKUP($E10,$P$2:$W$5,2,0),"-")</f>
        <v>9108565869</v>
      </c>
      <c r="G10" s="849">
        <v>0</v>
      </c>
      <c r="H10" s="781">
        <f>IFERROR(ROUND((G10)*F10/F11,0),0)</f>
        <v>0</v>
      </c>
      <c r="I10" s="854">
        <f>G10-H10</f>
        <v>0</v>
      </c>
      <c r="J10" s="289"/>
      <c r="K10" s="289"/>
      <c r="L10" s="289">
        <f>+IFERROR(VLOOKUP($E10,$P$2:$W$5,6,0),"-")</f>
        <v>1236141</v>
      </c>
      <c r="M10" s="289">
        <f>+IFERROR(VLOOKUP($E10,$P$2:$W$5,7,0),"-")</f>
        <v>500878</v>
      </c>
      <c r="N10" s="289">
        <f>+IFERROR(VLOOKUP($E10,$P$2:$W$5,8,0),"-")</f>
        <v>9106828850</v>
      </c>
    </row>
    <row r="11" spans="1:23" s="73" customFormat="1" ht="20.100000000000001" hidden="1" customHeight="1" outlineLevel="1">
      <c r="A11" s="846"/>
      <c r="B11" s="861"/>
      <c r="C11" s="862"/>
      <c r="D11" s="864"/>
      <c r="E11" s="866"/>
      <c r="F11" s="317">
        <f>+IFERROR(VLOOKUP($E10,$P$2:$W$5,3,0),"-")</f>
        <v>42643669657</v>
      </c>
      <c r="G11" s="850"/>
      <c r="H11" s="782"/>
      <c r="I11" s="855"/>
      <c r="J11" s="321"/>
      <c r="K11" s="321"/>
      <c r="L11" s="321">
        <f>+H10-SUM(J11:K11,M11:N11)</f>
        <v>0</v>
      </c>
      <c r="M11" s="321">
        <f>IFERROR(ROUND(M10/$F10*$H10,0),0)</f>
        <v>0</v>
      </c>
      <c r="N11" s="321">
        <f>IFERROR(ROUND(N10/$F10*$H10,0),0)</f>
        <v>0</v>
      </c>
    </row>
    <row r="12" spans="1:23" s="73" customFormat="1" ht="20.100000000000001" hidden="1" customHeight="1" outlineLevel="1">
      <c r="A12" s="846"/>
      <c r="B12" s="859" t="s">
        <v>400</v>
      </c>
      <c r="C12" s="860"/>
      <c r="D12" s="863"/>
      <c r="E12" s="865" t="s">
        <v>411</v>
      </c>
      <c r="F12" s="313">
        <f>+IFERROR(VLOOKUP($E12,$P$2:$W$5,2,0),"-")</f>
        <v>9108565869</v>
      </c>
      <c r="G12" s="849">
        <v>0</v>
      </c>
      <c r="H12" s="781">
        <f>IFERROR(ROUND((G12)*F12/F13,0),0)</f>
        <v>0</v>
      </c>
      <c r="I12" s="854">
        <f t="shared" ref="I12" si="0">G12-H12</f>
        <v>0</v>
      </c>
      <c r="J12" s="289"/>
      <c r="K12" s="289"/>
      <c r="L12" s="289">
        <f>+IFERROR(VLOOKUP($E12,$P$2:$W$5,6,0),"-")</f>
        <v>1236141</v>
      </c>
      <c r="M12" s="289">
        <f>+IFERROR(VLOOKUP($E12,$P$2:$W$5,7,0),"-")</f>
        <v>500878</v>
      </c>
      <c r="N12" s="289">
        <f>+IFERROR(VLOOKUP($E12,$P$2:$W$5,8,0),"-")</f>
        <v>9106828850</v>
      </c>
    </row>
    <row r="13" spans="1:23" s="73" customFormat="1" ht="20.100000000000001" hidden="1" customHeight="1" outlineLevel="1">
      <c r="A13" s="846"/>
      <c r="B13" s="861"/>
      <c r="C13" s="862"/>
      <c r="D13" s="864"/>
      <c r="E13" s="864"/>
      <c r="F13" s="313">
        <f>+IFERROR(VLOOKUP($E12,$P$2:$W$5,3,0),"-")</f>
        <v>42643669657</v>
      </c>
      <c r="G13" s="850"/>
      <c r="H13" s="782"/>
      <c r="I13" s="855"/>
      <c r="J13" s="321"/>
      <c r="K13" s="321"/>
      <c r="L13" s="321">
        <f>+H12-SUM(J13:K13,M13:N13)</f>
        <v>0</v>
      </c>
      <c r="M13" s="321">
        <f>IFERROR(ROUND(M12/$F12*$H12,0),0)</f>
        <v>0</v>
      </c>
      <c r="N13" s="321">
        <f>IFERROR(ROUND(N12/$F12*$H12,0),0)</f>
        <v>0</v>
      </c>
    </row>
    <row r="14" spans="1:23" s="73" customFormat="1" ht="20.100000000000001" hidden="1" customHeight="1" outlineLevel="1">
      <c r="A14" s="846"/>
      <c r="B14" s="859" t="s">
        <v>464</v>
      </c>
      <c r="C14" s="860"/>
      <c r="D14" s="865"/>
      <c r="E14" s="865" t="s">
        <v>417</v>
      </c>
      <c r="F14" s="313" t="str">
        <f>+IFERROR(VLOOKUP($E14,$P$2:$W$5,2,0),"-")</f>
        <v>-</v>
      </c>
      <c r="G14" s="849">
        <v>0</v>
      </c>
      <c r="H14" s="781">
        <f>IFERROR(ROUND((G14)*F14/F15,0),0)</f>
        <v>0</v>
      </c>
      <c r="I14" s="854">
        <f t="shared" ref="I14" si="1">G14-H14</f>
        <v>0</v>
      </c>
      <c r="J14" s="289"/>
      <c r="K14" s="289"/>
      <c r="L14" s="289" t="str">
        <f>+IFERROR(VLOOKUP($E14,$P$2:$W$5,6,0),"-")</f>
        <v>-</v>
      </c>
      <c r="M14" s="289" t="str">
        <f>+IFERROR(VLOOKUP($E14,$P$2:$W$5,7,0),"-")</f>
        <v>-</v>
      </c>
      <c r="N14" s="289" t="str">
        <f>+IFERROR(VLOOKUP($E14,$P$2:$W$5,8,0),"-")</f>
        <v>-</v>
      </c>
    </row>
    <row r="15" spans="1:23" s="73" customFormat="1" ht="20.100000000000001" hidden="1" customHeight="1" outlineLevel="1">
      <c r="A15" s="846"/>
      <c r="B15" s="861"/>
      <c r="C15" s="862"/>
      <c r="D15" s="864"/>
      <c r="E15" s="866"/>
      <c r="F15" s="313" t="str">
        <f>+IFERROR(VLOOKUP($E14,$P$2:$W$5,3,0),"-")</f>
        <v>-</v>
      </c>
      <c r="G15" s="850"/>
      <c r="H15" s="782"/>
      <c r="I15" s="855"/>
      <c r="J15" s="321"/>
      <c r="K15" s="321"/>
      <c r="L15" s="321">
        <f>+H14-SUM(J15:K15,M15:N15)</f>
        <v>0</v>
      </c>
      <c r="M15" s="321">
        <f>IFERROR(ROUND(M14/$F14*$H14,0),0)</f>
        <v>0</v>
      </c>
      <c r="N15" s="321">
        <f>IFERROR(ROUND(N14/$F14*$H14,0),0)</f>
        <v>0</v>
      </c>
    </row>
    <row r="16" spans="1:23" s="73" customFormat="1" ht="20.100000000000001" customHeight="1" collapsed="1">
      <c r="A16" s="846"/>
      <c r="B16" s="859" t="s">
        <v>463</v>
      </c>
      <c r="C16" s="886"/>
      <c r="D16" s="863"/>
      <c r="E16" s="865" t="s">
        <v>407</v>
      </c>
      <c r="F16" s="313" t="str">
        <f>+IFERROR(VLOOKUP($E16,$P$2:$W$5,2,0),"-")</f>
        <v>-</v>
      </c>
      <c r="G16" s="849">
        <v>0</v>
      </c>
      <c r="H16" s="781">
        <f>IFERROR(ROUND((G16)*F16/F17,0),0)</f>
        <v>0</v>
      </c>
      <c r="I16" s="854">
        <f t="shared" ref="I16" si="2">G16-H16</f>
        <v>0</v>
      </c>
      <c r="J16" s="289"/>
      <c r="K16" s="289"/>
      <c r="L16" s="289" t="str">
        <f>+IFERROR(VLOOKUP($E16,$P$2:$W$5,6,0),"-")</f>
        <v>-</v>
      </c>
      <c r="M16" s="289" t="str">
        <f>+IFERROR(VLOOKUP($E16,$P$2:$W$5,7,0),"-")</f>
        <v>-</v>
      </c>
      <c r="N16" s="289" t="str">
        <f>+IFERROR(VLOOKUP($E16,$P$2:$W$5,8,0),"-")</f>
        <v>-</v>
      </c>
    </row>
    <row r="17" spans="1:14" s="73" customFormat="1" ht="20.100000000000001" customHeight="1">
      <c r="A17" s="846"/>
      <c r="B17" s="887"/>
      <c r="C17" s="888"/>
      <c r="D17" s="864"/>
      <c r="E17" s="866"/>
      <c r="F17" s="313" t="str">
        <f>+IFERROR(VLOOKUP($E16,$P$2:$W$5,3,0),"-")</f>
        <v>-</v>
      </c>
      <c r="G17" s="850"/>
      <c r="H17" s="782"/>
      <c r="I17" s="855"/>
      <c r="J17" s="321"/>
      <c r="K17" s="321"/>
      <c r="L17" s="321">
        <f>+H16-SUM(J17:K17,M17:N17)</f>
        <v>0</v>
      </c>
      <c r="M17" s="321">
        <f>IFERROR(ROUND(M16/$F16*$H16,0),0)</f>
        <v>0</v>
      </c>
      <c r="N17" s="321">
        <f>IFERROR(ROUND(N16/$F16*$H16,0),0)</f>
        <v>0</v>
      </c>
    </row>
    <row r="18" spans="1:14" s="73" customFormat="1" ht="20.100000000000001" customHeight="1">
      <c r="A18" s="846"/>
      <c r="B18" s="591" t="s">
        <v>118</v>
      </c>
      <c r="C18" s="592"/>
      <c r="D18" s="827"/>
      <c r="E18" s="827"/>
      <c r="F18" s="856"/>
      <c r="G18" s="802">
        <f>SUM(G8:G17)</f>
        <v>1202214</v>
      </c>
      <c r="H18" s="802">
        <f>+SUM(H8:H17)</f>
        <v>256789</v>
      </c>
      <c r="I18" s="792">
        <f>G18-H18</f>
        <v>945425</v>
      </c>
      <c r="J18" s="185"/>
      <c r="K18" s="185"/>
      <c r="L18" s="185"/>
      <c r="M18" s="185"/>
      <c r="N18" s="185"/>
    </row>
    <row r="19" spans="1:14" s="73" customFormat="1" ht="20.100000000000001" customHeight="1">
      <c r="A19" s="846"/>
      <c r="B19" s="591"/>
      <c r="C19" s="592"/>
      <c r="D19" s="827"/>
      <c r="E19" s="827"/>
      <c r="F19" s="857"/>
      <c r="G19" s="802"/>
      <c r="H19" s="802"/>
      <c r="I19" s="794"/>
      <c r="J19" s="320"/>
      <c r="K19" s="320"/>
      <c r="L19" s="320">
        <f>+SUM(L9,L11,L13,L15,L17)</f>
        <v>35</v>
      </c>
      <c r="M19" s="320">
        <f t="shared" ref="M19" si="3">+SUM(M9,M11,M13,M15,M17)</f>
        <v>14</v>
      </c>
      <c r="N19" s="320">
        <f t="shared" ref="N19" si="4">+SUM(N9,N11,N13,N15,N17)</f>
        <v>256740</v>
      </c>
    </row>
    <row r="20" spans="1:14" s="73" customFormat="1" ht="20.100000000000001" customHeight="1">
      <c r="A20" s="903" t="s">
        <v>389</v>
      </c>
      <c r="B20" s="904"/>
      <c r="C20" s="905"/>
      <c r="D20" s="852"/>
      <c r="E20" s="891" t="s">
        <v>399</v>
      </c>
      <c r="F20" s="315" t="str">
        <f>+IFERROR(VLOOKUP($E20,$P$2:$W$5,2,0),"-")</f>
        <v>-</v>
      </c>
      <c r="G20" s="910">
        <f>+'[2]3条収入'!$E$50</f>
        <v>0</v>
      </c>
      <c r="H20" s="787">
        <f>IFERROR(ROUND((G20)*F20/F21,0),0)</f>
        <v>0</v>
      </c>
      <c r="I20" s="875">
        <f t="shared" ref="I20" si="5">G20-H20</f>
        <v>0</v>
      </c>
      <c r="J20" s="289"/>
      <c r="K20" s="289"/>
      <c r="L20" s="289" t="str">
        <f>+IFERROR(VLOOKUP($E20,$P$2:$W$5,6,0),"-")</f>
        <v>-</v>
      </c>
      <c r="M20" s="289" t="str">
        <f>+IFERROR(VLOOKUP($E20,$P$2:$W$5,7,0),"-")</f>
        <v>-</v>
      </c>
      <c r="N20" s="289" t="str">
        <f>+IFERROR(VLOOKUP($E20,$P$2:$W$5,8,0),"-")</f>
        <v>-</v>
      </c>
    </row>
    <row r="21" spans="1:14" s="73" customFormat="1" ht="20.100000000000001" customHeight="1">
      <c r="A21" s="906"/>
      <c r="B21" s="907"/>
      <c r="C21" s="908"/>
      <c r="D21" s="853"/>
      <c r="E21" s="853"/>
      <c r="F21" s="318" t="str">
        <f>+IFERROR(VLOOKUP($E20,$P$2:$W$5,3,0),"-")</f>
        <v>-</v>
      </c>
      <c r="G21" s="911"/>
      <c r="H21" s="851"/>
      <c r="I21" s="902"/>
      <c r="J21" s="321"/>
      <c r="K21" s="321"/>
      <c r="L21" s="321">
        <f>+H20-SUM(J21:K21,M21:N21)</f>
        <v>0</v>
      </c>
      <c r="M21" s="321">
        <f>IFERROR(ROUND(M20/$F20*$H20,0),0)</f>
        <v>0</v>
      </c>
      <c r="N21" s="321">
        <f>IFERROR(ROUND(N20/$F20*$H20,0),0)</f>
        <v>0</v>
      </c>
    </row>
    <row r="22" spans="1:14" s="73" customFormat="1" ht="20.100000000000001" customHeight="1">
      <c r="A22" s="845" t="s">
        <v>381</v>
      </c>
      <c r="B22" s="880" t="s">
        <v>377</v>
      </c>
      <c r="C22" s="881"/>
      <c r="D22" s="848" t="s">
        <v>421</v>
      </c>
      <c r="E22" s="847" t="s">
        <v>408</v>
      </c>
      <c r="F22" s="314" t="str">
        <f>+IFERROR(VLOOKUP($E22,$P$2:$W$5,2,0),"-")</f>
        <v>-</v>
      </c>
      <c r="G22" s="858">
        <v>820795</v>
      </c>
      <c r="H22" s="802">
        <f>IFERROR(ROUND((G22)*F22/F23,0),0)</f>
        <v>0</v>
      </c>
      <c r="I22" s="844">
        <f>G22-H22</f>
        <v>820795</v>
      </c>
      <c r="J22" s="289"/>
      <c r="K22" s="289"/>
      <c r="L22" s="289" t="str">
        <f>+IFERROR(VLOOKUP($E22,$P$2:$W$5,6,0),"-")</f>
        <v>-</v>
      </c>
      <c r="M22" s="289" t="str">
        <f>+IFERROR(VLOOKUP($E22,$P$2:$W$5,7,0),"-")</f>
        <v>-</v>
      </c>
      <c r="N22" s="289" t="str">
        <f>+IFERROR(VLOOKUP($E22,$P$2:$W$5,8,0),"-")</f>
        <v>-</v>
      </c>
    </row>
    <row r="23" spans="1:14" s="73" customFormat="1" ht="20.100000000000001" customHeight="1">
      <c r="A23" s="845"/>
      <c r="B23" s="882"/>
      <c r="C23" s="881"/>
      <c r="D23" s="848"/>
      <c r="E23" s="848"/>
      <c r="F23" s="313" t="str">
        <f>+IFERROR(VLOOKUP($E22,$P$2:$W$5,3,0),"-")</f>
        <v>-</v>
      </c>
      <c r="G23" s="858"/>
      <c r="H23" s="802"/>
      <c r="I23" s="844"/>
      <c r="J23" s="321"/>
      <c r="K23" s="321"/>
      <c r="L23" s="321">
        <f>+H22-SUM(J23:K23,M23:N23)</f>
        <v>0</v>
      </c>
      <c r="M23" s="321">
        <f>IFERROR(ROUND(M22/$F22*$H22,0),0)</f>
        <v>0</v>
      </c>
      <c r="N23" s="321">
        <f>IFERROR(ROUND(N22/$F22*$H22,0),0)</f>
        <v>0</v>
      </c>
    </row>
    <row r="24" spans="1:14" s="73" customFormat="1" ht="19.5" customHeight="1">
      <c r="A24" s="845"/>
      <c r="B24" s="859" t="s">
        <v>493</v>
      </c>
      <c r="C24" s="860"/>
      <c r="D24" s="895"/>
      <c r="E24" s="865" t="s">
        <v>399</v>
      </c>
      <c r="F24" s="313" t="str">
        <f>+IFERROR(VLOOKUP($E24,$P$2:$W$5,2,0),"-")</f>
        <v>-</v>
      </c>
      <c r="G24" s="849">
        <v>160</v>
      </c>
      <c r="H24" s="781">
        <f t="shared" ref="H24" si="6">IFERROR(ROUND((G24)*F24/F25,0),0)</f>
        <v>0</v>
      </c>
      <c r="I24" s="854">
        <f>G24-H24</f>
        <v>160</v>
      </c>
      <c r="J24" s="289"/>
      <c r="K24" s="289"/>
      <c r="L24" s="289" t="str">
        <f>+IFERROR(VLOOKUP($E24,$P$2:$W$5,6,0),"-")</f>
        <v>-</v>
      </c>
      <c r="M24" s="289" t="str">
        <f>+IFERROR(VLOOKUP($E24,$P$2:$W$5,7,0),"-")</f>
        <v>-</v>
      </c>
      <c r="N24" s="289" t="str">
        <f>+IFERROR(VLOOKUP($E24,$P$2:$W$5,8,0),"-")</f>
        <v>-</v>
      </c>
    </row>
    <row r="25" spans="1:14" s="73" customFormat="1" ht="20.100000000000001" customHeight="1">
      <c r="A25" s="845"/>
      <c r="B25" s="861"/>
      <c r="C25" s="862"/>
      <c r="D25" s="896"/>
      <c r="E25" s="864"/>
      <c r="F25" s="313" t="str">
        <f>+IFERROR(VLOOKUP($E24,$P$2:$W$5,3,0),"-")</f>
        <v>-</v>
      </c>
      <c r="G25" s="850"/>
      <c r="H25" s="782"/>
      <c r="I25" s="855"/>
      <c r="J25" s="321"/>
      <c r="K25" s="321"/>
      <c r="L25" s="321">
        <f>+H24-SUM(J25:K25,M25:N25)</f>
        <v>0</v>
      </c>
      <c r="M25" s="321">
        <f>IFERROR(ROUND(M24/$F24*$H24,0),0)</f>
        <v>0</v>
      </c>
      <c r="N25" s="321">
        <f>IFERROR(ROUND(N24/$F24*$H24,0),0)</f>
        <v>0</v>
      </c>
    </row>
    <row r="26" spans="1:14" s="73" customFormat="1" ht="20.100000000000001" hidden="1" customHeight="1" outlineLevel="1">
      <c r="A26" s="845"/>
      <c r="B26" s="859" t="s">
        <v>532</v>
      </c>
      <c r="C26" s="860"/>
      <c r="D26" s="863"/>
      <c r="E26" s="865" t="s">
        <v>407</v>
      </c>
      <c r="F26" s="313" t="str">
        <f>+IFERROR(VLOOKUP($E26,$P$2:$W$5,2,0),"-")</f>
        <v>-</v>
      </c>
      <c r="G26" s="849">
        <v>0</v>
      </c>
      <c r="H26" s="781">
        <f>IFERROR(ROUND((G26)*F26/F27,0),0)</f>
        <v>0</v>
      </c>
      <c r="I26" s="854">
        <f t="shared" ref="I26" si="7">G26-H26</f>
        <v>0</v>
      </c>
      <c r="J26" s="289"/>
      <c r="K26" s="289"/>
      <c r="L26" s="289" t="str">
        <f>+IFERROR(VLOOKUP($E26,$P$2:$W$5,6,0),"-")</f>
        <v>-</v>
      </c>
      <c r="M26" s="289" t="str">
        <f>+IFERROR(VLOOKUP($E26,$P$2:$W$5,7,0),"-")</f>
        <v>-</v>
      </c>
      <c r="N26" s="289" t="str">
        <f>+IFERROR(VLOOKUP($E26,$P$2:$W$5,7,0),"-")</f>
        <v>-</v>
      </c>
    </row>
    <row r="27" spans="1:14" s="73" customFormat="1" ht="20.100000000000001" hidden="1" customHeight="1" outlineLevel="1">
      <c r="A27" s="845"/>
      <c r="B27" s="861"/>
      <c r="C27" s="862"/>
      <c r="D27" s="864"/>
      <c r="E27" s="864"/>
      <c r="F27" s="313" t="str">
        <f>+IFERROR(VLOOKUP($E26,$P$2:$W$5,3,0),"-")</f>
        <v>-</v>
      </c>
      <c r="G27" s="850"/>
      <c r="H27" s="782"/>
      <c r="I27" s="855"/>
      <c r="J27" s="321"/>
      <c r="K27" s="321"/>
      <c r="L27" s="321">
        <f>+H26-SUM(J27:K27,N27)</f>
        <v>0</v>
      </c>
      <c r="M27" s="321">
        <f>IFERROR(ROUND(M26/E26*G26,0),0)</f>
        <v>0</v>
      </c>
      <c r="N27" s="321">
        <f>IFERROR(ROUND(N26/F26*H26,0),0)</f>
        <v>0</v>
      </c>
    </row>
    <row r="28" spans="1:14" s="73" customFormat="1" ht="20.100000000000001" customHeight="1" collapsed="1">
      <c r="A28" s="845"/>
      <c r="B28" s="859" t="s">
        <v>571</v>
      </c>
      <c r="C28" s="860"/>
      <c r="D28" s="863"/>
      <c r="E28" s="865" t="s">
        <v>417</v>
      </c>
      <c r="F28" s="313" t="str">
        <f>+IFERROR(VLOOKUP($E28,$P$2:$W$5,2,0),"-")</f>
        <v>-</v>
      </c>
      <c r="G28" s="849">
        <v>334220</v>
      </c>
      <c r="H28" s="781">
        <f>IFERROR(ROUND((G28)*F28/F29,0),0)</f>
        <v>0</v>
      </c>
      <c r="I28" s="854">
        <f t="shared" ref="I28" si="8">G28-H28</f>
        <v>334220</v>
      </c>
      <c r="J28" s="289"/>
      <c r="K28" s="289"/>
      <c r="L28" s="289" t="str">
        <f>+IFERROR(VLOOKUP($E28,$P$2:$W$5,6,0),"-")</f>
        <v>-</v>
      </c>
      <c r="M28" s="289" t="str">
        <f>+IFERROR(VLOOKUP($E28,$P$2:$W$5,7,0),"-")</f>
        <v>-</v>
      </c>
      <c r="N28" s="289" t="str">
        <f>+IFERROR(VLOOKUP($E28,$P$2:$W$5,7,0),"-")</f>
        <v>-</v>
      </c>
    </row>
    <row r="29" spans="1:14" s="73" customFormat="1" ht="20.100000000000001" customHeight="1">
      <c r="A29" s="845"/>
      <c r="B29" s="861"/>
      <c r="C29" s="862"/>
      <c r="D29" s="864"/>
      <c r="E29" s="864"/>
      <c r="F29" s="313" t="str">
        <f>+IFERROR(VLOOKUP($E28,$P$2:$W$5,3,0),"-")</f>
        <v>-</v>
      </c>
      <c r="G29" s="850"/>
      <c r="H29" s="782"/>
      <c r="I29" s="855"/>
      <c r="J29" s="321"/>
      <c r="K29" s="321"/>
      <c r="L29" s="321">
        <f>+H28-SUM(J29:K29,N29)</f>
        <v>0</v>
      </c>
      <c r="M29" s="321">
        <f>IFERROR(ROUND(M28/E28*G28,0),0)</f>
        <v>0</v>
      </c>
      <c r="N29" s="321">
        <f>IFERROR(ROUND(N28/F28*H28,0),0)</f>
        <v>0</v>
      </c>
    </row>
    <row r="30" spans="1:14" s="73" customFormat="1" ht="20.100000000000001" hidden="1" customHeight="1" outlineLevel="1">
      <c r="A30" s="845"/>
      <c r="B30" s="859"/>
      <c r="C30" s="860"/>
      <c r="D30" s="863"/>
      <c r="E30" s="865"/>
      <c r="F30" s="313" t="str">
        <f>+IFERROR(VLOOKUP($E30,$P$2:$W$5,2,0),"-")</f>
        <v>-</v>
      </c>
      <c r="G30" s="849"/>
      <c r="H30" s="781">
        <f>IFERROR(ROUND((G30)*F30/F31,0),0)</f>
        <v>0</v>
      </c>
      <c r="I30" s="854">
        <f t="shared" ref="I30" si="9">G30-H30</f>
        <v>0</v>
      </c>
      <c r="J30" s="289"/>
      <c r="K30" s="289"/>
      <c r="L30" s="289" t="str">
        <f>+IFERROR(VLOOKUP($E30,$P$2:$W$5,6,0),"-")</f>
        <v>-</v>
      </c>
      <c r="M30" s="289" t="str">
        <f>+IFERROR(VLOOKUP($E30,$P$2:$W$5,7,0),"-")</f>
        <v>-</v>
      </c>
      <c r="N30" s="289" t="str">
        <f>+IFERROR(VLOOKUP($E30,$P$2:$W$5,7,0),"-")</f>
        <v>-</v>
      </c>
    </row>
    <row r="31" spans="1:14" s="73" customFormat="1" ht="20.100000000000001" hidden="1" customHeight="1" outlineLevel="1">
      <c r="A31" s="845"/>
      <c r="B31" s="861"/>
      <c r="C31" s="862"/>
      <c r="D31" s="864"/>
      <c r="E31" s="864"/>
      <c r="F31" s="313" t="str">
        <f>+IFERROR(VLOOKUP($E30,$P$2:$W$5,3,0),"-")</f>
        <v>-</v>
      </c>
      <c r="G31" s="858"/>
      <c r="H31" s="782"/>
      <c r="I31" s="855"/>
      <c r="J31" s="321"/>
      <c r="K31" s="321"/>
      <c r="L31" s="321">
        <f>+H30-SUM(J31:K31,N31)</f>
        <v>0</v>
      </c>
      <c r="M31" s="321">
        <f>IFERROR(ROUND(M30/E30*G30,0),0)</f>
        <v>0</v>
      </c>
      <c r="N31" s="321">
        <f>IFERROR(ROUND(N30/F30*H30,0),0)</f>
        <v>0</v>
      </c>
    </row>
    <row r="32" spans="1:14" s="73" customFormat="1" ht="20.100000000000001" customHeight="1" collapsed="1">
      <c r="A32" s="845"/>
      <c r="B32" s="867" t="s">
        <v>26</v>
      </c>
      <c r="C32" s="868"/>
      <c r="D32" s="827"/>
      <c r="E32" s="605"/>
      <c r="F32" s="878"/>
      <c r="G32" s="781">
        <f>SUM(G22:G31)</f>
        <v>1155175</v>
      </c>
      <c r="H32" s="802">
        <f>+SUM(H22:H31)</f>
        <v>0</v>
      </c>
      <c r="I32" s="792">
        <f>G32-H32</f>
        <v>1155175</v>
      </c>
      <c r="J32" s="185"/>
      <c r="K32" s="185"/>
      <c r="L32" s="185"/>
      <c r="M32" s="185"/>
      <c r="N32" s="185"/>
    </row>
    <row r="33" spans="1:14" s="73" customFormat="1" ht="20.100000000000001" customHeight="1">
      <c r="A33" s="909"/>
      <c r="B33" s="893"/>
      <c r="C33" s="894"/>
      <c r="D33" s="853"/>
      <c r="E33" s="853"/>
      <c r="F33" s="912"/>
      <c r="G33" s="851"/>
      <c r="H33" s="851"/>
      <c r="I33" s="874"/>
      <c r="J33" s="320"/>
      <c r="K33" s="320"/>
      <c r="L33" s="320">
        <f t="shared" ref="L33:N33" si="10">+SUM(L23,L25,L27,L29,L31)</f>
        <v>0</v>
      </c>
      <c r="M33" s="320">
        <f t="shared" ref="M33" si="11">+SUM(M23,M25,M27,M29,M31)</f>
        <v>0</v>
      </c>
      <c r="N33" s="320">
        <f t="shared" si="10"/>
        <v>0</v>
      </c>
    </row>
    <row r="34" spans="1:14" s="73" customFormat="1" ht="20.100000000000001" hidden="1" customHeight="1" outlineLevel="1">
      <c r="A34" s="897" t="s">
        <v>382</v>
      </c>
      <c r="B34" s="889" t="s">
        <v>465</v>
      </c>
      <c r="C34" s="890"/>
      <c r="D34" s="885"/>
      <c r="E34" s="892" t="s">
        <v>543</v>
      </c>
      <c r="F34" s="315" t="str">
        <f>+IFERROR(VLOOKUP($E34,$P$2:$W$5,2,0),"-")</f>
        <v>-</v>
      </c>
      <c r="G34" s="877">
        <v>0</v>
      </c>
      <c r="H34" s="787">
        <f t="shared" ref="H34" si="12">IFERROR(ROUND((G34)*F34/F35,0),0)</f>
        <v>0</v>
      </c>
      <c r="I34" s="875">
        <f>G34-H34</f>
        <v>0</v>
      </c>
      <c r="J34" s="289"/>
      <c r="K34" s="289"/>
      <c r="L34" s="289" t="str">
        <f>+IFERROR(VLOOKUP($E34,$P$2:$W$5,6,0),"-")</f>
        <v>-</v>
      </c>
      <c r="M34" s="289" t="str">
        <f>+IFERROR(VLOOKUP($E34,$P$2:$W$5,7,0),"-")</f>
        <v>-</v>
      </c>
      <c r="N34" s="289" t="str">
        <f>+IFERROR(VLOOKUP($E34,$P$2:$W$5,8,0),"-")</f>
        <v>-</v>
      </c>
    </row>
    <row r="35" spans="1:14" s="73" customFormat="1" ht="20.100000000000001" hidden="1" customHeight="1" outlineLevel="1">
      <c r="A35" s="845"/>
      <c r="B35" s="882"/>
      <c r="C35" s="881"/>
      <c r="D35" s="848"/>
      <c r="E35" s="848"/>
      <c r="F35" s="313" t="str">
        <f>+IFERROR(VLOOKUP($E34,$P$2:$W$5,3,0),"-")</f>
        <v>-</v>
      </c>
      <c r="G35" s="858"/>
      <c r="H35" s="802"/>
      <c r="I35" s="844"/>
      <c r="J35" s="321"/>
      <c r="K35" s="321"/>
      <c r="L35" s="321">
        <f>+H34-SUM(J35:K35,M35:N35)</f>
        <v>0</v>
      </c>
      <c r="M35" s="321">
        <f>IFERROR(ROUND(M34/$F34*$H34,0),0)</f>
        <v>0</v>
      </c>
      <c r="N35" s="321">
        <f>IFERROR(ROUND(N34/$F34*$H34,0),0)</f>
        <v>0</v>
      </c>
    </row>
    <row r="36" spans="1:14" s="73" customFormat="1" ht="20.100000000000001" hidden="1" customHeight="1" outlineLevel="1">
      <c r="A36" s="845"/>
      <c r="B36" s="859" t="s">
        <v>378</v>
      </c>
      <c r="C36" s="860"/>
      <c r="D36" s="895"/>
      <c r="E36" s="865" t="s">
        <v>417</v>
      </c>
      <c r="F36" s="313" t="str">
        <f>+IFERROR(VLOOKUP($E36,$P$2:$W$5,2,0),"-")</f>
        <v>-</v>
      </c>
      <c r="G36" s="849">
        <v>0</v>
      </c>
      <c r="H36" s="781">
        <f t="shared" ref="H36" si="13">IFERROR(ROUND((G36)*F36/F37,0),0)</f>
        <v>0</v>
      </c>
      <c r="I36" s="854">
        <f>G36-H36</f>
        <v>0</v>
      </c>
      <c r="J36" s="289"/>
      <c r="K36" s="289"/>
      <c r="L36" s="289" t="str">
        <f>+IFERROR(VLOOKUP($E36,$P$2:$W$5,6,0),"-")</f>
        <v>-</v>
      </c>
      <c r="M36" s="289" t="str">
        <f>+IFERROR(VLOOKUP($E36,$P$2:$W$5,7,0),"-")</f>
        <v>-</v>
      </c>
      <c r="N36" s="289" t="str">
        <f>+IFERROR(VLOOKUP($E36,$P$2:$W$5,8,0),"-")</f>
        <v>-</v>
      </c>
    </row>
    <row r="37" spans="1:14" s="73" customFormat="1" ht="20.100000000000001" hidden="1" customHeight="1" outlineLevel="1">
      <c r="A37" s="845"/>
      <c r="B37" s="861"/>
      <c r="C37" s="862"/>
      <c r="D37" s="896"/>
      <c r="E37" s="864"/>
      <c r="F37" s="313" t="str">
        <f>+IFERROR(VLOOKUP($E36,$P$2:$W$5,3,0),"-")</f>
        <v>-</v>
      </c>
      <c r="G37" s="850"/>
      <c r="H37" s="782"/>
      <c r="I37" s="855"/>
      <c r="J37" s="321"/>
      <c r="K37" s="321"/>
      <c r="L37" s="321">
        <f>+H36-SUM(J37:K37,M37:N37)</f>
        <v>0</v>
      </c>
      <c r="M37" s="321">
        <f>IFERROR(ROUND(M36/$F36*$H36,0),0)</f>
        <v>0</v>
      </c>
      <c r="N37" s="321">
        <f>IFERROR(ROUND(N36/$F36*$H36,0),0)</f>
        <v>0</v>
      </c>
    </row>
    <row r="38" spans="1:14" s="73" customFormat="1" ht="20.100000000000001" hidden="1" customHeight="1" outlineLevel="1">
      <c r="A38" s="845"/>
      <c r="B38" s="859" t="s">
        <v>533</v>
      </c>
      <c r="C38" s="860"/>
      <c r="D38" s="895"/>
      <c r="E38" s="865" t="s">
        <v>417</v>
      </c>
      <c r="F38" s="313" t="str">
        <f>+IFERROR(VLOOKUP($E38,$P$2:$W$5,2,0),"-")</f>
        <v>-</v>
      </c>
      <c r="G38" s="849">
        <v>0</v>
      </c>
      <c r="H38" s="781">
        <f t="shared" ref="H38" si="14">IFERROR(ROUND((G38)*F38/F39,0),0)</f>
        <v>0</v>
      </c>
      <c r="I38" s="854">
        <f>G38-H38</f>
        <v>0</v>
      </c>
      <c r="J38" s="289"/>
      <c r="K38" s="289"/>
      <c r="L38" s="289" t="str">
        <f>+IFERROR(VLOOKUP($E38,$P$2:$W$5,6,0),"-")</f>
        <v>-</v>
      </c>
      <c r="M38" s="289" t="str">
        <f>+IFERROR(VLOOKUP($E38,$P$2:$W$5,7,0),"-")</f>
        <v>-</v>
      </c>
      <c r="N38" s="289" t="str">
        <f>+IFERROR(VLOOKUP($E38,$P$2:$W$5,8,0),"-")</f>
        <v>-</v>
      </c>
    </row>
    <row r="39" spans="1:14" s="73" customFormat="1" ht="20.100000000000001" hidden="1" customHeight="1" outlineLevel="1">
      <c r="A39" s="845"/>
      <c r="B39" s="861"/>
      <c r="C39" s="862"/>
      <c r="D39" s="896"/>
      <c r="E39" s="864"/>
      <c r="F39" s="313" t="str">
        <f>+IFERROR(VLOOKUP($E38,$P$2:$W$5,3,0),"-")</f>
        <v>-</v>
      </c>
      <c r="G39" s="850"/>
      <c r="H39" s="782"/>
      <c r="I39" s="855"/>
      <c r="J39" s="321"/>
      <c r="K39" s="321"/>
      <c r="L39" s="321">
        <f>+H38-SUM(J39:K39,M39:N39)</f>
        <v>0</v>
      </c>
      <c r="M39" s="321">
        <f>IFERROR(ROUND(M38/$F38*$H38,0),0)</f>
        <v>0</v>
      </c>
      <c r="N39" s="321">
        <f>IFERROR(ROUND(N38/$F38*$H38,0),0)</f>
        <v>0</v>
      </c>
    </row>
    <row r="40" spans="1:14" s="73" customFormat="1" ht="20.100000000000001" customHeight="1" collapsed="1">
      <c r="A40" s="845"/>
      <c r="B40" s="859" t="s">
        <v>572</v>
      </c>
      <c r="C40" s="860"/>
      <c r="D40" s="863"/>
      <c r="E40" s="865" t="s">
        <v>417</v>
      </c>
      <c r="F40" s="313"/>
      <c r="G40" s="849">
        <v>864807</v>
      </c>
      <c r="H40" s="781">
        <f>IFERROR(ROUND((G40)*F40/F41,0),0)</f>
        <v>0</v>
      </c>
      <c r="I40" s="854">
        <f t="shared" ref="I40" si="15">G40-H40</f>
        <v>864807</v>
      </c>
      <c r="J40" s="321"/>
      <c r="K40" s="321"/>
      <c r="L40" s="289" t="str">
        <f>+IFERROR(VLOOKUP($E40,$P$2:$W$5,6,0),"-")</f>
        <v>-</v>
      </c>
      <c r="M40" s="289" t="str">
        <f>+IFERROR(VLOOKUP($E40,$P$2:$W$5,7,0),"-")</f>
        <v>-</v>
      </c>
      <c r="N40" s="289" t="str">
        <f>+IFERROR(VLOOKUP($E40,$P$2:$W$5,8,0),"-")</f>
        <v>-</v>
      </c>
    </row>
    <row r="41" spans="1:14" s="73" customFormat="1" ht="20.100000000000001" customHeight="1">
      <c r="A41" s="845"/>
      <c r="B41" s="861"/>
      <c r="C41" s="862"/>
      <c r="D41" s="864"/>
      <c r="E41" s="864"/>
      <c r="F41" s="313"/>
      <c r="G41" s="850"/>
      <c r="H41" s="782"/>
      <c r="I41" s="855"/>
      <c r="J41" s="321"/>
      <c r="K41" s="321"/>
      <c r="L41" s="321">
        <f>+H40-SUM(J41:K41,M41:N41)</f>
        <v>0</v>
      </c>
      <c r="M41" s="321">
        <f>IFERROR(ROUND(M40/$F40*$H40,0),0)</f>
        <v>0</v>
      </c>
      <c r="N41" s="321">
        <f>IFERROR(ROUND(N40/$F40*$H40,0),0)</f>
        <v>0</v>
      </c>
    </row>
    <row r="42" spans="1:14" s="73" customFormat="1" ht="20.100000000000001" customHeight="1">
      <c r="A42" s="845"/>
      <c r="B42" s="876" t="s">
        <v>383</v>
      </c>
      <c r="C42" s="620"/>
      <c r="D42" s="605"/>
      <c r="E42" s="631"/>
      <c r="F42" s="878"/>
      <c r="G42" s="781">
        <f t="shared" ref="G42:I42" si="16">SUM(G34:G41)</f>
        <v>864807</v>
      </c>
      <c r="H42" s="781">
        <f t="shared" si="16"/>
        <v>0</v>
      </c>
      <c r="I42" s="792">
        <f t="shared" si="16"/>
        <v>864807</v>
      </c>
      <c r="J42" s="185"/>
      <c r="K42" s="185"/>
      <c r="L42" s="185"/>
      <c r="M42" s="185"/>
      <c r="N42" s="185"/>
    </row>
    <row r="43" spans="1:14" s="73" customFormat="1" ht="20.100000000000001" customHeight="1">
      <c r="A43" s="845"/>
      <c r="B43" s="621"/>
      <c r="C43" s="622"/>
      <c r="D43" s="829"/>
      <c r="E43" s="829"/>
      <c r="F43" s="878"/>
      <c r="G43" s="782"/>
      <c r="H43" s="782"/>
      <c r="I43" s="791"/>
      <c r="J43" s="320"/>
      <c r="K43" s="320"/>
      <c r="L43" s="320">
        <f t="shared" ref="L43:N43" si="17">+SUM(L35,L37,L39)</f>
        <v>0</v>
      </c>
      <c r="M43" s="320">
        <f t="shared" ref="M43" si="18">+SUM(M35,M37,M39)</f>
        <v>0</v>
      </c>
      <c r="N43" s="320">
        <f t="shared" si="17"/>
        <v>0</v>
      </c>
    </row>
    <row r="44" spans="1:14" s="73" customFormat="1" ht="20.100000000000001" customHeight="1">
      <c r="A44" s="845"/>
      <c r="B44" s="876" t="s">
        <v>379</v>
      </c>
      <c r="C44" s="620"/>
      <c r="D44" s="631" t="s">
        <v>422</v>
      </c>
      <c r="E44" s="631" t="s">
        <v>407</v>
      </c>
      <c r="F44" s="313" t="str">
        <f>+IFERROR(VLOOKUP($E44,$P$2:$W$5,2,0),"-")</f>
        <v>-</v>
      </c>
      <c r="G44" s="899">
        <f>+'[2]3条収入'!$E$64</f>
        <v>455622</v>
      </c>
      <c r="H44" s="802">
        <f t="shared" ref="H44" si="19">IFERROR(ROUND((G44)*F44/F45,0),0)</f>
        <v>0</v>
      </c>
      <c r="I44" s="844">
        <f t="shared" ref="I44" si="20">G44-H44</f>
        <v>455622</v>
      </c>
      <c r="J44" s="289"/>
      <c r="K44" s="289"/>
      <c r="L44" s="289" t="str">
        <f>+IFERROR(VLOOKUP($E44,$P$2:$W$5,6,0),"-")</f>
        <v>-</v>
      </c>
      <c r="M44" s="289" t="str">
        <f>+IFERROR(VLOOKUP($E44,$P$2:$W$5,7,0),"-")</f>
        <v>-</v>
      </c>
      <c r="N44" s="289" t="str">
        <f>+IFERROR(VLOOKUP($E44,$P$2:$W$5,8,0),"-")</f>
        <v>-</v>
      </c>
    </row>
    <row r="45" spans="1:14" s="73" customFormat="1" ht="20.100000000000001" customHeight="1">
      <c r="A45" s="845"/>
      <c r="B45" s="621"/>
      <c r="C45" s="622"/>
      <c r="D45" s="829"/>
      <c r="E45" s="829"/>
      <c r="F45" s="313" t="str">
        <f>+IFERROR(VLOOKUP($E44,$P$2:$W$5,3,0),"-")</f>
        <v>-</v>
      </c>
      <c r="G45" s="900"/>
      <c r="H45" s="782"/>
      <c r="I45" s="855"/>
      <c r="J45" s="321"/>
      <c r="K45" s="321"/>
      <c r="L45" s="321">
        <f>+H44-SUM(J45:K45,M45:N45)</f>
        <v>0</v>
      </c>
      <c r="M45" s="321">
        <f>IFERROR(ROUND(M44/$F44*$H44,0),0)</f>
        <v>0</v>
      </c>
      <c r="N45" s="321">
        <f>IFERROR(ROUND(N44/$F44*$H44,0),0)</f>
        <v>0</v>
      </c>
    </row>
    <row r="46" spans="1:14" s="73" customFormat="1" ht="20.100000000000001" customHeight="1">
      <c r="A46" s="845"/>
      <c r="B46" s="876" t="s">
        <v>380</v>
      </c>
      <c r="C46" s="620"/>
      <c r="D46" s="631" t="s">
        <v>423</v>
      </c>
      <c r="E46" s="631" t="s">
        <v>408</v>
      </c>
      <c r="F46" s="313" t="str">
        <f>+IFERROR(VLOOKUP($E46,$P$2:$W$5,2,0),"-")</f>
        <v>-</v>
      </c>
      <c r="G46" s="901">
        <f>+'[2]3条収入'!$E$65</f>
        <v>109000</v>
      </c>
      <c r="H46" s="781">
        <f t="shared" ref="H46" si="21">IFERROR(ROUND((G46)*F46/F47,0),0)</f>
        <v>0</v>
      </c>
      <c r="I46" s="854">
        <f t="shared" ref="I46" si="22">G46-H46</f>
        <v>109000</v>
      </c>
      <c r="J46" s="289"/>
      <c r="K46" s="289"/>
      <c r="L46" s="289" t="str">
        <f>+IFERROR(VLOOKUP($E46,$P$2:$W$5,6,0),"-")</f>
        <v>-</v>
      </c>
      <c r="M46" s="289" t="str">
        <f>+IFERROR(VLOOKUP($E46,$P$2:$W$5,7,0),"-")</f>
        <v>-</v>
      </c>
      <c r="N46" s="289" t="str">
        <f>+IFERROR(VLOOKUP($E46,$P$2:$W$5,8,0),"-")</f>
        <v>-</v>
      </c>
    </row>
    <row r="47" spans="1:14" s="73" customFormat="1" ht="20.100000000000001" customHeight="1">
      <c r="A47" s="845"/>
      <c r="B47" s="621"/>
      <c r="C47" s="622"/>
      <c r="D47" s="829"/>
      <c r="E47" s="829"/>
      <c r="F47" s="313" t="str">
        <f>+IFERROR(VLOOKUP($E46,$P$2:$W$5,3,0),"-")</f>
        <v>-</v>
      </c>
      <c r="G47" s="899"/>
      <c r="H47" s="802"/>
      <c r="I47" s="844"/>
      <c r="J47" s="321"/>
      <c r="K47" s="321"/>
      <c r="L47" s="321">
        <f>+H46-SUM(J47:K47,M47:N47)</f>
        <v>0</v>
      </c>
      <c r="M47" s="321">
        <f>IFERROR(ROUND(M46/$F46*$H46,0),0)</f>
        <v>0</v>
      </c>
      <c r="N47" s="321">
        <f>IFERROR(ROUND(N46/$F46*$H46,0),0)</f>
        <v>0</v>
      </c>
    </row>
    <row r="48" spans="1:14" s="73" customFormat="1" ht="20.100000000000001" customHeight="1">
      <c r="A48" s="845"/>
      <c r="B48" s="867" t="s">
        <v>118</v>
      </c>
      <c r="C48" s="868"/>
      <c r="D48" s="827"/>
      <c r="E48" s="605"/>
      <c r="F48" s="878"/>
      <c r="G48" s="781">
        <f>SUM(G42:G47)</f>
        <v>1429429</v>
      </c>
      <c r="H48" s="781">
        <f t="shared" ref="H48:I48" si="23">SUM(H42:H47)</f>
        <v>0</v>
      </c>
      <c r="I48" s="792">
        <f t="shared" si="23"/>
        <v>1429429</v>
      </c>
      <c r="J48" s="185"/>
      <c r="K48" s="185"/>
      <c r="L48" s="185"/>
      <c r="M48" s="185"/>
      <c r="N48" s="185"/>
    </row>
    <row r="49" spans="1:14" s="73" customFormat="1" ht="20.100000000000001" customHeight="1" thickBot="1">
      <c r="A49" s="898"/>
      <c r="B49" s="869"/>
      <c r="C49" s="870"/>
      <c r="D49" s="606"/>
      <c r="E49" s="606"/>
      <c r="F49" s="879"/>
      <c r="G49" s="822"/>
      <c r="H49" s="822"/>
      <c r="I49" s="823"/>
      <c r="J49" s="320"/>
      <c r="K49" s="320"/>
      <c r="L49" s="320">
        <f t="shared" ref="L49:N49" si="24">+SUM(L43,L45,L47)</f>
        <v>0</v>
      </c>
      <c r="M49" s="320">
        <f t="shared" ref="M49" si="25">+SUM(M43,M45,M47)</f>
        <v>0</v>
      </c>
      <c r="N49" s="320">
        <f t="shared" si="24"/>
        <v>0</v>
      </c>
    </row>
    <row r="50" spans="1:14" s="73" customFormat="1" ht="11.25">
      <c r="F50" s="289"/>
      <c r="G50" s="185" t="s">
        <v>393</v>
      </c>
      <c r="H50" s="290" t="s">
        <v>391</v>
      </c>
      <c r="I50" s="185"/>
      <c r="J50" s="185"/>
      <c r="K50" s="185"/>
      <c r="L50" s="185"/>
      <c r="M50" s="185"/>
      <c r="N50" s="185"/>
    </row>
    <row r="51" spans="1:14" s="73" customFormat="1" ht="11.25">
      <c r="F51" s="289" t="s">
        <v>394</v>
      </c>
      <c r="G51" s="172">
        <f>+'[2]3条収入'!$V$51</f>
        <v>1202214</v>
      </c>
      <c r="H51" s="172">
        <f>+G18-G51</f>
        <v>0</v>
      </c>
      <c r="I51" s="185"/>
      <c r="J51" s="185"/>
      <c r="K51" s="185"/>
      <c r="L51" s="185"/>
      <c r="M51" s="185"/>
      <c r="N51" s="185"/>
    </row>
    <row r="52" spans="1:14" s="73" customFormat="1" ht="11.25">
      <c r="F52" s="289" t="s">
        <v>395</v>
      </c>
      <c r="G52" s="172">
        <f>+'[2]3条収入'!$V$49</f>
        <v>0</v>
      </c>
      <c r="H52" s="172">
        <f>+G20-G52</f>
        <v>0</v>
      </c>
      <c r="I52" s="185"/>
      <c r="J52" s="185"/>
      <c r="K52" s="185"/>
      <c r="L52" s="185"/>
      <c r="M52" s="185"/>
      <c r="N52" s="185"/>
    </row>
    <row r="53" spans="1:14" s="73" customFormat="1" ht="11.25">
      <c r="F53" s="289" t="s">
        <v>396</v>
      </c>
      <c r="G53" s="172">
        <f>+'[2]3条収入'!$V$60</f>
        <v>1155175</v>
      </c>
      <c r="H53" s="172">
        <f>+G32-G53</f>
        <v>0</v>
      </c>
      <c r="I53" s="185"/>
      <c r="J53" s="185"/>
      <c r="K53" s="185"/>
      <c r="L53" s="185"/>
      <c r="M53" s="185"/>
      <c r="N53" s="185"/>
    </row>
    <row r="54" spans="1:14" s="73" customFormat="1" ht="11.25">
      <c r="F54" s="289" t="s">
        <v>397</v>
      </c>
      <c r="G54" s="172">
        <f>+'[2]3条収入'!$V$62</f>
        <v>1429429</v>
      </c>
      <c r="H54" s="172">
        <f>+G48-G54</f>
        <v>0</v>
      </c>
      <c r="I54" s="185"/>
      <c r="J54" s="185"/>
      <c r="K54" s="185"/>
      <c r="L54" s="185"/>
      <c r="M54" s="185"/>
      <c r="N54" s="185"/>
    </row>
    <row r="55" spans="1:14" s="73" customFormat="1" ht="11.25">
      <c r="F55" s="289" t="s">
        <v>398</v>
      </c>
      <c r="G55" s="172">
        <f>SUM(G51:G54)</f>
        <v>3786818</v>
      </c>
      <c r="H55" s="172">
        <f>+G6-G55</f>
        <v>0</v>
      </c>
      <c r="I55" s="185"/>
      <c r="J55" s="185"/>
      <c r="K55" s="185"/>
      <c r="L55" s="185"/>
      <c r="M55" s="185"/>
      <c r="N55" s="185"/>
    </row>
    <row r="56" spans="1:14" s="73" customFormat="1" ht="11.25">
      <c r="F56" s="289"/>
      <c r="G56" s="185"/>
      <c r="H56" s="185"/>
      <c r="I56" s="185"/>
      <c r="J56" s="185"/>
      <c r="K56" s="185"/>
      <c r="L56" s="185"/>
      <c r="M56" s="185"/>
      <c r="N56" s="185"/>
    </row>
    <row r="57" spans="1:14" s="73" customFormat="1" ht="11.25">
      <c r="F57" s="289"/>
      <c r="G57" s="185"/>
      <c r="H57" s="185"/>
      <c r="I57" s="185"/>
      <c r="J57" s="185"/>
      <c r="K57" s="185"/>
      <c r="L57" s="185"/>
      <c r="M57" s="185"/>
      <c r="N57" s="185"/>
    </row>
    <row r="58" spans="1:14" s="73" customFormat="1" ht="11.25">
      <c r="F58" s="289"/>
      <c r="G58" s="185"/>
      <c r="H58" s="185"/>
      <c r="I58" s="185"/>
      <c r="J58" s="185"/>
      <c r="K58" s="185"/>
      <c r="L58" s="185"/>
      <c r="M58" s="185"/>
      <c r="N58" s="185"/>
    </row>
    <row r="59" spans="1:14" s="73" customFormat="1" ht="11.25">
      <c r="F59" s="289"/>
      <c r="G59" s="185"/>
      <c r="H59" s="185"/>
      <c r="I59" s="185"/>
      <c r="J59" s="185"/>
      <c r="K59" s="185"/>
      <c r="L59" s="185"/>
      <c r="M59" s="185"/>
      <c r="N59" s="185"/>
    </row>
    <row r="60" spans="1:14" s="73" customFormat="1" ht="11.25">
      <c r="F60" s="289"/>
      <c r="G60" s="185"/>
      <c r="H60" s="185"/>
      <c r="I60" s="185"/>
      <c r="J60" s="185"/>
      <c r="K60" s="185"/>
      <c r="L60" s="185"/>
      <c r="M60" s="185"/>
      <c r="N60" s="185"/>
    </row>
    <row r="61" spans="1:14" s="73" customFormat="1" ht="11.25">
      <c r="F61" s="289"/>
      <c r="G61" s="185"/>
      <c r="H61" s="185"/>
      <c r="I61" s="185"/>
      <c r="J61" s="185"/>
      <c r="K61" s="185"/>
      <c r="L61" s="185"/>
      <c r="M61" s="185"/>
      <c r="N61" s="185"/>
    </row>
    <row r="62" spans="1:14" s="73" customFormat="1" ht="11.25">
      <c r="F62" s="289"/>
      <c r="G62" s="185"/>
      <c r="H62" s="185"/>
      <c r="I62" s="185"/>
      <c r="J62" s="185"/>
      <c r="K62" s="185"/>
      <c r="L62" s="185"/>
      <c r="M62" s="185"/>
      <c r="N62" s="185"/>
    </row>
    <row r="63" spans="1:14" s="73" customFormat="1" ht="11.25">
      <c r="F63" s="289"/>
      <c r="G63" s="185"/>
      <c r="H63" s="185"/>
      <c r="I63" s="185"/>
      <c r="J63" s="185"/>
      <c r="K63" s="185"/>
      <c r="L63" s="185"/>
      <c r="M63" s="185"/>
      <c r="N63" s="185"/>
    </row>
    <row r="64" spans="1:14" s="73" customFormat="1" ht="11.25">
      <c r="F64" s="289"/>
      <c r="G64" s="185"/>
      <c r="H64" s="185"/>
      <c r="I64" s="185"/>
      <c r="J64" s="185"/>
      <c r="K64" s="185"/>
      <c r="L64" s="185"/>
      <c r="M64" s="185"/>
      <c r="N64" s="185"/>
    </row>
    <row r="65" spans="6:14" s="73" customFormat="1" ht="11.25">
      <c r="F65" s="289"/>
      <c r="G65" s="185"/>
      <c r="H65" s="185"/>
      <c r="I65" s="185"/>
      <c r="J65" s="185"/>
      <c r="K65" s="185"/>
      <c r="L65" s="185"/>
      <c r="M65" s="185"/>
      <c r="N65" s="185"/>
    </row>
    <row r="66" spans="6:14" s="73" customFormat="1" ht="11.25">
      <c r="F66" s="289"/>
      <c r="G66" s="185"/>
      <c r="H66" s="185"/>
      <c r="I66" s="185"/>
      <c r="J66" s="185"/>
      <c r="K66" s="185"/>
      <c r="L66" s="185"/>
      <c r="M66" s="185"/>
      <c r="N66" s="185"/>
    </row>
    <row r="67" spans="6:14" s="73" customFormat="1" ht="11.25">
      <c r="F67" s="289"/>
      <c r="G67" s="185"/>
      <c r="H67" s="185"/>
      <c r="I67" s="185"/>
      <c r="J67" s="185"/>
      <c r="K67" s="185"/>
      <c r="L67" s="185"/>
      <c r="M67" s="185"/>
      <c r="N67" s="185"/>
    </row>
    <row r="68" spans="6:14" s="73" customFormat="1" ht="11.25">
      <c r="F68" s="289"/>
      <c r="G68" s="185"/>
      <c r="H68" s="185"/>
      <c r="I68" s="185"/>
      <c r="J68" s="185"/>
      <c r="K68" s="185"/>
      <c r="L68" s="185"/>
      <c r="M68" s="185"/>
      <c r="N68" s="185"/>
    </row>
    <row r="69" spans="6:14" s="73" customFormat="1" ht="11.25">
      <c r="F69" s="289"/>
      <c r="G69" s="185"/>
      <c r="H69" s="185"/>
      <c r="I69" s="185"/>
      <c r="J69" s="185"/>
      <c r="K69" s="185"/>
      <c r="L69" s="185"/>
      <c r="M69" s="185"/>
      <c r="N69" s="185"/>
    </row>
    <row r="70" spans="6:14" s="73" customFormat="1" ht="11.25">
      <c r="F70" s="289"/>
      <c r="G70" s="185"/>
      <c r="H70" s="185"/>
      <c r="I70" s="185"/>
      <c r="J70" s="185"/>
      <c r="K70" s="185"/>
      <c r="L70" s="185"/>
      <c r="M70" s="185"/>
      <c r="N70" s="185"/>
    </row>
    <row r="71" spans="6:14" s="73" customFormat="1" ht="11.25">
      <c r="F71" s="289"/>
      <c r="G71" s="185"/>
      <c r="H71" s="185"/>
      <c r="I71" s="185"/>
      <c r="J71" s="185"/>
      <c r="K71" s="185"/>
      <c r="L71" s="185"/>
      <c r="M71" s="185"/>
      <c r="N71" s="185"/>
    </row>
    <row r="72" spans="6:14" s="73" customFormat="1" ht="11.25">
      <c r="F72" s="289"/>
      <c r="G72" s="185"/>
      <c r="H72" s="185"/>
      <c r="I72" s="185"/>
      <c r="J72" s="185"/>
      <c r="K72" s="185"/>
      <c r="L72" s="185"/>
      <c r="M72" s="185"/>
      <c r="N72" s="185"/>
    </row>
    <row r="73" spans="6:14" s="73" customFormat="1" ht="11.25">
      <c r="F73" s="289"/>
      <c r="G73" s="185"/>
      <c r="H73" s="185"/>
      <c r="I73" s="185"/>
      <c r="J73" s="185"/>
      <c r="K73" s="185"/>
      <c r="L73" s="185"/>
      <c r="M73" s="185"/>
      <c r="N73" s="185"/>
    </row>
    <row r="74" spans="6:14" s="73" customFormat="1" ht="11.25">
      <c r="F74" s="289"/>
      <c r="G74" s="185"/>
      <c r="H74" s="185"/>
      <c r="I74" s="185"/>
      <c r="J74" s="185"/>
      <c r="K74" s="185"/>
      <c r="L74" s="185"/>
      <c r="M74" s="185"/>
      <c r="N74" s="185"/>
    </row>
    <row r="75" spans="6:14" s="73" customFormat="1" ht="11.25">
      <c r="F75" s="289"/>
      <c r="G75" s="185"/>
      <c r="H75" s="185"/>
      <c r="I75" s="185"/>
      <c r="J75" s="185"/>
      <c r="K75" s="185"/>
      <c r="L75" s="185"/>
      <c r="M75" s="185"/>
      <c r="N75" s="185"/>
    </row>
    <row r="76" spans="6:14" s="73" customFormat="1" ht="11.25">
      <c r="F76" s="289"/>
      <c r="G76" s="185"/>
      <c r="H76" s="185"/>
      <c r="I76" s="185"/>
      <c r="J76" s="185"/>
      <c r="K76" s="185"/>
      <c r="L76" s="185"/>
      <c r="M76" s="185"/>
      <c r="N76" s="185"/>
    </row>
    <row r="77" spans="6:14" s="73" customFormat="1" ht="11.25">
      <c r="F77" s="289"/>
      <c r="G77" s="185"/>
      <c r="H77" s="185"/>
      <c r="I77" s="185"/>
      <c r="J77" s="185"/>
      <c r="K77" s="185"/>
      <c r="L77" s="185"/>
      <c r="M77" s="185"/>
      <c r="N77" s="185"/>
    </row>
    <row r="78" spans="6:14" s="73" customFormat="1" ht="11.25">
      <c r="F78" s="289"/>
      <c r="G78" s="185"/>
      <c r="H78" s="185"/>
      <c r="I78" s="185"/>
      <c r="J78" s="185"/>
      <c r="K78" s="185"/>
      <c r="L78" s="185"/>
      <c r="M78" s="185"/>
      <c r="N78" s="185"/>
    </row>
    <row r="79" spans="6:14" s="73" customFormat="1" ht="11.25">
      <c r="F79" s="289"/>
      <c r="G79" s="185"/>
      <c r="H79" s="185"/>
      <c r="I79" s="185"/>
      <c r="J79" s="185"/>
      <c r="K79" s="185"/>
      <c r="L79" s="185"/>
      <c r="M79" s="185"/>
      <c r="N79" s="185"/>
    </row>
    <row r="80" spans="6:14" s="73" customFormat="1" ht="11.25">
      <c r="F80" s="289"/>
      <c r="G80" s="185"/>
      <c r="H80" s="185"/>
      <c r="I80" s="185"/>
      <c r="J80" s="185"/>
      <c r="K80" s="185"/>
      <c r="L80" s="185"/>
      <c r="M80" s="185"/>
      <c r="N80" s="185"/>
    </row>
    <row r="81" spans="6:14" s="73" customFormat="1" ht="11.25">
      <c r="F81" s="289"/>
      <c r="G81" s="185"/>
      <c r="H81" s="185"/>
      <c r="I81" s="185"/>
      <c r="J81" s="185"/>
      <c r="K81" s="185"/>
      <c r="L81" s="185"/>
      <c r="M81" s="185"/>
      <c r="N81" s="185"/>
    </row>
    <row r="82" spans="6:14" s="73" customFormat="1" ht="11.25">
      <c r="F82" s="289"/>
      <c r="G82" s="185"/>
      <c r="H82" s="185"/>
      <c r="I82" s="185"/>
      <c r="J82" s="185"/>
      <c r="K82" s="185"/>
      <c r="L82" s="185"/>
      <c r="M82" s="185"/>
      <c r="N82" s="185"/>
    </row>
    <row r="83" spans="6:14" s="73" customFormat="1" ht="11.25">
      <c r="F83" s="289"/>
      <c r="G83" s="185"/>
      <c r="H83" s="185"/>
      <c r="I83" s="185"/>
      <c r="J83" s="185"/>
      <c r="K83" s="185"/>
      <c r="L83" s="185"/>
      <c r="M83" s="185"/>
      <c r="N83" s="185"/>
    </row>
    <row r="84" spans="6:14" s="73" customFormat="1" ht="11.25">
      <c r="F84" s="289"/>
      <c r="G84" s="185"/>
      <c r="H84" s="185"/>
      <c r="I84" s="185"/>
      <c r="J84" s="185"/>
      <c r="K84" s="185"/>
      <c r="L84" s="185"/>
      <c r="M84" s="185"/>
      <c r="N84" s="185"/>
    </row>
    <row r="85" spans="6:14" s="73" customFormat="1" ht="11.25">
      <c r="F85" s="289"/>
      <c r="G85" s="185"/>
      <c r="H85" s="185"/>
      <c r="I85" s="185"/>
      <c r="J85" s="185"/>
      <c r="K85" s="185"/>
      <c r="L85" s="185"/>
      <c r="M85" s="185"/>
      <c r="N85" s="185"/>
    </row>
    <row r="86" spans="6:14" s="73" customFormat="1" ht="11.25">
      <c r="F86" s="289"/>
      <c r="G86" s="185"/>
      <c r="H86" s="185"/>
      <c r="I86" s="185"/>
      <c r="J86" s="185"/>
      <c r="K86" s="185"/>
      <c r="L86" s="185"/>
      <c r="M86" s="185"/>
      <c r="N86" s="185"/>
    </row>
    <row r="87" spans="6:14" s="73" customFormat="1" ht="11.25">
      <c r="F87" s="289"/>
      <c r="G87" s="185"/>
      <c r="H87" s="185"/>
      <c r="I87" s="185"/>
      <c r="J87" s="185"/>
      <c r="K87" s="185"/>
      <c r="L87" s="185"/>
      <c r="M87" s="185"/>
      <c r="N87" s="185"/>
    </row>
    <row r="88" spans="6:14" s="73" customFormat="1" ht="11.25">
      <c r="F88" s="289"/>
      <c r="G88" s="185"/>
      <c r="H88" s="185"/>
      <c r="I88" s="185"/>
      <c r="J88" s="185"/>
      <c r="K88" s="185"/>
      <c r="L88" s="185"/>
      <c r="M88" s="185"/>
      <c r="N88" s="185"/>
    </row>
    <row r="89" spans="6:14" s="73" customFormat="1" ht="11.25">
      <c r="F89" s="289"/>
      <c r="G89" s="185"/>
      <c r="H89" s="185"/>
      <c r="I89" s="185"/>
      <c r="J89" s="185"/>
      <c r="K89" s="185"/>
      <c r="L89" s="185"/>
      <c r="M89" s="185"/>
      <c r="N89" s="185"/>
    </row>
    <row r="90" spans="6:14" s="73" customFormat="1" ht="11.25">
      <c r="F90" s="289"/>
      <c r="G90" s="185"/>
      <c r="H90" s="185"/>
      <c r="I90" s="185"/>
      <c r="J90" s="185"/>
      <c r="K90" s="185"/>
      <c r="L90" s="185"/>
      <c r="M90" s="185"/>
      <c r="N90" s="185"/>
    </row>
    <row r="91" spans="6:14" s="73" customFormat="1" ht="11.25">
      <c r="F91" s="289"/>
      <c r="G91" s="185"/>
      <c r="H91" s="185"/>
      <c r="I91" s="185"/>
      <c r="J91" s="185"/>
      <c r="K91" s="185"/>
      <c r="L91" s="185"/>
      <c r="M91" s="185"/>
      <c r="N91" s="185"/>
    </row>
    <row r="92" spans="6:14" s="73" customFormat="1" ht="11.25">
      <c r="F92" s="289"/>
      <c r="G92" s="185"/>
      <c r="H92" s="185"/>
      <c r="I92" s="185"/>
      <c r="J92" s="185"/>
      <c r="K92" s="185"/>
      <c r="L92" s="185"/>
      <c r="M92" s="185"/>
      <c r="N92" s="185"/>
    </row>
    <row r="93" spans="6:14" s="73" customFormat="1" ht="11.25">
      <c r="F93" s="289"/>
      <c r="G93" s="185"/>
      <c r="H93" s="185"/>
      <c r="I93" s="185"/>
      <c r="J93" s="185"/>
      <c r="K93" s="185"/>
      <c r="L93" s="185"/>
      <c r="M93" s="185"/>
      <c r="N93" s="185"/>
    </row>
    <row r="94" spans="6:14" s="73" customFormat="1" ht="11.25">
      <c r="F94" s="289"/>
      <c r="G94" s="185"/>
      <c r="H94" s="185"/>
      <c r="I94" s="185"/>
      <c r="J94" s="185"/>
      <c r="K94" s="185"/>
      <c r="L94" s="185"/>
      <c r="M94" s="185"/>
      <c r="N94" s="185"/>
    </row>
    <row r="95" spans="6:14" s="73" customFormat="1" ht="11.25">
      <c r="F95" s="289"/>
      <c r="G95" s="185"/>
      <c r="H95" s="185"/>
      <c r="I95" s="185"/>
      <c r="J95" s="185"/>
      <c r="K95" s="185"/>
      <c r="L95" s="185"/>
      <c r="M95" s="185"/>
      <c r="N95" s="185"/>
    </row>
    <row r="96" spans="6:14" s="73" customFormat="1" ht="11.25">
      <c r="F96" s="289"/>
      <c r="G96" s="185"/>
      <c r="H96" s="185"/>
      <c r="I96" s="185"/>
      <c r="J96" s="185"/>
      <c r="K96" s="185"/>
      <c r="L96" s="185"/>
      <c r="M96" s="185"/>
      <c r="N96" s="185"/>
    </row>
    <row r="97" spans="6:14" s="73" customFormat="1" ht="11.25">
      <c r="F97" s="289"/>
      <c r="G97" s="185"/>
      <c r="H97" s="185"/>
      <c r="I97" s="185"/>
      <c r="J97" s="185"/>
      <c r="K97" s="185"/>
      <c r="L97" s="185"/>
      <c r="M97" s="185"/>
      <c r="N97" s="185"/>
    </row>
    <row r="98" spans="6:14" s="73" customFormat="1" ht="11.25">
      <c r="F98" s="289"/>
      <c r="G98" s="185"/>
      <c r="H98" s="185"/>
      <c r="I98" s="185"/>
      <c r="J98" s="185"/>
      <c r="K98" s="185"/>
      <c r="L98" s="185"/>
      <c r="M98" s="185"/>
      <c r="N98" s="185"/>
    </row>
    <row r="99" spans="6:14" s="73" customFormat="1" ht="11.25">
      <c r="F99" s="289"/>
      <c r="G99" s="185"/>
      <c r="H99" s="185"/>
      <c r="I99" s="185"/>
      <c r="J99" s="185"/>
      <c r="K99" s="185"/>
      <c r="L99" s="185"/>
      <c r="M99" s="185"/>
      <c r="N99" s="185"/>
    </row>
    <row r="100" spans="6:14" s="73" customFormat="1" ht="11.25">
      <c r="F100" s="289"/>
      <c r="G100" s="185"/>
      <c r="H100" s="185"/>
      <c r="I100" s="185"/>
      <c r="J100" s="185"/>
      <c r="K100" s="185"/>
      <c r="L100" s="185"/>
      <c r="M100" s="185"/>
      <c r="N100" s="185"/>
    </row>
    <row r="101" spans="6:14" s="73" customFormat="1" ht="11.25">
      <c r="F101" s="289"/>
      <c r="G101" s="185"/>
      <c r="H101" s="185"/>
      <c r="I101" s="185"/>
      <c r="J101" s="185"/>
      <c r="K101" s="185"/>
      <c r="L101" s="185"/>
      <c r="M101" s="185"/>
      <c r="N101" s="185"/>
    </row>
    <row r="102" spans="6:14" s="73" customFormat="1" ht="11.25">
      <c r="F102" s="289"/>
      <c r="G102" s="185"/>
      <c r="H102" s="185"/>
      <c r="I102" s="185"/>
      <c r="J102" s="185"/>
      <c r="K102" s="185"/>
      <c r="L102" s="185"/>
      <c r="M102" s="185"/>
      <c r="N102" s="185"/>
    </row>
    <row r="103" spans="6:14" s="73" customFormat="1" ht="11.25">
      <c r="F103" s="289"/>
      <c r="G103" s="185"/>
      <c r="H103" s="185"/>
      <c r="I103" s="185"/>
      <c r="J103" s="185"/>
      <c r="K103" s="185"/>
      <c r="L103" s="185"/>
      <c r="M103" s="185"/>
      <c r="N103" s="185"/>
    </row>
    <row r="104" spans="6:14" s="73" customFormat="1" ht="11.25">
      <c r="F104" s="289"/>
      <c r="G104" s="185"/>
      <c r="H104" s="185"/>
      <c r="I104" s="185"/>
      <c r="J104" s="185"/>
      <c r="K104" s="185"/>
      <c r="L104" s="185"/>
      <c r="M104" s="185"/>
      <c r="N104" s="185"/>
    </row>
    <row r="105" spans="6:14" s="73" customFormat="1" ht="11.25">
      <c r="F105" s="289"/>
      <c r="G105" s="185"/>
      <c r="H105" s="185"/>
      <c r="I105" s="185"/>
      <c r="J105" s="185"/>
      <c r="K105" s="185"/>
      <c r="L105" s="185"/>
      <c r="M105" s="185"/>
      <c r="N105" s="185"/>
    </row>
    <row r="106" spans="6:14" s="73" customFormat="1" ht="11.25">
      <c r="F106" s="289"/>
      <c r="G106" s="185"/>
      <c r="H106" s="185"/>
      <c r="I106" s="185"/>
      <c r="J106" s="185"/>
      <c r="K106" s="185"/>
      <c r="L106" s="185"/>
      <c r="M106" s="185"/>
      <c r="N106" s="185"/>
    </row>
    <row r="107" spans="6:14" s="73" customFormat="1" ht="11.25">
      <c r="F107" s="289"/>
      <c r="G107" s="185"/>
      <c r="H107" s="185"/>
      <c r="I107" s="185"/>
      <c r="J107" s="185"/>
      <c r="K107" s="185"/>
      <c r="L107" s="185"/>
      <c r="M107" s="185"/>
      <c r="N107" s="185"/>
    </row>
    <row r="108" spans="6:14" s="73" customFormat="1" ht="11.25">
      <c r="F108" s="289"/>
      <c r="G108" s="185"/>
      <c r="H108" s="185"/>
      <c r="I108" s="185"/>
      <c r="J108" s="185"/>
      <c r="K108" s="185"/>
      <c r="L108" s="185"/>
      <c r="M108" s="185"/>
      <c r="N108" s="185"/>
    </row>
    <row r="109" spans="6:14" s="73" customFormat="1" ht="11.25">
      <c r="F109" s="289"/>
      <c r="G109" s="185"/>
      <c r="H109" s="185"/>
      <c r="I109" s="185"/>
      <c r="J109" s="185"/>
      <c r="K109" s="185"/>
      <c r="L109" s="185"/>
      <c r="M109" s="185"/>
      <c r="N109" s="185"/>
    </row>
    <row r="110" spans="6:14" s="73" customFormat="1" ht="11.25">
      <c r="F110" s="289"/>
      <c r="G110" s="185"/>
      <c r="H110" s="185"/>
      <c r="I110" s="185"/>
      <c r="J110" s="185"/>
      <c r="K110" s="185"/>
      <c r="L110" s="185"/>
      <c r="M110" s="185"/>
      <c r="N110" s="185"/>
    </row>
    <row r="111" spans="6:14" s="73" customFormat="1" ht="11.25">
      <c r="F111" s="289"/>
      <c r="G111" s="185"/>
      <c r="H111" s="185"/>
      <c r="I111" s="185"/>
      <c r="J111" s="185"/>
      <c r="K111" s="185"/>
      <c r="L111" s="185"/>
      <c r="M111" s="185"/>
      <c r="N111" s="185"/>
    </row>
    <row r="112" spans="6:14" s="73" customFormat="1" ht="11.25">
      <c r="F112" s="289"/>
      <c r="G112" s="185"/>
      <c r="H112" s="185"/>
      <c r="I112" s="185"/>
      <c r="J112" s="185"/>
      <c r="K112" s="185"/>
      <c r="L112" s="185"/>
      <c r="M112" s="185"/>
      <c r="N112" s="185"/>
    </row>
    <row r="113" spans="6:14" s="73" customFormat="1" ht="11.25">
      <c r="F113" s="289"/>
      <c r="G113" s="185"/>
      <c r="H113" s="185"/>
      <c r="I113" s="185"/>
      <c r="J113" s="185"/>
      <c r="K113" s="185"/>
      <c r="L113" s="185"/>
      <c r="M113" s="185"/>
      <c r="N113" s="185"/>
    </row>
    <row r="114" spans="6:14" s="73" customFormat="1" ht="11.25">
      <c r="F114" s="289"/>
      <c r="G114" s="185"/>
      <c r="H114" s="185"/>
      <c r="I114" s="185"/>
      <c r="J114" s="185"/>
      <c r="K114" s="185"/>
      <c r="L114" s="185"/>
      <c r="M114" s="185"/>
      <c r="N114" s="185"/>
    </row>
    <row r="115" spans="6:14" s="73" customFormat="1" ht="11.25">
      <c r="F115" s="289"/>
      <c r="G115" s="185"/>
      <c r="H115" s="185"/>
      <c r="I115" s="185"/>
      <c r="J115" s="185"/>
      <c r="K115" s="185"/>
      <c r="L115" s="185"/>
      <c r="M115" s="185"/>
      <c r="N115" s="185"/>
    </row>
    <row r="116" spans="6:14" s="73" customFormat="1" ht="11.25">
      <c r="F116" s="289"/>
      <c r="G116" s="185"/>
      <c r="H116" s="185"/>
      <c r="I116" s="185"/>
      <c r="J116" s="185"/>
      <c r="K116" s="185"/>
      <c r="L116" s="185"/>
      <c r="M116" s="185"/>
      <c r="N116" s="185"/>
    </row>
    <row r="117" spans="6:14" s="73" customFormat="1" ht="11.25">
      <c r="F117" s="289"/>
      <c r="G117" s="185"/>
      <c r="H117" s="185"/>
      <c r="I117" s="185"/>
      <c r="J117" s="185"/>
      <c r="K117" s="185"/>
      <c r="L117" s="185"/>
      <c r="M117" s="185"/>
      <c r="N117" s="185"/>
    </row>
    <row r="118" spans="6:14" s="73" customFormat="1" ht="11.25">
      <c r="F118" s="289"/>
      <c r="G118" s="185"/>
      <c r="H118" s="185"/>
      <c r="I118" s="185"/>
      <c r="J118" s="185"/>
      <c r="K118" s="185"/>
      <c r="L118" s="185"/>
      <c r="M118" s="185"/>
      <c r="N118" s="185"/>
    </row>
    <row r="119" spans="6:14" s="73" customFormat="1" ht="11.25">
      <c r="F119" s="289"/>
      <c r="G119" s="185"/>
      <c r="H119" s="185"/>
      <c r="I119" s="185"/>
      <c r="J119" s="185"/>
      <c r="K119" s="185"/>
      <c r="L119" s="185"/>
      <c r="M119" s="185"/>
      <c r="N119" s="185"/>
    </row>
    <row r="120" spans="6:14" s="73" customFormat="1" ht="11.25">
      <c r="F120" s="289"/>
      <c r="G120" s="185"/>
      <c r="H120" s="185"/>
      <c r="I120" s="185"/>
      <c r="J120" s="185"/>
      <c r="K120" s="185"/>
      <c r="L120" s="185"/>
      <c r="M120" s="185"/>
      <c r="N120" s="185"/>
    </row>
    <row r="121" spans="6:14" s="73" customFormat="1" ht="11.25">
      <c r="F121" s="289"/>
      <c r="G121" s="185"/>
      <c r="H121" s="185"/>
      <c r="I121" s="185"/>
      <c r="J121" s="185"/>
      <c r="K121" s="185"/>
      <c r="L121" s="185"/>
      <c r="M121" s="185"/>
      <c r="N121" s="185"/>
    </row>
    <row r="122" spans="6:14" s="73" customFormat="1" ht="11.25">
      <c r="F122" s="289"/>
      <c r="G122" s="185"/>
      <c r="H122" s="185"/>
      <c r="I122" s="185"/>
      <c r="J122" s="185"/>
      <c r="K122" s="185"/>
      <c r="L122" s="185"/>
      <c r="M122" s="185"/>
      <c r="N122" s="185"/>
    </row>
    <row r="123" spans="6:14" s="73" customFormat="1" ht="11.25">
      <c r="F123" s="289"/>
      <c r="G123" s="185"/>
      <c r="H123" s="185"/>
      <c r="I123" s="185"/>
      <c r="J123" s="185"/>
      <c r="K123" s="185"/>
      <c r="L123" s="185"/>
      <c r="M123" s="185"/>
      <c r="N123" s="185"/>
    </row>
    <row r="124" spans="6:14" s="73" customFormat="1" ht="11.25">
      <c r="F124" s="289"/>
      <c r="G124" s="185"/>
      <c r="H124" s="185"/>
      <c r="I124" s="185"/>
      <c r="J124" s="185"/>
      <c r="K124" s="185"/>
      <c r="L124" s="185"/>
      <c r="M124" s="185"/>
      <c r="N124" s="185"/>
    </row>
    <row r="125" spans="6:14" s="73" customFormat="1" ht="11.25">
      <c r="F125" s="289"/>
      <c r="G125" s="185"/>
      <c r="H125" s="185"/>
      <c r="I125" s="185"/>
      <c r="J125" s="185"/>
      <c r="K125" s="185"/>
      <c r="L125" s="185"/>
      <c r="M125" s="185"/>
      <c r="N125" s="185"/>
    </row>
  </sheetData>
  <mergeCells count="147">
    <mergeCell ref="I40:I41"/>
    <mergeCell ref="G20:G21"/>
    <mergeCell ref="H28:H29"/>
    <mergeCell ref="I28:I29"/>
    <mergeCell ref="H32:H33"/>
    <mergeCell ref="I32:I33"/>
    <mergeCell ref="F32:F33"/>
    <mergeCell ref="G28:G29"/>
    <mergeCell ref="G30:G31"/>
    <mergeCell ref="I24:I25"/>
    <mergeCell ref="G26:G27"/>
    <mergeCell ref="H38:H39"/>
    <mergeCell ref="I38:I39"/>
    <mergeCell ref="G32:G33"/>
    <mergeCell ref="H26:H27"/>
    <mergeCell ref="I26:I27"/>
    <mergeCell ref="G38:G39"/>
    <mergeCell ref="I42:I43"/>
    <mergeCell ref="G12:G13"/>
    <mergeCell ref="H12:H13"/>
    <mergeCell ref="I12:I13"/>
    <mergeCell ref="B14:C15"/>
    <mergeCell ref="D14:D15"/>
    <mergeCell ref="E14:E15"/>
    <mergeCell ref="G14:G15"/>
    <mergeCell ref="H14:H15"/>
    <mergeCell ref="I14:I15"/>
    <mergeCell ref="I36:I37"/>
    <mergeCell ref="G16:G17"/>
    <mergeCell ref="G22:G23"/>
    <mergeCell ref="H22:H23"/>
    <mergeCell ref="I22:I23"/>
    <mergeCell ref="G24:G25"/>
    <mergeCell ref="H24:H25"/>
    <mergeCell ref="H20:H21"/>
    <mergeCell ref="I20:I21"/>
    <mergeCell ref="A20:C21"/>
    <mergeCell ref="H30:H31"/>
    <mergeCell ref="I30:I31"/>
    <mergeCell ref="D38:D39"/>
    <mergeCell ref="A22:A33"/>
    <mergeCell ref="A34:A49"/>
    <mergeCell ref="B12:C13"/>
    <mergeCell ref="D12:D13"/>
    <mergeCell ref="E12:E13"/>
    <mergeCell ref="D48:D49"/>
    <mergeCell ref="E48:E49"/>
    <mergeCell ref="G48:G49"/>
    <mergeCell ref="G36:G37"/>
    <mergeCell ref="G44:G45"/>
    <mergeCell ref="G46:G47"/>
    <mergeCell ref="F42:F43"/>
    <mergeCell ref="G42:G43"/>
    <mergeCell ref="B22:C23"/>
    <mergeCell ref="D22:D23"/>
    <mergeCell ref="E22:E23"/>
    <mergeCell ref="B26:C27"/>
    <mergeCell ref="D26:D27"/>
    <mergeCell ref="E26:E27"/>
    <mergeCell ref="B24:C25"/>
    <mergeCell ref="D24:D25"/>
    <mergeCell ref="E24:E25"/>
    <mergeCell ref="E28:E29"/>
    <mergeCell ref="B28:C29"/>
    <mergeCell ref="D28:D29"/>
    <mergeCell ref="E20:E21"/>
    <mergeCell ref="D44:D45"/>
    <mergeCell ref="B42:C43"/>
    <mergeCell ref="E36:E37"/>
    <mergeCell ref="E44:E45"/>
    <mergeCell ref="H36:H37"/>
    <mergeCell ref="E34:E35"/>
    <mergeCell ref="B32:C33"/>
    <mergeCell ref="D32:D33"/>
    <mergeCell ref="E32:E33"/>
    <mergeCell ref="H44:H45"/>
    <mergeCell ref="H42:H43"/>
    <mergeCell ref="B30:C31"/>
    <mergeCell ref="D30:D31"/>
    <mergeCell ref="E30:E31"/>
    <mergeCell ref="B40:C41"/>
    <mergeCell ref="D40:D41"/>
    <mergeCell ref="E40:E41"/>
    <mergeCell ref="G40:G41"/>
    <mergeCell ref="H40:H41"/>
    <mergeCell ref="B38:C39"/>
    <mergeCell ref="E38:E39"/>
    <mergeCell ref="B36:C37"/>
    <mergeCell ref="D36:D37"/>
    <mergeCell ref="D16:D17"/>
    <mergeCell ref="D18:D19"/>
    <mergeCell ref="D34:D35"/>
    <mergeCell ref="D46:D47"/>
    <mergeCell ref="D42:D43"/>
    <mergeCell ref="B16:C17"/>
    <mergeCell ref="B18:C19"/>
    <mergeCell ref="B44:C45"/>
    <mergeCell ref="B34:C35"/>
    <mergeCell ref="D20:D21"/>
    <mergeCell ref="I44:I45"/>
    <mergeCell ref="H18:H19"/>
    <mergeCell ref="I16:I17"/>
    <mergeCell ref="B48:C49"/>
    <mergeCell ref="A6:C7"/>
    <mergeCell ref="H16:H17"/>
    <mergeCell ref="H46:H47"/>
    <mergeCell ref="E42:E43"/>
    <mergeCell ref="H34:H35"/>
    <mergeCell ref="D6:D7"/>
    <mergeCell ref="I18:I19"/>
    <mergeCell ref="H48:H49"/>
    <mergeCell ref="I6:I7"/>
    <mergeCell ref="I34:I35"/>
    <mergeCell ref="I48:I49"/>
    <mergeCell ref="I46:I47"/>
    <mergeCell ref="B46:C47"/>
    <mergeCell ref="G18:G19"/>
    <mergeCell ref="G34:G35"/>
    <mergeCell ref="F48:F49"/>
    <mergeCell ref="B8:C9"/>
    <mergeCell ref="F6:F7"/>
    <mergeCell ref="E46:E47"/>
    <mergeCell ref="H8:H9"/>
    <mergeCell ref="I8:I9"/>
    <mergeCell ref="A8:A19"/>
    <mergeCell ref="D8:D9"/>
    <mergeCell ref="A1:I1"/>
    <mergeCell ref="A4:C5"/>
    <mergeCell ref="D4:D5"/>
    <mergeCell ref="E4:E5"/>
    <mergeCell ref="G4:G5"/>
    <mergeCell ref="H4:H5"/>
    <mergeCell ref="I4:I5"/>
    <mergeCell ref="G10:G11"/>
    <mergeCell ref="H10:H11"/>
    <mergeCell ref="H6:H7"/>
    <mergeCell ref="E6:E7"/>
    <mergeCell ref="G6:G7"/>
    <mergeCell ref="I10:I11"/>
    <mergeCell ref="E8:E9"/>
    <mergeCell ref="E18:E19"/>
    <mergeCell ref="F18:F19"/>
    <mergeCell ref="G8:G9"/>
    <mergeCell ref="B10:C11"/>
    <mergeCell ref="D10:D11"/>
    <mergeCell ref="E10:E11"/>
    <mergeCell ref="E16:E17"/>
  </mergeCells>
  <phoneticPr fontId="2"/>
  <conditionalFormatting sqref="J46:N46 J38:N38 J36:N36 J30:N30 J28:N28 J26:N26 J24:N24 J22:N22 J16:N16 J14:N14 J12:N12 J8:N8 J1:N1">
    <cfRule type="expression" dxfId="15" priority="27">
      <formula>$E1=$P$3</formula>
    </cfRule>
  </conditionalFormatting>
  <conditionalFormatting sqref="J8:N8">
    <cfRule type="expression" dxfId="14" priority="13">
      <formula>$E8=$P$3</formula>
    </cfRule>
  </conditionalFormatting>
  <conditionalFormatting sqref="J10:N10">
    <cfRule type="expression" dxfId="13" priority="9">
      <formula>$E10=$P$3</formula>
    </cfRule>
  </conditionalFormatting>
  <conditionalFormatting sqref="J10:N10">
    <cfRule type="expression" dxfId="12" priority="8">
      <formula>$E10=$P$3</formula>
    </cfRule>
  </conditionalFormatting>
  <conditionalFormatting sqref="J20:N20">
    <cfRule type="expression" dxfId="11" priority="7">
      <formula>$E20=$P$3</formula>
    </cfRule>
  </conditionalFormatting>
  <conditionalFormatting sqref="J20:N20">
    <cfRule type="expression" dxfId="10" priority="6">
      <formula>$E20=$P$3</formula>
    </cfRule>
  </conditionalFormatting>
  <conditionalFormatting sqref="J34:N34">
    <cfRule type="expression" dxfId="9" priority="5">
      <formula>$E34=$P$3</formula>
    </cfRule>
  </conditionalFormatting>
  <conditionalFormatting sqref="J34:N34">
    <cfRule type="expression" dxfId="8" priority="4">
      <formula>$E34=$P$3</formula>
    </cfRule>
  </conditionalFormatting>
  <conditionalFormatting sqref="J44:N44">
    <cfRule type="expression" dxfId="7" priority="3">
      <formula>$E44=$P$3</formula>
    </cfRule>
  </conditionalFormatting>
  <conditionalFormatting sqref="J44:N44">
    <cfRule type="expression" dxfId="6" priority="2">
      <formula>$E44=$P$3</formula>
    </cfRule>
  </conditionalFormatting>
  <conditionalFormatting sqref="L40:N40">
    <cfRule type="expression" dxfId="5" priority="1">
      <formula>$E40=$P$3</formula>
    </cfRule>
  </conditionalFormatting>
  <dataValidations count="1">
    <dataValidation type="list" allowBlank="1" showInputMessage="1" showErrorMessage="1" sqref="E6:E49">
      <formula1>$P$2:$P$5</formula1>
    </dataValidation>
  </dataValidations>
  <printOptions horizontalCentered="1"/>
  <pageMargins left="0.59055118110236227" right="0.39370078740157483" top="0.78740157480314965" bottom="0.39370078740157483" header="0.39370078740157483" footer="0.19685039370078741"/>
  <pageSetup paperSize="9" scale="77" fitToHeight="2" orientation="landscape" blackAndWhite="1" r:id="rId1"/>
  <headerFooter alignWithMargins="0">
    <oddFooter>&amp;L&amp;6&amp;F &amp;A&amp;R&amp;6&amp;D &amp;T</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tabColor rgb="FFFFC000"/>
    <pageSetUpPr fitToPage="1"/>
  </sheetPr>
  <dimension ref="A1:N123"/>
  <sheetViews>
    <sheetView topLeftCell="A25" zoomScale="85" zoomScaleNormal="85" workbookViewId="0">
      <selection activeCell="F11" sqref="F11"/>
    </sheetView>
  </sheetViews>
  <sheetFormatPr defaultColWidth="9" defaultRowHeight="13.5"/>
  <cols>
    <col min="1" max="1" width="1.875" style="140" customWidth="1"/>
    <col min="2" max="2" width="4.125" style="140" customWidth="1"/>
    <col min="3" max="3" width="19.375" style="140" customWidth="1"/>
    <col min="4" max="5" width="22.625" style="140" customWidth="1"/>
    <col min="6" max="9" width="13.75" style="140" customWidth="1"/>
    <col min="10" max="11" width="7.75" style="140" customWidth="1"/>
    <col min="12" max="14" width="13.125" style="140" customWidth="1"/>
    <col min="15" max="16384" width="9" style="140"/>
  </cols>
  <sheetData>
    <row r="1" spans="1:14" ht="17.25" customHeight="1">
      <c r="A1" s="579" t="str">
        <f>+"令和"&amp;MID(総括表!A2,3,1)&amp;"年度決算　不課税収入区分表（国庫補助金〔３条〕）"</f>
        <v>令和５年度決算　不課税収入区分表（国庫補助金〔３条〕）</v>
      </c>
      <c r="B1" s="579"/>
      <c r="C1" s="579"/>
      <c r="D1" s="579"/>
      <c r="E1" s="579"/>
      <c r="F1" s="579"/>
      <c r="G1" s="579"/>
      <c r="H1" s="579"/>
      <c r="I1" s="579"/>
    </row>
    <row r="2" spans="1:14" ht="17.25" customHeight="1">
      <c r="A2" s="1"/>
      <c r="B2" s="1"/>
      <c r="C2" s="1"/>
      <c r="D2" s="1"/>
      <c r="E2" s="1"/>
      <c r="F2" s="1"/>
      <c r="G2" s="1"/>
      <c r="H2" s="1"/>
      <c r="I2" s="1"/>
    </row>
    <row r="3" spans="1:14" ht="17.25" customHeight="1" thickBot="1">
      <c r="A3" s="1"/>
      <c r="B3" s="1"/>
      <c r="C3" s="1"/>
      <c r="D3" s="1"/>
      <c r="E3" s="1"/>
      <c r="F3" s="1"/>
      <c r="G3" s="1"/>
      <c r="H3" s="1"/>
      <c r="I3" s="22" t="s">
        <v>213</v>
      </c>
    </row>
    <row r="4" spans="1:14" s="73" customFormat="1" ht="21" customHeight="1">
      <c r="A4" s="587" t="s">
        <v>170</v>
      </c>
      <c r="B4" s="582"/>
      <c r="C4" s="588"/>
      <c r="D4" s="588" t="s">
        <v>214</v>
      </c>
      <c r="E4" s="582" t="s">
        <v>215</v>
      </c>
      <c r="F4" s="277" t="s">
        <v>165</v>
      </c>
      <c r="G4" s="584" t="s">
        <v>216</v>
      </c>
      <c r="H4" s="584" t="s">
        <v>217</v>
      </c>
      <c r="I4" s="580" t="s">
        <v>218</v>
      </c>
      <c r="J4" s="292" t="s">
        <v>384</v>
      </c>
      <c r="K4" s="293"/>
      <c r="L4" s="293"/>
      <c r="M4" s="293"/>
      <c r="N4" s="185"/>
    </row>
    <row r="5" spans="1:14" s="73" customFormat="1" ht="21" customHeight="1">
      <c r="A5" s="589"/>
      <c r="B5" s="583"/>
      <c r="C5" s="590"/>
      <c r="D5" s="590"/>
      <c r="E5" s="583"/>
      <c r="F5" s="24" t="s">
        <v>166</v>
      </c>
      <c r="G5" s="585"/>
      <c r="H5" s="585"/>
      <c r="I5" s="581"/>
      <c r="J5" s="325">
        <v>0.03</v>
      </c>
      <c r="K5" s="421">
        <v>0.05</v>
      </c>
      <c r="L5" s="294">
        <v>0.08</v>
      </c>
      <c r="M5" s="416">
        <v>0.08</v>
      </c>
      <c r="N5" s="297">
        <v>0.1</v>
      </c>
    </row>
    <row r="6" spans="1:14" s="73" customFormat="1" ht="12" customHeight="1">
      <c r="A6" s="942" t="s">
        <v>311</v>
      </c>
      <c r="B6" s="943"/>
      <c r="C6" s="592"/>
      <c r="D6" s="818"/>
      <c r="E6" s="840"/>
      <c r="F6" s="49"/>
      <c r="G6" s="946">
        <f>SUM(G8,G22,G36,G50)</f>
        <v>0</v>
      </c>
      <c r="H6" s="946">
        <f t="shared" ref="H6:I6" si="0">SUM(H8,H22,H36,H50)</f>
        <v>0</v>
      </c>
      <c r="I6" s="918">
        <f t="shared" si="0"/>
        <v>0</v>
      </c>
      <c r="J6" s="324">
        <f t="shared" ref="J6" si="1">SUM(J9,J23,J37,J51)</f>
        <v>0</v>
      </c>
      <c r="K6" s="403">
        <f>SUM(K9,K23,K37,K51)</f>
        <v>0</v>
      </c>
      <c r="L6" s="324">
        <f t="shared" ref="L6:N6" si="2">SUM(L9,L23,L37,L51)</f>
        <v>0</v>
      </c>
      <c r="M6" s="324">
        <f t="shared" ref="M6" si="3">SUM(M9,M23,M37,M51)</f>
        <v>0</v>
      </c>
      <c r="N6" s="324">
        <f t="shared" si="2"/>
        <v>0</v>
      </c>
    </row>
    <row r="7" spans="1:14" s="73" customFormat="1" ht="12" customHeight="1">
      <c r="A7" s="942"/>
      <c r="B7" s="943"/>
      <c r="C7" s="592"/>
      <c r="D7" s="944"/>
      <c r="E7" s="945"/>
      <c r="F7" s="404"/>
      <c r="G7" s="946"/>
      <c r="H7" s="946"/>
      <c r="I7" s="941"/>
      <c r="J7"/>
      <c r="K7"/>
      <c r="L7"/>
      <c r="M7"/>
      <c r="N7"/>
    </row>
    <row r="8" spans="1:14" s="73" customFormat="1" ht="12" customHeight="1">
      <c r="A8" s="392"/>
      <c r="B8" s="929" t="s">
        <v>466</v>
      </c>
      <c r="C8" s="930"/>
      <c r="D8" s="818"/>
      <c r="E8" s="840"/>
      <c r="F8" s="49"/>
      <c r="G8" s="586">
        <f>SUM(G10:G21)</f>
        <v>0</v>
      </c>
      <c r="H8" s="586">
        <f t="shared" ref="H8:I8" si="4">SUM(H10:H21)</f>
        <v>0</v>
      </c>
      <c r="I8" s="918">
        <f t="shared" si="4"/>
        <v>0</v>
      </c>
      <c r="J8"/>
      <c r="K8"/>
      <c r="L8"/>
      <c r="M8"/>
      <c r="N8"/>
    </row>
    <row r="9" spans="1:14" s="73" customFormat="1" ht="12" customHeight="1">
      <c r="A9" s="393"/>
      <c r="B9" s="931"/>
      <c r="C9" s="932"/>
      <c r="D9" s="933"/>
      <c r="E9" s="934"/>
      <c r="F9" s="394"/>
      <c r="G9" s="935"/>
      <c r="H9" s="935"/>
      <c r="I9" s="919"/>
      <c r="J9"/>
      <c r="K9"/>
      <c r="L9" s="395">
        <f t="shared" ref="L9:N9" si="5">+L13+L19</f>
        <v>0</v>
      </c>
      <c r="M9" s="395">
        <f t="shared" ref="M9" si="6">+M13+M19</f>
        <v>0</v>
      </c>
      <c r="N9" s="395">
        <f t="shared" si="5"/>
        <v>0</v>
      </c>
    </row>
    <row r="10" spans="1:14" s="73" customFormat="1" ht="12" customHeight="1">
      <c r="A10" s="393"/>
      <c r="B10" s="920" t="s">
        <v>467</v>
      </c>
      <c r="C10" s="939" t="s">
        <v>468</v>
      </c>
      <c r="D10" s="923" t="s">
        <v>469</v>
      </c>
      <c r="E10" s="924" t="s">
        <v>522</v>
      </c>
      <c r="F10" s="28"/>
      <c r="G10" s="926">
        <v>0</v>
      </c>
      <c r="H10" s="388"/>
      <c r="I10" s="387"/>
      <c r="J10"/>
      <c r="K10"/>
      <c r="L10"/>
      <c r="M10"/>
      <c r="N10"/>
    </row>
    <row r="11" spans="1:14" s="73" customFormat="1" ht="12" customHeight="1">
      <c r="A11" s="393"/>
      <c r="B11" s="921"/>
      <c r="C11" s="829"/>
      <c r="D11" s="497"/>
      <c r="E11" s="925"/>
      <c r="F11" s="323"/>
      <c r="G11" s="927"/>
      <c r="H11" s="390"/>
      <c r="I11" s="382"/>
      <c r="J11"/>
      <c r="K11"/>
      <c r="L11"/>
      <c r="M11"/>
      <c r="N11"/>
    </row>
    <row r="12" spans="1:14" s="73" customFormat="1" ht="12" customHeight="1">
      <c r="A12" s="393"/>
      <c r="B12" s="921"/>
      <c r="C12" s="631"/>
      <c r="D12" s="498" t="s">
        <v>312</v>
      </c>
      <c r="E12" s="925"/>
      <c r="F12" s="405">
        <f>+SUM('[1]3条支出'!$K$88:$K$90)</f>
        <v>0</v>
      </c>
      <c r="G12" s="397"/>
      <c r="H12" s="914">
        <f>IFERROR(ROUND(SUM(G10:G15)*F12/F13,0),0)</f>
        <v>0</v>
      </c>
      <c r="I12" s="915">
        <f>SUM(G10:G15)-H12</f>
        <v>0</v>
      </c>
      <c r="J12"/>
      <c r="K12"/>
      <c r="L12" s="420">
        <f>SUM('[1]3条支出'!$F$88:$G$90)+SUM('[1]3条支出'!H88:H90)</f>
        <v>0</v>
      </c>
      <c r="M12" s="367">
        <f>SUM('[1]3条支出'!I88:I90)</f>
        <v>0</v>
      </c>
      <c r="N12" s="367">
        <f>SUM('[1]3条支出'!J88:J90)</f>
        <v>0</v>
      </c>
    </row>
    <row r="13" spans="1:14" s="73" customFormat="1" ht="12" customHeight="1">
      <c r="A13" s="393"/>
      <c r="B13" s="921"/>
      <c r="C13" s="829"/>
      <c r="D13" s="500"/>
      <c r="E13" s="925"/>
      <c r="F13" s="406">
        <f>+SUM('[1]3条支出'!$E$88:$E$90)</f>
        <v>0</v>
      </c>
      <c r="G13" s="386"/>
      <c r="H13" s="914"/>
      <c r="I13" s="915"/>
      <c r="J13"/>
      <c r="K13"/>
      <c r="L13" s="147">
        <f>+H12-SUM(J13:K13,M13:N13)</f>
        <v>0</v>
      </c>
      <c r="M13" s="147">
        <f>IFERROR(ROUND(M12/F12*H12,0),0)</f>
        <v>0</v>
      </c>
      <c r="N13" s="147">
        <f>IFERROR(ROUND(N12/F12*H12,0),0)</f>
        <v>0</v>
      </c>
    </row>
    <row r="14" spans="1:14" s="73" customFormat="1" ht="12" customHeight="1">
      <c r="A14" s="393"/>
      <c r="B14" s="921"/>
      <c r="C14" s="605" t="s">
        <v>312</v>
      </c>
      <c r="D14" s="498" t="s">
        <v>312</v>
      </c>
      <c r="E14" s="925"/>
      <c r="F14" s="323"/>
      <c r="G14" s="380"/>
      <c r="H14" s="390"/>
      <c r="I14" s="382"/>
      <c r="J14"/>
      <c r="K14"/>
      <c r="L14"/>
      <c r="M14"/>
      <c r="N14"/>
    </row>
    <row r="15" spans="1:14" s="73" customFormat="1" ht="12" customHeight="1">
      <c r="A15" s="393"/>
      <c r="B15" s="921"/>
      <c r="C15" s="827"/>
      <c r="D15" s="499"/>
      <c r="E15" s="925"/>
      <c r="F15" s="323"/>
      <c r="G15" s="397"/>
      <c r="H15" s="390"/>
      <c r="I15" s="382"/>
      <c r="J15"/>
      <c r="K15"/>
      <c r="L15"/>
      <c r="M15"/>
      <c r="N15"/>
    </row>
    <row r="16" spans="1:14" s="73" customFormat="1" ht="12" customHeight="1">
      <c r="A16" s="393"/>
      <c r="B16" s="921"/>
      <c r="C16" s="939" t="s">
        <v>468</v>
      </c>
      <c r="D16" s="923" t="s">
        <v>469</v>
      </c>
      <c r="E16" s="924" t="s">
        <v>523</v>
      </c>
      <c r="F16" s="399"/>
      <c r="G16" s="926"/>
      <c r="H16" s="388"/>
      <c r="I16" s="387"/>
      <c r="J16"/>
      <c r="K16"/>
      <c r="L16"/>
      <c r="M16"/>
      <c r="N16"/>
    </row>
    <row r="17" spans="1:14" s="73" customFormat="1" ht="12" customHeight="1">
      <c r="A17" s="393"/>
      <c r="B17" s="921"/>
      <c r="C17" s="829"/>
      <c r="D17" s="497"/>
      <c r="E17" s="925"/>
      <c r="F17" s="323"/>
      <c r="G17" s="927"/>
      <c r="H17" s="390"/>
      <c r="I17" s="382"/>
      <c r="J17"/>
      <c r="K17"/>
      <c r="L17"/>
      <c r="M17"/>
      <c r="N17"/>
    </row>
    <row r="18" spans="1:14" s="73" customFormat="1" ht="12" customHeight="1">
      <c r="A18" s="393"/>
      <c r="B18" s="921"/>
      <c r="C18" s="913" t="s">
        <v>312</v>
      </c>
      <c r="D18" s="497" t="s">
        <v>312</v>
      </c>
      <c r="E18" s="925"/>
      <c r="F18" s="405">
        <f>+SUM('[1]3条支出'!$K$101:$K$103)</f>
        <v>0</v>
      </c>
      <c r="G18" s="380"/>
      <c r="H18" s="914">
        <f>IFERROR(ROUND(SUM(G16:G21)*F18/F19,0),0)</f>
        <v>0</v>
      </c>
      <c r="I18" s="915">
        <f>SUM(G16:G21)-H18</f>
        <v>0</v>
      </c>
      <c r="J18"/>
      <c r="K18"/>
      <c r="L18" s="420">
        <f>SUM('[1]3条支出'!$F$101:$G$103)+SUM('[1]3条支出'!H101:H103)</f>
        <v>0</v>
      </c>
      <c r="M18" s="367">
        <f>SUM('[1]3条支出'!I101:I103)</f>
        <v>0</v>
      </c>
      <c r="N18" s="367">
        <f>SUM('[1]3条支出'!J101:J103)</f>
        <v>0</v>
      </c>
    </row>
    <row r="19" spans="1:14" s="73" customFormat="1" ht="12" customHeight="1">
      <c r="A19" s="393"/>
      <c r="B19" s="921"/>
      <c r="C19" s="913"/>
      <c r="D19" s="497"/>
      <c r="E19" s="925"/>
      <c r="F19" s="406">
        <f>+SUM('[1]3条支出'!$E$101:$E$103)</f>
        <v>0</v>
      </c>
      <c r="G19" s="386"/>
      <c r="H19" s="914"/>
      <c r="I19" s="915"/>
      <c r="J19"/>
      <c r="K19"/>
      <c r="L19" s="147">
        <f>+H18-SUM(J19:K19,M19:N19)</f>
        <v>0</v>
      </c>
      <c r="M19" s="147">
        <f>IFERROR(ROUND(M18/F18*H18,0),0)</f>
        <v>0</v>
      </c>
      <c r="N19" s="147">
        <f>IFERROR(ROUND(N18/F18*H18,0),0)</f>
        <v>0</v>
      </c>
    </row>
    <row r="20" spans="1:14" s="73" customFormat="1" ht="12" customHeight="1">
      <c r="A20" s="393"/>
      <c r="B20" s="921"/>
      <c r="C20" s="913" t="s">
        <v>312</v>
      </c>
      <c r="D20" s="497" t="s">
        <v>471</v>
      </c>
      <c r="E20" s="925"/>
      <c r="F20" s="323"/>
      <c r="G20" s="380"/>
      <c r="H20" s="390"/>
      <c r="I20" s="382"/>
      <c r="J20"/>
      <c r="K20"/>
      <c r="L20"/>
      <c r="M20"/>
      <c r="N20"/>
    </row>
    <row r="21" spans="1:14" s="73" customFormat="1" ht="12" customHeight="1">
      <c r="A21" s="393"/>
      <c r="B21" s="938"/>
      <c r="C21" s="936"/>
      <c r="D21" s="937"/>
      <c r="E21" s="940"/>
      <c r="F21" s="400"/>
      <c r="G21" s="381"/>
      <c r="H21" s="207"/>
      <c r="I21" s="208"/>
      <c r="J21" s="145"/>
      <c r="K21"/>
      <c r="L21"/>
      <c r="M21"/>
      <c r="N21"/>
    </row>
    <row r="22" spans="1:14" s="73" customFormat="1" ht="12" customHeight="1">
      <c r="A22" s="393"/>
      <c r="B22" s="929" t="s">
        <v>472</v>
      </c>
      <c r="C22" s="930"/>
      <c r="D22" s="818"/>
      <c r="E22" s="840"/>
      <c r="F22" s="49"/>
      <c r="G22" s="586">
        <f>SUM(G24:G35)</f>
        <v>0</v>
      </c>
      <c r="H22" s="586">
        <f t="shared" ref="H22:I22" si="7">SUM(H24:H35)</f>
        <v>0</v>
      </c>
      <c r="I22" s="918">
        <f t="shared" si="7"/>
        <v>0</v>
      </c>
      <c r="J22" s="145"/>
      <c r="K22"/>
      <c r="L22"/>
      <c r="M22"/>
      <c r="N22"/>
    </row>
    <row r="23" spans="1:14" s="73" customFormat="1" ht="12" customHeight="1">
      <c r="A23" s="393"/>
      <c r="B23" s="931"/>
      <c r="C23" s="932"/>
      <c r="D23" s="933"/>
      <c r="E23" s="934"/>
      <c r="F23" s="394"/>
      <c r="G23" s="935"/>
      <c r="H23" s="935"/>
      <c r="I23" s="919"/>
      <c r="J23" s="145"/>
      <c r="K23"/>
      <c r="L23" s="395">
        <f t="shared" ref="L23:N23" si="8">+L27+L33</f>
        <v>0</v>
      </c>
      <c r="M23" s="395">
        <f t="shared" si="8"/>
        <v>0</v>
      </c>
      <c r="N23" s="395">
        <f t="shared" si="8"/>
        <v>0</v>
      </c>
    </row>
    <row r="24" spans="1:14" s="73" customFormat="1" ht="12" customHeight="1">
      <c r="A24" s="393"/>
      <c r="B24" s="920" t="s">
        <v>473</v>
      </c>
      <c r="C24" s="939" t="s">
        <v>468</v>
      </c>
      <c r="D24" s="923" t="s">
        <v>469</v>
      </c>
      <c r="E24" s="924" t="str">
        <f>+E10</f>
        <v>3年度分
公共土木施設災害復旧事業費(補助事業現年分)の課税支出割合</v>
      </c>
      <c r="F24" s="28"/>
      <c r="G24" s="926">
        <v>0</v>
      </c>
      <c r="H24" s="388"/>
      <c r="I24" s="387"/>
      <c r="J24"/>
      <c r="K24"/>
      <c r="L24"/>
      <c r="M24"/>
      <c r="N24"/>
    </row>
    <row r="25" spans="1:14" s="73" customFormat="1" ht="12" customHeight="1">
      <c r="A25" s="393"/>
      <c r="B25" s="921"/>
      <c r="C25" s="829"/>
      <c r="D25" s="497"/>
      <c r="E25" s="925"/>
      <c r="F25" s="323"/>
      <c r="G25" s="927"/>
      <c r="H25" s="390"/>
      <c r="I25" s="382"/>
      <c r="J25"/>
      <c r="K25"/>
      <c r="L25"/>
      <c r="M25"/>
      <c r="N25"/>
    </row>
    <row r="26" spans="1:14" s="73" customFormat="1" ht="12" customHeight="1">
      <c r="A26" s="393"/>
      <c r="B26" s="921"/>
      <c r="C26" s="631"/>
      <c r="D26" s="498" t="s">
        <v>484</v>
      </c>
      <c r="E26" s="925"/>
      <c r="F26" s="405">
        <f>+'[1]3条支出'!$K$91</f>
        <v>0</v>
      </c>
      <c r="G26" s="380"/>
      <c r="H26" s="914">
        <f>IFERROR(ROUND(SUM(G24:G29)*F26/F27,0),0)</f>
        <v>0</v>
      </c>
      <c r="I26" s="915">
        <f>SUM(G24:G29)-H26</f>
        <v>0</v>
      </c>
      <c r="J26"/>
      <c r="K26"/>
      <c r="L26" s="420">
        <f>SUM('[1]3条支出'!$F$91:$G$91)+SUM('[1]3条支出'!H91)</f>
        <v>0</v>
      </c>
      <c r="M26" s="367">
        <f>SUM('[1]3条支出'!I91)</f>
        <v>0</v>
      </c>
      <c r="N26" s="367">
        <f>SUM('[1]3条支出'!J91)</f>
        <v>0</v>
      </c>
    </row>
    <row r="27" spans="1:14" s="73" customFormat="1" ht="12" customHeight="1">
      <c r="A27" s="393"/>
      <c r="B27" s="921"/>
      <c r="C27" s="829"/>
      <c r="D27" s="500"/>
      <c r="E27" s="925"/>
      <c r="F27" s="406">
        <f>+'[1]3条支出'!$E$91</f>
        <v>0</v>
      </c>
      <c r="G27" s="386"/>
      <c r="H27" s="914"/>
      <c r="I27" s="915"/>
      <c r="J27"/>
      <c r="K27"/>
      <c r="L27" s="147">
        <f>+H26-SUM(J27:K27,M27:N27)</f>
        <v>0</v>
      </c>
      <c r="M27" s="147">
        <f>IFERROR(ROUND(M26/F26*H26,0),0)</f>
        <v>0</v>
      </c>
      <c r="N27" s="147">
        <f>IFERROR(ROUND(N26/F26*H26,0),0)</f>
        <v>0</v>
      </c>
    </row>
    <row r="28" spans="1:14" s="73" customFormat="1" ht="12" customHeight="1">
      <c r="A28" s="393"/>
      <c r="B28" s="921"/>
      <c r="C28" s="605" t="s">
        <v>484</v>
      </c>
      <c r="D28" s="498" t="s">
        <v>484</v>
      </c>
      <c r="E28" s="925"/>
      <c r="F28" s="323"/>
      <c r="G28" s="380"/>
      <c r="H28" s="390"/>
      <c r="I28" s="382"/>
      <c r="J28"/>
      <c r="K28"/>
      <c r="L28"/>
      <c r="M28"/>
      <c r="N28"/>
    </row>
    <row r="29" spans="1:14" s="73" customFormat="1" ht="12" customHeight="1">
      <c r="A29" s="393"/>
      <c r="B29" s="921"/>
      <c r="C29" s="827"/>
      <c r="D29" s="499"/>
      <c r="E29" s="925"/>
      <c r="F29" s="323"/>
      <c r="G29" s="397"/>
      <c r="H29" s="390"/>
      <c r="I29" s="382"/>
      <c r="J29"/>
      <c r="K29"/>
      <c r="L29"/>
      <c r="M29"/>
      <c r="N29"/>
    </row>
    <row r="30" spans="1:14" s="73" customFormat="1" ht="12" customHeight="1">
      <c r="A30" s="393"/>
      <c r="B30" s="921"/>
      <c r="C30" s="939" t="s">
        <v>468</v>
      </c>
      <c r="D30" s="923" t="s">
        <v>469</v>
      </c>
      <c r="E30" s="924" t="str">
        <f>+E16</f>
        <v>2年度分
公共土木施設災害復旧事業費(補助事業繰越分)の課税支出割合</v>
      </c>
      <c r="F30" s="399"/>
      <c r="G30" s="926"/>
      <c r="H30" s="388"/>
      <c r="I30" s="387"/>
      <c r="J30"/>
      <c r="K30"/>
      <c r="L30"/>
      <c r="M30"/>
      <c r="N30"/>
    </row>
    <row r="31" spans="1:14" s="73" customFormat="1" ht="12" customHeight="1">
      <c r="A31" s="393"/>
      <c r="B31" s="921"/>
      <c r="C31" s="829"/>
      <c r="D31" s="497"/>
      <c r="E31" s="925"/>
      <c r="F31" s="323"/>
      <c r="G31" s="927"/>
      <c r="H31" s="390"/>
      <c r="I31" s="382"/>
      <c r="J31"/>
      <c r="K31"/>
      <c r="L31"/>
      <c r="M31"/>
      <c r="N31"/>
    </row>
    <row r="32" spans="1:14" s="73" customFormat="1" ht="12" customHeight="1">
      <c r="A32" s="393"/>
      <c r="B32" s="921"/>
      <c r="C32" s="913" t="s">
        <v>484</v>
      </c>
      <c r="D32" s="497" t="s">
        <v>484</v>
      </c>
      <c r="E32" s="925"/>
      <c r="F32" s="405">
        <f>+'[1]3条支出'!$K$104</f>
        <v>0</v>
      </c>
      <c r="G32" s="380"/>
      <c r="H32" s="914">
        <f>IFERROR(ROUND(SUM(G30:G35)*F32/F33,0),0)</f>
        <v>0</v>
      </c>
      <c r="I32" s="915">
        <f>SUM(G30:G35)-H32</f>
        <v>0</v>
      </c>
      <c r="J32"/>
      <c r="K32"/>
      <c r="L32" s="420">
        <f>SUM('[1]3条支出'!$F$104:$G$104)+SUM('[1]3条支出'!H104)</f>
        <v>0</v>
      </c>
      <c r="M32" s="367">
        <f>SUM('[1]3条支出'!I104)</f>
        <v>0</v>
      </c>
      <c r="N32" s="367">
        <f>SUM('[1]3条支出'!J104)</f>
        <v>0</v>
      </c>
    </row>
    <row r="33" spans="1:14" s="73" customFormat="1" ht="12" customHeight="1">
      <c r="A33" s="393"/>
      <c r="B33" s="921"/>
      <c r="C33" s="913"/>
      <c r="D33" s="497"/>
      <c r="E33" s="925"/>
      <c r="F33" s="406">
        <f>+'[1]3条支出'!$E$104</f>
        <v>0</v>
      </c>
      <c r="G33" s="386"/>
      <c r="H33" s="914"/>
      <c r="I33" s="915"/>
      <c r="J33"/>
      <c r="K33"/>
      <c r="L33" s="147">
        <f>+H32-SUM(J33:K33,M33:N33)</f>
        <v>0</v>
      </c>
      <c r="M33" s="147">
        <f>IFERROR(ROUND(M32/F32*H32,0),0)</f>
        <v>0</v>
      </c>
      <c r="N33" s="147">
        <f>IFERROR(ROUND(N32/F32*H32,0),0)</f>
        <v>0</v>
      </c>
    </row>
    <row r="34" spans="1:14" s="73" customFormat="1" ht="12" customHeight="1">
      <c r="A34" s="393"/>
      <c r="B34" s="921"/>
      <c r="C34" s="913" t="s">
        <v>484</v>
      </c>
      <c r="D34" s="497" t="s">
        <v>485</v>
      </c>
      <c r="E34" s="925"/>
      <c r="F34" s="323"/>
      <c r="G34" s="380"/>
      <c r="H34" s="390"/>
      <c r="I34" s="382"/>
      <c r="J34"/>
      <c r="K34"/>
      <c r="L34"/>
      <c r="M34"/>
      <c r="N34"/>
    </row>
    <row r="35" spans="1:14" s="73" customFormat="1" ht="12" customHeight="1">
      <c r="A35" s="393"/>
      <c r="B35" s="938"/>
      <c r="C35" s="936"/>
      <c r="D35" s="937"/>
      <c r="E35" s="940"/>
      <c r="F35" s="400"/>
      <c r="G35" s="381"/>
      <c r="H35" s="207"/>
      <c r="I35" s="208"/>
      <c r="J35" s="145"/>
      <c r="K35"/>
      <c r="L35"/>
      <c r="M35"/>
      <c r="N35"/>
    </row>
    <row r="36" spans="1:14" s="73" customFormat="1" ht="12" customHeight="1">
      <c r="A36" s="393"/>
      <c r="B36" s="929" t="s">
        <v>474</v>
      </c>
      <c r="C36" s="930"/>
      <c r="D36" s="818"/>
      <c r="E36" s="840"/>
      <c r="F36" s="49"/>
      <c r="G36" s="586">
        <f>SUM(G38:G49)</f>
        <v>0</v>
      </c>
      <c r="H36" s="586">
        <f t="shared" ref="H36:I36" si="9">SUM(H38:H49)</f>
        <v>0</v>
      </c>
      <c r="I36" s="918">
        <f t="shared" si="9"/>
        <v>0</v>
      </c>
      <c r="J36" s="145"/>
      <c r="K36"/>
      <c r="L36"/>
      <c r="M36"/>
      <c r="N36"/>
    </row>
    <row r="37" spans="1:14" s="73" customFormat="1" ht="12" customHeight="1">
      <c r="A37" s="393"/>
      <c r="B37" s="931"/>
      <c r="C37" s="932"/>
      <c r="D37" s="933"/>
      <c r="E37" s="934"/>
      <c r="F37" s="394"/>
      <c r="G37" s="935"/>
      <c r="H37" s="935"/>
      <c r="I37" s="919"/>
      <c r="J37" s="145"/>
      <c r="K37"/>
      <c r="L37" s="395">
        <f t="shared" ref="L37:N37" si="10">+L41+L47</f>
        <v>0</v>
      </c>
      <c r="M37" s="395">
        <f t="shared" si="10"/>
        <v>0</v>
      </c>
      <c r="N37" s="395">
        <f t="shared" si="10"/>
        <v>0</v>
      </c>
    </row>
    <row r="38" spans="1:14" s="73" customFormat="1" ht="12" customHeight="1">
      <c r="A38" s="393"/>
      <c r="B38" s="920" t="s">
        <v>475</v>
      </c>
      <c r="C38" s="891" t="s">
        <v>476</v>
      </c>
      <c r="D38" s="923"/>
      <c r="E38" s="924" t="s">
        <v>524</v>
      </c>
      <c r="F38" s="28"/>
      <c r="G38" s="926"/>
      <c r="H38" s="388"/>
      <c r="I38" s="387"/>
      <c r="J38"/>
      <c r="K38"/>
      <c r="L38"/>
      <c r="M38"/>
      <c r="N38"/>
    </row>
    <row r="39" spans="1:14" s="73" customFormat="1" ht="12" customHeight="1">
      <c r="A39" s="393"/>
      <c r="B39" s="921"/>
      <c r="C39" s="632"/>
      <c r="D39" s="497"/>
      <c r="E39" s="925"/>
      <c r="F39" s="323"/>
      <c r="G39" s="927"/>
      <c r="H39" s="390"/>
      <c r="I39" s="382"/>
      <c r="J39"/>
      <c r="K39"/>
      <c r="L39"/>
      <c r="M39"/>
      <c r="N39"/>
    </row>
    <row r="40" spans="1:14" s="73" customFormat="1" ht="12" customHeight="1">
      <c r="A40" s="393"/>
      <c r="B40" s="921"/>
      <c r="C40" s="631"/>
      <c r="D40" s="498" t="s">
        <v>484</v>
      </c>
      <c r="E40" s="925"/>
      <c r="F40" s="405">
        <f>+'[1]3条支出'!$K$92</f>
        <v>0</v>
      </c>
      <c r="G40" s="380"/>
      <c r="H40" s="914">
        <f>IFERROR(ROUND(SUM(G38:G43)*F40/F41,0),0)</f>
        <v>0</v>
      </c>
      <c r="I40" s="915">
        <f>SUM(G38:G43)-H40</f>
        <v>0</v>
      </c>
      <c r="J40"/>
      <c r="K40"/>
      <c r="L40" s="420">
        <f>SUM('[1]3条支出'!$F$92:$G$92)+SUM('[1]3条支出'!H92)</f>
        <v>0</v>
      </c>
      <c r="M40" s="367">
        <f>SUM('[1]3条支出'!I92)</f>
        <v>0</v>
      </c>
      <c r="N40" s="367">
        <f>SUM('[1]3条支出'!J92)</f>
        <v>0</v>
      </c>
    </row>
    <row r="41" spans="1:14" s="73" customFormat="1" ht="12" customHeight="1">
      <c r="A41" s="393"/>
      <c r="B41" s="921"/>
      <c r="C41" s="829"/>
      <c r="D41" s="500"/>
      <c r="E41" s="925"/>
      <c r="F41" s="406">
        <f>+'[1]3条支出'!$E$92</f>
        <v>0</v>
      </c>
      <c r="G41" s="386"/>
      <c r="H41" s="914"/>
      <c r="I41" s="915"/>
      <c r="J41"/>
      <c r="K41"/>
      <c r="L41" s="147">
        <f>+H40-SUM(J41:K41,M41:N41)</f>
        <v>0</v>
      </c>
      <c r="M41" s="147">
        <f>IFERROR(ROUND(M40/F40*H40,0),0)</f>
        <v>0</v>
      </c>
      <c r="N41" s="147">
        <f>IFERROR(ROUND(N40/F40*H40,0),0)</f>
        <v>0</v>
      </c>
    </row>
    <row r="42" spans="1:14" s="73" customFormat="1" ht="12" customHeight="1">
      <c r="A42" s="393"/>
      <c r="B42" s="921"/>
      <c r="C42" s="605" t="s">
        <v>484</v>
      </c>
      <c r="D42" s="498" t="s">
        <v>484</v>
      </c>
      <c r="E42" s="925"/>
      <c r="F42" s="323"/>
      <c r="G42" s="380"/>
      <c r="H42" s="390"/>
      <c r="I42" s="382"/>
      <c r="J42"/>
      <c r="K42"/>
      <c r="L42"/>
      <c r="M42"/>
      <c r="N42"/>
    </row>
    <row r="43" spans="1:14" s="73" customFormat="1" ht="12" customHeight="1">
      <c r="A43" s="393"/>
      <c r="B43" s="921"/>
      <c r="C43" s="827"/>
      <c r="D43" s="499"/>
      <c r="E43" s="925"/>
      <c r="F43" s="323"/>
      <c r="G43" s="397"/>
      <c r="H43" s="390"/>
      <c r="I43" s="382"/>
      <c r="J43"/>
      <c r="K43"/>
      <c r="L43"/>
      <c r="M43"/>
      <c r="N43"/>
    </row>
    <row r="44" spans="1:14" s="73" customFormat="1" ht="12" customHeight="1">
      <c r="A44" s="393"/>
      <c r="B44" s="921"/>
      <c r="C44" s="891" t="s">
        <v>476</v>
      </c>
      <c r="D44" s="923" t="s">
        <v>477</v>
      </c>
      <c r="E44" s="924" t="s">
        <v>525</v>
      </c>
      <c r="F44" s="399"/>
      <c r="G44" s="926"/>
      <c r="H44" s="388"/>
      <c r="I44" s="387"/>
      <c r="J44"/>
      <c r="K44"/>
      <c r="L44"/>
      <c r="M44"/>
      <c r="N44"/>
    </row>
    <row r="45" spans="1:14" s="73" customFormat="1" ht="12" customHeight="1">
      <c r="A45" s="393"/>
      <c r="B45" s="921"/>
      <c r="C45" s="632"/>
      <c r="D45" s="497"/>
      <c r="E45" s="925"/>
      <c r="F45" s="323"/>
      <c r="G45" s="927"/>
      <c r="H45" s="390"/>
      <c r="I45" s="382"/>
      <c r="J45"/>
      <c r="K45"/>
      <c r="L45"/>
      <c r="M45"/>
      <c r="N45"/>
    </row>
    <row r="46" spans="1:14" s="73" customFormat="1" ht="12" customHeight="1">
      <c r="A46" s="393"/>
      <c r="B46" s="921"/>
      <c r="C46" s="913" t="s">
        <v>484</v>
      </c>
      <c r="D46" s="497" t="s">
        <v>484</v>
      </c>
      <c r="E46" s="925"/>
      <c r="F46" s="405">
        <f>+'[1]3条支出'!$K$105</f>
        <v>0</v>
      </c>
      <c r="G46" s="380"/>
      <c r="H46" s="914">
        <f>IFERROR(ROUND(SUM(G44:G49)*F46/F47,0),0)</f>
        <v>0</v>
      </c>
      <c r="I46" s="915">
        <f>SUM(G44:G49)-H46</f>
        <v>0</v>
      </c>
      <c r="J46"/>
      <c r="K46"/>
      <c r="L46" s="420">
        <f>SUM('[1]3条支出'!$F$105:$G$105)+SUM('[1]3条支出'!H105)</f>
        <v>0</v>
      </c>
      <c r="M46" s="367">
        <f>SUM('[1]3条支出'!I105)</f>
        <v>0</v>
      </c>
      <c r="N46" s="367">
        <f>SUM('[1]3条支出'!J105)</f>
        <v>0</v>
      </c>
    </row>
    <row r="47" spans="1:14" s="73" customFormat="1" ht="12" customHeight="1">
      <c r="A47" s="393"/>
      <c r="B47" s="921"/>
      <c r="C47" s="913"/>
      <c r="D47" s="497"/>
      <c r="E47" s="925"/>
      <c r="F47" s="406">
        <f>+'[1]3条支出'!$E$105</f>
        <v>0</v>
      </c>
      <c r="G47" s="386"/>
      <c r="H47" s="914"/>
      <c r="I47" s="915"/>
      <c r="J47"/>
      <c r="K47"/>
      <c r="L47" s="147">
        <f>+H46-SUM(J47:K47,M47:N47)</f>
        <v>0</v>
      </c>
      <c r="M47" s="147">
        <f>IFERROR(ROUND(M46/F46*H46,0),0)</f>
        <v>0</v>
      </c>
      <c r="N47" s="147">
        <f>IFERROR(ROUND(N46/F46*H46,0),0)</f>
        <v>0</v>
      </c>
    </row>
    <row r="48" spans="1:14" s="73" customFormat="1" ht="12" customHeight="1">
      <c r="A48" s="393"/>
      <c r="B48" s="921"/>
      <c r="C48" s="913" t="s">
        <v>484</v>
      </c>
      <c r="D48" s="497" t="s">
        <v>485</v>
      </c>
      <c r="E48" s="925"/>
      <c r="F48" s="323"/>
      <c r="G48" s="380"/>
      <c r="H48" s="390"/>
      <c r="I48" s="382"/>
      <c r="J48"/>
      <c r="K48"/>
      <c r="L48"/>
      <c r="M48"/>
      <c r="N48"/>
    </row>
    <row r="49" spans="1:14" s="73" customFormat="1" ht="12" customHeight="1">
      <c r="A49" s="393"/>
      <c r="B49" s="921"/>
      <c r="C49" s="605"/>
      <c r="D49" s="498"/>
      <c r="E49" s="925"/>
      <c r="F49" s="323"/>
      <c r="G49" s="397"/>
      <c r="H49" s="389"/>
      <c r="I49" s="204"/>
      <c r="J49" s="145"/>
      <c r="K49"/>
      <c r="L49"/>
      <c r="M49"/>
      <c r="N49"/>
    </row>
    <row r="50" spans="1:14" s="73" customFormat="1" ht="12" customHeight="1">
      <c r="A50" s="393"/>
      <c r="B50" s="929" t="s">
        <v>478</v>
      </c>
      <c r="C50" s="930"/>
      <c r="D50" s="818"/>
      <c r="E50" s="840"/>
      <c r="F50" s="49"/>
      <c r="G50" s="586">
        <f>SUM(G52:G63)</f>
        <v>0</v>
      </c>
      <c r="H50" s="586">
        <f t="shared" ref="H50:I50" si="11">SUM(H52:H63)</f>
        <v>0</v>
      </c>
      <c r="I50" s="918">
        <f t="shared" si="11"/>
        <v>0</v>
      </c>
      <c r="J50" s="145"/>
      <c r="K50"/>
      <c r="L50"/>
      <c r="M50"/>
      <c r="N50"/>
    </row>
    <row r="51" spans="1:14" s="73" customFormat="1" ht="12" customHeight="1">
      <c r="A51" s="393"/>
      <c r="B51" s="931"/>
      <c r="C51" s="932"/>
      <c r="D51" s="933"/>
      <c r="E51" s="934"/>
      <c r="F51" s="394"/>
      <c r="G51" s="935"/>
      <c r="H51" s="935"/>
      <c r="I51" s="919"/>
      <c r="J51" s="145"/>
      <c r="K51"/>
      <c r="L51" s="395">
        <f t="shared" ref="L51:N51" si="12">+L55+L61</f>
        <v>0</v>
      </c>
      <c r="M51" s="395">
        <f t="shared" ref="M51" si="13">+M55+M61</f>
        <v>0</v>
      </c>
      <c r="N51" s="395">
        <f t="shared" si="12"/>
        <v>0</v>
      </c>
    </row>
    <row r="52" spans="1:14" s="73" customFormat="1" ht="12" customHeight="1">
      <c r="A52" s="393"/>
      <c r="B52" s="920" t="s">
        <v>479</v>
      </c>
      <c r="C52" s="891"/>
      <c r="D52" s="923"/>
      <c r="E52" s="924"/>
      <c r="F52" s="28"/>
      <c r="G52" s="926"/>
      <c r="H52" s="388"/>
      <c r="I52" s="387"/>
      <c r="J52"/>
      <c r="K52"/>
      <c r="L52"/>
      <c r="M52"/>
      <c r="N52"/>
    </row>
    <row r="53" spans="1:14" s="73" customFormat="1" ht="12" customHeight="1">
      <c r="A53" s="393"/>
      <c r="B53" s="921"/>
      <c r="C53" s="632"/>
      <c r="D53" s="497"/>
      <c r="E53" s="925"/>
      <c r="F53" s="323"/>
      <c r="G53" s="927"/>
      <c r="H53" s="390"/>
      <c r="I53" s="382"/>
      <c r="J53"/>
      <c r="K53"/>
      <c r="L53"/>
      <c r="M53"/>
      <c r="N53"/>
    </row>
    <row r="54" spans="1:14" s="73" customFormat="1" ht="12" customHeight="1">
      <c r="A54" s="393"/>
      <c r="B54" s="921"/>
      <c r="C54" s="631"/>
      <c r="D54" s="498"/>
      <c r="E54" s="925"/>
      <c r="F54" s="405">
        <f>+'[1]3条支出'!$K$93</f>
        <v>0</v>
      </c>
      <c r="G54" s="380"/>
      <c r="H54" s="914">
        <f>IFERROR(ROUND(SUM(G52:G57)*F54/F55,0),0)</f>
        <v>0</v>
      </c>
      <c r="I54" s="915">
        <f>SUM(G52:G57)-H54</f>
        <v>0</v>
      </c>
      <c r="J54"/>
      <c r="K54"/>
      <c r="L54" s="420">
        <f>SUM('[1]3条支出'!$F$93:$G$93)+SUM('[1]3条支出'!H93)</f>
        <v>0</v>
      </c>
      <c r="M54" s="367">
        <f>SUM('[1]3条支出'!I93)</f>
        <v>0</v>
      </c>
      <c r="N54" s="367">
        <f>SUM('[1]3条支出'!J93)</f>
        <v>0</v>
      </c>
    </row>
    <row r="55" spans="1:14" s="73" customFormat="1" ht="12" customHeight="1">
      <c r="A55" s="393"/>
      <c r="B55" s="921"/>
      <c r="C55" s="829"/>
      <c r="D55" s="500"/>
      <c r="E55" s="925"/>
      <c r="F55" s="406">
        <f>+'[1]3条支出'!$E$93</f>
        <v>0</v>
      </c>
      <c r="G55" s="386"/>
      <c r="H55" s="914"/>
      <c r="I55" s="915"/>
      <c r="J55"/>
      <c r="K55"/>
      <c r="L55" s="147">
        <f>+H54-SUM(J55:K55,M55:N55)</f>
        <v>0</v>
      </c>
      <c r="M55" s="147">
        <f>IFERROR(ROUND(M54/F54*H54,0),0)</f>
        <v>0</v>
      </c>
      <c r="N55" s="147">
        <f>IFERROR(ROUND(N54/F54*H54,0),0)</f>
        <v>0</v>
      </c>
    </row>
    <row r="56" spans="1:14" s="73" customFormat="1" ht="12" customHeight="1">
      <c r="A56" s="393"/>
      <c r="B56" s="921"/>
      <c r="C56" s="605"/>
      <c r="D56" s="498"/>
      <c r="E56" s="925"/>
      <c r="F56" s="323"/>
      <c r="G56" s="380"/>
      <c r="H56" s="390"/>
      <c r="I56" s="382"/>
      <c r="J56"/>
      <c r="K56"/>
      <c r="L56"/>
      <c r="M56"/>
      <c r="N56"/>
    </row>
    <row r="57" spans="1:14" s="73" customFormat="1" ht="12" customHeight="1">
      <c r="A57" s="393"/>
      <c r="B57" s="921"/>
      <c r="C57" s="827"/>
      <c r="D57" s="499"/>
      <c r="E57" s="925"/>
      <c r="F57" s="323"/>
      <c r="G57" s="397"/>
      <c r="H57" s="390"/>
      <c r="I57" s="382"/>
      <c r="J57"/>
      <c r="K57"/>
      <c r="L57"/>
      <c r="M57"/>
      <c r="N57"/>
    </row>
    <row r="58" spans="1:14" s="73" customFormat="1" ht="12" customHeight="1">
      <c r="A58" s="393"/>
      <c r="B58" s="921"/>
      <c r="C58" s="891"/>
      <c r="D58" s="923"/>
      <c r="E58" s="924"/>
      <c r="F58" s="399"/>
      <c r="G58" s="926"/>
      <c r="H58" s="388"/>
      <c r="I58" s="387"/>
      <c r="J58"/>
      <c r="K58"/>
      <c r="L58"/>
      <c r="M58"/>
      <c r="N58"/>
    </row>
    <row r="59" spans="1:14" s="73" customFormat="1" ht="12" customHeight="1">
      <c r="A59" s="393"/>
      <c r="B59" s="921"/>
      <c r="C59" s="632"/>
      <c r="D59" s="497"/>
      <c r="E59" s="925"/>
      <c r="F59" s="323"/>
      <c r="G59" s="927"/>
      <c r="H59" s="390"/>
      <c r="I59" s="382"/>
      <c r="J59"/>
      <c r="K59"/>
      <c r="L59"/>
      <c r="M59"/>
      <c r="N59"/>
    </row>
    <row r="60" spans="1:14" s="73" customFormat="1" ht="12" customHeight="1">
      <c r="A60" s="393"/>
      <c r="B60" s="921"/>
      <c r="C60" s="913" t="s">
        <v>484</v>
      </c>
      <c r="D60" s="497" t="s">
        <v>484</v>
      </c>
      <c r="E60" s="925"/>
      <c r="F60" s="405">
        <f>+'[1]3条支出'!$K$106</f>
        <v>0</v>
      </c>
      <c r="G60" s="380"/>
      <c r="H60" s="914">
        <f>IFERROR(ROUND(SUM(G58:G63)*F60/F61,0),0)</f>
        <v>0</v>
      </c>
      <c r="I60" s="915">
        <f>SUM(G58:G63)-H60</f>
        <v>0</v>
      </c>
      <c r="J60"/>
      <c r="K60"/>
      <c r="L60" s="420">
        <f>SUM('[1]3条支出'!$F$106:$G$106)+SUM('[1]3条支出'!H106)</f>
        <v>0</v>
      </c>
      <c r="M60" s="367">
        <f>SUM('[1]3条支出'!I106)</f>
        <v>0</v>
      </c>
      <c r="N60" s="367">
        <f>SUM('[1]3条支出'!J106)</f>
        <v>0</v>
      </c>
    </row>
    <row r="61" spans="1:14" s="73" customFormat="1" ht="12" customHeight="1">
      <c r="A61" s="393"/>
      <c r="B61" s="921"/>
      <c r="C61" s="913"/>
      <c r="D61" s="497"/>
      <c r="E61" s="925"/>
      <c r="F61" s="406">
        <f>+'[1]3条支出'!$E$106</f>
        <v>0</v>
      </c>
      <c r="G61" s="386"/>
      <c r="H61" s="914"/>
      <c r="I61" s="915"/>
      <c r="J61"/>
      <c r="K61"/>
      <c r="L61" s="147">
        <f>+H60-SUM(J61:K61,M61:N61)</f>
        <v>0</v>
      </c>
      <c r="M61" s="147">
        <f>IFERROR(ROUND(M60/F60*H60,0),0)</f>
        <v>0</v>
      </c>
      <c r="N61" s="147">
        <f>IFERROR(ROUND(N60/F60*H60,0),0)</f>
        <v>0</v>
      </c>
    </row>
    <row r="62" spans="1:14" s="73" customFormat="1" ht="12" customHeight="1">
      <c r="A62" s="393"/>
      <c r="B62" s="921"/>
      <c r="C62" s="913" t="s">
        <v>484</v>
      </c>
      <c r="D62" s="497" t="s">
        <v>485</v>
      </c>
      <c r="E62" s="925"/>
      <c r="F62" s="323"/>
      <c r="G62" s="380"/>
      <c r="H62" s="390"/>
      <c r="I62" s="382"/>
      <c r="J62"/>
      <c r="K62"/>
      <c r="L62"/>
      <c r="M62"/>
      <c r="N62"/>
    </row>
    <row r="63" spans="1:14" s="73" customFormat="1" ht="12" customHeight="1" thickBot="1">
      <c r="A63" s="401"/>
      <c r="B63" s="922"/>
      <c r="C63" s="916"/>
      <c r="D63" s="917"/>
      <c r="E63" s="928"/>
      <c r="F63" s="402"/>
      <c r="G63" s="383"/>
      <c r="H63" s="214"/>
      <c r="I63" s="215"/>
      <c r="J63" s="145"/>
      <c r="K63"/>
      <c r="L63"/>
      <c r="M63"/>
      <c r="N63"/>
    </row>
    <row r="64" spans="1:14" s="73" customFormat="1" ht="12" customHeight="1">
      <c r="F64" s="289" t="s">
        <v>486</v>
      </c>
      <c r="G64" s="172">
        <f>+'[2]3条収入'!$E$34</f>
        <v>0</v>
      </c>
    </row>
    <row r="65" spans="6:7" s="73" customFormat="1" ht="12" customHeight="1">
      <c r="F65" s="289" t="s">
        <v>487</v>
      </c>
      <c r="G65" s="172">
        <f>+G6-G64</f>
        <v>0</v>
      </c>
    </row>
    <row r="66" spans="6:7" s="73" customFormat="1" ht="11.25"/>
    <row r="67" spans="6:7" s="73" customFormat="1" ht="11.25"/>
    <row r="68" spans="6:7" s="73" customFormat="1" ht="11.25"/>
    <row r="69" spans="6:7" s="73" customFormat="1" ht="11.25"/>
    <row r="70" spans="6:7" s="73" customFormat="1" ht="11.25"/>
    <row r="71" spans="6:7" s="73" customFormat="1" ht="11.25"/>
    <row r="72" spans="6:7" s="73" customFormat="1" ht="11.25"/>
    <row r="73" spans="6:7" s="73" customFormat="1" ht="11.25"/>
    <row r="74" spans="6:7" s="73" customFormat="1" ht="11.25"/>
    <row r="75" spans="6:7" s="73" customFormat="1" ht="11.25"/>
    <row r="76" spans="6:7" s="73" customFormat="1" ht="11.25"/>
    <row r="77" spans="6:7" s="73" customFormat="1" ht="11.25"/>
    <row r="78" spans="6:7" s="73" customFormat="1" ht="11.25"/>
    <row r="79" spans="6:7" s="73" customFormat="1" ht="11.25"/>
    <row r="80" spans="6:7" s="73" customFormat="1" ht="11.25"/>
    <row r="81" s="73" customFormat="1" ht="11.25"/>
    <row r="82" s="73" customFormat="1" ht="11.25"/>
    <row r="83" s="73" customFormat="1" ht="11.25"/>
    <row r="84" s="73" customFormat="1" ht="11.25"/>
    <row r="85" s="73" customFormat="1" ht="11.25"/>
    <row r="86" s="73" customFormat="1" ht="11.25"/>
    <row r="87" s="73" customFormat="1" ht="11.25"/>
    <row r="88" s="73" customFormat="1" ht="11.25"/>
    <row r="89" s="73" customFormat="1" ht="11.25"/>
    <row r="90" s="73" customFormat="1" ht="11.25"/>
    <row r="91" s="73" customFormat="1" ht="11.25"/>
    <row r="92" s="73" customFormat="1" ht="11.25"/>
    <row r="93" s="73" customFormat="1" ht="11.25"/>
    <row r="94" s="73" customFormat="1" ht="11.25"/>
    <row r="95" s="73" customFormat="1" ht="11.25"/>
    <row r="96" s="73" customFormat="1" ht="11.25"/>
    <row r="97" s="73" customFormat="1" ht="11.25"/>
    <row r="98" s="73" customFormat="1" ht="11.25"/>
    <row r="99" s="73" customFormat="1" ht="11.25"/>
    <row r="100" s="73" customFormat="1" ht="11.25"/>
    <row r="101" s="73" customFormat="1" ht="11.25"/>
    <row r="102" s="73" customFormat="1" ht="11.25"/>
    <row r="103" s="73" customFormat="1" ht="11.25"/>
    <row r="104" s="73" customFormat="1" ht="11.25"/>
    <row r="105" s="73" customFormat="1" ht="11.25"/>
    <row r="106" s="73" customFormat="1" ht="11.25"/>
    <row r="107" s="73" customFormat="1" ht="11.25"/>
    <row r="108" s="73" customFormat="1" ht="11.25"/>
    <row r="109" s="73" customFormat="1" ht="11.25"/>
    <row r="110" s="73" customFormat="1" ht="11.25"/>
    <row r="111" s="73" customFormat="1" ht="11.25"/>
    <row r="112" s="73" customFormat="1" ht="11.25"/>
    <row r="113" s="73" customFormat="1" ht="11.25"/>
    <row r="114" s="73" customFormat="1" ht="11.25"/>
    <row r="115" s="73" customFormat="1" ht="11.25"/>
    <row r="116" s="73" customFormat="1" ht="11.25"/>
    <row r="117" s="73" customFormat="1" ht="11.25"/>
    <row r="118" s="73" customFormat="1" ht="11.25"/>
    <row r="119" s="73" customFormat="1" ht="11.25"/>
    <row r="120" s="73" customFormat="1" ht="11.25"/>
    <row r="121" s="73" customFormat="1" ht="11.25"/>
    <row r="122" s="73" customFormat="1" ht="11.25"/>
    <row r="123" s="73" customFormat="1" ht="11.25"/>
  </sheetData>
  <mergeCells count="121">
    <mergeCell ref="A1:I1"/>
    <mergeCell ref="A4:C5"/>
    <mergeCell ref="D4:D5"/>
    <mergeCell ref="E4:E5"/>
    <mergeCell ref="G4:G5"/>
    <mergeCell ref="H4:H5"/>
    <mergeCell ref="I4:I5"/>
    <mergeCell ref="I6:I7"/>
    <mergeCell ref="A6:C7"/>
    <mergeCell ref="D6:D7"/>
    <mergeCell ref="E6:E7"/>
    <mergeCell ref="G6:G7"/>
    <mergeCell ref="H6:H7"/>
    <mergeCell ref="B10:B21"/>
    <mergeCell ref="C10:C11"/>
    <mergeCell ref="D10:D11"/>
    <mergeCell ref="E10:E15"/>
    <mergeCell ref="G10:G11"/>
    <mergeCell ref="C12:C13"/>
    <mergeCell ref="D12:D13"/>
    <mergeCell ref="B8:C9"/>
    <mergeCell ref="I8:I9"/>
    <mergeCell ref="D8:D9"/>
    <mergeCell ref="E8:E9"/>
    <mergeCell ref="G8:G9"/>
    <mergeCell ref="H8:H9"/>
    <mergeCell ref="E22:E23"/>
    <mergeCell ref="G22:G23"/>
    <mergeCell ref="H22:H23"/>
    <mergeCell ref="H12:H13"/>
    <mergeCell ref="I12:I13"/>
    <mergeCell ref="C14:C15"/>
    <mergeCell ref="D14:D15"/>
    <mergeCell ref="C16:C17"/>
    <mergeCell ref="D16:D17"/>
    <mergeCell ref="E16:E21"/>
    <mergeCell ref="G16:G17"/>
    <mergeCell ref="C18:C19"/>
    <mergeCell ref="D18:D19"/>
    <mergeCell ref="H18:H19"/>
    <mergeCell ref="I18:I19"/>
    <mergeCell ref="C20:C21"/>
    <mergeCell ref="D20:D21"/>
    <mergeCell ref="C32:C33"/>
    <mergeCell ref="D32:D33"/>
    <mergeCell ref="H32:H33"/>
    <mergeCell ref="I32:I33"/>
    <mergeCell ref="C34:C35"/>
    <mergeCell ref="D34:D35"/>
    <mergeCell ref="I22:I23"/>
    <mergeCell ref="B24:B35"/>
    <mergeCell ref="C24:C25"/>
    <mergeCell ref="D24:D25"/>
    <mergeCell ref="E24:E29"/>
    <mergeCell ref="G24:G25"/>
    <mergeCell ref="C26:C27"/>
    <mergeCell ref="D26:D27"/>
    <mergeCell ref="H26:H27"/>
    <mergeCell ref="I26:I27"/>
    <mergeCell ref="C28:C29"/>
    <mergeCell ref="D28:D29"/>
    <mergeCell ref="C30:C31"/>
    <mergeCell ref="D30:D31"/>
    <mergeCell ref="E30:E35"/>
    <mergeCell ref="G30:G31"/>
    <mergeCell ref="B22:C23"/>
    <mergeCell ref="D22:D23"/>
    <mergeCell ref="I36:I37"/>
    <mergeCell ref="B38:B49"/>
    <mergeCell ref="C38:C39"/>
    <mergeCell ref="D38:D39"/>
    <mergeCell ref="E38:E43"/>
    <mergeCell ref="G38:G39"/>
    <mergeCell ref="C40:C41"/>
    <mergeCell ref="D40:D41"/>
    <mergeCell ref="H40:H41"/>
    <mergeCell ref="I40:I41"/>
    <mergeCell ref="C42:C43"/>
    <mergeCell ref="D42:D43"/>
    <mergeCell ref="C44:C45"/>
    <mergeCell ref="D44:D45"/>
    <mergeCell ref="E44:E49"/>
    <mergeCell ref="G44:G45"/>
    <mergeCell ref="B36:C37"/>
    <mergeCell ref="D36:D37"/>
    <mergeCell ref="E36:E37"/>
    <mergeCell ref="G36:G37"/>
    <mergeCell ref="H36:H37"/>
    <mergeCell ref="E50:E51"/>
    <mergeCell ref="G50:G51"/>
    <mergeCell ref="H50:H51"/>
    <mergeCell ref="C46:C47"/>
    <mergeCell ref="D46:D47"/>
    <mergeCell ref="H46:H47"/>
    <mergeCell ref="I46:I47"/>
    <mergeCell ref="C48:C49"/>
    <mergeCell ref="D48:D49"/>
    <mergeCell ref="C60:C61"/>
    <mergeCell ref="D60:D61"/>
    <mergeCell ref="H60:H61"/>
    <mergeCell ref="I60:I61"/>
    <mergeCell ref="C62:C63"/>
    <mergeCell ref="D62:D63"/>
    <mergeCell ref="I50:I51"/>
    <mergeCell ref="B52:B63"/>
    <mergeCell ref="C52:C53"/>
    <mergeCell ref="D52:D53"/>
    <mergeCell ref="E52:E57"/>
    <mergeCell ref="G52:G53"/>
    <mergeCell ref="C54:C55"/>
    <mergeCell ref="D54:D55"/>
    <mergeCell ref="H54:H55"/>
    <mergeCell ref="I54:I55"/>
    <mergeCell ref="C56:C57"/>
    <mergeCell ref="D56:D57"/>
    <mergeCell ref="C58:C59"/>
    <mergeCell ref="D58:D59"/>
    <mergeCell ref="E58:E63"/>
    <mergeCell ref="G58:G59"/>
    <mergeCell ref="B50:C51"/>
    <mergeCell ref="D50:D51"/>
  </mergeCells>
  <phoneticPr fontId="2"/>
  <dataValidations disablePrompts="1" count="1">
    <dataValidation type="list" allowBlank="1" showInputMessage="1" showErrorMessage="1" sqref="E6:E7">
      <formula1>$P$2:$P$5</formula1>
    </dataValidation>
  </dataValidations>
  <printOptions horizontalCentered="1"/>
  <pageMargins left="0.59055118110236227" right="0.39370078740157483" top="0.78740157480314965" bottom="0.39370078740157483" header="0.39370078740157483" footer="0.19685039370078741"/>
  <pageSetup paperSize="9" scale="52" fitToHeight="2" orientation="portrait" blackAndWhite="1" r:id="rId1"/>
  <headerFooter alignWithMargins="0">
    <oddFooter>&amp;L&amp;6&amp;F &amp;A&amp;R&amp;6&amp;D &amp;T</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00FFFF"/>
    <pageSetUpPr fitToPage="1"/>
  </sheetPr>
  <dimension ref="A1:U46"/>
  <sheetViews>
    <sheetView view="pageBreakPreview" zoomScale="85" zoomScaleNormal="85" zoomScaleSheetLayoutView="85" workbookViewId="0">
      <pane xSplit="3" ySplit="5" topLeftCell="D6" activePane="bottomRight" state="frozen"/>
      <selection activeCell="S30" sqref="S30"/>
      <selection pane="topRight" activeCell="S30" sqref="S30"/>
      <selection pane="bottomLeft" activeCell="S30" sqref="S30"/>
      <selection pane="bottomRight" activeCell="E8" sqref="E8:E31"/>
    </sheetView>
  </sheetViews>
  <sheetFormatPr defaultColWidth="9" defaultRowHeight="13.5"/>
  <cols>
    <col min="1" max="1" width="1.625" style="146" customWidth="1"/>
    <col min="2" max="2" width="4.625" style="146" customWidth="1"/>
    <col min="3" max="3" width="19.625" style="146" customWidth="1"/>
    <col min="4" max="5" width="23.625" style="146" customWidth="1"/>
    <col min="6" max="6" width="13.125" style="145" customWidth="1"/>
    <col min="7" max="9" width="12.625" style="145" customWidth="1"/>
    <col min="10" max="13" width="6.375" style="145" customWidth="1"/>
    <col min="14" max="14" width="12.625" style="145" customWidth="1"/>
    <col min="15" max="15" width="9" style="146"/>
    <col min="16" max="18" width="6.375" style="146" customWidth="1"/>
    <col min="19" max="20" width="12.625" style="146" customWidth="1"/>
    <col min="21" max="21" width="22.375" style="146" bestFit="1" customWidth="1"/>
    <col min="22" max="23" width="14.875" style="146" customWidth="1"/>
    <col min="24" max="16384" width="9" style="146"/>
  </cols>
  <sheetData>
    <row r="1" spans="1:21" ht="17.25" customHeight="1">
      <c r="A1" s="659" t="str">
        <f>+"令和"&amp;MID(総括表!A2,3,1)&amp;"年度決算　不課税収入区分表(公共下水道整備国庫補助金)"</f>
        <v>令和５年度決算　不課税収入区分表(公共下水道整備国庫補助金)</v>
      </c>
      <c r="B1" s="659"/>
      <c r="C1" s="659"/>
      <c r="D1" s="659"/>
      <c r="E1" s="659"/>
      <c r="F1" s="659"/>
      <c r="G1" s="659"/>
      <c r="H1" s="659"/>
      <c r="I1" s="659"/>
    </row>
    <row r="2" spans="1:21" ht="17.25" customHeight="1">
      <c r="A2" s="101"/>
      <c r="B2" s="101"/>
      <c r="C2" s="101"/>
      <c r="D2" s="101"/>
      <c r="E2" s="101"/>
      <c r="F2" s="172"/>
      <c r="G2" s="172"/>
      <c r="H2" s="172"/>
      <c r="I2" s="172"/>
    </row>
    <row r="3" spans="1:21" ht="17.25" customHeight="1" thickBot="1">
      <c r="A3" s="101"/>
      <c r="B3" s="101"/>
      <c r="C3" s="101"/>
      <c r="D3" s="101"/>
      <c r="E3" s="101"/>
      <c r="F3" s="172"/>
      <c r="G3" s="172"/>
      <c r="H3" s="172"/>
      <c r="I3" s="173" t="s">
        <v>121</v>
      </c>
    </row>
    <row r="4" spans="1:21">
      <c r="A4" s="973" t="s">
        <v>15</v>
      </c>
      <c r="B4" s="974"/>
      <c r="C4" s="975"/>
      <c r="D4" s="979" t="s">
        <v>122</v>
      </c>
      <c r="E4" s="974" t="s">
        <v>123</v>
      </c>
      <c r="F4" s="193" t="s">
        <v>124</v>
      </c>
      <c r="G4" s="778" t="s">
        <v>47</v>
      </c>
      <c r="H4" s="778" t="s">
        <v>49</v>
      </c>
      <c r="I4" s="772" t="s">
        <v>50</v>
      </c>
      <c r="J4" s="175" t="s">
        <v>384</v>
      </c>
      <c r="K4" s="176"/>
      <c r="L4" s="176"/>
      <c r="M4" s="176"/>
      <c r="P4" s="146" t="s">
        <v>488</v>
      </c>
    </row>
    <row r="5" spans="1:21">
      <c r="A5" s="976"/>
      <c r="B5" s="977"/>
      <c r="C5" s="978"/>
      <c r="D5" s="980"/>
      <c r="E5" s="977"/>
      <c r="F5" s="194" t="s">
        <v>69</v>
      </c>
      <c r="G5" s="779"/>
      <c r="H5" s="779"/>
      <c r="I5" s="773"/>
      <c r="J5" s="325">
        <v>0.03</v>
      </c>
      <c r="K5" s="422">
        <v>0.05</v>
      </c>
      <c r="L5" s="186">
        <v>0.08</v>
      </c>
      <c r="M5" s="416">
        <v>0.08</v>
      </c>
      <c r="N5" s="197">
        <v>0.1</v>
      </c>
      <c r="P5" s="186">
        <v>0.05</v>
      </c>
      <c r="Q5" s="186">
        <v>0.08</v>
      </c>
      <c r="R5" s="416">
        <v>0.08</v>
      </c>
      <c r="S5" s="197">
        <v>0.1</v>
      </c>
      <c r="T5" s="408" t="s">
        <v>489</v>
      </c>
      <c r="U5" s="146" t="s">
        <v>490</v>
      </c>
    </row>
    <row r="6" spans="1:21">
      <c r="A6" s="961" t="s">
        <v>125</v>
      </c>
      <c r="B6" s="962"/>
      <c r="C6" s="963"/>
      <c r="D6" s="970"/>
      <c r="E6" s="959"/>
      <c r="F6" s="200"/>
      <c r="G6" s="802">
        <f>SUM(G8:G43)</f>
        <v>5683800000</v>
      </c>
      <c r="H6" s="802">
        <f>H19+H37</f>
        <v>5678297006</v>
      </c>
      <c r="I6" s="875">
        <f>I19+I37</f>
        <v>5502994</v>
      </c>
      <c r="J6" s="145">
        <f t="shared" ref="J6:K6" si="0">+J20+J38</f>
        <v>0</v>
      </c>
      <c r="K6" s="145">
        <f t="shared" si="0"/>
        <v>0</v>
      </c>
      <c r="L6" s="145">
        <f>+L20+L38</f>
        <v>0</v>
      </c>
      <c r="M6" s="145">
        <f>+M20+M38</f>
        <v>0</v>
      </c>
      <c r="N6" s="145">
        <f t="shared" ref="N6" si="1">+N20+N38</f>
        <v>5678297006</v>
      </c>
      <c r="P6" s="145">
        <f t="shared" ref="P6" si="2">+P20+P38</f>
        <v>0</v>
      </c>
      <c r="Q6" s="145">
        <f>+Q20+Q38</f>
        <v>0</v>
      </c>
      <c r="R6" s="145">
        <f>+R20+R38</f>
        <v>0</v>
      </c>
      <c r="S6" s="145">
        <f t="shared" ref="S6:T6" si="3">+S20+S38</f>
        <v>516208819</v>
      </c>
      <c r="T6" s="145">
        <f t="shared" si="3"/>
        <v>516208819</v>
      </c>
      <c r="U6" s="411">
        <f>+T6-'[4]4条収入'!$AH$25</f>
        <v>0</v>
      </c>
    </row>
    <row r="7" spans="1:21">
      <c r="A7" s="964"/>
      <c r="B7" s="965"/>
      <c r="C7" s="622"/>
      <c r="D7" s="971"/>
      <c r="E7" s="960"/>
      <c r="F7" s="201"/>
      <c r="G7" s="782"/>
      <c r="H7" s="782"/>
      <c r="I7" s="855"/>
    </row>
    <row r="8" spans="1:21">
      <c r="A8" s="202"/>
      <c r="B8" s="966" t="s">
        <v>126</v>
      </c>
      <c r="C8" s="955" t="s">
        <v>127</v>
      </c>
      <c r="D8" s="957" t="s">
        <v>566</v>
      </c>
      <c r="E8" s="951" t="s">
        <v>584</v>
      </c>
      <c r="F8" s="203"/>
      <c r="G8" s="953">
        <f>4762313.15*1000*5/10+60735.85*1000*5/10+1500</f>
        <v>2411526000</v>
      </c>
      <c r="H8" s="181"/>
      <c r="I8" s="217"/>
    </row>
    <row r="9" spans="1:21">
      <c r="A9" s="202"/>
      <c r="B9" s="967"/>
      <c r="C9" s="955"/>
      <c r="D9" s="957"/>
      <c r="E9" s="952"/>
      <c r="F9" s="203"/>
      <c r="G9" s="954"/>
      <c r="H9" s="181"/>
      <c r="I9" s="217"/>
    </row>
    <row r="10" spans="1:21">
      <c r="A10" s="202"/>
      <c r="B10" s="967"/>
      <c r="C10" s="955" t="s">
        <v>502</v>
      </c>
      <c r="D10" s="957" t="s">
        <v>567</v>
      </c>
      <c r="E10" s="952"/>
      <c r="F10" s="203"/>
      <c r="G10" s="948"/>
      <c r="H10" s="181"/>
      <c r="I10" s="217"/>
    </row>
    <row r="11" spans="1:21">
      <c r="A11" s="202"/>
      <c r="B11" s="967"/>
      <c r="C11" s="955"/>
      <c r="D11" s="957"/>
      <c r="E11" s="952"/>
      <c r="F11" s="203"/>
      <c r="G11" s="949"/>
      <c r="H11" s="181"/>
      <c r="I11" s="217"/>
    </row>
    <row r="12" spans="1:21">
      <c r="A12" s="202"/>
      <c r="B12" s="967"/>
      <c r="C12" s="955" t="s">
        <v>313</v>
      </c>
      <c r="D12" s="947"/>
      <c r="E12" s="952"/>
      <c r="F12" s="203"/>
      <c r="G12" s="948"/>
      <c r="H12" s="181"/>
      <c r="I12" s="217"/>
    </row>
    <row r="13" spans="1:21">
      <c r="A13" s="202"/>
      <c r="B13" s="967"/>
      <c r="C13" s="955"/>
      <c r="D13" s="947"/>
      <c r="E13" s="952"/>
      <c r="F13" s="203"/>
      <c r="G13" s="949"/>
      <c r="H13" s="181"/>
      <c r="I13" s="217"/>
    </row>
    <row r="14" spans="1:21">
      <c r="A14" s="202"/>
      <c r="B14" s="967"/>
      <c r="C14" s="955" t="s">
        <v>7</v>
      </c>
      <c r="D14" s="947"/>
      <c r="E14" s="952"/>
      <c r="F14" s="203"/>
      <c r="G14" s="948"/>
      <c r="H14" s="181"/>
      <c r="I14" s="217"/>
    </row>
    <row r="15" spans="1:21">
      <c r="A15" s="202"/>
      <c r="B15" s="967"/>
      <c r="C15" s="955"/>
      <c r="D15" s="947"/>
      <c r="E15" s="952"/>
      <c r="F15" s="203"/>
      <c r="G15" s="949"/>
      <c r="H15" s="181"/>
      <c r="I15" s="217"/>
    </row>
    <row r="16" spans="1:21">
      <c r="A16" s="202"/>
      <c r="B16" s="967"/>
      <c r="C16" s="955" t="s">
        <v>288</v>
      </c>
      <c r="D16" s="947"/>
      <c r="E16" s="952"/>
      <c r="F16" s="203"/>
      <c r="G16" s="948"/>
      <c r="H16" s="181"/>
      <c r="I16" s="217"/>
    </row>
    <row r="17" spans="1:21">
      <c r="A17" s="202"/>
      <c r="B17" s="967"/>
      <c r="C17" s="955"/>
      <c r="D17" s="947"/>
      <c r="E17" s="952"/>
      <c r="F17" s="203"/>
      <c r="G17" s="949"/>
      <c r="H17" s="181"/>
      <c r="I17" s="217"/>
    </row>
    <row r="18" spans="1:21">
      <c r="A18" s="202"/>
      <c r="B18" s="967"/>
      <c r="C18" s="955" t="s">
        <v>128</v>
      </c>
      <c r="D18" s="947"/>
      <c r="E18" s="952"/>
      <c r="F18" s="203"/>
      <c r="G18" s="948"/>
      <c r="H18" s="181"/>
      <c r="I18" s="217"/>
      <c r="K18" s="178"/>
      <c r="L18" s="178"/>
      <c r="M18" s="178"/>
    </row>
    <row r="19" spans="1:21">
      <c r="A19" s="202"/>
      <c r="B19" s="967"/>
      <c r="C19" s="955"/>
      <c r="D19" s="947"/>
      <c r="E19" s="952"/>
      <c r="F19" s="354">
        <v>5036234000</v>
      </c>
      <c r="G19" s="949"/>
      <c r="H19" s="796">
        <f>IFERROR(ROUND(SUM(G8:G31)*F19/F20,0),0)</f>
        <v>2527700000</v>
      </c>
      <c r="I19" s="799">
        <f>SUM(G8:G31)-H19</f>
        <v>0</v>
      </c>
      <c r="K19" s="178"/>
      <c r="L19" s="367">
        <v>0</v>
      </c>
      <c r="M19" s="367"/>
      <c r="N19" s="239">
        <f>F19-SUM(L19:M19)</f>
        <v>5036234000</v>
      </c>
    </row>
    <row r="20" spans="1:21">
      <c r="A20" s="202"/>
      <c r="B20" s="967"/>
      <c r="C20" s="955" t="s">
        <v>8</v>
      </c>
      <c r="D20" s="957" t="s">
        <v>568</v>
      </c>
      <c r="E20" s="952"/>
      <c r="F20" s="353">
        <v>5036234000</v>
      </c>
      <c r="G20" s="849">
        <f>191660*1000*5.5/10</f>
        <v>105413000</v>
      </c>
      <c r="H20" s="796"/>
      <c r="I20" s="799"/>
      <c r="K20" s="178"/>
      <c r="L20" s="145">
        <f>+H19-SUM(J20:K20,M20:N20)</f>
        <v>0</v>
      </c>
      <c r="M20" s="145">
        <f>IFERROR(ROUND(M19/F19*H19,0),0)</f>
        <v>0</v>
      </c>
      <c r="N20" s="145">
        <f>IFERROR(ROUND(N19/F19*H19,0),0)</f>
        <v>2527700000</v>
      </c>
      <c r="P20" s="145">
        <f>+ROUND(K20*P$5/(1+P$5),0)</f>
        <v>0</v>
      </c>
      <c r="Q20" s="425">
        <f>+ROUND(L20*Q$5/(1+Q$5),0)</f>
        <v>0</v>
      </c>
      <c r="R20" s="145">
        <f>+ROUND(M20*R$5/(1+R$5),0)</f>
        <v>0</v>
      </c>
      <c r="S20" s="145">
        <f>+ROUND(N20*S$5/(1+S$5),0)</f>
        <v>229790909</v>
      </c>
      <c r="T20" s="411">
        <f>SUM(P20:S20)</f>
        <v>229790909</v>
      </c>
      <c r="U20" s="411"/>
    </row>
    <row r="21" spans="1:21">
      <c r="A21" s="202"/>
      <c r="B21" s="967"/>
      <c r="C21" s="955"/>
      <c r="D21" s="957"/>
      <c r="E21" s="952"/>
      <c r="F21" s="205"/>
      <c r="G21" s="850"/>
      <c r="H21" s="181"/>
      <c r="I21" s="217"/>
      <c r="K21" s="178"/>
    </row>
    <row r="22" spans="1:21">
      <c r="A22" s="202"/>
      <c r="B22" s="967"/>
      <c r="C22" s="955" t="s">
        <v>9</v>
      </c>
      <c r="D22" s="957" t="s">
        <v>569</v>
      </c>
      <c r="E22" s="952"/>
      <c r="F22" s="205"/>
      <c r="G22" s="849">
        <f>21525*1000*5/10-1500</f>
        <v>10761000</v>
      </c>
      <c r="H22" s="181"/>
      <c r="I22" s="217"/>
      <c r="K22" s="178"/>
    </row>
    <row r="23" spans="1:21">
      <c r="A23" s="202"/>
      <c r="B23" s="967"/>
      <c r="C23" s="955"/>
      <c r="D23" s="957"/>
      <c r="E23" s="952"/>
      <c r="F23" s="205"/>
      <c r="G23" s="850"/>
      <c r="H23" s="181"/>
      <c r="I23" s="217"/>
      <c r="K23" s="178"/>
    </row>
    <row r="24" spans="1:21">
      <c r="A24" s="202"/>
      <c r="B24" s="967"/>
      <c r="C24" s="955" t="s">
        <v>10</v>
      </c>
      <c r="D24" s="947"/>
      <c r="E24" s="952"/>
      <c r="F24" s="205"/>
      <c r="G24" s="948"/>
      <c r="H24" s="181"/>
      <c r="I24" s="217"/>
      <c r="K24" s="178"/>
    </row>
    <row r="25" spans="1:21">
      <c r="A25" s="202"/>
      <c r="B25" s="967"/>
      <c r="C25" s="955"/>
      <c r="D25" s="947"/>
      <c r="E25" s="952"/>
      <c r="F25" s="205"/>
      <c r="G25" s="949"/>
      <c r="H25" s="181"/>
      <c r="I25" s="217"/>
      <c r="K25" s="178"/>
    </row>
    <row r="26" spans="1:21">
      <c r="A26" s="202"/>
      <c r="B26" s="967"/>
      <c r="C26" s="955" t="s">
        <v>11</v>
      </c>
      <c r="D26" s="947"/>
      <c r="E26" s="952"/>
      <c r="F26" s="205"/>
      <c r="G26" s="948"/>
      <c r="H26" s="181"/>
      <c r="I26" s="217"/>
      <c r="K26" s="178"/>
    </row>
    <row r="27" spans="1:21">
      <c r="A27" s="202"/>
      <c r="B27" s="967"/>
      <c r="C27" s="955"/>
      <c r="D27" s="947"/>
      <c r="E27" s="952"/>
      <c r="F27" s="205"/>
      <c r="G27" s="949"/>
      <c r="H27" s="181"/>
      <c r="I27" s="217"/>
      <c r="K27" s="178"/>
    </row>
    <row r="28" spans="1:21">
      <c r="A28" s="202"/>
      <c r="B28" s="967"/>
      <c r="C28" s="955" t="s">
        <v>12</v>
      </c>
      <c r="D28" s="947"/>
      <c r="E28" s="952"/>
      <c r="F28" s="205"/>
      <c r="G28" s="948"/>
      <c r="H28" s="181"/>
      <c r="I28" s="217"/>
      <c r="K28" s="178"/>
    </row>
    <row r="29" spans="1:21">
      <c r="A29" s="202"/>
      <c r="B29" s="967"/>
      <c r="C29" s="955"/>
      <c r="D29" s="947"/>
      <c r="E29" s="952"/>
      <c r="F29" s="205"/>
      <c r="G29" s="949"/>
      <c r="H29" s="181"/>
      <c r="I29" s="217"/>
      <c r="K29" s="178"/>
    </row>
    <row r="30" spans="1:21">
      <c r="A30" s="202"/>
      <c r="B30" s="967"/>
      <c r="C30" s="955" t="s">
        <v>13</v>
      </c>
      <c r="D30" s="328"/>
      <c r="E30" s="952"/>
      <c r="F30" s="205"/>
      <c r="G30" s="948"/>
      <c r="H30" s="181"/>
      <c r="I30" s="217"/>
      <c r="K30" s="178"/>
    </row>
    <row r="31" spans="1:21">
      <c r="A31" s="202"/>
      <c r="B31" s="967"/>
      <c r="C31" s="548"/>
      <c r="D31" s="329"/>
      <c r="E31" s="952"/>
      <c r="F31" s="206"/>
      <c r="G31" s="949"/>
      <c r="H31" s="218"/>
      <c r="I31" s="219"/>
      <c r="K31" s="178"/>
    </row>
    <row r="32" spans="1:21">
      <c r="A32" s="209"/>
      <c r="B32" s="967"/>
      <c r="C32" s="969" t="s">
        <v>129</v>
      </c>
      <c r="D32" s="958" t="s">
        <v>560</v>
      </c>
      <c r="E32" s="983" t="s">
        <v>559</v>
      </c>
      <c r="F32" s="203"/>
      <c r="G32" s="985">
        <f>(3089012.1+103800+1197000)*1000*5/10+13187900*5/10</f>
        <v>2201500000</v>
      </c>
      <c r="H32" s="210"/>
      <c r="I32" s="211"/>
      <c r="K32" s="178"/>
    </row>
    <row r="33" spans="1:20">
      <c r="A33" s="209"/>
      <c r="B33" s="967"/>
      <c r="C33" s="955"/>
      <c r="D33" s="957"/>
      <c r="E33" s="952"/>
      <c r="F33" s="203"/>
      <c r="G33" s="986"/>
      <c r="H33" s="181"/>
      <c r="I33" s="217"/>
      <c r="K33" s="178"/>
    </row>
    <row r="34" spans="1:20">
      <c r="A34" s="202"/>
      <c r="B34" s="967"/>
      <c r="C34" s="956" t="s">
        <v>503</v>
      </c>
      <c r="D34" s="957" t="s">
        <v>561</v>
      </c>
      <c r="E34" s="952"/>
      <c r="F34" s="203"/>
      <c r="G34" s="948"/>
      <c r="H34" s="181"/>
      <c r="I34" s="217"/>
      <c r="K34" s="178"/>
    </row>
    <row r="35" spans="1:20">
      <c r="A35" s="202"/>
      <c r="B35" s="967"/>
      <c r="C35" s="955"/>
      <c r="D35" s="957"/>
      <c r="E35" s="952"/>
      <c r="F35" s="203"/>
      <c r="G35" s="949"/>
      <c r="H35" s="181"/>
      <c r="I35" s="217"/>
      <c r="K35" s="178"/>
    </row>
    <row r="36" spans="1:20">
      <c r="A36" s="209"/>
      <c r="B36" s="967"/>
      <c r="C36" s="955" t="s">
        <v>536</v>
      </c>
      <c r="D36" s="957"/>
      <c r="E36" s="952"/>
      <c r="F36" s="203"/>
      <c r="G36" s="948"/>
      <c r="H36" s="181"/>
      <c r="I36" s="217"/>
      <c r="K36" s="178"/>
      <c r="L36" s="178"/>
      <c r="M36" s="178"/>
    </row>
    <row r="37" spans="1:20">
      <c r="A37" s="209"/>
      <c r="B37" s="967"/>
      <c r="C37" s="955"/>
      <c r="D37" s="957"/>
      <c r="E37" s="952"/>
      <c r="F37" s="356">
        <v>6172219286</v>
      </c>
      <c r="G37" s="949"/>
      <c r="H37" s="796">
        <f>IFERROR(ROUND(SUM(G32:G43)*F37/F38,0),0)</f>
        <v>3150597006</v>
      </c>
      <c r="I37" s="799">
        <f>SUM(G32:G43)-H37</f>
        <v>5502994</v>
      </c>
      <c r="K37" s="178"/>
      <c r="L37" s="367">
        <v>0</v>
      </c>
      <c r="M37" s="367">
        <v>0</v>
      </c>
      <c r="N37" s="239">
        <f>F37-SUM(L37:M37)</f>
        <v>6172219286</v>
      </c>
    </row>
    <row r="38" spans="1:20">
      <c r="A38" s="209"/>
      <c r="B38" s="967"/>
      <c r="C38" s="956" t="s">
        <v>130</v>
      </c>
      <c r="D38" s="957" t="s">
        <v>563</v>
      </c>
      <c r="E38" s="952"/>
      <c r="F38" s="355">
        <v>6183000000</v>
      </c>
      <c r="G38" s="950">
        <f>(1142500+149500)*1000*5.5/10</f>
        <v>710600000</v>
      </c>
      <c r="H38" s="796"/>
      <c r="I38" s="799"/>
      <c r="K38" s="178"/>
      <c r="L38" s="145">
        <f>+H37-SUM(J38:K38,M38:N38)</f>
        <v>0</v>
      </c>
      <c r="M38" s="145">
        <f>IFERROR(ROUND(M37/F37*H37,0),0)</f>
        <v>0</v>
      </c>
      <c r="N38" s="145">
        <f>IFERROR(ROUND(N37/F37*H37,0),0)</f>
        <v>3150597006</v>
      </c>
      <c r="P38" s="145">
        <f>+ROUND(K38*P$5/(1+P$5),0)</f>
        <v>0</v>
      </c>
      <c r="Q38" s="145">
        <f t="shared" ref="Q38:R38" si="4">+ROUND(L38*Q$5/(1+Q$5),0)</f>
        <v>0</v>
      </c>
      <c r="R38" s="145">
        <f t="shared" si="4"/>
        <v>0</v>
      </c>
      <c r="S38" s="145">
        <f t="shared" ref="S38" si="5">+ROUND(N38*S$5/(1+S$5),0)</f>
        <v>286417910</v>
      </c>
      <c r="T38" s="411">
        <f>SUM(P38:S38)</f>
        <v>286417910</v>
      </c>
    </row>
    <row r="39" spans="1:20">
      <c r="A39" s="209"/>
      <c r="B39" s="967"/>
      <c r="C39" s="955"/>
      <c r="D39" s="957"/>
      <c r="E39" s="952"/>
      <c r="F39" s="205"/>
      <c r="G39" s="950"/>
      <c r="H39" s="181"/>
      <c r="I39" s="217"/>
      <c r="K39" s="178"/>
    </row>
    <row r="40" spans="1:20">
      <c r="A40" s="209"/>
      <c r="B40" s="967"/>
      <c r="C40" s="956" t="s">
        <v>221</v>
      </c>
      <c r="D40" s="957" t="s">
        <v>562</v>
      </c>
      <c r="E40" s="952"/>
      <c r="F40" s="205"/>
      <c r="G40" s="950">
        <f>488000000*5/10</f>
        <v>244000000</v>
      </c>
      <c r="H40" s="181"/>
      <c r="I40" s="217"/>
      <c r="K40" s="178"/>
    </row>
    <row r="41" spans="1:20">
      <c r="A41" s="209"/>
      <c r="B41" s="967"/>
      <c r="C41" s="955"/>
      <c r="D41" s="957"/>
      <c r="E41" s="952"/>
      <c r="F41" s="205"/>
      <c r="G41" s="950"/>
      <c r="H41" s="181"/>
      <c r="I41" s="217"/>
      <c r="K41" s="178"/>
    </row>
    <row r="42" spans="1:20">
      <c r="A42" s="209"/>
      <c r="B42" s="967"/>
      <c r="C42" s="956" t="s">
        <v>120</v>
      </c>
      <c r="D42" s="947"/>
      <c r="E42" s="952"/>
      <c r="F42" s="205"/>
      <c r="G42" s="948"/>
      <c r="H42" s="181"/>
      <c r="I42" s="217"/>
      <c r="K42" s="178"/>
    </row>
    <row r="43" spans="1:20" ht="14.25" thickBot="1">
      <c r="A43" s="212"/>
      <c r="B43" s="968"/>
      <c r="C43" s="972"/>
      <c r="D43" s="982"/>
      <c r="E43" s="984"/>
      <c r="F43" s="213"/>
      <c r="G43" s="981"/>
      <c r="H43" s="220"/>
      <c r="I43" s="221"/>
    </row>
    <row r="44" spans="1:20" ht="14.25">
      <c r="F44" s="222"/>
    </row>
    <row r="45" spans="1:20" ht="14.25">
      <c r="F45" s="222"/>
    </row>
    <row r="46" spans="1:20" ht="14.25">
      <c r="F46" s="222"/>
    </row>
  </sheetData>
  <mergeCells count="73">
    <mergeCell ref="C22:C23"/>
    <mergeCell ref="G40:G41"/>
    <mergeCell ref="G42:G43"/>
    <mergeCell ref="D42:D43"/>
    <mergeCell ref="D40:D41"/>
    <mergeCell ref="G34:G35"/>
    <mergeCell ref="E32:E43"/>
    <mergeCell ref="G32:G33"/>
    <mergeCell ref="D38:D39"/>
    <mergeCell ref="D36:D37"/>
    <mergeCell ref="C38:C39"/>
    <mergeCell ref="G22:G23"/>
    <mergeCell ref="A1:I1"/>
    <mergeCell ref="A4:C5"/>
    <mergeCell ref="D4:D5"/>
    <mergeCell ref="E4:E5"/>
    <mergeCell ref="G4:G5"/>
    <mergeCell ref="H4:H5"/>
    <mergeCell ref="I4:I5"/>
    <mergeCell ref="E6:E7"/>
    <mergeCell ref="A6:C7"/>
    <mergeCell ref="B8:B43"/>
    <mergeCell ref="D26:D27"/>
    <mergeCell ref="D28:D29"/>
    <mergeCell ref="C28:C29"/>
    <mergeCell ref="D24:D25"/>
    <mergeCell ref="C20:C21"/>
    <mergeCell ref="C32:C33"/>
    <mergeCell ref="C36:C37"/>
    <mergeCell ref="D6:D7"/>
    <mergeCell ref="D14:D15"/>
    <mergeCell ref="C14:C15"/>
    <mergeCell ref="C40:C41"/>
    <mergeCell ref="C42:C43"/>
    <mergeCell ref="D8:D9"/>
    <mergeCell ref="I6:I7"/>
    <mergeCell ref="H6:H7"/>
    <mergeCell ref="G6:G7"/>
    <mergeCell ref="G10:G11"/>
    <mergeCell ref="I19:I20"/>
    <mergeCell ref="H19:H20"/>
    <mergeCell ref="C8:C9"/>
    <mergeCell ref="C12:C13"/>
    <mergeCell ref="C24:C25"/>
    <mergeCell ref="C34:C35"/>
    <mergeCell ref="D22:D23"/>
    <mergeCell ref="D32:D33"/>
    <mergeCell ref="D34:D35"/>
    <mergeCell ref="D20:D21"/>
    <mergeCell ref="D12:D13"/>
    <mergeCell ref="D16:D17"/>
    <mergeCell ref="C16:C17"/>
    <mergeCell ref="C30:C31"/>
    <mergeCell ref="C10:C11"/>
    <mergeCell ref="D10:D11"/>
    <mergeCell ref="C18:C19"/>
    <mergeCell ref="C26:C27"/>
    <mergeCell ref="I37:I38"/>
    <mergeCell ref="H37:H38"/>
    <mergeCell ref="D18:D19"/>
    <mergeCell ref="G24:G25"/>
    <mergeCell ref="G36:G37"/>
    <mergeCell ref="G38:G39"/>
    <mergeCell ref="G26:G27"/>
    <mergeCell ref="G28:G29"/>
    <mergeCell ref="G18:G19"/>
    <mergeCell ref="G20:G21"/>
    <mergeCell ref="E8:E31"/>
    <mergeCell ref="G8:G9"/>
    <mergeCell ref="G12:G13"/>
    <mergeCell ref="G14:G15"/>
    <mergeCell ref="G16:G17"/>
    <mergeCell ref="G30:G31"/>
  </mergeCells>
  <phoneticPr fontId="2"/>
  <printOptions horizontalCentered="1"/>
  <pageMargins left="0.59055118110236227" right="0.39370078740157483" top="0.98425196850393704" bottom="0.98425196850393704" header="0.51181102362204722" footer="0.51181102362204722"/>
  <pageSetup paperSize="9" scale="58" fitToHeight="0" orientation="landscape" r:id="rId1"/>
  <headerFooter alignWithMargins="0">
    <oddFooter>&amp;L&amp;6&amp;F &amp;A&amp;R&amp;6&amp;D &amp;T</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00FFFF"/>
    <pageSetUpPr fitToPage="1"/>
  </sheetPr>
  <dimension ref="A1:U46"/>
  <sheetViews>
    <sheetView view="pageBreakPreview" zoomScale="85" zoomScaleNormal="85" zoomScaleSheetLayoutView="85" workbookViewId="0">
      <pane xSplit="5" ySplit="5" topLeftCell="F6" activePane="bottomRight" state="frozen"/>
      <selection activeCell="S30" sqref="S30"/>
      <selection pane="topRight" activeCell="S30" sqref="S30"/>
      <selection pane="bottomLeft" activeCell="S30" sqref="S30"/>
      <selection pane="bottomRight" activeCell="G10" sqref="G10:G11"/>
    </sheetView>
  </sheetViews>
  <sheetFormatPr defaultColWidth="9" defaultRowHeight="13.5"/>
  <cols>
    <col min="1" max="1" width="1.625" style="146" customWidth="1"/>
    <col min="2" max="2" width="4.625" style="146" customWidth="1"/>
    <col min="3" max="3" width="19.625" style="146" customWidth="1"/>
    <col min="4" max="5" width="23.625" style="146" customWidth="1"/>
    <col min="6" max="6" width="13.125" style="145" customWidth="1"/>
    <col min="7" max="9" width="12.625" style="145" customWidth="1"/>
    <col min="10" max="13" width="6.5" style="145" customWidth="1"/>
    <col min="14" max="14" width="12.625" style="145" customWidth="1"/>
    <col min="15" max="15" width="9" style="146"/>
    <col min="16" max="18" width="6.625" style="146" customWidth="1"/>
    <col min="19" max="20" width="12.625" style="146" customWidth="1"/>
    <col min="21" max="21" width="22.375" style="146" bestFit="1" customWidth="1"/>
    <col min="22" max="23" width="14.875" style="146" customWidth="1"/>
    <col min="24" max="16384" width="9" style="146"/>
  </cols>
  <sheetData>
    <row r="1" spans="1:21" ht="17.25" customHeight="1">
      <c r="A1" s="659" t="str">
        <f>+"令和"&amp;MID(総括表!A2,3,1)&amp;"年度決算　不課税収入区分表(汚水処理施設整備交付金)（特環）"</f>
        <v>令和５年度決算　不課税収入区分表(汚水処理施設整備交付金)（特環）</v>
      </c>
      <c r="B1" s="659"/>
      <c r="C1" s="659"/>
      <c r="D1" s="659"/>
      <c r="E1" s="659"/>
      <c r="F1" s="659"/>
      <c r="G1" s="659"/>
      <c r="H1" s="659"/>
      <c r="I1" s="659"/>
    </row>
    <row r="2" spans="1:21" ht="17.25" customHeight="1">
      <c r="A2" s="101"/>
      <c r="B2" s="101"/>
      <c r="C2" s="101"/>
      <c r="D2" s="101"/>
      <c r="E2" s="101"/>
      <c r="F2" s="172"/>
      <c r="G2" s="172"/>
      <c r="H2" s="172"/>
      <c r="I2" s="172"/>
    </row>
    <row r="3" spans="1:21" ht="17.25" customHeight="1" thickBot="1">
      <c r="A3" s="101"/>
      <c r="B3" s="101"/>
      <c r="C3" s="101"/>
      <c r="D3" s="101"/>
      <c r="E3" s="101"/>
      <c r="F3" s="172"/>
      <c r="G3" s="172"/>
      <c r="H3" s="172"/>
      <c r="I3" s="173" t="s">
        <v>213</v>
      </c>
    </row>
    <row r="4" spans="1:21">
      <c r="A4" s="973" t="s">
        <v>170</v>
      </c>
      <c r="B4" s="974"/>
      <c r="C4" s="975"/>
      <c r="D4" s="979" t="s">
        <v>214</v>
      </c>
      <c r="E4" s="974" t="s">
        <v>215</v>
      </c>
      <c r="F4" s="193" t="s">
        <v>165</v>
      </c>
      <c r="G4" s="778" t="s">
        <v>216</v>
      </c>
      <c r="H4" s="778" t="s">
        <v>217</v>
      </c>
      <c r="I4" s="772" t="s">
        <v>218</v>
      </c>
      <c r="J4" s="175" t="s">
        <v>384</v>
      </c>
      <c r="K4" s="176"/>
      <c r="L4" s="176"/>
      <c r="M4" s="176"/>
      <c r="P4" s="146" t="s">
        <v>488</v>
      </c>
    </row>
    <row r="5" spans="1:21">
      <c r="A5" s="976"/>
      <c r="B5" s="977"/>
      <c r="C5" s="978"/>
      <c r="D5" s="980"/>
      <c r="E5" s="977"/>
      <c r="F5" s="194" t="s">
        <v>166</v>
      </c>
      <c r="G5" s="779"/>
      <c r="H5" s="779"/>
      <c r="I5" s="773"/>
      <c r="J5" s="325">
        <v>0.03</v>
      </c>
      <c r="K5" s="422">
        <v>0.05</v>
      </c>
      <c r="L5" s="186">
        <v>0.08</v>
      </c>
      <c r="M5" s="416">
        <v>0.08</v>
      </c>
      <c r="N5" s="197">
        <v>0.1</v>
      </c>
      <c r="P5" s="186">
        <v>0.05</v>
      </c>
      <c r="Q5" s="186">
        <v>0.08</v>
      </c>
      <c r="R5" s="416">
        <v>0.08</v>
      </c>
      <c r="S5" s="197">
        <v>0.1</v>
      </c>
      <c r="T5" s="408" t="s">
        <v>489</v>
      </c>
      <c r="U5" s="146" t="s">
        <v>490</v>
      </c>
    </row>
    <row r="6" spans="1:21">
      <c r="A6" s="961" t="s">
        <v>244</v>
      </c>
      <c r="B6" s="962"/>
      <c r="C6" s="963"/>
      <c r="D6" s="970"/>
      <c r="E6" s="959"/>
      <c r="F6" s="200"/>
      <c r="G6" s="802">
        <f>SUM(G8:G43)</f>
        <v>30500000</v>
      </c>
      <c r="H6" s="802">
        <f>H19+H37</f>
        <v>30500000</v>
      </c>
      <c r="I6" s="875">
        <f>I19+I37</f>
        <v>0</v>
      </c>
      <c r="J6" s="145">
        <f t="shared" ref="J6:K6" si="0">+J20+J38</f>
        <v>0</v>
      </c>
      <c r="K6" s="145">
        <f t="shared" si="0"/>
        <v>0</v>
      </c>
      <c r="L6" s="145">
        <f>+L20+L38</f>
        <v>0</v>
      </c>
      <c r="M6" s="145">
        <f>+M20+M38</f>
        <v>0</v>
      </c>
      <c r="N6" s="145">
        <f t="shared" ref="N6" si="1">+N20+N38</f>
        <v>30500000</v>
      </c>
      <c r="P6" s="145">
        <f t="shared" ref="P6" si="2">+P20+P38</f>
        <v>0</v>
      </c>
      <c r="Q6" s="145">
        <f>+Q20+Q38</f>
        <v>0</v>
      </c>
      <c r="R6" s="145">
        <f>+R20+R38</f>
        <v>0</v>
      </c>
      <c r="S6" s="145">
        <f t="shared" ref="S6:T6" si="3">+S20+S38</f>
        <v>2772727</v>
      </c>
      <c r="T6" s="145">
        <f t="shared" si="3"/>
        <v>2772727</v>
      </c>
      <c r="U6" s="411">
        <f>+T6-'[4]4条収入'!$AH$32</f>
        <v>0</v>
      </c>
    </row>
    <row r="7" spans="1:21">
      <c r="A7" s="964"/>
      <c r="B7" s="965"/>
      <c r="C7" s="622"/>
      <c r="D7" s="971"/>
      <c r="E7" s="960"/>
      <c r="F7" s="201"/>
      <c r="G7" s="782"/>
      <c r="H7" s="782"/>
      <c r="I7" s="855"/>
    </row>
    <row r="8" spans="1:21" ht="13.5" customHeight="1">
      <c r="A8" s="202"/>
      <c r="B8" s="966" t="s">
        <v>293</v>
      </c>
      <c r="C8" s="955" t="s">
        <v>261</v>
      </c>
      <c r="D8" s="947" t="s">
        <v>580</v>
      </c>
      <c r="E8" s="951" t="s">
        <v>550</v>
      </c>
      <c r="F8" s="203"/>
      <c r="G8" s="849">
        <f>659000+11941000</f>
        <v>12600000</v>
      </c>
      <c r="H8" s="331"/>
      <c r="I8" s="330"/>
    </row>
    <row r="9" spans="1:21">
      <c r="A9" s="202"/>
      <c r="B9" s="967"/>
      <c r="C9" s="955"/>
      <c r="D9" s="947"/>
      <c r="E9" s="952"/>
      <c r="F9" s="203"/>
      <c r="G9" s="850"/>
      <c r="H9" s="331"/>
      <c r="I9" s="330"/>
    </row>
    <row r="10" spans="1:21">
      <c r="A10" s="202"/>
      <c r="B10" s="967"/>
      <c r="C10" s="955" t="s">
        <v>261</v>
      </c>
      <c r="D10" s="947"/>
      <c r="E10" s="952"/>
      <c r="F10" s="203"/>
      <c r="G10" s="948"/>
      <c r="H10" s="331"/>
      <c r="I10" s="330"/>
    </row>
    <row r="11" spans="1:21">
      <c r="A11" s="202"/>
      <c r="B11" s="967"/>
      <c r="C11" s="955"/>
      <c r="D11" s="947"/>
      <c r="E11" s="952"/>
      <c r="F11" s="203"/>
      <c r="G11" s="949"/>
      <c r="H11" s="331"/>
      <c r="I11" s="330"/>
    </row>
    <row r="12" spans="1:21">
      <c r="A12" s="202"/>
      <c r="B12" s="967"/>
      <c r="C12" s="955" t="s">
        <v>262</v>
      </c>
      <c r="D12" s="947"/>
      <c r="E12" s="952"/>
      <c r="F12" s="203"/>
      <c r="G12" s="948"/>
      <c r="H12" s="331"/>
      <c r="I12" s="330"/>
    </row>
    <row r="13" spans="1:21">
      <c r="A13" s="202"/>
      <c r="B13" s="967"/>
      <c r="C13" s="955"/>
      <c r="D13" s="947"/>
      <c r="E13" s="952"/>
      <c r="F13" s="203"/>
      <c r="G13" s="949"/>
      <c r="H13" s="331"/>
      <c r="I13" s="330"/>
    </row>
    <row r="14" spans="1:21">
      <c r="A14" s="202"/>
      <c r="B14" s="967"/>
      <c r="C14" s="955" t="s">
        <v>263</v>
      </c>
      <c r="D14" s="947"/>
      <c r="E14" s="952"/>
      <c r="F14" s="203"/>
      <c r="G14" s="948"/>
      <c r="H14" s="331"/>
      <c r="I14" s="330"/>
    </row>
    <row r="15" spans="1:21">
      <c r="A15" s="202"/>
      <c r="B15" s="967"/>
      <c r="C15" s="955"/>
      <c r="D15" s="947"/>
      <c r="E15" s="952"/>
      <c r="F15" s="203"/>
      <c r="G15" s="949"/>
      <c r="H15" s="331"/>
      <c r="I15" s="330"/>
    </row>
    <row r="16" spans="1:21">
      <c r="A16" s="202"/>
      <c r="B16" s="967"/>
      <c r="C16" s="955" t="s">
        <v>288</v>
      </c>
      <c r="D16" s="947"/>
      <c r="E16" s="952"/>
      <c r="F16" s="203"/>
      <c r="G16" s="948"/>
      <c r="H16" s="331"/>
      <c r="I16" s="330"/>
    </row>
    <row r="17" spans="1:20">
      <c r="A17" s="202"/>
      <c r="B17" s="967"/>
      <c r="C17" s="955"/>
      <c r="D17" s="947"/>
      <c r="E17" s="952"/>
      <c r="F17" s="203"/>
      <c r="G17" s="949"/>
      <c r="H17" s="331"/>
      <c r="I17" s="330"/>
    </row>
    <row r="18" spans="1:20">
      <c r="A18" s="202"/>
      <c r="B18" s="967"/>
      <c r="C18" s="955" t="s">
        <v>264</v>
      </c>
      <c r="D18" s="947"/>
      <c r="E18" s="952"/>
      <c r="F18" s="203"/>
      <c r="G18" s="948"/>
      <c r="H18" s="331"/>
      <c r="I18" s="330"/>
      <c r="K18" s="178"/>
      <c r="L18" s="178"/>
      <c r="M18" s="178"/>
    </row>
    <row r="19" spans="1:20">
      <c r="A19" s="202"/>
      <c r="B19" s="967"/>
      <c r="C19" s="955"/>
      <c r="D19" s="947"/>
      <c r="E19" s="952"/>
      <c r="F19" s="360">
        <v>25200000</v>
      </c>
      <c r="G19" s="949"/>
      <c r="H19" s="796">
        <f>IFERROR(ROUND(SUM(G8:G21)*F19/F20,0),0)</f>
        <v>12600000</v>
      </c>
      <c r="I19" s="799">
        <f>SUM(G8:G31)-H19</f>
        <v>0</v>
      </c>
      <c r="K19" s="178"/>
      <c r="L19" s="367">
        <v>0</v>
      </c>
      <c r="M19" s="367">
        <v>0</v>
      </c>
      <c r="N19" s="239">
        <f>F19-SUM(L19:M19)</f>
        <v>25200000</v>
      </c>
    </row>
    <row r="20" spans="1:20">
      <c r="A20" s="202"/>
      <c r="B20" s="967"/>
      <c r="C20" s="955" t="s">
        <v>295</v>
      </c>
      <c r="D20" s="947"/>
      <c r="E20" s="952"/>
      <c r="F20" s="359">
        <v>25200000</v>
      </c>
      <c r="G20" s="948"/>
      <c r="H20" s="796"/>
      <c r="I20" s="799"/>
      <c r="K20" s="178"/>
      <c r="L20" s="145">
        <f>+H19-SUM(J20:K20,M20:N20)</f>
        <v>0</v>
      </c>
      <c r="M20" s="145">
        <f>IFERROR(ROUND(M19/F19*H19,0),0)</f>
        <v>0</v>
      </c>
      <c r="N20" s="145">
        <f>IFERROR(ROUND(N19/F19*H19,0),0)</f>
        <v>12600000</v>
      </c>
      <c r="P20" s="145">
        <f>+ROUND(K20*P$5/(1+P$5),0)</f>
        <v>0</v>
      </c>
      <c r="Q20" s="145">
        <f>+ROUND(L20*Q$5/(1+Q$5),0)</f>
        <v>0</v>
      </c>
      <c r="R20" s="145">
        <f>+ROUND(M20*R$5/(1+R$5),0)</f>
        <v>0</v>
      </c>
      <c r="S20" s="367">
        <f>+ROUND(N20*S$5/(1+S$5),0)-1</f>
        <v>1145454</v>
      </c>
      <c r="T20" s="411">
        <f>SUM(P20:S20)</f>
        <v>1145454</v>
      </c>
    </row>
    <row r="21" spans="1:20">
      <c r="A21" s="202"/>
      <c r="B21" s="967"/>
      <c r="C21" s="955"/>
      <c r="D21" s="947"/>
      <c r="E21" s="952"/>
      <c r="F21" s="357"/>
      <c r="G21" s="949"/>
      <c r="H21" s="331"/>
      <c r="I21" s="330"/>
      <c r="K21" s="178"/>
    </row>
    <row r="22" spans="1:20">
      <c r="A22" s="202"/>
      <c r="B22" s="967"/>
      <c r="C22" s="955" t="s">
        <v>295</v>
      </c>
      <c r="D22" s="947"/>
      <c r="E22" s="952"/>
      <c r="F22" s="357"/>
      <c r="G22" s="948"/>
      <c r="H22" s="331"/>
      <c r="I22" s="330"/>
      <c r="K22" s="178"/>
    </row>
    <row r="23" spans="1:20">
      <c r="A23" s="202"/>
      <c r="B23" s="967"/>
      <c r="C23" s="955"/>
      <c r="D23" s="947"/>
      <c r="E23" s="952"/>
      <c r="F23" s="357"/>
      <c r="G23" s="949"/>
      <c r="H23" s="331"/>
      <c r="I23" s="330"/>
      <c r="K23" s="178"/>
    </row>
    <row r="24" spans="1:20">
      <c r="A24" s="202"/>
      <c r="B24" s="967"/>
      <c r="C24" s="955" t="s">
        <v>265</v>
      </c>
      <c r="D24" s="947"/>
      <c r="E24" s="952"/>
      <c r="F24" s="357"/>
      <c r="G24" s="948"/>
      <c r="H24" s="331"/>
      <c r="I24" s="330"/>
      <c r="K24" s="178"/>
    </row>
    <row r="25" spans="1:20">
      <c r="A25" s="202"/>
      <c r="B25" s="967"/>
      <c r="C25" s="955"/>
      <c r="D25" s="947"/>
      <c r="E25" s="952"/>
      <c r="F25" s="357"/>
      <c r="G25" s="949"/>
      <c r="H25" s="331"/>
      <c r="I25" s="330"/>
      <c r="K25" s="178"/>
    </row>
    <row r="26" spans="1:20">
      <c r="A26" s="202"/>
      <c r="B26" s="967"/>
      <c r="C26" s="955" t="s">
        <v>266</v>
      </c>
      <c r="D26" s="947"/>
      <c r="E26" s="952"/>
      <c r="F26" s="357"/>
      <c r="G26" s="948"/>
      <c r="H26" s="331"/>
      <c r="I26" s="330"/>
      <c r="K26" s="178"/>
    </row>
    <row r="27" spans="1:20">
      <c r="A27" s="202"/>
      <c r="B27" s="967"/>
      <c r="C27" s="955"/>
      <c r="D27" s="947"/>
      <c r="E27" s="952"/>
      <c r="F27" s="357"/>
      <c r="G27" s="949"/>
      <c r="H27" s="331"/>
      <c r="I27" s="330"/>
      <c r="K27" s="178"/>
    </row>
    <row r="28" spans="1:20">
      <c r="A28" s="202"/>
      <c r="B28" s="967"/>
      <c r="C28" s="955" t="s">
        <v>267</v>
      </c>
      <c r="D28" s="947"/>
      <c r="E28" s="952"/>
      <c r="F28" s="357"/>
      <c r="G28" s="948"/>
      <c r="H28" s="331"/>
      <c r="I28" s="330"/>
      <c r="K28" s="178"/>
    </row>
    <row r="29" spans="1:20">
      <c r="A29" s="202"/>
      <c r="B29" s="967"/>
      <c r="C29" s="955"/>
      <c r="D29" s="947"/>
      <c r="E29" s="952"/>
      <c r="F29" s="357"/>
      <c r="G29" s="949"/>
      <c r="H29" s="331"/>
      <c r="I29" s="330"/>
      <c r="K29" s="178"/>
    </row>
    <row r="30" spans="1:20">
      <c r="A30" s="202"/>
      <c r="B30" s="967"/>
      <c r="C30" s="955" t="s">
        <v>268</v>
      </c>
      <c r="D30" s="947"/>
      <c r="E30" s="952"/>
      <c r="F30" s="357"/>
      <c r="G30" s="948"/>
      <c r="H30" s="331"/>
      <c r="I30" s="330"/>
      <c r="K30" s="178"/>
    </row>
    <row r="31" spans="1:20">
      <c r="A31" s="202"/>
      <c r="B31" s="967"/>
      <c r="C31" s="548"/>
      <c r="D31" s="989"/>
      <c r="E31" s="952"/>
      <c r="F31" s="358"/>
      <c r="G31" s="987"/>
      <c r="H31" s="334"/>
      <c r="I31" s="335"/>
      <c r="K31" s="178"/>
    </row>
    <row r="32" spans="1:20" ht="13.5" customHeight="1">
      <c r="A32" s="209"/>
      <c r="B32" s="967"/>
      <c r="C32" s="969" t="s">
        <v>269</v>
      </c>
      <c r="D32" s="947" t="s">
        <v>552</v>
      </c>
      <c r="E32" s="983" t="s">
        <v>551</v>
      </c>
      <c r="F32" s="361"/>
      <c r="G32" s="849">
        <v>2500000</v>
      </c>
      <c r="H32" s="331"/>
      <c r="I32" s="330"/>
      <c r="K32" s="178"/>
    </row>
    <row r="33" spans="1:20">
      <c r="A33" s="209"/>
      <c r="B33" s="967"/>
      <c r="C33" s="955"/>
      <c r="D33" s="947"/>
      <c r="E33" s="952"/>
      <c r="F33" s="362"/>
      <c r="G33" s="850"/>
      <c r="H33" s="331"/>
      <c r="I33" s="330"/>
      <c r="K33" s="178"/>
    </row>
    <row r="34" spans="1:20">
      <c r="A34" s="202"/>
      <c r="B34" s="967"/>
      <c r="C34" s="955" t="s">
        <v>288</v>
      </c>
      <c r="D34" s="947"/>
      <c r="E34" s="952"/>
      <c r="F34" s="362"/>
      <c r="G34" s="948"/>
      <c r="H34" s="331"/>
      <c r="I34" s="330"/>
      <c r="K34" s="178"/>
    </row>
    <row r="35" spans="1:20">
      <c r="A35" s="202"/>
      <c r="B35" s="967"/>
      <c r="C35" s="955"/>
      <c r="D35" s="947"/>
      <c r="E35" s="952"/>
      <c r="F35" s="362"/>
      <c r="G35" s="949"/>
      <c r="H35" s="331"/>
      <c r="I35" s="330"/>
      <c r="K35" s="178"/>
    </row>
    <row r="36" spans="1:20">
      <c r="A36" s="209"/>
      <c r="B36" s="967"/>
      <c r="C36" s="955" t="s">
        <v>270</v>
      </c>
      <c r="D36" s="947"/>
      <c r="E36" s="952"/>
      <c r="F36" s="362"/>
      <c r="G36" s="988"/>
      <c r="H36" s="331"/>
      <c r="I36" s="330"/>
      <c r="K36" s="178"/>
      <c r="L36" s="178"/>
      <c r="M36" s="178"/>
    </row>
    <row r="37" spans="1:20">
      <c r="A37" s="209"/>
      <c r="B37" s="967"/>
      <c r="C37" s="955"/>
      <c r="D37" s="947"/>
      <c r="E37" s="952"/>
      <c r="F37" s="364">
        <v>33015490</v>
      </c>
      <c r="G37" s="988"/>
      <c r="H37" s="796">
        <f>IFERROR(ROUND(SUM(G32:G39)*F37/F38,0),0)</f>
        <v>17900000</v>
      </c>
      <c r="I37" s="799">
        <f>SUM(G32:G43)-H37</f>
        <v>0</v>
      </c>
      <c r="K37" s="178"/>
      <c r="L37" s="367">
        <v>0</v>
      </c>
      <c r="M37" s="367">
        <v>0</v>
      </c>
      <c r="N37" s="239">
        <f>F37-SUM(L37:M37)</f>
        <v>33015490</v>
      </c>
    </row>
    <row r="38" spans="1:20">
      <c r="A38" s="209"/>
      <c r="B38" s="967"/>
      <c r="C38" s="956" t="s">
        <v>271</v>
      </c>
      <c r="D38" s="947" t="s">
        <v>553</v>
      </c>
      <c r="E38" s="952"/>
      <c r="F38" s="363">
        <v>33015490</v>
      </c>
      <c r="G38" s="849">
        <v>15400000</v>
      </c>
      <c r="H38" s="796"/>
      <c r="I38" s="799"/>
      <c r="K38" s="178"/>
      <c r="L38" s="145">
        <f>+H37-SUM(J38:K38,M38:N38)</f>
        <v>0</v>
      </c>
      <c r="M38" s="145">
        <f>IFERROR(ROUND(M37/F37*H37,0),0)</f>
        <v>0</v>
      </c>
      <c r="N38" s="145">
        <f>IFERROR(ROUND(N37/F37*H37,0),0)</f>
        <v>17900000</v>
      </c>
      <c r="P38" s="145">
        <f>+ROUND(K38*P$5/(1+P$5),0)</f>
        <v>0</v>
      </c>
      <c r="Q38" s="145">
        <f t="shared" ref="Q38:R38" si="4">+ROUND(L38*Q$5/(1+Q$5),0)</f>
        <v>0</v>
      </c>
      <c r="R38" s="145">
        <f t="shared" si="4"/>
        <v>0</v>
      </c>
      <c r="S38" s="145">
        <f>+ROUND(N38*S$5/(1+S$5),0)</f>
        <v>1627273</v>
      </c>
      <c r="T38" s="411">
        <f>SUM(P38:S38)</f>
        <v>1627273</v>
      </c>
    </row>
    <row r="39" spans="1:20">
      <c r="A39" s="209"/>
      <c r="B39" s="967"/>
      <c r="C39" s="955"/>
      <c r="D39" s="947"/>
      <c r="E39" s="952"/>
      <c r="F39" s="224"/>
      <c r="G39" s="850"/>
      <c r="H39" s="331"/>
      <c r="I39" s="330"/>
      <c r="K39" s="178"/>
    </row>
    <row r="40" spans="1:20">
      <c r="A40" s="209"/>
      <c r="B40" s="967"/>
      <c r="C40" s="956" t="s">
        <v>221</v>
      </c>
      <c r="D40" s="947"/>
      <c r="E40" s="952"/>
      <c r="F40" s="224"/>
      <c r="G40" s="988"/>
      <c r="H40" s="331"/>
      <c r="I40" s="330"/>
      <c r="K40" s="178"/>
    </row>
    <row r="41" spans="1:20">
      <c r="A41" s="209"/>
      <c r="B41" s="967"/>
      <c r="C41" s="955"/>
      <c r="D41" s="947"/>
      <c r="E41" s="952"/>
      <c r="F41" s="224"/>
      <c r="G41" s="988"/>
      <c r="H41" s="331"/>
      <c r="I41" s="330"/>
      <c r="K41" s="178"/>
    </row>
    <row r="42" spans="1:20">
      <c r="A42" s="209"/>
      <c r="B42" s="967"/>
      <c r="C42" s="956" t="s">
        <v>272</v>
      </c>
      <c r="D42" s="947"/>
      <c r="E42" s="952"/>
      <c r="F42" s="224"/>
      <c r="G42" s="948"/>
      <c r="H42" s="331"/>
      <c r="I42" s="330"/>
      <c r="K42" s="178"/>
    </row>
    <row r="43" spans="1:20" ht="14.25" thickBot="1">
      <c r="A43" s="212"/>
      <c r="B43" s="968"/>
      <c r="C43" s="972"/>
      <c r="D43" s="982"/>
      <c r="E43" s="984"/>
      <c r="F43" s="226"/>
      <c r="G43" s="981"/>
      <c r="H43" s="332"/>
      <c r="I43" s="333"/>
      <c r="K43" s="178"/>
    </row>
    <row r="44" spans="1:20" ht="14.25">
      <c r="F44" s="222"/>
    </row>
    <row r="45" spans="1:20" ht="14.25">
      <c r="F45" s="222"/>
    </row>
    <row r="46" spans="1:20" ht="14.25">
      <c r="F46" s="222"/>
    </row>
  </sheetData>
  <mergeCells count="74">
    <mergeCell ref="C30:C31"/>
    <mergeCell ref="G12:G13"/>
    <mergeCell ref="G28:G29"/>
    <mergeCell ref="C16:C17"/>
    <mergeCell ref="G22:G23"/>
    <mergeCell ref="G24:G25"/>
    <mergeCell ref="C18:C19"/>
    <mergeCell ref="D20:D21"/>
    <mergeCell ref="G16:G17"/>
    <mergeCell ref="E8:E31"/>
    <mergeCell ref="C14:C15"/>
    <mergeCell ref="C12:C13"/>
    <mergeCell ref="D30:D31"/>
    <mergeCell ref="D28:D29"/>
    <mergeCell ref="D22:D23"/>
    <mergeCell ref="D18:D19"/>
    <mergeCell ref="I19:I20"/>
    <mergeCell ref="H19:H20"/>
    <mergeCell ref="A1:I1"/>
    <mergeCell ref="A4:C5"/>
    <mergeCell ref="D4:D5"/>
    <mergeCell ref="E4:E5"/>
    <mergeCell ref="G4:G5"/>
    <mergeCell ref="E6:E7"/>
    <mergeCell ref="C10:C11"/>
    <mergeCell ref="A6:C7"/>
    <mergeCell ref="C8:C9"/>
    <mergeCell ref="H6:H7"/>
    <mergeCell ref="G6:G7"/>
    <mergeCell ref="G10:G11"/>
    <mergeCell ref="G8:G9"/>
    <mergeCell ref="G14:G15"/>
    <mergeCell ref="D16:D17"/>
    <mergeCell ref="D26:D27"/>
    <mergeCell ref="D10:D11"/>
    <mergeCell ref="D14:D15"/>
    <mergeCell ref="D12:D13"/>
    <mergeCell ref="D8:D9"/>
    <mergeCell ref="B8:B43"/>
    <mergeCell ref="H4:H5"/>
    <mergeCell ref="I4:I5"/>
    <mergeCell ref="C28:C29"/>
    <mergeCell ref="C26:C27"/>
    <mergeCell ref="C22:C23"/>
    <mergeCell ref="C24:C25"/>
    <mergeCell ref="G34:G35"/>
    <mergeCell ref="G40:G41"/>
    <mergeCell ref="D42:D43"/>
    <mergeCell ref="D40:D41"/>
    <mergeCell ref="I6:I7"/>
    <mergeCell ref="D6:D7"/>
    <mergeCell ref="C20:C21"/>
    <mergeCell ref="G18:G19"/>
    <mergeCell ref="G20:G21"/>
    <mergeCell ref="C32:C33"/>
    <mergeCell ref="C36:C37"/>
    <mergeCell ref="D36:D37"/>
    <mergeCell ref="G32:G33"/>
    <mergeCell ref="G36:G37"/>
    <mergeCell ref="E32:E43"/>
    <mergeCell ref="C38:C39"/>
    <mergeCell ref="D38:D39"/>
    <mergeCell ref="C40:C41"/>
    <mergeCell ref="C42:C43"/>
    <mergeCell ref="C34:C35"/>
    <mergeCell ref="D34:D35"/>
    <mergeCell ref="D24:D25"/>
    <mergeCell ref="D32:D33"/>
    <mergeCell ref="G26:G27"/>
    <mergeCell ref="I37:I38"/>
    <mergeCell ref="H37:H38"/>
    <mergeCell ref="G42:G43"/>
    <mergeCell ref="G38:G39"/>
    <mergeCell ref="G30:G31"/>
  </mergeCells>
  <phoneticPr fontId="2"/>
  <printOptions horizontalCentered="1"/>
  <pageMargins left="0.59055118110236227" right="0.39370078740157483" top="0.98425196850393704" bottom="0.98425196850393704" header="0.51181102362204722" footer="0.51181102362204722"/>
  <pageSetup paperSize="9" scale="58" fitToHeight="0" orientation="landscape" r:id="rId1"/>
  <headerFooter alignWithMargins="0">
    <oddFooter>&amp;L&amp;6&amp;F &amp;A&amp;R&amp;6&amp;D &amp;T</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rgb="FF00FFFF"/>
    <pageSetUpPr fitToPage="1"/>
  </sheetPr>
  <dimension ref="A1:U46"/>
  <sheetViews>
    <sheetView view="pageBreakPreview" zoomScale="60" zoomScaleNormal="80" workbookViewId="0">
      <pane xSplit="5" ySplit="5" topLeftCell="F6" activePane="bottomRight" state="frozen"/>
      <selection activeCell="S30" sqref="S30"/>
      <selection pane="topRight" activeCell="S30" sqref="S30"/>
      <selection pane="bottomLeft" activeCell="S30" sqref="S30"/>
      <selection pane="bottomRight" activeCell="S30" sqref="S30"/>
    </sheetView>
  </sheetViews>
  <sheetFormatPr defaultColWidth="9" defaultRowHeight="13.5"/>
  <cols>
    <col min="1" max="1" width="1.625" style="87" customWidth="1"/>
    <col min="2" max="2" width="4.625" style="87" customWidth="1"/>
    <col min="3" max="3" width="19.625" style="87" customWidth="1"/>
    <col min="4" max="5" width="23.625" style="87" customWidth="1"/>
    <col min="6" max="6" width="13.125" style="145" customWidth="1"/>
    <col min="7" max="9" width="12.625" style="145" customWidth="1"/>
    <col min="10" max="11" width="8.25" style="145" customWidth="1"/>
    <col min="12" max="14" width="12.625" style="145" customWidth="1"/>
    <col min="15" max="15" width="9" style="87"/>
    <col min="16" max="16" width="11" style="87" customWidth="1"/>
    <col min="17" max="18" width="4.5" style="87" bestFit="1" customWidth="1"/>
    <col min="19" max="19" width="5.5" style="87" bestFit="1" customWidth="1"/>
    <col min="20" max="20" width="4.25" style="87" bestFit="1" customWidth="1"/>
    <col min="21" max="21" width="22.375" style="87" bestFit="1" customWidth="1"/>
    <col min="22" max="23" width="14.875" style="87" customWidth="1"/>
    <col min="24" max="16384" width="9" style="87"/>
  </cols>
  <sheetData>
    <row r="1" spans="1:21" ht="17.25" customHeight="1">
      <c r="A1" s="659" t="str">
        <f>+"令和"&amp;MID(総括表!A2,3,1)&amp;"年度決算　不課税収入区分表(汚水処理施設整備交付金)（農集）"</f>
        <v>令和５年度決算　不課税収入区分表(汚水処理施設整備交付金)（農集）</v>
      </c>
      <c r="B1" s="659"/>
      <c r="C1" s="659"/>
      <c r="D1" s="659"/>
      <c r="E1" s="659"/>
      <c r="F1" s="659"/>
      <c r="G1" s="659"/>
      <c r="H1" s="659"/>
      <c r="I1" s="659"/>
    </row>
    <row r="2" spans="1:21" ht="17.25" customHeight="1">
      <c r="A2" s="101"/>
      <c r="B2" s="101"/>
      <c r="C2" s="101"/>
      <c r="D2" s="101"/>
      <c r="E2" s="101"/>
      <c r="F2" s="172"/>
      <c r="G2" s="172"/>
      <c r="H2" s="172"/>
      <c r="I2" s="172"/>
    </row>
    <row r="3" spans="1:21" ht="17.25" customHeight="1" thickBot="1">
      <c r="A3" s="101"/>
      <c r="B3" s="101"/>
      <c r="C3" s="101"/>
      <c r="D3" s="101"/>
      <c r="E3" s="101"/>
      <c r="F3" s="172"/>
      <c r="G3" s="172"/>
      <c r="H3" s="172"/>
      <c r="I3" s="173" t="s">
        <v>213</v>
      </c>
    </row>
    <row r="4" spans="1:21">
      <c r="A4" s="973" t="s">
        <v>170</v>
      </c>
      <c r="B4" s="974"/>
      <c r="C4" s="975"/>
      <c r="D4" s="979" t="s">
        <v>214</v>
      </c>
      <c r="E4" s="974" t="s">
        <v>215</v>
      </c>
      <c r="F4" s="193" t="s">
        <v>165</v>
      </c>
      <c r="G4" s="778" t="s">
        <v>216</v>
      </c>
      <c r="H4" s="778" t="s">
        <v>217</v>
      </c>
      <c r="I4" s="772" t="s">
        <v>218</v>
      </c>
      <c r="J4" s="175" t="s">
        <v>384</v>
      </c>
      <c r="K4" s="176"/>
      <c r="L4" s="176"/>
      <c r="M4" s="176"/>
      <c r="P4" s="146" t="s">
        <v>488</v>
      </c>
      <c r="Q4" s="146"/>
      <c r="R4" s="146"/>
      <c r="S4" s="146"/>
    </row>
    <row r="5" spans="1:21">
      <c r="A5" s="976"/>
      <c r="B5" s="977"/>
      <c r="C5" s="978"/>
      <c r="D5" s="980"/>
      <c r="E5" s="977"/>
      <c r="F5" s="194" t="s">
        <v>166</v>
      </c>
      <c r="G5" s="779"/>
      <c r="H5" s="779"/>
      <c r="I5" s="773"/>
      <c r="J5" s="325">
        <v>0.03</v>
      </c>
      <c r="K5" s="422">
        <v>0.05</v>
      </c>
      <c r="L5" s="186">
        <v>0.08</v>
      </c>
      <c r="M5" s="416">
        <v>0.08</v>
      </c>
      <c r="N5" s="197">
        <v>0.1</v>
      </c>
      <c r="P5" s="186">
        <v>0.05</v>
      </c>
      <c r="Q5" s="186">
        <v>0.08</v>
      </c>
      <c r="R5" s="416">
        <v>0.08</v>
      </c>
      <c r="S5" s="197">
        <v>0.1</v>
      </c>
      <c r="T5" s="410" t="s">
        <v>489</v>
      </c>
      <c r="U5" s="87" t="s">
        <v>490</v>
      </c>
    </row>
    <row r="6" spans="1:21">
      <c r="A6" s="961" t="s">
        <v>244</v>
      </c>
      <c r="B6" s="962"/>
      <c r="C6" s="963"/>
      <c r="D6" s="970"/>
      <c r="E6" s="959"/>
      <c r="F6" s="200"/>
      <c r="G6" s="997">
        <f>SUM(G8:G43)</f>
        <v>0</v>
      </c>
      <c r="H6" s="997">
        <f>H19+H37</f>
        <v>0</v>
      </c>
      <c r="I6" s="995">
        <f>I19+I37</f>
        <v>0</v>
      </c>
      <c r="J6" s="145">
        <f t="shared" ref="J6:K6" si="0">+J20+J38</f>
        <v>0</v>
      </c>
      <c r="K6" s="145">
        <f t="shared" si="0"/>
        <v>0</v>
      </c>
      <c r="L6" s="145">
        <f>+L20+L38</f>
        <v>0</v>
      </c>
      <c r="M6" s="145">
        <f>+M20+M38</f>
        <v>0</v>
      </c>
      <c r="N6" s="145">
        <f t="shared" ref="N6" si="1">+N20+N38</f>
        <v>0</v>
      </c>
      <c r="P6" s="145">
        <f t="shared" ref="P6" si="2">+P20+P38</f>
        <v>0</v>
      </c>
      <c r="Q6" s="145">
        <f>+Q20+Q38</f>
        <v>0</v>
      </c>
      <c r="R6" s="145">
        <f>+R20+R38</f>
        <v>0</v>
      </c>
      <c r="S6" s="145">
        <f t="shared" ref="S6:T6" si="3">+S20+S38</f>
        <v>0</v>
      </c>
      <c r="T6" s="145">
        <f t="shared" si="3"/>
        <v>0</v>
      </c>
      <c r="U6" s="412">
        <f>+T6-'[4]4条収入'!$AH$33</f>
        <v>0</v>
      </c>
    </row>
    <row r="7" spans="1:21">
      <c r="A7" s="964"/>
      <c r="B7" s="965"/>
      <c r="C7" s="622"/>
      <c r="D7" s="971"/>
      <c r="E7" s="960"/>
      <c r="F7" s="201"/>
      <c r="G7" s="998"/>
      <c r="H7" s="998"/>
      <c r="I7" s="996"/>
    </row>
    <row r="8" spans="1:21" ht="13.5" customHeight="1">
      <c r="A8" s="202"/>
      <c r="B8" s="966" t="s">
        <v>294</v>
      </c>
      <c r="C8" s="955" t="s">
        <v>261</v>
      </c>
      <c r="D8" s="957"/>
      <c r="E8" s="951" t="s">
        <v>554</v>
      </c>
      <c r="F8" s="205"/>
      <c r="G8" s="999"/>
      <c r="H8" s="336"/>
      <c r="I8" s="204"/>
    </row>
    <row r="9" spans="1:21">
      <c r="A9" s="202"/>
      <c r="B9" s="967"/>
      <c r="C9" s="955"/>
      <c r="D9" s="957"/>
      <c r="E9" s="952"/>
      <c r="F9" s="203"/>
      <c r="G9" s="993"/>
      <c r="H9" s="336"/>
      <c r="I9" s="204"/>
    </row>
    <row r="10" spans="1:21">
      <c r="A10" s="202"/>
      <c r="B10" s="967"/>
      <c r="C10" s="955" t="s">
        <v>261</v>
      </c>
      <c r="D10" s="957" t="s">
        <v>504</v>
      </c>
      <c r="E10" s="952"/>
      <c r="F10" s="203"/>
      <c r="G10" s="948"/>
      <c r="H10" s="336"/>
      <c r="I10" s="204"/>
    </row>
    <row r="11" spans="1:21">
      <c r="A11" s="202"/>
      <c r="B11" s="967"/>
      <c r="C11" s="955"/>
      <c r="D11" s="957"/>
      <c r="E11" s="952"/>
      <c r="F11" s="203"/>
      <c r="G11" s="949"/>
      <c r="H11" s="336"/>
      <c r="I11" s="204"/>
    </row>
    <row r="12" spans="1:21">
      <c r="A12" s="202"/>
      <c r="B12" s="967"/>
      <c r="C12" s="955" t="s">
        <v>262</v>
      </c>
      <c r="D12" s="947"/>
      <c r="E12" s="952"/>
      <c r="F12" s="203"/>
      <c r="G12" s="948"/>
      <c r="H12" s="336"/>
      <c r="I12" s="204"/>
    </row>
    <row r="13" spans="1:21">
      <c r="A13" s="202"/>
      <c r="B13" s="967"/>
      <c r="C13" s="955"/>
      <c r="D13" s="947"/>
      <c r="E13" s="952"/>
      <c r="F13" s="203"/>
      <c r="G13" s="949"/>
      <c r="H13" s="336"/>
      <c r="I13" s="204"/>
    </row>
    <row r="14" spans="1:21">
      <c r="A14" s="202"/>
      <c r="B14" s="967"/>
      <c r="C14" s="955" t="s">
        <v>263</v>
      </c>
      <c r="D14" s="947"/>
      <c r="E14" s="952"/>
      <c r="F14" s="203"/>
      <c r="G14" s="948"/>
      <c r="H14" s="336"/>
      <c r="I14" s="204"/>
    </row>
    <row r="15" spans="1:21">
      <c r="A15" s="202"/>
      <c r="B15" s="967"/>
      <c r="C15" s="955"/>
      <c r="D15" s="947"/>
      <c r="E15" s="952"/>
      <c r="F15" s="203"/>
      <c r="G15" s="949"/>
      <c r="H15" s="336"/>
      <c r="I15" s="204"/>
    </row>
    <row r="16" spans="1:21">
      <c r="A16" s="202"/>
      <c r="B16" s="967"/>
      <c r="C16" s="955" t="s">
        <v>288</v>
      </c>
      <c r="D16" s="947"/>
      <c r="E16" s="952"/>
      <c r="F16" s="203"/>
      <c r="G16" s="948"/>
      <c r="H16" s="336"/>
      <c r="I16" s="204"/>
    </row>
    <row r="17" spans="1:20">
      <c r="A17" s="202"/>
      <c r="B17" s="967"/>
      <c r="C17" s="955"/>
      <c r="D17" s="947"/>
      <c r="E17" s="952"/>
      <c r="F17" s="203"/>
      <c r="G17" s="949"/>
      <c r="H17" s="336"/>
      <c r="I17" s="204"/>
    </row>
    <row r="18" spans="1:20">
      <c r="A18" s="202"/>
      <c r="B18" s="967"/>
      <c r="C18" s="955" t="s">
        <v>264</v>
      </c>
      <c r="D18" s="947"/>
      <c r="E18" s="952"/>
      <c r="F18" s="203"/>
      <c r="G18" s="948"/>
      <c r="H18" s="336"/>
      <c r="I18" s="204"/>
      <c r="L18" s="178"/>
      <c r="M18" s="178"/>
    </row>
    <row r="19" spans="1:20">
      <c r="A19" s="202"/>
      <c r="B19" s="967"/>
      <c r="C19" s="955"/>
      <c r="D19" s="947"/>
      <c r="E19" s="952"/>
      <c r="F19" s="369"/>
      <c r="G19" s="949"/>
      <c r="H19" s="914">
        <f>IFERROR(ROUND(SUM(G8:G21)*F19/F20,0),0)</f>
        <v>0</v>
      </c>
      <c r="I19" s="915">
        <f>SUM(G8:G31)-H19</f>
        <v>0</v>
      </c>
      <c r="L19" s="367">
        <v>0</v>
      </c>
      <c r="M19" s="367">
        <v>0</v>
      </c>
      <c r="N19" s="239">
        <f>F19-SUM(L19:M19)</f>
        <v>0</v>
      </c>
    </row>
    <row r="20" spans="1:20">
      <c r="A20" s="202"/>
      <c r="B20" s="967"/>
      <c r="C20" s="955" t="s">
        <v>295</v>
      </c>
      <c r="D20" s="947"/>
      <c r="E20" s="952"/>
      <c r="F20" s="370"/>
      <c r="G20" s="990"/>
      <c r="H20" s="914"/>
      <c r="I20" s="915"/>
      <c r="L20" s="147">
        <f>+H19-SUM(J20:K20,M20:N20)</f>
        <v>0</v>
      </c>
      <c r="M20" s="147">
        <f>IFERROR(ROUND(M19/F19*H19,0),0)</f>
        <v>0</v>
      </c>
      <c r="N20" s="147">
        <f>IFERROR(ROUND(N19/F19*H19,0),0)</f>
        <v>0</v>
      </c>
      <c r="P20" s="145">
        <f>+ROUND(K20*P$5/(1+P$5),0)</f>
        <v>0</v>
      </c>
      <c r="Q20" s="145">
        <f t="shared" ref="Q20:R20" si="4">+ROUND(L20*Q$5/(1+Q$5),0)</f>
        <v>0</v>
      </c>
      <c r="R20" s="145">
        <f t="shared" si="4"/>
        <v>0</v>
      </c>
      <c r="S20" s="145">
        <f>+ROUND(N20*S$5/(1+S$5),0)</f>
        <v>0</v>
      </c>
      <c r="T20" s="411">
        <f>SUM(P20:S20)</f>
        <v>0</v>
      </c>
    </row>
    <row r="21" spans="1:20">
      <c r="A21" s="202"/>
      <c r="B21" s="967"/>
      <c r="C21" s="955"/>
      <c r="D21" s="947"/>
      <c r="E21" s="952"/>
      <c r="F21" s="365"/>
      <c r="G21" s="991"/>
      <c r="H21" s="336"/>
      <c r="I21" s="204"/>
    </row>
    <row r="22" spans="1:20">
      <c r="A22" s="202"/>
      <c r="B22" s="967"/>
      <c r="C22" s="955" t="s">
        <v>295</v>
      </c>
      <c r="D22" s="947"/>
      <c r="E22" s="952"/>
      <c r="F22" s="365"/>
      <c r="G22" s="948"/>
      <c r="H22" s="336"/>
      <c r="I22" s="204"/>
    </row>
    <row r="23" spans="1:20">
      <c r="A23" s="202"/>
      <c r="B23" s="967"/>
      <c r="C23" s="955"/>
      <c r="D23" s="947"/>
      <c r="E23" s="952"/>
      <c r="F23" s="365"/>
      <c r="G23" s="949"/>
      <c r="H23" s="336"/>
      <c r="I23" s="204"/>
    </row>
    <row r="24" spans="1:20">
      <c r="A24" s="202"/>
      <c r="B24" s="967"/>
      <c r="C24" s="955" t="s">
        <v>265</v>
      </c>
      <c r="D24" s="947"/>
      <c r="E24" s="952"/>
      <c r="F24" s="365"/>
      <c r="G24" s="948"/>
      <c r="H24" s="336"/>
      <c r="I24" s="204"/>
    </row>
    <row r="25" spans="1:20">
      <c r="A25" s="202"/>
      <c r="B25" s="967"/>
      <c r="C25" s="955"/>
      <c r="D25" s="947"/>
      <c r="E25" s="952"/>
      <c r="F25" s="365"/>
      <c r="G25" s="949"/>
      <c r="H25" s="336"/>
      <c r="I25" s="204"/>
    </row>
    <row r="26" spans="1:20">
      <c r="A26" s="202"/>
      <c r="B26" s="967"/>
      <c r="C26" s="955" t="s">
        <v>266</v>
      </c>
      <c r="D26" s="947"/>
      <c r="E26" s="952"/>
      <c r="F26" s="365"/>
      <c r="G26" s="948"/>
      <c r="H26" s="336"/>
      <c r="I26" s="204"/>
    </row>
    <row r="27" spans="1:20">
      <c r="A27" s="202"/>
      <c r="B27" s="967"/>
      <c r="C27" s="955"/>
      <c r="D27" s="947"/>
      <c r="E27" s="952"/>
      <c r="F27" s="365"/>
      <c r="G27" s="949"/>
      <c r="H27" s="336"/>
      <c r="I27" s="204"/>
    </row>
    <row r="28" spans="1:20">
      <c r="A28" s="202"/>
      <c r="B28" s="967"/>
      <c r="C28" s="955" t="s">
        <v>267</v>
      </c>
      <c r="D28" s="947"/>
      <c r="E28" s="952"/>
      <c r="F28" s="365"/>
      <c r="G28" s="948"/>
      <c r="H28" s="336"/>
      <c r="I28" s="204"/>
    </row>
    <row r="29" spans="1:20">
      <c r="A29" s="202"/>
      <c r="B29" s="967"/>
      <c r="C29" s="955"/>
      <c r="D29" s="947"/>
      <c r="E29" s="952"/>
      <c r="F29" s="365"/>
      <c r="G29" s="949"/>
      <c r="H29" s="336"/>
      <c r="I29" s="204"/>
    </row>
    <row r="30" spans="1:20">
      <c r="A30" s="202"/>
      <c r="B30" s="967"/>
      <c r="C30" s="955" t="s">
        <v>268</v>
      </c>
      <c r="D30" s="947"/>
      <c r="E30" s="952"/>
      <c r="F30" s="365"/>
      <c r="G30" s="948"/>
      <c r="H30" s="336"/>
      <c r="I30" s="204"/>
    </row>
    <row r="31" spans="1:20">
      <c r="A31" s="202"/>
      <c r="B31" s="967"/>
      <c r="C31" s="548"/>
      <c r="D31" s="989"/>
      <c r="E31" s="952"/>
      <c r="F31" s="366"/>
      <c r="G31" s="987"/>
      <c r="H31" s="207"/>
      <c r="I31" s="208"/>
    </row>
    <row r="32" spans="1:20" ht="13.5" customHeight="1">
      <c r="A32" s="209"/>
      <c r="B32" s="967"/>
      <c r="C32" s="969" t="s">
        <v>269</v>
      </c>
      <c r="D32" s="994" t="s">
        <v>537</v>
      </c>
      <c r="E32" s="983" t="s">
        <v>555</v>
      </c>
      <c r="F32" s="368"/>
      <c r="G32" s="992"/>
      <c r="H32" s="336"/>
      <c r="I32" s="204"/>
    </row>
    <row r="33" spans="1:20">
      <c r="A33" s="209"/>
      <c r="B33" s="967"/>
      <c r="C33" s="955"/>
      <c r="D33" s="957"/>
      <c r="E33" s="952"/>
      <c r="F33" s="368"/>
      <c r="G33" s="993"/>
      <c r="H33" s="336"/>
      <c r="I33" s="204"/>
    </row>
    <row r="34" spans="1:20">
      <c r="A34" s="202"/>
      <c r="B34" s="967"/>
      <c r="C34" s="955" t="s">
        <v>538</v>
      </c>
      <c r="D34" s="994"/>
      <c r="E34" s="952"/>
      <c r="F34" s="368"/>
      <c r="G34" s="948"/>
      <c r="H34" s="336"/>
      <c r="I34" s="204"/>
    </row>
    <row r="35" spans="1:20">
      <c r="A35" s="202"/>
      <c r="B35" s="967"/>
      <c r="C35" s="955"/>
      <c r="D35" s="957"/>
      <c r="E35" s="952"/>
      <c r="F35" s="368"/>
      <c r="G35" s="949"/>
      <c r="H35" s="336"/>
      <c r="I35" s="204"/>
    </row>
    <row r="36" spans="1:20">
      <c r="A36" s="209"/>
      <c r="B36" s="967"/>
      <c r="C36" s="955" t="s">
        <v>270</v>
      </c>
      <c r="D36" s="947"/>
      <c r="E36" s="952"/>
      <c r="F36" s="368"/>
      <c r="G36" s="988"/>
      <c r="H36" s="336"/>
      <c r="I36" s="204"/>
      <c r="L36" s="178"/>
      <c r="M36" s="178"/>
    </row>
    <row r="37" spans="1:20">
      <c r="A37" s="209"/>
      <c r="B37" s="967"/>
      <c r="C37" s="955"/>
      <c r="D37" s="947"/>
      <c r="E37" s="952"/>
      <c r="F37" s="371"/>
      <c r="G37" s="988"/>
      <c r="H37" s="914">
        <f>IFERROR(ROUND(SUM(G32:G39)*F37/F38,0),0)</f>
        <v>0</v>
      </c>
      <c r="I37" s="915">
        <f>SUM(G32:G43)-H37</f>
        <v>0</v>
      </c>
      <c r="L37" s="367">
        <v>0</v>
      </c>
      <c r="M37" s="367">
        <v>0</v>
      </c>
      <c r="N37" s="239">
        <f>F37-SUM(L37:M37)</f>
        <v>0</v>
      </c>
    </row>
    <row r="38" spans="1:20">
      <c r="A38" s="209"/>
      <c r="B38" s="967"/>
      <c r="C38" s="956" t="s">
        <v>296</v>
      </c>
      <c r="D38" s="947"/>
      <c r="E38" s="952"/>
      <c r="F38" s="372"/>
      <c r="G38" s="988"/>
      <c r="H38" s="914"/>
      <c r="I38" s="915"/>
      <c r="L38" s="147">
        <f>+H37-SUM(J38:K38,M38:N38)</f>
        <v>0</v>
      </c>
      <c r="M38" s="147">
        <f>IFERROR(ROUND(M37/F37*H37,0),0)</f>
        <v>0</v>
      </c>
      <c r="N38" s="147">
        <f>IFERROR(ROUND(N37/F37*H37,0),0)</f>
        <v>0</v>
      </c>
      <c r="P38" s="145">
        <f>+ROUND(K38*P$5/(1+P$5),0)</f>
        <v>0</v>
      </c>
      <c r="Q38" s="145">
        <f t="shared" ref="Q38:R38" si="5">+ROUND(L38*Q$5/(1+Q$5),0)</f>
        <v>0</v>
      </c>
      <c r="R38" s="145">
        <f t="shared" si="5"/>
        <v>0</v>
      </c>
      <c r="S38" s="145">
        <f>+ROUND(N38*S$5/(1+S$5),0)</f>
        <v>0</v>
      </c>
      <c r="T38" s="411">
        <f>SUM(P38:S38)</f>
        <v>0</v>
      </c>
    </row>
    <row r="39" spans="1:20">
      <c r="A39" s="209"/>
      <c r="B39" s="967"/>
      <c r="C39" s="955"/>
      <c r="D39" s="947"/>
      <c r="E39" s="952"/>
      <c r="F39" s="225"/>
      <c r="G39" s="988"/>
      <c r="H39" s="336"/>
      <c r="I39" s="204"/>
    </row>
    <row r="40" spans="1:20">
      <c r="A40" s="209"/>
      <c r="B40" s="967"/>
      <c r="C40" s="956" t="s">
        <v>296</v>
      </c>
      <c r="D40" s="994" t="s">
        <v>531</v>
      </c>
      <c r="E40" s="952"/>
      <c r="F40" s="224"/>
      <c r="G40" s="988"/>
      <c r="H40" s="336"/>
      <c r="I40" s="204"/>
    </row>
    <row r="41" spans="1:20">
      <c r="A41" s="209"/>
      <c r="B41" s="967"/>
      <c r="C41" s="955"/>
      <c r="D41" s="957"/>
      <c r="E41" s="952"/>
      <c r="F41" s="224"/>
      <c r="G41" s="988"/>
      <c r="H41" s="336"/>
      <c r="I41" s="204"/>
    </row>
    <row r="42" spans="1:20">
      <c r="A42" s="209"/>
      <c r="B42" s="967"/>
      <c r="C42" s="956" t="s">
        <v>272</v>
      </c>
      <c r="D42" s="947"/>
      <c r="E42" s="952"/>
      <c r="F42" s="224"/>
      <c r="G42" s="948"/>
      <c r="H42" s="336"/>
      <c r="I42" s="204"/>
    </row>
    <row r="43" spans="1:20" ht="14.25" thickBot="1">
      <c r="A43" s="212"/>
      <c r="B43" s="968"/>
      <c r="C43" s="972"/>
      <c r="D43" s="982"/>
      <c r="E43" s="984"/>
      <c r="F43" s="226"/>
      <c r="G43" s="981"/>
      <c r="H43" s="214"/>
      <c r="I43" s="215"/>
    </row>
    <row r="44" spans="1:20" ht="14.25">
      <c r="F44" s="216"/>
    </row>
    <row r="45" spans="1:20" ht="14.25">
      <c r="F45" s="216"/>
    </row>
    <row r="46" spans="1:20" ht="14.25">
      <c r="F46" s="216"/>
    </row>
  </sheetData>
  <mergeCells count="74">
    <mergeCell ref="A6:C7"/>
    <mergeCell ref="C8:C9"/>
    <mergeCell ref="B8:B43"/>
    <mergeCell ref="H6:H7"/>
    <mergeCell ref="G6:G7"/>
    <mergeCell ref="G16:G17"/>
    <mergeCell ref="G30:G31"/>
    <mergeCell ref="G10:G11"/>
    <mergeCell ref="G26:G27"/>
    <mergeCell ref="G12:G13"/>
    <mergeCell ref="G28:G29"/>
    <mergeCell ref="G22:G23"/>
    <mergeCell ref="G24:G25"/>
    <mergeCell ref="G8:G9"/>
    <mergeCell ref="G14:G15"/>
    <mergeCell ref="C38:C39"/>
    <mergeCell ref="C40:C41"/>
    <mergeCell ref="C42:C43"/>
    <mergeCell ref="C14:C15"/>
    <mergeCell ref="C34:C35"/>
    <mergeCell ref="C16:C17"/>
    <mergeCell ref="C28:C29"/>
    <mergeCell ref="C26:C27"/>
    <mergeCell ref="C22:C23"/>
    <mergeCell ref="C18:C19"/>
    <mergeCell ref="C24:C25"/>
    <mergeCell ref="C20:C21"/>
    <mergeCell ref="C32:C33"/>
    <mergeCell ref="C36:C37"/>
    <mergeCell ref="D30:D31"/>
    <mergeCell ref="D34:D35"/>
    <mergeCell ref="C12:C13"/>
    <mergeCell ref="C30:C31"/>
    <mergeCell ref="A1:I1"/>
    <mergeCell ref="A4:C5"/>
    <mergeCell ref="D4:D5"/>
    <mergeCell ref="E4:E5"/>
    <mergeCell ref="G4:G5"/>
    <mergeCell ref="H4:H5"/>
    <mergeCell ref="I4:I5"/>
    <mergeCell ref="I6:I7"/>
    <mergeCell ref="D6:D7"/>
    <mergeCell ref="E8:E31"/>
    <mergeCell ref="E6:E7"/>
    <mergeCell ref="C10:C11"/>
    <mergeCell ref="E32:E43"/>
    <mergeCell ref="D38:D39"/>
    <mergeCell ref="G42:G43"/>
    <mergeCell ref="D42:D43"/>
    <mergeCell ref="D40:D41"/>
    <mergeCell ref="D36:D37"/>
    <mergeCell ref="D32:D33"/>
    <mergeCell ref="G40:G41"/>
    <mergeCell ref="I37:I38"/>
    <mergeCell ref="H37:H38"/>
    <mergeCell ref="I19:I20"/>
    <mergeCell ref="H19:H20"/>
    <mergeCell ref="G38:G39"/>
    <mergeCell ref="G18:G19"/>
    <mergeCell ref="G20:G21"/>
    <mergeCell ref="G34:G35"/>
    <mergeCell ref="G32:G33"/>
    <mergeCell ref="G36:G37"/>
    <mergeCell ref="D8:D9"/>
    <mergeCell ref="D20:D21"/>
    <mergeCell ref="D14:D15"/>
    <mergeCell ref="D28:D29"/>
    <mergeCell ref="D22:D23"/>
    <mergeCell ref="D26:D27"/>
    <mergeCell ref="D24:D25"/>
    <mergeCell ref="D12:D13"/>
    <mergeCell ref="D10:D11"/>
    <mergeCell ref="D18:D19"/>
    <mergeCell ref="D16:D17"/>
  </mergeCells>
  <phoneticPr fontId="2"/>
  <printOptions horizontalCentered="1"/>
  <pageMargins left="0.59055118110236227" right="0.39370078740157483" top="0.98425196850393704" bottom="0.98425196850393704" header="0.51181102362204722" footer="0.51181102362204722"/>
  <pageSetup paperSize="9" scale="58" fitToHeight="0" orientation="landscape" r:id="rId1"/>
  <headerFooter alignWithMargins="0">
    <oddFooter>&amp;L&amp;6&amp;F &amp;A&amp;R&amp;6&amp;D &amp;T</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rgb="FF00FFFF"/>
    <pageSetUpPr fitToPage="1"/>
  </sheetPr>
  <dimension ref="A1:U46"/>
  <sheetViews>
    <sheetView view="pageBreakPreview" zoomScale="85" zoomScaleNormal="85" zoomScaleSheetLayoutView="85" workbookViewId="0">
      <pane xSplit="5" ySplit="5" topLeftCell="F6" activePane="bottomRight" state="frozen"/>
      <selection activeCell="S30" sqref="S30"/>
      <selection pane="topRight" activeCell="S30" sqref="S30"/>
      <selection pane="bottomLeft" activeCell="S30" sqref="S30"/>
      <selection pane="bottomRight" activeCell="D8" sqref="D8:D9"/>
    </sheetView>
  </sheetViews>
  <sheetFormatPr defaultColWidth="9" defaultRowHeight="13.5"/>
  <cols>
    <col min="1" max="1" width="1.625" style="87" customWidth="1"/>
    <col min="2" max="2" width="4.625" style="87" customWidth="1"/>
    <col min="3" max="3" width="19.625" style="87" customWidth="1"/>
    <col min="4" max="5" width="23.625" style="87" customWidth="1"/>
    <col min="6" max="6" width="13.125" style="145" customWidth="1"/>
    <col min="7" max="9" width="12.625" style="145" customWidth="1"/>
    <col min="10" max="13" width="7.125" style="145" customWidth="1"/>
    <col min="14" max="14" width="12.625" style="145" customWidth="1"/>
    <col min="15" max="15" width="9.875" style="87" bestFit="1" customWidth="1"/>
    <col min="16" max="18" width="7.125" style="87" customWidth="1"/>
    <col min="19" max="20" width="12.625" style="87" customWidth="1"/>
    <col min="21" max="21" width="20.25" style="87" bestFit="1" customWidth="1"/>
    <col min="22" max="23" width="14.875" style="87" customWidth="1"/>
    <col min="24" max="16384" width="9" style="87"/>
  </cols>
  <sheetData>
    <row r="1" spans="1:21" ht="17.25" customHeight="1">
      <c r="A1" s="659" t="str">
        <f>+"令和"&amp;MID(総括表!A2,3,1)&amp;"年度決算　不課税収入区分表(汚水処理施設整備交付金)（浄化槽）"</f>
        <v>令和５年度決算　不課税収入区分表(汚水処理施設整備交付金)（浄化槽）</v>
      </c>
      <c r="B1" s="659"/>
      <c r="C1" s="659"/>
      <c r="D1" s="659"/>
      <c r="E1" s="659"/>
      <c r="F1" s="659"/>
      <c r="G1" s="659"/>
      <c r="H1" s="659"/>
      <c r="I1" s="659"/>
    </row>
    <row r="2" spans="1:21" ht="17.25" customHeight="1">
      <c r="A2" s="101"/>
      <c r="B2" s="101"/>
      <c r="C2" s="101"/>
      <c r="D2" s="101"/>
      <c r="E2" s="101"/>
      <c r="F2" s="172"/>
      <c r="G2" s="172"/>
      <c r="H2" s="172"/>
      <c r="I2" s="172"/>
    </row>
    <row r="3" spans="1:21" ht="17.25" customHeight="1" thickBot="1">
      <c r="A3" s="101"/>
      <c r="B3" s="101"/>
      <c r="C3" s="101"/>
      <c r="D3" s="101"/>
      <c r="E3" s="101"/>
      <c r="F3" s="172"/>
      <c r="G3" s="172"/>
      <c r="H3" s="172"/>
      <c r="I3" s="173" t="s">
        <v>213</v>
      </c>
    </row>
    <row r="4" spans="1:21">
      <c r="A4" s="973" t="s">
        <v>170</v>
      </c>
      <c r="B4" s="974"/>
      <c r="C4" s="975"/>
      <c r="D4" s="979" t="s">
        <v>214</v>
      </c>
      <c r="E4" s="974" t="s">
        <v>215</v>
      </c>
      <c r="F4" s="193" t="s">
        <v>165</v>
      </c>
      <c r="G4" s="778" t="s">
        <v>216</v>
      </c>
      <c r="H4" s="778" t="s">
        <v>217</v>
      </c>
      <c r="I4" s="772" t="s">
        <v>218</v>
      </c>
      <c r="J4" s="175" t="s">
        <v>384</v>
      </c>
      <c r="K4" s="176"/>
      <c r="L4" s="176"/>
      <c r="M4" s="176"/>
      <c r="P4" s="146" t="s">
        <v>488</v>
      </c>
      <c r="Q4" s="146"/>
      <c r="R4" s="146"/>
      <c r="S4" s="146"/>
    </row>
    <row r="5" spans="1:21">
      <c r="A5" s="976"/>
      <c r="B5" s="977"/>
      <c r="C5" s="978"/>
      <c r="D5" s="980"/>
      <c r="E5" s="977"/>
      <c r="F5" s="194" t="s">
        <v>166</v>
      </c>
      <c r="G5" s="779"/>
      <c r="H5" s="779"/>
      <c r="I5" s="773"/>
      <c r="J5" s="325">
        <v>0.03</v>
      </c>
      <c r="K5" s="422">
        <v>0.05</v>
      </c>
      <c r="L5" s="186">
        <v>0.08</v>
      </c>
      <c r="M5" s="416">
        <v>0.08</v>
      </c>
      <c r="N5" s="197">
        <v>0.1</v>
      </c>
      <c r="P5" s="186">
        <v>0.05</v>
      </c>
      <c r="Q5" s="186">
        <v>0.08</v>
      </c>
      <c r="R5" s="416">
        <v>0.08</v>
      </c>
      <c r="S5" s="197">
        <v>0.1</v>
      </c>
      <c r="T5" s="410" t="s">
        <v>489</v>
      </c>
      <c r="U5" s="87" t="s">
        <v>490</v>
      </c>
    </row>
    <row r="6" spans="1:21">
      <c r="A6" s="961" t="s">
        <v>244</v>
      </c>
      <c r="B6" s="962"/>
      <c r="C6" s="963"/>
      <c r="D6" s="970"/>
      <c r="E6" s="959"/>
      <c r="F6" s="200"/>
      <c r="G6" s="997">
        <f>SUM(G8:G43)</f>
        <v>3488000</v>
      </c>
      <c r="H6" s="997">
        <f>H19+H37</f>
        <v>3488000</v>
      </c>
      <c r="I6" s="995">
        <f>I19+I37</f>
        <v>0</v>
      </c>
      <c r="J6" s="145">
        <f t="shared" ref="J6:K6" si="0">+J20+J38</f>
        <v>0</v>
      </c>
      <c r="K6" s="145">
        <f t="shared" si="0"/>
        <v>0</v>
      </c>
      <c r="L6" s="145">
        <f>+L20+L38</f>
        <v>0</v>
      </c>
      <c r="M6" s="145">
        <f>+M20+M38</f>
        <v>0</v>
      </c>
      <c r="N6" s="145">
        <f t="shared" ref="N6" si="1">+N20+N38</f>
        <v>3488000</v>
      </c>
      <c r="P6" s="145">
        <f t="shared" ref="P6" si="2">+P20+P38</f>
        <v>0</v>
      </c>
      <c r="Q6" s="145">
        <f>+Q20+Q38</f>
        <v>0</v>
      </c>
      <c r="R6" s="145">
        <f>+R20+R38</f>
        <v>0</v>
      </c>
      <c r="S6" s="145">
        <f t="shared" ref="S6:T6" si="3">+S20+S38</f>
        <v>317091</v>
      </c>
      <c r="T6" s="145">
        <f t="shared" si="3"/>
        <v>317091</v>
      </c>
      <c r="U6" s="412">
        <f>+T6-'[4]4条収入'!$AH$34</f>
        <v>0</v>
      </c>
    </row>
    <row r="7" spans="1:21">
      <c r="A7" s="964"/>
      <c r="B7" s="965"/>
      <c r="C7" s="622"/>
      <c r="D7" s="971"/>
      <c r="E7" s="960"/>
      <c r="F7" s="201"/>
      <c r="G7" s="998"/>
      <c r="H7" s="998"/>
      <c r="I7" s="996"/>
    </row>
    <row r="8" spans="1:21" ht="13.5" customHeight="1">
      <c r="A8" s="202"/>
      <c r="B8" s="966" t="s">
        <v>298</v>
      </c>
      <c r="C8" s="955" t="s">
        <v>297</v>
      </c>
      <c r="D8" s="1000" t="s">
        <v>582</v>
      </c>
      <c r="E8" s="951" t="s">
        <v>556</v>
      </c>
      <c r="F8" s="205"/>
      <c r="G8" s="999">
        <v>3488000</v>
      </c>
      <c r="H8" s="336"/>
      <c r="I8" s="204"/>
      <c r="O8" s="232"/>
      <c r="P8" s="232"/>
    </row>
    <row r="9" spans="1:21">
      <c r="A9" s="202"/>
      <c r="B9" s="967"/>
      <c r="C9" s="955"/>
      <c r="D9" s="1000"/>
      <c r="E9" s="952"/>
      <c r="F9" s="203"/>
      <c r="G9" s="993"/>
      <c r="H9" s="336"/>
      <c r="I9" s="204"/>
    </row>
    <row r="10" spans="1:21">
      <c r="A10" s="202"/>
      <c r="B10" s="967"/>
      <c r="C10" s="955"/>
      <c r="D10" s="947"/>
      <c r="E10" s="952"/>
      <c r="F10" s="203"/>
      <c r="G10" s="948"/>
      <c r="H10" s="336"/>
      <c r="I10" s="204"/>
    </row>
    <row r="11" spans="1:21">
      <c r="A11" s="202"/>
      <c r="B11" s="967"/>
      <c r="C11" s="955"/>
      <c r="D11" s="947"/>
      <c r="E11" s="952"/>
      <c r="F11" s="203"/>
      <c r="G11" s="949"/>
      <c r="H11" s="336"/>
      <c r="I11" s="204"/>
    </row>
    <row r="12" spans="1:21">
      <c r="A12" s="202"/>
      <c r="B12" s="967"/>
      <c r="C12" s="955"/>
      <c r="D12" s="947"/>
      <c r="E12" s="952"/>
      <c r="F12" s="203"/>
      <c r="G12" s="948"/>
      <c r="H12" s="336"/>
      <c r="I12" s="204"/>
    </row>
    <row r="13" spans="1:21">
      <c r="A13" s="202"/>
      <c r="B13" s="967"/>
      <c r="C13" s="955"/>
      <c r="D13" s="947"/>
      <c r="E13" s="952"/>
      <c r="F13" s="203"/>
      <c r="G13" s="949"/>
      <c r="H13" s="336"/>
      <c r="I13" s="204"/>
    </row>
    <row r="14" spans="1:21">
      <c r="A14" s="202"/>
      <c r="B14" s="967"/>
      <c r="C14" s="955"/>
      <c r="D14" s="947"/>
      <c r="E14" s="952"/>
      <c r="F14" s="203"/>
      <c r="G14" s="948"/>
      <c r="H14" s="336"/>
      <c r="I14" s="204"/>
    </row>
    <row r="15" spans="1:21">
      <c r="A15" s="202"/>
      <c r="B15" s="967"/>
      <c r="C15" s="955"/>
      <c r="D15" s="947"/>
      <c r="E15" s="952"/>
      <c r="F15" s="203"/>
      <c r="G15" s="949"/>
      <c r="H15" s="336"/>
      <c r="I15" s="204"/>
    </row>
    <row r="16" spans="1:21">
      <c r="A16" s="202"/>
      <c r="B16" s="967"/>
      <c r="C16" s="955"/>
      <c r="D16" s="947"/>
      <c r="E16" s="952"/>
      <c r="F16" s="203"/>
      <c r="G16" s="948"/>
      <c r="H16" s="336"/>
      <c r="I16" s="204"/>
    </row>
    <row r="17" spans="1:20">
      <c r="A17" s="202"/>
      <c r="B17" s="967"/>
      <c r="C17" s="955"/>
      <c r="D17" s="947"/>
      <c r="E17" s="952"/>
      <c r="F17" s="203"/>
      <c r="G17" s="949"/>
      <c r="H17" s="336"/>
      <c r="I17" s="204"/>
    </row>
    <row r="18" spans="1:20">
      <c r="A18" s="202"/>
      <c r="B18" s="967"/>
      <c r="C18" s="955"/>
      <c r="D18" s="947"/>
      <c r="E18" s="952"/>
      <c r="F18" s="203"/>
      <c r="G18" s="948"/>
      <c r="H18" s="336"/>
      <c r="I18" s="204"/>
    </row>
    <row r="19" spans="1:20">
      <c r="A19" s="202"/>
      <c r="B19" s="967"/>
      <c r="C19" s="955"/>
      <c r="D19" s="947"/>
      <c r="E19" s="952"/>
      <c r="F19" s="227">
        <v>12760200</v>
      </c>
      <c r="G19" s="949"/>
      <c r="H19" s="914">
        <f>IFERROR(ROUND(SUM(G8:G21)*F19/F20,0),0)</f>
        <v>3488000</v>
      </c>
      <c r="I19" s="915">
        <f>SUM(G8:G31)-H19</f>
        <v>0</v>
      </c>
      <c r="L19" s="231">
        <v>0</v>
      </c>
      <c r="M19" s="231">
        <v>0</v>
      </c>
      <c r="N19" s="223">
        <f>F19-SUM(L19:M19)</f>
        <v>12760200</v>
      </c>
    </row>
    <row r="20" spans="1:20">
      <c r="A20" s="202"/>
      <c r="B20" s="967"/>
      <c r="C20" s="955"/>
      <c r="D20" s="947"/>
      <c r="E20" s="952"/>
      <c r="F20" s="228">
        <v>12760200</v>
      </c>
      <c r="G20" s="948"/>
      <c r="H20" s="914"/>
      <c r="I20" s="915"/>
      <c r="L20" s="147">
        <f>+H19-SUM(J20:K20,M20:N20)</f>
        <v>0</v>
      </c>
      <c r="M20" s="147">
        <f>IFERROR(ROUND(M19/F19*H19,0),0)</f>
        <v>0</v>
      </c>
      <c r="N20" s="147">
        <f>IFERROR(ROUND(N19/F19*H19,0),0)</f>
        <v>3488000</v>
      </c>
      <c r="P20" s="145">
        <f>+ROUND(K20*P$5/(1+P$5),0)</f>
        <v>0</v>
      </c>
      <c r="Q20" s="145">
        <f t="shared" ref="Q20" si="4">+ROUND(L20*Q$5/(1+Q$5),0)</f>
        <v>0</v>
      </c>
      <c r="R20" s="145">
        <f>+ROUND(M20*R$5/(1+R$5),0)</f>
        <v>0</v>
      </c>
      <c r="S20" s="145">
        <f>+ROUND(N20*S$5/(1+S$5),0)</f>
        <v>317091</v>
      </c>
      <c r="T20" s="411">
        <f>SUM(P20:S20)</f>
        <v>317091</v>
      </c>
    </row>
    <row r="21" spans="1:20">
      <c r="A21" s="202"/>
      <c r="B21" s="967"/>
      <c r="C21" s="955"/>
      <c r="D21" s="947"/>
      <c r="E21" s="952"/>
      <c r="F21" s="205"/>
      <c r="G21" s="949"/>
      <c r="H21" s="336"/>
      <c r="I21" s="204"/>
    </row>
    <row r="22" spans="1:20">
      <c r="A22" s="202"/>
      <c r="B22" s="967"/>
      <c r="C22" s="955"/>
      <c r="D22" s="947"/>
      <c r="E22" s="952"/>
      <c r="F22" s="205"/>
      <c r="G22" s="948"/>
      <c r="H22" s="336"/>
      <c r="I22" s="204"/>
    </row>
    <row r="23" spans="1:20">
      <c r="A23" s="202"/>
      <c r="B23" s="967"/>
      <c r="C23" s="955"/>
      <c r="D23" s="947"/>
      <c r="E23" s="952"/>
      <c r="F23" s="205"/>
      <c r="G23" s="949"/>
      <c r="H23" s="336"/>
      <c r="I23" s="204"/>
    </row>
    <row r="24" spans="1:20">
      <c r="A24" s="202"/>
      <c r="B24" s="967"/>
      <c r="C24" s="955"/>
      <c r="D24" s="947"/>
      <c r="E24" s="952"/>
      <c r="F24" s="205"/>
      <c r="G24" s="948"/>
      <c r="H24" s="336"/>
      <c r="I24" s="204"/>
    </row>
    <row r="25" spans="1:20">
      <c r="A25" s="202"/>
      <c r="B25" s="967"/>
      <c r="C25" s="955"/>
      <c r="D25" s="947"/>
      <c r="E25" s="952"/>
      <c r="F25" s="205"/>
      <c r="G25" s="949"/>
      <c r="H25" s="336"/>
      <c r="I25" s="204"/>
    </row>
    <row r="26" spans="1:20">
      <c r="A26" s="202"/>
      <c r="B26" s="967"/>
      <c r="C26" s="955"/>
      <c r="D26" s="947"/>
      <c r="E26" s="952"/>
      <c r="F26" s="205"/>
      <c r="G26" s="948"/>
      <c r="H26" s="336"/>
      <c r="I26" s="204"/>
    </row>
    <row r="27" spans="1:20">
      <c r="A27" s="202"/>
      <c r="B27" s="967"/>
      <c r="C27" s="955"/>
      <c r="D27" s="947"/>
      <c r="E27" s="952"/>
      <c r="F27" s="205"/>
      <c r="G27" s="949"/>
      <c r="H27" s="336"/>
      <c r="I27" s="204"/>
    </row>
    <row r="28" spans="1:20">
      <c r="A28" s="202"/>
      <c r="B28" s="967"/>
      <c r="C28" s="955"/>
      <c r="D28" s="947"/>
      <c r="E28" s="952"/>
      <c r="F28" s="205"/>
      <c r="G28" s="948"/>
      <c r="H28" s="336"/>
      <c r="I28" s="204"/>
    </row>
    <row r="29" spans="1:20">
      <c r="A29" s="202"/>
      <c r="B29" s="967"/>
      <c r="C29" s="955"/>
      <c r="D29" s="947"/>
      <c r="E29" s="952"/>
      <c r="F29" s="205"/>
      <c r="G29" s="949"/>
      <c r="H29" s="336"/>
      <c r="I29" s="204"/>
    </row>
    <row r="30" spans="1:20">
      <c r="A30" s="202"/>
      <c r="B30" s="967"/>
      <c r="C30" s="955"/>
      <c r="D30" s="373"/>
      <c r="E30" s="952"/>
      <c r="F30" s="205"/>
      <c r="G30" s="948"/>
      <c r="H30" s="336"/>
      <c r="I30" s="204"/>
    </row>
    <row r="31" spans="1:20">
      <c r="A31" s="202"/>
      <c r="B31" s="967"/>
      <c r="C31" s="548"/>
      <c r="D31" s="374"/>
      <c r="E31" s="952"/>
      <c r="F31" s="206"/>
      <c r="G31" s="987"/>
      <c r="H31" s="207"/>
      <c r="I31" s="208"/>
    </row>
    <row r="32" spans="1:20" ht="13.5" customHeight="1">
      <c r="A32" s="209"/>
      <c r="B32" s="967"/>
      <c r="C32" s="969" t="s">
        <v>297</v>
      </c>
      <c r="D32" s="958" t="s">
        <v>558</v>
      </c>
      <c r="E32" s="983" t="s">
        <v>557</v>
      </c>
      <c r="F32" s="225"/>
      <c r="G32" s="992">
        <v>0</v>
      </c>
      <c r="H32" s="336"/>
      <c r="I32" s="204"/>
    </row>
    <row r="33" spans="1:20">
      <c r="A33" s="209"/>
      <c r="B33" s="967"/>
      <c r="C33" s="955"/>
      <c r="D33" s="957"/>
      <c r="E33" s="952"/>
      <c r="F33" s="225"/>
      <c r="G33" s="993"/>
      <c r="H33" s="336"/>
      <c r="I33" s="204"/>
    </row>
    <row r="34" spans="1:20">
      <c r="A34" s="202"/>
      <c r="B34" s="967"/>
      <c r="C34" s="955"/>
      <c r="D34" s="493"/>
      <c r="E34" s="952"/>
      <c r="F34" s="225"/>
      <c r="G34" s="948"/>
      <c r="H34" s="336"/>
      <c r="I34" s="204"/>
    </row>
    <row r="35" spans="1:20">
      <c r="A35" s="202"/>
      <c r="B35" s="967"/>
      <c r="C35" s="955"/>
      <c r="D35" s="947"/>
      <c r="E35" s="952"/>
      <c r="F35" s="225"/>
      <c r="G35" s="949"/>
      <c r="H35" s="336"/>
      <c r="I35" s="204"/>
    </row>
    <row r="36" spans="1:20">
      <c r="A36" s="209"/>
      <c r="B36" s="967"/>
      <c r="C36" s="955"/>
      <c r="D36" s="947"/>
      <c r="E36" s="952"/>
      <c r="F36" s="225"/>
      <c r="G36" s="988"/>
      <c r="H36" s="336"/>
      <c r="I36" s="204"/>
      <c r="L36" s="178"/>
      <c r="M36" s="178"/>
    </row>
    <row r="37" spans="1:20">
      <c r="A37" s="209"/>
      <c r="B37" s="967"/>
      <c r="C37" s="955"/>
      <c r="D37" s="947"/>
      <c r="E37" s="952"/>
      <c r="F37" s="229">
        <v>0</v>
      </c>
      <c r="G37" s="988"/>
      <c r="H37" s="914">
        <f>IFERROR(ROUND(SUM(G32:G39)*F37/F38,0),0)</f>
        <v>0</v>
      </c>
      <c r="I37" s="915">
        <f>SUM(G32:G43)-H37</f>
        <v>0</v>
      </c>
      <c r="L37" s="231">
        <f>+F37-SUM(J37:K37,M37:N37)</f>
        <v>0</v>
      </c>
      <c r="M37" s="231"/>
      <c r="N37" s="223"/>
    </row>
    <row r="38" spans="1:20">
      <c r="A38" s="209"/>
      <c r="B38" s="967"/>
      <c r="C38" s="956"/>
      <c r="D38" s="947"/>
      <c r="E38" s="952"/>
      <c r="F38" s="230">
        <v>0</v>
      </c>
      <c r="G38" s="988"/>
      <c r="H38" s="914"/>
      <c r="I38" s="915"/>
      <c r="L38" s="147">
        <f>+H37-SUM(J38:K38,M38:N38)</f>
        <v>0</v>
      </c>
      <c r="M38" s="147">
        <f>IFERROR(ROUND(M37/F37*H37,0),0)</f>
        <v>0</v>
      </c>
      <c r="N38" s="147">
        <f>IFERROR(ROUND(N37/F37*H37,0),0)</f>
        <v>0</v>
      </c>
      <c r="P38" s="145">
        <f>+ROUND(K38*P$5/(1+P$5),0)</f>
        <v>0</v>
      </c>
      <c r="Q38" s="145">
        <f t="shared" ref="Q38:R38" si="5">+ROUND(L38*Q$5/(1+Q$5),0)</f>
        <v>0</v>
      </c>
      <c r="R38" s="145">
        <f t="shared" si="5"/>
        <v>0</v>
      </c>
      <c r="S38" s="145">
        <f>+ROUND(N38*S$5/(1+S$5),0)</f>
        <v>0</v>
      </c>
      <c r="T38" s="411">
        <f>SUM(P38:S38)</f>
        <v>0</v>
      </c>
    </row>
    <row r="39" spans="1:20">
      <c r="A39" s="209"/>
      <c r="B39" s="967"/>
      <c r="C39" s="955"/>
      <c r="D39" s="947"/>
      <c r="E39" s="952"/>
      <c r="F39" s="225"/>
      <c r="G39" s="988"/>
      <c r="H39" s="336"/>
      <c r="I39" s="204"/>
    </row>
    <row r="40" spans="1:20">
      <c r="A40" s="209"/>
      <c r="B40" s="967"/>
      <c r="C40" s="956"/>
      <c r="D40" s="947"/>
      <c r="E40" s="952"/>
      <c r="F40" s="224"/>
      <c r="G40" s="988"/>
      <c r="H40" s="336"/>
      <c r="I40" s="204"/>
    </row>
    <row r="41" spans="1:20">
      <c r="A41" s="209"/>
      <c r="B41" s="967"/>
      <c r="C41" s="955"/>
      <c r="D41" s="947"/>
      <c r="E41" s="952"/>
      <c r="F41" s="224"/>
      <c r="G41" s="988"/>
      <c r="H41" s="336"/>
      <c r="I41" s="204"/>
    </row>
    <row r="42" spans="1:20">
      <c r="A42" s="209"/>
      <c r="B42" s="967"/>
      <c r="C42" s="956"/>
      <c r="D42" s="947"/>
      <c r="E42" s="952"/>
      <c r="F42" s="224"/>
      <c r="G42" s="948"/>
      <c r="H42" s="336"/>
      <c r="I42" s="204"/>
    </row>
    <row r="43" spans="1:20" ht="14.25" thickBot="1">
      <c r="A43" s="212"/>
      <c r="B43" s="968"/>
      <c r="C43" s="972"/>
      <c r="D43" s="982"/>
      <c r="E43" s="984"/>
      <c r="F43" s="226"/>
      <c r="G43" s="981"/>
      <c r="H43" s="214"/>
      <c r="I43" s="215"/>
    </row>
    <row r="44" spans="1:20" ht="14.25">
      <c r="F44" s="216"/>
    </row>
    <row r="45" spans="1:20" ht="14.25">
      <c r="F45" s="216"/>
    </row>
    <row r="46" spans="1:20" ht="14.25">
      <c r="F46" s="216"/>
    </row>
  </sheetData>
  <mergeCells count="73">
    <mergeCell ref="A1:I1"/>
    <mergeCell ref="A4:C5"/>
    <mergeCell ref="D4:D5"/>
    <mergeCell ref="E4:E5"/>
    <mergeCell ref="G4:G5"/>
    <mergeCell ref="H4:H5"/>
    <mergeCell ref="I4:I5"/>
    <mergeCell ref="D6:D7"/>
    <mergeCell ref="C42:C43"/>
    <mergeCell ref="G42:G43"/>
    <mergeCell ref="E32:E43"/>
    <mergeCell ref="C38:C39"/>
    <mergeCell ref="G38:G39"/>
    <mergeCell ref="C40:C41"/>
    <mergeCell ref="G36:G37"/>
    <mergeCell ref="G34:G35"/>
    <mergeCell ref="C30:C31"/>
    <mergeCell ref="G28:G29"/>
    <mergeCell ref="E8:E31"/>
    <mergeCell ref="G6:G7"/>
    <mergeCell ref="C10:C11"/>
    <mergeCell ref="C16:C17"/>
    <mergeCell ref="G26:G27"/>
    <mergeCell ref="D42:D43"/>
    <mergeCell ref="D40:D41"/>
    <mergeCell ref="C36:C37"/>
    <mergeCell ref="D36:D37"/>
    <mergeCell ref="D38:D39"/>
    <mergeCell ref="D34:D35"/>
    <mergeCell ref="C14:C15"/>
    <mergeCell ref="C32:C33"/>
    <mergeCell ref="C22:C23"/>
    <mergeCell ref="C24:C25"/>
    <mergeCell ref="C20:C21"/>
    <mergeCell ref="C18:C19"/>
    <mergeCell ref="C26:C27"/>
    <mergeCell ref="A6:C7"/>
    <mergeCell ref="C8:C9"/>
    <mergeCell ref="C12:C13"/>
    <mergeCell ref="B8:B43"/>
    <mergeCell ref="C28:C29"/>
    <mergeCell ref="C34:C35"/>
    <mergeCell ref="G40:G41"/>
    <mergeCell ref="H37:H38"/>
    <mergeCell ref="I37:I38"/>
    <mergeCell ref="H19:H20"/>
    <mergeCell ref="I19:I20"/>
    <mergeCell ref="G32:G33"/>
    <mergeCell ref="G18:G19"/>
    <mergeCell ref="G20:G21"/>
    <mergeCell ref="G22:G23"/>
    <mergeCell ref="G24:G25"/>
    <mergeCell ref="E6:E7"/>
    <mergeCell ref="I6:I7"/>
    <mergeCell ref="H6:H7"/>
    <mergeCell ref="G8:G9"/>
    <mergeCell ref="G30:G31"/>
    <mergeCell ref="G12:G13"/>
    <mergeCell ref="G14:G15"/>
    <mergeCell ref="G16:G17"/>
    <mergeCell ref="G10:G11"/>
    <mergeCell ref="D8:D9"/>
    <mergeCell ref="D12:D13"/>
    <mergeCell ref="D28:D29"/>
    <mergeCell ref="D22:D23"/>
    <mergeCell ref="D32:D33"/>
    <mergeCell ref="D10:D11"/>
    <mergeCell ref="D18:D19"/>
    <mergeCell ref="D16:D17"/>
    <mergeCell ref="D26:D27"/>
    <mergeCell ref="D14:D15"/>
    <mergeCell ref="D20:D21"/>
    <mergeCell ref="D24:D25"/>
  </mergeCells>
  <phoneticPr fontId="2"/>
  <printOptions horizontalCentered="1"/>
  <pageMargins left="0.59055118110236227" right="0.39370078740157483" top="0.98425196850393704" bottom="0.98425196850393704" header="0.51181102362204722" footer="0.51181102362204722"/>
  <pageSetup paperSize="9" scale="57" fitToHeight="0" orientation="landscape" r:id="rId1"/>
  <headerFooter alignWithMargins="0">
    <oddFooter>&amp;L&amp;6&amp;F &amp;A&amp;R&amp;6&amp;D &amp;T</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tabColor rgb="FF00FFFF"/>
    <pageSetUpPr fitToPage="1"/>
  </sheetPr>
  <dimension ref="A1:U18"/>
  <sheetViews>
    <sheetView view="pageBreakPreview" zoomScale="60" zoomScaleNormal="85" workbookViewId="0">
      <pane xSplit="3" ySplit="5" topLeftCell="E6" activePane="bottomRight" state="frozen"/>
      <selection activeCell="S7" sqref="S7"/>
      <selection pane="topRight" activeCell="S7" sqref="S7"/>
      <selection pane="bottomLeft" activeCell="S7" sqref="S7"/>
      <selection pane="bottomRight" activeCell="Z22" sqref="Z22"/>
    </sheetView>
  </sheetViews>
  <sheetFormatPr defaultColWidth="9" defaultRowHeight="13.5"/>
  <cols>
    <col min="1" max="1" width="2.625" style="140" customWidth="1"/>
    <col min="2" max="2" width="4.625" style="140" customWidth="1"/>
    <col min="3" max="3" width="19.625" style="140" customWidth="1"/>
    <col min="4" max="5" width="22.625" style="140" customWidth="1"/>
    <col min="6" max="6" width="15.625" style="72" customWidth="1"/>
    <col min="7" max="9" width="12.625" style="72" customWidth="1"/>
    <col min="10" max="11" width="7.875" style="72" customWidth="1"/>
    <col min="12" max="14" width="12.625" style="72" customWidth="1"/>
    <col min="15" max="15" width="9" style="140"/>
    <col min="16" max="20" width="12.625" style="140" customWidth="1"/>
    <col min="21" max="23" width="14.875" style="140" customWidth="1"/>
    <col min="24" max="16384" width="9" style="140"/>
  </cols>
  <sheetData>
    <row r="1" spans="1:21" ht="17.25" customHeight="1">
      <c r="A1" s="579" t="str">
        <f>+"令和"&amp;MID(総括表!A2,3,1)&amp;"年度決算　不課税収入区分表(受益者負担金)"</f>
        <v>令和５年度決算　不課税収入区分表(受益者負担金)</v>
      </c>
      <c r="B1" s="579"/>
      <c r="C1" s="579"/>
      <c r="D1" s="579"/>
      <c r="E1" s="579"/>
      <c r="F1" s="579"/>
      <c r="G1" s="579"/>
      <c r="H1" s="579"/>
      <c r="I1" s="579"/>
    </row>
    <row r="2" spans="1:21" ht="17.25" customHeight="1">
      <c r="A2" s="1"/>
      <c r="B2" s="1"/>
      <c r="C2" s="1"/>
      <c r="D2" s="1"/>
      <c r="E2" s="1"/>
      <c r="F2" s="171"/>
      <c r="G2" s="171"/>
      <c r="H2" s="171"/>
      <c r="I2" s="171"/>
    </row>
    <row r="3" spans="1:21" ht="17.25" customHeight="1" thickBot="1">
      <c r="A3" s="1"/>
      <c r="B3" s="1"/>
      <c r="C3" s="1"/>
      <c r="D3" s="1"/>
      <c r="E3" s="1"/>
      <c r="F3" s="171"/>
      <c r="G3" s="171"/>
      <c r="H3" s="171"/>
      <c r="I3" s="187" t="s">
        <v>133</v>
      </c>
    </row>
    <row r="4" spans="1:21" ht="24.95" customHeight="1">
      <c r="A4" s="587" t="s">
        <v>15</v>
      </c>
      <c r="B4" s="582"/>
      <c r="C4" s="588"/>
      <c r="D4" s="584" t="s">
        <v>74</v>
      </c>
      <c r="E4" s="582" t="s">
        <v>75</v>
      </c>
      <c r="F4" s="174" t="s">
        <v>66</v>
      </c>
      <c r="G4" s="778" t="s">
        <v>134</v>
      </c>
      <c r="H4" s="778" t="s">
        <v>49</v>
      </c>
      <c r="I4" s="772" t="s">
        <v>50</v>
      </c>
      <c r="J4" s="143" t="s">
        <v>384</v>
      </c>
      <c r="K4" s="144"/>
      <c r="L4" s="144"/>
      <c r="M4" s="144"/>
      <c r="P4" s="146" t="s">
        <v>488</v>
      </c>
      <c r="Q4" s="146"/>
      <c r="R4" s="146"/>
      <c r="S4" s="146"/>
    </row>
    <row r="5" spans="1:21" ht="24.95" customHeight="1">
      <c r="A5" s="589"/>
      <c r="B5" s="583"/>
      <c r="C5" s="590"/>
      <c r="D5" s="585"/>
      <c r="E5" s="583"/>
      <c r="F5" s="188" t="s">
        <v>69</v>
      </c>
      <c r="G5" s="779"/>
      <c r="H5" s="779"/>
      <c r="I5" s="773"/>
      <c r="J5" s="325">
        <v>0.03</v>
      </c>
      <c r="K5" s="422">
        <v>0.05</v>
      </c>
      <c r="L5" s="196">
        <v>0.08</v>
      </c>
      <c r="M5" s="416">
        <v>0.08</v>
      </c>
      <c r="N5" s="197">
        <v>0.1</v>
      </c>
      <c r="P5" s="186">
        <v>0.05</v>
      </c>
      <c r="Q5" s="186">
        <v>0.08</v>
      </c>
      <c r="R5" s="416">
        <v>0.08</v>
      </c>
      <c r="S5" s="197">
        <v>0.1</v>
      </c>
      <c r="T5" s="409" t="s">
        <v>489</v>
      </c>
      <c r="U5" s="140" t="s">
        <v>490</v>
      </c>
    </row>
    <row r="6" spans="1:21" ht="24.95" customHeight="1">
      <c r="A6" s="816" t="s">
        <v>135</v>
      </c>
      <c r="B6" s="505"/>
      <c r="C6" s="504"/>
      <c r="D6" s="818"/>
      <c r="E6" s="840"/>
      <c r="F6" s="190"/>
      <c r="G6" s="1005">
        <f>G10+G8</f>
        <v>8799605</v>
      </c>
      <c r="H6" s="1005">
        <f>H10+H8</f>
        <v>8525089</v>
      </c>
      <c r="I6" s="1006">
        <f>I10+I8</f>
        <v>274516</v>
      </c>
      <c r="K6" s="72">
        <f>K9+K11</f>
        <v>0</v>
      </c>
      <c r="L6" s="72">
        <f>L9+L11</f>
        <v>338</v>
      </c>
      <c r="M6" s="72">
        <f>M9+M11</f>
        <v>99</v>
      </c>
      <c r="N6" s="72">
        <f>N9+N11</f>
        <v>8524652</v>
      </c>
      <c r="P6" s="145">
        <f t="shared" ref="P6:T6" si="0">P9+P11</f>
        <v>0</v>
      </c>
      <c r="Q6" s="145">
        <f t="shared" si="0"/>
        <v>25</v>
      </c>
      <c r="R6" s="145">
        <f t="shared" si="0"/>
        <v>7</v>
      </c>
      <c r="S6" s="145">
        <f t="shared" si="0"/>
        <v>774968</v>
      </c>
      <c r="T6" s="411">
        <f t="shared" si="0"/>
        <v>775000</v>
      </c>
      <c r="U6" s="286">
        <f>+T6-'[4]4条収入'!$AH$44</f>
        <v>0</v>
      </c>
    </row>
    <row r="7" spans="1:21" ht="24.95" customHeight="1">
      <c r="A7" s="817"/>
      <c r="B7" s="532"/>
      <c r="C7" s="533"/>
      <c r="D7" s="819"/>
      <c r="E7" s="841"/>
      <c r="F7" s="191"/>
      <c r="G7" s="1001"/>
      <c r="H7" s="1001"/>
      <c r="I7" s="1003"/>
      <c r="K7" s="145"/>
      <c r="L7" s="145"/>
      <c r="M7" s="145"/>
      <c r="N7" s="145"/>
    </row>
    <row r="8" spans="1:21" ht="24.95" customHeight="1">
      <c r="A8" s="154"/>
      <c r="B8" s="1011" t="s">
        <v>136</v>
      </c>
      <c r="C8" s="502"/>
      <c r="D8" s="497"/>
      <c r="E8" s="834" t="s">
        <v>564</v>
      </c>
      <c r="F8" s="235">
        <f>'4条補助（公）'!F19</f>
        <v>5036234000</v>
      </c>
      <c r="G8" s="1009">
        <f>E15</f>
        <v>5005000</v>
      </c>
      <c r="H8" s="1009">
        <f>IFERROR(ROUND(F8/F9*G8,0),0)</f>
        <v>5005000</v>
      </c>
      <c r="I8" s="1007">
        <f>G8-H8</f>
        <v>0</v>
      </c>
      <c r="K8" s="145"/>
      <c r="L8" s="239">
        <f>'4条補助（公）'!K19+'4条補助（公）'!L19</f>
        <v>0</v>
      </c>
      <c r="M8" s="239">
        <f>'4条補助（公）'!M19</f>
        <v>0</v>
      </c>
      <c r="N8" s="239">
        <f>'4条補助（公）'!N19</f>
        <v>5036234000</v>
      </c>
    </row>
    <row r="9" spans="1:21" ht="24.95" customHeight="1">
      <c r="A9" s="154"/>
      <c r="B9" s="501"/>
      <c r="C9" s="502"/>
      <c r="D9" s="497"/>
      <c r="E9" s="547"/>
      <c r="F9" s="236">
        <f>D15</f>
        <v>5036234000</v>
      </c>
      <c r="G9" s="1010"/>
      <c r="H9" s="1010"/>
      <c r="I9" s="1008"/>
      <c r="K9" s="145"/>
      <c r="L9" s="145">
        <f>+H8-SUM(J9:K9,M9:N9)</f>
        <v>0</v>
      </c>
      <c r="M9" s="145">
        <f>IFERROR(ROUND(M8/F8*H8,0),0)</f>
        <v>0</v>
      </c>
      <c r="N9" s="145">
        <f>IFERROR(ROUND(N8/F8*H8,0),0)</f>
        <v>5005000</v>
      </c>
      <c r="P9" s="145">
        <f>+ROUND(K9*P$5/(1+P$5),0)</f>
        <v>0</v>
      </c>
      <c r="Q9" s="145">
        <f t="shared" ref="Q9" si="1">+ROUND(L9*Q$5/(1+Q$5),0)</f>
        <v>0</v>
      </c>
      <c r="R9" s="145">
        <f>+ROUND(M9*R$5/(1+R$5),0)</f>
        <v>0</v>
      </c>
      <c r="S9" s="145">
        <f>+ROUND(N9*S$5/(1+S$5),0)</f>
        <v>455000</v>
      </c>
      <c r="T9" s="411">
        <f>SUM(P9:S9)</f>
        <v>455000</v>
      </c>
    </row>
    <row r="10" spans="1:21" ht="24.95" customHeight="1">
      <c r="A10" s="154"/>
      <c r="B10" s="1011" t="s">
        <v>31</v>
      </c>
      <c r="C10" s="502"/>
      <c r="D10" s="497"/>
      <c r="E10" s="834" t="s">
        <v>565</v>
      </c>
      <c r="F10" s="240">
        <v>1308137124</v>
      </c>
      <c r="G10" s="1001">
        <f>E16</f>
        <v>3794605</v>
      </c>
      <c r="H10" s="1001">
        <f>IFERROR(ROUND(F10/F11*G10,0),0)</f>
        <v>3520089</v>
      </c>
      <c r="I10" s="1003">
        <f>G10-H10</f>
        <v>274516</v>
      </c>
      <c r="K10" s="145"/>
      <c r="L10" s="367">
        <v>125712</v>
      </c>
      <c r="M10" s="367">
        <v>36840</v>
      </c>
      <c r="N10" s="239">
        <f>F10-SUM(L10:M10)</f>
        <v>1307974572</v>
      </c>
    </row>
    <row r="11" spans="1:21" ht="24.95" customHeight="1" thickBot="1">
      <c r="A11" s="151"/>
      <c r="B11" s="1012"/>
      <c r="C11" s="1013"/>
      <c r="D11" s="917"/>
      <c r="E11" s="843"/>
      <c r="F11" s="237">
        <f>D16</f>
        <v>1410153000</v>
      </c>
      <c r="G11" s="1002"/>
      <c r="H11" s="1002"/>
      <c r="I11" s="1004"/>
      <c r="K11" s="145"/>
      <c r="L11" s="145">
        <f>+H10-SUM(J11:K11,M11:N11)</f>
        <v>338</v>
      </c>
      <c r="M11" s="145">
        <f>IFERROR(ROUND(M10/F10*H10,0),0)</f>
        <v>99</v>
      </c>
      <c r="N11" s="145">
        <f>IFERROR(ROUND(N10/F10*H10,0),0)</f>
        <v>3519652</v>
      </c>
      <c r="P11" s="145">
        <f>+ROUND(K11*P$5/(1+P$5),0)</f>
        <v>0</v>
      </c>
      <c r="Q11" s="145">
        <f t="shared" ref="Q11:R11" si="2">+ROUND(L11*Q$5/(1+Q$5),0)</f>
        <v>25</v>
      </c>
      <c r="R11" s="145">
        <f t="shared" si="2"/>
        <v>7</v>
      </c>
      <c r="S11" s="145">
        <f>+ROUND(N11*S$5/(1+S$5),0)</f>
        <v>319968</v>
      </c>
      <c r="T11" s="411">
        <f>SUM(P11:S11)</f>
        <v>320000</v>
      </c>
    </row>
    <row r="12" spans="1:21">
      <c r="A12" s="23"/>
      <c r="B12" s="23"/>
      <c r="C12" s="23"/>
      <c r="D12" s="23"/>
      <c r="E12" s="23"/>
      <c r="F12" s="192"/>
      <c r="G12" s="192"/>
      <c r="H12" s="192"/>
      <c r="I12" s="192"/>
      <c r="K12" s="145"/>
    </row>
    <row r="13" spans="1:21" ht="14.25" thickBot="1">
      <c r="A13" s="23"/>
      <c r="B13" s="23"/>
      <c r="C13" s="23"/>
      <c r="D13" s="23"/>
      <c r="E13" s="23"/>
      <c r="F13" s="192"/>
      <c r="G13" s="192"/>
      <c r="H13" s="192"/>
      <c r="I13" s="192"/>
    </row>
    <row r="14" spans="1:21">
      <c r="A14" s="23"/>
      <c r="B14" s="23"/>
      <c r="C14" s="51" t="s">
        <v>137</v>
      </c>
      <c r="D14" s="106" t="s">
        <v>138</v>
      </c>
      <c r="E14" s="105" t="s">
        <v>139</v>
      </c>
      <c r="F14" s="192"/>
      <c r="G14" s="192"/>
      <c r="H14" s="192"/>
      <c r="I14" s="192"/>
    </row>
    <row r="15" spans="1:21">
      <c r="A15" s="23"/>
      <c r="B15" s="23"/>
      <c r="C15" s="52" t="s">
        <v>131</v>
      </c>
      <c r="D15" s="238">
        <f>'4条補助（公）'!F20</f>
        <v>5036234000</v>
      </c>
      <c r="E15" s="234">
        <v>5005000</v>
      </c>
      <c r="F15" s="192"/>
      <c r="G15" s="192"/>
      <c r="H15" s="192"/>
      <c r="I15" s="192"/>
    </row>
    <row r="16" spans="1:21">
      <c r="A16" s="23"/>
      <c r="B16" s="23"/>
      <c r="C16" s="52" t="s">
        <v>132</v>
      </c>
      <c r="D16" s="233">
        <v>1410153000</v>
      </c>
      <c r="E16" s="234">
        <f>3390885+403720</f>
        <v>3794605</v>
      </c>
      <c r="F16" s="192"/>
      <c r="G16" s="192"/>
      <c r="H16" s="192"/>
      <c r="I16" s="192"/>
    </row>
    <row r="17" spans="1:14" ht="14.25" thickBot="1">
      <c r="A17" s="23"/>
      <c r="B17" s="23"/>
      <c r="C17" s="53" t="s">
        <v>26</v>
      </c>
      <c r="D17" s="88">
        <f>D15+D16</f>
        <v>6446387000</v>
      </c>
      <c r="E17" s="89">
        <f>E15+E16</f>
        <v>8799605</v>
      </c>
      <c r="F17" s="192"/>
      <c r="G17" s="192"/>
      <c r="H17" s="192"/>
      <c r="I17" s="192"/>
      <c r="J17" s="140"/>
      <c r="K17" s="140"/>
      <c r="L17" s="140"/>
      <c r="M17" s="140"/>
      <c r="N17" s="140"/>
    </row>
    <row r="18" spans="1:14">
      <c r="E18" s="54">
        <f>E17-E15-E16</f>
        <v>0</v>
      </c>
      <c r="J18" s="140"/>
      <c r="K18" s="140"/>
      <c r="L18" s="140"/>
      <c r="M18" s="140"/>
      <c r="N18" s="140"/>
    </row>
  </sheetData>
  <mergeCells count="25">
    <mergeCell ref="A1:I1"/>
    <mergeCell ref="A4:C5"/>
    <mergeCell ref="D4:D5"/>
    <mergeCell ref="E4:E5"/>
    <mergeCell ref="G4:G5"/>
    <mergeCell ref="H4:H5"/>
    <mergeCell ref="I4:I5"/>
    <mergeCell ref="B10:C11"/>
    <mergeCell ref="D10:D11"/>
    <mergeCell ref="E10:E11"/>
    <mergeCell ref="D6:D7"/>
    <mergeCell ref="E6:E7"/>
    <mergeCell ref="A6:C7"/>
    <mergeCell ref="B8:C9"/>
    <mergeCell ref="D8:D9"/>
    <mergeCell ref="E8:E9"/>
    <mergeCell ref="G10:G11"/>
    <mergeCell ref="H10:H11"/>
    <mergeCell ref="I10:I11"/>
    <mergeCell ref="G6:G7"/>
    <mergeCell ref="H6:H7"/>
    <mergeCell ref="I6:I7"/>
    <mergeCell ref="I8:I9"/>
    <mergeCell ref="H8:H9"/>
    <mergeCell ref="G8:G9"/>
  </mergeCells>
  <phoneticPr fontId="2"/>
  <printOptions horizontalCentered="1"/>
  <pageMargins left="0.59055118110236227" right="0.39370078740157483" top="0.98425196850393704" bottom="0.98425196850393704" header="0.51181102362204722" footer="0.51181102362204722"/>
  <pageSetup paperSize="9" scale="52" fitToHeight="0" orientation="landscape" r:id="rId1"/>
  <headerFooter alignWithMargins="0">
    <oddFooter>&amp;L&amp;6&amp;F　&amp;A&amp;R&amp;6&amp;D　&amp;T</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rgb="FF00FFFF"/>
    <pageSetUpPr fitToPage="1"/>
  </sheetPr>
  <dimension ref="A1:U78"/>
  <sheetViews>
    <sheetView view="pageBreakPreview" zoomScale="85" zoomScaleNormal="85" zoomScaleSheetLayoutView="85" workbookViewId="0">
      <pane xSplit="5" ySplit="5" topLeftCell="F30" activePane="bottomRight" state="frozen"/>
      <selection activeCell="D10" sqref="D10:D11"/>
      <selection pane="topRight" activeCell="D10" sqref="D10:D11"/>
      <selection pane="bottomLeft" activeCell="D10" sqref="D10:D11"/>
      <selection pane="bottomRight" activeCell="I46" sqref="I46:I47"/>
    </sheetView>
  </sheetViews>
  <sheetFormatPr defaultColWidth="9" defaultRowHeight="13.5"/>
  <cols>
    <col min="1" max="1" width="2.625" style="146" customWidth="1"/>
    <col min="2" max="2" width="4.625" style="146" customWidth="1"/>
    <col min="3" max="3" width="19.625" style="146" customWidth="1"/>
    <col min="4" max="5" width="22.625" style="146" customWidth="1"/>
    <col min="6" max="6" width="15.625" style="145" customWidth="1"/>
    <col min="7" max="9" width="12.625" style="145" customWidth="1"/>
    <col min="10" max="11" width="4.875" style="145" customWidth="1"/>
    <col min="12" max="14" width="12.75" style="145" customWidth="1"/>
    <col min="15" max="15" width="9" style="146"/>
    <col min="16" max="20" width="12.625" style="146" customWidth="1"/>
    <col min="21" max="21" width="22.375" style="146" bestFit="1" customWidth="1"/>
    <col min="22" max="23" width="14.875" style="146" customWidth="1"/>
    <col min="24" max="16384" width="9" style="146"/>
  </cols>
  <sheetData>
    <row r="1" spans="1:21" ht="17.25" customHeight="1">
      <c r="A1" s="659" t="str">
        <f>+"令和"&amp;MID(総括表!A2,3,1)&amp;"年度決算　不課税収入区分表(受益者分担金)（汚水処理施設整備）全体"</f>
        <v>令和５年度決算　不課税収入区分表(受益者分担金)（汚水処理施設整備）全体</v>
      </c>
      <c r="B1" s="659"/>
      <c r="C1" s="659"/>
      <c r="D1" s="659"/>
      <c r="E1" s="659"/>
      <c r="F1" s="659"/>
      <c r="G1" s="659"/>
      <c r="H1" s="659"/>
      <c r="I1" s="659"/>
    </row>
    <row r="2" spans="1:21" ht="17.25" customHeight="1">
      <c r="A2" s="101"/>
      <c r="B2" s="101"/>
      <c r="C2" s="101"/>
      <c r="D2" s="101"/>
      <c r="E2" s="101"/>
      <c r="F2" s="172"/>
      <c r="G2" s="172"/>
      <c r="H2" s="172"/>
      <c r="I2" s="172"/>
    </row>
    <row r="3" spans="1:21" ht="17.25" customHeight="1" thickBot="1">
      <c r="A3" s="101"/>
      <c r="B3" s="101"/>
      <c r="C3" s="101"/>
      <c r="D3" s="101"/>
      <c r="E3" s="101"/>
      <c r="F3" s="172"/>
      <c r="G3" s="172"/>
      <c r="H3" s="172"/>
      <c r="I3" s="173" t="s">
        <v>213</v>
      </c>
    </row>
    <row r="4" spans="1:21" ht="24.95" customHeight="1">
      <c r="A4" s="973" t="s">
        <v>170</v>
      </c>
      <c r="B4" s="974"/>
      <c r="C4" s="975"/>
      <c r="D4" s="979" t="s">
        <v>214</v>
      </c>
      <c r="E4" s="974" t="s">
        <v>215</v>
      </c>
      <c r="F4" s="174" t="s">
        <v>165</v>
      </c>
      <c r="G4" s="778" t="s">
        <v>216</v>
      </c>
      <c r="H4" s="778" t="s">
        <v>217</v>
      </c>
      <c r="I4" s="772" t="s">
        <v>218</v>
      </c>
      <c r="J4" s="175" t="s">
        <v>384</v>
      </c>
      <c r="K4" s="176"/>
      <c r="L4" s="176"/>
      <c r="M4" s="176"/>
      <c r="P4" s="146" t="s">
        <v>488</v>
      </c>
    </row>
    <row r="5" spans="1:21" ht="24.95" customHeight="1">
      <c r="A5" s="976"/>
      <c r="B5" s="977"/>
      <c r="C5" s="978"/>
      <c r="D5" s="980"/>
      <c r="E5" s="977"/>
      <c r="F5" s="177" t="s">
        <v>166</v>
      </c>
      <c r="G5" s="779"/>
      <c r="H5" s="779"/>
      <c r="I5" s="773"/>
      <c r="J5" s="325">
        <v>0.03</v>
      </c>
      <c r="K5" s="422">
        <v>0.05</v>
      </c>
      <c r="L5" s="186">
        <v>0.08</v>
      </c>
      <c r="M5" s="416">
        <v>0.08</v>
      </c>
      <c r="N5" s="197">
        <v>0.1</v>
      </c>
      <c r="P5" s="186">
        <v>0.05</v>
      </c>
      <c r="Q5" s="186">
        <v>0.08</v>
      </c>
      <c r="R5" s="416">
        <v>0.08</v>
      </c>
      <c r="S5" s="197">
        <v>0.1</v>
      </c>
      <c r="T5" s="408" t="s">
        <v>489</v>
      </c>
      <c r="U5" s="146" t="s">
        <v>490</v>
      </c>
    </row>
    <row r="6" spans="1:21" ht="24.95" customHeight="1">
      <c r="A6" s="1033" t="s">
        <v>300</v>
      </c>
      <c r="B6" s="1034"/>
      <c r="C6" s="620"/>
      <c r="D6" s="970"/>
      <c r="E6" s="959"/>
      <c r="F6" s="241"/>
      <c r="G6" s="1035">
        <f>G10+G8</f>
        <v>35218280</v>
      </c>
      <c r="H6" s="1036">
        <f>H10+H8</f>
        <v>33459431</v>
      </c>
      <c r="I6" s="1024">
        <f>I10+I8</f>
        <v>1758849</v>
      </c>
      <c r="J6" s="145">
        <f t="shared" ref="J6:T8" si="0">SUM(J26,J46,J66)</f>
        <v>0</v>
      </c>
      <c r="K6" s="145">
        <f t="shared" si="0"/>
        <v>0</v>
      </c>
      <c r="L6" s="145">
        <f t="shared" si="0"/>
        <v>0</v>
      </c>
      <c r="M6" s="145">
        <f t="shared" si="0"/>
        <v>0</v>
      </c>
      <c r="N6" s="145">
        <f t="shared" si="0"/>
        <v>33459431</v>
      </c>
      <c r="P6" s="145">
        <f t="shared" si="0"/>
        <v>0</v>
      </c>
      <c r="Q6" s="145">
        <f t="shared" si="0"/>
        <v>0</v>
      </c>
      <c r="R6" s="145">
        <f t="shared" si="0"/>
        <v>0</v>
      </c>
      <c r="S6" s="145">
        <f t="shared" si="0"/>
        <v>3041767</v>
      </c>
      <c r="T6" s="145">
        <f t="shared" si="0"/>
        <v>3041767</v>
      </c>
      <c r="U6" s="411">
        <f>+T6-'[4]4条収入'!$AH$46</f>
        <v>0</v>
      </c>
    </row>
    <row r="7" spans="1:21" ht="24.95" customHeight="1">
      <c r="A7" s="964"/>
      <c r="B7" s="965"/>
      <c r="C7" s="622"/>
      <c r="D7" s="971"/>
      <c r="E7" s="960"/>
      <c r="F7" s="242"/>
      <c r="G7" s="1020"/>
      <c r="H7" s="1022"/>
      <c r="I7" s="1014"/>
      <c r="K7" s="178"/>
      <c r="L7" s="178"/>
      <c r="M7" s="178"/>
    </row>
    <row r="8" spans="1:21" ht="24.95" customHeight="1">
      <c r="A8" s="202"/>
      <c r="B8" s="1016" t="s">
        <v>315</v>
      </c>
      <c r="C8" s="1017"/>
      <c r="D8" s="947"/>
      <c r="E8" s="832" t="s">
        <v>564</v>
      </c>
      <c r="F8" s="235">
        <f>SUM(F28,F48,F68)</f>
        <v>37960200</v>
      </c>
      <c r="G8" s="1027">
        <f>SUM(G28,G48,G68)</f>
        <v>1842000</v>
      </c>
      <c r="H8" s="1027">
        <f>SUM(H28,H48,H68)</f>
        <v>1842000</v>
      </c>
      <c r="I8" s="1031">
        <f>G8-H8</f>
        <v>0</v>
      </c>
      <c r="J8" s="145">
        <f t="shared" si="0"/>
        <v>0</v>
      </c>
      <c r="K8" s="145">
        <f t="shared" si="0"/>
        <v>0</v>
      </c>
      <c r="L8" s="145">
        <f t="shared" si="0"/>
        <v>0</v>
      </c>
      <c r="M8" s="145">
        <f t="shared" ref="M8" si="1">SUM(M28,M48,M68)</f>
        <v>0</v>
      </c>
      <c r="N8" s="145">
        <f t="shared" si="0"/>
        <v>37960200</v>
      </c>
    </row>
    <row r="9" spans="1:21" ht="24.95" customHeight="1">
      <c r="A9" s="202"/>
      <c r="B9" s="1025"/>
      <c r="C9" s="1017"/>
      <c r="D9" s="947"/>
      <c r="E9" s="1026"/>
      <c r="F9" s="235">
        <f>D15</f>
        <v>37960200</v>
      </c>
      <c r="G9" s="1028"/>
      <c r="H9" s="1028"/>
      <c r="I9" s="1032"/>
      <c r="J9" s="145">
        <f t="shared" ref="J9" si="2">SUM(J29,J49,J69)</f>
        <v>0</v>
      </c>
      <c r="K9" s="145">
        <f>SUM(K29,K49,K69)</f>
        <v>0</v>
      </c>
      <c r="L9" s="145">
        <f t="shared" ref="L9:N9" si="3">SUM(L29,L49,L69)</f>
        <v>0</v>
      </c>
      <c r="M9" s="145">
        <f t="shared" ref="M9" si="4">SUM(M29,M49,M69)</f>
        <v>0</v>
      </c>
      <c r="N9" s="145">
        <f t="shared" si="3"/>
        <v>1842000</v>
      </c>
      <c r="P9" s="145">
        <f t="shared" ref="P9" si="5">SUM(P29,P49,P69)</f>
        <v>0</v>
      </c>
      <c r="Q9" s="145">
        <f>SUM(Q29,Q49,Q69)</f>
        <v>0</v>
      </c>
      <c r="R9" s="145">
        <f>SUM(R29,R49,R69)</f>
        <v>0</v>
      </c>
      <c r="S9" s="145">
        <f t="shared" ref="S9:T9" si="6">SUM(S29,S49,S69)</f>
        <v>167455</v>
      </c>
      <c r="T9" s="145">
        <f t="shared" si="6"/>
        <v>167455</v>
      </c>
    </row>
    <row r="10" spans="1:21" ht="24.95" customHeight="1">
      <c r="A10" s="202"/>
      <c r="B10" s="1016" t="s">
        <v>318</v>
      </c>
      <c r="C10" s="1017"/>
      <c r="D10" s="947"/>
      <c r="E10" s="832" t="s">
        <v>565</v>
      </c>
      <c r="F10" s="235">
        <f>SUM(F30,F50,F70)</f>
        <v>222348632</v>
      </c>
      <c r="G10" s="1020">
        <f>SUM(G30,G50,G70)</f>
        <v>33376280</v>
      </c>
      <c r="H10" s="1022">
        <f>SUM(H30,H50,H70)</f>
        <v>31617431</v>
      </c>
      <c r="I10" s="1014">
        <f>G10-H10</f>
        <v>1758849</v>
      </c>
      <c r="J10" s="145">
        <f t="shared" ref="J10:N10" si="7">SUM(J30,J50,J70)</f>
        <v>0</v>
      </c>
      <c r="K10" s="145">
        <f t="shared" si="7"/>
        <v>0</v>
      </c>
      <c r="L10" s="145">
        <f t="shared" si="7"/>
        <v>0</v>
      </c>
      <c r="M10" s="145">
        <f t="shared" ref="M10" si="8">SUM(M30,M50,M70)</f>
        <v>0</v>
      </c>
      <c r="N10" s="145">
        <f t="shared" si="7"/>
        <v>222348632</v>
      </c>
    </row>
    <row r="11" spans="1:21" ht="24.95" customHeight="1" thickBot="1">
      <c r="A11" s="243"/>
      <c r="B11" s="1018"/>
      <c r="C11" s="1019"/>
      <c r="D11" s="982"/>
      <c r="E11" s="833"/>
      <c r="F11" s="250">
        <f>D16</f>
        <v>235300000</v>
      </c>
      <c r="G11" s="1021"/>
      <c r="H11" s="1023"/>
      <c r="I11" s="1015"/>
      <c r="J11" s="145">
        <f t="shared" ref="J11:N11" si="9">SUM(J31,J51,J71)</f>
        <v>0</v>
      </c>
      <c r="K11" s="145">
        <f t="shared" si="9"/>
        <v>0</v>
      </c>
      <c r="L11" s="145">
        <f t="shared" si="9"/>
        <v>0</v>
      </c>
      <c r="M11" s="145">
        <f t="shared" ref="M11" si="10">SUM(M31,M51,M71)</f>
        <v>0</v>
      </c>
      <c r="N11" s="145">
        <f t="shared" si="9"/>
        <v>31617431</v>
      </c>
      <c r="P11" s="145">
        <f t="shared" ref="P11" si="11">SUM(P31,P51,P71)</f>
        <v>0</v>
      </c>
      <c r="Q11" s="145">
        <f>SUM(Q31,Q51,Q71)</f>
        <v>0</v>
      </c>
      <c r="R11" s="145">
        <f>SUM(R31,R51,R71)</f>
        <v>0</v>
      </c>
      <c r="S11" s="145">
        <f t="shared" ref="S11:T11" si="12">SUM(S31,S51,S71)</f>
        <v>2874312</v>
      </c>
      <c r="T11" s="145">
        <f t="shared" si="12"/>
        <v>2874312</v>
      </c>
    </row>
    <row r="12" spans="1:21">
      <c r="A12" s="102"/>
      <c r="B12" s="102"/>
      <c r="C12" s="102"/>
      <c r="D12" s="102"/>
      <c r="E12" s="102"/>
      <c r="F12" s="244"/>
      <c r="G12" s="244"/>
      <c r="H12" s="244"/>
      <c r="I12" s="244"/>
    </row>
    <row r="13" spans="1:21" ht="14.25" thickBot="1">
      <c r="A13" s="102"/>
      <c r="B13" s="102"/>
      <c r="C13" s="102"/>
      <c r="D13" s="102"/>
      <c r="E13" s="102" t="s">
        <v>312</v>
      </c>
      <c r="F13" s="244"/>
      <c r="G13" s="244"/>
      <c r="H13" s="244"/>
      <c r="I13" s="244"/>
    </row>
    <row r="14" spans="1:21">
      <c r="A14" s="102"/>
      <c r="B14" s="102"/>
      <c r="C14" s="245" t="s">
        <v>170</v>
      </c>
      <c r="D14" s="106" t="s">
        <v>290</v>
      </c>
      <c r="E14" s="105" t="s">
        <v>299</v>
      </c>
      <c r="F14" s="244"/>
      <c r="G14" s="244"/>
      <c r="H14" s="244"/>
      <c r="I14" s="244"/>
    </row>
    <row r="15" spans="1:21">
      <c r="A15" s="102"/>
      <c r="B15" s="102"/>
      <c r="C15" s="246" t="s">
        <v>291</v>
      </c>
      <c r="D15" s="249">
        <f>SUM(D35,D55,D75)</f>
        <v>37960200</v>
      </c>
      <c r="E15" s="248">
        <f>SUM(E35,E55,E75)</f>
        <v>1842000</v>
      </c>
      <c r="F15" s="244"/>
      <c r="G15" s="244"/>
      <c r="H15" s="244"/>
      <c r="I15" s="244"/>
    </row>
    <row r="16" spans="1:21">
      <c r="A16" s="102"/>
      <c r="B16" s="102"/>
      <c r="C16" s="246" t="s">
        <v>292</v>
      </c>
      <c r="D16" s="249">
        <f>SUM(D36,D56,D76)</f>
        <v>235300000</v>
      </c>
      <c r="E16" s="248">
        <f>SUM(E36,E56,E76)</f>
        <v>33376280</v>
      </c>
      <c r="F16" s="244"/>
      <c r="G16" s="244"/>
      <c r="H16" s="244"/>
      <c r="I16" s="244"/>
    </row>
    <row r="17" spans="1:21" ht="14.25" thickBot="1">
      <c r="A17" s="102"/>
      <c r="B17" s="102"/>
      <c r="C17" s="247" t="s">
        <v>174</v>
      </c>
      <c r="D17" s="88">
        <f>D15+D16</f>
        <v>273260200</v>
      </c>
      <c r="E17" s="89">
        <f>E15+E16</f>
        <v>35218280</v>
      </c>
      <c r="F17" s="244"/>
      <c r="G17" s="244"/>
      <c r="H17" s="244"/>
      <c r="I17" s="244"/>
    </row>
    <row r="18" spans="1:21">
      <c r="E18" s="103">
        <f>E17-E15-E16</f>
        <v>0</v>
      </c>
    </row>
    <row r="21" spans="1:21">
      <c r="A21" s="659" t="str">
        <f>+"令和"&amp;MID(総括表!A2,3,2)&amp;"年度決算　不課税収入区分表(受益者分担金)（汚水処理施設整備）特環"</f>
        <v>令和５年年度決算　不課税収入区分表(受益者分担金)（汚水処理施設整備）特環</v>
      </c>
      <c r="B21" s="659"/>
      <c r="C21" s="659"/>
      <c r="D21" s="659"/>
      <c r="E21" s="659"/>
      <c r="F21" s="659"/>
      <c r="G21" s="659"/>
      <c r="H21" s="659"/>
      <c r="I21" s="659"/>
    </row>
    <row r="22" spans="1:21">
      <c r="A22" s="101"/>
      <c r="B22" s="101"/>
      <c r="C22" s="101"/>
      <c r="D22" s="101"/>
      <c r="E22" s="101"/>
      <c r="F22" s="172"/>
      <c r="G22" s="172"/>
      <c r="H22" s="172"/>
      <c r="I22" s="172"/>
    </row>
    <row r="23" spans="1:21" ht="14.25" thickBot="1">
      <c r="A23" s="101"/>
      <c r="B23" s="101"/>
      <c r="C23" s="101"/>
      <c r="D23" s="101"/>
      <c r="E23" s="101"/>
      <c r="F23" s="172"/>
      <c r="G23" s="172"/>
      <c r="H23" s="172"/>
      <c r="I23" s="173" t="s">
        <v>213</v>
      </c>
    </row>
    <row r="24" spans="1:21" ht="24.95" customHeight="1">
      <c r="A24" s="973" t="s">
        <v>170</v>
      </c>
      <c r="B24" s="974"/>
      <c r="C24" s="975"/>
      <c r="D24" s="979" t="s">
        <v>214</v>
      </c>
      <c r="E24" s="974" t="s">
        <v>215</v>
      </c>
      <c r="F24" s="174" t="s">
        <v>165</v>
      </c>
      <c r="G24" s="778" t="s">
        <v>216</v>
      </c>
      <c r="H24" s="778" t="s">
        <v>217</v>
      </c>
      <c r="I24" s="772" t="s">
        <v>218</v>
      </c>
    </row>
    <row r="25" spans="1:21" ht="24.95" customHeight="1">
      <c r="A25" s="976"/>
      <c r="B25" s="977"/>
      <c r="C25" s="978"/>
      <c r="D25" s="980"/>
      <c r="E25" s="977"/>
      <c r="F25" s="177" t="s">
        <v>166</v>
      </c>
      <c r="G25" s="779"/>
      <c r="H25" s="779"/>
      <c r="I25" s="773"/>
    </row>
    <row r="26" spans="1:21" ht="24.95" customHeight="1">
      <c r="A26" s="1033" t="s">
        <v>300</v>
      </c>
      <c r="B26" s="1034"/>
      <c r="C26" s="620"/>
      <c r="D26" s="970"/>
      <c r="E26" s="959"/>
      <c r="F26" s="241"/>
      <c r="G26" s="1035">
        <f>G30+G28</f>
        <v>17022400</v>
      </c>
      <c r="H26" s="1036">
        <f>H30+H28</f>
        <v>15741150</v>
      </c>
      <c r="I26" s="1024">
        <f>I30+I28</f>
        <v>1281250</v>
      </c>
      <c r="L26" s="145">
        <f t="shared" ref="L26:N26" si="13">L29+L31</f>
        <v>0</v>
      </c>
      <c r="M26" s="145">
        <f t="shared" si="13"/>
        <v>0</v>
      </c>
      <c r="N26" s="145">
        <f t="shared" si="13"/>
        <v>15741150</v>
      </c>
      <c r="P26" s="145">
        <f>P29+P31</f>
        <v>0</v>
      </c>
      <c r="Q26" s="145">
        <f t="shared" ref="Q26:T26" si="14">Q29+Q31</f>
        <v>0</v>
      </c>
      <c r="R26" s="145">
        <f t="shared" si="14"/>
        <v>0</v>
      </c>
      <c r="S26" s="145">
        <f t="shared" si="14"/>
        <v>1431014</v>
      </c>
      <c r="T26" s="145">
        <f t="shared" si="14"/>
        <v>1431014</v>
      </c>
      <c r="U26" s="411">
        <f>+T26-'[4]4条収入'!$AH$47</f>
        <v>0</v>
      </c>
    </row>
    <row r="27" spans="1:21" ht="24.95" customHeight="1">
      <c r="A27" s="964"/>
      <c r="B27" s="965"/>
      <c r="C27" s="622"/>
      <c r="D27" s="971"/>
      <c r="E27" s="960"/>
      <c r="F27" s="242"/>
      <c r="G27" s="1020"/>
      <c r="H27" s="1022"/>
      <c r="I27" s="1014"/>
      <c r="L27" s="178"/>
      <c r="M27" s="178"/>
    </row>
    <row r="28" spans="1:21" ht="24.95" customHeight="1">
      <c r="A28" s="202"/>
      <c r="B28" s="1016" t="s">
        <v>315</v>
      </c>
      <c r="C28" s="1017"/>
      <c r="D28" s="947"/>
      <c r="E28" s="832" t="str">
        <f>+$E$8</f>
        <v>5年度分補助事業
の課税支出割合
（現年）</v>
      </c>
      <c r="F28" s="235">
        <f>'4条補助（特）'!F19</f>
        <v>25200000</v>
      </c>
      <c r="G28" s="1027">
        <f>E35</f>
        <v>1246000</v>
      </c>
      <c r="H28" s="1029">
        <f>IFERROR(ROUND(F28/F29*G28,0),0)</f>
        <v>1246000</v>
      </c>
      <c r="I28" s="1031">
        <f>G28-H28</f>
        <v>0</v>
      </c>
      <c r="L28" s="239">
        <f>+'4条補助（特）'!K19+'4条補助（特）'!L19</f>
        <v>0</v>
      </c>
      <c r="M28" s="239">
        <f>+'4条補助（特）'!M19</f>
        <v>0</v>
      </c>
      <c r="N28" s="239">
        <f>+'4条補助（特）'!N19</f>
        <v>25200000</v>
      </c>
      <c r="P28" s="145"/>
      <c r="Q28" s="145"/>
      <c r="R28" s="145"/>
      <c r="S28" s="145"/>
      <c r="T28" s="411"/>
    </row>
    <row r="29" spans="1:21" ht="24.95" customHeight="1">
      <c r="A29" s="202"/>
      <c r="B29" s="1025"/>
      <c r="C29" s="1017"/>
      <c r="D29" s="947"/>
      <c r="E29" s="1026"/>
      <c r="F29" s="235">
        <f>D35</f>
        <v>25200000</v>
      </c>
      <c r="G29" s="1028"/>
      <c r="H29" s="1030"/>
      <c r="I29" s="1032"/>
      <c r="L29" s="145">
        <f>+H28-SUM(J29:K29,M29:N29)</f>
        <v>0</v>
      </c>
      <c r="M29" s="145">
        <f>IFERROR(ROUND(M28/F28*H28,0),0)</f>
        <v>0</v>
      </c>
      <c r="N29" s="145">
        <f>IFERROR(ROUND(N28/F28*H28,0),0)</f>
        <v>1246000</v>
      </c>
      <c r="P29" s="145">
        <f>+ROUND(K29*P$5/(1+P$5),0)</f>
        <v>0</v>
      </c>
      <c r="Q29" s="145">
        <f>+ROUND(L29*Q$5/(1+Q$5),0)</f>
        <v>0</v>
      </c>
      <c r="R29" s="145">
        <f>+ROUND(M29*R$5/(1+R$5),0)</f>
        <v>0</v>
      </c>
      <c r="S29" s="145">
        <f>+ROUND(N29*S$5/(1+S$5),0)</f>
        <v>113273</v>
      </c>
      <c r="T29" s="411">
        <f>SUM(P29:S29)</f>
        <v>113273</v>
      </c>
    </row>
    <row r="30" spans="1:21" ht="24.95" customHeight="1">
      <c r="A30" s="202"/>
      <c r="B30" s="1016" t="s">
        <v>318</v>
      </c>
      <c r="C30" s="1017"/>
      <c r="D30" s="947"/>
      <c r="E30" s="832" t="str">
        <f>+$E$10</f>
        <v>5年度分起債事業
の課税支出割合
（現年）</v>
      </c>
      <c r="F30" s="240">
        <v>105752376</v>
      </c>
      <c r="G30" s="1020">
        <f>E36</f>
        <v>15776400</v>
      </c>
      <c r="H30" s="1022">
        <f>IFERROR(ROUND(F30/F31*G30,0),0)</f>
        <v>14495150</v>
      </c>
      <c r="I30" s="1014">
        <f>G30-H30</f>
        <v>1281250</v>
      </c>
      <c r="L30" s="223">
        <v>0</v>
      </c>
      <c r="M30" s="367">
        <v>0</v>
      </c>
      <c r="N30" s="239">
        <f>F30-SUM(L30:M30)</f>
        <v>105752376</v>
      </c>
    </row>
    <row r="31" spans="1:21" ht="24.95" customHeight="1" thickBot="1">
      <c r="A31" s="243"/>
      <c r="B31" s="1018"/>
      <c r="C31" s="1019"/>
      <c r="D31" s="982"/>
      <c r="E31" s="833"/>
      <c r="F31" s="250">
        <f>D36</f>
        <v>115100000</v>
      </c>
      <c r="G31" s="1021"/>
      <c r="H31" s="1023"/>
      <c r="I31" s="1015"/>
      <c r="L31" s="145">
        <f>+H30-SUM(J31:K31,M31:N31)</f>
        <v>0</v>
      </c>
      <c r="M31" s="145">
        <f>IFERROR(ROUND(M30/F30*H30,0),0)</f>
        <v>0</v>
      </c>
      <c r="N31" s="145">
        <f>IFERROR(ROUND(N30/F30*H30,0),0)</f>
        <v>14495150</v>
      </c>
      <c r="P31" s="145">
        <f>+ROUND(K31*P$5/(1+P$5),0)</f>
        <v>0</v>
      </c>
      <c r="Q31" s="145">
        <f t="shared" ref="Q31:R31" si="15">+ROUND(L31*Q$5/(1+Q$5),0)</f>
        <v>0</v>
      </c>
      <c r="R31" s="145">
        <f t="shared" si="15"/>
        <v>0</v>
      </c>
      <c r="S31" s="145">
        <f>+ROUND(N31*S$5/(1+S$5),0)</f>
        <v>1317741</v>
      </c>
      <c r="T31" s="411">
        <f>SUM(P31:S31)</f>
        <v>1317741</v>
      </c>
    </row>
    <row r="32" spans="1:21">
      <c r="A32" s="102"/>
      <c r="B32" s="102"/>
      <c r="C32" s="102"/>
      <c r="D32" s="102"/>
      <c r="E32" s="102"/>
      <c r="F32" s="244"/>
      <c r="G32" s="244"/>
      <c r="H32" s="244"/>
      <c r="I32" s="244"/>
    </row>
    <row r="33" spans="1:21" ht="14.25" thickBot="1">
      <c r="A33" s="102"/>
      <c r="B33" s="102"/>
      <c r="C33" s="102"/>
      <c r="D33" s="102"/>
      <c r="E33" s="102"/>
      <c r="F33" s="244"/>
      <c r="G33" s="244"/>
      <c r="H33" s="244"/>
      <c r="I33" s="244"/>
    </row>
    <row r="34" spans="1:21">
      <c r="A34" s="102"/>
      <c r="B34" s="102"/>
      <c r="C34" s="245" t="s">
        <v>170</v>
      </c>
      <c r="D34" s="106" t="s">
        <v>290</v>
      </c>
      <c r="E34" s="105" t="s">
        <v>299</v>
      </c>
      <c r="F34" s="244"/>
      <c r="G34" s="244"/>
      <c r="H34" s="244"/>
      <c r="I34" s="244"/>
    </row>
    <row r="35" spans="1:21">
      <c r="A35" s="102"/>
      <c r="B35" s="102"/>
      <c r="C35" s="246" t="s">
        <v>291</v>
      </c>
      <c r="D35" s="238">
        <f>'4条補助（特）'!F20</f>
        <v>25200000</v>
      </c>
      <c r="E35" s="234">
        <f>223000+1023000</f>
        <v>1246000</v>
      </c>
      <c r="F35" s="244"/>
      <c r="G35" s="244"/>
      <c r="H35" s="244"/>
      <c r="I35" s="244"/>
    </row>
    <row r="36" spans="1:21">
      <c r="A36" s="102"/>
      <c r="B36" s="102"/>
      <c r="C36" s="246" t="s">
        <v>292</v>
      </c>
      <c r="D36" s="233">
        <v>115100000</v>
      </c>
      <c r="E36" s="234">
        <f>431600+15344800</f>
        <v>15776400</v>
      </c>
      <c r="F36" s="244"/>
      <c r="G36" s="244"/>
      <c r="H36" s="244"/>
      <c r="I36" s="244"/>
    </row>
    <row r="37" spans="1:21" ht="14.25" thickBot="1">
      <c r="A37" s="102"/>
      <c r="B37" s="102"/>
      <c r="C37" s="247" t="s">
        <v>174</v>
      </c>
      <c r="D37" s="88">
        <f>D35+D36</f>
        <v>140300000</v>
      </c>
      <c r="E37" s="89">
        <f>E35+E36</f>
        <v>17022400</v>
      </c>
      <c r="F37" s="244"/>
      <c r="G37" s="244"/>
      <c r="H37" s="244"/>
      <c r="I37" s="244"/>
    </row>
    <row r="38" spans="1:21">
      <c r="E38" s="103">
        <f>E37-E35-E36</f>
        <v>0</v>
      </c>
    </row>
    <row r="41" spans="1:21">
      <c r="A41" s="659" t="str">
        <f>+"令和"&amp;MID(総括表!A2,3,2)&amp;"度決算　不課税収入区分表(受益者分担金)（汚水処理施設整備）農集"</f>
        <v>令和５年度決算　不課税収入区分表(受益者分担金)（汚水処理施設整備）農集</v>
      </c>
      <c r="B41" s="659"/>
      <c r="C41" s="659"/>
      <c r="D41" s="659"/>
      <c r="E41" s="659"/>
      <c r="F41" s="659"/>
      <c r="G41" s="659"/>
      <c r="H41" s="659"/>
      <c r="I41" s="659"/>
    </row>
    <row r="42" spans="1:21">
      <c r="A42" s="101"/>
      <c r="B42" s="101"/>
      <c r="C42" s="101"/>
      <c r="D42" s="101"/>
      <c r="E42" s="101"/>
      <c r="F42" s="172"/>
      <c r="G42" s="172"/>
      <c r="H42" s="172"/>
      <c r="I42" s="172"/>
    </row>
    <row r="43" spans="1:21" ht="14.25" thickBot="1">
      <c r="A43" s="101"/>
      <c r="B43" s="101"/>
      <c r="C43" s="101"/>
      <c r="D43" s="101"/>
      <c r="E43" s="101"/>
      <c r="F43" s="172"/>
      <c r="G43" s="172"/>
      <c r="H43" s="172"/>
      <c r="I43" s="173" t="s">
        <v>213</v>
      </c>
    </row>
    <row r="44" spans="1:21" ht="24.95" customHeight="1">
      <c r="A44" s="973" t="s">
        <v>170</v>
      </c>
      <c r="B44" s="974"/>
      <c r="C44" s="975"/>
      <c r="D44" s="979" t="s">
        <v>214</v>
      </c>
      <c r="E44" s="974" t="s">
        <v>215</v>
      </c>
      <c r="F44" s="174" t="s">
        <v>165</v>
      </c>
      <c r="G44" s="778" t="s">
        <v>216</v>
      </c>
      <c r="H44" s="778" t="s">
        <v>217</v>
      </c>
      <c r="I44" s="772" t="s">
        <v>218</v>
      </c>
    </row>
    <row r="45" spans="1:21" ht="24.95" customHeight="1">
      <c r="A45" s="976"/>
      <c r="B45" s="977"/>
      <c r="C45" s="978"/>
      <c r="D45" s="980"/>
      <c r="E45" s="977"/>
      <c r="F45" s="177" t="s">
        <v>166</v>
      </c>
      <c r="G45" s="779"/>
      <c r="H45" s="779"/>
      <c r="I45" s="773"/>
    </row>
    <row r="46" spans="1:21" ht="24.95" customHeight="1">
      <c r="A46" s="1033" t="s">
        <v>300</v>
      </c>
      <c r="B46" s="1034"/>
      <c r="C46" s="620"/>
      <c r="D46" s="970"/>
      <c r="E46" s="959"/>
      <c r="F46" s="241"/>
      <c r="G46" s="1035">
        <f>G50+G48</f>
        <v>14115880</v>
      </c>
      <c r="H46" s="1036">
        <f>H50+H48</f>
        <v>13788037</v>
      </c>
      <c r="I46" s="1024">
        <f>I50+I48</f>
        <v>327843</v>
      </c>
      <c r="L46" s="145">
        <f t="shared" ref="L46:N46" si="16">L49+L51</f>
        <v>0</v>
      </c>
      <c r="M46" s="145">
        <f t="shared" si="16"/>
        <v>0</v>
      </c>
      <c r="N46" s="145">
        <f t="shared" si="16"/>
        <v>13788037</v>
      </c>
      <c r="P46" s="145">
        <f>P49+P51</f>
        <v>0</v>
      </c>
      <c r="Q46" s="145">
        <f t="shared" ref="Q46:T46" si="17">Q49+Q51</f>
        <v>0</v>
      </c>
      <c r="R46" s="145">
        <f t="shared" si="17"/>
        <v>0</v>
      </c>
      <c r="S46" s="145">
        <f>S49+S51</f>
        <v>1253458</v>
      </c>
      <c r="T46" s="145">
        <f t="shared" si="17"/>
        <v>1253458</v>
      </c>
      <c r="U46" s="411">
        <f>+T46-'[4]4条収入'!$AH$48</f>
        <v>0</v>
      </c>
    </row>
    <row r="47" spans="1:21" ht="24.95" customHeight="1">
      <c r="A47" s="964"/>
      <c r="B47" s="965"/>
      <c r="C47" s="622"/>
      <c r="D47" s="971"/>
      <c r="E47" s="960"/>
      <c r="F47" s="242"/>
      <c r="G47" s="1020"/>
      <c r="H47" s="1022"/>
      <c r="I47" s="1014"/>
    </row>
    <row r="48" spans="1:21" ht="24.95" customHeight="1">
      <c r="A48" s="202"/>
      <c r="B48" s="1016" t="s">
        <v>315</v>
      </c>
      <c r="C48" s="1017"/>
      <c r="D48" s="947"/>
      <c r="E48" s="832" t="str">
        <f>+$E$8</f>
        <v>5年度分補助事業
の課税支出割合
（現年）</v>
      </c>
      <c r="F48" s="235">
        <f>'4条補助（農）'!F19</f>
        <v>0</v>
      </c>
      <c r="G48" s="1027">
        <f>E55</f>
        <v>0</v>
      </c>
      <c r="H48" s="1029">
        <f>IFERROR(ROUND(F48/F49*G48,0),0)</f>
        <v>0</v>
      </c>
      <c r="I48" s="1031">
        <f>G48-H48</f>
        <v>0</v>
      </c>
      <c r="L48" s="239">
        <f>+'4条補助（農）'!K19+'4条補助（農）'!L19</f>
        <v>0</v>
      </c>
      <c r="M48" s="239">
        <f>+'4条補助（農）'!M19</f>
        <v>0</v>
      </c>
      <c r="N48" s="239">
        <f>+'4条補助（農）'!N19</f>
        <v>0</v>
      </c>
    </row>
    <row r="49" spans="1:20" ht="24.95" customHeight="1">
      <c r="A49" s="202"/>
      <c r="B49" s="1025"/>
      <c r="C49" s="1017"/>
      <c r="D49" s="947"/>
      <c r="E49" s="1026"/>
      <c r="F49" s="235">
        <f>D55</f>
        <v>0</v>
      </c>
      <c r="G49" s="1028"/>
      <c r="H49" s="1030"/>
      <c r="I49" s="1032"/>
      <c r="L49" s="145">
        <f>+H48-SUM(J49:K49,M49:N49)</f>
        <v>0</v>
      </c>
      <c r="M49" s="145">
        <f>IFERROR(ROUND(M48/F48*H48,0),0)</f>
        <v>0</v>
      </c>
      <c r="N49" s="145">
        <f>IFERROR(ROUND(N48/F48*H48,0),0)</f>
        <v>0</v>
      </c>
      <c r="P49" s="145">
        <f>+ROUND(K49*P$5/(1+P$5),0)</f>
        <v>0</v>
      </c>
      <c r="Q49" s="145">
        <f t="shared" ref="Q49:R49" si="18">+ROUND(L49*Q$5/(1+Q$5),0)</f>
        <v>0</v>
      </c>
      <c r="R49" s="145">
        <f t="shared" si="18"/>
        <v>0</v>
      </c>
      <c r="S49" s="145">
        <f>+ROUND(N49*S$5/(1+S$5),0)</f>
        <v>0</v>
      </c>
      <c r="T49" s="411">
        <f>SUM(P49:S49)</f>
        <v>0</v>
      </c>
    </row>
    <row r="50" spans="1:20" ht="24.95" customHeight="1">
      <c r="A50" s="202"/>
      <c r="B50" s="1016" t="s">
        <v>318</v>
      </c>
      <c r="C50" s="1017"/>
      <c r="D50" s="947"/>
      <c r="E50" s="832" t="str">
        <f>+$E$10</f>
        <v>5年度分起債事業
の課税支出割合
（現年）</v>
      </c>
      <c r="F50" s="240">
        <v>77262892</v>
      </c>
      <c r="G50" s="1020">
        <f>E56</f>
        <v>14115880</v>
      </c>
      <c r="H50" s="1022">
        <f>IFERROR(ROUND(F50/F51*G50,0),0)</f>
        <v>13788037</v>
      </c>
      <c r="I50" s="1014">
        <f>G50-H50</f>
        <v>327843</v>
      </c>
      <c r="L50" s="223">
        <v>0</v>
      </c>
      <c r="M50" s="367">
        <v>0</v>
      </c>
      <c r="N50" s="239">
        <f>F50-SUM(L50:M50)</f>
        <v>77262892</v>
      </c>
    </row>
    <row r="51" spans="1:20" ht="24.95" customHeight="1" thickBot="1">
      <c r="A51" s="243"/>
      <c r="B51" s="1018"/>
      <c r="C51" s="1019"/>
      <c r="D51" s="982"/>
      <c r="E51" s="833"/>
      <c r="F51" s="250">
        <f>D56</f>
        <v>79100000</v>
      </c>
      <c r="G51" s="1021"/>
      <c r="H51" s="1023"/>
      <c r="I51" s="1015"/>
      <c r="L51" s="145">
        <f>+H50-SUM(J51:K51,M51:N51)</f>
        <v>0</v>
      </c>
      <c r="M51" s="145">
        <f>IFERROR(ROUND(M50/F50*H50,0),0)</f>
        <v>0</v>
      </c>
      <c r="N51" s="145">
        <f>IFERROR(ROUND(N50/F50*H50,0),0)</f>
        <v>13788037</v>
      </c>
      <c r="P51" s="145">
        <f>+ROUND(K51*P$5/(1+P$5),0)</f>
        <v>0</v>
      </c>
      <c r="Q51" s="145">
        <f t="shared" ref="Q51:R51" si="19">+ROUND(L51*Q$5/(1+Q$5),0)</f>
        <v>0</v>
      </c>
      <c r="R51" s="145">
        <f t="shared" si="19"/>
        <v>0</v>
      </c>
      <c r="S51" s="145">
        <f>+ROUND(N51*S$5/(1+S$5),0)</f>
        <v>1253458</v>
      </c>
      <c r="T51" s="411">
        <f>SUM(P51:S51)</f>
        <v>1253458</v>
      </c>
    </row>
    <row r="52" spans="1:20">
      <c r="A52" s="102"/>
      <c r="B52" s="102"/>
      <c r="C52" s="102"/>
      <c r="D52" s="102"/>
      <c r="E52" s="102"/>
      <c r="F52" s="244"/>
      <c r="G52" s="244"/>
      <c r="H52" s="244"/>
      <c r="I52" s="244"/>
    </row>
    <row r="53" spans="1:20" ht="14.25" thickBot="1">
      <c r="A53" s="102"/>
      <c r="B53" s="102"/>
      <c r="C53" s="102"/>
      <c r="D53" s="102"/>
      <c r="E53" s="102"/>
      <c r="F53" s="244"/>
      <c r="G53" s="244"/>
      <c r="H53" s="244"/>
      <c r="I53" s="244"/>
    </row>
    <row r="54" spans="1:20">
      <c r="A54" s="102"/>
      <c r="B54" s="102"/>
      <c r="C54" s="245" t="s">
        <v>170</v>
      </c>
      <c r="D54" s="106" t="s">
        <v>290</v>
      </c>
      <c r="E54" s="105" t="s">
        <v>299</v>
      </c>
      <c r="F54" s="244"/>
      <c r="G54" s="244"/>
      <c r="H54" s="244"/>
      <c r="I54" s="244"/>
    </row>
    <row r="55" spans="1:20">
      <c r="A55" s="102"/>
      <c r="B55" s="102"/>
      <c r="C55" s="246" t="s">
        <v>291</v>
      </c>
      <c r="D55" s="238">
        <f>'4条補助（農）'!F20</f>
        <v>0</v>
      </c>
      <c r="E55" s="234">
        <v>0</v>
      </c>
      <c r="F55" s="244"/>
      <c r="G55" s="244"/>
      <c r="H55" s="244"/>
      <c r="I55" s="244"/>
    </row>
    <row r="56" spans="1:20">
      <c r="A56" s="102"/>
      <c r="B56" s="102"/>
      <c r="C56" s="246" t="s">
        <v>292</v>
      </c>
      <c r="D56" s="233">
        <v>79100000</v>
      </c>
      <c r="E56" s="234">
        <v>14115880</v>
      </c>
      <c r="F56" s="244"/>
      <c r="G56" s="244"/>
      <c r="H56" s="244"/>
      <c r="I56" s="244"/>
    </row>
    <row r="57" spans="1:20" ht="14.25" thickBot="1">
      <c r="A57" s="102"/>
      <c r="B57" s="102"/>
      <c r="C57" s="247" t="s">
        <v>174</v>
      </c>
      <c r="D57" s="88">
        <f>D55+D56</f>
        <v>79100000</v>
      </c>
      <c r="E57" s="89">
        <f>E55+E56</f>
        <v>14115880</v>
      </c>
      <c r="F57" s="244"/>
      <c r="G57" s="244"/>
      <c r="H57" s="244"/>
      <c r="I57" s="244"/>
    </row>
    <row r="58" spans="1:20">
      <c r="E58" s="103">
        <f>E57-E55-E56</f>
        <v>0</v>
      </c>
    </row>
    <row r="61" spans="1:20">
      <c r="A61" s="659" t="str">
        <f>+"令和"&amp;MID(総括表!A2,3,2)&amp;"度決算　不課税収入区分表(受益者分担金)（汚水処理施設整備）浄化槽"</f>
        <v>令和５年度決算　不課税収入区分表(受益者分担金)（汚水処理施設整備）浄化槽</v>
      </c>
      <c r="B61" s="659"/>
      <c r="C61" s="659"/>
      <c r="D61" s="659"/>
      <c r="E61" s="659"/>
      <c r="F61" s="659"/>
      <c r="G61" s="659"/>
      <c r="H61" s="659"/>
      <c r="I61" s="659"/>
    </row>
    <row r="62" spans="1:20">
      <c r="A62" s="101"/>
      <c r="B62" s="101"/>
      <c r="C62" s="101"/>
      <c r="D62" s="101"/>
      <c r="E62" s="101"/>
      <c r="F62" s="172"/>
      <c r="G62" s="172"/>
      <c r="H62" s="172"/>
      <c r="I62" s="172"/>
    </row>
    <row r="63" spans="1:20" ht="14.25" thickBot="1">
      <c r="A63" s="101"/>
      <c r="B63" s="101"/>
      <c r="C63" s="101"/>
      <c r="D63" s="101"/>
      <c r="E63" s="101"/>
      <c r="F63" s="172"/>
      <c r="G63" s="172"/>
      <c r="H63" s="172"/>
      <c r="I63" s="173" t="s">
        <v>213</v>
      </c>
    </row>
    <row r="64" spans="1:20" ht="24.95" customHeight="1">
      <c r="A64" s="973" t="s">
        <v>170</v>
      </c>
      <c r="B64" s="974"/>
      <c r="C64" s="975"/>
      <c r="D64" s="979" t="s">
        <v>214</v>
      </c>
      <c r="E64" s="974" t="s">
        <v>215</v>
      </c>
      <c r="F64" s="174" t="s">
        <v>165</v>
      </c>
      <c r="G64" s="778" t="s">
        <v>216</v>
      </c>
      <c r="H64" s="778" t="s">
        <v>217</v>
      </c>
      <c r="I64" s="772" t="s">
        <v>218</v>
      </c>
    </row>
    <row r="65" spans="1:21" ht="24.95" customHeight="1">
      <c r="A65" s="976"/>
      <c r="B65" s="977"/>
      <c r="C65" s="978"/>
      <c r="D65" s="980"/>
      <c r="E65" s="977"/>
      <c r="F65" s="177" t="s">
        <v>166</v>
      </c>
      <c r="G65" s="779"/>
      <c r="H65" s="779"/>
      <c r="I65" s="773"/>
    </row>
    <row r="66" spans="1:21" ht="24.95" customHeight="1">
      <c r="A66" s="1033" t="s">
        <v>300</v>
      </c>
      <c r="B66" s="1034"/>
      <c r="C66" s="620"/>
      <c r="D66" s="970"/>
      <c r="E66" s="959"/>
      <c r="F66" s="241"/>
      <c r="G66" s="1035">
        <f>G70+G68</f>
        <v>4080000</v>
      </c>
      <c r="H66" s="1036">
        <f>H70+H68</f>
        <v>3930244</v>
      </c>
      <c r="I66" s="1024">
        <f>I70+I68</f>
        <v>149756</v>
      </c>
      <c r="L66" s="145">
        <f t="shared" ref="L66:N66" si="20">L69+L71</f>
        <v>0</v>
      </c>
      <c r="M66" s="145">
        <f t="shared" si="20"/>
        <v>0</v>
      </c>
      <c r="N66" s="145">
        <f t="shared" si="20"/>
        <v>3930244</v>
      </c>
      <c r="P66" s="145">
        <f>P69+P71</f>
        <v>0</v>
      </c>
      <c r="Q66" s="145">
        <f t="shared" ref="Q66:S66" si="21">Q69+Q71</f>
        <v>0</v>
      </c>
      <c r="R66" s="145">
        <f t="shared" si="21"/>
        <v>0</v>
      </c>
      <c r="S66" s="145">
        <f t="shared" si="21"/>
        <v>357295</v>
      </c>
      <c r="T66" s="145">
        <f>T69+T71</f>
        <v>357295</v>
      </c>
      <c r="U66" s="411">
        <f>+T66-'[4]4条収入'!$AH$49</f>
        <v>0</v>
      </c>
    </row>
    <row r="67" spans="1:21" ht="24.95" customHeight="1">
      <c r="A67" s="964"/>
      <c r="B67" s="965"/>
      <c r="C67" s="622"/>
      <c r="D67" s="971"/>
      <c r="E67" s="960"/>
      <c r="F67" s="242"/>
      <c r="G67" s="1020"/>
      <c r="H67" s="1022"/>
      <c r="I67" s="1014"/>
      <c r="L67" s="178"/>
      <c r="M67" s="178"/>
    </row>
    <row r="68" spans="1:21" ht="24.95" customHeight="1">
      <c r="A68" s="202"/>
      <c r="B68" s="1016" t="s">
        <v>315</v>
      </c>
      <c r="C68" s="1017"/>
      <c r="D68" s="947"/>
      <c r="E68" s="832" t="str">
        <f>+$E$8</f>
        <v>5年度分補助事業
の課税支出割合
（現年）</v>
      </c>
      <c r="F68" s="235">
        <f>'4条補助（浄）'!F19</f>
        <v>12760200</v>
      </c>
      <c r="G68" s="1027">
        <f>E75</f>
        <v>596000</v>
      </c>
      <c r="H68" s="1029">
        <f>IFERROR(ROUND(F68/F69*G68,0),0)</f>
        <v>596000</v>
      </c>
      <c r="I68" s="1031">
        <f>G68-H68</f>
        <v>0</v>
      </c>
      <c r="L68" s="239">
        <f>+'4条補助（浄）'!K19+'4条補助（浄）'!L19</f>
        <v>0</v>
      </c>
      <c r="M68" s="239">
        <f>+'4条補助（浄）'!M19</f>
        <v>0</v>
      </c>
      <c r="N68" s="239">
        <f>+'4条補助（浄）'!N19</f>
        <v>12760200</v>
      </c>
    </row>
    <row r="69" spans="1:21" ht="24.95" customHeight="1">
      <c r="A69" s="202"/>
      <c r="B69" s="1025"/>
      <c r="C69" s="1017"/>
      <c r="D69" s="947"/>
      <c r="E69" s="1026"/>
      <c r="F69" s="235">
        <f>D75</f>
        <v>12760200</v>
      </c>
      <c r="G69" s="1028"/>
      <c r="H69" s="1030"/>
      <c r="I69" s="1032"/>
      <c r="L69" s="145">
        <f>+H68-SUM(J69:K69,M69:N69)</f>
        <v>0</v>
      </c>
      <c r="M69" s="145">
        <f>IFERROR(ROUND(M68/F68*H68,0),0)</f>
        <v>0</v>
      </c>
      <c r="N69" s="145">
        <f>IFERROR(ROUND(N68/F68*H68,0),0)</f>
        <v>596000</v>
      </c>
      <c r="P69" s="145">
        <f>+ROUND(K69*P$5/(1+P$5),0)</f>
        <v>0</v>
      </c>
      <c r="Q69" s="145">
        <f t="shared" ref="Q69:R69" si="22">+ROUND(L69*Q$5/(1+Q$5),0)</f>
        <v>0</v>
      </c>
      <c r="R69" s="145">
        <f t="shared" si="22"/>
        <v>0</v>
      </c>
      <c r="S69" s="145">
        <f>+ROUND(N69*S$5/(1+S$5),0)</f>
        <v>54182</v>
      </c>
      <c r="T69" s="411">
        <f>SUM(P69:S69)</f>
        <v>54182</v>
      </c>
    </row>
    <row r="70" spans="1:21" ht="24.95" customHeight="1">
      <c r="A70" s="202"/>
      <c r="B70" s="1016" t="s">
        <v>318</v>
      </c>
      <c r="C70" s="1017"/>
      <c r="D70" s="947"/>
      <c r="E70" s="832" t="str">
        <f>+$E$10</f>
        <v>5年度分起債事業
の課税支出割合
（現年）</v>
      </c>
      <c r="F70" s="240">
        <v>39333364</v>
      </c>
      <c r="G70" s="1020">
        <f>E76</f>
        <v>3484000</v>
      </c>
      <c r="H70" s="1022">
        <f>IFERROR(ROUND(F70/F71*G70,0),0)</f>
        <v>3334244</v>
      </c>
      <c r="I70" s="1014">
        <f>G70-H70</f>
        <v>149756</v>
      </c>
      <c r="L70" s="223">
        <v>0</v>
      </c>
      <c r="M70" s="367">
        <v>0</v>
      </c>
      <c r="N70" s="239">
        <f>F70-SUM(L70:M70)</f>
        <v>39333364</v>
      </c>
    </row>
    <row r="71" spans="1:21" ht="24.95" customHeight="1" thickBot="1">
      <c r="A71" s="243"/>
      <c r="B71" s="1018"/>
      <c r="C71" s="1019"/>
      <c r="D71" s="982"/>
      <c r="E71" s="833"/>
      <c r="F71" s="250">
        <f>D76</f>
        <v>41100000</v>
      </c>
      <c r="G71" s="1021"/>
      <c r="H71" s="1023"/>
      <c r="I71" s="1015"/>
      <c r="L71" s="145">
        <f>+H70-SUM(J71:K71,M71:N71)</f>
        <v>0</v>
      </c>
      <c r="M71" s="145">
        <f>IFERROR(ROUND(M70/F70*H70,0),0)</f>
        <v>0</v>
      </c>
      <c r="N71" s="145">
        <f>IFERROR(ROUND(N70/F70*H70,0),0)</f>
        <v>3334244</v>
      </c>
      <c r="P71" s="145">
        <f>+ROUND(K71*P$5/(1+P$5),0)</f>
        <v>0</v>
      </c>
      <c r="Q71" s="145">
        <f t="shared" ref="Q71:R71" si="23">+ROUND(L71*Q$5/(1+Q$5),0)</f>
        <v>0</v>
      </c>
      <c r="R71" s="145">
        <f t="shared" si="23"/>
        <v>0</v>
      </c>
      <c r="S71" s="442">
        <f>+ROUND(N71*S$5/(1+S$5),0)</f>
        <v>303113</v>
      </c>
      <c r="T71" s="411">
        <f>SUM(P71:S71)</f>
        <v>303113</v>
      </c>
    </row>
    <row r="72" spans="1:21">
      <c r="A72" s="102"/>
      <c r="B72" s="102"/>
      <c r="C72" s="102"/>
      <c r="D72" s="102"/>
      <c r="E72" s="102"/>
      <c r="F72" s="244"/>
      <c r="G72" s="244"/>
      <c r="H72" s="244"/>
      <c r="I72" s="244"/>
    </row>
    <row r="73" spans="1:21" ht="14.25" thickBot="1">
      <c r="A73" s="102"/>
      <c r="B73" s="102"/>
      <c r="C73" s="102"/>
      <c r="D73" s="102"/>
      <c r="E73" s="102"/>
      <c r="F73" s="244"/>
      <c r="G73" s="244"/>
      <c r="H73" s="244"/>
      <c r="I73" s="244"/>
    </row>
    <row r="74" spans="1:21">
      <c r="A74" s="102"/>
      <c r="B74" s="102"/>
      <c r="C74" s="245" t="s">
        <v>170</v>
      </c>
      <c r="D74" s="106" t="s">
        <v>290</v>
      </c>
      <c r="E74" s="105" t="s">
        <v>299</v>
      </c>
      <c r="F74" s="244"/>
      <c r="G74" s="244"/>
      <c r="H74" s="244"/>
      <c r="I74" s="244"/>
    </row>
    <row r="75" spans="1:21">
      <c r="A75" s="102"/>
      <c r="B75" s="102"/>
      <c r="C75" s="246" t="s">
        <v>291</v>
      </c>
      <c r="D75" s="238">
        <f>'4条補助（浄）'!F20</f>
        <v>12760200</v>
      </c>
      <c r="E75" s="234">
        <v>596000</v>
      </c>
      <c r="F75" s="244"/>
      <c r="G75" s="244"/>
      <c r="H75" s="244"/>
      <c r="I75" s="244"/>
    </row>
    <row r="76" spans="1:21">
      <c r="A76" s="102"/>
      <c r="B76" s="102"/>
      <c r="C76" s="246" t="s">
        <v>292</v>
      </c>
      <c r="D76" s="233">
        <v>41100000</v>
      </c>
      <c r="E76" s="234">
        <v>3484000</v>
      </c>
      <c r="F76" s="244"/>
      <c r="G76" s="244"/>
      <c r="H76" s="244"/>
      <c r="I76" s="244"/>
    </row>
    <row r="77" spans="1:21" ht="14.25" thickBot="1">
      <c r="A77" s="102"/>
      <c r="B77" s="102"/>
      <c r="C77" s="247" t="s">
        <v>174</v>
      </c>
      <c r="D77" s="88">
        <f>D75+D76</f>
        <v>53860200</v>
      </c>
      <c r="E77" s="89">
        <f>E75+E76</f>
        <v>4080000</v>
      </c>
      <c r="F77" s="244"/>
      <c r="G77" s="244"/>
      <c r="H77" s="244"/>
      <c r="I77" s="244"/>
    </row>
    <row r="78" spans="1:21">
      <c r="E78" s="103"/>
    </row>
  </sheetData>
  <mergeCells count="100">
    <mergeCell ref="G10:G11"/>
    <mergeCell ref="H10:H11"/>
    <mergeCell ref="I10:I11"/>
    <mergeCell ref="G6:G7"/>
    <mergeCell ref="H6:H7"/>
    <mergeCell ref="I6:I7"/>
    <mergeCell ref="I8:I9"/>
    <mergeCell ref="H8:H9"/>
    <mergeCell ref="G8:G9"/>
    <mergeCell ref="B10:C11"/>
    <mergeCell ref="D10:D11"/>
    <mergeCell ref="E10:E11"/>
    <mergeCell ref="D6:D7"/>
    <mergeCell ref="E6:E7"/>
    <mergeCell ref="A6:C7"/>
    <mergeCell ref="B8:C9"/>
    <mergeCell ref="D8:D9"/>
    <mergeCell ref="E8:E9"/>
    <mergeCell ref="A1:I1"/>
    <mergeCell ref="A4:C5"/>
    <mergeCell ref="D4:D5"/>
    <mergeCell ref="E4:E5"/>
    <mergeCell ref="G4:G5"/>
    <mergeCell ref="H4:H5"/>
    <mergeCell ref="I4:I5"/>
    <mergeCell ref="A21:I21"/>
    <mergeCell ref="A24:C25"/>
    <mergeCell ref="D24:D25"/>
    <mergeCell ref="E24:E25"/>
    <mergeCell ref="G24:G25"/>
    <mergeCell ref="H24:H25"/>
    <mergeCell ref="I24:I25"/>
    <mergeCell ref="I26:I27"/>
    <mergeCell ref="B28:C29"/>
    <mergeCell ref="D28:D29"/>
    <mergeCell ref="E28:E29"/>
    <mergeCell ref="G28:G29"/>
    <mergeCell ref="H28:H29"/>
    <mergeCell ref="I28:I29"/>
    <mergeCell ref="A26:C27"/>
    <mergeCell ref="D26:D27"/>
    <mergeCell ref="E26:E27"/>
    <mergeCell ref="G26:G27"/>
    <mergeCell ref="H26:H27"/>
    <mergeCell ref="I30:I31"/>
    <mergeCell ref="A41:I41"/>
    <mergeCell ref="A44:C45"/>
    <mergeCell ref="D44:D45"/>
    <mergeCell ref="E44:E45"/>
    <mergeCell ref="G44:G45"/>
    <mergeCell ref="H44:H45"/>
    <mergeCell ref="I44:I45"/>
    <mergeCell ref="B30:C31"/>
    <mergeCell ref="D30:D31"/>
    <mergeCell ref="E30:E31"/>
    <mergeCell ref="G30:G31"/>
    <mergeCell ref="H30:H31"/>
    <mergeCell ref="I46:I47"/>
    <mergeCell ref="B48:C49"/>
    <mergeCell ref="D48:D49"/>
    <mergeCell ref="E48:E49"/>
    <mergeCell ref="G48:G49"/>
    <mergeCell ref="H48:H49"/>
    <mergeCell ref="I48:I49"/>
    <mergeCell ref="A46:C47"/>
    <mergeCell ref="D46:D47"/>
    <mergeCell ref="E46:E47"/>
    <mergeCell ref="G46:G47"/>
    <mergeCell ref="H46:H47"/>
    <mergeCell ref="I50:I51"/>
    <mergeCell ref="A61:I61"/>
    <mergeCell ref="A64:C65"/>
    <mergeCell ref="D64:D65"/>
    <mergeCell ref="E64:E65"/>
    <mergeCell ref="G64:G65"/>
    <mergeCell ref="H64:H65"/>
    <mergeCell ref="I64:I65"/>
    <mergeCell ref="B50:C51"/>
    <mergeCell ref="D50:D51"/>
    <mergeCell ref="E50:E51"/>
    <mergeCell ref="G50:G51"/>
    <mergeCell ref="H50:H51"/>
    <mergeCell ref="I66:I67"/>
    <mergeCell ref="B68:C69"/>
    <mergeCell ref="D68:D69"/>
    <mergeCell ref="E68:E69"/>
    <mergeCell ref="G68:G69"/>
    <mergeCell ref="H68:H69"/>
    <mergeCell ref="I68:I69"/>
    <mergeCell ref="A66:C67"/>
    <mergeCell ref="D66:D67"/>
    <mergeCell ref="E66:E67"/>
    <mergeCell ref="G66:G67"/>
    <mergeCell ref="H66:H67"/>
    <mergeCell ref="I70:I71"/>
    <mergeCell ref="B70:C71"/>
    <mergeCell ref="D70:D71"/>
    <mergeCell ref="E70:E71"/>
    <mergeCell ref="G70:G71"/>
    <mergeCell ref="H70:H71"/>
  </mergeCells>
  <phoneticPr fontId="2"/>
  <printOptions horizontalCentered="1"/>
  <pageMargins left="0.59055118110236227" right="0.39370078740157483" top="0.98425196850393704" bottom="0.59055118110236227" header="0.51181102362204722" footer="0.51181102362204722"/>
  <pageSetup paperSize="9" scale="52" fitToHeight="0" orientation="landscape" r:id="rId1"/>
  <headerFooter alignWithMargins="0">
    <oddFooter>&amp;L&amp;6&amp;F　&amp;A&amp;R&amp;6&amp;D　&amp;T</oddFooter>
  </headerFooter>
  <rowBreaks count="1" manualBreakCount="1">
    <brk id="40" max="20" man="1"/>
  </rowBreaks>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6">
    <tabColor rgb="FF00FFFF"/>
  </sheetPr>
  <dimension ref="A1:U65"/>
  <sheetViews>
    <sheetView zoomScale="85" zoomScaleNormal="85" workbookViewId="0">
      <pane xSplit="5" ySplit="5" topLeftCell="F6" activePane="bottomRight" state="frozen"/>
      <selection activeCell="D10" sqref="D10:D11"/>
      <selection pane="topRight" activeCell="D10" sqref="D10:D11"/>
      <selection pane="bottomLeft" activeCell="D10" sqref="D10:D11"/>
      <selection pane="bottomRight" activeCell="F12" sqref="F12"/>
    </sheetView>
  </sheetViews>
  <sheetFormatPr defaultRowHeight="13.5"/>
  <cols>
    <col min="1" max="1" width="1.625" customWidth="1"/>
    <col min="2" max="2" width="4.625" customWidth="1"/>
    <col min="3" max="3" width="19.625" customWidth="1"/>
    <col min="4" max="5" width="23.625" customWidth="1"/>
    <col min="6" max="6" width="13.125" customWidth="1"/>
    <col min="7" max="9" width="12.625" customWidth="1"/>
    <col min="10" max="11" width="8.125" customWidth="1"/>
    <col min="12" max="14" width="12.375" customWidth="1"/>
    <col min="16" max="20" width="12.625" customWidth="1"/>
    <col min="21" max="23" width="14.875" customWidth="1"/>
  </cols>
  <sheetData>
    <row r="1" spans="1:21" ht="17.25" customHeight="1">
      <c r="A1" s="579" t="str">
        <f>+"令和"&amp;MID(総括表!A2,3,1)&amp;"年度決算　不課税収入区分表(その他国庫補金）"</f>
        <v>令和５年度決算　不課税収入区分表(その他国庫補金）</v>
      </c>
      <c r="B1" s="579"/>
      <c r="C1" s="579"/>
      <c r="D1" s="579"/>
      <c r="E1" s="579"/>
      <c r="F1" s="579"/>
      <c r="G1" s="579"/>
      <c r="H1" s="579"/>
      <c r="I1" s="579"/>
    </row>
    <row r="2" spans="1:21" ht="17.25" customHeight="1">
      <c r="A2" s="1"/>
      <c r="B2" s="1"/>
      <c r="C2" s="1"/>
      <c r="D2" s="1"/>
      <c r="E2" s="1"/>
      <c r="F2" s="1"/>
      <c r="G2" s="1"/>
      <c r="H2" s="1"/>
      <c r="I2" s="1"/>
    </row>
    <row r="3" spans="1:21" ht="17.25" customHeight="1" thickBot="1">
      <c r="A3" s="1"/>
      <c r="B3" s="1"/>
      <c r="C3" s="1"/>
      <c r="D3" s="1"/>
      <c r="E3" s="1"/>
      <c r="F3" s="1"/>
      <c r="G3" s="1"/>
      <c r="H3" s="1"/>
      <c r="I3" s="22" t="s">
        <v>213</v>
      </c>
    </row>
    <row r="4" spans="1:21">
      <c r="A4" s="587" t="s">
        <v>170</v>
      </c>
      <c r="B4" s="582"/>
      <c r="C4" s="588"/>
      <c r="D4" s="584" t="s">
        <v>214</v>
      </c>
      <c r="E4" s="582" t="s">
        <v>215</v>
      </c>
      <c r="F4" s="47" t="s">
        <v>165</v>
      </c>
      <c r="G4" s="584" t="s">
        <v>216</v>
      </c>
      <c r="H4" s="584" t="s">
        <v>217</v>
      </c>
      <c r="I4" s="580" t="s">
        <v>218</v>
      </c>
      <c r="J4" s="175" t="s">
        <v>384</v>
      </c>
      <c r="K4" s="176"/>
      <c r="L4" s="176"/>
      <c r="M4" s="176"/>
      <c r="N4" s="145"/>
      <c r="P4" s="146" t="s">
        <v>488</v>
      </c>
      <c r="Q4" s="146"/>
      <c r="R4" s="146"/>
      <c r="S4" s="146"/>
    </row>
    <row r="5" spans="1:21">
      <c r="A5" s="589"/>
      <c r="B5" s="583"/>
      <c r="C5" s="590"/>
      <c r="D5" s="585"/>
      <c r="E5" s="583"/>
      <c r="F5" s="48" t="s">
        <v>166</v>
      </c>
      <c r="G5" s="585"/>
      <c r="H5" s="585"/>
      <c r="I5" s="581"/>
      <c r="J5" s="325">
        <v>0.03</v>
      </c>
      <c r="K5" s="422">
        <v>0.05</v>
      </c>
      <c r="L5" s="186">
        <v>0.08</v>
      </c>
      <c r="M5" s="416">
        <v>0.08</v>
      </c>
      <c r="N5" s="197">
        <v>0.1</v>
      </c>
      <c r="P5" s="186">
        <v>0.05</v>
      </c>
      <c r="Q5" s="186">
        <v>0.08</v>
      </c>
      <c r="R5" s="416">
        <v>0.08</v>
      </c>
      <c r="S5" s="197">
        <v>0.1</v>
      </c>
      <c r="T5" s="407" t="s">
        <v>489</v>
      </c>
      <c r="U5" t="s">
        <v>490</v>
      </c>
    </row>
    <row r="6" spans="1:21">
      <c r="A6" s="942" t="s">
        <v>311</v>
      </c>
      <c r="B6" s="943"/>
      <c r="C6" s="592"/>
      <c r="D6" s="818"/>
      <c r="E6" s="840"/>
      <c r="F6" s="49"/>
      <c r="G6" s="946">
        <f>SUM(G8,G22,G36,G50)</f>
        <v>0</v>
      </c>
      <c r="H6" s="946">
        <f t="shared" ref="H6:I6" si="0">SUM(H8,H22,H36,H50)</f>
        <v>0</v>
      </c>
      <c r="I6" s="918">
        <f t="shared" si="0"/>
        <v>0</v>
      </c>
      <c r="J6" s="324">
        <f>SUM(J9,J23,J37,J51)</f>
        <v>0</v>
      </c>
      <c r="K6" s="403">
        <f>SUM(K9,K23,K37,K51)</f>
        <v>0</v>
      </c>
      <c r="L6" s="324">
        <f t="shared" ref="L6:N6" si="1">SUM(L9,L23,L37,L51)</f>
        <v>0</v>
      </c>
      <c r="M6" s="324">
        <f t="shared" si="1"/>
        <v>0</v>
      </c>
      <c r="N6" s="324">
        <f t="shared" si="1"/>
        <v>0</v>
      </c>
      <c r="P6" s="403">
        <f>SUM(P9,P23,P37,P51)</f>
        <v>0</v>
      </c>
      <c r="Q6" s="324">
        <f t="shared" ref="Q6:T6" si="2">SUM(Q9,Q23,Q37,Q51)</f>
        <v>0</v>
      </c>
      <c r="R6" s="324">
        <f t="shared" si="2"/>
        <v>0</v>
      </c>
      <c r="S6" s="324">
        <f t="shared" si="2"/>
        <v>0</v>
      </c>
      <c r="T6" s="324">
        <f t="shared" si="2"/>
        <v>0</v>
      </c>
      <c r="U6" s="413">
        <f>+T6-'[4]4条収入'!$AH$26</f>
        <v>0</v>
      </c>
    </row>
    <row r="7" spans="1:21">
      <c r="A7" s="817"/>
      <c r="B7" s="532"/>
      <c r="C7" s="533"/>
      <c r="D7" s="819"/>
      <c r="E7" s="841"/>
      <c r="F7" s="50"/>
      <c r="G7" s="515"/>
      <c r="H7" s="515"/>
      <c r="I7" s="1037"/>
    </row>
    <row r="8" spans="1:21" ht="13.5" customHeight="1">
      <c r="A8" s="392"/>
      <c r="B8" s="929" t="s">
        <v>466</v>
      </c>
      <c r="C8" s="930"/>
      <c r="D8" s="818"/>
      <c r="E8" s="840"/>
      <c r="F8" s="49"/>
      <c r="G8" s="586">
        <f>SUM(G10:G21)</f>
        <v>0</v>
      </c>
      <c r="H8" s="586">
        <f t="shared" ref="H8:I8" si="3">SUM(H10:H21)</f>
        <v>0</v>
      </c>
      <c r="I8" s="918">
        <f t="shared" si="3"/>
        <v>0</v>
      </c>
    </row>
    <row r="9" spans="1:21">
      <c r="A9" s="393"/>
      <c r="B9" s="931"/>
      <c r="C9" s="932"/>
      <c r="D9" s="933"/>
      <c r="E9" s="934"/>
      <c r="F9" s="394"/>
      <c r="G9" s="935"/>
      <c r="H9" s="935"/>
      <c r="I9" s="919"/>
      <c r="L9" s="395">
        <f t="shared" ref="L9:N9" si="4">+L13+L19</f>
        <v>0</v>
      </c>
      <c r="M9" s="395">
        <f t="shared" si="4"/>
        <v>0</v>
      </c>
      <c r="N9" s="395">
        <f t="shared" si="4"/>
        <v>0</v>
      </c>
      <c r="P9" s="395">
        <f>+P13+P19</f>
        <v>0</v>
      </c>
      <c r="Q9" s="395">
        <f t="shared" ref="Q9:T9" si="5">+Q13+Q19</f>
        <v>0</v>
      </c>
      <c r="R9" s="395">
        <f t="shared" si="5"/>
        <v>0</v>
      </c>
      <c r="S9" s="395">
        <f t="shared" si="5"/>
        <v>0</v>
      </c>
      <c r="T9" s="395">
        <f t="shared" si="5"/>
        <v>0</v>
      </c>
      <c r="U9" s="413">
        <f>+T9-'[4]4条収入'!$AH$27</f>
        <v>0</v>
      </c>
    </row>
    <row r="10" spans="1:21">
      <c r="A10" s="393"/>
      <c r="B10" s="920" t="s">
        <v>467</v>
      </c>
      <c r="C10" s="939" t="s">
        <v>468</v>
      </c>
      <c r="D10" s="923" t="s">
        <v>469</v>
      </c>
      <c r="E10" s="924" t="s">
        <v>539</v>
      </c>
      <c r="F10" s="28"/>
      <c r="G10" s="926">
        <v>0</v>
      </c>
      <c r="H10" s="377"/>
      <c r="I10" s="378"/>
    </row>
    <row r="11" spans="1:21">
      <c r="A11" s="393"/>
      <c r="B11" s="921"/>
      <c r="C11" s="829"/>
      <c r="D11" s="497"/>
      <c r="E11" s="925"/>
      <c r="F11" s="323"/>
      <c r="G11" s="927"/>
      <c r="H11" s="384"/>
      <c r="I11" s="382"/>
    </row>
    <row r="12" spans="1:21">
      <c r="A12" s="393"/>
      <c r="B12" s="921"/>
      <c r="C12" s="631"/>
      <c r="D12" s="498" t="s">
        <v>470</v>
      </c>
      <c r="E12" s="925"/>
      <c r="F12" s="396">
        <v>0</v>
      </c>
      <c r="G12" s="397"/>
      <c r="H12" s="914">
        <f>IFERROR(ROUND(SUM(G10:G15)*F12/F13,0),0)</f>
        <v>0</v>
      </c>
      <c r="I12" s="915">
        <f>SUM(G10:G15)-H12</f>
        <v>0</v>
      </c>
      <c r="L12" s="367">
        <v>0</v>
      </c>
      <c r="M12" s="367">
        <v>0</v>
      </c>
      <c r="N12" s="239">
        <f>F12-SUM(L12:M12)</f>
        <v>0</v>
      </c>
    </row>
    <row r="13" spans="1:21">
      <c r="A13" s="393"/>
      <c r="B13" s="921"/>
      <c r="C13" s="829"/>
      <c r="D13" s="500"/>
      <c r="E13" s="925"/>
      <c r="F13" s="398">
        <v>0</v>
      </c>
      <c r="G13" s="386"/>
      <c r="H13" s="914"/>
      <c r="I13" s="915"/>
      <c r="L13" s="147">
        <f>+H12-SUM(J13:K13,M13:N13)</f>
        <v>0</v>
      </c>
      <c r="M13" s="147">
        <f>IFERROR(ROUND(M12/F12*H12,0),0)</f>
        <v>0</v>
      </c>
      <c r="N13" s="147">
        <f>IFERROR(ROUND(N12/F12*H12,0),0)</f>
        <v>0</v>
      </c>
      <c r="P13" s="145">
        <f>+ROUND(K13*P$5/(1+P$5),0)</f>
        <v>0</v>
      </c>
      <c r="Q13" s="145">
        <f>+ROUND(L13*Q$5/(1+Q$5),0)</f>
        <v>0</v>
      </c>
      <c r="R13" s="145">
        <f>+ROUND(M13*R$5/(1+R$5),0)</f>
        <v>0</v>
      </c>
      <c r="S13" s="145">
        <f>+ROUND(N13*S$5/(1+S$5),0)</f>
        <v>0</v>
      </c>
      <c r="T13" s="411">
        <f>SUM(P13:S13)</f>
        <v>0</v>
      </c>
    </row>
    <row r="14" spans="1:21">
      <c r="A14" s="393"/>
      <c r="B14" s="921"/>
      <c r="C14" s="605" t="s">
        <v>470</v>
      </c>
      <c r="D14" s="498" t="s">
        <v>470</v>
      </c>
      <c r="E14" s="925"/>
      <c r="F14" s="323"/>
      <c r="G14" s="380"/>
      <c r="H14" s="384"/>
      <c r="I14" s="382"/>
    </row>
    <row r="15" spans="1:21">
      <c r="A15" s="393"/>
      <c r="B15" s="921"/>
      <c r="C15" s="827"/>
      <c r="D15" s="499"/>
      <c r="E15" s="925"/>
      <c r="F15" s="323"/>
      <c r="G15" s="397"/>
      <c r="H15" s="384"/>
      <c r="I15" s="382"/>
    </row>
    <row r="16" spans="1:21">
      <c r="A16" s="393"/>
      <c r="B16" s="921"/>
      <c r="C16" s="939" t="s">
        <v>468</v>
      </c>
      <c r="D16" s="923" t="s">
        <v>469</v>
      </c>
      <c r="E16" s="924" t="s">
        <v>540</v>
      </c>
      <c r="F16" s="399"/>
      <c r="G16" s="926">
        <v>0</v>
      </c>
      <c r="H16" s="377"/>
      <c r="I16" s="378"/>
    </row>
    <row r="17" spans="1:21">
      <c r="A17" s="393"/>
      <c r="B17" s="921"/>
      <c r="C17" s="829"/>
      <c r="D17" s="497"/>
      <c r="E17" s="925"/>
      <c r="F17" s="323"/>
      <c r="G17" s="927"/>
      <c r="H17" s="384"/>
      <c r="I17" s="382"/>
    </row>
    <row r="18" spans="1:21">
      <c r="A18" s="393"/>
      <c r="B18" s="921"/>
      <c r="C18" s="913" t="s">
        <v>470</v>
      </c>
      <c r="D18" s="497" t="s">
        <v>470</v>
      </c>
      <c r="E18" s="925"/>
      <c r="F18" s="396">
        <v>0</v>
      </c>
      <c r="G18" s="380"/>
      <c r="H18" s="914">
        <f>IFERROR(ROUND(SUM(G16:G21)*F18/F19,0),0)</f>
        <v>0</v>
      </c>
      <c r="I18" s="915">
        <f>SUM(G16:G21)-H18</f>
        <v>0</v>
      </c>
      <c r="L18" s="367"/>
      <c r="M18" s="367"/>
      <c r="N18" s="239">
        <f>F18-SUM(L18:M18)</f>
        <v>0</v>
      </c>
    </row>
    <row r="19" spans="1:21">
      <c r="A19" s="393"/>
      <c r="B19" s="921"/>
      <c r="C19" s="913"/>
      <c r="D19" s="497"/>
      <c r="E19" s="925"/>
      <c r="F19" s="398">
        <v>0</v>
      </c>
      <c r="G19" s="386"/>
      <c r="H19" s="914"/>
      <c r="I19" s="915"/>
      <c r="L19" s="147">
        <f>+H18-SUM(J19:K19,M19:N19)</f>
        <v>0</v>
      </c>
      <c r="M19" s="147">
        <f>IFERROR(ROUND(M18/F18*H18,0),0)</f>
        <v>0</v>
      </c>
      <c r="N19" s="147">
        <f>IFERROR(ROUND(N18/F18*H18,0),0)</f>
        <v>0</v>
      </c>
      <c r="P19" s="145">
        <f>+ROUND(K19*P$5/(1+P$5),0)</f>
        <v>0</v>
      </c>
      <c r="Q19" s="145">
        <f t="shared" ref="Q19:R19" si="6">+ROUND(L19*Q$5/(1+Q$5),0)</f>
        <v>0</v>
      </c>
      <c r="R19" s="145">
        <f t="shared" si="6"/>
        <v>0</v>
      </c>
      <c r="S19" s="145">
        <f>+ROUND(N19*S$5/(1+S$5),0)</f>
        <v>0</v>
      </c>
      <c r="T19" s="411">
        <f>SUM(P19:S19)</f>
        <v>0</v>
      </c>
    </row>
    <row r="20" spans="1:21">
      <c r="A20" s="393"/>
      <c r="B20" s="921"/>
      <c r="C20" s="913" t="s">
        <v>470</v>
      </c>
      <c r="D20" s="497" t="s">
        <v>471</v>
      </c>
      <c r="E20" s="925"/>
      <c r="F20" s="323"/>
      <c r="G20" s="380"/>
      <c r="H20" s="384"/>
      <c r="I20" s="382"/>
    </row>
    <row r="21" spans="1:21">
      <c r="A21" s="393"/>
      <c r="B21" s="938"/>
      <c r="C21" s="936"/>
      <c r="D21" s="937"/>
      <c r="E21" s="940"/>
      <c r="F21" s="400"/>
      <c r="G21" s="381"/>
      <c r="H21" s="207"/>
      <c r="I21" s="208"/>
      <c r="J21" s="145"/>
    </row>
    <row r="22" spans="1:21">
      <c r="A22" s="393"/>
      <c r="B22" s="929" t="s">
        <v>472</v>
      </c>
      <c r="C22" s="930"/>
      <c r="D22" s="818"/>
      <c r="E22" s="840"/>
      <c r="F22" s="49"/>
      <c r="G22" s="586">
        <f>SUM(G24:G35)</f>
        <v>0</v>
      </c>
      <c r="H22" s="586">
        <f t="shared" ref="H22:I22" si="7">SUM(H24:H35)</f>
        <v>0</v>
      </c>
      <c r="I22" s="918">
        <f t="shared" si="7"/>
        <v>0</v>
      </c>
      <c r="J22" s="145"/>
    </row>
    <row r="23" spans="1:21">
      <c r="A23" s="393"/>
      <c r="B23" s="931"/>
      <c r="C23" s="932"/>
      <c r="D23" s="933"/>
      <c r="E23" s="934"/>
      <c r="F23" s="394"/>
      <c r="G23" s="935"/>
      <c r="H23" s="935"/>
      <c r="I23" s="919"/>
      <c r="J23" s="145"/>
      <c r="L23" s="395">
        <f t="shared" ref="L23:N23" si="8">+L27+L33</f>
        <v>0</v>
      </c>
      <c r="M23" s="395">
        <f t="shared" si="8"/>
        <v>0</v>
      </c>
      <c r="N23" s="395">
        <f t="shared" si="8"/>
        <v>0</v>
      </c>
      <c r="P23" s="395">
        <f>+P27+P33</f>
        <v>0</v>
      </c>
      <c r="Q23" s="395">
        <f t="shared" ref="Q23:T23" si="9">+Q27+Q33</f>
        <v>0</v>
      </c>
      <c r="R23" s="395">
        <f t="shared" si="9"/>
        <v>0</v>
      </c>
      <c r="S23" s="395">
        <f t="shared" si="9"/>
        <v>0</v>
      </c>
      <c r="T23" s="395">
        <f t="shared" si="9"/>
        <v>0</v>
      </c>
      <c r="U23" s="413">
        <f>+T23-'[4]4条収入'!$AH$28</f>
        <v>0</v>
      </c>
    </row>
    <row r="24" spans="1:21">
      <c r="A24" s="393"/>
      <c r="B24" s="920" t="s">
        <v>473</v>
      </c>
      <c r="C24" s="939" t="s">
        <v>468</v>
      </c>
      <c r="D24" s="923" t="s">
        <v>469</v>
      </c>
      <c r="E24" s="924" t="str">
        <f>+E10</f>
        <v>4年度分
公共土木施設災害復旧事業費(補助事業現年分)の課税支出割合</v>
      </c>
      <c r="F24" s="28"/>
      <c r="G24" s="926">
        <v>0</v>
      </c>
      <c r="H24" s="377"/>
      <c r="I24" s="378"/>
    </row>
    <row r="25" spans="1:21">
      <c r="A25" s="393"/>
      <c r="B25" s="921"/>
      <c r="C25" s="829"/>
      <c r="D25" s="497"/>
      <c r="E25" s="925"/>
      <c r="F25" s="323"/>
      <c r="G25" s="927"/>
      <c r="H25" s="384"/>
      <c r="I25" s="382"/>
    </row>
    <row r="26" spans="1:21">
      <c r="A26" s="393"/>
      <c r="B26" s="921"/>
      <c r="C26" s="631"/>
      <c r="D26" s="498" t="s">
        <v>470</v>
      </c>
      <c r="E26" s="925"/>
      <c r="F26" s="396">
        <v>0</v>
      </c>
      <c r="G26" s="380"/>
      <c r="H26" s="914">
        <f>IFERROR(ROUND(SUM(G24:G29)*F26/F27,0),0)</f>
        <v>0</v>
      </c>
      <c r="I26" s="915">
        <f>SUM(G24:G29)-H26</f>
        <v>0</v>
      </c>
      <c r="L26" s="367"/>
      <c r="M26" s="367"/>
      <c r="N26" s="239">
        <f>F26-SUM(L26:M26)</f>
        <v>0</v>
      </c>
    </row>
    <row r="27" spans="1:21">
      <c r="A27" s="393"/>
      <c r="B27" s="921"/>
      <c r="C27" s="829"/>
      <c r="D27" s="500"/>
      <c r="E27" s="925"/>
      <c r="F27" s="396">
        <v>0</v>
      </c>
      <c r="G27" s="386"/>
      <c r="H27" s="914"/>
      <c r="I27" s="915"/>
      <c r="L27" s="147">
        <f>+H26-SUM(J27:K27,M27:N27)</f>
        <v>0</v>
      </c>
      <c r="M27" s="147">
        <f>IFERROR(ROUND(M26/F26*H26,0),0)</f>
        <v>0</v>
      </c>
      <c r="N27" s="147">
        <f>IFERROR(ROUND(N26/F26*H26,0),0)</f>
        <v>0</v>
      </c>
      <c r="P27" s="145">
        <f>+ROUND(K27*P$5/(1+P$5),0)</f>
        <v>0</v>
      </c>
      <c r="Q27" s="145">
        <f t="shared" ref="Q27:R27" si="10">+ROUND(L27*Q$5/(1+Q$5),0)</f>
        <v>0</v>
      </c>
      <c r="R27" s="145">
        <f t="shared" si="10"/>
        <v>0</v>
      </c>
      <c r="S27" s="145">
        <f>+ROUND(N27*S$5/(1+S$5),0)</f>
        <v>0</v>
      </c>
      <c r="T27" s="411">
        <f>SUM(P27:S27)</f>
        <v>0</v>
      </c>
    </row>
    <row r="28" spans="1:21">
      <c r="A28" s="393"/>
      <c r="B28" s="921"/>
      <c r="C28" s="605" t="s">
        <v>470</v>
      </c>
      <c r="D28" s="498" t="s">
        <v>470</v>
      </c>
      <c r="E28" s="925"/>
      <c r="F28" s="323"/>
      <c r="G28" s="380"/>
      <c r="H28" s="384"/>
      <c r="I28" s="382"/>
    </row>
    <row r="29" spans="1:21">
      <c r="A29" s="393"/>
      <c r="B29" s="921"/>
      <c r="C29" s="827"/>
      <c r="D29" s="499"/>
      <c r="E29" s="925"/>
      <c r="F29" s="323"/>
      <c r="G29" s="397"/>
      <c r="H29" s="384"/>
      <c r="I29" s="382"/>
    </row>
    <row r="30" spans="1:21">
      <c r="A30" s="393"/>
      <c r="B30" s="921"/>
      <c r="C30" s="939" t="s">
        <v>468</v>
      </c>
      <c r="D30" s="923" t="s">
        <v>469</v>
      </c>
      <c r="E30" s="924" t="str">
        <f>+E16</f>
        <v>3年度分
公共土木施設災害復旧事業費(補助事業繰越分)の課税支出割合</v>
      </c>
      <c r="F30" s="399"/>
      <c r="G30" s="926">
        <v>0</v>
      </c>
      <c r="H30" s="377"/>
      <c r="I30" s="378"/>
    </row>
    <row r="31" spans="1:21">
      <c r="A31" s="393"/>
      <c r="B31" s="921"/>
      <c r="C31" s="829"/>
      <c r="D31" s="497"/>
      <c r="E31" s="925"/>
      <c r="F31" s="323"/>
      <c r="G31" s="927"/>
      <c r="H31" s="384"/>
      <c r="I31" s="382"/>
    </row>
    <row r="32" spans="1:21">
      <c r="A32" s="393"/>
      <c r="B32" s="921"/>
      <c r="C32" s="913" t="s">
        <v>470</v>
      </c>
      <c r="D32" s="497" t="s">
        <v>470</v>
      </c>
      <c r="E32" s="925"/>
      <c r="F32" s="396">
        <v>0</v>
      </c>
      <c r="G32" s="380"/>
      <c r="H32" s="914">
        <f>IFERROR(ROUND(SUM(G30:G35)*F32/F33,0),0)</f>
        <v>0</v>
      </c>
      <c r="I32" s="915">
        <f>SUM(G30:G35)-H32</f>
        <v>0</v>
      </c>
      <c r="L32" s="367"/>
      <c r="M32" s="367"/>
      <c r="N32" s="239">
        <f>F32-SUM(L32:M32)</f>
        <v>0</v>
      </c>
    </row>
    <row r="33" spans="1:21">
      <c r="A33" s="393"/>
      <c r="B33" s="921"/>
      <c r="C33" s="913"/>
      <c r="D33" s="497"/>
      <c r="E33" s="925"/>
      <c r="F33" s="398">
        <v>0</v>
      </c>
      <c r="G33" s="386"/>
      <c r="H33" s="914"/>
      <c r="I33" s="915"/>
      <c r="L33" s="147">
        <f>+H32-SUM(J33:K33,M33:N33)</f>
        <v>0</v>
      </c>
      <c r="M33" s="147">
        <f>IFERROR(ROUND(M32/F32*H32,0),0)</f>
        <v>0</v>
      </c>
      <c r="N33" s="147">
        <f>IFERROR(ROUND(N32/F32*H32,0),0)</f>
        <v>0</v>
      </c>
      <c r="P33" s="145">
        <f>+ROUND(K33*P$5/(1+P$5),0)</f>
        <v>0</v>
      </c>
      <c r="Q33" s="145">
        <f t="shared" ref="Q33:R33" si="11">+ROUND(L33*Q$5/(1+Q$5),0)</f>
        <v>0</v>
      </c>
      <c r="R33" s="145">
        <f t="shared" si="11"/>
        <v>0</v>
      </c>
      <c r="S33" s="145">
        <f>+ROUND(N33*S$5/(1+S$5),0)</f>
        <v>0</v>
      </c>
      <c r="T33" s="411">
        <f>SUM(P33:S33)</f>
        <v>0</v>
      </c>
    </row>
    <row r="34" spans="1:21">
      <c r="A34" s="393"/>
      <c r="B34" s="921"/>
      <c r="C34" s="913" t="s">
        <v>470</v>
      </c>
      <c r="D34" s="497" t="s">
        <v>471</v>
      </c>
      <c r="E34" s="925"/>
      <c r="F34" s="323"/>
      <c r="G34" s="380"/>
      <c r="H34" s="384"/>
      <c r="I34" s="382"/>
    </row>
    <row r="35" spans="1:21">
      <c r="A35" s="393"/>
      <c r="B35" s="938"/>
      <c r="C35" s="936"/>
      <c r="D35" s="937"/>
      <c r="E35" s="940"/>
      <c r="F35" s="400"/>
      <c r="G35" s="381"/>
      <c r="H35" s="207"/>
      <c r="I35" s="208"/>
      <c r="J35" s="145"/>
    </row>
    <row r="36" spans="1:21">
      <c r="A36" s="393"/>
      <c r="B36" s="929" t="s">
        <v>474</v>
      </c>
      <c r="C36" s="930"/>
      <c r="D36" s="818"/>
      <c r="E36" s="840"/>
      <c r="F36" s="49"/>
      <c r="G36" s="586">
        <f>SUM(G38:G49)</f>
        <v>0</v>
      </c>
      <c r="H36" s="586">
        <f t="shared" ref="H36:I36" si="12">SUM(H38:H49)</f>
        <v>0</v>
      </c>
      <c r="I36" s="918">
        <f t="shared" si="12"/>
        <v>0</v>
      </c>
      <c r="J36" s="145"/>
    </row>
    <row r="37" spans="1:21">
      <c r="A37" s="393"/>
      <c r="B37" s="931"/>
      <c r="C37" s="932"/>
      <c r="D37" s="933"/>
      <c r="E37" s="934"/>
      <c r="F37" s="394"/>
      <c r="G37" s="935"/>
      <c r="H37" s="935"/>
      <c r="I37" s="919"/>
      <c r="J37" s="145"/>
      <c r="L37" s="395">
        <f t="shared" ref="L37:N37" si="13">+L41+L47</f>
        <v>0</v>
      </c>
      <c r="M37" s="395">
        <f t="shared" si="13"/>
        <v>0</v>
      </c>
      <c r="N37" s="395">
        <f t="shared" si="13"/>
        <v>0</v>
      </c>
      <c r="P37" s="395">
        <f>+P41+P47</f>
        <v>0</v>
      </c>
      <c r="Q37" s="395">
        <f t="shared" ref="Q37:T37" si="14">+Q41+Q47</f>
        <v>0</v>
      </c>
      <c r="R37" s="395">
        <f t="shared" si="14"/>
        <v>0</v>
      </c>
      <c r="S37" s="395">
        <f t="shared" si="14"/>
        <v>0</v>
      </c>
      <c r="T37" s="395">
        <f t="shared" si="14"/>
        <v>0</v>
      </c>
      <c r="U37" s="413">
        <f>+T37-'[4]4条収入'!$AH$29</f>
        <v>0</v>
      </c>
    </row>
    <row r="38" spans="1:21" ht="13.5" customHeight="1">
      <c r="A38" s="393"/>
      <c r="B38" s="920" t="s">
        <v>475</v>
      </c>
      <c r="C38" s="891" t="s">
        <v>476</v>
      </c>
      <c r="D38" s="923" t="s">
        <v>477</v>
      </c>
      <c r="E38" s="924" t="s">
        <v>541</v>
      </c>
      <c r="F38" s="28"/>
      <c r="G38" s="926">
        <v>0</v>
      </c>
      <c r="H38" s="377"/>
      <c r="I38" s="378"/>
    </row>
    <row r="39" spans="1:21">
      <c r="A39" s="393"/>
      <c r="B39" s="921"/>
      <c r="C39" s="632"/>
      <c r="D39" s="497"/>
      <c r="E39" s="925"/>
      <c r="F39" s="323"/>
      <c r="G39" s="927"/>
      <c r="H39" s="384"/>
      <c r="I39" s="382"/>
    </row>
    <row r="40" spans="1:21" ht="13.5" customHeight="1">
      <c r="A40" s="393"/>
      <c r="B40" s="921"/>
      <c r="C40" s="631"/>
      <c r="D40" s="498" t="s">
        <v>470</v>
      </c>
      <c r="E40" s="925"/>
      <c r="F40" s="396">
        <v>0</v>
      </c>
      <c r="G40" s="380"/>
      <c r="H40" s="914">
        <f>IFERROR(ROUND(SUM(G38:G43)*F40/F41,0),0)</f>
        <v>0</v>
      </c>
      <c r="I40" s="915">
        <f>SUM(G38:G43)-H40</f>
        <v>0</v>
      </c>
      <c r="L40" s="367">
        <v>0</v>
      </c>
      <c r="M40" s="367">
        <v>0</v>
      </c>
      <c r="N40" s="239">
        <f>F40-SUM(L40:M40)</f>
        <v>0</v>
      </c>
    </row>
    <row r="41" spans="1:21">
      <c r="A41" s="393"/>
      <c r="B41" s="921"/>
      <c r="C41" s="829"/>
      <c r="D41" s="500"/>
      <c r="E41" s="925"/>
      <c r="F41" s="398">
        <v>0</v>
      </c>
      <c r="G41" s="386"/>
      <c r="H41" s="914"/>
      <c r="I41" s="915"/>
      <c r="L41" s="147">
        <f>+H40-SUM(J41:K41,M41:N41)</f>
        <v>0</v>
      </c>
      <c r="M41" s="147">
        <f>IFERROR(ROUND(M40/F40*H40,0),0)</f>
        <v>0</v>
      </c>
      <c r="N41" s="147">
        <f>IFERROR(ROUND(N40/F40*H40,0),0)</f>
        <v>0</v>
      </c>
      <c r="P41" s="145">
        <f>+ROUND(K41*P$5/(1+P$5),0)</f>
        <v>0</v>
      </c>
      <c r="Q41" s="145">
        <f t="shared" ref="Q41:R41" si="15">+ROUND(L41*Q$5/(1+Q$5),0)</f>
        <v>0</v>
      </c>
      <c r="R41" s="145">
        <f t="shared" si="15"/>
        <v>0</v>
      </c>
      <c r="S41" s="145">
        <f>+ROUND(N41*S$5/(1+S$5),0)</f>
        <v>0</v>
      </c>
      <c r="T41" s="411">
        <f>SUM(P41:S41)</f>
        <v>0</v>
      </c>
    </row>
    <row r="42" spans="1:21" ht="13.5" customHeight="1">
      <c r="A42" s="393"/>
      <c r="B42" s="921"/>
      <c r="C42" s="605" t="s">
        <v>470</v>
      </c>
      <c r="D42" s="498" t="s">
        <v>470</v>
      </c>
      <c r="E42" s="925"/>
      <c r="F42" s="323"/>
      <c r="G42" s="380"/>
      <c r="H42" s="384"/>
      <c r="I42" s="382"/>
    </row>
    <row r="43" spans="1:21">
      <c r="A43" s="393"/>
      <c r="B43" s="921"/>
      <c r="C43" s="827"/>
      <c r="D43" s="499"/>
      <c r="E43" s="925"/>
      <c r="F43" s="323"/>
      <c r="G43" s="397"/>
      <c r="H43" s="384"/>
      <c r="I43" s="382"/>
    </row>
    <row r="44" spans="1:21">
      <c r="A44" s="393"/>
      <c r="B44" s="921"/>
      <c r="C44" s="891" t="s">
        <v>476</v>
      </c>
      <c r="D44" s="923" t="s">
        <v>477</v>
      </c>
      <c r="E44" s="924" t="s">
        <v>542</v>
      </c>
      <c r="F44" s="399"/>
      <c r="G44" s="926">
        <v>0</v>
      </c>
      <c r="H44" s="377"/>
      <c r="I44" s="378"/>
    </row>
    <row r="45" spans="1:21">
      <c r="A45" s="393"/>
      <c r="B45" s="921"/>
      <c r="C45" s="632"/>
      <c r="D45" s="497"/>
      <c r="E45" s="925"/>
      <c r="F45" s="323"/>
      <c r="G45" s="927"/>
      <c r="H45" s="384"/>
      <c r="I45" s="382"/>
    </row>
    <row r="46" spans="1:21">
      <c r="A46" s="393"/>
      <c r="B46" s="921"/>
      <c r="C46" s="913" t="s">
        <v>470</v>
      </c>
      <c r="D46" s="497" t="s">
        <v>470</v>
      </c>
      <c r="E46" s="925"/>
      <c r="F46" s="396">
        <v>0</v>
      </c>
      <c r="G46" s="380"/>
      <c r="H46" s="914">
        <f>IFERROR(ROUND(SUM(G44:G49)*F46/F47,0),0)</f>
        <v>0</v>
      </c>
      <c r="I46" s="915">
        <f>SUM(G44:G49)-H46</f>
        <v>0</v>
      </c>
      <c r="L46" s="367"/>
      <c r="M46" s="367"/>
      <c r="N46" s="239">
        <f>F46-SUM(L46:M46)</f>
        <v>0</v>
      </c>
    </row>
    <row r="47" spans="1:21">
      <c r="A47" s="393"/>
      <c r="B47" s="921"/>
      <c r="C47" s="913"/>
      <c r="D47" s="497"/>
      <c r="E47" s="925"/>
      <c r="F47" s="396">
        <v>0</v>
      </c>
      <c r="G47" s="386"/>
      <c r="H47" s="914"/>
      <c r="I47" s="915"/>
      <c r="L47" s="147">
        <f>+H46-SUM(J47:K47,M47:N47)</f>
        <v>0</v>
      </c>
      <c r="M47" s="147">
        <f>IFERROR(ROUND(M46/F46*H46,0),0)</f>
        <v>0</v>
      </c>
      <c r="N47" s="147">
        <f>IFERROR(ROUND(N46/F46*H46,0),0)</f>
        <v>0</v>
      </c>
      <c r="P47" s="145">
        <f>+ROUND(K47*P$5/(1+P$5),0)</f>
        <v>0</v>
      </c>
      <c r="Q47" s="145">
        <f t="shared" ref="Q47:R47" si="16">+ROUND(L47*Q$5/(1+Q$5),0)</f>
        <v>0</v>
      </c>
      <c r="R47" s="145">
        <f t="shared" si="16"/>
        <v>0</v>
      </c>
      <c r="S47" s="145">
        <f>+ROUND(N47*S$5/(1+S$5),0)</f>
        <v>0</v>
      </c>
      <c r="T47" s="411">
        <f>SUM(P47:S47)</f>
        <v>0</v>
      </c>
    </row>
    <row r="48" spans="1:21">
      <c r="A48" s="393"/>
      <c r="B48" s="921"/>
      <c r="C48" s="913" t="s">
        <v>470</v>
      </c>
      <c r="D48" s="497" t="s">
        <v>471</v>
      </c>
      <c r="E48" s="925"/>
      <c r="F48" s="323"/>
      <c r="G48" s="380"/>
      <c r="H48" s="384"/>
      <c r="I48" s="382"/>
    </row>
    <row r="49" spans="1:21">
      <c r="A49" s="393"/>
      <c r="B49" s="921"/>
      <c r="C49" s="605"/>
      <c r="D49" s="498"/>
      <c r="E49" s="925"/>
      <c r="F49" s="323"/>
      <c r="G49" s="397"/>
      <c r="H49" s="379"/>
      <c r="I49" s="204"/>
      <c r="J49" s="145"/>
    </row>
    <row r="50" spans="1:21">
      <c r="A50" s="393"/>
      <c r="B50" s="929" t="s">
        <v>478</v>
      </c>
      <c r="C50" s="930"/>
      <c r="D50" s="818"/>
      <c r="E50" s="840"/>
      <c r="F50" s="49"/>
      <c r="G50" s="586">
        <f>SUM(G52:G63)</f>
        <v>0</v>
      </c>
      <c r="H50" s="586">
        <f t="shared" ref="H50:I50" si="17">SUM(H52:H63)</f>
        <v>0</v>
      </c>
      <c r="I50" s="918">
        <f t="shared" si="17"/>
        <v>0</v>
      </c>
      <c r="J50" s="145"/>
    </row>
    <row r="51" spans="1:21">
      <c r="A51" s="393"/>
      <c r="B51" s="931"/>
      <c r="C51" s="932"/>
      <c r="D51" s="933"/>
      <c r="E51" s="934"/>
      <c r="F51" s="394"/>
      <c r="G51" s="935"/>
      <c r="H51" s="935"/>
      <c r="I51" s="919"/>
      <c r="J51" s="145"/>
      <c r="L51" s="395">
        <f t="shared" ref="L51:N51" si="18">+L55+L61</f>
        <v>0</v>
      </c>
      <c r="M51" s="395">
        <f t="shared" si="18"/>
        <v>0</v>
      </c>
      <c r="N51" s="395">
        <f t="shared" si="18"/>
        <v>0</v>
      </c>
      <c r="P51" s="395">
        <f>+P55+P61</f>
        <v>0</v>
      </c>
      <c r="Q51" s="395">
        <f t="shared" ref="Q51:T51" si="19">+Q55+Q61</f>
        <v>0</v>
      </c>
      <c r="R51" s="395">
        <f t="shared" si="19"/>
        <v>0</v>
      </c>
      <c r="S51" s="395">
        <f t="shared" si="19"/>
        <v>0</v>
      </c>
      <c r="T51" s="395">
        <f t="shared" si="19"/>
        <v>0</v>
      </c>
      <c r="U51" s="413">
        <f>+T51-'[4]4条収入'!$AH$30</f>
        <v>0</v>
      </c>
    </row>
    <row r="52" spans="1:21">
      <c r="A52" s="393"/>
      <c r="B52" s="920" t="s">
        <v>479</v>
      </c>
      <c r="C52" s="891"/>
      <c r="D52" s="923"/>
      <c r="E52" s="924"/>
      <c r="F52" s="28"/>
      <c r="G52" s="926"/>
      <c r="H52" s="377"/>
      <c r="I52" s="378"/>
    </row>
    <row r="53" spans="1:21">
      <c r="A53" s="393"/>
      <c r="B53" s="921"/>
      <c r="C53" s="632"/>
      <c r="D53" s="497"/>
      <c r="E53" s="925"/>
      <c r="F53" s="323"/>
      <c r="G53" s="927"/>
      <c r="H53" s="384"/>
      <c r="I53" s="382"/>
    </row>
    <row r="54" spans="1:21">
      <c r="A54" s="393"/>
      <c r="B54" s="921"/>
      <c r="C54" s="631"/>
      <c r="D54" s="498"/>
      <c r="E54" s="925"/>
      <c r="F54" s="396"/>
      <c r="G54" s="380"/>
      <c r="H54" s="914">
        <f>IFERROR(ROUND(SUM(G52:G57)*F54/F55,0),0)</f>
        <v>0</v>
      </c>
      <c r="I54" s="915">
        <f>SUM(G52:G57)-H54</f>
        <v>0</v>
      </c>
      <c r="L54" s="367"/>
      <c r="M54" s="367"/>
      <c r="N54" s="239">
        <f>F54-SUM(L54:M54)</f>
        <v>0</v>
      </c>
    </row>
    <row r="55" spans="1:21">
      <c r="A55" s="393"/>
      <c r="B55" s="921"/>
      <c r="C55" s="829"/>
      <c r="D55" s="500"/>
      <c r="E55" s="925"/>
      <c r="F55" s="398"/>
      <c r="G55" s="386"/>
      <c r="H55" s="914"/>
      <c r="I55" s="915"/>
      <c r="L55" s="147">
        <f>+H54-SUM(J55:K55,M55:N55)</f>
        <v>0</v>
      </c>
      <c r="M55" s="147">
        <f>IFERROR(ROUND(M54/F54*H54,0),0)</f>
        <v>0</v>
      </c>
      <c r="N55" s="147">
        <f>IFERROR(ROUND(N54/F54*H54,0),0)</f>
        <v>0</v>
      </c>
      <c r="P55" s="145">
        <f>+ROUND(K55*P$5/(1+P$5),0)</f>
        <v>0</v>
      </c>
      <c r="Q55" s="145">
        <f t="shared" ref="Q55:R55" si="20">+ROUND(L55*Q$5/(1+Q$5),0)</f>
        <v>0</v>
      </c>
      <c r="R55" s="145">
        <f t="shared" si="20"/>
        <v>0</v>
      </c>
      <c r="S55" s="145">
        <f>+ROUND(N55*S$5/(1+S$5),0)</f>
        <v>0</v>
      </c>
      <c r="T55" s="411">
        <f>SUM(P55:S55)</f>
        <v>0</v>
      </c>
    </row>
    <row r="56" spans="1:21">
      <c r="A56" s="393"/>
      <c r="B56" s="921"/>
      <c r="C56" s="605"/>
      <c r="D56" s="498"/>
      <c r="E56" s="925"/>
      <c r="F56" s="323"/>
      <c r="G56" s="380"/>
      <c r="H56" s="384"/>
      <c r="I56" s="382"/>
    </row>
    <row r="57" spans="1:21">
      <c r="A57" s="393"/>
      <c r="B57" s="921"/>
      <c r="C57" s="827"/>
      <c r="D57" s="499"/>
      <c r="E57" s="925"/>
      <c r="F57" s="323"/>
      <c r="G57" s="397"/>
      <c r="H57" s="384"/>
      <c r="I57" s="382"/>
    </row>
    <row r="58" spans="1:21">
      <c r="A58" s="393"/>
      <c r="B58" s="921"/>
      <c r="C58" s="891"/>
      <c r="D58" s="923"/>
      <c r="E58" s="924"/>
      <c r="F58" s="399"/>
      <c r="G58" s="926"/>
      <c r="H58" s="377"/>
      <c r="I58" s="378"/>
    </row>
    <row r="59" spans="1:21">
      <c r="A59" s="393"/>
      <c r="B59" s="921"/>
      <c r="C59" s="632"/>
      <c r="D59" s="497"/>
      <c r="E59" s="925"/>
      <c r="F59" s="323"/>
      <c r="G59" s="927"/>
      <c r="H59" s="384"/>
      <c r="I59" s="382"/>
    </row>
    <row r="60" spans="1:21">
      <c r="A60" s="393"/>
      <c r="B60" s="921"/>
      <c r="C60" s="913" t="s">
        <v>470</v>
      </c>
      <c r="D60" s="497" t="s">
        <v>470</v>
      </c>
      <c r="E60" s="925"/>
      <c r="F60" s="396"/>
      <c r="G60" s="380"/>
      <c r="H60" s="914">
        <f>IFERROR(ROUND(SUM(G58:G63)*F60/F61,0),0)</f>
        <v>0</v>
      </c>
      <c r="I60" s="915">
        <f>SUM(G58:G63)-H60</f>
        <v>0</v>
      </c>
      <c r="L60" s="367"/>
      <c r="M60" s="367"/>
      <c r="N60" s="239">
        <f>F60-SUM(L60:M60)</f>
        <v>0</v>
      </c>
    </row>
    <row r="61" spans="1:21">
      <c r="A61" s="393"/>
      <c r="B61" s="921"/>
      <c r="C61" s="913"/>
      <c r="D61" s="497"/>
      <c r="E61" s="925"/>
      <c r="F61" s="398"/>
      <c r="G61" s="386"/>
      <c r="H61" s="914"/>
      <c r="I61" s="915"/>
      <c r="L61" s="147">
        <f>+H60-SUM(J61:K61,M61:N61)</f>
        <v>0</v>
      </c>
      <c r="M61" s="147">
        <f>IFERROR(ROUND(M60/F60*H60,0),0)</f>
        <v>0</v>
      </c>
      <c r="N61" s="147">
        <f>IFERROR(ROUND(N60/F60*H60,0),0)</f>
        <v>0</v>
      </c>
      <c r="P61" s="145">
        <f>+ROUND(K61*P$5/(1+P$5),0)</f>
        <v>0</v>
      </c>
      <c r="Q61" s="145">
        <f t="shared" ref="Q61:R61" si="21">+ROUND(L61*Q$5/(1+Q$5),0)</f>
        <v>0</v>
      </c>
      <c r="R61" s="145">
        <f t="shared" si="21"/>
        <v>0</v>
      </c>
      <c r="S61" s="145">
        <f>+ROUND(N61*S$5/(1+S$5),0)</f>
        <v>0</v>
      </c>
      <c r="T61" s="411">
        <f>SUM(P61:S61)</f>
        <v>0</v>
      </c>
    </row>
    <row r="62" spans="1:21">
      <c r="A62" s="393"/>
      <c r="B62" s="921"/>
      <c r="C62" s="913" t="s">
        <v>470</v>
      </c>
      <c r="D62" s="497" t="s">
        <v>471</v>
      </c>
      <c r="E62" s="925"/>
      <c r="F62" s="323"/>
      <c r="G62" s="380"/>
      <c r="H62" s="384"/>
      <c r="I62" s="382"/>
    </row>
    <row r="63" spans="1:21" ht="14.25" thickBot="1">
      <c r="A63" s="401"/>
      <c r="B63" s="922"/>
      <c r="C63" s="916"/>
      <c r="D63" s="917"/>
      <c r="E63" s="928"/>
      <c r="F63" s="402"/>
      <c r="G63" s="383"/>
      <c r="H63" s="214"/>
      <c r="I63" s="215"/>
      <c r="J63" s="145"/>
    </row>
    <row r="64" spans="1:21">
      <c r="F64" s="289" t="s">
        <v>480</v>
      </c>
      <c r="G64" s="172">
        <f>+'[4]4条収入'!$E$26</f>
        <v>0</v>
      </c>
    </row>
    <row r="65" spans="6:7">
      <c r="F65" s="289" t="s">
        <v>481</v>
      </c>
      <c r="G65" s="172">
        <f>+G6-G64</f>
        <v>0</v>
      </c>
    </row>
  </sheetData>
  <mergeCells count="121">
    <mergeCell ref="G50:G51"/>
    <mergeCell ref="H50:H51"/>
    <mergeCell ref="I50:I51"/>
    <mergeCell ref="B52:B63"/>
    <mergeCell ref="C52:C53"/>
    <mergeCell ref="D52:D53"/>
    <mergeCell ref="E52:E57"/>
    <mergeCell ref="G52:G53"/>
    <mergeCell ref="C54:C55"/>
    <mergeCell ref="D54:D55"/>
    <mergeCell ref="H54:H55"/>
    <mergeCell ref="I54:I55"/>
    <mergeCell ref="C56:C57"/>
    <mergeCell ref="D56:D57"/>
    <mergeCell ref="C58:C59"/>
    <mergeCell ref="D58:D59"/>
    <mergeCell ref="I60:I61"/>
    <mergeCell ref="C62:C63"/>
    <mergeCell ref="D62:D63"/>
    <mergeCell ref="E58:E63"/>
    <mergeCell ref="G58:G59"/>
    <mergeCell ref="C60:C61"/>
    <mergeCell ref="D60:D61"/>
    <mergeCell ref="H60:H61"/>
    <mergeCell ref="C48:C49"/>
    <mergeCell ref="D48:D49"/>
    <mergeCell ref="B50:C51"/>
    <mergeCell ref="D50:D51"/>
    <mergeCell ref="E50:E51"/>
    <mergeCell ref="B36:C37"/>
    <mergeCell ref="E36:E37"/>
    <mergeCell ref="H36:H37"/>
    <mergeCell ref="I36:I37"/>
    <mergeCell ref="B38:B49"/>
    <mergeCell ref="E38:E43"/>
    <mergeCell ref="H40:H41"/>
    <mergeCell ref="I40:I41"/>
    <mergeCell ref="C44:C45"/>
    <mergeCell ref="D44:D45"/>
    <mergeCell ref="E44:E49"/>
    <mergeCell ref="G44:G45"/>
    <mergeCell ref="C46:C47"/>
    <mergeCell ref="D46:D47"/>
    <mergeCell ref="H46:H47"/>
    <mergeCell ref="I46:I47"/>
    <mergeCell ref="G36:G37"/>
    <mergeCell ref="G38:G39"/>
    <mergeCell ref="D36:D37"/>
    <mergeCell ref="B24:B35"/>
    <mergeCell ref="E24:E29"/>
    <mergeCell ref="H26:H27"/>
    <mergeCell ref="I26:I27"/>
    <mergeCell ref="E30:E35"/>
    <mergeCell ref="H32:H33"/>
    <mergeCell ref="I32:I33"/>
    <mergeCell ref="G30:G31"/>
    <mergeCell ref="C32:C33"/>
    <mergeCell ref="D32:D33"/>
    <mergeCell ref="C26:C27"/>
    <mergeCell ref="C24:C25"/>
    <mergeCell ref="D24:D25"/>
    <mergeCell ref="G24:G25"/>
    <mergeCell ref="I18:I19"/>
    <mergeCell ref="D18:D19"/>
    <mergeCell ref="D16:D17"/>
    <mergeCell ref="C16:C17"/>
    <mergeCell ref="C20:C21"/>
    <mergeCell ref="B22:C23"/>
    <mergeCell ref="E22:E23"/>
    <mergeCell ref="H22:H23"/>
    <mergeCell ref="I22:I23"/>
    <mergeCell ref="D22:D23"/>
    <mergeCell ref="G22:G23"/>
    <mergeCell ref="D42:D43"/>
    <mergeCell ref="D40:D41"/>
    <mergeCell ref="C38:C39"/>
    <mergeCell ref="D38:D39"/>
    <mergeCell ref="C40:C41"/>
    <mergeCell ref="C42:C43"/>
    <mergeCell ref="A6:C7"/>
    <mergeCell ref="D8:D9"/>
    <mergeCell ref="C12:C13"/>
    <mergeCell ref="D12:D13"/>
    <mergeCell ref="D6:D7"/>
    <mergeCell ref="D26:D27"/>
    <mergeCell ref="D28:D29"/>
    <mergeCell ref="C28:C29"/>
    <mergeCell ref="C34:C35"/>
    <mergeCell ref="D34:D35"/>
    <mergeCell ref="D20:D21"/>
    <mergeCell ref="B8:C9"/>
    <mergeCell ref="C14:C15"/>
    <mergeCell ref="D14:D15"/>
    <mergeCell ref="C30:C31"/>
    <mergeCell ref="D30:D31"/>
    <mergeCell ref="C10:C11"/>
    <mergeCell ref="D10:D11"/>
    <mergeCell ref="A1:I1"/>
    <mergeCell ref="A4:C5"/>
    <mergeCell ref="D4:D5"/>
    <mergeCell ref="E4:E5"/>
    <mergeCell ref="G4:G5"/>
    <mergeCell ref="H4:H5"/>
    <mergeCell ref="I4:I5"/>
    <mergeCell ref="E6:E7"/>
    <mergeCell ref="C18:C19"/>
    <mergeCell ref="I6:I7"/>
    <mergeCell ref="G8:G9"/>
    <mergeCell ref="H6:H7"/>
    <mergeCell ref="G6:G7"/>
    <mergeCell ref="G16:G17"/>
    <mergeCell ref="G10:G11"/>
    <mergeCell ref="E8:E9"/>
    <mergeCell ref="H8:H9"/>
    <mergeCell ref="I8:I9"/>
    <mergeCell ref="B10:B21"/>
    <mergeCell ref="E10:E15"/>
    <mergeCell ref="H12:H13"/>
    <mergeCell ref="I12:I13"/>
    <mergeCell ref="E16:E21"/>
    <mergeCell ref="H18:H19"/>
  </mergeCells>
  <phoneticPr fontId="2"/>
  <printOptions horizontalCentered="1"/>
  <pageMargins left="0.59055118110236227" right="0.39370078740157483" top="0.98425196850393704" bottom="0.98425196850393704" header="0.51181102362204722" footer="0.51181102362204722"/>
  <pageSetup paperSize="9" scale="75" orientation="portrait" horizontalDpi="400" verticalDpi="400" r:id="rId1"/>
  <headerFooter alignWithMargins="0">
    <oddFooter>&amp;L&amp;6&amp;F &amp;A&amp;R&amp;6&amp;D &amp;T</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tabColor rgb="FF66FF33"/>
  </sheetPr>
  <dimension ref="A1:V46"/>
  <sheetViews>
    <sheetView view="pageBreakPreview" zoomScale="85" zoomScaleNormal="85" zoomScaleSheetLayoutView="85" workbookViewId="0">
      <pane xSplit="3" ySplit="5" topLeftCell="D6" activePane="bottomRight" state="frozen"/>
      <selection activeCell="S7" sqref="S7"/>
      <selection pane="topRight" activeCell="S7" sqref="S7"/>
      <selection pane="bottomLeft" activeCell="S7" sqref="S7"/>
      <selection pane="bottomRight" activeCell="G6" sqref="G6:G7"/>
    </sheetView>
  </sheetViews>
  <sheetFormatPr defaultColWidth="9" defaultRowHeight="13.5"/>
  <cols>
    <col min="1" max="1" width="3.625" style="146" customWidth="1"/>
    <col min="2" max="2" width="4.625" style="146" customWidth="1"/>
    <col min="3" max="3" width="19.625" style="146" customWidth="1"/>
    <col min="4" max="5" width="23.625" style="146" customWidth="1"/>
    <col min="6" max="6" width="15.875" style="145" customWidth="1"/>
    <col min="7" max="9" width="12.625" style="145" customWidth="1"/>
    <col min="10" max="10" width="7.875" style="145" customWidth="1"/>
    <col min="11" max="14" width="12.625" style="145" customWidth="1"/>
    <col min="15" max="15" width="9" style="146"/>
    <col min="16" max="20" width="12.625" style="146" customWidth="1"/>
    <col min="21" max="21" width="14.875" style="146" customWidth="1"/>
    <col min="22" max="22" width="19" style="146" customWidth="1"/>
    <col min="23" max="23" width="14.875" style="146" customWidth="1"/>
    <col min="24" max="16384" width="9" style="146"/>
  </cols>
  <sheetData>
    <row r="1" spans="1:22" ht="17.25" customHeight="1">
      <c r="A1" s="659" t="str">
        <f>+"令和"&amp;MID(総括表!A2,3,1)&amp;"年度決算　不課税収入区分表(工事負担金)"</f>
        <v>令和５年度決算　不課税収入区分表(工事負担金)</v>
      </c>
      <c r="B1" s="659"/>
      <c r="C1" s="659"/>
      <c r="D1" s="659"/>
      <c r="E1" s="659"/>
      <c r="F1" s="659"/>
      <c r="G1" s="659"/>
      <c r="H1" s="659"/>
      <c r="I1" s="659"/>
    </row>
    <row r="2" spans="1:22" ht="17.25" customHeight="1">
      <c r="A2" s="101"/>
      <c r="B2" s="101"/>
      <c r="C2" s="101"/>
      <c r="D2" s="101"/>
      <c r="E2" s="101"/>
      <c r="F2" s="172"/>
      <c r="G2" s="172"/>
      <c r="H2" s="172"/>
      <c r="I2" s="172"/>
    </row>
    <row r="3" spans="1:22" ht="17.25" customHeight="1" thickBot="1">
      <c r="A3" s="101"/>
      <c r="B3" s="101"/>
      <c r="C3" s="101"/>
      <c r="D3" s="101"/>
      <c r="E3" s="101"/>
      <c r="F3" s="172"/>
      <c r="G3" s="172"/>
      <c r="H3" s="172"/>
      <c r="I3" s="173" t="s">
        <v>73</v>
      </c>
    </row>
    <row r="4" spans="1:22" ht="24.95" customHeight="1">
      <c r="A4" s="973" t="s">
        <v>15</v>
      </c>
      <c r="B4" s="974"/>
      <c r="C4" s="975"/>
      <c r="D4" s="979" t="s">
        <v>74</v>
      </c>
      <c r="E4" s="979" t="s">
        <v>75</v>
      </c>
      <c r="F4" s="174" t="s">
        <v>76</v>
      </c>
      <c r="G4" s="778" t="s">
        <v>47</v>
      </c>
      <c r="H4" s="778" t="s">
        <v>49</v>
      </c>
      <c r="I4" s="772" t="s">
        <v>50</v>
      </c>
      <c r="J4" s="175" t="s">
        <v>384</v>
      </c>
      <c r="K4" s="176"/>
      <c r="L4" s="176"/>
      <c r="M4" s="176"/>
      <c r="P4" s="146" t="s">
        <v>488</v>
      </c>
    </row>
    <row r="5" spans="1:22" ht="24.95" customHeight="1">
      <c r="A5" s="976"/>
      <c r="B5" s="977"/>
      <c r="C5" s="978"/>
      <c r="D5" s="980"/>
      <c r="E5" s="980"/>
      <c r="F5" s="177" t="s">
        <v>69</v>
      </c>
      <c r="G5" s="779"/>
      <c r="H5" s="779"/>
      <c r="I5" s="773"/>
      <c r="J5" s="325">
        <v>0.03</v>
      </c>
      <c r="K5" s="197">
        <v>0.05</v>
      </c>
      <c r="L5" s="186">
        <v>0.08</v>
      </c>
      <c r="M5" s="416">
        <v>0.08</v>
      </c>
      <c r="N5" s="197">
        <v>0.1</v>
      </c>
      <c r="P5" s="186">
        <v>0.05</v>
      </c>
      <c r="Q5" s="186">
        <v>0.08</v>
      </c>
      <c r="R5" s="416">
        <v>0.08</v>
      </c>
      <c r="S5" s="197">
        <v>0.1</v>
      </c>
      <c r="T5" s="408" t="s">
        <v>489</v>
      </c>
      <c r="U5" s="146" t="s">
        <v>490</v>
      </c>
    </row>
    <row r="6" spans="1:22" ht="24.95" customHeight="1">
      <c r="A6" s="961" t="s">
        <v>32</v>
      </c>
      <c r="B6" s="962"/>
      <c r="C6" s="963"/>
      <c r="D6" s="970"/>
      <c r="E6" s="970"/>
      <c r="F6" s="252"/>
      <c r="G6" s="1048">
        <f>SUM(G8:G17)</f>
        <v>514968182</v>
      </c>
      <c r="H6" s="1048">
        <f>SUM(H8:H17)</f>
        <v>351364357</v>
      </c>
      <c r="I6" s="1053">
        <f>SUM(I8:I17)</f>
        <v>163603825</v>
      </c>
      <c r="J6" s="145">
        <f>+SUM(J9,J11,J13,J15,J17)</f>
        <v>0</v>
      </c>
      <c r="K6" s="145">
        <f>+SUM(K9,K11,K13,K15,K17)</f>
        <v>131982078</v>
      </c>
      <c r="L6" s="145">
        <f>+SUM(L9,L11,L13,L15,L17)</f>
        <v>1246566</v>
      </c>
      <c r="M6" s="145">
        <f>+SUM(M9,M11,M13,M15,M17)</f>
        <v>0</v>
      </c>
      <c r="N6" s="145">
        <f>+SUM(N9,N11,N13,N15,N17)</f>
        <v>218135713</v>
      </c>
      <c r="P6" s="145">
        <f>+SUM(P9,P11,P13,P15,P17)</f>
        <v>6284861</v>
      </c>
      <c r="Q6" s="145">
        <f>+SUM(Q9,Q11,Q13,Q15,Q17)</f>
        <v>92338</v>
      </c>
      <c r="R6" s="145">
        <f>+SUM(R9,R11,R13,R15,R17)</f>
        <v>0</v>
      </c>
      <c r="S6" s="145">
        <f>+SUM(S9,S11,S13,S15,S17)</f>
        <v>19830519</v>
      </c>
      <c r="T6" s="145">
        <f>+SUM(T9,T11,T13,T15,T17)</f>
        <v>26207718</v>
      </c>
      <c r="U6" s="411">
        <f>+T6-'[4]4条収入'!$AH$50</f>
        <v>1</v>
      </c>
    </row>
    <row r="7" spans="1:22" ht="24.95" customHeight="1">
      <c r="A7" s="964"/>
      <c r="B7" s="965"/>
      <c r="C7" s="622"/>
      <c r="D7" s="971"/>
      <c r="E7" s="971"/>
      <c r="F7" s="189"/>
      <c r="G7" s="1049"/>
      <c r="H7" s="1049"/>
      <c r="I7" s="1054"/>
    </row>
    <row r="8" spans="1:22" ht="24.95" customHeight="1" thickBot="1">
      <c r="A8" s="432"/>
      <c r="B8" s="1050" t="s">
        <v>206</v>
      </c>
      <c r="C8" s="955"/>
      <c r="D8" s="947"/>
      <c r="E8" s="830" t="s">
        <v>573</v>
      </c>
      <c r="F8" s="251">
        <f>F33</f>
        <v>465460043</v>
      </c>
      <c r="G8" s="1040">
        <f>'工事負担金（所属別内訳）'!G76</f>
        <v>0</v>
      </c>
      <c r="H8" s="1044">
        <f>IFERROR(ROUND(F8/F9*G8,0),0)</f>
        <v>0</v>
      </c>
      <c r="I8" s="1046">
        <f>G8-H8</f>
        <v>0</v>
      </c>
      <c r="L8" s="223">
        <v>0</v>
      </c>
      <c r="M8" s="367">
        <v>0</v>
      </c>
      <c r="N8" s="239">
        <f>F8-SUM(L8:M8)</f>
        <v>465460043</v>
      </c>
    </row>
    <row r="9" spans="1:22" ht="24.95" customHeight="1" thickBot="1">
      <c r="A9" s="433"/>
      <c r="B9" s="1051"/>
      <c r="C9" s="955"/>
      <c r="D9" s="947"/>
      <c r="E9" s="1052"/>
      <c r="F9" s="251">
        <f>F34</f>
        <v>1093621564</v>
      </c>
      <c r="G9" s="1041"/>
      <c r="H9" s="1049"/>
      <c r="I9" s="1054"/>
      <c r="L9" s="145">
        <f>+H8-SUM(J9:K9,M9:N9)</f>
        <v>0</v>
      </c>
      <c r="M9" s="145">
        <f>IFERROR(ROUND(M8/F8*H8,0),0)</f>
        <v>0</v>
      </c>
      <c r="N9" s="145">
        <f>IFERROR(ROUND(N8/F8*H8,0),0)</f>
        <v>0</v>
      </c>
      <c r="P9" s="145">
        <f>+ROUND(K9*P$5/(1+P$5),0)</f>
        <v>0</v>
      </c>
      <c r="Q9" s="145">
        <f>+ROUND(L9*Q$5/(1+Q$5),0)</f>
        <v>0</v>
      </c>
      <c r="R9" s="145">
        <f>+ROUND(M9*R$5/(1+R$5),0)</f>
        <v>0</v>
      </c>
      <c r="S9" s="145">
        <f>+ROUND(N9*S$5/(1+S$5),0)</f>
        <v>0</v>
      </c>
      <c r="T9" s="411">
        <f>SUM(P9:S9)</f>
        <v>0</v>
      </c>
      <c r="U9" s="414">
        <f>+SUM(T9:T13)+T17</f>
        <v>19830519</v>
      </c>
      <c r="V9" s="415" t="s">
        <v>491</v>
      </c>
    </row>
    <row r="10" spans="1:22" ht="24.95" customHeight="1">
      <c r="A10" s="433"/>
      <c r="B10" s="1050" t="s">
        <v>157</v>
      </c>
      <c r="C10" s="955"/>
      <c r="D10" s="1056"/>
      <c r="E10" s="830" t="s">
        <v>574</v>
      </c>
      <c r="F10" s="255">
        <f>+'[5]4条支出'!$K$8</f>
        <v>518619849</v>
      </c>
      <c r="G10" s="1040">
        <f>'工事負担金（所属別内訳）'!G80</f>
        <v>279746516</v>
      </c>
      <c r="H10" s="1042">
        <f>IFERROR(ROUND(F10/F11*G10,0),0)</f>
        <v>218135713</v>
      </c>
      <c r="I10" s="1046">
        <f>G10-H10</f>
        <v>61610803</v>
      </c>
      <c r="L10" s="300">
        <f>+[5]排水!F$41+[5]排水!G$41+[5]排水!H$41</f>
        <v>0</v>
      </c>
      <c r="M10" s="300">
        <f>+[5]排水!I$41</f>
        <v>0</v>
      </c>
      <c r="N10" s="300">
        <f>+[5]排水!J$41</f>
        <v>518619849</v>
      </c>
    </row>
    <row r="11" spans="1:22" ht="24.95" customHeight="1">
      <c r="A11" s="433"/>
      <c r="B11" s="1051"/>
      <c r="C11" s="955"/>
      <c r="D11" s="1057"/>
      <c r="E11" s="1052"/>
      <c r="F11" s="255">
        <f>+'[5]4条支出'!$E$8</f>
        <v>665100151</v>
      </c>
      <c r="G11" s="1041"/>
      <c r="H11" s="1043"/>
      <c r="I11" s="1054"/>
      <c r="L11" s="145">
        <f>+H10-SUM(J11:K11,M11:N11)</f>
        <v>0</v>
      </c>
      <c r="M11" s="145">
        <f>IFERROR(ROUND(M10/F10*H10,0),0)</f>
        <v>0</v>
      </c>
      <c r="N11" s="145">
        <f>IFERROR(ROUND(N10/F10*H10,0),0)</f>
        <v>218135713</v>
      </c>
      <c r="P11" s="145">
        <f>+ROUND(K11*P$5/(1+P$5),0)</f>
        <v>0</v>
      </c>
      <c r="Q11" s="145">
        <f t="shared" ref="Q11" si="0">+ROUND(L11*Q$5/(1+Q$5),0)</f>
        <v>0</v>
      </c>
      <c r="R11" s="145">
        <f>+ROUND(M11*R$5/(1+R$5),0)</f>
        <v>0</v>
      </c>
      <c r="S11" s="145">
        <f>+ROUND(N11*S$5/(1+S$5),0)</f>
        <v>19830519</v>
      </c>
      <c r="T11" s="411">
        <f>SUM(P11:S11)</f>
        <v>19830519</v>
      </c>
    </row>
    <row r="12" spans="1:22" ht="24.95" customHeight="1">
      <c r="A12" s="433"/>
      <c r="B12" s="1050" t="s">
        <v>33</v>
      </c>
      <c r="C12" s="955"/>
      <c r="D12" s="947"/>
      <c r="E12" s="830" t="s">
        <v>575</v>
      </c>
      <c r="F12" s="255">
        <f>+'[5]4条支出'!$K$11</f>
        <v>59178010</v>
      </c>
      <c r="G12" s="1040">
        <f>'工事負担金（所属別内訳）'!G83</f>
        <v>0</v>
      </c>
      <c r="H12" s="1044">
        <f>IFERROR(ROUND(F12/F13*G12,0),0)</f>
        <v>0</v>
      </c>
      <c r="I12" s="1046">
        <f>G12-H12</f>
        <v>0</v>
      </c>
      <c r="L12" s="300">
        <f>+[5]諸公!F$41+[5]諸公!G$41+[5]諸公!H$41</f>
        <v>0</v>
      </c>
      <c r="M12" s="300">
        <f>+[5]諸公!I$41</f>
        <v>0</v>
      </c>
      <c r="N12" s="300">
        <f>+[5]諸公!J$41</f>
        <v>59178010</v>
      </c>
    </row>
    <row r="13" spans="1:22" ht="24.95" customHeight="1">
      <c r="A13" s="433"/>
      <c r="B13" s="1058"/>
      <c r="C13" s="548"/>
      <c r="D13" s="491"/>
      <c r="E13" s="1059"/>
      <c r="F13" s="431">
        <f>+'[5]4条支出'!$E$11</f>
        <v>59178010</v>
      </c>
      <c r="G13" s="1055"/>
      <c r="H13" s="1045"/>
      <c r="I13" s="1047"/>
      <c r="L13" s="145">
        <f>+H12-SUM(J13:K13,M13:N13)</f>
        <v>0</v>
      </c>
      <c r="M13" s="145">
        <f>IFERROR(ROUND(M12/F12*H12,0),0)</f>
        <v>0</v>
      </c>
      <c r="N13" s="145">
        <f>IFERROR(ROUND(N12/F12*H12,0),0)</f>
        <v>0</v>
      </c>
      <c r="P13" s="145">
        <f>+ROUND(K13*P$5/(1+P$5),0)</f>
        <v>0</v>
      </c>
      <c r="Q13" s="145">
        <f t="shared" ref="Q13:R13" si="1">+ROUND(L13*Q$5/(1+Q$5),0)</f>
        <v>0</v>
      </c>
      <c r="R13" s="145">
        <f t="shared" si="1"/>
        <v>0</v>
      </c>
      <c r="S13" s="145">
        <f>+ROUND(N13*S$5/(1+S$5),0)</f>
        <v>0</v>
      </c>
      <c r="T13" s="411">
        <f>SUM(P13:S13)</f>
        <v>0</v>
      </c>
    </row>
    <row r="14" spans="1:22" ht="24.95" customHeight="1">
      <c r="A14" s="433"/>
      <c r="B14" s="1051" t="s">
        <v>38</v>
      </c>
      <c r="C14" s="955"/>
      <c r="D14" s="426"/>
      <c r="E14" s="830" t="s">
        <v>80</v>
      </c>
      <c r="F14" s="189"/>
      <c r="G14" s="1040">
        <f>'工事負担金（元金償還分)'!G14</f>
        <v>235221666</v>
      </c>
      <c r="H14" s="1040">
        <f>'工事負担金（元金償還分)'!H14</f>
        <v>133228644</v>
      </c>
      <c r="I14" s="1038">
        <f>'工事負担金（元金償還分)'!I14</f>
        <v>101993022</v>
      </c>
    </row>
    <row r="15" spans="1:22" ht="24.95" customHeight="1">
      <c r="A15" s="433"/>
      <c r="B15" s="1051"/>
      <c r="C15" s="955"/>
      <c r="D15" s="428"/>
      <c r="E15" s="1052"/>
      <c r="F15" s="189"/>
      <c r="G15" s="1041"/>
      <c r="H15" s="1041"/>
      <c r="I15" s="1039"/>
      <c r="K15" s="310">
        <f>+SUM(西風:廿日市!K51:K52)</f>
        <v>131982078</v>
      </c>
      <c r="L15" s="310">
        <f>+SUM(西風:廿日市!K53)</f>
        <v>1246566</v>
      </c>
      <c r="M15" s="310"/>
      <c r="N15" s="310">
        <f>+SUM(西風:廿日市!K54)</f>
        <v>0</v>
      </c>
      <c r="P15" s="145">
        <f>+ROUND(K15*P$5/(1+P$5),0)</f>
        <v>6284861</v>
      </c>
      <c r="Q15" s="145">
        <f t="shared" ref="Q15:R15" si="2">+ROUND(L15*Q$5/(1+Q$5),0)</f>
        <v>92338</v>
      </c>
      <c r="R15" s="145">
        <f t="shared" si="2"/>
        <v>0</v>
      </c>
      <c r="S15" s="145">
        <f>+ROUND(N15*S$5/(1+S$5),0)</f>
        <v>0</v>
      </c>
      <c r="T15" s="411">
        <f>SUM(P15:S15)</f>
        <v>6377199</v>
      </c>
    </row>
    <row r="16" spans="1:22" ht="24.95" customHeight="1">
      <c r="A16" s="433"/>
      <c r="B16" s="1060" t="s">
        <v>505</v>
      </c>
      <c r="C16" s="550"/>
      <c r="D16" s="427"/>
      <c r="E16" s="1061" t="s">
        <v>576</v>
      </c>
      <c r="F16" s="440"/>
      <c r="G16" s="1045">
        <f>SUM(G18:G23)</f>
        <v>0</v>
      </c>
      <c r="H16" s="1062">
        <f>SUM(H18:H23)</f>
        <v>0</v>
      </c>
      <c r="I16" s="1047">
        <f>G16-H16</f>
        <v>0</v>
      </c>
      <c r="L16" s="300">
        <f>L18+L20+L22</f>
        <v>0</v>
      </c>
      <c r="M16" s="300">
        <f t="shared" ref="M16:N16" si="3">M18+M20+M22</f>
        <v>0</v>
      </c>
      <c r="N16" s="300">
        <f t="shared" si="3"/>
        <v>656665462</v>
      </c>
    </row>
    <row r="17" spans="1:20" ht="24.95" customHeight="1">
      <c r="A17" s="433"/>
      <c r="B17" s="1058"/>
      <c r="C17" s="548"/>
      <c r="D17" s="427"/>
      <c r="E17" s="1059"/>
      <c r="F17" s="440"/>
      <c r="G17" s="1045"/>
      <c r="H17" s="1062"/>
      <c r="I17" s="1047"/>
      <c r="L17" s="145">
        <f>L19+L21+L23</f>
        <v>0</v>
      </c>
      <c r="M17" s="145">
        <f t="shared" ref="M17:R17" si="4">M19+M21+M23</f>
        <v>0</v>
      </c>
      <c r="N17" s="145">
        <f t="shared" si="4"/>
        <v>0</v>
      </c>
      <c r="P17" s="145">
        <f t="shared" si="4"/>
        <v>0</v>
      </c>
      <c r="Q17" s="145">
        <f t="shared" si="4"/>
        <v>0</v>
      </c>
      <c r="R17" s="145">
        <f t="shared" si="4"/>
        <v>0</v>
      </c>
      <c r="S17" s="145">
        <f>S19+S21+S23</f>
        <v>0</v>
      </c>
      <c r="T17" s="411">
        <f>SUM(P17:S17)</f>
        <v>0</v>
      </c>
    </row>
    <row r="18" spans="1:20" ht="24.95" customHeight="1">
      <c r="A18" s="433"/>
      <c r="B18" s="439"/>
      <c r="C18" s="1068" t="s">
        <v>511</v>
      </c>
      <c r="D18" s="430"/>
      <c r="E18" s="1063" t="s">
        <v>577</v>
      </c>
      <c r="F18" s="255">
        <f>+'[5]4条支出'!$K$17</f>
        <v>440688000</v>
      </c>
      <c r="G18" s="1065">
        <f>'工事負担金（所属別内訳）'!G87</f>
        <v>0</v>
      </c>
      <c r="H18" s="1066">
        <f>IFERROR(ROUND(F18/F19*G18,0),0)</f>
        <v>0</v>
      </c>
      <c r="I18" s="1067">
        <f>G18-H18</f>
        <v>0</v>
      </c>
      <c r="L18" s="300">
        <f>+[5]特整!F$41+[5]特整!G$41+[5]特整!H$41</f>
        <v>0</v>
      </c>
      <c r="M18" s="300">
        <f>+[5]特整!I$41</f>
        <v>0</v>
      </c>
      <c r="N18" s="300">
        <f>+[5]特整!J$41</f>
        <v>440688000</v>
      </c>
    </row>
    <row r="19" spans="1:20" ht="24.95" customHeight="1">
      <c r="A19" s="433"/>
      <c r="B19" s="438"/>
      <c r="C19" s="1068"/>
      <c r="D19" s="430"/>
      <c r="E19" s="1064"/>
      <c r="F19" s="255">
        <f>+'[5]4条支出'!$E$17</f>
        <v>453738774</v>
      </c>
      <c r="G19" s="1065"/>
      <c r="H19" s="1066"/>
      <c r="I19" s="1067"/>
      <c r="L19" s="145">
        <f>+H18-SUM(J19:K19,M19:N19)</f>
        <v>0</v>
      </c>
      <c r="M19" s="145">
        <f>IFERROR(ROUND(M18/F18*H18,0),0)</f>
        <v>0</v>
      </c>
      <c r="N19" s="145">
        <f>IFERROR(ROUND(N18/F18*H18,0),0)</f>
        <v>0</v>
      </c>
      <c r="P19" s="145">
        <f>+ROUND(K19*P$5/(1+P$5),0)</f>
        <v>0</v>
      </c>
      <c r="Q19" s="145">
        <f t="shared" ref="Q19" si="5">+ROUND(L19*Q$5/(1+Q$5),0)</f>
        <v>0</v>
      </c>
      <c r="R19" s="145">
        <f>+ROUND(M19*R$5/(1+R$5),0)</f>
        <v>0</v>
      </c>
      <c r="S19" s="145">
        <f>+ROUND(N19*S$5/(1+S$5),0)</f>
        <v>0</v>
      </c>
      <c r="T19" s="411">
        <f>SUM(P19:S19)</f>
        <v>0</v>
      </c>
    </row>
    <row r="20" spans="1:20" ht="24.95" customHeight="1">
      <c r="A20" s="433"/>
      <c r="B20" s="439"/>
      <c r="C20" s="1068" t="s">
        <v>512</v>
      </c>
      <c r="D20" s="430"/>
      <c r="E20" s="1063" t="s">
        <v>578</v>
      </c>
      <c r="F20" s="255">
        <f>+'[5]4条支出'!$K$18</f>
        <v>136580009</v>
      </c>
      <c r="G20" s="1065">
        <f>'工事負担金（所属別内訳）'!G91</f>
        <v>0</v>
      </c>
      <c r="H20" s="1066">
        <f>IFERROR(ROUND(F20/F21*G20,0),0)</f>
        <v>0</v>
      </c>
      <c r="I20" s="1067">
        <f>G20-H20</f>
        <v>0</v>
      </c>
      <c r="L20" s="300">
        <f>+[5]農整!F$41+[5]農整!G$41+[5]農整!H$41</f>
        <v>0</v>
      </c>
      <c r="M20" s="300">
        <f>+[5]農整!I$41</f>
        <v>0</v>
      </c>
      <c r="N20" s="300">
        <f>+[5]農整!J$41</f>
        <v>136580009</v>
      </c>
    </row>
    <row r="21" spans="1:20" ht="24.95" customHeight="1">
      <c r="A21" s="433"/>
      <c r="B21" s="438"/>
      <c r="C21" s="1068"/>
      <c r="D21" s="430"/>
      <c r="E21" s="1064"/>
      <c r="F21" s="255">
        <f>+'[5]4条支出'!$E$18</f>
        <v>146106803</v>
      </c>
      <c r="G21" s="1065"/>
      <c r="H21" s="1066"/>
      <c r="I21" s="1067"/>
      <c r="L21" s="145">
        <f>+H20-SUM(J21:K21,M21:N21)</f>
        <v>0</v>
      </c>
      <c r="M21" s="145">
        <f>IFERROR(ROUND(M20/F20*H20,0),0)</f>
        <v>0</v>
      </c>
      <c r="N21" s="145">
        <f>IFERROR(ROUND(N20/F20*H20,0),0)</f>
        <v>0</v>
      </c>
      <c r="P21" s="145">
        <f>+ROUND(K21*P$5/(1+P$5),0)</f>
        <v>0</v>
      </c>
      <c r="Q21" s="145">
        <f t="shared" ref="Q21" si="6">+ROUND(L21*Q$5/(1+Q$5),0)</f>
        <v>0</v>
      </c>
      <c r="R21" s="145">
        <f>+ROUND(M21*R$5/(1+R$5),0)</f>
        <v>0</v>
      </c>
      <c r="S21" s="145">
        <f>+ROUND(N21*S$5/(1+S$5),0)</f>
        <v>0</v>
      </c>
      <c r="T21" s="411">
        <f>SUM(P21:S21)</f>
        <v>0</v>
      </c>
    </row>
    <row r="22" spans="1:20" ht="24.95" customHeight="1">
      <c r="A22" s="433"/>
      <c r="B22" s="439"/>
      <c r="C22" s="1073" t="s">
        <v>507</v>
      </c>
      <c r="D22" s="427"/>
      <c r="E22" s="1061" t="s">
        <v>579</v>
      </c>
      <c r="F22" s="436">
        <f>+'[5]4条支出'!$K$19</f>
        <v>79397453</v>
      </c>
      <c r="G22" s="1055">
        <f>'工事負担金（所属別内訳）'!G95</f>
        <v>0</v>
      </c>
      <c r="H22" s="1070">
        <f>IFERROR(ROUND(F22/F23*G22,0),0)</f>
        <v>0</v>
      </c>
      <c r="I22" s="1047">
        <f>G22-H22</f>
        <v>0</v>
      </c>
      <c r="L22" s="300">
        <f>+[5]浄整!F$41+[5]浄整!G$41+[5]浄整!H$41</f>
        <v>0</v>
      </c>
      <c r="M22" s="300">
        <f>+[5]浄整!I$41</f>
        <v>0</v>
      </c>
      <c r="N22" s="300">
        <f>+[5]浄整!J$41</f>
        <v>79397453</v>
      </c>
    </row>
    <row r="23" spans="1:20" ht="24.95" customHeight="1" thickBot="1">
      <c r="A23" s="434"/>
      <c r="B23" s="437"/>
      <c r="C23" s="1074"/>
      <c r="D23" s="253"/>
      <c r="E23" s="831"/>
      <c r="F23" s="435">
        <f>+'[5]4条支出'!$E$19</f>
        <v>88399847</v>
      </c>
      <c r="G23" s="1069"/>
      <c r="H23" s="1071"/>
      <c r="I23" s="1072"/>
      <c r="L23" s="145">
        <f>+H22-SUM(J23:K23,M23:N23)</f>
        <v>0</v>
      </c>
      <c r="M23" s="145">
        <f>IFERROR(ROUND(M22/F22*H22,0),0)</f>
        <v>0</v>
      </c>
      <c r="N23" s="145">
        <f>IFERROR(ROUND(N22/F22*H22,0),0)</f>
        <v>0</v>
      </c>
      <c r="P23" s="145">
        <f>+ROUND(K23*P$5/(1+P$5),0)</f>
        <v>0</v>
      </c>
      <c r="Q23" s="145">
        <f t="shared" ref="Q23" si="7">+ROUND(L23*Q$5/(1+Q$5),0)</f>
        <v>0</v>
      </c>
      <c r="R23" s="145">
        <f>+ROUND(M23*R$5/(1+R$5),0)</f>
        <v>0</v>
      </c>
      <c r="S23" s="145">
        <f>+ROUND(N23*S$5/(1+S$5),0)</f>
        <v>0</v>
      </c>
      <c r="T23" s="411">
        <f>SUM(P23:S23)</f>
        <v>0</v>
      </c>
    </row>
    <row r="24" spans="1:20">
      <c r="F24" s="289" t="s">
        <v>401</v>
      </c>
      <c r="G24" s="172">
        <f>+'[4]4条収入'!$V$50</f>
        <v>514968182</v>
      </c>
    </row>
    <row r="25" spans="1:20">
      <c r="F25" s="289" t="s">
        <v>391</v>
      </c>
      <c r="G25" s="172">
        <f>G6-G24</f>
        <v>0</v>
      </c>
    </row>
    <row r="27" spans="1:20">
      <c r="D27" s="254" t="s">
        <v>167</v>
      </c>
      <c r="E27" s="254" t="s">
        <v>165</v>
      </c>
      <c r="F27" s="223">
        <v>229171001</v>
      </c>
      <c r="G27" s="146"/>
      <c r="H27" s="146"/>
      <c r="I27" s="146"/>
      <c r="J27" s="146"/>
      <c r="K27" s="146"/>
      <c r="L27" s="146"/>
      <c r="M27" s="146"/>
      <c r="N27" s="146"/>
    </row>
    <row r="28" spans="1:20">
      <c r="E28" s="254" t="s">
        <v>166</v>
      </c>
      <c r="F28" s="223">
        <v>853309762</v>
      </c>
      <c r="G28" s="146"/>
      <c r="H28" s="146"/>
      <c r="I28" s="146"/>
      <c r="J28" s="146"/>
      <c r="K28" s="146"/>
      <c r="L28" s="146"/>
      <c r="M28" s="146"/>
      <c r="N28" s="146"/>
    </row>
    <row r="29" spans="1:20">
      <c r="E29" s="254"/>
      <c r="G29" s="146"/>
      <c r="H29" s="146"/>
      <c r="I29" s="146"/>
      <c r="J29" s="146"/>
      <c r="K29" s="146"/>
      <c r="L29" s="146"/>
      <c r="M29" s="146"/>
      <c r="N29" s="146"/>
    </row>
    <row r="30" spans="1:20">
      <c r="D30" s="254" t="s">
        <v>168</v>
      </c>
      <c r="E30" s="254" t="s">
        <v>165</v>
      </c>
      <c r="F30" s="223">
        <v>236289042</v>
      </c>
      <c r="G30" s="146"/>
      <c r="H30" s="146"/>
      <c r="I30" s="146"/>
      <c r="J30" s="146"/>
      <c r="K30" s="146"/>
      <c r="L30" s="146"/>
      <c r="M30" s="146"/>
      <c r="N30" s="146"/>
    </row>
    <row r="31" spans="1:20">
      <c r="E31" s="254" t="s">
        <v>166</v>
      </c>
      <c r="F31" s="223">
        <v>240311802</v>
      </c>
      <c r="G31" s="146"/>
      <c r="H31" s="146"/>
      <c r="I31" s="146"/>
      <c r="J31" s="146"/>
      <c r="K31" s="146"/>
      <c r="L31" s="146"/>
      <c r="M31" s="146"/>
      <c r="N31" s="146"/>
    </row>
    <row r="32" spans="1:20">
      <c r="E32" s="254"/>
      <c r="G32" s="146"/>
      <c r="H32" s="146"/>
      <c r="I32" s="146"/>
      <c r="J32" s="146"/>
      <c r="K32" s="146"/>
      <c r="L32" s="146"/>
      <c r="M32" s="146"/>
      <c r="N32" s="146"/>
    </row>
    <row r="33" spans="4:14">
      <c r="D33" s="254" t="s">
        <v>169</v>
      </c>
      <c r="E33" s="254" t="s">
        <v>165</v>
      </c>
      <c r="F33" s="145">
        <f>F27+F30</f>
        <v>465460043</v>
      </c>
      <c r="G33" s="146"/>
      <c r="H33" s="146"/>
      <c r="I33" s="146"/>
      <c r="J33" s="146"/>
      <c r="K33" s="146"/>
      <c r="L33" s="146"/>
      <c r="M33" s="146"/>
      <c r="N33" s="146"/>
    </row>
    <row r="34" spans="4:14">
      <c r="E34" s="254" t="s">
        <v>166</v>
      </c>
      <c r="F34" s="145">
        <f>F28+F31</f>
        <v>1093621564</v>
      </c>
      <c r="G34" s="146"/>
      <c r="H34" s="146"/>
      <c r="I34" s="146"/>
      <c r="J34" s="146"/>
      <c r="K34" s="146"/>
      <c r="L34" s="146"/>
      <c r="M34" s="146"/>
      <c r="N34" s="146"/>
    </row>
    <row r="35" spans="4:14">
      <c r="E35" s="254"/>
      <c r="G35" s="146"/>
      <c r="H35" s="146"/>
      <c r="I35" s="146"/>
      <c r="J35" s="146"/>
      <c r="K35" s="146"/>
      <c r="L35" s="146"/>
      <c r="M35" s="146"/>
      <c r="N35" s="146"/>
    </row>
    <row r="36" spans="4:14">
      <c r="E36" s="254"/>
      <c r="G36" s="146"/>
      <c r="H36" s="146"/>
      <c r="I36" s="146"/>
      <c r="J36" s="146"/>
      <c r="K36" s="146"/>
      <c r="L36" s="146"/>
      <c r="M36" s="146"/>
      <c r="N36" s="146"/>
    </row>
    <row r="37" spans="4:14">
      <c r="E37" s="254"/>
      <c r="G37" s="146"/>
      <c r="H37" s="146"/>
      <c r="I37" s="146"/>
      <c r="J37" s="146"/>
      <c r="K37" s="146"/>
      <c r="L37" s="146"/>
      <c r="M37" s="146"/>
      <c r="N37" s="146"/>
    </row>
    <row r="38" spans="4:14">
      <c r="E38" s="254"/>
      <c r="G38" s="146"/>
      <c r="H38" s="146"/>
      <c r="I38" s="146"/>
      <c r="J38" s="146"/>
      <c r="K38" s="146"/>
      <c r="L38" s="146"/>
      <c r="M38" s="146"/>
      <c r="N38" s="146"/>
    </row>
    <row r="39" spans="4:14">
      <c r="E39" s="254"/>
      <c r="G39" s="146"/>
      <c r="H39" s="146"/>
      <c r="I39" s="146"/>
      <c r="J39" s="146"/>
      <c r="K39" s="146"/>
      <c r="L39" s="146"/>
      <c r="M39" s="146"/>
      <c r="N39" s="146"/>
    </row>
    <row r="40" spans="4:14">
      <c r="E40" s="254"/>
      <c r="G40" s="146"/>
      <c r="H40" s="146"/>
      <c r="I40" s="146"/>
      <c r="J40" s="146"/>
      <c r="K40" s="146"/>
      <c r="L40" s="146"/>
      <c r="M40" s="146"/>
      <c r="N40" s="146"/>
    </row>
    <row r="41" spans="4:14">
      <c r="E41" s="254"/>
      <c r="G41" s="146"/>
      <c r="H41" s="146"/>
      <c r="I41" s="146"/>
      <c r="J41" s="146"/>
      <c r="K41" s="146"/>
      <c r="L41" s="146"/>
      <c r="M41" s="146"/>
      <c r="N41" s="146"/>
    </row>
    <row r="42" spans="4:14">
      <c r="E42" s="254"/>
      <c r="G42" s="146"/>
      <c r="H42" s="146"/>
      <c r="I42" s="146"/>
      <c r="J42" s="146"/>
      <c r="K42" s="146"/>
      <c r="L42" s="146"/>
      <c r="M42" s="146"/>
      <c r="N42" s="146"/>
    </row>
    <row r="43" spans="4:14">
      <c r="E43" s="254"/>
      <c r="F43" s="146"/>
      <c r="G43" s="146"/>
      <c r="H43" s="146"/>
      <c r="I43" s="146"/>
      <c r="J43" s="145">
        <f>+SUM(西風:廿日市!$K$50)</f>
        <v>0</v>
      </c>
      <c r="K43" s="145">
        <f>+SUM(西風:廿日市!$K$51)</f>
        <v>115347434</v>
      </c>
      <c r="L43" s="145">
        <f>+SUM(西風:廿日市!$K$52)</f>
        <v>16634644</v>
      </c>
      <c r="N43" s="145">
        <f>+SUM(西風:廿日市!$K$53)</f>
        <v>1246566</v>
      </c>
    </row>
    <row r="44" spans="4:14">
      <c r="E44" s="254"/>
      <c r="F44" s="146"/>
      <c r="G44" s="146"/>
      <c r="H44" s="146"/>
      <c r="I44" s="146"/>
      <c r="J44" s="146"/>
      <c r="K44" s="146"/>
      <c r="L44" s="146"/>
      <c r="M44" s="146"/>
      <c r="N44" s="146"/>
    </row>
    <row r="45" spans="4:14">
      <c r="E45" s="254"/>
      <c r="F45" s="146"/>
      <c r="G45" s="146"/>
      <c r="H45" s="146"/>
      <c r="I45" s="146"/>
      <c r="J45" s="146"/>
      <c r="K45" s="146"/>
      <c r="L45" s="146"/>
      <c r="M45" s="146"/>
      <c r="N45" s="146"/>
    </row>
    <row r="46" spans="4:14">
      <c r="E46" s="254"/>
      <c r="F46" s="146"/>
      <c r="G46" s="146"/>
      <c r="H46" s="146"/>
      <c r="I46" s="146"/>
      <c r="J46" s="146"/>
      <c r="K46" s="146"/>
      <c r="L46" s="146"/>
      <c r="M46" s="146"/>
      <c r="N46" s="146"/>
    </row>
  </sheetData>
  <mergeCells count="56">
    <mergeCell ref="E22:E23"/>
    <mergeCell ref="G22:G23"/>
    <mergeCell ref="H22:H23"/>
    <mergeCell ref="I22:I23"/>
    <mergeCell ref="C22:C23"/>
    <mergeCell ref="E20:E21"/>
    <mergeCell ref="G20:G21"/>
    <mergeCell ref="H20:H21"/>
    <mergeCell ref="I20:I21"/>
    <mergeCell ref="C20:C21"/>
    <mergeCell ref="E18:E19"/>
    <mergeCell ref="G18:G19"/>
    <mergeCell ref="H18:H19"/>
    <mergeCell ref="I18:I19"/>
    <mergeCell ref="C18:C19"/>
    <mergeCell ref="B16:C17"/>
    <mergeCell ref="E16:E17"/>
    <mergeCell ref="G16:G17"/>
    <mergeCell ref="H16:H17"/>
    <mergeCell ref="I16:I17"/>
    <mergeCell ref="I6:I7"/>
    <mergeCell ref="B14:C15"/>
    <mergeCell ref="E14:E15"/>
    <mergeCell ref="E6:E7"/>
    <mergeCell ref="A6:C7"/>
    <mergeCell ref="I10:I11"/>
    <mergeCell ref="G12:G13"/>
    <mergeCell ref="B10:C11"/>
    <mergeCell ref="D10:D11"/>
    <mergeCell ref="E10:E11"/>
    <mergeCell ref="I8:I9"/>
    <mergeCell ref="B12:C13"/>
    <mergeCell ref="D12:D13"/>
    <mergeCell ref="E12:E13"/>
    <mergeCell ref="G14:G15"/>
    <mergeCell ref="H14:H15"/>
    <mergeCell ref="D6:D7"/>
    <mergeCell ref="G6:G7"/>
    <mergeCell ref="H6:H7"/>
    <mergeCell ref="B8:C9"/>
    <mergeCell ref="D8:D9"/>
    <mergeCell ref="E8:E9"/>
    <mergeCell ref="G8:G9"/>
    <mergeCell ref="H8:H9"/>
    <mergeCell ref="A1:I1"/>
    <mergeCell ref="A4:C5"/>
    <mergeCell ref="D4:D5"/>
    <mergeCell ref="E4:E5"/>
    <mergeCell ref="G4:G5"/>
    <mergeCell ref="I4:I5"/>
    <mergeCell ref="H4:H5"/>
    <mergeCell ref="I14:I15"/>
    <mergeCell ref="G10:G11"/>
    <mergeCell ref="H10:H11"/>
    <mergeCell ref="H12:H13"/>
    <mergeCell ref="I12:I13"/>
  </mergeCells>
  <phoneticPr fontId="2"/>
  <conditionalFormatting sqref="F8:F13">
    <cfRule type="cellIs" dxfId="4" priority="5" operator="equal">
      <formula>1</formula>
    </cfRule>
  </conditionalFormatting>
  <conditionalFormatting sqref="F16:F17">
    <cfRule type="cellIs" dxfId="3" priority="4" operator="equal">
      <formula>1</formula>
    </cfRule>
  </conditionalFormatting>
  <conditionalFormatting sqref="F18:F19">
    <cfRule type="cellIs" dxfId="2" priority="3" operator="equal">
      <formula>1</formula>
    </cfRule>
  </conditionalFormatting>
  <conditionalFormatting sqref="F20:F21">
    <cfRule type="cellIs" dxfId="1" priority="2" operator="equal">
      <formula>1</formula>
    </cfRule>
  </conditionalFormatting>
  <conditionalFormatting sqref="F22:F23">
    <cfRule type="cellIs" dxfId="0" priority="1" operator="equal">
      <formula>1</formula>
    </cfRule>
  </conditionalFormatting>
  <pageMargins left="0.59055118110236227" right="0.39370078740157483" top="0.98425196850393704" bottom="0.98425196850393704" header="0.51181102362204722" footer="0.51181102362204722"/>
  <pageSetup paperSize="9" scale="72" orientation="landscape" r:id="rId1"/>
  <headerFooter alignWithMargins="0">
    <oddFooter>&amp;L&amp;6&amp;F&amp;A&amp;R&amp;6&amp;D　&amp;T</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filterMode="1">
    <tabColor rgb="FF66FF33"/>
  </sheetPr>
  <dimension ref="A1:T141"/>
  <sheetViews>
    <sheetView zoomScale="115" zoomScaleNormal="115" workbookViewId="0">
      <pane xSplit="3" ySplit="5" topLeftCell="D16" activePane="bottomRight" state="frozen"/>
      <selection pane="topRight" activeCell="D1" sqref="D1"/>
      <selection pane="bottomLeft" activeCell="A6" sqref="A6"/>
      <selection pane="bottomRight" activeCell="D10" sqref="D10"/>
    </sheetView>
  </sheetViews>
  <sheetFormatPr defaultColWidth="9" defaultRowHeight="15" customHeight="1"/>
  <cols>
    <col min="1" max="1" width="9" style="73"/>
    <col min="2" max="2" width="12.625" style="73" customWidth="1"/>
    <col min="3" max="3" width="15.625" style="73" customWidth="1"/>
    <col min="4" max="4" width="26.875" style="100" customWidth="1"/>
    <col min="5" max="5" width="9.75" style="73" bestFit="1" customWidth="1"/>
    <col min="6" max="6" width="9" style="73"/>
    <col min="7" max="7" width="8.75" style="73" customWidth="1"/>
    <col min="8" max="8" width="9" style="73"/>
    <col min="9" max="9" width="8.125" style="73" customWidth="1"/>
    <col min="10" max="12" width="9" style="73"/>
    <col min="13" max="13" width="8.125" style="73" customWidth="1"/>
    <col min="14" max="16" width="9" style="73"/>
    <col min="17" max="18" width="9.75" style="73" customWidth="1"/>
    <col min="19" max="16384" width="9" style="73"/>
  </cols>
  <sheetData>
    <row r="1" spans="1:20" ht="15" customHeight="1">
      <c r="B1" s="258"/>
      <c r="R1" s="73" t="s">
        <v>181</v>
      </c>
    </row>
    <row r="2" spans="1:20" ht="15" customHeight="1">
      <c r="A2" s="1075" t="s">
        <v>190</v>
      </c>
      <c r="B2" s="1075" t="s">
        <v>170</v>
      </c>
      <c r="C2" s="1077" t="s">
        <v>195</v>
      </c>
      <c r="D2" s="1080" t="s">
        <v>182</v>
      </c>
      <c r="E2" s="1075" t="s">
        <v>171</v>
      </c>
      <c r="F2" s="1075" t="s">
        <v>191</v>
      </c>
      <c r="G2" s="1075"/>
      <c r="H2" s="1075"/>
      <c r="I2" s="1075"/>
      <c r="J2" s="1075"/>
      <c r="K2" s="1075"/>
      <c r="L2" s="1075"/>
      <c r="M2" s="1075" t="s">
        <v>179</v>
      </c>
      <c r="N2" s="1075"/>
      <c r="O2" s="1075"/>
      <c r="P2" s="1075" t="s">
        <v>180</v>
      </c>
      <c r="Q2" s="1075"/>
      <c r="R2" s="1075"/>
    </row>
    <row r="3" spans="1:20" ht="15" customHeight="1">
      <c r="A3" s="1075"/>
      <c r="B3" s="1075"/>
      <c r="C3" s="1078"/>
      <c r="D3" s="1080"/>
      <c r="E3" s="1075"/>
      <c r="F3" s="1075" t="s">
        <v>172</v>
      </c>
      <c r="G3" s="1075" t="s">
        <v>173</v>
      </c>
      <c r="H3" s="1075" t="s">
        <v>174</v>
      </c>
      <c r="I3" s="1075" t="s">
        <v>175</v>
      </c>
      <c r="J3" s="1075"/>
      <c r="K3" s="1075"/>
      <c r="L3" s="1075"/>
      <c r="M3" s="1075" t="s">
        <v>172</v>
      </c>
      <c r="N3" s="1075" t="s">
        <v>173</v>
      </c>
      <c r="O3" s="1075" t="s">
        <v>174</v>
      </c>
      <c r="P3" s="1075" t="s">
        <v>172</v>
      </c>
      <c r="Q3" s="1075" t="s">
        <v>173</v>
      </c>
      <c r="R3" s="1075" t="s">
        <v>174</v>
      </c>
    </row>
    <row r="4" spans="1:20" ht="15" customHeight="1">
      <c r="A4" s="1076"/>
      <c r="B4" s="1076"/>
      <c r="C4" s="1079"/>
      <c r="D4" s="1081"/>
      <c r="E4" s="1076"/>
      <c r="F4" s="1076"/>
      <c r="G4" s="1076"/>
      <c r="H4" s="1076"/>
      <c r="I4" s="450" t="s">
        <v>176</v>
      </c>
      <c r="J4" s="450" t="s">
        <v>177</v>
      </c>
      <c r="K4" s="450" t="s">
        <v>178</v>
      </c>
      <c r="L4" s="450" t="s">
        <v>174</v>
      </c>
      <c r="M4" s="1076"/>
      <c r="N4" s="1076"/>
      <c r="O4" s="1076"/>
      <c r="P4" s="1076"/>
      <c r="Q4" s="1076"/>
      <c r="R4" s="1076"/>
    </row>
    <row r="5" spans="1:20" s="453" customFormat="1" ht="15" customHeight="1">
      <c r="A5" s="451"/>
      <c r="B5" s="451"/>
      <c r="C5" s="452"/>
      <c r="D5" s="451"/>
      <c r="E5" s="451"/>
      <c r="F5" s="451"/>
      <c r="G5" s="451"/>
      <c r="H5" s="451"/>
      <c r="I5" s="451"/>
      <c r="J5" s="451"/>
      <c r="K5" s="451"/>
      <c r="L5" s="451"/>
      <c r="M5" s="451"/>
      <c r="N5" s="451"/>
      <c r="O5" s="451"/>
      <c r="P5" s="451"/>
      <c r="Q5" s="451"/>
      <c r="R5" s="451"/>
    </row>
    <row r="6" spans="1:20" ht="15" hidden="1" customHeight="1">
      <c r="A6" s="1075" t="s">
        <v>287</v>
      </c>
      <c r="B6" s="1075" t="s">
        <v>183</v>
      </c>
      <c r="C6" s="1082" t="s">
        <v>289</v>
      </c>
      <c r="D6" s="82"/>
      <c r="E6" s="77"/>
      <c r="F6" s="77"/>
      <c r="G6" s="77"/>
      <c r="H6" s="77">
        <f>SUM(F6:G6)</f>
        <v>0</v>
      </c>
      <c r="I6" s="77"/>
      <c r="J6" s="77"/>
      <c r="K6" s="77"/>
      <c r="L6" s="75">
        <f>SUM(I6:K6)</f>
        <v>0</v>
      </c>
      <c r="M6" s="75"/>
      <c r="N6" s="75"/>
      <c r="O6" s="75">
        <f t="shared" ref="O6:O15" si="0">SUM(M6:N6)</f>
        <v>0</v>
      </c>
      <c r="P6" s="75">
        <f>F6+M6</f>
        <v>0</v>
      </c>
      <c r="Q6" s="75">
        <f>G6+N6</f>
        <v>0</v>
      </c>
      <c r="R6" s="75">
        <f>SUM(P6:Q6)</f>
        <v>0</v>
      </c>
      <c r="S6" s="259">
        <f t="shared" ref="S6:S16" si="1">H6-L6</f>
        <v>0</v>
      </c>
      <c r="T6" s="259">
        <f>E6-R6</f>
        <v>0</v>
      </c>
    </row>
    <row r="7" spans="1:20" ht="15" hidden="1" customHeight="1">
      <c r="A7" s="1075"/>
      <c r="B7" s="1075"/>
      <c r="C7" s="1082"/>
      <c r="D7" s="86"/>
      <c r="E7" s="77"/>
      <c r="F7" s="77"/>
      <c r="G7" s="77"/>
      <c r="H7" s="77">
        <f>SUM(F7:G7)</f>
        <v>0</v>
      </c>
      <c r="I7" s="77"/>
      <c r="J7" s="77"/>
      <c r="K7" s="77"/>
      <c r="L7" s="75">
        <f>SUM(I7:K7)</f>
        <v>0</v>
      </c>
      <c r="M7" s="75"/>
      <c r="N7" s="75"/>
      <c r="O7" s="75">
        <f>SUM(M7:N7)</f>
        <v>0</v>
      </c>
      <c r="P7" s="75">
        <f>F7+M7</f>
        <v>0</v>
      </c>
      <c r="Q7" s="75">
        <f>G7+N7</f>
        <v>0</v>
      </c>
      <c r="R7" s="75">
        <f>SUM(P7:Q7)</f>
        <v>0</v>
      </c>
      <c r="S7" s="259">
        <f>H7-L7</f>
        <v>0</v>
      </c>
      <c r="T7" s="259">
        <f>E7-R7</f>
        <v>0</v>
      </c>
    </row>
    <row r="8" spans="1:20" ht="15" hidden="1" customHeight="1">
      <c r="A8" s="1075"/>
      <c r="B8" s="1075"/>
      <c r="C8" s="1075"/>
      <c r="D8" s="86"/>
      <c r="E8" s="77"/>
      <c r="F8" s="77"/>
      <c r="G8" s="77"/>
      <c r="H8" s="77">
        <f>SUM(F8:G8)</f>
        <v>0</v>
      </c>
      <c r="I8" s="77" t="s">
        <v>309</v>
      </c>
      <c r="J8" s="77" t="s">
        <v>309</v>
      </c>
      <c r="K8" s="77"/>
      <c r="L8" s="77">
        <f t="shared" ref="L8:L44" si="2">SUM(I8:K8)</f>
        <v>0</v>
      </c>
      <c r="M8" s="77"/>
      <c r="N8" s="77"/>
      <c r="O8" s="77">
        <f t="shared" si="0"/>
        <v>0</v>
      </c>
      <c r="P8" s="77">
        <f t="shared" ref="P8:P44" si="3">F8+M8</f>
        <v>0</v>
      </c>
      <c r="Q8" s="77">
        <f t="shared" ref="Q8:Q44" si="4">G8+N8</f>
        <v>0</v>
      </c>
      <c r="R8" s="77">
        <f t="shared" ref="R8:R44" si="5">SUM(P8:Q8)</f>
        <v>0</v>
      </c>
      <c r="S8" s="259">
        <f t="shared" si="1"/>
        <v>0</v>
      </c>
      <c r="T8" s="259">
        <f t="shared" ref="T8:T44" si="6">E8-R8</f>
        <v>0</v>
      </c>
    </row>
    <row r="9" spans="1:20" ht="15" hidden="1" customHeight="1">
      <c r="A9" s="1075"/>
      <c r="B9" s="1075"/>
      <c r="C9" s="1075"/>
      <c r="D9" s="86"/>
      <c r="E9" s="77"/>
      <c r="F9" s="77"/>
      <c r="G9" s="77"/>
      <c r="H9" s="77">
        <f>SUM(F9:G9)</f>
        <v>0</v>
      </c>
      <c r="I9" s="77" t="s">
        <v>309</v>
      </c>
      <c r="J9" s="77" t="s">
        <v>309</v>
      </c>
      <c r="K9" s="77"/>
      <c r="L9" s="77">
        <f>SUM(I9:K9)</f>
        <v>0</v>
      </c>
      <c r="M9" s="77"/>
      <c r="N9" s="77"/>
      <c r="O9" s="77">
        <f t="shared" si="0"/>
        <v>0</v>
      </c>
      <c r="P9" s="77">
        <f>F9+M9</f>
        <v>0</v>
      </c>
      <c r="Q9" s="77">
        <f>G9+N9</f>
        <v>0</v>
      </c>
      <c r="R9" s="77">
        <f>SUM(P9:Q9)</f>
        <v>0</v>
      </c>
      <c r="S9" s="259">
        <f>H9-L9</f>
        <v>0</v>
      </c>
      <c r="T9" s="259">
        <f>E9-R9</f>
        <v>0</v>
      </c>
    </row>
    <row r="10" spans="1:20" ht="15" customHeight="1">
      <c r="A10" s="1075"/>
      <c r="B10" s="1075"/>
      <c r="C10" s="1075"/>
      <c r="D10" s="256" t="s">
        <v>528</v>
      </c>
      <c r="E10" s="257">
        <v>951438</v>
      </c>
      <c r="F10" s="257">
        <v>951438</v>
      </c>
      <c r="G10" s="257"/>
      <c r="H10" s="77">
        <f t="shared" ref="H10:H44" si="7">SUM(F10:G10)</f>
        <v>951438</v>
      </c>
      <c r="I10" s="77"/>
      <c r="J10" s="257">
        <v>951438</v>
      </c>
      <c r="K10" s="257"/>
      <c r="L10" s="75">
        <f t="shared" si="2"/>
        <v>951438</v>
      </c>
      <c r="M10" s="75"/>
      <c r="N10" s="77"/>
      <c r="O10" s="75">
        <f t="shared" si="0"/>
        <v>0</v>
      </c>
      <c r="P10" s="75">
        <f>F10+M10</f>
        <v>951438</v>
      </c>
      <c r="Q10" s="75">
        <f t="shared" si="4"/>
        <v>0</v>
      </c>
      <c r="R10" s="75">
        <f t="shared" si="5"/>
        <v>951438</v>
      </c>
      <c r="S10" s="259">
        <f t="shared" si="1"/>
        <v>0</v>
      </c>
      <c r="T10" s="259">
        <f t="shared" si="6"/>
        <v>0</v>
      </c>
    </row>
    <row r="11" spans="1:20" s="100" customFormat="1" ht="15" customHeight="1">
      <c r="A11" s="1075"/>
      <c r="B11" s="1075"/>
      <c r="C11" s="1075"/>
      <c r="D11" s="256" t="s">
        <v>527</v>
      </c>
      <c r="E11" s="257">
        <v>10295497</v>
      </c>
      <c r="F11" s="257">
        <v>10295497</v>
      </c>
      <c r="G11" s="257"/>
      <c r="H11" s="77">
        <f t="shared" si="7"/>
        <v>10295497</v>
      </c>
      <c r="I11" s="77"/>
      <c r="J11" s="257"/>
      <c r="K11" s="257">
        <v>10295497</v>
      </c>
      <c r="L11" s="77">
        <f t="shared" si="2"/>
        <v>10295497</v>
      </c>
      <c r="M11" s="77"/>
      <c r="N11" s="77"/>
      <c r="O11" s="77">
        <f t="shared" si="0"/>
        <v>0</v>
      </c>
      <c r="P11" s="77">
        <f t="shared" si="3"/>
        <v>10295497</v>
      </c>
      <c r="Q11" s="77">
        <f t="shared" si="4"/>
        <v>0</v>
      </c>
      <c r="R11" s="77">
        <f t="shared" si="5"/>
        <v>10295497</v>
      </c>
      <c r="S11" s="260">
        <f t="shared" si="1"/>
        <v>0</v>
      </c>
      <c r="T11" s="260">
        <f t="shared" si="6"/>
        <v>0</v>
      </c>
    </row>
    <row r="12" spans="1:20" s="100" customFormat="1" ht="15" hidden="1" customHeight="1">
      <c r="A12" s="1075"/>
      <c r="B12" s="1075"/>
      <c r="C12" s="1075"/>
      <c r="D12" s="256" t="s">
        <v>529</v>
      </c>
      <c r="E12" s="257"/>
      <c r="F12" s="257"/>
      <c r="G12" s="257"/>
      <c r="H12" s="77">
        <f t="shared" si="7"/>
        <v>0</v>
      </c>
      <c r="I12" s="77"/>
      <c r="J12" s="257"/>
      <c r="K12" s="257"/>
      <c r="L12" s="77">
        <f t="shared" si="2"/>
        <v>0</v>
      </c>
      <c r="M12" s="77"/>
      <c r="N12" s="77"/>
      <c r="O12" s="77">
        <f t="shared" si="0"/>
        <v>0</v>
      </c>
      <c r="P12" s="77">
        <f t="shared" ref="P12:Q14" si="8">F12+M12</f>
        <v>0</v>
      </c>
      <c r="Q12" s="77">
        <f t="shared" si="8"/>
        <v>0</v>
      </c>
      <c r="R12" s="77">
        <f>SUM(P12:Q12)</f>
        <v>0</v>
      </c>
      <c r="S12" s="260">
        <f>H12-L12</f>
        <v>0</v>
      </c>
      <c r="T12" s="260">
        <f>E12-R12</f>
        <v>0</v>
      </c>
    </row>
    <row r="13" spans="1:20" s="100" customFormat="1" ht="15" hidden="1" customHeight="1">
      <c r="A13" s="1075"/>
      <c r="B13" s="1075"/>
      <c r="C13" s="1075"/>
      <c r="D13" s="322" t="s">
        <v>535</v>
      </c>
      <c r="E13" s="257"/>
      <c r="F13" s="257"/>
      <c r="G13" s="257"/>
      <c r="H13" s="77">
        <f t="shared" si="7"/>
        <v>0</v>
      </c>
      <c r="I13" s="77"/>
      <c r="J13" s="257"/>
      <c r="K13" s="257"/>
      <c r="L13" s="77">
        <f t="shared" si="2"/>
        <v>0</v>
      </c>
      <c r="M13" s="77"/>
      <c r="N13" s="77"/>
      <c r="O13" s="77">
        <f t="shared" si="0"/>
        <v>0</v>
      </c>
      <c r="P13" s="77">
        <f t="shared" si="8"/>
        <v>0</v>
      </c>
      <c r="Q13" s="77">
        <f t="shared" si="8"/>
        <v>0</v>
      </c>
      <c r="R13" s="77">
        <f>SUM(P13:Q13)</f>
        <v>0</v>
      </c>
      <c r="S13" s="260">
        <f>H13-L13</f>
        <v>0</v>
      </c>
      <c r="T13" s="260">
        <f>E13-R13</f>
        <v>0</v>
      </c>
    </row>
    <row r="14" spans="1:20" s="100" customFormat="1" ht="15" hidden="1" customHeight="1">
      <c r="A14" s="1075"/>
      <c r="B14" s="1075"/>
      <c r="C14" s="1075"/>
      <c r="D14" s="256" t="s">
        <v>530</v>
      </c>
      <c r="E14" s="257"/>
      <c r="F14" s="257"/>
      <c r="G14" s="257"/>
      <c r="H14" s="77">
        <f>SUM(F14:G14)</f>
        <v>0</v>
      </c>
      <c r="I14" s="77"/>
      <c r="J14" s="257"/>
      <c r="K14" s="257"/>
      <c r="L14" s="77">
        <f t="shared" si="2"/>
        <v>0</v>
      </c>
      <c r="M14" s="77"/>
      <c r="N14" s="77"/>
      <c r="O14" s="77">
        <f>SUM(M14:N14)</f>
        <v>0</v>
      </c>
      <c r="P14" s="77">
        <f t="shared" si="8"/>
        <v>0</v>
      </c>
      <c r="Q14" s="77">
        <f t="shared" si="8"/>
        <v>0</v>
      </c>
      <c r="R14" s="77">
        <f>SUM(P14:Q14)</f>
        <v>0</v>
      </c>
      <c r="S14" s="260">
        <f>H14-L14</f>
        <v>0</v>
      </c>
      <c r="T14" s="260">
        <f>E14-R14</f>
        <v>0</v>
      </c>
    </row>
    <row r="15" spans="1:20" s="100" customFormat="1" ht="15" hidden="1" customHeight="1">
      <c r="A15" s="1075"/>
      <c r="B15" s="1075"/>
      <c r="C15" s="1075"/>
      <c r="D15" s="322"/>
      <c r="E15" s="257"/>
      <c r="F15" s="257"/>
      <c r="G15" s="257"/>
      <c r="H15" s="77">
        <f t="shared" si="7"/>
        <v>0</v>
      </c>
      <c r="I15" s="77"/>
      <c r="J15" s="257"/>
      <c r="K15" s="257"/>
      <c r="L15" s="77">
        <f t="shared" si="2"/>
        <v>0</v>
      </c>
      <c r="M15" s="77"/>
      <c r="N15" s="77"/>
      <c r="O15" s="77">
        <f t="shared" si="0"/>
        <v>0</v>
      </c>
      <c r="P15" s="77">
        <f t="shared" si="3"/>
        <v>0</v>
      </c>
      <c r="Q15" s="77">
        <f t="shared" si="4"/>
        <v>0</v>
      </c>
      <c r="R15" s="77">
        <f t="shared" si="5"/>
        <v>0</v>
      </c>
      <c r="S15" s="260">
        <f t="shared" si="1"/>
        <v>0</v>
      </c>
      <c r="T15" s="260">
        <f t="shared" si="6"/>
        <v>0</v>
      </c>
    </row>
    <row r="16" spans="1:20" ht="15" customHeight="1">
      <c r="A16" s="1075"/>
      <c r="B16" s="1075"/>
      <c r="C16" s="1075"/>
      <c r="D16" s="82" t="s">
        <v>174</v>
      </c>
      <c r="E16" s="75">
        <f>SUM(E6:E15)</f>
        <v>11246935</v>
      </c>
      <c r="F16" s="75">
        <f t="shared" ref="F16:R16" si="9">SUM(F6:F15)</f>
        <v>11246935</v>
      </c>
      <c r="G16" s="75">
        <f t="shared" si="9"/>
        <v>0</v>
      </c>
      <c r="H16" s="75">
        <f t="shared" si="9"/>
        <v>11246935</v>
      </c>
      <c r="I16" s="75">
        <f t="shared" si="9"/>
        <v>0</v>
      </c>
      <c r="J16" s="75">
        <f t="shared" si="9"/>
        <v>951438</v>
      </c>
      <c r="K16" s="75">
        <f t="shared" si="9"/>
        <v>10295497</v>
      </c>
      <c r="L16" s="75">
        <f t="shared" si="9"/>
        <v>11246935</v>
      </c>
      <c r="M16" s="75">
        <f t="shared" si="9"/>
        <v>0</v>
      </c>
      <c r="N16" s="75">
        <f t="shared" si="9"/>
        <v>0</v>
      </c>
      <c r="O16" s="75">
        <f t="shared" si="9"/>
        <v>0</v>
      </c>
      <c r="P16" s="75">
        <f t="shared" si="9"/>
        <v>11246935</v>
      </c>
      <c r="Q16" s="75">
        <f t="shared" si="9"/>
        <v>0</v>
      </c>
      <c r="R16" s="75">
        <f t="shared" si="9"/>
        <v>11246935</v>
      </c>
      <c r="S16" s="259">
        <f t="shared" si="1"/>
        <v>0</v>
      </c>
      <c r="T16" s="259">
        <f t="shared" si="6"/>
        <v>0</v>
      </c>
    </row>
    <row r="17" spans="1:20" ht="15" customHeight="1">
      <c r="A17" s="1075"/>
      <c r="B17" s="1080" t="s">
        <v>186</v>
      </c>
      <c r="C17" s="1083"/>
      <c r="D17" s="82" t="s">
        <v>187</v>
      </c>
      <c r="E17" s="376">
        <f>+'工事負担金（元金償還分)'!G12</f>
        <v>3167277</v>
      </c>
      <c r="F17" s="75"/>
      <c r="G17" s="75"/>
      <c r="H17" s="75">
        <f t="shared" si="7"/>
        <v>0</v>
      </c>
      <c r="I17" s="75"/>
      <c r="J17" s="75"/>
      <c r="K17" s="75"/>
      <c r="L17" s="75">
        <f t="shared" si="2"/>
        <v>0</v>
      </c>
      <c r="M17" s="75"/>
      <c r="N17" s="75">
        <f>E17</f>
        <v>3167277</v>
      </c>
      <c r="O17" s="75">
        <f>SUM(M17:N17)</f>
        <v>3167277</v>
      </c>
      <c r="P17" s="75">
        <f t="shared" si="3"/>
        <v>0</v>
      </c>
      <c r="Q17" s="75">
        <f t="shared" si="4"/>
        <v>3167277</v>
      </c>
      <c r="R17" s="75">
        <f t="shared" si="5"/>
        <v>3167277</v>
      </c>
      <c r="S17" s="259">
        <f>H17-L17</f>
        <v>0</v>
      </c>
      <c r="T17" s="259">
        <f t="shared" si="6"/>
        <v>0</v>
      </c>
    </row>
    <row r="18" spans="1:20" ht="15" customHeight="1">
      <c r="A18" s="1075"/>
      <c r="B18" s="1080"/>
      <c r="C18" s="1083"/>
      <c r="D18" s="82" t="s">
        <v>188</v>
      </c>
      <c r="E18" s="376">
        <f>+'工事負担金（元金償還分)'!G11</f>
        <v>3205201</v>
      </c>
      <c r="F18" s="75"/>
      <c r="G18" s="75"/>
      <c r="H18" s="75">
        <f t="shared" si="7"/>
        <v>0</v>
      </c>
      <c r="I18" s="75"/>
      <c r="J18" s="75"/>
      <c r="K18" s="75"/>
      <c r="L18" s="75">
        <f t="shared" si="2"/>
        <v>0</v>
      </c>
      <c r="M18" s="75"/>
      <c r="N18" s="75">
        <f>E18</f>
        <v>3205201</v>
      </c>
      <c r="O18" s="75">
        <f>SUM(M18:N18)</f>
        <v>3205201</v>
      </c>
      <c r="P18" s="75">
        <f t="shared" si="3"/>
        <v>0</v>
      </c>
      <c r="Q18" s="75">
        <f t="shared" si="4"/>
        <v>3205201</v>
      </c>
      <c r="R18" s="75">
        <f t="shared" si="5"/>
        <v>3205201</v>
      </c>
      <c r="S18" s="259">
        <f t="shared" ref="S18:S44" si="10">H18-L18</f>
        <v>0</v>
      </c>
      <c r="T18" s="259">
        <f t="shared" si="6"/>
        <v>0</v>
      </c>
    </row>
    <row r="19" spans="1:20" ht="15" customHeight="1">
      <c r="A19" s="1075"/>
      <c r="B19" s="1080"/>
      <c r="C19" s="1083"/>
      <c r="D19" s="82" t="s">
        <v>189</v>
      </c>
      <c r="E19" s="376">
        <f>+'工事負担金（元金償還分)'!G7</f>
        <v>31164274</v>
      </c>
      <c r="F19" s="75"/>
      <c r="G19" s="75"/>
      <c r="H19" s="75">
        <f t="shared" si="7"/>
        <v>0</v>
      </c>
      <c r="I19" s="75"/>
      <c r="J19" s="75"/>
      <c r="K19" s="75"/>
      <c r="L19" s="75">
        <f t="shared" si="2"/>
        <v>0</v>
      </c>
      <c r="M19" s="75"/>
      <c r="N19" s="75">
        <f>E19</f>
        <v>31164274</v>
      </c>
      <c r="O19" s="75">
        <f>SUM(M19:N19)</f>
        <v>31164274</v>
      </c>
      <c r="P19" s="75">
        <f t="shared" si="3"/>
        <v>0</v>
      </c>
      <c r="Q19" s="75">
        <f t="shared" si="4"/>
        <v>31164274</v>
      </c>
      <c r="R19" s="75">
        <f t="shared" si="5"/>
        <v>31164274</v>
      </c>
      <c r="S19" s="259">
        <f t="shared" si="10"/>
        <v>0</v>
      </c>
      <c r="T19" s="259">
        <f t="shared" si="6"/>
        <v>0</v>
      </c>
    </row>
    <row r="20" spans="1:20" ht="15" customHeight="1">
      <c r="A20" s="1075"/>
      <c r="B20" s="1080"/>
      <c r="C20" s="1083"/>
      <c r="D20" s="82" t="s">
        <v>185</v>
      </c>
      <c r="E20" s="376">
        <f>+'工事負担金（元金償還分)'!G13</f>
        <v>27021331</v>
      </c>
      <c r="F20" s="75"/>
      <c r="G20" s="75"/>
      <c r="H20" s="75">
        <f t="shared" si="7"/>
        <v>0</v>
      </c>
      <c r="I20" s="75"/>
      <c r="J20" s="75"/>
      <c r="K20" s="75"/>
      <c r="L20" s="75">
        <f t="shared" si="2"/>
        <v>0</v>
      </c>
      <c r="M20" s="75"/>
      <c r="N20" s="75">
        <f>E20</f>
        <v>27021331</v>
      </c>
      <c r="O20" s="75">
        <f>SUM(M20:N20)</f>
        <v>27021331</v>
      </c>
      <c r="P20" s="75">
        <f t="shared" si="3"/>
        <v>0</v>
      </c>
      <c r="Q20" s="75">
        <f t="shared" si="4"/>
        <v>27021331</v>
      </c>
      <c r="R20" s="75">
        <f t="shared" si="5"/>
        <v>27021331</v>
      </c>
      <c r="S20" s="259">
        <f t="shared" si="10"/>
        <v>0</v>
      </c>
      <c r="T20" s="259">
        <f t="shared" si="6"/>
        <v>0</v>
      </c>
    </row>
    <row r="21" spans="1:20" ht="15" customHeight="1">
      <c r="A21" s="1075"/>
      <c r="B21" s="1080"/>
      <c r="C21" s="1083"/>
      <c r="D21" s="82" t="s">
        <v>193</v>
      </c>
      <c r="E21" s="376">
        <f>+'工事負担金（元金償還分)'!G10</f>
        <v>7611447</v>
      </c>
      <c r="F21" s="75"/>
      <c r="G21" s="75"/>
      <c r="H21" s="75">
        <f t="shared" si="7"/>
        <v>0</v>
      </c>
      <c r="I21" s="75"/>
      <c r="J21" s="75"/>
      <c r="K21" s="75"/>
      <c r="L21" s="75">
        <f t="shared" si="2"/>
        <v>0</v>
      </c>
      <c r="M21" s="75"/>
      <c r="N21" s="75">
        <f>E21</f>
        <v>7611447</v>
      </c>
      <c r="O21" s="75">
        <f>SUM(M21:N21)</f>
        <v>7611447</v>
      </c>
      <c r="P21" s="75">
        <f t="shared" si="3"/>
        <v>0</v>
      </c>
      <c r="Q21" s="75">
        <f t="shared" si="4"/>
        <v>7611447</v>
      </c>
      <c r="R21" s="75">
        <f t="shared" si="5"/>
        <v>7611447</v>
      </c>
      <c r="S21" s="259">
        <f t="shared" si="10"/>
        <v>0</v>
      </c>
      <c r="T21" s="259">
        <f t="shared" si="6"/>
        <v>0</v>
      </c>
    </row>
    <row r="22" spans="1:20" ht="15" customHeight="1">
      <c r="A22" s="1075"/>
      <c r="B22" s="1080"/>
      <c r="C22" s="1083"/>
      <c r="D22" s="82" t="s">
        <v>174</v>
      </c>
      <c r="E22" s="75">
        <f>SUM(E17:E21)</f>
        <v>72169530</v>
      </c>
      <c r="F22" s="75">
        <f t="shared" ref="F22:R22" si="11">SUM(F17:F21)</f>
        <v>0</v>
      </c>
      <c r="G22" s="75">
        <f t="shared" si="11"/>
        <v>0</v>
      </c>
      <c r="H22" s="75">
        <f t="shared" si="11"/>
        <v>0</v>
      </c>
      <c r="I22" s="75">
        <f t="shared" si="11"/>
        <v>0</v>
      </c>
      <c r="J22" s="75">
        <f t="shared" si="11"/>
        <v>0</v>
      </c>
      <c r="K22" s="75">
        <f t="shared" si="11"/>
        <v>0</v>
      </c>
      <c r="L22" s="75">
        <f t="shared" si="11"/>
        <v>0</v>
      </c>
      <c r="M22" s="75">
        <f t="shared" si="11"/>
        <v>0</v>
      </c>
      <c r="N22" s="75">
        <f>SUM(N17:N21)</f>
        <v>72169530</v>
      </c>
      <c r="O22" s="75">
        <f t="shared" si="11"/>
        <v>72169530</v>
      </c>
      <c r="P22" s="75">
        <f t="shared" si="11"/>
        <v>0</v>
      </c>
      <c r="Q22" s="75">
        <f t="shared" si="11"/>
        <v>72169530</v>
      </c>
      <c r="R22" s="75">
        <f t="shared" si="11"/>
        <v>72169530</v>
      </c>
      <c r="S22" s="259">
        <f t="shared" si="10"/>
        <v>0</v>
      </c>
      <c r="T22" s="259">
        <f t="shared" si="6"/>
        <v>0</v>
      </c>
    </row>
    <row r="23" spans="1:20" ht="15" customHeight="1">
      <c r="A23" s="1075"/>
      <c r="B23" s="1080" t="s">
        <v>194</v>
      </c>
      <c r="C23" s="1080"/>
      <c r="D23" s="1080"/>
      <c r="E23" s="75">
        <f>E16+E22</f>
        <v>83416465</v>
      </c>
      <c r="F23" s="75">
        <f t="shared" ref="F23:R23" si="12">F16+F22</f>
        <v>11246935</v>
      </c>
      <c r="G23" s="75">
        <f t="shared" si="12"/>
        <v>0</v>
      </c>
      <c r="H23" s="75">
        <f t="shared" si="12"/>
        <v>11246935</v>
      </c>
      <c r="I23" s="75">
        <f t="shared" si="12"/>
        <v>0</v>
      </c>
      <c r="J23" s="75">
        <f t="shared" si="12"/>
        <v>951438</v>
      </c>
      <c r="K23" s="75">
        <f t="shared" si="12"/>
        <v>10295497</v>
      </c>
      <c r="L23" s="75">
        <f t="shared" si="12"/>
        <v>11246935</v>
      </c>
      <c r="M23" s="75">
        <f t="shared" si="12"/>
        <v>0</v>
      </c>
      <c r="N23" s="75">
        <f>N16+N22</f>
        <v>72169530</v>
      </c>
      <c r="O23" s="75">
        <f t="shared" si="12"/>
        <v>72169530</v>
      </c>
      <c r="P23" s="75">
        <f t="shared" si="12"/>
        <v>11246935</v>
      </c>
      <c r="Q23" s="75">
        <f t="shared" si="12"/>
        <v>72169530</v>
      </c>
      <c r="R23" s="75">
        <f t="shared" si="12"/>
        <v>83416465</v>
      </c>
      <c r="S23" s="259">
        <f t="shared" si="10"/>
        <v>0</v>
      </c>
      <c r="T23" s="259">
        <f t="shared" si="6"/>
        <v>0</v>
      </c>
    </row>
    <row r="24" spans="1:20" ht="15" hidden="1" customHeight="1">
      <c r="A24" s="1075" t="s">
        <v>196</v>
      </c>
      <c r="B24" s="1080" t="s">
        <v>183</v>
      </c>
      <c r="C24" s="1080" t="s">
        <v>192</v>
      </c>
      <c r="D24" s="82"/>
      <c r="E24" s="75"/>
      <c r="F24" s="75"/>
      <c r="G24" s="75"/>
      <c r="H24" s="75">
        <f t="shared" si="7"/>
        <v>0</v>
      </c>
      <c r="I24" s="75"/>
      <c r="J24" s="75"/>
      <c r="K24" s="75"/>
      <c r="L24" s="75">
        <f t="shared" si="2"/>
        <v>0</v>
      </c>
      <c r="M24" s="75"/>
      <c r="N24" s="75"/>
      <c r="O24" s="75">
        <f t="shared" ref="O24:O44" si="13">SUM(M24:N24)</f>
        <v>0</v>
      </c>
      <c r="P24" s="75">
        <f t="shared" si="3"/>
        <v>0</v>
      </c>
      <c r="Q24" s="75">
        <f t="shared" si="4"/>
        <v>0</v>
      </c>
      <c r="R24" s="75">
        <f t="shared" si="5"/>
        <v>0</v>
      </c>
      <c r="S24" s="259">
        <f t="shared" si="10"/>
        <v>0</v>
      </c>
      <c r="T24" s="259">
        <f t="shared" si="6"/>
        <v>0</v>
      </c>
    </row>
    <row r="25" spans="1:20" ht="15" hidden="1" customHeight="1">
      <c r="A25" s="1075"/>
      <c r="B25" s="1080"/>
      <c r="C25" s="1080"/>
      <c r="D25" s="82"/>
      <c r="E25" s="77"/>
      <c r="F25" s="77"/>
      <c r="G25" s="77"/>
      <c r="H25" s="77">
        <f t="shared" si="7"/>
        <v>0</v>
      </c>
      <c r="I25" s="77"/>
      <c r="J25" s="77"/>
      <c r="K25" s="77"/>
      <c r="L25" s="77">
        <f t="shared" si="2"/>
        <v>0</v>
      </c>
      <c r="M25" s="77"/>
      <c r="N25" s="77"/>
      <c r="O25" s="77">
        <f t="shared" si="13"/>
        <v>0</v>
      </c>
      <c r="P25" s="77">
        <f t="shared" si="3"/>
        <v>0</v>
      </c>
      <c r="Q25" s="77">
        <f t="shared" si="4"/>
        <v>0</v>
      </c>
      <c r="R25" s="77">
        <f t="shared" si="5"/>
        <v>0</v>
      </c>
      <c r="S25" s="259">
        <f t="shared" si="10"/>
        <v>0</v>
      </c>
      <c r="T25" s="259">
        <f t="shared" si="6"/>
        <v>0</v>
      </c>
    </row>
    <row r="26" spans="1:20" ht="15" hidden="1" customHeight="1">
      <c r="A26" s="1075"/>
      <c r="B26" s="1080"/>
      <c r="C26" s="1080"/>
      <c r="D26" s="82" t="s">
        <v>198</v>
      </c>
      <c r="E26" s="75">
        <f>SUM(E24:E25)</f>
        <v>0</v>
      </c>
      <c r="F26" s="75">
        <f t="shared" ref="F26:R26" si="14">SUM(F24:F25)</f>
        <v>0</v>
      </c>
      <c r="G26" s="75">
        <f t="shared" si="14"/>
        <v>0</v>
      </c>
      <c r="H26" s="75">
        <f t="shared" si="14"/>
        <v>0</v>
      </c>
      <c r="I26" s="75">
        <f t="shared" si="14"/>
        <v>0</v>
      </c>
      <c r="J26" s="75">
        <f t="shared" si="14"/>
        <v>0</v>
      </c>
      <c r="K26" s="75">
        <f t="shared" si="14"/>
        <v>0</v>
      </c>
      <c r="L26" s="75">
        <f t="shared" si="14"/>
        <v>0</v>
      </c>
      <c r="M26" s="75">
        <f t="shared" si="14"/>
        <v>0</v>
      </c>
      <c r="N26" s="75">
        <f t="shared" si="14"/>
        <v>0</v>
      </c>
      <c r="O26" s="75">
        <f t="shared" si="14"/>
        <v>0</v>
      </c>
      <c r="P26" s="75">
        <f t="shared" si="14"/>
        <v>0</v>
      </c>
      <c r="Q26" s="75">
        <f t="shared" si="14"/>
        <v>0</v>
      </c>
      <c r="R26" s="75">
        <f t="shared" si="14"/>
        <v>0</v>
      </c>
      <c r="S26" s="259">
        <f t="shared" si="10"/>
        <v>0</v>
      </c>
      <c r="T26" s="259">
        <f t="shared" si="6"/>
        <v>0</v>
      </c>
    </row>
    <row r="27" spans="1:20" ht="15" customHeight="1">
      <c r="A27" s="1075"/>
      <c r="B27" s="1080" t="s">
        <v>186</v>
      </c>
      <c r="C27" s="1080"/>
      <c r="D27" s="82" t="s">
        <v>197</v>
      </c>
      <c r="E27" s="376">
        <f>'工事負担金（元金償還分)'!G6</f>
        <v>163052136</v>
      </c>
      <c r="F27" s="77"/>
      <c r="G27" s="77"/>
      <c r="H27" s="77">
        <f t="shared" si="7"/>
        <v>0</v>
      </c>
      <c r="I27" s="77"/>
      <c r="J27" s="77"/>
      <c r="K27" s="77"/>
      <c r="L27" s="77">
        <f t="shared" si="2"/>
        <v>0</v>
      </c>
      <c r="M27" s="77"/>
      <c r="N27" s="77">
        <f>E27</f>
        <v>163052136</v>
      </c>
      <c r="O27" s="77">
        <f t="shared" si="13"/>
        <v>163052136</v>
      </c>
      <c r="P27" s="77">
        <f t="shared" si="3"/>
        <v>0</v>
      </c>
      <c r="Q27" s="77">
        <f t="shared" si="4"/>
        <v>163052136</v>
      </c>
      <c r="R27" s="77">
        <f t="shared" si="5"/>
        <v>163052136</v>
      </c>
      <c r="S27" s="260">
        <f t="shared" si="10"/>
        <v>0</v>
      </c>
      <c r="T27" s="260">
        <f t="shared" si="6"/>
        <v>0</v>
      </c>
    </row>
    <row r="28" spans="1:20" ht="15" customHeight="1">
      <c r="A28" s="1075"/>
      <c r="B28" s="1080"/>
      <c r="C28" s="1080"/>
      <c r="D28" s="82" t="s">
        <v>198</v>
      </c>
      <c r="E28" s="77">
        <f>E27</f>
        <v>163052136</v>
      </c>
      <c r="F28" s="77">
        <f t="shared" ref="F28:R28" si="15">F27</f>
        <v>0</v>
      </c>
      <c r="G28" s="75">
        <f t="shared" si="15"/>
        <v>0</v>
      </c>
      <c r="H28" s="75">
        <f t="shared" si="15"/>
        <v>0</v>
      </c>
      <c r="I28" s="75">
        <f t="shared" si="15"/>
        <v>0</v>
      </c>
      <c r="J28" s="75">
        <f t="shared" si="15"/>
        <v>0</v>
      </c>
      <c r="K28" s="75">
        <f t="shared" si="15"/>
        <v>0</v>
      </c>
      <c r="L28" s="75">
        <f t="shared" si="15"/>
        <v>0</v>
      </c>
      <c r="M28" s="75">
        <f t="shared" si="15"/>
        <v>0</v>
      </c>
      <c r="N28" s="75">
        <f t="shared" si="15"/>
        <v>163052136</v>
      </c>
      <c r="O28" s="75">
        <f t="shared" si="15"/>
        <v>163052136</v>
      </c>
      <c r="P28" s="75">
        <f t="shared" si="15"/>
        <v>0</v>
      </c>
      <c r="Q28" s="75">
        <f t="shared" si="15"/>
        <v>163052136</v>
      </c>
      <c r="R28" s="75">
        <f t="shared" si="15"/>
        <v>163052136</v>
      </c>
      <c r="S28" s="259">
        <f t="shared" si="10"/>
        <v>0</v>
      </c>
      <c r="T28" s="259">
        <f t="shared" si="6"/>
        <v>0</v>
      </c>
    </row>
    <row r="29" spans="1:20" ht="15" customHeight="1">
      <c r="A29" s="1075"/>
      <c r="B29" s="1075" t="s">
        <v>194</v>
      </c>
      <c r="C29" s="1075"/>
      <c r="D29" s="1075"/>
      <c r="E29" s="77">
        <f>E26+E28</f>
        <v>163052136</v>
      </c>
      <c r="F29" s="77">
        <f t="shared" ref="F29:R29" si="16">F26+F28</f>
        <v>0</v>
      </c>
      <c r="G29" s="75">
        <f t="shared" si="16"/>
        <v>0</v>
      </c>
      <c r="H29" s="75">
        <f t="shared" si="16"/>
        <v>0</v>
      </c>
      <c r="I29" s="75">
        <f t="shared" si="16"/>
        <v>0</v>
      </c>
      <c r="J29" s="75">
        <f t="shared" si="16"/>
        <v>0</v>
      </c>
      <c r="K29" s="75">
        <f t="shared" si="16"/>
        <v>0</v>
      </c>
      <c r="L29" s="75">
        <f t="shared" si="16"/>
        <v>0</v>
      </c>
      <c r="M29" s="75">
        <f t="shared" si="16"/>
        <v>0</v>
      </c>
      <c r="N29" s="75">
        <f t="shared" si="16"/>
        <v>163052136</v>
      </c>
      <c r="O29" s="75">
        <f t="shared" si="16"/>
        <v>163052136</v>
      </c>
      <c r="P29" s="75">
        <f t="shared" si="16"/>
        <v>0</v>
      </c>
      <c r="Q29" s="75">
        <f t="shared" si="16"/>
        <v>163052136</v>
      </c>
      <c r="R29" s="75">
        <f t="shared" si="16"/>
        <v>163052136</v>
      </c>
      <c r="S29" s="259">
        <f t="shared" si="10"/>
        <v>0</v>
      </c>
      <c r="T29" s="259">
        <f t="shared" si="6"/>
        <v>0</v>
      </c>
    </row>
    <row r="30" spans="1:20" ht="15" customHeight="1">
      <c r="A30" s="1075" t="s">
        <v>199</v>
      </c>
      <c r="B30" s="1075" t="s">
        <v>183</v>
      </c>
      <c r="C30" s="1075" t="s">
        <v>200</v>
      </c>
      <c r="D30" s="82" t="s">
        <v>184</v>
      </c>
      <c r="E30" s="257">
        <v>4003456</v>
      </c>
      <c r="F30" s="257">
        <v>4003456</v>
      </c>
      <c r="G30" s="257"/>
      <c r="H30" s="75">
        <f t="shared" si="7"/>
        <v>4003456</v>
      </c>
      <c r="I30" s="75"/>
      <c r="J30" s="75"/>
      <c r="K30" s="257">
        <v>4003456</v>
      </c>
      <c r="L30" s="75">
        <f t="shared" si="2"/>
        <v>4003456</v>
      </c>
      <c r="M30" s="75"/>
      <c r="N30" s="75"/>
      <c r="O30" s="75">
        <f t="shared" si="13"/>
        <v>0</v>
      </c>
      <c r="P30" s="75">
        <f t="shared" si="3"/>
        <v>4003456</v>
      </c>
      <c r="Q30" s="75">
        <f t="shared" si="4"/>
        <v>0</v>
      </c>
      <c r="R30" s="75">
        <f t="shared" si="5"/>
        <v>4003456</v>
      </c>
      <c r="S30" s="259">
        <f t="shared" si="10"/>
        <v>0</v>
      </c>
      <c r="T30" s="259">
        <f t="shared" si="6"/>
        <v>0</v>
      </c>
    </row>
    <row r="31" spans="1:20" ht="15" hidden="1" customHeight="1">
      <c r="A31" s="1075"/>
      <c r="B31" s="1075"/>
      <c r="C31" s="1075"/>
      <c r="D31" s="82" t="s">
        <v>207</v>
      </c>
      <c r="E31" s="257">
        <v>0</v>
      </c>
      <c r="F31" s="257">
        <v>0</v>
      </c>
      <c r="G31" s="257"/>
      <c r="H31" s="77">
        <f t="shared" si="7"/>
        <v>0</v>
      </c>
      <c r="I31" s="77"/>
      <c r="J31" s="77"/>
      <c r="K31" s="257">
        <v>0</v>
      </c>
      <c r="L31" s="77">
        <f t="shared" si="2"/>
        <v>0</v>
      </c>
      <c r="M31" s="77"/>
      <c r="N31" s="77"/>
      <c r="O31" s="77">
        <f t="shared" ref="O31:O36" si="17">SUM(M31:N31)</f>
        <v>0</v>
      </c>
      <c r="P31" s="77">
        <f t="shared" ref="P31:Q36" si="18">F31+M31</f>
        <v>0</v>
      </c>
      <c r="Q31" s="77">
        <f t="shared" si="18"/>
        <v>0</v>
      </c>
      <c r="R31" s="77">
        <f t="shared" ref="R31:R36" si="19">SUM(P31:Q31)</f>
        <v>0</v>
      </c>
      <c r="S31" s="260">
        <f t="shared" ref="S31:S36" si="20">H31-L31</f>
        <v>0</v>
      </c>
      <c r="T31" s="260">
        <f t="shared" ref="T31:T36" si="21">E31-R31</f>
        <v>0</v>
      </c>
    </row>
    <row r="32" spans="1:20" ht="15" customHeight="1">
      <c r="A32" s="1075"/>
      <c r="B32" s="1075"/>
      <c r="C32" s="1075"/>
      <c r="D32" s="82" t="s">
        <v>185</v>
      </c>
      <c r="E32" s="257">
        <v>3161</v>
      </c>
      <c r="F32" s="257">
        <v>3161</v>
      </c>
      <c r="G32" s="257"/>
      <c r="H32" s="75">
        <f t="shared" si="7"/>
        <v>3161</v>
      </c>
      <c r="I32" s="75"/>
      <c r="J32" s="75"/>
      <c r="K32" s="257">
        <v>3161</v>
      </c>
      <c r="L32" s="75">
        <f t="shared" si="2"/>
        <v>3161</v>
      </c>
      <c r="M32" s="75"/>
      <c r="N32" s="75"/>
      <c r="O32" s="75">
        <f t="shared" si="17"/>
        <v>0</v>
      </c>
      <c r="P32" s="75">
        <f t="shared" si="18"/>
        <v>3161</v>
      </c>
      <c r="Q32" s="75">
        <f t="shared" si="18"/>
        <v>0</v>
      </c>
      <c r="R32" s="75">
        <f t="shared" si="19"/>
        <v>3161</v>
      </c>
      <c r="S32" s="259">
        <f t="shared" si="20"/>
        <v>0</v>
      </c>
      <c r="T32" s="259">
        <f t="shared" si="21"/>
        <v>0</v>
      </c>
    </row>
    <row r="33" spans="1:20" ht="15" customHeight="1">
      <c r="A33" s="1075"/>
      <c r="B33" s="1075"/>
      <c r="C33" s="1075"/>
      <c r="D33" s="82" t="s">
        <v>201</v>
      </c>
      <c r="E33" s="257">
        <v>947</v>
      </c>
      <c r="F33" s="257">
        <v>947</v>
      </c>
      <c r="G33" s="257"/>
      <c r="H33" s="75">
        <f>SUM(F33:G33)</f>
        <v>947</v>
      </c>
      <c r="I33" s="75"/>
      <c r="J33" s="75"/>
      <c r="K33" s="257">
        <v>947</v>
      </c>
      <c r="L33" s="75">
        <f>SUM(I33:K33)</f>
        <v>947</v>
      </c>
      <c r="M33" s="75"/>
      <c r="N33" s="75"/>
      <c r="O33" s="75">
        <f t="shared" si="17"/>
        <v>0</v>
      </c>
      <c r="P33" s="75">
        <f t="shared" si="18"/>
        <v>947</v>
      </c>
      <c r="Q33" s="75">
        <f t="shared" si="18"/>
        <v>0</v>
      </c>
      <c r="R33" s="75">
        <f t="shared" si="19"/>
        <v>947</v>
      </c>
      <c r="S33" s="259">
        <f t="shared" si="20"/>
        <v>0</v>
      </c>
      <c r="T33" s="259">
        <f t="shared" si="21"/>
        <v>0</v>
      </c>
    </row>
    <row r="34" spans="1:20" ht="15" hidden="1" customHeight="1">
      <c r="A34" s="1075"/>
      <c r="B34" s="1075"/>
      <c r="C34" s="1075"/>
      <c r="D34" s="256"/>
      <c r="E34" s="257"/>
      <c r="F34" s="257"/>
      <c r="G34" s="257"/>
      <c r="H34" s="75">
        <f>SUM(F34:G34)</f>
        <v>0</v>
      </c>
      <c r="I34" s="75"/>
      <c r="J34" s="75"/>
      <c r="K34" s="257"/>
      <c r="L34" s="75">
        <f>SUM(I34:K34)</f>
        <v>0</v>
      </c>
      <c r="M34" s="75"/>
      <c r="N34" s="77"/>
      <c r="O34" s="75">
        <f t="shared" si="17"/>
        <v>0</v>
      </c>
      <c r="P34" s="75">
        <f t="shared" si="18"/>
        <v>0</v>
      </c>
      <c r="Q34" s="75">
        <f t="shared" si="18"/>
        <v>0</v>
      </c>
      <c r="R34" s="75">
        <f t="shared" si="19"/>
        <v>0</v>
      </c>
      <c r="S34" s="259">
        <f t="shared" si="20"/>
        <v>0</v>
      </c>
      <c r="T34" s="259">
        <f t="shared" si="21"/>
        <v>0</v>
      </c>
    </row>
    <row r="35" spans="1:20" ht="15" hidden="1" customHeight="1">
      <c r="A35" s="1075"/>
      <c r="B35" s="1075"/>
      <c r="C35" s="1075"/>
      <c r="D35" s="256"/>
      <c r="E35" s="257"/>
      <c r="F35" s="257"/>
      <c r="G35" s="257"/>
      <c r="H35" s="75">
        <f>SUM(F35:G35)</f>
        <v>0</v>
      </c>
      <c r="I35" s="75"/>
      <c r="J35" s="75"/>
      <c r="K35" s="257"/>
      <c r="L35" s="75">
        <f>SUM(I35:K35)</f>
        <v>0</v>
      </c>
      <c r="M35" s="75"/>
      <c r="N35" s="77"/>
      <c r="O35" s="75">
        <f t="shared" si="17"/>
        <v>0</v>
      </c>
      <c r="P35" s="75">
        <f t="shared" si="18"/>
        <v>0</v>
      </c>
      <c r="Q35" s="75">
        <f t="shared" si="18"/>
        <v>0</v>
      </c>
      <c r="R35" s="75">
        <f t="shared" si="19"/>
        <v>0</v>
      </c>
      <c r="S35" s="259">
        <f t="shared" si="20"/>
        <v>0</v>
      </c>
      <c r="T35" s="259">
        <f t="shared" si="21"/>
        <v>0</v>
      </c>
    </row>
    <row r="36" spans="1:20" ht="15" hidden="1" customHeight="1">
      <c r="A36" s="1075"/>
      <c r="B36" s="1075"/>
      <c r="C36" s="1075"/>
      <c r="D36" s="256"/>
      <c r="E36" s="257"/>
      <c r="F36" s="257"/>
      <c r="G36" s="257"/>
      <c r="H36" s="75">
        <f>SUM(F36:G36)</f>
        <v>0</v>
      </c>
      <c r="I36" s="75"/>
      <c r="J36" s="75"/>
      <c r="K36" s="257"/>
      <c r="L36" s="75">
        <f>SUM(I36:K36)</f>
        <v>0</v>
      </c>
      <c r="M36" s="75"/>
      <c r="N36" s="77"/>
      <c r="O36" s="75">
        <f t="shared" si="17"/>
        <v>0</v>
      </c>
      <c r="P36" s="75">
        <f t="shared" si="18"/>
        <v>0</v>
      </c>
      <c r="Q36" s="75">
        <f t="shared" si="18"/>
        <v>0</v>
      </c>
      <c r="R36" s="75">
        <f t="shared" si="19"/>
        <v>0</v>
      </c>
      <c r="S36" s="259">
        <f t="shared" si="20"/>
        <v>0</v>
      </c>
      <c r="T36" s="259">
        <f t="shared" si="21"/>
        <v>0</v>
      </c>
    </row>
    <row r="37" spans="1:20" ht="15" hidden="1" customHeight="1">
      <c r="A37" s="1075"/>
      <c r="B37" s="1075"/>
      <c r="C37" s="1075"/>
      <c r="D37" s="256"/>
      <c r="E37" s="257"/>
      <c r="F37" s="257"/>
      <c r="G37" s="257"/>
      <c r="H37" s="75">
        <f t="shared" si="7"/>
        <v>0</v>
      </c>
      <c r="I37" s="75"/>
      <c r="J37" s="75"/>
      <c r="K37" s="257"/>
      <c r="L37" s="75">
        <f t="shared" si="2"/>
        <v>0</v>
      </c>
      <c r="M37" s="75"/>
      <c r="N37" s="77"/>
      <c r="O37" s="75">
        <f t="shared" si="13"/>
        <v>0</v>
      </c>
      <c r="P37" s="75">
        <f t="shared" si="3"/>
        <v>0</v>
      </c>
      <c r="Q37" s="75">
        <f t="shared" si="4"/>
        <v>0</v>
      </c>
      <c r="R37" s="75">
        <f t="shared" si="5"/>
        <v>0</v>
      </c>
      <c r="S37" s="259">
        <f t="shared" si="10"/>
        <v>0</v>
      </c>
      <c r="T37" s="259">
        <f t="shared" si="6"/>
        <v>0</v>
      </c>
    </row>
    <row r="38" spans="1:20" ht="15" customHeight="1">
      <c r="A38" s="1075"/>
      <c r="B38" s="1075" t="s">
        <v>194</v>
      </c>
      <c r="C38" s="1075"/>
      <c r="D38" s="1075"/>
      <c r="E38" s="75">
        <f>SUM(E30:E37)</f>
        <v>4007564</v>
      </c>
      <c r="F38" s="75">
        <f t="shared" ref="F38:R38" si="22">SUM(F30:F37)</f>
        <v>4007564</v>
      </c>
      <c r="G38" s="75">
        <f t="shared" si="22"/>
        <v>0</v>
      </c>
      <c r="H38" s="75">
        <f t="shared" si="22"/>
        <v>4007564</v>
      </c>
      <c r="I38" s="75">
        <f t="shared" si="22"/>
        <v>0</v>
      </c>
      <c r="J38" s="75">
        <f t="shared" si="22"/>
        <v>0</v>
      </c>
      <c r="K38" s="75">
        <f t="shared" si="22"/>
        <v>4007564</v>
      </c>
      <c r="L38" s="75">
        <f t="shared" si="22"/>
        <v>4007564</v>
      </c>
      <c r="M38" s="75">
        <f t="shared" si="22"/>
        <v>0</v>
      </c>
      <c r="N38" s="75">
        <f t="shared" si="22"/>
        <v>0</v>
      </c>
      <c r="O38" s="75">
        <f t="shared" si="22"/>
        <v>0</v>
      </c>
      <c r="P38" s="75">
        <f t="shared" si="22"/>
        <v>4007564</v>
      </c>
      <c r="Q38" s="75">
        <f t="shared" si="22"/>
        <v>0</v>
      </c>
      <c r="R38" s="75">
        <f t="shared" si="22"/>
        <v>4007564</v>
      </c>
      <c r="S38" s="259">
        <f t="shared" si="10"/>
        <v>0</v>
      </c>
      <c r="T38" s="259">
        <f t="shared" si="6"/>
        <v>0</v>
      </c>
    </row>
    <row r="39" spans="1:20" ht="15" hidden="1" customHeight="1">
      <c r="A39" s="1075" t="s">
        <v>287</v>
      </c>
      <c r="B39" s="1075" t="s">
        <v>183</v>
      </c>
      <c r="C39" s="1075" t="s">
        <v>202</v>
      </c>
      <c r="D39" s="256" t="s">
        <v>492</v>
      </c>
      <c r="E39" s="257">
        <v>0</v>
      </c>
      <c r="F39" s="257"/>
      <c r="G39" s="257"/>
      <c r="H39" s="77">
        <f t="shared" si="7"/>
        <v>0</v>
      </c>
      <c r="I39" s="77"/>
      <c r="J39" s="77"/>
      <c r="K39" s="257"/>
      <c r="L39" s="77">
        <f t="shared" si="2"/>
        <v>0</v>
      </c>
      <c r="M39" s="77"/>
      <c r="N39" s="77"/>
      <c r="O39" s="77">
        <f t="shared" si="13"/>
        <v>0</v>
      </c>
      <c r="P39" s="77">
        <f t="shared" si="3"/>
        <v>0</v>
      </c>
      <c r="Q39" s="77">
        <f t="shared" si="4"/>
        <v>0</v>
      </c>
      <c r="R39" s="77">
        <f t="shared" si="5"/>
        <v>0</v>
      </c>
      <c r="S39" s="259">
        <f t="shared" si="10"/>
        <v>0</v>
      </c>
      <c r="T39" s="259">
        <f t="shared" si="6"/>
        <v>0</v>
      </c>
    </row>
    <row r="40" spans="1:20" s="100" customFormat="1" ht="15" customHeight="1">
      <c r="A40" s="1075"/>
      <c r="B40" s="1075"/>
      <c r="C40" s="1075"/>
      <c r="D40" s="256" t="s">
        <v>548</v>
      </c>
      <c r="E40" s="257">
        <v>8460015</v>
      </c>
      <c r="F40" s="257"/>
      <c r="G40" s="257">
        <v>8460015</v>
      </c>
      <c r="H40" s="77">
        <f t="shared" si="7"/>
        <v>8460015</v>
      </c>
      <c r="I40" s="77"/>
      <c r="J40" s="77"/>
      <c r="K40" s="257">
        <v>8460015</v>
      </c>
      <c r="L40" s="77">
        <f t="shared" si="2"/>
        <v>8460015</v>
      </c>
      <c r="M40" s="77"/>
      <c r="N40" s="77"/>
      <c r="O40" s="77">
        <f t="shared" si="13"/>
        <v>0</v>
      </c>
      <c r="P40" s="77">
        <f t="shared" si="3"/>
        <v>0</v>
      </c>
      <c r="Q40" s="77">
        <f t="shared" si="4"/>
        <v>8460015</v>
      </c>
      <c r="R40" s="77">
        <f t="shared" si="5"/>
        <v>8460015</v>
      </c>
      <c r="S40" s="260">
        <f t="shared" si="10"/>
        <v>0</v>
      </c>
      <c r="T40" s="260">
        <f t="shared" si="6"/>
        <v>0</v>
      </c>
    </row>
    <row r="41" spans="1:20" s="100" customFormat="1" ht="15" customHeight="1">
      <c r="A41" s="1075"/>
      <c r="B41" s="1075"/>
      <c r="C41" s="1075"/>
      <c r="D41" s="256" t="s">
        <v>547</v>
      </c>
      <c r="E41" s="257">
        <v>80236477</v>
      </c>
      <c r="F41" s="257"/>
      <c r="G41" s="257">
        <v>80236477</v>
      </c>
      <c r="H41" s="77">
        <f t="shared" si="7"/>
        <v>80236477</v>
      </c>
      <c r="I41" s="77"/>
      <c r="J41" s="77"/>
      <c r="K41" s="257">
        <v>80236477</v>
      </c>
      <c r="L41" s="77">
        <f t="shared" si="2"/>
        <v>80236477</v>
      </c>
      <c r="M41" s="77"/>
      <c r="N41" s="77"/>
      <c r="O41" s="77">
        <f t="shared" si="13"/>
        <v>0</v>
      </c>
      <c r="P41" s="77">
        <f t="shared" si="3"/>
        <v>0</v>
      </c>
      <c r="Q41" s="77">
        <f t="shared" si="4"/>
        <v>80236477</v>
      </c>
      <c r="R41" s="77">
        <f t="shared" si="5"/>
        <v>80236477</v>
      </c>
      <c r="S41" s="260">
        <f t="shared" si="10"/>
        <v>0</v>
      </c>
      <c r="T41" s="260">
        <f t="shared" si="6"/>
        <v>0</v>
      </c>
    </row>
    <row r="42" spans="1:20" s="100" customFormat="1" ht="15" customHeight="1">
      <c r="A42" s="1075"/>
      <c r="B42" s="1075"/>
      <c r="C42" s="1075"/>
      <c r="D42" s="256" t="s">
        <v>546</v>
      </c>
      <c r="E42" s="257">
        <v>177635024</v>
      </c>
      <c r="F42" s="257"/>
      <c r="G42" s="257">
        <v>177635024</v>
      </c>
      <c r="H42" s="77">
        <f t="shared" ref="H42" si="23">SUM(F42:G42)</f>
        <v>177635024</v>
      </c>
      <c r="I42" s="77"/>
      <c r="J42" s="77"/>
      <c r="K42" s="257">
        <v>177635024</v>
      </c>
      <c r="L42" s="77">
        <f t="shared" ref="L42" si="24">SUM(I42:K42)</f>
        <v>177635024</v>
      </c>
      <c r="M42" s="77"/>
      <c r="N42" s="77"/>
      <c r="O42" s="77">
        <f t="shared" ref="O42" si="25">SUM(M42:N42)</f>
        <v>0</v>
      </c>
      <c r="P42" s="77">
        <f t="shared" ref="P42" si="26">F42+M42</f>
        <v>0</v>
      </c>
      <c r="Q42" s="77">
        <f t="shared" ref="Q42" si="27">G42+N42</f>
        <v>177635024</v>
      </c>
      <c r="R42" s="77">
        <f t="shared" ref="R42" si="28">SUM(P42:Q42)</f>
        <v>177635024</v>
      </c>
      <c r="S42" s="260">
        <f t="shared" ref="S42" si="29">H42-L42</f>
        <v>0</v>
      </c>
      <c r="T42" s="260">
        <f t="shared" si="6"/>
        <v>0</v>
      </c>
    </row>
    <row r="43" spans="1:20" s="100" customFormat="1" ht="15" hidden="1" customHeight="1">
      <c r="A43" s="1075"/>
      <c r="B43" s="1075"/>
      <c r="C43" s="1075"/>
      <c r="D43" s="256" t="s">
        <v>526</v>
      </c>
      <c r="E43" s="257"/>
      <c r="F43" s="257"/>
      <c r="G43" s="257"/>
      <c r="H43" s="77">
        <f t="shared" si="7"/>
        <v>0</v>
      </c>
      <c r="I43" s="77"/>
      <c r="J43" s="77"/>
      <c r="K43" s="257"/>
      <c r="L43" s="77">
        <f t="shared" si="2"/>
        <v>0</v>
      </c>
      <c r="M43" s="77"/>
      <c r="N43" s="77"/>
      <c r="O43" s="77">
        <f t="shared" si="13"/>
        <v>0</v>
      </c>
      <c r="P43" s="77">
        <f t="shared" si="3"/>
        <v>0</v>
      </c>
      <c r="Q43" s="77">
        <f t="shared" si="4"/>
        <v>0</v>
      </c>
      <c r="R43" s="77">
        <f t="shared" si="5"/>
        <v>0</v>
      </c>
      <c r="S43" s="260">
        <f t="shared" si="10"/>
        <v>0</v>
      </c>
      <c r="T43" s="260">
        <f t="shared" si="6"/>
        <v>0</v>
      </c>
    </row>
    <row r="44" spans="1:20" ht="15" customHeight="1">
      <c r="A44" s="1075"/>
      <c r="B44" s="1075"/>
      <c r="C44" s="1075"/>
      <c r="D44" s="256" t="s">
        <v>534</v>
      </c>
      <c r="E44" s="257">
        <v>63828</v>
      </c>
      <c r="F44" s="257">
        <v>63828</v>
      </c>
      <c r="G44" s="257"/>
      <c r="H44" s="77">
        <f t="shared" si="7"/>
        <v>63828</v>
      </c>
      <c r="I44" s="77"/>
      <c r="J44" s="77"/>
      <c r="K44" s="257">
        <v>63828</v>
      </c>
      <c r="L44" s="77">
        <f t="shared" si="2"/>
        <v>63828</v>
      </c>
      <c r="M44" s="77"/>
      <c r="N44" s="77"/>
      <c r="O44" s="77">
        <f t="shared" si="13"/>
        <v>0</v>
      </c>
      <c r="P44" s="77">
        <f t="shared" si="3"/>
        <v>63828</v>
      </c>
      <c r="Q44" s="77">
        <f t="shared" si="4"/>
        <v>0</v>
      </c>
      <c r="R44" s="77">
        <f t="shared" si="5"/>
        <v>63828</v>
      </c>
      <c r="S44" s="259">
        <f t="shared" si="10"/>
        <v>0</v>
      </c>
      <c r="T44" s="259">
        <f t="shared" si="6"/>
        <v>0</v>
      </c>
    </row>
    <row r="45" spans="1:20" ht="15" customHeight="1">
      <c r="A45" s="1075"/>
      <c r="B45" s="1075"/>
      <c r="C45" s="1075"/>
      <c r="D45" s="256" t="s">
        <v>549</v>
      </c>
      <c r="E45" s="257">
        <v>13415000</v>
      </c>
      <c r="F45" s="257"/>
      <c r="G45" s="257">
        <v>13415000</v>
      </c>
      <c r="H45" s="77">
        <f>SUM(F45:G45)</f>
        <v>13415000</v>
      </c>
      <c r="I45" s="77"/>
      <c r="J45" s="77"/>
      <c r="K45" s="257">
        <v>13415000</v>
      </c>
      <c r="L45" s="77">
        <f t="shared" ref="L45:L52" si="30">SUM(I45:K45)</f>
        <v>13415000</v>
      </c>
      <c r="M45" s="77"/>
      <c r="N45" s="77"/>
      <c r="O45" s="77">
        <f t="shared" ref="O45:O52" si="31">SUM(M45:N45)</f>
        <v>0</v>
      </c>
      <c r="P45" s="77">
        <f t="shared" ref="P45:Q52" si="32">F45+M45</f>
        <v>0</v>
      </c>
      <c r="Q45" s="77">
        <f t="shared" si="32"/>
        <v>13415000</v>
      </c>
      <c r="R45" s="77">
        <f t="shared" ref="R45:R52" si="33">SUM(P45:Q45)</f>
        <v>13415000</v>
      </c>
      <c r="S45" s="259">
        <f t="shared" ref="S45:S106" si="34">H45-L45</f>
        <v>0</v>
      </c>
      <c r="T45" s="259">
        <f t="shared" ref="T45:T106" si="35">E45-R45</f>
        <v>0</v>
      </c>
    </row>
    <row r="46" spans="1:20" ht="15" hidden="1" customHeight="1">
      <c r="A46" s="1075"/>
      <c r="B46" s="1075"/>
      <c r="C46" s="1075"/>
      <c r="D46" s="86"/>
      <c r="E46" s="76"/>
      <c r="F46" s="76"/>
      <c r="G46" s="76"/>
      <c r="H46" s="76">
        <f t="shared" ref="H46:H52" si="36">SUM(F46:G46)</f>
        <v>0</v>
      </c>
      <c r="I46" s="76"/>
      <c r="J46" s="76"/>
      <c r="K46" s="76"/>
      <c r="L46" s="76">
        <f t="shared" si="30"/>
        <v>0</v>
      </c>
      <c r="M46" s="76"/>
      <c r="N46" s="76"/>
      <c r="O46" s="76">
        <f t="shared" si="31"/>
        <v>0</v>
      </c>
      <c r="P46" s="76">
        <f t="shared" si="32"/>
        <v>0</v>
      </c>
      <c r="Q46" s="76">
        <f t="shared" si="32"/>
        <v>0</v>
      </c>
      <c r="R46" s="76">
        <f t="shared" si="33"/>
        <v>0</v>
      </c>
      <c r="S46" s="259">
        <f t="shared" si="34"/>
        <v>0</v>
      </c>
      <c r="T46" s="259">
        <f t="shared" si="35"/>
        <v>0</v>
      </c>
    </row>
    <row r="47" spans="1:20" ht="15" hidden="1" customHeight="1">
      <c r="A47" s="1075"/>
      <c r="B47" s="1075"/>
      <c r="C47" s="1075"/>
      <c r="D47" s="86"/>
      <c r="E47" s="77"/>
      <c r="F47" s="75"/>
      <c r="G47" s="76"/>
      <c r="H47" s="76">
        <f t="shared" si="36"/>
        <v>0</v>
      </c>
      <c r="I47" s="76"/>
      <c r="J47" s="76"/>
      <c r="K47" s="75"/>
      <c r="L47" s="76">
        <f t="shared" si="30"/>
        <v>0</v>
      </c>
      <c r="M47" s="76"/>
      <c r="N47" s="76"/>
      <c r="O47" s="76">
        <f t="shared" si="31"/>
        <v>0</v>
      </c>
      <c r="P47" s="76">
        <f t="shared" si="32"/>
        <v>0</v>
      </c>
      <c r="Q47" s="76">
        <f t="shared" si="32"/>
        <v>0</v>
      </c>
      <c r="R47" s="76">
        <f t="shared" si="33"/>
        <v>0</v>
      </c>
      <c r="S47" s="259">
        <f t="shared" si="34"/>
        <v>0</v>
      </c>
      <c r="T47" s="259">
        <f t="shared" si="35"/>
        <v>0</v>
      </c>
    </row>
    <row r="48" spans="1:20" ht="15" hidden="1" customHeight="1">
      <c r="A48" s="1075"/>
      <c r="B48" s="1075"/>
      <c r="C48" s="1075"/>
      <c r="D48" s="86"/>
      <c r="E48" s="77"/>
      <c r="F48" s="75"/>
      <c r="G48" s="75"/>
      <c r="H48" s="75">
        <f t="shared" si="36"/>
        <v>0</v>
      </c>
      <c r="I48" s="75"/>
      <c r="J48" s="75"/>
      <c r="K48" s="75"/>
      <c r="L48" s="75">
        <f t="shared" si="30"/>
        <v>0</v>
      </c>
      <c r="M48" s="75"/>
      <c r="N48" s="75"/>
      <c r="O48" s="75">
        <f t="shared" si="31"/>
        <v>0</v>
      </c>
      <c r="P48" s="75">
        <f t="shared" si="32"/>
        <v>0</v>
      </c>
      <c r="Q48" s="75">
        <f t="shared" si="32"/>
        <v>0</v>
      </c>
      <c r="R48" s="75">
        <f t="shared" si="33"/>
        <v>0</v>
      </c>
      <c r="S48" s="259">
        <f t="shared" si="34"/>
        <v>0</v>
      </c>
      <c r="T48" s="259">
        <f t="shared" si="35"/>
        <v>0</v>
      </c>
    </row>
    <row r="49" spans="1:20" ht="15" hidden="1" customHeight="1">
      <c r="A49" s="1075"/>
      <c r="B49" s="1075"/>
      <c r="C49" s="1075"/>
      <c r="D49" s="86"/>
      <c r="E49" s="77"/>
      <c r="F49" s="77"/>
      <c r="G49" s="75"/>
      <c r="H49" s="75">
        <f t="shared" si="36"/>
        <v>0</v>
      </c>
      <c r="I49" s="75"/>
      <c r="J49" s="75"/>
      <c r="K49" s="77"/>
      <c r="L49" s="75">
        <f t="shared" si="30"/>
        <v>0</v>
      </c>
      <c r="M49" s="75"/>
      <c r="N49" s="75"/>
      <c r="O49" s="75">
        <f t="shared" si="31"/>
        <v>0</v>
      </c>
      <c r="P49" s="75">
        <f t="shared" si="32"/>
        <v>0</v>
      </c>
      <c r="Q49" s="75">
        <f t="shared" si="32"/>
        <v>0</v>
      </c>
      <c r="R49" s="75">
        <f t="shared" si="33"/>
        <v>0</v>
      </c>
      <c r="S49" s="259">
        <f t="shared" si="34"/>
        <v>0</v>
      </c>
      <c r="T49" s="259">
        <f t="shared" si="35"/>
        <v>0</v>
      </c>
    </row>
    <row r="50" spans="1:20" ht="15" hidden="1" customHeight="1">
      <c r="A50" s="1075"/>
      <c r="B50" s="1075"/>
      <c r="C50" s="1075"/>
      <c r="D50" s="86"/>
      <c r="E50" s="77"/>
      <c r="F50" s="77"/>
      <c r="G50" s="77"/>
      <c r="H50" s="77">
        <f t="shared" si="36"/>
        <v>0</v>
      </c>
      <c r="I50" s="77"/>
      <c r="J50" s="77"/>
      <c r="K50" s="77"/>
      <c r="L50" s="77">
        <f t="shared" si="30"/>
        <v>0</v>
      </c>
      <c r="M50" s="77"/>
      <c r="N50" s="77"/>
      <c r="O50" s="77">
        <f t="shared" si="31"/>
        <v>0</v>
      </c>
      <c r="P50" s="77">
        <f t="shared" si="32"/>
        <v>0</v>
      </c>
      <c r="Q50" s="77">
        <f t="shared" si="32"/>
        <v>0</v>
      </c>
      <c r="R50" s="77">
        <f t="shared" si="33"/>
        <v>0</v>
      </c>
      <c r="S50" s="259">
        <f t="shared" si="34"/>
        <v>0</v>
      </c>
      <c r="T50" s="259">
        <f t="shared" si="35"/>
        <v>0</v>
      </c>
    </row>
    <row r="51" spans="1:20" ht="15" hidden="1" customHeight="1">
      <c r="A51" s="1075"/>
      <c r="B51" s="1075"/>
      <c r="C51" s="1075"/>
      <c r="D51" s="86"/>
      <c r="E51" s="77"/>
      <c r="F51" s="77"/>
      <c r="G51" s="77"/>
      <c r="H51" s="77">
        <f t="shared" si="36"/>
        <v>0</v>
      </c>
      <c r="I51" s="77"/>
      <c r="J51" s="77"/>
      <c r="K51" s="77"/>
      <c r="L51" s="77">
        <f t="shared" si="30"/>
        <v>0</v>
      </c>
      <c r="M51" s="77"/>
      <c r="N51" s="77"/>
      <c r="O51" s="77">
        <f t="shared" si="31"/>
        <v>0</v>
      </c>
      <c r="P51" s="77">
        <f t="shared" si="32"/>
        <v>0</v>
      </c>
      <c r="Q51" s="77">
        <f t="shared" si="32"/>
        <v>0</v>
      </c>
      <c r="R51" s="77">
        <f t="shared" si="33"/>
        <v>0</v>
      </c>
      <c r="S51" s="259">
        <f t="shared" si="34"/>
        <v>0</v>
      </c>
      <c r="T51" s="259">
        <f t="shared" si="35"/>
        <v>0</v>
      </c>
    </row>
    <row r="52" spans="1:20" ht="15" hidden="1" customHeight="1">
      <c r="A52" s="1075"/>
      <c r="B52" s="1075"/>
      <c r="C52" s="1075"/>
      <c r="D52" s="86"/>
      <c r="E52" s="77"/>
      <c r="F52" s="77"/>
      <c r="G52" s="77"/>
      <c r="H52" s="77">
        <f t="shared" si="36"/>
        <v>0</v>
      </c>
      <c r="I52" s="77"/>
      <c r="J52" s="77"/>
      <c r="K52" s="77"/>
      <c r="L52" s="77">
        <f t="shared" si="30"/>
        <v>0</v>
      </c>
      <c r="M52" s="77"/>
      <c r="N52" s="77"/>
      <c r="O52" s="77">
        <f t="shared" si="31"/>
        <v>0</v>
      </c>
      <c r="P52" s="77">
        <f t="shared" si="32"/>
        <v>0</v>
      </c>
      <c r="Q52" s="77">
        <f t="shared" si="32"/>
        <v>0</v>
      </c>
      <c r="R52" s="77">
        <f t="shared" si="33"/>
        <v>0</v>
      </c>
      <c r="S52" s="259">
        <f t="shared" si="34"/>
        <v>0</v>
      </c>
      <c r="T52" s="259">
        <f t="shared" si="35"/>
        <v>0</v>
      </c>
    </row>
    <row r="53" spans="1:20" ht="15" customHeight="1">
      <c r="A53" s="1075"/>
      <c r="B53" s="1075" t="s">
        <v>194</v>
      </c>
      <c r="C53" s="1075"/>
      <c r="D53" s="1075"/>
      <c r="E53" s="75">
        <f>SUM(E39:E52)</f>
        <v>279810344</v>
      </c>
      <c r="F53" s="261">
        <f t="shared" ref="F53:R53" si="37">SUM(F39:F52)</f>
        <v>63828</v>
      </c>
      <c r="G53" s="75">
        <f t="shared" si="37"/>
        <v>279746516</v>
      </c>
      <c r="H53" s="262">
        <f t="shared" si="37"/>
        <v>279810344</v>
      </c>
      <c r="I53" s="75">
        <f t="shared" si="37"/>
        <v>0</v>
      </c>
      <c r="J53" s="75">
        <f t="shared" si="37"/>
        <v>0</v>
      </c>
      <c r="K53" s="75">
        <f t="shared" si="37"/>
        <v>279810344</v>
      </c>
      <c r="L53" s="75">
        <f t="shared" si="37"/>
        <v>279810344</v>
      </c>
      <c r="M53" s="75">
        <f t="shared" si="37"/>
        <v>0</v>
      </c>
      <c r="N53" s="75">
        <f t="shared" si="37"/>
        <v>0</v>
      </c>
      <c r="O53" s="75">
        <f t="shared" si="37"/>
        <v>0</v>
      </c>
      <c r="P53" s="75">
        <f t="shared" si="37"/>
        <v>63828</v>
      </c>
      <c r="Q53" s="75">
        <f t="shared" si="37"/>
        <v>279746516</v>
      </c>
      <c r="R53" s="75">
        <f t="shared" si="37"/>
        <v>279810344</v>
      </c>
      <c r="S53" s="259">
        <f t="shared" si="34"/>
        <v>0</v>
      </c>
      <c r="T53" s="259">
        <f t="shared" si="35"/>
        <v>0</v>
      </c>
    </row>
    <row r="54" spans="1:20" ht="15" hidden="1" customHeight="1">
      <c r="A54" s="1084" t="s">
        <v>506</v>
      </c>
      <c r="B54" s="1075" t="s">
        <v>183</v>
      </c>
      <c r="C54" s="1082" t="s">
        <v>519</v>
      </c>
      <c r="D54" s="256"/>
      <c r="E54" s="257"/>
      <c r="F54" s="257"/>
      <c r="G54" s="257"/>
      <c r="H54" s="77">
        <f t="shared" ref="H54:H58" si="38">SUM(F54:G54)</f>
        <v>0</v>
      </c>
      <c r="I54" s="77"/>
      <c r="J54" s="257"/>
      <c r="K54" s="257"/>
      <c r="L54" s="77">
        <f t="shared" ref="L54:L58" si="39">SUM(I54:K54)</f>
        <v>0</v>
      </c>
      <c r="M54" s="77"/>
      <c r="N54" s="77"/>
      <c r="O54" s="77">
        <f t="shared" ref="O54:O58" si="40">SUM(M54:N54)</f>
        <v>0</v>
      </c>
      <c r="P54" s="77">
        <f t="shared" ref="P54:P58" si="41">F54+M54</f>
        <v>0</v>
      </c>
      <c r="Q54" s="77">
        <f t="shared" ref="Q54:Q58" si="42">G54+N54</f>
        <v>0</v>
      </c>
      <c r="R54" s="77">
        <f t="shared" ref="R54:R58" si="43">SUM(P54:Q54)</f>
        <v>0</v>
      </c>
      <c r="S54" s="259">
        <f t="shared" si="34"/>
        <v>0</v>
      </c>
      <c r="T54" s="259">
        <f t="shared" si="35"/>
        <v>0</v>
      </c>
    </row>
    <row r="55" spans="1:20" s="100" customFormat="1" ht="15" hidden="1" customHeight="1">
      <c r="A55" s="1085"/>
      <c r="B55" s="1075"/>
      <c r="C55" s="1075"/>
      <c r="D55" s="256"/>
      <c r="E55" s="257"/>
      <c r="F55" s="257"/>
      <c r="G55" s="257"/>
      <c r="H55" s="77">
        <f t="shared" si="38"/>
        <v>0</v>
      </c>
      <c r="I55" s="77"/>
      <c r="J55" s="257"/>
      <c r="K55" s="257"/>
      <c r="L55" s="77">
        <f t="shared" si="39"/>
        <v>0</v>
      </c>
      <c r="M55" s="77"/>
      <c r="N55" s="77"/>
      <c r="O55" s="77">
        <f t="shared" si="40"/>
        <v>0</v>
      </c>
      <c r="P55" s="77">
        <f t="shared" si="41"/>
        <v>0</v>
      </c>
      <c r="Q55" s="77">
        <f t="shared" si="42"/>
        <v>0</v>
      </c>
      <c r="R55" s="77">
        <f t="shared" si="43"/>
        <v>0</v>
      </c>
      <c r="S55" s="260">
        <f t="shared" si="34"/>
        <v>0</v>
      </c>
      <c r="T55" s="260">
        <f t="shared" si="35"/>
        <v>0</v>
      </c>
    </row>
    <row r="56" spans="1:20" s="100" customFormat="1" ht="15" hidden="1" customHeight="1">
      <c r="A56" s="1085"/>
      <c r="B56" s="1075"/>
      <c r="C56" s="1075"/>
      <c r="D56" s="256"/>
      <c r="E56" s="257"/>
      <c r="F56" s="257"/>
      <c r="G56" s="257"/>
      <c r="H56" s="77">
        <f t="shared" si="38"/>
        <v>0</v>
      </c>
      <c r="I56" s="77"/>
      <c r="J56" s="257"/>
      <c r="K56" s="257"/>
      <c r="L56" s="77">
        <f t="shared" si="39"/>
        <v>0</v>
      </c>
      <c r="M56" s="77"/>
      <c r="N56" s="77"/>
      <c r="O56" s="77">
        <f t="shared" si="40"/>
        <v>0</v>
      </c>
      <c r="P56" s="77">
        <f t="shared" si="41"/>
        <v>0</v>
      </c>
      <c r="Q56" s="77">
        <f t="shared" si="42"/>
        <v>0</v>
      </c>
      <c r="R56" s="77">
        <f t="shared" si="43"/>
        <v>0</v>
      </c>
      <c r="S56" s="260">
        <f t="shared" si="34"/>
        <v>0</v>
      </c>
      <c r="T56" s="260">
        <f t="shared" si="35"/>
        <v>0</v>
      </c>
    </row>
    <row r="57" spans="1:20" s="100" customFormat="1" ht="15" hidden="1" customHeight="1">
      <c r="A57" s="1085"/>
      <c r="B57" s="1075"/>
      <c r="C57" s="1075"/>
      <c r="D57" s="256"/>
      <c r="E57" s="257"/>
      <c r="F57" s="257"/>
      <c r="G57" s="257"/>
      <c r="H57" s="77">
        <f t="shared" si="38"/>
        <v>0</v>
      </c>
      <c r="I57" s="77"/>
      <c r="J57" s="257"/>
      <c r="K57" s="257"/>
      <c r="L57" s="77">
        <f t="shared" si="39"/>
        <v>0</v>
      </c>
      <c r="M57" s="77"/>
      <c r="N57" s="77"/>
      <c r="O57" s="77">
        <f t="shared" si="40"/>
        <v>0</v>
      </c>
      <c r="P57" s="77">
        <f t="shared" si="41"/>
        <v>0</v>
      </c>
      <c r="Q57" s="77">
        <f t="shared" si="42"/>
        <v>0</v>
      </c>
      <c r="R57" s="77">
        <f t="shared" si="43"/>
        <v>0</v>
      </c>
      <c r="S57" s="260">
        <f t="shared" si="34"/>
        <v>0</v>
      </c>
      <c r="T57" s="260">
        <f t="shared" si="35"/>
        <v>0</v>
      </c>
    </row>
    <row r="58" spans="1:20" ht="15" hidden="1" customHeight="1">
      <c r="A58" s="1085"/>
      <c r="B58" s="1075"/>
      <c r="C58" s="1075"/>
      <c r="D58" s="256"/>
      <c r="E58" s="257"/>
      <c r="F58" s="257"/>
      <c r="G58" s="257"/>
      <c r="H58" s="77">
        <f t="shared" si="38"/>
        <v>0</v>
      </c>
      <c r="I58" s="77"/>
      <c r="J58" s="257"/>
      <c r="K58" s="257"/>
      <c r="L58" s="77">
        <f t="shared" si="39"/>
        <v>0</v>
      </c>
      <c r="M58" s="77"/>
      <c r="N58" s="77"/>
      <c r="O58" s="77">
        <f t="shared" si="40"/>
        <v>0</v>
      </c>
      <c r="P58" s="77">
        <f t="shared" si="41"/>
        <v>0</v>
      </c>
      <c r="Q58" s="77">
        <f t="shared" si="42"/>
        <v>0</v>
      </c>
      <c r="R58" s="77">
        <f t="shared" si="43"/>
        <v>0</v>
      </c>
      <c r="S58" s="259">
        <f t="shared" si="34"/>
        <v>0</v>
      </c>
      <c r="T58" s="259">
        <f t="shared" si="35"/>
        <v>0</v>
      </c>
    </row>
    <row r="59" spans="1:20" ht="15" hidden="1" customHeight="1">
      <c r="A59" s="1085"/>
      <c r="B59" s="1075" t="s">
        <v>194</v>
      </c>
      <c r="C59" s="1075"/>
      <c r="D59" s="1075"/>
      <c r="E59" s="75">
        <f t="shared" ref="E59:R59" si="44">SUM(E54:E58)</f>
        <v>0</v>
      </c>
      <c r="F59" s="261">
        <f t="shared" si="44"/>
        <v>0</v>
      </c>
      <c r="G59" s="75">
        <f t="shared" si="44"/>
        <v>0</v>
      </c>
      <c r="H59" s="262">
        <f t="shared" si="44"/>
        <v>0</v>
      </c>
      <c r="I59" s="75">
        <f t="shared" si="44"/>
        <v>0</v>
      </c>
      <c r="J59" s="75">
        <f t="shared" si="44"/>
        <v>0</v>
      </c>
      <c r="K59" s="75">
        <f t="shared" si="44"/>
        <v>0</v>
      </c>
      <c r="L59" s="75">
        <f t="shared" si="44"/>
        <v>0</v>
      </c>
      <c r="M59" s="75">
        <f t="shared" si="44"/>
        <v>0</v>
      </c>
      <c r="N59" s="75">
        <f t="shared" si="44"/>
        <v>0</v>
      </c>
      <c r="O59" s="75">
        <f t="shared" si="44"/>
        <v>0</v>
      </c>
      <c r="P59" s="75">
        <f t="shared" si="44"/>
        <v>0</v>
      </c>
      <c r="Q59" s="75">
        <f t="shared" si="44"/>
        <v>0</v>
      </c>
      <c r="R59" s="75">
        <f t="shared" si="44"/>
        <v>0</v>
      </c>
      <c r="S59" s="259">
        <f t="shared" ref="S59:S64" si="45">H59-L59</f>
        <v>0</v>
      </c>
      <c r="T59" s="259">
        <f t="shared" ref="T59:T64" si="46">E59-R59</f>
        <v>0</v>
      </c>
    </row>
    <row r="60" spans="1:20" ht="15" hidden="1" customHeight="1">
      <c r="A60" s="1085"/>
      <c r="B60" s="1075" t="s">
        <v>183</v>
      </c>
      <c r="C60" s="1082" t="s">
        <v>520</v>
      </c>
      <c r="D60" s="256"/>
      <c r="E60" s="257"/>
      <c r="F60" s="257"/>
      <c r="G60" s="257"/>
      <c r="H60" s="77">
        <f t="shared" ref="H60:H64" si="47">SUM(F60:G60)</f>
        <v>0</v>
      </c>
      <c r="I60" s="77"/>
      <c r="J60" s="257"/>
      <c r="K60" s="257"/>
      <c r="L60" s="77">
        <f t="shared" ref="L60:L64" si="48">SUM(I60:K60)</f>
        <v>0</v>
      </c>
      <c r="M60" s="77"/>
      <c r="N60" s="77"/>
      <c r="O60" s="77">
        <f t="shared" ref="O60:O64" si="49">SUM(M60:N60)</f>
        <v>0</v>
      </c>
      <c r="P60" s="77">
        <f t="shared" ref="P60:P64" si="50">F60+M60</f>
        <v>0</v>
      </c>
      <c r="Q60" s="77">
        <f t="shared" ref="Q60:Q64" si="51">G60+N60</f>
        <v>0</v>
      </c>
      <c r="R60" s="77">
        <f t="shared" ref="R60:R64" si="52">SUM(P60:Q60)</f>
        <v>0</v>
      </c>
      <c r="S60" s="259">
        <f t="shared" si="45"/>
        <v>0</v>
      </c>
      <c r="T60" s="259">
        <f t="shared" si="46"/>
        <v>0</v>
      </c>
    </row>
    <row r="61" spans="1:20" s="100" customFormat="1" ht="15" hidden="1" customHeight="1">
      <c r="A61" s="1085"/>
      <c r="B61" s="1075"/>
      <c r="C61" s="1075"/>
      <c r="D61" s="256"/>
      <c r="E61" s="257"/>
      <c r="F61" s="257"/>
      <c r="G61" s="257"/>
      <c r="H61" s="77">
        <f t="shared" si="47"/>
        <v>0</v>
      </c>
      <c r="I61" s="77"/>
      <c r="J61" s="257"/>
      <c r="K61" s="257"/>
      <c r="L61" s="77">
        <f t="shared" si="48"/>
        <v>0</v>
      </c>
      <c r="M61" s="77"/>
      <c r="N61" s="77"/>
      <c r="O61" s="77">
        <f t="shared" si="49"/>
        <v>0</v>
      </c>
      <c r="P61" s="77">
        <f t="shared" si="50"/>
        <v>0</v>
      </c>
      <c r="Q61" s="77">
        <f t="shared" si="51"/>
        <v>0</v>
      </c>
      <c r="R61" s="77">
        <f t="shared" si="52"/>
        <v>0</v>
      </c>
      <c r="S61" s="260">
        <f t="shared" si="45"/>
        <v>0</v>
      </c>
      <c r="T61" s="260">
        <f t="shared" si="46"/>
        <v>0</v>
      </c>
    </row>
    <row r="62" spans="1:20" s="100" customFormat="1" ht="15" hidden="1" customHeight="1">
      <c r="A62" s="1085"/>
      <c r="B62" s="1075"/>
      <c r="C62" s="1075"/>
      <c r="D62" s="256"/>
      <c r="E62" s="257"/>
      <c r="F62" s="257"/>
      <c r="G62" s="257"/>
      <c r="H62" s="77">
        <f t="shared" si="47"/>
        <v>0</v>
      </c>
      <c r="I62" s="77"/>
      <c r="J62" s="257"/>
      <c r="K62" s="257"/>
      <c r="L62" s="77">
        <f t="shared" si="48"/>
        <v>0</v>
      </c>
      <c r="M62" s="77"/>
      <c r="N62" s="77"/>
      <c r="O62" s="77">
        <f t="shared" si="49"/>
        <v>0</v>
      </c>
      <c r="P62" s="77">
        <f t="shared" si="50"/>
        <v>0</v>
      </c>
      <c r="Q62" s="77">
        <f t="shared" si="51"/>
        <v>0</v>
      </c>
      <c r="R62" s="77">
        <f t="shared" si="52"/>
        <v>0</v>
      </c>
      <c r="S62" s="260">
        <f t="shared" si="45"/>
        <v>0</v>
      </c>
      <c r="T62" s="260">
        <f t="shared" si="46"/>
        <v>0</v>
      </c>
    </row>
    <row r="63" spans="1:20" s="100" customFormat="1" ht="15" hidden="1" customHeight="1">
      <c r="A63" s="1085"/>
      <c r="B63" s="1075"/>
      <c r="C63" s="1075"/>
      <c r="D63" s="256"/>
      <c r="E63" s="257"/>
      <c r="F63" s="257"/>
      <c r="G63" s="257"/>
      <c r="H63" s="77">
        <f t="shared" si="47"/>
        <v>0</v>
      </c>
      <c r="I63" s="77"/>
      <c r="J63" s="257"/>
      <c r="K63" s="257"/>
      <c r="L63" s="77">
        <f t="shared" si="48"/>
        <v>0</v>
      </c>
      <c r="M63" s="77"/>
      <c r="N63" s="77"/>
      <c r="O63" s="77">
        <f t="shared" si="49"/>
        <v>0</v>
      </c>
      <c r="P63" s="77">
        <f t="shared" si="50"/>
        <v>0</v>
      </c>
      <c r="Q63" s="77">
        <f t="shared" si="51"/>
        <v>0</v>
      </c>
      <c r="R63" s="77">
        <f t="shared" si="52"/>
        <v>0</v>
      </c>
      <c r="S63" s="260">
        <f t="shared" si="45"/>
        <v>0</v>
      </c>
      <c r="T63" s="260">
        <f t="shared" si="46"/>
        <v>0</v>
      </c>
    </row>
    <row r="64" spans="1:20" ht="15" hidden="1" customHeight="1">
      <c r="A64" s="1085"/>
      <c r="B64" s="1075"/>
      <c r="C64" s="1075"/>
      <c r="D64" s="256"/>
      <c r="E64" s="257"/>
      <c r="F64" s="257"/>
      <c r="G64" s="257"/>
      <c r="H64" s="77">
        <f t="shared" si="47"/>
        <v>0</v>
      </c>
      <c r="I64" s="77"/>
      <c r="J64" s="257"/>
      <c r="K64" s="257"/>
      <c r="L64" s="77">
        <f t="shared" si="48"/>
        <v>0</v>
      </c>
      <c r="M64" s="77"/>
      <c r="N64" s="77"/>
      <c r="O64" s="77">
        <f t="shared" si="49"/>
        <v>0</v>
      </c>
      <c r="P64" s="77">
        <f t="shared" si="50"/>
        <v>0</v>
      </c>
      <c r="Q64" s="77">
        <f t="shared" si="51"/>
        <v>0</v>
      </c>
      <c r="R64" s="77">
        <f t="shared" si="52"/>
        <v>0</v>
      </c>
      <c r="S64" s="259">
        <f t="shared" si="45"/>
        <v>0</v>
      </c>
      <c r="T64" s="259">
        <f t="shared" si="46"/>
        <v>0</v>
      </c>
    </row>
    <row r="65" spans="1:20" ht="15" hidden="1" customHeight="1">
      <c r="A65" s="1085"/>
      <c r="B65" s="1075" t="s">
        <v>194</v>
      </c>
      <c r="C65" s="1075"/>
      <c r="D65" s="1075"/>
      <c r="E65" s="75">
        <f t="shared" ref="E65:R65" si="53">SUM(E60:E64)</f>
        <v>0</v>
      </c>
      <c r="F65" s="261">
        <f t="shared" si="53"/>
        <v>0</v>
      </c>
      <c r="G65" s="75">
        <f t="shared" si="53"/>
        <v>0</v>
      </c>
      <c r="H65" s="262">
        <f t="shared" si="53"/>
        <v>0</v>
      </c>
      <c r="I65" s="75">
        <f t="shared" si="53"/>
        <v>0</v>
      </c>
      <c r="J65" s="75">
        <f t="shared" si="53"/>
        <v>0</v>
      </c>
      <c r="K65" s="75">
        <f t="shared" si="53"/>
        <v>0</v>
      </c>
      <c r="L65" s="75">
        <f t="shared" si="53"/>
        <v>0</v>
      </c>
      <c r="M65" s="75">
        <f t="shared" si="53"/>
        <v>0</v>
      </c>
      <c r="N65" s="75">
        <f t="shared" si="53"/>
        <v>0</v>
      </c>
      <c r="O65" s="75">
        <f t="shared" si="53"/>
        <v>0</v>
      </c>
      <c r="P65" s="75">
        <f t="shared" si="53"/>
        <v>0</v>
      </c>
      <c r="Q65" s="75">
        <f t="shared" si="53"/>
        <v>0</v>
      </c>
      <c r="R65" s="75">
        <f t="shared" si="53"/>
        <v>0</v>
      </c>
      <c r="S65" s="259">
        <f t="shared" ref="S65:S70" si="54">H65-L65</f>
        <v>0</v>
      </c>
      <c r="T65" s="259">
        <f t="shared" ref="T65:T70" si="55">E65-R65</f>
        <v>0</v>
      </c>
    </row>
    <row r="66" spans="1:20" ht="15" hidden="1" customHeight="1">
      <c r="A66" s="1085"/>
      <c r="B66" s="1075" t="s">
        <v>183</v>
      </c>
      <c r="C66" s="1082" t="s">
        <v>521</v>
      </c>
      <c r="D66" s="256"/>
      <c r="E66" s="257"/>
      <c r="F66" s="257"/>
      <c r="G66" s="257"/>
      <c r="H66" s="77">
        <f t="shared" ref="H66:H70" si="56">SUM(F66:G66)</f>
        <v>0</v>
      </c>
      <c r="I66" s="77"/>
      <c r="J66" s="257"/>
      <c r="K66" s="257"/>
      <c r="L66" s="77">
        <f t="shared" ref="L66:L70" si="57">SUM(I66:K66)</f>
        <v>0</v>
      </c>
      <c r="M66" s="77"/>
      <c r="N66" s="77"/>
      <c r="O66" s="77">
        <f t="shared" ref="O66:O70" si="58">SUM(M66:N66)</f>
        <v>0</v>
      </c>
      <c r="P66" s="77">
        <f t="shared" ref="P66:P70" si="59">F66+M66</f>
        <v>0</v>
      </c>
      <c r="Q66" s="77">
        <f t="shared" ref="Q66:Q70" si="60">G66+N66</f>
        <v>0</v>
      </c>
      <c r="R66" s="77">
        <f t="shared" ref="R66:R70" si="61">SUM(P66:Q66)</f>
        <v>0</v>
      </c>
      <c r="S66" s="259">
        <f t="shared" si="54"/>
        <v>0</v>
      </c>
      <c r="T66" s="259">
        <f t="shared" si="55"/>
        <v>0</v>
      </c>
    </row>
    <row r="67" spans="1:20" s="100" customFormat="1" ht="15" hidden="1" customHeight="1">
      <c r="A67" s="1085"/>
      <c r="B67" s="1075"/>
      <c r="C67" s="1075"/>
      <c r="D67" s="256"/>
      <c r="E67" s="257"/>
      <c r="F67" s="257"/>
      <c r="G67" s="257"/>
      <c r="H67" s="77">
        <f t="shared" si="56"/>
        <v>0</v>
      </c>
      <c r="I67" s="77"/>
      <c r="J67" s="257"/>
      <c r="K67" s="257"/>
      <c r="L67" s="77">
        <f t="shared" si="57"/>
        <v>0</v>
      </c>
      <c r="M67" s="77"/>
      <c r="N67" s="77"/>
      <c r="O67" s="77">
        <f t="shared" si="58"/>
        <v>0</v>
      </c>
      <c r="P67" s="77">
        <f t="shared" si="59"/>
        <v>0</v>
      </c>
      <c r="Q67" s="77">
        <f t="shared" si="60"/>
        <v>0</v>
      </c>
      <c r="R67" s="77">
        <f t="shared" si="61"/>
        <v>0</v>
      </c>
      <c r="S67" s="260">
        <f t="shared" si="54"/>
        <v>0</v>
      </c>
      <c r="T67" s="260">
        <f t="shared" si="55"/>
        <v>0</v>
      </c>
    </row>
    <row r="68" spans="1:20" s="100" customFormat="1" ht="15" hidden="1" customHeight="1">
      <c r="A68" s="1085"/>
      <c r="B68" s="1075"/>
      <c r="C68" s="1075"/>
      <c r="D68" s="256"/>
      <c r="E68" s="257"/>
      <c r="F68" s="257"/>
      <c r="G68" s="257"/>
      <c r="H68" s="77">
        <f t="shared" si="56"/>
        <v>0</v>
      </c>
      <c r="I68" s="77"/>
      <c r="J68" s="257"/>
      <c r="K68" s="257"/>
      <c r="L68" s="77">
        <f t="shared" si="57"/>
        <v>0</v>
      </c>
      <c r="M68" s="77"/>
      <c r="N68" s="77"/>
      <c r="O68" s="77">
        <f t="shared" si="58"/>
        <v>0</v>
      </c>
      <c r="P68" s="77">
        <f t="shared" si="59"/>
        <v>0</v>
      </c>
      <c r="Q68" s="77">
        <f t="shared" si="60"/>
        <v>0</v>
      </c>
      <c r="R68" s="77">
        <f t="shared" si="61"/>
        <v>0</v>
      </c>
      <c r="S68" s="260">
        <f t="shared" si="54"/>
        <v>0</v>
      </c>
      <c r="T68" s="260">
        <f t="shared" si="55"/>
        <v>0</v>
      </c>
    </row>
    <row r="69" spans="1:20" s="100" customFormat="1" ht="15" hidden="1" customHeight="1">
      <c r="A69" s="1085"/>
      <c r="B69" s="1075"/>
      <c r="C69" s="1075"/>
      <c r="D69" s="256"/>
      <c r="E69" s="257"/>
      <c r="F69" s="257"/>
      <c r="G69" s="257"/>
      <c r="H69" s="77">
        <f t="shared" si="56"/>
        <v>0</v>
      </c>
      <c r="I69" s="77"/>
      <c r="J69" s="257"/>
      <c r="K69" s="257"/>
      <c r="L69" s="77">
        <f t="shared" si="57"/>
        <v>0</v>
      </c>
      <c r="M69" s="77"/>
      <c r="N69" s="77"/>
      <c r="O69" s="77">
        <f t="shared" si="58"/>
        <v>0</v>
      </c>
      <c r="P69" s="77">
        <f t="shared" si="59"/>
        <v>0</v>
      </c>
      <c r="Q69" s="77">
        <f t="shared" si="60"/>
        <v>0</v>
      </c>
      <c r="R69" s="77">
        <f t="shared" si="61"/>
        <v>0</v>
      </c>
      <c r="S69" s="260">
        <f t="shared" si="54"/>
        <v>0</v>
      </c>
      <c r="T69" s="260">
        <f t="shared" si="55"/>
        <v>0</v>
      </c>
    </row>
    <row r="70" spans="1:20" ht="15" hidden="1" customHeight="1">
      <c r="A70" s="1085"/>
      <c r="B70" s="1075"/>
      <c r="C70" s="1075"/>
      <c r="D70" s="256"/>
      <c r="E70" s="257"/>
      <c r="F70" s="257"/>
      <c r="G70" s="257"/>
      <c r="H70" s="77">
        <f t="shared" si="56"/>
        <v>0</v>
      </c>
      <c r="I70" s="77"/>
      <c r="J70" s="257"/>
      <c r="K70" s="257"/>
      <c r="L70" s="77">
        <f t="shared" si="57"/>
        <v>0</v>
      </c>
      <c r="M70" s="77"/>
      <c r="N70" s="77"/>
      <c r="O70" s="77">
        <f t="shared" si="58"/>
        <v>0</v>
      </c>
      <c r="P70" s="77">
        <f t="shared" si="59"/>
        <v>0</v>
      </c>
      <c r="Q70" s="77">
        <f t="shared" si="60"/>
        <v>0</v>
      </c>
      <c r="R70" s="77">
        <f t="shared" si="61"/>
        <v>0</v>
      </c>
      <c r="S70" s="259">
        <f t="shared" si="54"/>
        <v>0</v>
      </c>
      <c r="T70" s="259">
        <f t="shared" si="55"/>
        <v>0</v>
      </c>
    </row>
    <row r="71" spans="1:20" ht="15" hidden="1" customHeight="1">
      <c r="A71" s="1086"/>
      <c r="B71" s="1075" t="s">
        <v>194</v>
      </c>
      <c r="C71" s="1075"/>
      <c r="D71" s="1075"/>
      <c r="E71" s="75">
        <f t="shared" ref="E71:R71" si="62">SUM(E66:E70)</f>
        <v>0</v>
      </c>
      <c r="F71" s="261">
        <f t="shared" si="62"/>
        <v>0</v>
      </c>
      <c r="G71" s="75">
        <f t="shared" si="62"/>
        <v>0</v>
      </c>
      <c r="H71" s="262">
        <f t="shared" si="62"/>
        <v>0</v>
      </c>
      <c r="I71" s="75">
        <f t="shared" si="62"/>
        <v>0</v>
      </c>
      <c r="J71" s="75">
        <f t="shared" si="62"/>
        <v>0</v>
      </c>
      <c r="K71" s="75">
        <f t="shared" si="62"/>
        <v>0</v>
      </c>
      <c r="L71" s="75">
        <f t="shared" si="62"/>
        <v>0</v>
      </c>
      <c r="M71" s="75">
        <f t="shared" si="62"/>
        <v>0</v>
      </c>
      <c r="N71" s="75">
        <f t="shared" si="62"/>
        <v>0</v>
      </c>
      <c r="O71" s="75">
        <f t="shared" si="62"/>
        <v>0</v>
      </c>
      <c r="P71" s="75">
        <f t="shared" si="62"/>
        <v>0</v>
      </c>
      <c r="Q71" s="75">
        <f t="shared" si="62"/>
        <v>0</v>
      </c>
      <c r="R71" s="75">
        <f t="shared" si="62"/>
        <v>0</v>
      </c>
      <c r="S71" s="259">
        <f t="shared" ref="S71" si="63">H71-L71</f>
        <v>0</v>
      </c>
      <c r="T71" s="259">
        <f t="shared" ref="T71" si="64">E71-R71</f>
        <v>0</v>
      </c>
    </row>
    <row r="72" spans="1:20" ht="15" customHeight="1">
      <c r="A72" s="1075" t="s">
        <v>203</v>
      </c>
      <c r="B72" s="1075"/>
      <c r="C72" s="1075"/>
      <c r="D72" s="1075"/>
      <c r="E72" s="77">
        <f>E23+E29+E38+E53+E59+E65+E71</f>
        <v>530286509</v>
      </c>
      <c r="F72" s="261">
        <f t="shared" ref="F72:R72" si="65">F23+F29+F38+F53+F59+F65+F71</f>
        <v>15318327</v>
      </c>
      <c r="G72" s="75">
        <f t="shared" si="65"/>
        <v>279746516</v>
      </c>
      <c r="H72" s="262">
        <f t="shared" si="65"/>
        <v>295064843</v>
      </c>
      <c r="I72" s="75">
        <f t="shared" si="65"/>
        <v>0</v>
      </c>
      <c r="J72" s="75">
        <f t="shared" si="65"/>
        <v>951438</v>
      </c>
      <c r="K72" s="75">
        <f t="shared" si="65"/>
        <v>294113405</v>
      </c>
      <c r="L72" s="75">
        <f t="shared" si="65"/>
        <v>295064843</v>
      </c>
      <c r="M72" s="75">
        <f t="shared" si="65"/>
        <v>0</v>
      </c>
      <c r="N72" s="75">
        <f t="shared" si="65"/>
        <v>235221666</v>
      </c>
      <c r="O72" s="75">
        <f t="shared" si="65"/>
        <v>235221666</v>
      </c>
      <c r="P72" s="75">
        <f t="shared" si="65"/>
        <v>15318327</v>
      </c>
      <c r="Q72" s="75">
        <f t="shared" si="65"/>
        <v>514968182</v>
      </c>
      <c r="R72" s="75">
        <f t="shared" si="65"/>
        <v>530286509</v>
      </c>
      <c r="S72" s="259">
        <f t="shared" si="34"/>
        <v>0</v>
      </c>
      <c r="T72" s="259">
        <f>E72-R72</f>
        <v>0</v>
      </c>
    </row>
    <row r="73" spans="1:20" ht="15" customHeight="1">
      <c r="A73" s="1087" t="s">
        <v>205</v>
      </c>
      <c r="B73" s="1075" t="s">
        <v>183</v>
      </c>
      <c r="C73" s="1082" t="s">
        <v>289</v>
      </c>
      <c r="D73" s="82" t="s">
        <v>204</v>
      </c>
      <c r="E73" s="75">
        <f>E76-E75-E74</f>
        <v>11246935</v>
      </c>
      <c r="F73" s="261">
        <f t="shared" ref="F73:R73" si="66">F76-F75-F74</f>
        <v>11246935</v>
      </c>
      <c r="G73" s="75">
        <f t="shared" si="66"/>
        <v>0</v>
      </c>
      <c r="H73" s="262">
        <f t="shared" si="66"/>
        <v>11246935</v>
      </c>
      <c r="I73" s="75">
        <f t="shared" si="66"/>
        <v>0</v>
      </c>
      <c r="J73" s="75">
        <f t="shared" si="66"/>
        <v>951438</v>
      </c>
      <c r="K73" s="75">
        <f t="shared" si="66"/>
        <v>10295497</v>
      </c>
      <c r="L73" s="75">
        <f t="shared" si="66"/>
        <v>11246935</v>
      </c>
      <c r="M73" s="75">
        <f t="shared" si="66"/>
        <v>0</v>
      </c>
      <c r="N73" s="75">
        <f t="shared" si="66"/>
        <v>0</v>
      </c>
      <c r="O73" s="75">
        <f t="shared" si="66"/>
        <v>0</v>
      </c>
      <c r="P73" s="75">
        <f t="shared" si="66"/>
        <v>11246935</v>
      </c>
      <c r="Q73" s="75">
        <f t="shared" si="66"/>
        <v>0</v>
      </c>
      <c r="R73" s="75">
        <f t="shared" si="66"/>
        <v>11246935</v>
      </c>
      <c r="S73" s="259">
        <f t="shared" si="34"/>
        <v>0</v>
      </c>
      <c r="T73" s="259">
        <f>E73-R73</f>
        <v>0</v>
      </c>
    </row>
    <row r="74" spans="1:20" ht="15" hidden="1" customHeight="1">
      <c r="A74" s="1088"/>
      <c r="B74" s="1075"/>
      <c r="C74" s="1075"/>
      <c r="D74" s="82" t="s">
        <v>322</v>
      </c>
      <c r="E74" s="75">
        <v>0</v>
      </c>
      <c r="F74" s="261">
        <v>0</v>
      </c>
      <c r="G74" s="75">
        <f>SUM(G10,G12)</f>
        <v>0</v>
      </c>
      <c r="H74" s="262">
        <v>0</v>
      </c>
      <c r="I74" s="75">
        <f>SUM(I10,I12)</f>
        <v>0</v>
      </c>
      <c r="J74" s="75">
        <v>0</v>
      </c>
      <c r="K74" s="75">
        <f>SUM(K10,K12)</f>
        <v>0</v>
      </c>
      <c r="L74" s="75">
        <v>0</v>
      </c>
      <c r="M74" s="75">
        <f>SUM(M10,M12)</f>
        <v>0</v>
      </c>
      <c r="N74" s="75">
        <f>SUM(N10,N12)</f>
        <v>0</v>
      </c>
      <c r="O74" s="75">
        <f>SUM(O10,O12)</f>
        <v>0</v>
      </c>
      <c r="P74" s="75">
        <v>0</v>
      </c>
      <c r="Q74" s="75">
        <f>SUM(Q10,Q12)</f>
        <v>0</v>
      </c>
      <c r="R74" s="75">
        <v>0</v>
      </c>
      <c r="S74" s="259">
        <f t="shared" si="34"/>
        <v>0</v>
      </c>
      <c r="T74" s="259">
        <f t="shared" si="35"/>
        <v>0</v>
      </c>
    </row>
    <row r="75" spans="1:20" ht="15" hidden="1" customHeight="1">
      <c r="A75" s="1088"/>
      <c r="B75" s="1075"/>
      <c r="C75" s="1075"/>
      <c r="D75" s="82" t="s">
        <v>323</v>
      </c>
      <c r="E75" s="75"/>
      <c r="F75" s="261"/>
      <c r="G75" s="75"/>
      <c r="H75" s="262"/>
      <c r="I75" s="75"/>
      <c r="J75" s="75"/>
      <c r="K75" s="75"/>
      <c r="L75" s="75"/>
      <c r="M75" s="75"/>
      <c r="N75" s="75"/>
      <c r="O75" s="75"/>
      <c r="P75" s="75"/>
      <c r="Q75" s="75"/>
      <c r="R75" s="75"/>
      <c r="S75" s="259">
        <f t="shared" si="34"/>
        <v>0</v>
      </c>
      <c r="T75" s="259">
        <f t="shared" si="35"/>
        <v>0</v>
      </c>
    </row>
    <row r="76" spans="1:20" ht="15" customHeight="1">
      <c r="A76" s="1088"/>
      <c r="B76" s="1075"/>
      <c r="C76" s="1075"/>
      <c r="D76" s="82" t="s">
        <v>174</v>
      </c>
      <c r="E76" s="75">
        <f t="shared" ref="E76:R76" si="67">E16+E26</f>
        <v>11246935</v>
      </c>
      <c r="F76" s="261">
        <f t="shared" si="67"/>
        <v>11246935</v>
      </c>
      <c r="G76" s="75">
        <f t="shared" si="67"/>
        <v>0</v>
      </c>
      <c r="H76" s="262">
        <f t="shared" si="67"/>
        <v>11246935</v>
      </c>
      <c r="I76" s="75">
        <f t="shared" si="67"/>
        <v>0</v>
      </c>
      <c r="J76" s="75">
        <f t="shared" si="67"/>
        <v>951438</v>
      </c>
      <c r="K76" s="75">
        <f t="shared" si="67"/>
        <v>10295497</v>
      </c>
      <c r="L76" s="75">
        <f t="shared" si="67"/>
        <v>11246935</v>
      </c>
      <c r="M76" s="75">
        <f t="shared" si="67"/>
        <v>0</v>
      </c>
      <c r="N76" s="75">
        <f t="shared" si="67"/>
        <v>0</v>
      </c>
      <c r="O76" s="75">
        <f t="shared" si="67"/>
        <v>0</v>
      </c>
      <c r="P76" s="75">
        <f t="shared" si="67"/>
        <v>11246935</v>
      </c>
      <c r="Q76" s="75">
        <f t="shared" si="67"/>
        <v>0</v>
      </c>
      <c r="R76" s="75">
        <f t="shared" si="67"/>
        <v>11246935</v>
      </c>
      <c r="S76" s="259">
        <f t="shared" si="34"/>
        <v>0</v>
      </c>
      <c r="T76" s="259">
        <f t="shared" si="35"/>
        <v>0</v>
      </c>
    </row>
    <row r="77" spans="1:20" ht="15" customHeight="1">
      <c r="A77" s="1088"/>
      <c r="B77" s="1075"/>
      <c r="C77" s="1075" t="s">
        <v>202</v>
      </c>
      <c r="D77" s="82" t="s">
        <v>204</v>
      </c>
      <c r="E77" s="75">
        <f>E80-E79-E78</f>
        <v>279810344</v>
      </c>
      <c r="F77" s="261">
        <f t="shared" ref="F77:R77" si="68">F80-F79-F78</f>
        <v>63828</v>
      </c>
      <c r="G77" s="75">
        <f t="shared" si="68"/>
        <v>279746516</v>
      </c>
      <c r="H77" s="262">
        <f t="shared" si="68"/>
        <v>279810344</v>
      </c>
      <c r="I77" s="75">
        <f t="shared" si="68"/>
        <v>0</v>
      </c>
      <c r="J77" s="75">
        <f t="shared" si="68"/>
        <v>0</v>
      </c>
      <c r="K77" s="75">
        <f t="shared" si="68"/>
        <v>279810344</v>
      </c>
      <c r="L77" s="75">
        <f t="shared" si="68"/>
        <v>279810344</v>
      </c>
      <c r="M77" s="75">
        <f t="shared" si="68"/>
        <v>0</v>
      </c>
      <c r="N77" s="75">
        <f t="shared" si="68"/>
        <v>0</v>
      </c>
      <c r="O77" s="75">
        <f t="shared" si="68"/>
        <v>0</v>
      </c>
      <c r="P77" s="75">
        <f t="shared" si="68"/>
        <v>63828</v>
      </c>
      <c r="Q77" s="75">
        <f t="shared" si="68"/>
        <v>279746516</v>
      </c>
      <c r="R77" s="75">
        <f t="shared" si="68"/>
        <v>279810344</v>
      </c>
      <c r="S77" s="259">
        <f t="shared" si="34"/>
        <v>0</v>
      </c>
      <c r="T77" s="259">
        <f t="shared" si="35"/>
        <v>0</v>
      </c>
    </row>
    <row r="78" spans="1:20" ht="15" hidden="1" customHeight="1">
      <c r="A78" s="1088"/>
      <c r="B78" s="1075"/>
      <c r="C78" s="1075"/>
      <c r="D78" s="82" t="s">
        <v>322</v>
      </c>
      <c r="E78" s="75"/>
      <c r="F78" s="261"/>
      <c r="G78" s="75"/>
      <c r="H78" s="262"/>
      <c r="I78" s="75"/>
      <c r="J78" s="75"/>
      <c r="K78" s="75"/>
      <c r="L78" s="75"/>
      <c r="M78" s="75"/>
      <c r="N78" s="75"/>
      <c r="O78" s="75"/>
      <c r="P78" s="75"/>
      <c r="Q78" s="75"/>
      <c r="R78" s="75"/>
      <c r="S78" s="259">
        <f t="shared" si="34"/>
        <v>0</v>
      </c>
      <c r="T78" s="259">
        <f t="shared" si="35"/>
        <v>0</v>
      </c>
    </row>
    <row r="79" spans="1:20" ht="15" hidden="1" customHeight="1">
      <c r="A79" s="1088"/>
      <c r="B79" s="1075"/>
      <c r="C79" s="1075"/>
      <c r="D79" s="82" t="s">
        <v>323</v>
      </c>
      <c r="E79" s="75"/>
      <c r="F79" s="261"/>
      <c r="G79" s="75"/>
      <c r="H79" s="262"/>
      <c r="I79" s="75"/>
      <c r="J79" s="75"/>
      <c r="K79" s="75"/>
      <c r="L79" s="75"/>
      <c r="M79" s="75"/>
      <c r="N79" s="75"/>
      <c r="O79" s="75"/>
      <c r="P79" s="75"/>
      <c r="Q79" s="75"/>
      <c r="R79" s="75"/>
      <c r="S79" s="259">
        <f t="shared" si="34"/>
        <v>0</v>
      </c>
      <c r="T79" s="259">
        <f t="shared" si="35"/>
        <v>0</v>
      </c>
    </row>
    <row r="80" spans="1:20" ht="15" customHeight="1">
      <c r="A80" s="1088"/>
      <c r="B80" s="1075"/>
      <c r="C80" s="1075"/>
      <c r="D80" s="82" t="s">
        <v>174</v>
      </c>
      <c r="E80" s="75">
        <f t="shared" ref="E80:R80" si="69">E53</f>
        <v>279810344</v>
      </c>
      <c r="F80" s="261">
        <f t="shared" si="69"/>
        <v>63828</v>
      </c>
      <c r="G80" s="75">
        <f t="shared" si="69"/>
        <v>279746516</v>
      </c>
      <c r="H80" s="262">
        <f t="shared" si="69"/>
        <v>279810344</v>
      </c>
      <c r="I80" s="75">
        <f t="shared" si="69"/>
        <v>0</v>
      </c>
      <c r="J80" s="75">
        <f t="shared" si="69"/>
        <v>0</v>
      </c>
      <c r="K80" s="75">
        <f t="shared" si="69"/>
        <v>279810344</v>
      </c>
      <c r="L80" s="75">
        <f t="shared" si="69"/>
        <v>279810344</v>
      </c>
      <c r="M80" s="75">
        <f t="shared" si="69"/>
        <v>0</v>
      </c>
      <c r="N80" s="75">
        <f t="shared" si="69"/>
        <v>0</v>
      </c>
      <c r="O80" s="75">
        <f t="shared" si="69"/>
        <v>0</v>
      </c>
      <c r="P80" s="75">
        <f t="shared" si="69"/>
        <v>63828</v>
      </c>
      <c r="Q80" s="75">
        <f t="shared" si="69"/>
        <v>279746516</v>
      </c>
      <c r="R80" s="75">
        <f t="shared" si="69"/>
        <v>279810344</v>
      </c>
      <c r="S80" s="259">
        <f t="shared" si="34"/>
        <v>0</v>
      </c>
      <c r="T80" s="259">
        <f t="shared" si="35"/>
        <v>0</v>
      </c>
    </row>
    <row r="81" spans="1:20" ht="15" customHeight="1">
      <c r="A81" s="1088"/>
      <c r="B81" s="1075"/>
      <c r="C81" s="1075" t="s">
        <v>200</v>
      </c>
      <c r="D81" s="82" t="s">
        <v>204</v>
      </c>
      <c r="E81" s="75">
        <f t="shared" ref="E81:R81" si="70">E38</f>
        <v>4007564</v>
      </c>
      <c r="F81" s="261">
        <f t="shared" si="70"/>
        <v>4007564</v>
      </c>
      <c r="G81" s="75">
        <f t="shared" si="70"/>
        <v>0</v>
      </c>
      <c r="H81" s="262">
        <f t="shared" si="70"/>
        <v>4007564</v>
      </c>
      <c r="I81" s="75">
        <f t="shared" si="70"/>
        <v>0</v>
      </c>
      <c r="J81" s="75">
        <f t="shared" si="70"/>
        <v>0</v>
      </c>
      <c r="K81" s="75">
        <f t="shared" si="70"/>
        <v>4007564</v>
      </c>
      <c r="L81" s="75">
        <f t="shared" si="70"/>
        <v>4007564</v>
      </c>
      <c r="M81" s="75">
        <f t="shared" si="70"/>
        <v>0</v>
      </c>
      <c r="N81" s="75">
        <f t="shared" si="70"/>
        <v>0</v>
      </c>
      <c r="O81" s="75">
        <f t="shared" si="70"/>
        <v>0</v>
      </c>
      <c r="P81" s="75">
        <f t="shared" si="70"/>
        <v>4007564</v>
      </c>
      <c r="Q81" s="75">
        <f t="shared" si="70"/>
        <v>0</v>
      </c>
      <c r="R81" s="75">
        <f t="shared" si="70"/>
        <v>4007564</v>
      </c>
      <c r="S81" s="259">
        <f t="shared" si="34"/>
        <v>0</v>
      </c>
      <c r="T81" s="259">
        <f t="shared" si="35"/>
        <v>0</v>
      </c>
    </row>
    <row r="82" spans="1:20" ht="15" hidden="1" customHeight="1">
      <c r="A82" s="1088"/>
      <c r="B82" s="1075"/>
      <c r="C82" s="1075"/>
      <c r="D82" s="82"/>
      <c r="E82" s="75"/>
      <c r="F82" s="261"/>
      <c r="G82" s="75"/>
      <c r="H82" s="262"/>
      <c r="I82" s="75"/>
      <c r="J82" s="75"/>
      <c r="K82" s="75"/>
      <c r="L82" s="75"/>
      <c r="M82" s="75"/>
      <c r="N82" s="75"/>
      <c r="O82" s="75"/>
      <c r="P82" s="75"/>
      <c r="Q82" s="75"/>
      <c r="R82" s="75"/>
      <c r="S82" s="259">
        <f t="shared" si="34"/>
        <v>0</v>
      </c>
      <c r="T82" s="259">
        <f t="shared" si="35"/>
        <v>0</v>
      </c>
    </row>
    <row r="83" spans="1:20" ht="15" customHeight="1">
      <c r="A83" s="1088"/>
      <c r="B83" s="1075"/>
      <c r="C83" s="1075"/>
      <c r="D83" s="82" t="s">
        <v>174</v>
      </c>
      <c r="E83" s="75">
        <f>E81+E82</f>
        <v>4007564</v>
      </c>
      <c r="F83" s="261">
        <f t="shared" ref="F83:R83" si="71">F81+F82</f>
        <v>4007564</v>
      </c>
      <c r="G83" s="75">
        <f t="shared" si="71"/>
        <v>0</v>
      </c>
      <c r="H83" s="262">
        <f t="shared" si="71"/>
        <v>4007564</v>
      </c>
      <c r="I83" s="75">
        <f t="shared" si="71"/>
        <v>0</v>
      </c>
      <c r="J83" s="75">
        <f t="shared" si="71"/>
        <v>0</v>
      </c>
      <c r="K83" s="75">
        <f t="shared" si="71"/>
        <v>4007564</v>
      </c>
      <c r="L83" s="75">
        <f t="shared" si="71"/>
        <v>4007564</v>
      </c>
      <c r="M83" s="75">
        <f t="shared" si="71"/>
        <v>0</v>
      </c>
      <c r="N83" s="75">
        <f t="shared" si="71"/>
        <v>0</v>
      </c>
      <c r="O83" s="75">
        <f t="shared" si="71"/>
        <v>0</v>
      </c>
      <c r="P83" s="75">
        <f t="shared" si="71"/>
        <v>4007564</v>
      </c>
      <c r="Q83" s="75">
        <f t="shared" si="71"/>
        <v>0</v>
      </c>
      <c r="R83" s="75">
        <f t="shared" si="71"/>
        <v>4007564</v>
      </c>
      <c r="S83" s="259">
        <f t="shared" si="34"/>
        <v>0</v>
      </c>
      <c r="T83" s="259">
        <f t="shared" si="35"/>
        <v>0</v>
      </c>
    </row>
    <row r="84" spans="1:20" ht="15" hidden="1" customHeight="1">
      <c r="A84" s="1088"/>
      <c r="B84" s="1075"/>
      <c r="C84" s="1082" t="s">
        <v>508</v>
      </c>
      <c r="D84" s="82" t="s">
        <v>204</v>
      </c>
      <c r="E84" s="75">
        <f>E87-E86-E85</f>
        <v>0</v>
      </c>
      <c r="F84" s="261">
        <f t="shared" ref="F84:R84" si="72">F87-F86-F85</f>
        <v>0</v>
      </c>
      <c r="G84" s="75">
        <f t="shared" si="72"/>
        <v>0</v>
      </c>
      <c r="H84" s="262">
        <f t="shared" si="72"/>
        <v>0</v>
      </c>
      <c r="I84" s="75">
        <f t="shared" si="72"/>
        <v>0</v>
      </c>
      <c r="J84" s="75">
        <f t="shared" si="72"/>
        <v>0</v>
      </c>
      <c r="K84" s="75">
        <f t="shared" si="72"/>
        <v>0</v>
      </c>
      <c r="L84" s="75">
        <f t="shared" si="72"/>
        <v>0</v>
      </c>
      <c r="M84" s="75">
        <f t="shared" si="72"/>
        <v>0</v>
      </c>
      <c r="N84" s="75">
        <f t="shared" si="72"/>
        <v>0</v>
      </c>
      <c r="O84" s="75">
        <f t="shared" si="72"/>
        <v>0</v>
      </c>
      <c r="P84" s="75">
        <f t="shared" si="72"/>
        <v>0</v>
      </c>
      <c r="Q84" s="75">
        <f t="shared" si="72"/>
        <v>0</v>
      </c>
      <c r="R84" s="75">
        <f t="shared" si="72"/>
        <v>0</v>
      </c>
      <c r="S84" s="259">
        <f t="shared" ref="S84:S87" si="73">H84-L84</f>
        <v>0</v>
      </c>
      <c r="T84" s="259">
        <f t="shared" ref="T84:T87" si="74">E84-R84</f>
        <v>0</v>
      </c>
    </row>
    <row r="85" spans="1:20" ht="15" hidden="1" customHeight="1">
      <c r="A85" s="1088"/>
      <c r="B85" s="1075"/>
      <c r="C85" s="1075"/>
      <c r="D85" s="82" t="s">
        <v>322</v>
      </c>
      <c r="E85" s="75"/>
      <c r="F85" s="261"/>
      <c r="G85" s="75"/>
      <c r="H85" s="262"/>
      <c r="I85" s="75"/>
      <c r="J85" s="75"/>
      <c r="K85" s="75"/>
      <c r="L85" s="75"/>
      <c r="M85" s="75"/>
      <c r="N85" s="75"/>
      <c r="O85" s="75"/>
      <c r="P85" s="75"/>
      <c r="Q85" s="75"/>
      <c r="R85" s="75"/>
      <c r="S85" s="259">
        <f t="shared" si="73"/>
        <v>0</v>
      </c>
      <c r="T85" s="259">
        <f t="shared" si="74"/>
        <v>0</v>
      </c>
    </row>
    <row r="86" spans="1:20" ht="15" hidden="1" customHeight="1">
      <c r="A86" s="1088"/>
      <c r="B86" s="1075"/>
      <c r="C86" s="1075"/>
      <c r="D86" s="82" t="s">
        <v>323</v>
      </c>
      <c r="E86" s="75"/>
      <c r="F86" s="261"/>
      <c r="G86" s="75"/>
      <c r="H86" s="262"/>
      <c r="I86" s="75"/>
      <c r="J86" s="75"/>
      <c r="K86" s="75"/>
      <c r="L86" s="75"/>
      <c r="M86" s="75"/>
      <c r="N86" s="75"/>
      <c r="O86" s="75"/>
      <c r="P86" s="75"/>
      <c r="Q86" s="75"/>
      <c r="R86" s="75"/>
      <c r="S86" s="259">
        <f t="shared" si="73"/>
        <v>0</v>
      </c>
      <c r="T86" s="259">
        <f t="shared" si="74"/>
        <v>0</v>
      </c>
    </row>
    <row r="87" spans="1:20" ht="15" hidden="1" customHeight="1">
      <c r="A87" s="1088"/>
      <c r="B87" s="1075"/>
      <c r="C87" s="1075"/>
      <c r="D87" s="82" t="s">
        <v>26</v>
      </c>
      <c r="E87" s="75">
        <f>E59</f>
        <v>0</v>
      </c>
      <c r="F87" s="261">
        <f t="shared" ref="F87:R87" si="75">F59</f>
        <v>0</v>
      </c>
      <c r="G87" s="75">
        <f t="shared" si="75"/>
        <v>0</v>
      </c>
      <c r="H87" s="262">
        <f t="shared" si="75"/>
        <v>0</v>
      </c>
      <c r="I87" s="75">
        <f t="shared" si="75"/>
        <v>0</v>
      </c>
      <c r="J87" s="75">
        <f t="shared" si="75"/>
        <v>0</v>
      </c>
      <c r="K87" s="75">
        <f t="shared" si="75"/>
        <v>0</v>
      </c>
      <c r="L87" s="75">
        <f t="shared" si="75"/>
        <v>0</v>
      </c>
      <c r="M87" s="75">
        <f t="shared" si="75"/>
        <v>0</v>
      </c>
      <c r="N87" s="75">
        <f t="shared" si="75"/>
        <v>0</v>
      </c>
      <c r="O87" s="75">
        <f t="shared" si="75"/>
        <v>0</v>
      </c>
      <c r="P87" s="75">
        <f t="shared" si="75"/>
        <v>0</v>
      </c>
      <c r="Q87" s="75">
        <f t="shared" si="75"/>
        <v>0</v>
      </c>
      <c r="R87" s="75">
        <f t="shared" si="75"/>
        <v>0</v>
      </c>
      <c r="S87" s="259">
        <f t="shared" si="73"/>
        <v>0</v>
      </c>
      <c r="T87" s="259">
        <f t="shared" si="74"/>
        <v>0</v>
      </c>
    </row>
    <row r="88" spans="1:20" ht="15" hidden="1" customHeight="1">
      <c r="A88" s="1088"/>
      <c r="B88" s="1075"/>
      <c r="C88" s="1082" t="s">
        <v>509</v>
      </c>
      <c r="D88" s="82" t="s">
        <v>204</v>
      </c>
      <c r="E88" s="75">
        <f>E91-E90-E89</f>
        <v>0</v>
      </c>
      <c r="F88" s="261">
        <f t="shared" ref="F88:R88" si="76">F91-F90-F89</f>
        <v>0</v>
      </c>
      <c r="G88" s="75">
        <f t="shared" si="76"/>
        <v>0</v>
      </c>
      <c r="H88" s="262">
        <f t="shared" si="76"/>
        <v>0</v>
      </c>
      <c r="I88" s="75">
        <f t="shared" si="76"/>
        <v>0</v>
      </c>
      <c r="J88" s="75">
        <f t="shared" si="76"/>
        <v>0</v>
      </c>
      <c r="K88" s="75">
        <f t="shared" si="76"/>
        <v>0</v>
      </c>
      <c r="L88" s="75">
        <f t="shared" si="76"/>
        <v>0</v>
      </c>
      <c r="M88" s="75">
        <f t="shared" si="76"/>
        <v>0</v>
      </c>
      <c r="N88" s="75">
        <f t="shared" si="76"/>
        <v>0</v>
      </c>
      <c r="O88" s="75">
        <f t="shared" si="76"/>
        <v>0</v>
      </c>
      <c r="P88" s="75">
        <f t="shared" si="76"/>
        <v>0</v>
      </c>
      <c r="Q88" s="75">
        <f t="shared" si="76"/>
        <v>0</v>
      </c>
      <c r="R88" s="75">
        <f t="shared" si="76"/>
        <v>0</v>
      </c>
      <c r="S88" s="259">
        <f t="shared" ref="S88:S91" si="77">H88-L88</f>
        <v>0</v>
      </c>
      <c r="T88" s="259">
        <f t="shared" ref="T88:T91" si="78">E88-R88</f>
        <v>0</v>
      </c>
    </row>
    <row r="89" spans="1:20" ht="15" hidden="1" customHeight="1">
      <c r="A89" s="1088"/>
      <c r="B89" s="1075"/>
      <c r="C89" s="1075"/>
      <c r="D89" s="82" t="s">
        <v>322</v>
      </c>
      <c r="E89" s="75"/>
      <c r="F89" s="261"/>
      <c r="G89" s="75"/>
      <c r="H89" s="262"/>
      <c r="I89" s="75"/>
      <c r="J89" s="75"/>
      <c r="K89" s="75"/>
      <c r="L89" s="75"/>
      <c r="M89" s="75"/>
      <c r="N89" s="75"/>
      <c r="O89" s="75"/>
      <c r="P89" s="75"/>
      <c r="Q89" s="75"/>
      <c r="R89" s="75"/>
      <c r="S89" s="259">
        <f t="shared" si="77"/>
        <v>0</v>
      </c>
      <c r="T89" s="259">
        <f t="shared" si="78"/>
        <v>0</v>
      </c>
    </row>
    <row r="90" spans="1:20" ht="15" hidden="1" customHeight="1">
      <c r="A90" s="1088"/>
      <c r="B90" s="1075"/>
      <c r="C90" s="1075"/>
      <c r="D90" s="82" t="s">
        <v>323</v>
      </c>
      <c r="E90" s="75"/>
      <c r="F90" s="261"/>
      <c r="G90" s="75"/>
      <c r="H90" s="262"/>
      <c r="I90" s="75"/>
      <c r="J90" s="75"/>
      <c r="K90" s="75"/>
      <c r="L90" s="75"/>
      <c r="M90" s="75"/>
      <c r="N90" s="75"/>
      <c r="O90" s="75"/>
      <c r="P90" s="75"/>
      <c r="Q90" s="75"/>
      <c r="R90" s="75"/>
      <c r="S90" s="259">
        <f t="shared" si="77"/>
        <v>0</v>
      </c>
      <c r="T90" s="259">
        <f t="shared" si="78"/>
        <v>0</v>
      </c>
    </row>
    <row r="91" spans="1:20" ht="15" hidden="1" customHeight="1">
      <c r="A91" s="1088"/>
      <c r="B91" s="1075"/>
      <c r="C91" s="1075"/>
      <c r="D91" s="82" t="s">
        <v>26</v>
      </c>
      <c r="E91" s="75">
        <f>E65</f>
        <v>0</v>
      </c>
      <c r="F91" s="261">
        <f t="shared" ref="F91:R91" si="79">F65</f>
        <v>0</v>
      </c>
      <c r="G91" s="75">
        <f t="shared" si="79"/>
        <v>0</v>
      </c>
      <c r="H91" s="262">
        <f t="shared" si="79"/>
        <v>0</v>
      </c>
      <c r="I91" s="75">
        <f t="shared" si="79"/>
        <v>0</v>
      </c>
      <c r="J91" s="75">
        <f t="shared" si="79"/>
        <v>0</v>
      </c>
      <c r="K91" s="75">
        <f t="shared" si="79"/>
        <v>0</v>
      </c>
      <c r="L91" s="75">
        <f t="shared" si="79"/>
        <v>0</v>
      </c>
      <c r="M91" s="75">
        <f t="shared" si="79"/>
        <v>0</v>
      </c>
      <c r="N91" s="75">
        <f t="shared" si="79"/>
        <v>0</v>
      </c>
      <c r="O91" s="75">
        <f t="shared" si="79"/>
        <v>0</v>
      </c>
      <c r="P91" s="75">
        <f t="shared" si="79"/>
        <v>0</v>
      </c>
      <c r="Q91" s="75">
        <f t="shared" si="79"/>
        <v>0</v>
      </c>
      <c r="R91" s="75">
        <f t="shared" si="79"/>
        <v>0</v>
      </c>
      <c r="S91" s="259">
        <f t="shared" si="77"/>
        <v>0</v>
      </c>
      <c r="T91" s="259">
        <f t="shared" si="78"/>
        <v>0</v>
      </c>
    </row>
    <row r="92" spans="1:20" ht="15" hidden="1" customHeight="1">
      <c r="A92" s="1088"/>
      <c r="B92" s="1075"/>
      <c r="C92" s="1082" t="s">
        <v>510</v>
      </c>
      <c r="D92" s="82" t="s">
        <v>204</v>
      </c>
      <c r="E92" s="75">
        <f>E95-E94-E93</f>
        <v>0</v>
      </c>
      <c r="F92" s="261">
        <f t="shared" ref="F92:R92" si="80">F95-F94-F93</f>
        <v>0</v>
      </c>
      <c r="G92" s="75">
        <f t="shared" si="80"/>
        <v>0</v>
      </c>
      <c r="H92" s="262">
        <f t="shared" si="80"/>
        <v>0</v>
      </c>
      <c r="I92" s="75">
        <f t="shared" si="80"/>
        <v>0</v>
      </c>
      <c r="J92" s="75">
        <f t="shared" si="80"/>
        <v>0</v>
      </c>
      <c r="K92" s="75">
        <f t="shared" si="80"/>
        <v>0</v>
      </c>
      <c r="L92" s="75">
        <f t="shared" si="80"/>
        <v>0</v>
      </c>
      <c r="M92" s="75">
        <f t="shared" si="80"/>
        <v>0</v>
      </c>
      <c r="N92" s="75">
        <f t="shared" si="80"/>
        <v>0</v>
      </c>
      <c r="O92" s="75">
        <f t="shared" si="80"/>
        <v>0</v>
      </c>
      <c r="P92" s="75">
        <f t="shared" si="80"/>
        <v>0</v>
      </c>
      <c r="Q92" s="75">
        <f t="shared" si="80"/>
        <v>0</v>
      </c>
      <c r="R92" s="75">
        <f t="shared" si="80"/>
        <v>0</v>
      </c>
      <c r="S92" s="259">
        <f t="shared" ref="S92:S95" si="81">H92-L92</f>
        <v>0</v>
      </c>
      <c r="T92" s="259">
        <f t="shared" ref="T92:T95" si="82">E92-R92</f>
        <v>0</v>
      </c>
    </row>
    <row r="93" spans="1:20" ht="15" hidden="1" customHeight="1">
      <c r="A93" s="1088"/>
      <c r="B93" s="1075"/>
      <c r="C93" s="1075"/>
      <c r="D93" s="82" t="s">
        <v>322</v>
      </c>
      <c r="E93" s="75"/>
      <c r="F93" s="261"/>
      <c r="G93" s="75"/>
      <c r="H93" s="262"/>
      <c r="I93" s="75"/>
      <c r="J93" s="75"/>
      <c r="K93" s="75"/>
      <c r="L93" s="75"/>
      <c r="M93" s="75"/>
      <c r="N93" s="75"/>
      <c r="O93" s="75"/>
      <c r="P93" s="75"/>
      <c r="Q93" s="75"/>
      <c r="R93" s="75"/>
      <c r="S93" s="259">
        <f t="shared" si="81"/>
        <v>0</v>
      </c>
      <c r="T93" s="259">
        <f t="shared" si="82"/>
        <v>0</v>
      </c>
    </row>
    <row r="94" spans="1:20" ht="15" hidden="1" customHeight="1">
      <c r="A94" s="1088"/>
      <c r="B94" s="1075"/>
      <c r="C94" s="1075"/>
      <c r="D94" s="82" t="s">
        <v>323</v>
      </c>
      <c r="E94" s="75"/>
      <c r="F94" s="261"/>
      <c r="G94" s="75"/>
      <c r="H94" s="262"/>
      <c r="I94" s="75"/>
      <c r="J94" s="75"/>
      <c r="K94" s="75"/>
      <c r="L94" s="75"/>
      <c r="M94" s="75"/>
      <c r="N94" s="75"/>
      <c r="O94" s="75"/>
      <c r="P94" s="75"/>
      <c r="Q94" s="75"/>
      <c r="R94" s="75"/>
      <c r="S94" s="259">
        <f t="shared" si="81"/>
        <v>0</v>
      </c>
      <c r="T94" s="259">
        <f t="shared" si="82"/>
        <v>0</v>
      </c>
    </row>
    <row r="95" spans="1:20" ht="15" hidden="1" customHeight="1">
      <c r="A95" s="1088"/>
      <c r="B95" s="1075"/>
      <c r="C95" s="1075"/>
      <c r="D95" s="82" t="s">
        <v>26</v>
      </c>
      <c r="E95" s="75">
        <f>E71</f>
        <v>0</v>
      </c>
      <c r="F95" s="261">
        <f t="shared" ref="F95:R95" si="83">F71</f>
        <v>0</v>
      </c>
      <c r="G95" s="75">
        <f t="shared" si="83"/>
        <v>0</v>
      </c>
      <c r="H95" s="262">
        <f t="shared" si="83"/>
        <v>0</v>
      </c>
      <c r="I95" s="75">
        <f t="shared" si="83"/>
        <v>0</v>
      </c>
      <c r="J95" s="75">
        <f t="shared" si="83"/>
        <v>0</v>
      </c>
      <c r="K95" s="75">
        <f t="shared" si="83"/>
        <v>0</v>
      </c>
      <c r="L95" s="75">
        <f t="shared" si="83"/>
        <v>0</v>
      </c>
      <c r="M95" s="75">
        <f t="shared" si="83"/>
        <v>0</v>
      </c>
      <c r="N95" s="75">
        <f t="shared" si="83"/>
        <v>0</v>
      </c>
      <c r="O95" s="75">
        <f t="shared" si="83"/>
        <v>0</v>
      </c>
      <c r="P95" s="75">
        <f t="shared" si="83"/>
        <v>0</v>
      </c>
      <c r="Q95" s="75">
        <f t="shared" si="83"/>
        <v>0</v>
      </c>
      <c r="R95" s="75">
        <f t="shared" si="83"/>
        <v>0</v>
      </c>
      <c r="S95" s="259">
        <f t="shared" si="81"/>
        <v>0</v>
      </c>
      <c r="T95" s="259">
        <f t="shared" si="82"/>
        <v>0</v>
      </c>
    </row>
    <row r="96" spans="1:20" ht="15" customHeight="1">
      <c r="A96" s="1088"/>
      <c r="B96" s="1075"/>
      <c r="C96" s="1075" t="s">
        <v>169</v>
      </c>
      <c r="D96" s="82" t="s">
        <v>204</v>
      </c>
      <c r="E96" s="75">
        <f>E73+E77+E81+E84+E88+E92</f>
        <v>295064843</v>
      </c>
      <c r="F96" s="261">
        <f t="shared" ref="F96:R96" si="84">F73+F77+F81+F84+F88+F92</f>
        <v>15318327</v>
      </c>
      <c r="G96" s="75">
        <f t="shared" si="84"/>
        <v>279746516</v>
      </c>
      <c r="H96" s="262">
        <f t="shared" si="84"/>
        <v>295064843</v>
      </c>
      <c r="I96" s="75">
        <f t="shared" si="84"/>
        <v>0</v>
      </c>
      <c r="J96" s="75">
        <f t="shared" si="84"/>
        <v>951438</v>
      </c>
      <c r="K96" s="75">
        <f t="shared" si="84"/>
        <v>294113405</v>
      </c>
      <c r="L96" s="75">
        <f t="shared" si="84"/>
        <v>295064843</v>
      </c>
      <c r="M96" s="75">
        <f t="shared" si="84"/>
        <v>0</v>
      </c>
      <c r="N96" s="75">
        <f t="shared" si="84"/>
        <v>0</v>
      </c>
      <c r="O96" s="75">
        <f t="shared" si="84"/>
        <v>0</v>
      </c>
      <c r="P96" s="75">
        <f t="shared" si="84"/>
        <v>15318327</v>
      </c>
      <c r="Q96" s="75">
        <f t="shared" si="84"/>
        <v>279746516</v>
      </c>
      <c r="R96" s="75">
        <f t="shared" si="84"/>
        <v>295064843</v>
      </c>
      <c r="S96" s="259">
        <f t="shared" si="34"/>
        <v>0</v>
      </c>
      <c r="T96" s="259">
        <f t="shared" si="35"/>
        <v>0</v>
      </c>
    </row>
    <row r="97" spans="1:20" ht="15" hidden="1" customHeight="1">
      <c r="A97" s="1088"/>
      <c r="B97" s="1075"/>
      <c r="C97" s="1075"/>
      <c r="D97" s="82" t="s">
        <v>322</v>
      </c>
      <c r="E97" s="75">
        <f>E74+E78+E85+E89+E93</f>
        <v>0</v>
      </c>
      <c r="F97" s="261">
        <f t="shared" ref="F97:R97" si="85">F74+F78+F85+F89+F93</f>
        <v>0</v>
      </c>
      <c r="G97" s="75">
        <f t="shared" si="85"/>
        <v>0</v>
      </c>
      <c r="H97" s="262">
        <f t="shared" si="85"/>
        <v>0</v>
      </c>
      <c r="I97" s="75">
        <f t="shared" si="85"/>
        <v>0</v>
      </c>
      <c r="J97" s="75">
        <f t="shared" si="85"/>
        <v>0</v>
      </c>
      <c r="K97" s="75">
        <f t="shared" si="85"/>
        <v>0</v>
      </c>
      <c r="L97" s="75">
        <f t="shared" si="85"/>
        <v>0</v>
      </c>
      <c r="M97" s="75">
        <f t="shared" si="85"/>
        <v>0</v>
      </c>
      <c r="N97" s="75">
        <f t="shared" si="85"/>
        <v>0</v>
      </c>
      <c r="O97" s="75">
        <f t="shared" si="85"/>
        <v>0</v>
      </c>
      <c r="P97" s="75">
        <f t="shared" si="85"/>
        <v>0</v>
      </c>
      <c r="Q97" s="75">
        <f t="shared" si="85"/>
        <v>0</v>
      </c>
      <c r="R97" s="75">
        <f t="shared" si="85"/>
        <v>0</v>
      </c>
      <c r="S97" s="259">
        <f t="shared" si="34"/>
        <v>0</v>
      </c>
      <c r="T97" s="259">
        <f t="shared" si="35"/>
        <v>0</v>
      </c>
    </row>
    <row r="98" spans="1:20" ht="15" hidden="1" customHeight="1">
      <c r="A98" s="1088"/>
      <c r="B98" s="1075"/>
      <c r="C98" s="1075"/>
      <c r="D98" s="82" t="s">
        <v>323</v>
      </c>
      <c r="E98" s="75">
        <f>E75+E79+E86+E90+E94</f>
        <v>0</v>
      </c>
      <c r="F98" s="261">
        <f t="shared" ref="F98:R98" si="86">F75+F79+F86+F90+F94</f>
        <v>0</v>
      </c>
      <c r="G98" s="75">
        <f t="shared" si="86"/>
        <v>0</v>
      </c>
      <c r="H98" s="262">
        <f t="shared" si="86"/>
        <v>0</v>
      </c>
      <c r="I98" s="75">
        <f t="shared" si="86"/>
        <v>0</v>
      </c>
      <c r="J98" s="75">
        <f t="shared" si="86"/>
        <v>0</v>
      </c>
      <c r="K98" s="75">
        <f t="shared" si="86"/>
        <v>0</v>
      </c>
      <c r="L98" s="75">
        <f t="shared" si="86"/>
        <v>0</v>
      </c>
      <c r="M98" s="75">
        <f t="shared" si="86"/>
        <v>0</v>
      </c>
      <c r="N98" s="75">
        <f t="shared" si="86"/>
        <v>0</v>
      </c>
      <c r="O98" s="75">
        <f t="shared" si="86"/>
        <v>0</v>
      </c>
      <c r="P98" s="75">
        <f t="shared" si="86"/>
        <v>0</v>
      </c>
      <c r="Q98" s="75">
        <f t="shared" si="86"/>
        <v>0</v>
      </c>
      <c r="R98" s="75">
        <f t="shared" si="86"/>
        <v>0</v>
      </c>
      <c r="S98" s="259">
        <f t="shared" si="34"/>
        <v>0</v>
      </c>
      <c r="T98" s="259">
        <f t="shared" si="35"/>
        <v>0</v>
      </c>
    </row>
    <row r="99" spans="1:20" ht="15" customHeight="1">
      <c r="A99" s="1088"/>
      <c r="B99" s="1075"/>
      <c r="C99" s="1075"/>
      <c r="D99" s="82" t="s">
        <v>174</v>
      </c>
      <c r="E99" s="75">
        <f>SUM(E96:E98)</f>
        <v>295064843</v>
      </c>
      <c r="F99" s="261">
        <f t="shared" ref="F99:R99" si="87">SUM(F96:F98)</f>
        <v>15318327</v>
      </c>
      <c r="G99" s="75">
        <f t="shared" si="87"/>
        <v>279746516</v>
      </c>
      <c r="H99" s="262">
        <f t="shared" si="87"/>
        <v>295064843</v>
      </c>
      <c r="I99" s="75">
        <f t="shared" si="87"/>
        <v>0</v>
      </c>
      <c r="J99" s="75">
        <f t="shared" si="87"/>
        <v>951438</v>
      </c>
      <c r="K99" s="75">
        <f t="shared" si="87"/>
        <v>294113405</v>
      </c>
      <c r="L99" s="75">
        <f t="shared" si="87"/>
        <v>295064843</v>
      </c>
      <c r="M99" s="75">
        <f t="shared" si="87"/>
        <v>0</v>
      </c>
      <c r="N99" s="75">
        <f t="shared" si="87"/>
        <v>0</v>
      </c>
      <c r="O99" s="75">
        <f t="shared" si="87"/>
        <v>0</v>
      </c>
      <c r="P99" s="75">
        <f t="shared" si="87"/>
        <v>15318327</v>
      </c>
      <c r="Q99" s="75">
        <f t="shared" si="87"/>
        <v>279746516</v>
      </c>
      <c r="R99" s="75">
        <f t="shared" si="87"/>
        <v>295064843</v>
      </c>
      <c r="S99" s="259">
        <f t="shared" si="34"/>
        <v>0</v>
      </c>
      <c r="T99" s="259">
        <f t="shared" si="35"/>
        <v>0</v>
      </c>
    </row>
    <row r="100" spans="1:20" ht="15" customHeight="1">
      <c r="A100" s="1088"/>
      <c r="B100" s="1075" t="s">
        <v>186</v>
      </c>
      <c r="C100" s="1089"/>
      <c r="D100" s="82" t="s">
        <v>204</v>
      </c>
      <c r="E100" s="75">
        <f t="shared" ref="E100:R100" si="88">E22+E28</f>
        <v>235221666</v>
      </c>
      <c r="F100" s="261">
        <f t="shared" si="88"/>
        <v>0</v>
      </c>
      <c r="G100" s="75">
        <f t="shared" si="88"/>
        <v>0</v>
      </c>
      <c r="H100" s="262">
        <f t="shared" si="88"/>
        <v>0</v>
      </c>
      <c r="I100" s="75">
        <f t="shared" si="88"/>
        <v>0</v>
      </c>
      <c r="J100" s="75">
        <f t="shared" si="88"/>
        <v>0</v>
      </c>
      <c r="K100" s="75">
        <f t="shared" si="88"/>
        <v>0</v>
      </c>
      <c r="L100" s="75">
        <f t="shared" si="88"/>
        <v>0</v>
      </c>
      <c r="M100" s="75">
        <f t="shared" si="88"/>
        <v>0</v>
      </c>
      <c r="N100" s="75">
        <f t="shared" si="88"/>
        <v>235221666</v>
      </c>
      <c r="O100" s="75">
        <f t="shared" si="88"/>
        <v>235221666</v>
      </c>
      <c r="P100" s="75">
        <f t="shared" si="88"/>
        <v>0</v>
      </c>
      <c r="Q100" s="75">
        <f t="shared" si="88"/>
        <v>235221666</v>
      </c>
      <c r="R100" s="75">
        <f t="shared" si="88"/>
        <v>235221666</v>
      </c>
      <c r="S100" s="259">
        <f t="shared" si="34"/>
        <v>0</v>
      </c>
      <c r="T100" s="259">
        <f t="shared" si="35"/>
        <v>0</v>
      </c>
    </row>
    <row r="101" spans="1:20" ht="15" customHeight="1">
      <c r="A101" s="1088"/>
      <c r="B101" s="1075"/>
      <c r="C101" s="1089"/>
      <c r="D101" s="82" t="s">
        <v>174</v>
      </c>
      <c r="E101" s="75">
        <f>E100</f>
        <v>235221666</v>
      </c>
      <c r="F101" s="75">
        <f t="shared" ref="F101:R101" si="89">F100</f>
        <v>0</v>
      </c>
      <c r="G101" s="75">
        <f t="shared" si="89"/>
        <v>0</v>
      </c>
      <c r="H101" s="75">
        <f t="shared" si="89"/>
        <v>0</v>
      </c>
      <c r="I101" s="75">
        <f t="shared" si="89"/>
        <v>0</v>
      </c>
      <c r="J101" s="75">
        <f t="shared" si="89"/>
        <v>0</v>
      </c>
      <c r="K101" s="75">
        <f t="shared" si="89"/>
        <v>0</v>
      </c>
      <c r="L101" s="75">
        <f t="shared" si="89"/>
        <v>0</v>
      </c>
      <c r="M101" s="75">
        <f t="shared" si="89"/>
        <v>0</v>
      </c>
      <c r="N101" s="75">
        <f t="shared" si="89"/>
        <v>235221666</v>
      </c>
      <c r="O101" s="75">
        <f t="shared" si="89"/>
        <v>235221666</v>
      </c>
      <c r="P101" s="75">
        <f t="shared" si="89"/>
        <v>0</v>
      </c>
      <c r="Q101" s="75">
        <f t="shared" si="89"/>
        <v>235221666</v>
      </c>
      <c r="R101" s="75">
        <f t="shared" si="89"/>
        <v>235221666</v>
      </c>
      <c r="S101" s="259">
        <f>H101-L101</f>
        <v>0</v>
      </c>
      <c r="T101" s="259">
        <f>E101-R101</f>
        <v>0</v>
      </c>
    </row>
    <row r="102" spans="1:20" ht="15" customHeight="1">
      <c r="A102" s="1088"/>
      <c r="B102" s="1075" t="s">
        <v>169</v>
      </c>
      <c r="C102" s="1075"/>
      <c r="D102" s="82" t="s">
        <v>204</v>
      </c>
      <c r="E102" s="75">
        <f>E96+E101</f>
        <v>530286509</v>
      </c>
      <c r="F102" s="75">
        <f t="shared" ref="F102:R102" si="90">F96+F101</f>
        <v>15318327</v>
      </c>
      <c r="G102" s="75">
        <f t="shared" si="90"/>
        <v>279746516</v>
      </c>
      <c r="H102" s="75">
        <f t="shared" si="90"/>
        <v>295064843</v>
      </c>
      <c r="I102" s="75">
        <f t="shared" si="90"/>
        <v>0</v>
      </c>
      <c r="J102" s="75">
        <f t="shared" si="90"/>
        <v>951438</v>
      </c>
      <c r="K102" s="75">
        <f t="shared" si="90"/>
        <v>294113405</v>
      </c>
      <c r="L102" s="75">
        <f t="shared" si="90"/>
        <v>295064843</v>
      </c>
      <c r="M102" s="75">
        <f t="shared" si="90"/>
        <v>0</v>
      </c>
      <c r="N102" s="75">
        <f t="shared" si="90"/>
        <v>235221666</v>
      </c>
      <c r="O102" s="75">
        <f t="shared" si="90"/>
        <v>235221666</v>
      </c>
      <c r="P102" s="75">
        <f t="shared" si="90"/>
        <v>15318327</v>
      </c>
      <c r="Q102" s="75">
        <f t="shared" si="90"/>
        <v>514968182</v>
      </c>
      <c r="R102" s="75">
        <f t="shared" si="90"/>
        <v>530286509</v>
      </c>
      <c r="S102" s="259">
        <f t="shared" si="34"/>
        <v>0</v>
      </c>
      <c r="T102" s="259">
        <f t="shared" si="35"/>
        <v>0</v>
      </c>
    </row>
    <row r="103" spans="1:20" ht="15" hidden="1" customHeight="1">
      <c r="A103" s="1088"/>
      <c r="B103" s="1075"/>
      <c r="C103" s="1075"/>
      <c r="D103" s="82" t="s">
        <v>322</v>
      </c>
      <c r="E103" s="75">
        <f>E97</f>
        <v>0</v>
      </c>
      <c r="F103" s="75">
        <f t="shared" ref="F103:R103" si="91">F97</f>
        <v>0</v>
      </c>
      <c r="G103" s="75">
        <f t="shared" si="91"/>
        <v>0</v>
      </c>
      <c r="H103" s="75">
        <f t="shared" si="91"/>
        <v>0</v>
      </c>
      <c r="I103" s="75">
        <f t="shared" si="91"/>
        <v>0</v>
      </c>
      <c r="J103" s="75">
        <f t="shared" si="91"/>
        <v>0</v>
      </c>
      <c r="K103" s="75">
        <f t="shared" si="91"/>
        <v>0</v>
      </c>
      <c r="L103" s="75">
        <f t="shared" si="91"/>
        <v>0</v>
      </c>
      <c r="M103" s="75">
        <f t="shared" si="91"/>
        <v>0</v>
      </c>
      <c r="N103" s="75">
        <f t="shared" si="91"/>
        <v>0</v>
      </c>
      <c r="O103" s="75">
        <f t="shared" si="91"/>
        <v>0</v>
      </c>
      <c r="P103" s="75">
        <f t="shared" si="91"/>
        <v>0</v>
      </c>
      <c r="Q103" s="75">
        <f t="shared" si="91"/>
        <v>0</v>
      </c>
      <c r="R103" s="75">
        <f t="shared" si="91"/>
        <v>0</v>
      </c>
      <c r="S103" s="259">
        <f t="shared" si="34"/>
        <v>0</v>
      </c>
      <c r="T103" s="259">
        <f t="shared" si="35"/>
        <v>0</v>
      </c>
    </row>
    <row r="104" spans="1:20" ht="15" hidden="1" customHeight="1">
      <c r="A104" s="1088"/>
      <c r="B104" s="1075"/>
      <c r="C104" s="1075"/>
      <c r="D104" s="82" t="s">
        <v>323</v>
      </c>
      <c r="E104" s="75">
        <f>E98</f>
        <v>0</v>
      </c>
      <c r="F104" s="75">
        <f t="shared" ref="F104:R104" si="92">F98</f>
        <v>0</v>
      </c>
      <c r="G104" s="75">
        <f t="shared" si="92"/>
        <v>0</v>
      </c>
      <c r="H104" s="75">
        <f t="shared" si="92"/>
        <v>0</v>
      </c>
      <c r="I104" s="75">
        <f t="shared" si="92"/>
        <v>0</v>
      </c>
      <c r="J104" s="75">
        <f t="shared" si="92"/>
        <v>0</v>
      </c>
      <c r="K104" s="75">
        <f t="shared" si="92"/>
        <v>0</v>
      </c>
      <c r="L104" s="75">
        <f t="shared" si="92"/>
        <v>0</v>
      </c>
      <c r="M104" s="75">
        <f t="shared" si="92"/>
        <v>0</v>
      </c>
      <c r="N104" s="75">
        <f t="shared" si="92"/>
        <v>0</v>
      </c>
      <c r="O104" s="75">
        <f t="shared" si="92"/>
        <v>0</v>
      </c>
      <c r="P104" s="75">
        <f t="shared" si="92"/>
        <v>0</v>
      </c>
      <c r="Q104" s="75">
        <f t="shared" si="92"/>
        <v>0</v>
      </c>
      <c r="R104" s="75">
        <f t="shared" si="92"/>
        <v>0</v>
      </c>
      <c r="S104" s="259">
        <f t="shared" si="34"/>
        <v>0</v>
      </c>
      <c r="T104" s="259">
        <f t="shared" si="35"/>
        <v>0</v>
      </c>
    </row>
    <row r="105" spans="1:20" ht="15" customHeight="1">
      <c r="A105" s="1088"/>
      <c r="B105" s="1075"/>
      <c r="C105" s="1075"/>
      <c r="D105" s="82" t="s">
        <v>174</v>
      </c>
      <c r="E105" s="75">
        <f>SUM(E102:E104)</f>
        <v>530286509</v>
      </c>
      <c r="F105" s="75">
        <f t="shared" ref="F105:R105" si="93">SUM(F102:F104)</f>
        <v>15318327</v>
      </c>
      <c r="G105" s="75">
        <f t="shared" si="93"/>
        <v>279746516</v>
      </c>
      <c r="H105" s="75">
        <f t="shared" si="93"/>
        <v>295064843</v>
      </c>
      <c r="I105" s="75">
        <f t="shared" si="93"/>
        <v>0</v>
      </c>
      <c r="J105" s="75">
        <f t="shared" si="93"/>
        <v>951438</v>
      </c>
      <c r="K105" s="75">
        <f t="shared" si="93"/>
        <v>294113405</v>
      </c>
      <c r="L105" s="75">
        <f t="shared" si="93"/>
        <v>295064843</v>
      </c>
      <c r="M105" s="75">
        <f t="shared" si="93"/>
        <v>0</v>
      </c>
      <c r="N105" s="75">
        <f t="shared" si="93"/>
        <v>235221666</v>
      </c>
      <c r="O105" s="75">
        <f t="shared" si="93"/>
        <v>235221666</v>
      </c>
      <c r="P105" s="75">
        <f t="shared" si="93"/>
        <v>15318327</v>
      </c>
      <c r="Q105" s="75">
        <f t="shared" si="93"/>
        <v>514968182</v>
      </c>
      <c r="R105" s="75">
        <f t="shared" si="93"/>
        <v>530286509</v>
      </c>
      <c r="S105" s="259">
        <f t="shared" si="34"/>
        <v>0</v>
      </c>
      <c r="T105" s="259">
        <f t="shared" si="35"/>
        <v>0</v>
      </c>
    </row>
    <row r="106" spans="1:20" ht="15" hidden="1" customHeight="1">
      <c r="E106" s="74">
        <f>E72-E105</f>
        <v>0</v>
      </c>
      <c r="F106" s="74">
        <f t="shared" ref="F106:R106" si="94">F72-F105</f>
        <v>0</v>
      </c>
      <c r="G106" s="74">
        <f t="shared" si="94"/>
        <v>0</v>
      </c>
      <c r="H106" s="74">
        <f>H72-H105</f>
        <v>0</v>
      </c>
      <c r="I106" s="74">
        <f t="shared" si="94"/>
        <v>0</v>
      </c>
      <c r="J106" s="74">
        <f t="shared" si="94"/>
        <v>0</v>
      </c>
      <c r="K106" s="74">
        <f t="shared" si="94"/>
        <v>0</v>
      </c>
      <c r="L106" s="74">
        <f t="shared" si="94"/>
        <v>0</v>
      </c>
      <c r="M106" s="74">
        <f t="shared" si="94"/>
        <v>0</v>
      </c>
      <c r="N106" s="74">
        <f t="shared" si="94"/>
        <v>0</v>
      </c>
      <c r="O106" s="74">
        <f t="shared" si="94"/>
        <v>0</v>
      </c>
      <c r="P106" s="74">
        <f t="shared" si="94"/>
        <v>0</v>
      </c>
      <c r="Q106" s="74">
        <f t="shared" si="94"/>
        <v>0</v>
      </c>
      <c r="R106" s="74">
        <f t="shared" si="94"/>
        <v>0</v>
      </c>
      <c r="S106" s="259">
        <f t="shared" si="34"/>
        <v>0</v>
      </c>
      <c r="T106" s="259">
        <f t="shared" si="35"/>
        <v>0</v>
      </c>
    </row>
    <row r="107" spans="1:20" ht="15" customHeight="1">
      <c r="E107" s="74"/>
      <c r="F107" s="74"/>
      <c r="G107" s="74"/>
      <c r="H107" s="74"/>
      <c r="I107" s="74"/>
      <c r="J107" s="74"/>
      <c r="K107" s="74"/>
      <c r="L107" s="74"/>
      <c r="M107" s="74"/>
      <c r="N107" s="74"/>
      <c r="O107" s="74"/>
      <c r="P107" s="74"/>
      <c r="Q107" s="74"/>
      <c r="R107" s="74"/>
      <c r="S107" s="259"/>
      <c r="T107" s="259"/>
    </row>
    <row r="108" spans="1:20" ht="15" customHeight="1">
      <c r="E108" s="74"/>
      <c r="F108" s="74"/>
      <c r="G108" s="74"/>
      <c r="H108" s="74"/>
      <c r="I108" s="74"/>
      <c r="J108" s="74"/>
      <c r="K108" s="74"/>
      <c r="L108" s="74"/>
      <c r="M108" s="74"/>
      <c r="N108" s="74"/>
      <c r="O108" s="74"/>
      <c r="P108" s="74"/>
      <c r="Q108" s="74"/>
      <c r="R108" s="74"/>
      <c r="S108" s="259"/>
      <c r="T108" s="259"/>
    </row>
    <row r="109" spans="1:20" ht="15" customHeight="1">
      <c r="E109" s="74"/>
      <c r="F109" s="74"/>
      <c r="G109" s="74"/>
      <c r="H109" s="74"/>
      <c r="I109" s="74"/>
      <c r="J109" s="74"/>
      <c r="K109" s="74"/>
      <c r="L109" s="74"/>
      <c r="M109" s="74"/>
      <c r="N109" s="74"/>
      <c r="O109" s="74"/>
      <c r="P109" s="74"/>
      <c r="Q109" s="74"/>
      <c r="R109" s="74"/>
    </row>
    <row r="110" spans="1:20" ht="15" customHeight="1">
      <c r="E110" s="74"/>
      <c r="F110" s="74"/>
      <c r="G110" s="74"/>
      <c r="H110" s="74"/>
      <c r="I110" s="74"/>
      <c r="J110" s="74"/>
      <c r="K110" s="74"/>
      <c r="L110" s="74"/>
      <c r="M110" s="74"/>
      <c r="N110" s="74"/>
      <c r="O110" s="74"/>
      <c r="P110" s="74"/>
      <c r="Q110" s="74"/>
      <c r="R110" s="74"/>
    </row>
    <row r="111" spans="1:20" ht="15" customHeight="1">
      <c r="E111" s="74"/>
      <c r="F111" s="74"/>
      <c r="G111" s="74"/>
      <c r="H111" s="74"/>
      <c r="I111" s="74"/>
      <c r="J111" s="74"/>
      <c r="K111" s="74"/>
      <c r="L111" s="74"/>
      <c r="M111" s="74"/>
      <c r="N111" s="74"/>
      <c r="O111" s="74"/>
      <c r="P111" s="74"/>
      <c r="Q111" s="74"/>
      <c r="R111" s="74"/>
    </row>
    <row r="112" spans="1:20" ht="15" customHeight="1">
      <c r="E112" s="74"/>
      <c r="F112" s="74"/>
      <c r="G112" s="74"/>
      <c r="H112" s="74"/>
      <c r="I112" s="74"/>
      <c r="J112" s="74"/>
      <c r="K112" s="74"/>
      <c r="L112" s="74"/>
      <c r="M112" s="74"/>
      <c r="N112" s="74"/>
      <c r="O112" s="74"/>
      <c r="P112" s="74"/>
      <c r="Q112" s="74"/>
      <c r="R112" s="74"/>
    </row>
    <row r="113" spans="4:18" ht="15" customHeight="1">
      <c r="D113" s="73"/>
      <c r="E113" s="74"/>
      <c r="F113" s="74"/>
      <c r="G113" s="74"/>
      <c r="H113" s="74"/>
      <c r="I113" s="74"/>
      <c r="J113" s="74"/>
      <c r="K113" s="74"/>
      <c r="L113" s="74"/>
      <c r="M113" s="74"/>
      <c r="N113" s="74"/>
      <c r="O113" s="74"/>
      <c r="P113" s="74"/>
      <c r="Q113" s="74"/>
      <c r="R113" s="74"/>
    </row>
    <row r="114" spans="4:18" ht="15" customHeight="1">
      <c r="D114" s="73"/>
      <c r="E114" s="74"/>
      <c r="F114" s="74"/>
      <c r="G114" s="74"/>
      <c r="H114" s="74"/>
      <c r="I114" s="74"/>
      <c r="J114" s="74"/>
      <c r="K114" s="74"/>
      <c r="L114" s="74"/>
      <c r="M114" s="74"/>
      <c r="N114" s="74"/>
      <c r="O114" s="74"/>
      <c r="P114" s="74"/>
      <c r="Q114" s="74"/>
      <c r="R114" s="74"/>
    </row>
    <row r="115" spans="4:18" ht="15" customHeight="1">
      <c r="D115" s="73"/>
      <c r="E115" s="74"/>
      <c r="F115" s="74"/>
      <c r="G115" s="74"/>
      <c r="H115" s="74"/>
      <c r="I115" s="74"/>
      <c r="J115" s="74"/>
      <c r="K115" s="74"/>
      <c r="L115" s="74"/>
      <c r="M115" s="74"/>
      <c r="N115" s="74"/>
      <c r="O115" s="74"/>
      <c r="P115" s="74"/>
      <c r="Q115" s="74"/>
      <c r="R115" s="74"/>
    </row>
    <row r="116" spans="4:18" ht="15" customHeight="1">
      <c r="D116" s="73"/>
      <c r="E116" s="74"/>
      <c r="F116" s="74"/>
      <c r="G116" s="74"/>
      <c r="H116" s="74"/>
      <c r="I116" s="74"/>
      <c r="J116" s="74"/>
      <c r="K116" s="74"/>
      <c r="L116" s="74"/>
      <c r="M116" s="74"/>
      <c r="N116" s="74"/>
      <c r="O116" s="74"/>
      <c r="P116" s="74"/>
      <c r="Q116" s="74"/>
      <c r="R116" s="74"/>
    </row>
    <row r="117" spans="4:18" ht="15" customHeight="1">
      <c r="D117" s="73"/>
      <c r="E117" s="74"/>
      <c r="F117" s="74"/>
      <c r="G117" s="74"/>
      <c r="H117" s="74"/>
      <c r="I117" s="74"/>
      <c r="J117" s="74"/>
      <c r="K117" s="74"/>
      <c r="L117" s="74"/>
      <c r="M117" s="74"/>
      <c r="N117" s="74"/>
      <c r="O117" s="74"/>
      <c r="P117" s="74"/>
      <c r="Q117" s="74"/>
      <c r="R117" s="74"/>
    </row>
    <row r="118" spans="4:18" ht="15" customHeight="1">
      <c r="D118" s="73"/>
      <c r="E118" s="74"/>
      <c r="F118" s="74"/>
      <c r="G118" s="74"/>
      <c r="H118" s="74"/>
      <c r="I118" s="74"/>
      <c r="J118" s="74"/>
      <c r="K118" s="74"/>
      <c r="L118" s="74"/>
      <c r="M118" s="74"/>
      <c r="N118" s="74"/>
      <c r="O118" s="74"/>
      <c r="P118" s="74"/>
      <c r="Q118" s="74"/>
      <c r="R118" s="74"/>
    </row>
    <row r="119" spans="4:18" ht="15" customHeight="1">
      <c r="D119" s="73"/>
      <c r="E119" s="74"/>
      <c r="F119" s="74"/>
      <c r="G119" s="74"/>
      <c r="H119" s="74"/>
      <c r="I119" s="74"/>
      <c r="J119" s="74"/>
      <c r="K119" s="74"/>
      <c r="L119" s="74"/>
      <c r="M119" s="74"/>
      <c r="N119" s="74"/>
      <c r="O119" s="74"/>
      <c r="P119" s="74"/>
      <c r="Q119" s="74"/>
      <c r="R119" s="74"/>
    </row>
    <row r="120" spans="4:18" ht="15" customHeight="1">
      <c r="D120" s="73"/>
      <c r="E120" s="74"/>
      <c r="F120" s="74"/>
      <c r="G120" s="74"/>
      <c r="H120" s="74"/>
      <c r="I120" s="74"/>
      <c r="J120" s="74"/>
      <c r="K120" s="74"/>
      <c r="L120" s="74"/>
      <c r="M120" s="74"/>
      <c r="N120" s="74"/>
      <c r="O120" s="74"/>
      <c r="P120" s="74"/>
      <c r="Q120" s="74"/>
      <c r="R120" s="74"/>
    </row>
    <row r="121" spans="4:18" ht="15" customHeight="1">
      <c r="D121" s="73"/>
      <c r="E121" s="74"/>
      <c r="F121" s="74"/>
      <c r="G121" s="74"/>
      <c r="H121" s="74"/>
      <c r="I121" s="74"/>
      <c r="J121" s="74"/>
      <c r="K121" s="74"/>
      <c r="L121" s="74"/>
      <c r="M121" s="74"/>
      <c r="N121" s="74"/>
      <c r="O121" s="74"/>
      <c r="P121" s="74"/>
      <c r="Q121" s="74"/>
      <c r="R121" s="74"/>
    </row>
    <row r="122" spans="4:18" ht="15" customHeight="1">
      <c r="D122" s="73"/>
      <c r="E122" s="74"/>
      <c r="F122" s="74"/>
      <c r="G122" s="74"/>
      <c r="H122" s="74"/>
      <c r="I122" s="74"/>
      <c r="J122" s="74"/>
      <c r="K122" s="74"/>
      <c r="L122" s="74"/>
      <c r="M122" s="74"/>
      <c r="N122" s="74"/>
      <c r="O122" s="74"/>
      <c r="P122" s="74"/>
      <c r="Q122" s="74"/>
      <c r="R122" s="74"/>
    </row>
    <row r="123" spans="4:18" ht="15" customHeight="1">
      <c r="D123" s="73"/>
      <c r="E123" s="74"/>
      <c r="F123" s="74"/>
      <c r="G123" s="74"/>
      <c r="H123" s="74"/>
      <c r="I123" s="74"/>
      <c r="J123" s="74"/>
      <c r="K123" s="74"/>
      <c r="L123" s="74"/>
      <c r="M123" s="74"/>
      <c r="N123" s="74"/>
      <c r="O123" s="74"/>
      <c r="P123" s="74"/>
      <c r="Q123" s="74"/>
      <c r="R123" s="74"/>
    </row>
    <row r="124" spans="4:18" ht="15" customHeight="1">
      <c r="D124" s="73"/>
      <c r="E124" s="74"/>
      <c r="F124" s="74"/>
      <c r="G124" s="74"/>
      <c r="H124" s="74"/>
      <c r="I124" s="74"/>
      <c r="J124" s="74"/>
      <c r="K124" s="74"/>
      <c r="L124" s="74"/>
      <c r="M124" s="74"/>
      <c r="N124" s="74"/>
      <c r="O124" s="74"/>
      <c r="P124" s="74"/>
      <c r="Q124" s="74"/>
      <c r="R124" s="74"/>
    </row>
    <row r="125" spans="4:18" ht="15" customHeight="1">
      <c r="D125" s="73"/>
      <c r="E125" s="74"/>
      <c r="F125" s="74"/>
      <c r="G125" s="74"/>
      <c r="H125" s="74"/>
      <c r="I125" s="74"/>
      <c r="J125" s="74"/>
      <c r="K125" s="74"/>
      <c r="L125" s="74"/>
      <c r="M125" s="74"/>
      <c r="N125" s="74"/>
      <c r="O125" s="74"/>
      <c r="P125" s="74"/>
      <c r="Q125" s="74"/>
      <c r="R125" s="74"/>
    </row>
    <row r="126" spans="4:18" ht="15" customHeight="1">
      <c r="D126" s="73"/>
      <c r="E126" s="74"/>
      <c r="F126" s="74"/>
      <c r="G126" s="74"/>
      <c r="H126" s="74"/>
      <c r="I126" s="74"/>
      <c r="J126" s="74"/>
      <c r="K126" s="74"/>
      <c r="L126" s="74"/>
      <c r="M126" s="74"/>
      <c r="N126" s="74"/>
      <c r="O126" s="74"/>
      <c r="P126" s="74"/>
      <c r="Q126" s="74"/>
      <c r="R126" s="74"/>
    </row>
    <row r="127" spans="4:18" ht="15" customHeight="1">
      <c r="D127" s="73"/>
      <c r="E127" s="74"/>
      <c r="F127" s="74"/>
      <c r="G127" s="74"/>
      <c r="H127" s="74"/>
      <c r="I127" s="74"/>
      <c r="J127" s="74"/>
      <c r="K127" s="74"/>
      <c r="L127" s="74"/>
      <c r="M127" s="74"/>
      <c r="N127" s="74"/>
      <c r="O127" s="74"/>
      <c r="P127" s="74"/>
      <c r="Q127" s="74"/>
      <c r="R127" s="74"/>
    </row>
    <row r="128" spans="4:18" ht="15" customHeight="1">
      <c r="D128" s="73"/>
      <c r="E128" s="74"/>
      <c r="F128" s="74"/>
      <c r="G128" s="74"/>
      <c r="H128" s="74"/>
      <c r="I128" s="74"/>
      <c r="J128" s="74"/>
      <c r="K128" s="74"/>
      <c r="L128" s="74"/>
      <c r="M128" s="74"/>
      <c r="N128" s="74"/>
      <c r="O128" s="74"/>
      <c r="P128" s="74"/>
      <c r="Q128" s="74"/>
      <c r="R128" s="74"/>
    </row>
    <row r="129" spans="4:18" ht="15" customHeight="1">
      <c r="D129" s="73"/>
      <c r="E129" s="74"/>
      <c r="F129" s="74"/>
      <c r="G129" s="74"/>
      <c r="H129" s="74"/>
      <c r="I129" s="74"/>
      <c r="J129" s="74"/>
      <c r="K129" s="74"/>
      <c r="L129" s="74"/>
      <c r="M129" s="74"/>
      <c r="N129" s="74"/>
      <c r="O129" s="74"/>
      <c r="P129" s="74"/>
      <c r="Q129" s="74"/>
      <c r="R129" s="74"/>
    </row>
    <row r="130" spans="4:18" ht="15" customHeight="1">
      <c r="D130" s="73"/>
      <c r="E130" s="74"/>
      <c r="F130" s="74"/>
      <c r="G130" s="74"/>
      <c r="H130" s="74"/>
      <c r="I130" s="74"/>
      <c r="J130" s="74"/>
      <c r="K130" s="74"/>
      <c r="L130" s="74"/>
      <c r="M130" s="74"/>
      <c r="N130" s="74"/>
      <c r="O130" s="74"/>
      <c r="P130" s="74"/>
      <c r="Q130" s="74"/>
      <c r="R130" s="74"/>
    </row>
    <row r="131" spans="4:18" ht="15" customHeight="1">
      <c r="D131" s="73"/>
      <c r="E131" s="74"/>
      <c r="F131" s="74"/>
      <c r="G131" s="74"/>
      <c r="H131" s="74"/>
      <c r="I131" s="74"/>
      <c r="J131" s="74"/>
      <c r="K131" s="74"/>
      <c r="L131" s="74"/>
      <c r="M131" s="74"/>
      <c r="N131" s="74"/>
      <c r="O131" s="74"/>
      <c r="P131" s="74"/>
      <c r="Q131" s="74"/>
      <c r="R131" s="74"/>
    </row>
    <row r="132" spans="4:18" ht="15" customHeight="1">
      <c r="D132" s="73"/>
      <c r="E132" s="74"/>
      <c r="F132" s="74"/>
      <c r="G132" s="74"/>
      <c r="H132" s="74"/>
      <c r="I132" s="74"/>
      <c r="J132" s="74"/>
      <c r="K132" s="74"/>
      <c r="L132" s="74"/>
      <c r="M132" s="74"/>
      <c r="N132" s="74"/>
      <c r="O132" s="74"/>
      <c r="P132" s="74"/>
      <c r="Q132" s="74"/>
      <c r="R132" s="74"/>
    </row>
    <row r="133" spans="4:18" ht="15" customHeight="1">
      <c r="D133" s="73"/>
      <c r="E133" s="74"/>
      <c r="F133" s="74"/>
      <c r="G133" s="74"/>
      <c r="H133" s="74"/>
      <c r="I133" s="74"/>
      <c r="J133" s="74"/>
      <c r="K133" s="74"/>
      <c r="L133" s="74"/>
      <c r="M133" s="74"/>
      <c r="N133" s="74"/>
      <c r="O133" s="74"/>
      <c r="P133" s="74"/>
      <c r="Q133" s="74"/>
      <c r="R133" s="74"/>
    </row>
    <row r="134" spans="4:18" ht="15" customHeight="1">
      <c r="D134" s="73"/>
      <c r="E134" s="74"/>
      <c r="F134" s="74"/>
      <c r="G134" s="74"/>
      <c r="H134" s="74"/>
      <c r="I134" s="74"/>
      <c r="J134" s="74"/>
      <c r="K134" s="74"/>
      <c r="L134" s="74"/>
      <c r="M134" s="74"/>
      <c r="N134" s="74"/>
      <c r="O134" s="74"/>
      <c r="P134" s="74"/>
      <c r="Q134" s="74"/>
      <c r="R134" s="74"/>
    </row>
    <row r="135" spans="4:18" ht="15" customHeight="1">
      <c r="D135" s="73"/>
      <c r="E135" s="74"/>
      <c r="F135" s="74"/>
      <c r="G135" s="74"/>
      <c r="H135" s="74"/>
      <c r="I135" s="74"/>
      <c r="J135" s="74"/>
      <c r="K135" s="74"/>
      <c r="L135" s="74"/>
      <c r="M135" s="74"/>
      <c r="N135" s="74"/>
      <c r="O135" s="74"/>
      <c r="P135" s="74"/>
      <c r="Q135" s="74"/>
      <c r="R135" s="74"/>
    </row>
    <row r="136" spans="4:18" ht="15" customHeight="1">
      <c r="D136" s="73"/>
      <c r="E136" s="74"/>
      <c r="F136" s="74"/>
      <c r="G136" s="74"/>
      <c r="H136" s="74"/>
      <c r="I136" s="74"/>
      <c r="J136" s="74"/>
      <c r="K136" s="74"/>
      <c r="L136" s="74"/>
      <c r="M136" s="74"/>
      <c r="N136" s="74"/>
      <c r="O136" s="74"/>
      <c r="P136" s="74"/>
      <c r="Q136" s="74"/>
      <c r="R136" s="74"/>
    </row>
    <row r="137" spans="4:18" ht="15" customHeight="1">
      <c r="D137" s="73"/>
      <c r="E137" s="74"/>
      <c r="F137" s="74"/>
      <c r="G137" s="74"/>
      <c r="H137" s="74"/>
      <c r="I137" s="74"/>
      <c r="J137" s="74"/>
      <c r="K137" s="74"/>
      <c r="L137" s="74"/>
      <c r="M137" s="74"/>
      <c r="N137" s="74"/>
      <c r="O137" s="74"/>
      <c r="P137" s="74"/>
      <c r="Q137" s="74"/>
      <c r="R137" s="74"/>
    </row>
    <row r="138" spans="4:18" ht="15" customHeight="1">
      <c r="D138" s="73"/>
      <c r="E138" s="74"/>
      <c r="F138" s="74"/>
      <c r="G138" s="74"/>
      <c r="H138" s="74"/>
      <c r="I138" s="74"/>
      <c r="J138" s="74"/>
      <c r="K138" s="74"/>
      <c r="L138" s="74"/>
      <c r="M138" s="74"/>
      <c r="N138" s="74"/>
      <c r="O138" s="74"/>
      <c r="P138" s="74"/>
      <c r="Q138" s="74"/>
      <c r="R138" s="74"/>
    </row>
    <row r="139" spans="4:18" ht="15" customHeight="1">
      <c r="D139" s="73"/>
      <c r="E139" s="74"/>
      <c r="F139" s="74"/>
      <c r="G139" s="74"/>
      <c r="H139" s="74"/>
      <c r="I139" s="74"/>
      <c r="J139" s="74"/>
      <c r="K139" s="74"/>
      <c r="L139" s="74"/>
      <c r="M139" s="74"/>
      <c r="N139" s="74"/>
      <c r="O139" s="74"/>
      <c r="P139" s="74"/>
      <c r="Q139" s="74"/>
      <c r="R139" s="74"/>
    </row>
    <row r="140" spans="4:18" ht="15" customHeight="1">
      <c r="D140" s="73"/>
      <c r="E140" s="74"/>
      <c r="F140" s="74"/>
      <c r="G140" s="74"/>
      <c r="H140" s="74"/>
      <c r="I140" s="74"/>
      <c r="J140" s="74"/>
      <c r="K140" s="74"/>
      <c r="L140" s="74"/>
      <c r="M140" s="74"/>
      <c r="N140" s="74"/>
      <c r="O140" s="74"/>
      <c r="P140" s="74"/>
      <c r="Q140" s="74"/>
      <c r="R140" s="74"/>
    </row>
    <row r="141" spans="4:18" ht="15" customHeight="1">
      <c r="D141" s="73"/>
      <c r="E141" s="74"/>
      <c r="F141" s="74"/>
      <c r="G141" s="74"/>
      <c r="H141" s="74"/>
      <c r="I141" s="74"/>
      <c r="J141" s="74"/>
      <c r="K141" s="74"/>
      <c r="L141" s="74"/>
      <c r="M141" s="74"/>
      <c r="N141" s="74"/>
      <c r="O141" s="74"/>
      <c r="P141" s="74"/>
      <c r="Q141" s="74"/>
      <c r="R141" s="74"/>
    </row>
  </sheetData>
  <autoFilter ref="A5:T106">
    <filterColumn colId="17">
      <filters>
        <filter val="10,295,497"/>
        <filter val="11,246,935"/>
        <filter val="13,415,000"/>
        <filter val="163,052,136"/>
        <filter val="177,635,024"/>
        <filter val="235,221,666"/>
        <filter val="27,021,331"/>
        <filter val="279,810,344"/>
        <filter val="295,064,543"/>
        <filter val="3,161"/>
        <filter val="3,167,277"/>
        <filter val="3,205,201"/>
        <filter val="31,164,274"/>
        <filter val="4,003,456"/>
        <filter val="4,007,264"/>
        <filter val="530,286,209"/>
        <filter val="63,828"/>
        <filter val="647"/>
        <filter val="7,611,447"/>
        <filter val="72,169,530"/>
        <filter val="8,460,015"/>
        <filter val="80,236,477"/>
        <filter val="83,416,465"/>
        <filter val="951,438"/>
      </filters>
    </filterColumn>
  </autoFilter>
  <mergeCells count="61">
    <mergeCell ref="B100:B101"/>
    <mergeCell ref="A73:A105"/>
    <mergeCell ref="B102:C105"/>
    <mergeCell ref="C100:C101"/>
    <mergeCell ref="C73:C76"/>
    <mergeCell ref="C77:C80"/>
    <mergeCell ref="C81:C83"/>
    <mergeCell ref="C96:C99"/>
    <mergeCell ref="C84:C87"/>
    <mergeCell ref="C88:C91"/>
    <mergeCell ref="C92:C95"/>
    <mergeCell ref="B73:B99"/>
    <mergeCell ref="B53:D53"/>
    <mergeCell ref="A72:D72"/>
    <mergeCell ref="A39:A53"/>
    <mergeCell ref="B39:B52"/>
    <mergeCell ref="C39:C52"/>
    <mergeCell ref="B54:B58"/>
    <mergeCell ref="C54:C58"/>
    <mergeCell ref="B59:D59"/>
    <mergeCell ref="B60:B64"/>
    <mergeCell ref="C60:C64"/>
    <mergeCell ref="B65:D65"/>
    <mergeCell ref="B66:B70"/>
    <mergeCell ref="C66:C70"/>
    <mergeCell ref="B71:D71"/>
    <mergeCell ref="A54:A71"/>
    <mergeCell ref="B38:D38"/>
    <mergeCell ref="A30:A38"/>
    <mergeCell ref="B30:B37"/>
    <mergeCell ref="C30:C37"/>
    <mergeCell ref="B24:B26"/>
    <mergeCell ref="C24:C26"/>
    <mergeCell ref="A24:A29"/>
    <mergeCell ref="B27:B28"/>
    <mergeCell ref="B29:D29"/>
    <mergeCell ref="C27:C28"/>
    <mergeCell ref="B6:B16"/>
    <mergeCell ref="C6:C16"/>
    <mergeCell ref="B17:B22"/>
    <mergeCell ref="A6:A23"/>
    <mergeCell ref="B23:D23"/>
    <mergeCell ref="C17:C22"/>
    <mergeCell ref="A2:A4"/>
    <mergeCell ref="C2:C4"/>
    <mergeCell ref="P3:P4"/>
    <mergeCell ref="Q3:Q4"/>
    <mergeCell ref="B2:B4"/>
    <mergeCell ref="E2:E4"/>
    <mergeCell ref="F2:L2"/>
    <mergeCell ref="F3:F4"/>
    <mergeCell ref="G3:G4"/>
    <mergeCell ref="H3:H4"/>
    <mergeCell ref="I3:L3"/>
    <mergeCell ref="D2:D4"/>
    <mergeCell ref="R3:R4"/>
    <mergeCell ref="P2:R2"/>
    <mergeCell ref="M2:O2"/>
    <mergeCell ref="M3:M4"/>
    <mergeCell ref="N3:N4"/>
    <mergeCell ref="O3:O4"/>
  </mergeCells>
  <phoneticPr fontId="2"/>
  <printOptions horizontalCentered="1"/>
  <pageMargins left="0" right="0" top="0.6692913385826772" bottom="0.19685039370078741" header="0.59055118110236227" footer="0.19685039370078741"/>
  <pageSetup paperSize="9" scale="75" orientation="landscape" blackAndWhite="1" r:id="rId1"/>
  <headerFooter alignWithMargins="0">
    <oddHeader>&amp;C&amp;A</oddHeader>
    <oddFooter>&amp;L&amp;8&amp;F &amp;A&amp;R&amp;8&amp;D &amp;T</oddFooter>
  </headerFooter>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66FF33"/>
  </sheetPr>
  <dimension ref="A1:J14"/>
  <sheetViews>
    <sheetView workbookViewId="0">
      <pane xSplit="2" ySplit="5" topLeftCell="C6" activePane="bottomRight" state="frozen"/>
      <selection sqref="A1:XFD1048576"/>
      <selection pane="topRight" sqref="A1:XFD1048576"/>
      <selection pane="bottomLeft" sqref="A1:XFD1048576"/>
      <selection pane="bottomRight" activeCell="C14" sqref="C14"/>
    </sheetView>
  </sheetViews>
  <sheetFormatPr defaultColWidth="9" defaultRowHeight="13.5"/>
  <cols>
    <col min="1" max="1" width="11.625" style="140" customWidth="1"/>
    <col min="2" max="2" width="17.625" style="140" customWidth="1"/>
    <col min="3" max="9" width="12.625" style="140" customWidth="1"/>
    <col min="10" max="16384" width="9" style="140"/>
  </cols>
  <sheetData>
    <row r="1" spans="1:10">
      <c r="A1" s="579" t="str">
        <f>+"令和"&amp;MID(総括表!A2,3,1)&amp;"年度決算　不課税収入区分表(工事負担金・元金償還金分)"</f>
        <v>令和５年度決算　不課税収入区分表(工事負担金・元金償還金分)</v>
      </c>
      <c r="B1" s="579"/>
      <c r="C1" s="579"/>
      <c r="D1" s="579"/>
      <c r="E1" s="579"/>
      <c r="F1" s="579"/>
      <c r="G1" s="579"/>
      <c r="H1" s="579"/>
      <c r="I1" s="579"/>
    </row>
    <row r="2" spans="1:10">
      <c r="A2" s="1"/>
      <c r="B2" s="1"/>
      <c r="C2" s="1"/>
      <c r="D2" s="1"/>
      <c r="E2" s="1"/>
      <c r="F2" s="1"/>
      <c r="G2" s="1"/>
      <c r="H2" s="1"/>
      <c r="I2" s="1"/>
    </row>
    <row r="3" spans="1:10">
      <c r="A3" s="1"/>
      <c r="B3" s="1"/>
      <c r="C3" s="1"/>
      <c r="D3" s="1"/>
      <c r="E3" s="1"/>
      <c r="F3" s="1"/>
      <c r="G3" s="1"/>
      <c r="H3" s="1"/>
      <c r="I3" s="22" t="s">
        <v>98</v>
      </c>
    </row>
    <row r="4" spans="1:10" ht="24.95" customHeight="1">
      <c r="A4" s="1090" t="s">
        <v>15</v>
      </c>
      <c r="B4" s="872"/>
      <c r="C4" s="872" t="s">
        <v>99</v>
      </c>
      <c r="D4" s="872"/>
      <c r="E4" s="891" t="s">
        <v>100</v>
      </c>
      <c r="F4" s="891" t="s">
        <v>101</v>
      </c>
      <c r="G4" s="891" t="s">
        <v>142</v>
      </c>
      <c r="H4" s="852" t="s">
        <v>16</v>
      </c>
      <c r="I4" s="891" t="s">
        <v>50</v>
      </c>
    </row>
    <row r="5" spans="1:10" ht="24.95" customHeight="1">
      <c r="A5" s="1091"/>
      <c r="B5" s="583"/>
      <c r="C5" s="40" t="s">
        <v>96</v>
      </c>
      <c r="D5" s="40" t="s">
        <v>97</v>
      </c>
      <c r="E5" s="853"/>
      <c r="F5" s="1094"/>
      <c r="G5" s="853"/>
      <c r="H5" s="853"/>
      <c r="I5" s="853"/>
    </row>
    <row r="6" spans="1:10" ht="24.95" customHeight="1">
      <c r="A6" s="60" t="s">
        <v>140</v>
      </c>
      <c r="B6" s="61"/>
      <c r="C6" s="57"/>
      <c r="D6" s="57"/>
      <c r="E6" s="58"/>
      <c r="F6" s="59"/>
      <c r="G6" s="269">
        <f>+西風!H48</f>
        <v>163052136</v>
      </c>
      <c r="H6" s="269">
        <f>+西風!K48</f>
        <v>95865398</v>
      </c>
      <c r="I6" s="269">
        <f>+西風!L48</f>
        <v>67186738</v>
      </c>
    </row>
    <row r="7" spans="1:10" ht="24.95" customHeight="1">
      <c r="A7" s="55" t="s">
        <v>102</v>
      </c>
      <c r="B7" s="56"/>
      <c r="C7" s="263">
        <f>C8</f>
        <v>33756370</v>
      </c>
      <c r="D7" s="263">
        <f t="shared" ref="D7:I7" si="0">D8</f>
        <v>36370238</v>
      </c>
      <c r="E7" s="263">
        <f t="shared" si="0"/>
        <v>2819794</v>
      </c>
      <c r="F7" s="263">
        <f t="shared" si="0"/>
        <v>2592096</v>
      </c>
      <c r="G7" s="263">
        <f t="shared" si="0"/>
        <v>31164274</v>
      </c>
      <c r="H7" s="263">
        <f t="shared" si="0"/>
        <v>17621740</v>
      </c>
      <c r="I7" s="263">
        <f t="shared" si="0"/>
        <v>13542534</v>
      </c>
      <c r="J7" s="148">
        <f t="shared" ref="J7:J14" si="1">G7-H7-I7</f>
        <v>0</v>
      </c>
    </row>
    <row r="8" spans="1:10" ht="24.95" customHeight="1">
      <c r="A8" s="25"/>
      <c r="B8" s="85" t="s">
        <v>103</v>
      </c>
      <c r="C8" s="266">
        <f>+海田!C48</f>
        <v>33756370</v>
      </c>
      <c r="D8" s="266">
        <f>+海田!E48</f>
        <v>36370238</v>
      </c>
      <c r="E8" s="266">
        <f>+海田!F48</f>
        <v>2819794</v>
      </c>
      <c r="F8" s="266">
        <f>+海田!G48</f>
        <v>2592096</v>
      </c>
      <c r="G8" s="266">
        <f>+海田!H48</f>
        <v>31164274</v>
      </c>
      <c r="H8" s="266">
        <f>+海田!K48</f>
        <v>17621740</v>
      </c>
      <c r="I8" s="266">
        <f>+海田!L48</f>
        <v>13542534</v>
      </c>
      <c r="J8" s="148">
        <f t="shared" si="1"/>
        <v>0</v>
      </c>
    </row>
    <row r="9" spans="1:10" ht="24.95" customHeight="1">
      <c r="A9" s="150" t="s">
        <v>104</v>
      </c>
      <c r="B9" s="152"/>
      <c r="C9" s="264">
        <f>SUM(C10:C12)</f>
        <v>15405363</v>
      </c>
      <c r="D9" s="264">
        <f t="shared" ref="D9:I9" si="2">SUM(D10:D12)</f>
        <v>17852430</v>
      </c>
      <c r="E9" s="264">
        <f t="shared" si="2"/>
        <v>1679862</v>
      </c>
      <c r="F9" s="264">
        <f t="shared" si="2"/>
        <v>1421438</v>
      </c>
      <c r="G9" s="264">
        <f t="shared" si="2"/>
        <v>13983925</v>
      </c>
      <c r="H9" s="264">
        <f t="shared" si="2"/>
        <v>6307988</v>
      </c>
      <c r="I9" s="264">
        <f t="shared" si="2"/>
        <v>7675937</v>
      </c>
      <c r="J9" s="148">
        <f t="shared" si="1"/>
        <v>0</v>
      </c>
    </row>
    <row r="10" spans="1:10" ht="24.95" customHeight="1">
      <c r="A10" s="150"/>
      <c r="B10" s="149" t="s">
        <v>105</v>
      </c>
      <c r="C10" s="267">
        <f>+府中青崎!C48</f>
        <v>8328317</v>
      </c>
      <c r="D10" s="267">
        <f>+府中青崎!E48</f>
        <v>9176829</v>
      </c>
      <c r="E10" s="267">
        <f>+府中青崎!F48</f>
        <v>800620</v>
      </c>
      <c r="F10" s="267">
        <f>+府中青崎!G48</f>
        <v>716870</v>
      </c>
      <c r="G10" s="267">
        <f>+府中青崎!H48</f>
        <v>7611447</v>
      </c>
      <c r="H10" s="267">
        <f>+府中青崎!K48</f>
        <v>4073632</v>
      </c>
      <c r="I10" s="267">
        <f>+府中青崎!L48</f>
        <v>3537815</v>
      </c>
      <c r="J10" s="148">
        <f t="shared" si="1"/>
        <v>0</v>
      </c>
    </row>
    <row r="11" spans="1:10" ht="24.95" customHeight="1">
      <c r="A11" s="150"/>
      <c r="B11" s="149" t="s">
        <v>106</v>
      </c>
      <c r="C11" s="267">
        <f>+府中大須!C48</f>
        <v>3610379</v>
      </c>
      <c r="D11" s="267">
        <f>+府中大須!E48</f>
        <v>4777679</v>
      </c>
      <c r="E11" s="267">
        <f>+府中大須!F48</f>
        <v>536182</v>
      </c>
      <c r="F11" s="267">
        <f>+府中大須!G48</f>
        <v>405178</v>
      </c>
      <c r="G11" s="267">
        <f>+府中大須!H48</f>
        <v>3205201</v>
      </c>
      <c r="H11" s="267">
        <f>+府中大須!K48</f>
        <v>726081</v>
      </c>
      <c r="I11" s="267">
        <f>+府中大須!L48</f>
        <v>2479120</v>
      </c>
      <c r="J11" s="148">
        <f t="shared" si="1"/>
        <v>0</v>
      </c>
    </row>
    <row r="12" spans="1:10" ht="24.95" customHeight="1">
      <c r="A12" s="25"/>
      <c r="B12" s="42" t="s">
        <v>109</v>
      </c>
      <c r="C12" s="266">
        <f>+'大須（共通）'!C48</f>
        <v>3466667</v>
      </c>
      <c r="D12" s="266">
        <f>+'大須（共通）'!E48</f>
        <v>3897922</v>
      </c>
      <c r="E12" s="266">
        <f>+'大須（共通）'!F48</f>
        <v>343060</v>
      </c>
      <c r="F12" s="266">
        <f>+'大須（共通）'!G48</f>
        <v>299390</v>
      </c>
      <c r="G12" s="266">
        <f>+'大須（共通）'!H48</f>
        <v>3167277</v>
      </c>
      <c r="H12" s="266">
        <f>+'大須（共通）'!K48</f>
        <v>1508275</v>
      </c>
      <c r="I12" s="266">
        <f>+'大須（共通）'!L48</f>
        <v>1659002</v>
      </c>
      <c r="J12" s="148">
        <f t="shared" si="1"/>
        <v>0</v>
      </c>
    </row>
    <row r="13" spans="1:10" ht="24.95" customHeight="1" thickBot="1">
      <c r="A13" s="41" t="s">
        <v>107</v>
      </c>
      <c r="B13" s="39"/>
      <c r="C13" s="268">
        <f>+廿日市!C48</f>
        <v>30103640</v>
      </c>
      <c r="D13" s="268">
        <f>+廿日市!E48</f>
        <v>33354894</v>
      </c>
      <c r="E13" s="268">
        <f>+廿日市!F48</f>
        <v>3428259</v>
      </c>
      <c r="F13" s="268">
        <f>+廿日市!G48</f>
        <v>3082309</v>
      </c>
      <c r="G13" s="268">
        <f>+廿日市!H48</f>
        <v>27021331</v>
      </c>
      <c r="H13" s="268">
        <f>+廿日市!K48</f>
        <v>13433518</v>
      </c>
      <c r="I13" s="268">
        <f>+廿日市!L48</f>
        <v>13587813</v>
      </c>
      <c r="J13" s="148">
        <f t="shared" si="1"/>
        <v>0</v>
      </c>
    </row>
    <row r="14" spans="1:10" ht="24.95" customHeight="1" thickTop="1">
      <c r="A14" s="1092" t="s">
        <v>108</v>
      </c>
      <c r="B14" s="1093"/>
      <c r="C14" s="265">
        <f>C7+C9+C13</f>
        <v>79265373</v>
      </c>
      <c r="D14" s="265">
        <f>D7+D9+D13</f>
        <v>87577562</v>
      </c>
      <c r="E14" s="265">
        <f>E7+E9+E13</f>
        <v>7927915</v>
      </c>
      <c r="F14" s="265">
        <f>F7+F9+F13</f>
        <v>7095843</v>
      </c>
      <c r="G14" s="265">
        <f>G7+G9+G13+G6</f>
        <v>235221666</v>
      </c>
      <c r="H14" s="265">
        <f t="shared" ref="H14:I14" si="3">H7+H9+H13+H6</f>
        <v>133228644</v>
      </c>
      <c r="I14" s="265">
        <f t="shared" si="3"/>
        <v>101993022</v>
      </c>
      <c r="J14" s="148">
        <f t="shared" si="1"/>
        <v>0</v>
      </c>
    </row>
  </sheetData>
  <mergeCells count="9">
    <mergeCell ref="I4:I5"/>
    <mergeCell ref="A4:B5"/>
    <mergeCell ref="A1:I1"/>
    <mergeCell ref="A14:B14"/>
    <mergeCell ref="C4:D4"/>
    <mergeCell ref="E4:E5"/>
    <mergeCell ref="F4:F5"/>
    <mergeCell ref="G4:G5"/>
    <mergeCell ref="H4:H5"/>
  </mergeCells>
  <phoneticPr fontId="2"/>
  <printOptions horizontalCentered="1"/>
  <pageMargins left="0" right="0" top="0.98425196850393704" bottom="0.98425196850393704" header="0.51181102362204722" footer="0.51181102362204722"/>
  <pageSetup paperSize="9" scale="75" orientation="portrait" r:id="rId1"/>
  <headerFooter alignWithMargins="0">
    <oddFooter>&amp;L&amp;6&amp;F　&amp;A&amp;R&amp;6&amp;D　&amp;T</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66FF33"/>
  </sheetPr>
  <dimension ref="A2:R56"/>
  <sheetViews>
    <sheetView zoomScale="90" zoomScaleNormal="90" zoomScaleSheetLayoutView="75" workbookViewId="0">
      <pane xSplit="2" ySplit="5" topLeftCell="H12" activePane="bottomRight" state="frozen"/>
      <selection sqref="A1:XFD1048576"/>
      <selection pane="topRight" sqref="A1:XFD1048576"/>
      <selection pane="bottomLeft" sqref="A1:XFD1048576"/>
      <selection pane="bottomRight" activeCell="H1" sqref="B1:H1048576"/>
    </sheetView>
  </sheetViews>
  <sheetFormatPr defaultRowHeight="13.5"/>
  <cols>
    <col min="1" max="1" width="2.625" customWidth="1"/>
    <col min="2" max="2" width="11.625" bestFit="1" customWidth="1"/>
    <col min="3" max="7" width="11.625" hidden="1" customWidth="1"/>
    <col min="8" max="8" width="13.125" customWidth="1"/>
    <col min="9" max="10" width="13.75" customWidth="1"/>
    <col min="11" max="12" width="13.125" customWidth="1"/>
    <col min="13" max="13" width="3.625" customWidth="1"/>
    <col min="14" max="14" width="3.125" customWidth="1"/>
    <col min="15" max="15" width="3.125" style="87" customWidth="1"/>
    <col min="16" max="16" width="18.75" customWidth="1"/>
    <col min="17" max="17" width="7.625" customWidth="1"/>
    <col min="18" max="18" width="12.625" customWidth="1"/>
  </cols>
  <sheetData>
    <row r="2" spans="1:18">
      <c r="A2" t="str">
        <f>+"令和"&amp;MID(総括表!A2,3,1)&amp;"年度決算　西風新都開発者"</f>
        <v>令和５年度決算　西風新都開発者</v>
      </c>
    </row>
    <row r="3" spans="1:18" ht="14.25" thickBot="1">
      <c r="O3" s="87" t="s">
        <v>332</v>
      </c>
      <c r="P3" t="s">
        <v>333</v>
      </c>
    </row>
    <row r="4" spans="1:18" ht="13.5" customHeight="1">
      <c r="A4" s="1104" t="s">
        <v>48</v>
      </c>
      <c r="B4" s="1104" t="s">
        <v>331</v>
      </c>
      <c r="C4" s="298"/>
      <c r="D4" s="298"/>
      <c r="E4" s="298"/>
      <c r="F4" s="298"/>
      <c r="G4" s="298"/>
      <c r="H4" s="1107" t="s">
        <v>141</v>
      </c>
      <c r="I4" s="1096" t="s">
        <v>65</v>
      </c>
      <c r="J4" s="1096" t="s">
        <v>67</v>
      </c>
      <c r="K4" s="1098" t="s">
        <v>91</v>
      </c>
      <c r="L4" s="1100" t="s">
        <v>17</v>
      </c>
      <c r="M4" s="301"/>
      <c r="N4" s="1102" t="s">
        <v>402</v>
      </c>
      <c r="P4" s="1110" t="s">
        <v>334</v>
      </c>
      <c r="Q4" s="1111"/>
      <c r="R4" s="1114" t="s">
        <v>376</v>
      </c>
    </row>
    <row r="5" spans="1:18" ht="13.5" customHeight="1">
      <c r="A5" s="1105"/>
      <c r="B5" s="1106"/>
      <c r="C5" s="299"/>
      <c r="D5" s="299"/>
      <c r="E5" s="299"/>
      <c r="F5" s="299"/>
      <c r="G5" s="299"/>
      <c r="H5" s="1099"/>
      <c r="I5" s="1097"/>
      <c r="J5" s="1097"/>
      <c r="K5" s="1099"/>
      <c r="L5" s="1101"/>
      <c r="M5" s="302"/>
      <c r="N5" s="1103"/>
      <c r="P5" s="1112"/>
      <c r="Q5" s="1113"/>
      <c r="R5" s="1115"/>
    </row>
    <row r="6" spans="1:18" ht="13.5" customHeight="1">
      <c r="A6" s="417" t="s">
        <v>330</v>
      </c>
      <c r="B6" s="116" t="s">
        <v>455</v>
      </c>
      <c r="C6" s="116"/>
      <c r="D6" s="116"/>
      <c r="E6" s="116"/>
      <c r="F6" s="116"/>
      <c r="G6" s="116"/>
      <c r="H6" s="114"/>
      <c r="I6" s="38"/>
      <c r="J6" s="38"/>
      <c r="K6" s="114">
        <f t="shared" ref="K6:K13" si="0">IFERROR(ROUND(H6*I6/J6,0),0)</f>
        <v>0</v>
      </c>
      <c r="L6" s="114">
        <f t="shared" ref="L6:L13" si="1">H6-K6</f>
        <v>0</v>
      </c>
      <c r="M6" s="303"/>
      <c r="N6" s="305">
        <f>+海田!N6</f>
        <v>0</v>
      </c>
      <c r="P6" s="124" t="s">
        <v>335</v>
      </c>
      <c r="Q6" s="125"/>
      <c r="R6" s="1116"/>
    </row>
    <row r="7" spans="1:18">
      <c r="A7" s="418"/>
      <c r="B7" s="116" t="s">
        <v>456</v>
      </c>
      <c r="C7" s="116"/>
      <c r="D7" s="116"/>
      <c r="E7" s="116"/>
      <c r="F7" s="116"/>
      <c r="G7" s="116"/>
      <c r="H7" s="114"/>
      <c r="I7" s="38"/>
      <c r="J7" s="38"/>
      <c r="K7" s="114">
        <f t="shared" si="0"/>
        <v>0</v>
      </c>
      <c r="L7" s="114">
        <f t="shared" si="1"/>
        <v>0</v>
      </c>
      <c r="M7" s="303"/>
      <c r="N7" s="305">
        <f>+海田!N7</f>
        <v>0</v>
      </c>
      <c r="O7" s="87" t="s">
        <v>336</v>
      </c>
      <c r="P7" s="126" t="s">
        <v>337</v>
      </c>
      <c r="Q7" s="127" t="s">
        <v>338</v>
      </c>
      <c r="R7" s="1095"/>
    </row>
    <row r="8" spans="1:18">
      <c r="A8" s="418"/>
      <c r="B8" s="116" t="s">
        <v>457</v>
      </c>
      <c r="C8" s="116"/>
      <c r="D8" s="116"/>
      <c r="E8" s="116"/>
      <c r="F8" s="116"/>
      <c r="G8" s="116"/>
      <c r="H8" s="114"/>
      <c r="I8" s="38"/>
      <c r="J8" s="38"/>
      <c r="K8" s="114">
        <f t="shared" si="0"/>
        <v>0</v>
      </c>
      <c r="L8" s="114">
        <f t="shared" si="1"/>
        <v>0</v>
      </c>
      <c r="M8" s="303"/>
      <c r="N8" s="305">
        <f>+海田!N8</f>
        <v>0</v>
      </c>
      <c r="P8" s="128" t="s">
        <v>339</v>
      </c>
      <c r="Q8" s="129" t="s">
        <v>94</v>
      </c>
      <c r="R8" s="1095"/>
    </row>
    <row r="9" spans="1:18">
      <c r="A9" s="418"/>
      <c r="B9" s="116" t="s">
        <v>458</v>
      </c>
      <c r="C9" s="116"/>
      <c r="D9" s="116"/>
      <c r="E9" s="116"/>
      <c r="F9" s="116"/>
      <c r="G9" s="116"/>
      <c r="H9" s="114"/>
      <c r="I9" s="38"/>
      <c r="J9" s="38"/>
      <c r="K9" s="114">
        <f t="shared" si="0"/>
        <v>0</v>
      </c>
      <c r="L9" s="114">
        <f t="shared" si="1"/>
        <v>0</v>
      </c>
      <c r="M9" s="303"/>
      <c r="N9" s="305">
        <f>+海田!N9</f>
        <v>0</v>
      </c>
      <c r="P9" s="130" t="s">
        <v>340</v>
      </c>
      <c r="Q9" s="125"/>
      <c r="R9" s="1095"/>
    </row>
    <row r="10" spans="1:18">
      <c r="A10" s="418"/>
      <c r="B10" s="116" t="s">
        <v>459</v>
      </c>
      <c r="C10" s="116"/>
      <c r="D10" s="116"/>
      <c r="E10" s="116"/>
      <c r="F10" s="116"/>
      <c r="G10" s="116"/>
      <c r="H10" s="114"/>
      <c r="I10" s="38"/>
      <c r="J10" s="38"/>
      <c r="K10" s="114">
        <f t="shared" si="0"/>
        <v>0</v>
      </c>
      <c r="L10" s="114">
        <f t="shared" si="1"/>
        <v>0</v>
      </c>
      <c r="M10" s="303"/>
      <c r="N10" s="305">
        <f>+海田!N10</f>
        <v>0</v>
      </c>
      <c r="O10" s="87" t="s">
        <v>341</v>
      </c>
      <c r="P10" s="131" t="s">
        <v>337</v>
      </c>
      <c r="Q10" s="127" t="s">
        <v>338</v>
      </c>
      <c r="R10" s="1095"/>
    </row>
    <row r="11" spans="1:18">
      <c r="A11" s="418"/>
      <c r="B11" s="116" t="s">
        <v>460</v>
      </c>
      <c r="C11" s="116"/>
      <c r="D11" s="116"/>
      <c r="E11" s="116"/>
      <c r="F11" s="116"/>
      <c r="G11" s="116"/>
      <c r="H11" s="114"/>
      <c r="I11" s="38"/>
      <c r="J11" s="38"/>
      <c r="K11" s="114">
        <f t="shared" si="0"/>
        <v>0</v>
      </c>
      <c r="L11" s="114">
        <f t="shared" si="1"/>
        <v>0</v>
      </c>
      <c r="M11" s="303"/>
      <c r="N11" s="305">
        <f>+海田!N11</f>
        <v>0</v>
      </c>
      <c r="P11" s="132" t="s">
        <v>339</v>
      </c>
      <c r="Q11" s="129" t="s">
        <v>94</v>
      </c>
      <c r="R11" s="1095"/>
    </row>
    <row r="12" spans="1:18">
      <c r="A12" s="418"/>
      <c r="B12" s="116" t="s">
        <v>461</v>
      </c>
      <c r="C12" s="116"/>
      <c r="D12" s="116"/>
      <c r="E12" s="116"/>
      <c r="F12" s="116"/>
      <c r="G12" s="116"/>
      <c r="H12" s="114"/>
      <c r="I12" s="38"/>
      <c r="J12" s="38"/>
      <c r="K12" s="114">
        <f t="shared" si="0"/>
        <v>0</v>
      </c>
      <c r="L12" s="114">
        <f t="shared" si="1"/>
        <v>0</v>
      </c>
      <c r="M12" s="303"/>
      <c r="N12" s="305">
        <f>+海田!N12</f>
        <v>0</v>
      </c>
      <c r="P12" s="130" t="s">
        <v>342</v>
      </c>
      <c r="Q12" s="125"/>
      <c r="R12" s="1095">
        <v>91516054</v>
      </c>
    </row>
    <row r="13" spans="1:18">
      <c r="A13" s="418"/>
      <c r="B13" s="117" t="s">
        <v>425</v>
      </c>
      <c r="C13" s="116"/>
      <c r="D13" s="116"/>
      <c r="E13" s="116"/>
      <c r="F13" s="116"/>
      <c r="G13" s="116"/>
      <c r="H13" s="114"/>
      <c r="I13" s="108">
        <f>+VLOOKUP($B13,年度別調書!$A$4:$M$37,10,0)</f>
        <v>30622955900</v>
      </c>
      <c r="J13" s="108">
        <f>+VLOOKUP($B13,年度別調書!$A$4:$M$37,13,0)</f>
        <v>62903610340</v>
      </c>
      <c r="K13" s="114">
        <f t="shared" si="0"/>
        <v>0</v>
      </c>
      <c r="L13" s="114">
        <f t="shared" si="1"/>
        <v>0</v>
      </c>
      <c r="M13" s="303"/>
      <c r="N13" s="305">
        <f>+海田!N13</f>
        <v>3</v>
      </c>
      <c r="O13" s="87" t="s">
        <v>343</v>
      </c>
      <c r="P13" s="131" t="s">
        <v>337</v>
      </c>
      <c r="Q13" s="127" t="s">
        <v>338</v>
      </c>
      <c r="R13" s="1095"/>
    </row>
    <row r="14" spans="1:18">
      <c r="A14" s="418"/>
      <c r="B14" s="117" t="s">
        <v>426</v>
      </c>
      <c r="C14" s="117"/>
      <c r="D14" s="117"/>
      <c r="E14" s="117"/>
      <c r="F14" s="117"/>
      <c r="G14" s="117"/>
      <c r="H14" s="115">
        <f>+R6</f>
        <v>0</v>
      </c>
      <c r="I14" s="108">
        <f>+VLOOKUP($B14,年度別調書!$A$4:$M$37,10,0)</f>
        <v>36785805618</v>
      </c>
      <c r="J14" s="108">
        <f>+VLOOKUP($B14,年度別調書!$A$4:$M$37,13,0)</f>
        <v>65207626364</v>
      </c>
      <c r="K14" s="114">
        <f>IFERROR(ROUND(H14*I14/J14,0),0)</f>
        <v>0</v>
      </c>
      <c r="L14" s="114">
        <f>H14-K14</f>
        <v>0</v>
      </c>
      <c r="M14" s="303"/>
      <c r="N14" s="305">
        <f>+海田!N14</f>
        <v>3</v>
      </c>
      <c r="P14" s="132" t="s">
        <v>339</v>
      </c>
      <c r="Q14" s="129" t="s">
        <v>94</v>
      </c>
      <c r="R14" s="1095"/>
    </row>
    <row r="15" spans="1:18">
      <c r="A15" s="418"/>
      <c r="B15" s="117" t="s">
        <v>427</v>
      </c>
      <c r="C15" s="117"/>
      <c r="D15" s="117"/>
      <c r="E15" s="117"/>
      <c r="F15" s="117"/>
      <c r="G15" s="117"/>
      <c r="H15" s="115">
        <f>+R9</f>
        <v>0</v>
      </c>
      <c r="I15" s="108">
        <f>+VLOOKUP($B15,年度別調書!$A$4:$M$37,10,0)</f>
        <v>42048127236</v>
      </c>
      <c r="J15" s="108">
        <f>+VLOOKUP($B15,年度別調書!$A$4:$M$37,13,0)</f>
        <v>72538415314</v>
      </c>
      <c r="K15" s="114">
        <f t="shared" ref="K15:K47" si="2">IFERROR(ROUND(H15*I15/J15,0),0)</f>
        <v>0</v>
      </c>
      <c r="L15" s="114">
        <f t="shared" ref="L15:L47" si="3">H15-K15</f>
        <v>0</v>
      </c>
      <c r="M15" s="303"/>
      <c r="N15" s="305">
        <f>+海田!N15</f>
        <v>3</v>
      </c>
      <c r="P15" s="130" t="s">
        <v>344</v>
      </c>
      <c r="Q15" s="125"/>
      <c r="R15" s="1095">
        <v>49292071</v>
      </c>
    </row>
    <row r="16" spans="1:18">
      <c r="A16" s="418"/>
      <c r="B16" s="117" t="s">
        <v>428</v>
      </c>
      <c r="C16" s="117"/>
      <c r="D16" s="117"/>
      <c r="E16" s="117"/>
      <c r="F16" s="117"/>
      <c r="G16" s="117"/>
      <c r="H16" s="115">
        <f>+R12</f>
        <v>91516054</v>
      </c>
      <c r="I16" s="108">
        <f>+VLOOKUP($B16,年度別調書!$A$4:$M$37,10,0)</f>
        <v>49320557603</v>
      </c>
      <c r="J16" s="108">
        <f>+VLOOKUP($B16,年度別調書!$A$4:$M$37,13,0)</f>
        <v>82028053042</v>
      </c>
      <c r="K16" s="114">
        <f t="shared" si="2"/>
        <v>55025356</v>
      </c>
      <c r="L16" s="114">
        <f t="shared" si="3"/>
        <v>36490698</v>
      </c>
      <c r="M16" s="303"/>
      <c r="N16" s="305">
        <f>+海田!N16</f>
        <v>3</v>
      </c>
      <c r="O16" s="87" t="s">
        <v>345</v>
      </c>
      <c r="P16" s="131" t="s">
        <v>337</v>
      </c>
      <c r="Q16" s="127" t="s">
        <v>338</v>
      </c>
      <c r="R16" s="1095"/>
    </row>
    <row r="17" spans="1:18">
      <c r="A17" s="418"/>
      <c r="B17" s="117" t="s">
        <v>429</v>
      </c>
      <c r="C17" s="117"/>
      <c r="D17" s="117"/>
      <c r="E17" s="117"/>
      <c r="F17" s="117"/>
      <c r="G17" s="117"/>
      <c r="H17" s="115">
        <f>+R15</f>
        <v>49292071</v>
      </c>
      <c r="I17" s="108">
        <f>+VLOOKUP($B17,年度別調書!$A$4:$M$37,10,0)</f>
        <v>54853236126</v>
      </c>
      <c r="J17" s="108">
        <f>+VLOOKUP($B17,年度別調書!$A$4:$M$37,13,0)</f>
        <v>94393962571</v>
      </c>
      <c r="K17" s="114">
        <f t="shared" si="2"/>
        <v>28644095</v>
      </c>
      <c r="L17" s="114">
        <f t="shared" si="3"/>
        <v>20647976</v>
      </c>
      <c r="M17" s="303"/>
      <c r="N17" s="305">
        <f>+海田!N17</f>
        <v>3</v>
      </c>
      <c r="P17" s="132" t="s">
        <v>339</v>
      </c>
      <c r="Q17" s="129" t="s">
        <v>94</v>
      </c>
      <c r="R17" s="1095"/>
    </row>
    <row r="18" spans="1:18">
      <c r="A18" s="418"/>
      <c r="B18" s="117" t="s">
        <v>430</v>
      </c>
      <c r="C18" s="117"/>
      <c r="D18" s="117"/>
      <c r="E18" s="117"/>
      <c r="F18" s="117"/>
      <c r="G18" s="117"/>
      <c r="H18" s="115">
        <f>+R18</f>
        <v>10038016</v>
      </c>
      <c r="I18" s="108">
        <f>+VLOOKUP($B18,年度別調書!$A$4:$M$37,10,0)</f>
        <v>52459905451</v>
      </c>
      <c r="J18" s="108">
        <f>+VLOOKUP($B18,年度別調書!$A$4:$M$37,13,0)</f>
        <v>92179213936</v>
      </c>
      <c r="K18" s="114">
        <f t="shared" si="2"/>
        <v>5712713</v>
      </c>
      <c r="L18" s="114">
        <f t="shared" si="3"/>
        <v>4325303</v>
      </c>
      <c r="M18" s="303"/>
      <c r="N18" s="305">
        <f>+海田!N18</f>
        <v>3</v>
      </c>
      <c r="P18" s="130" t="s">
        <v>346</v>
      </c>
      <c r="Q18" s="125"/>
      <c r="R18" s="1095">
        <v>10038016</v>
      </c>
    </row>
    <row r="19" spans="1:18">
      <c r="A19" s="418"/>
      <c r="B19" s="117" t="s">
        <v>431</v>
      </c>
      <c r="C19" s="117"/>
      <c r="D19" s="117"/>
      <c r="E19" s="117"/>
      <c r="F19" s="117"/>
      <c r="G19" s="117"/>
      <c r="H19" s="115">
        <f>+R21</f>
        <v>3356773</v>
      </c>
      <c r="I19" s="108">
        <f>+VLOOKUP($B19,年度別調書!$A$4:$M$37,10,0)</f>
        <v>58579778590</v>
      </c>
      <c r="J19" s="108">
        <f>+VLOOKUP($B19,年度別調書!$A$4:$M$37,13,0)</f>
        <v>98916143476</v>
      </c>
      <c r="K19" s="114">
        <f t="shared" si="2"/>
        <v>1987937</v>
      </c>
      <c r="L19" s="114">
        <f t="shared" si="3"/>
        <v>1368836</v>
      </c>
      <c r="M19" s="303"/>
      <c r="N19" s="305">
        <f>+海田!N19</f>
        <v>3</v>
      </c>
      <c r="O19" s="87" t="s">
        <v>347</v>
      </c>
      <c r="P19" s="131" t="s">
        <v>337</v>
      </c>
      <c r="Q19" s="127" t="s">
        <v>338</v>
      </c>
      <c r="R19" s="1095"/>
    </row>
    <row r="20" spans="1:18">
      <c r="A20" s="418"/>
      <c r="B20" s="117" t="s">
        <v>432</v>
      </c>
      <c r="C20" s="117"/>
      <c r="D20" s="117"/>
      <c r="E20" s="117"/>
      <c r="F20" s="117"/>
      <c r="G20" s="117"/>
      <c r="H20" s="115">
        <f>+R24</f>
        <v>2068736</v>
      </c>
      <c r="I20" s="108">
        <f>+VLOOKUP($B20,年度別調書!$A$4:$M$37,10,0)</f>
        <v>59855732510</v>
      </c>
      <c r="J20" s="108">
        <f>+VLOOKUP($B20,年度別調書!$A$4:$M$37,13,0)</f>
        <v>105086070753</v>
      </c>
      <c r="K20" s="114">
        <f t="shared" si="2"/>
        <v>1178327</v>
      </c>
      <c r="L20" s="114">
        <f t="shared" si="3"/>
        <v>890409</v>
      </c>
      <c r="M20" s="303"/>
      <c r="N20" s="305">
        <f>+海田!N20</f>
        <v>3</v>
      </c>
      <c r="P20" s="132" t="s">
        <v>339</v>
      </c>
      <c r="Q20" s="129" t="s">
        <v>94</v>
      </c>
      <c r="R20" s="1095"/>
    </row>
    <row r="21" spans="1:18">
      <c r="A21" s="418"/>
      <c r="B21" s="117" t="s">
        <v>433</v>
      </c>
      <c r="C21" s="117"/>
      <c r="D21" s="117"/>
      <c r="E21" s="117"/>
      <c r="F21" s="117"/>
      <c r="G21" s="117"/>
      <c r="H21" s="115">
        <f>+R27</f>
        <v>420875</v>
      </c>
      <c r="I21" s="108">
        <f>+VLOOKUP($B21,年度別調書!$A$4:$M$37,10,0)</f>
        <v>65491097789</v>
      </c>
      <c r="J21" s="108">
        <f>+VLOOKUP($B21,年度別調書!$A$4:$M$37,13,0)</f>
        <v>112544371375</v>
      </c>
      <c r="K21" s="114">
        <f t="shared" si="2"/>
        <v>244913</v>
      </c>
      <c r="L21" s="114">
        <f t="shared" si="3"/>
        <v>175962</v>
      </c>
      <c r="M21" s="303"/>
      <c r="N21" s="305">
        <f>+海田!N21</f>
        <v>5</v>
      </c>
      <c r="P21" s="130" t="s">
        <v>348</v>
      </c>
      <c r="Q21" s="125"/>
      <c r="R21" s="1095">
        <v>3356773</v>
      </c>
    </row>
    <row r="22" spans="1:18">
      <c r="A22" s="418"/>
      <c r="B22" s="117" t="s">
        <v>434</v>
      </c>
      <c r="C22" s="117"/>
      <c r="D22" s="117"/>
      <c r="E22" s="117"/>
      <c r="F22" s="117"/>
      <c r="G22" s="117"/>
      <c r="H22" s="115">
        <f>+R30</f>
        <v>1634139</v>
      </c>
      <c r="I22" s="108">
        <f>+VLOOKUP($B22,年度別調書!$A$4:$M$37,10,0)</f>
        <v>66701247191</v>
      </c>
      <c r="J22" s="108">
        <f>+VLOOKUP($B22,年度別調書!$A$4:$M$37,13,0)</f>
        <v>118194473653</v>
      </c>
      <c r="K22" s="114">
        <f t="shared" si="2"/>
        <v>922201</v>
      </c>
      <c r="L22" s="114">
        <f t="shared" si="3"/>
        <v>711938</v>
      </c>
      <c r="M22" s="303"/>
      <c r="N22" s="305">
        <f>+海田!N22</f>
        <v>5</v>
      </c>
      <c r="O22" s="87" t="s">
        <v>349</v>
      </c>
      <c r="P22" s="131" t="s">
        <v>337</v>
      </c>
      <c r="Q22" s="127" t="s">
        <v>338</v>
      </c>
      <c r="R22" s="1095"/>
    </row>
    <row r="23" spans="1:18">
      <c r="A23" s="418"/>
      <c r="B23" s="117" t="s">
        <v>435</v>
      </c>
      <c r="C23" s="117"/>
      <c r="D23" s="117"/>
      <c r="E23" s="117"/>
      <c r="F23" s="117"/>
      <c r="G23" s="117"/>
      <c r="H23" s="115">
        <f>+R33</f>
        <v>1507746</v>
      </c>
      <c r="I23" s="108">
        <f>+VLOOKUP($B23,年度別調書!$A$4:$M$37,10,0)</f>
        <v>58274420372</v>
      </c>
      <c r="J23" s="108">
        <f>+VLOOKUP($B23,年度別調書!$A$4:$M$37,13,0)</f>
        <v>110790062218</v>
      </c>
      <c r="K23" s="114">
        <f t="shared" si="2"/>
        <v>793059</v>
      </c>
      <c r="L23" s="114">
        <f t="shared" si="3"/>
        <v>714687</v>
      </c>
      <c r="M23" s="303"/>
      <c r="N23" s="305">
        <f>+海田!N23</f>
        <v>5</v>
      </c>
      <c r="P23" s="132" t="s">
        <v>339</v>
      </c>
      <c r="Q23" s="129" t="s">
        <v>94</v>
      </c>
      <c r="R23" s="1095"/>
    </row>
    <row r="24" spans="1:18">
      <c r="A24" s="418"/>
      <c r="B24" s="117" t="s">
        <v>436</v>
      </c>
      <c r="C24" s="117"/>
      <c r="D24" s="117"/>
      <c r="E24" s="117"/>
      <c r="F24" s="117"/>
      <c r="G24" s="117"/>
      <c r="H24" s="115">
        <f>+R36+R39</f>
        <v>1433385</v>
      </c>
      <c r="I24" s="108">
        <f>+VLOOKUP($B24,年度別調書!$A$4:$M$37,10,0)</f>
        <v>48353931386</v>
      </c>
      <c r="J24" s="108">
        <f>+VLOOKUP($B24,年度別調書!$A$4:$M$37,13,0)</f>
        <v>104173607652</v>
      </c>
      <c r="K24" s="114">
        <f t="shared" si="2"/>
        <v>665330</v>
      </c>
      <c r="L24" s="114">
        <f t="shared" si="3"/>
        <v>768055</v>
      </c>
      <c r="M24" s="303"/>
      <c r="N24" s="305">
        <f>+海田!N24</f>
        <v>5</v>
      </c>
      <c r="P24" s="130" t="s">
        <v>350</v>
      </c>
      <c r="Q24" s="125"/>
      <c r="R24" s="1095">
        <v>2068736</v>
      </c>
    </row>
    <row r="25" spans="1:18">
      <c r="A25" s="418"/>
      <c r="B25" s="117" t="s">
        <v>437</v>
      </c>
      <c r="C25" s="117"/>
      <c r="D25" s="117"/>
      <c r="E25" s="117"/>
      <c r="F25" s="117"/>
      <c r="G25" s="117"/>
      <c r="H25" s="115">
        <f>+R42+R45</f>
        <v>1056567</v>
      </c>
      <c r="I25" s="108">
        <f>+VLOOKUP($B25,年度別調書!$A$4:$M$37,10,0)</f>
        <v>42742028940</v>
      </c>
      <c r="J25" s="108">
        <f>+VLOOKUP($B25,年度別調書!$A$4:$M$37,13,0)</f>
        <v>101075943440</v>
      </c>
      <c r="K25" s="114">
        <f t="shared" si="2"/>
        <v>446791</v>
      </c>
      <c r="L25" s="114">
        <f t="shared" si="3"/>
        <v>609776</v>
      </c>
      <c r="M25" s="303"/>
      <c r="N25" s="305">
        <f>+海田!N25</f>
        <v>5</v>
      </c>
      <c r="O25" s="87" t="s">
        <v>351</v>
      </c>
      <c r="P25" s="131" t="s">
        <v>337</v>
      </c>
      <c r="Q25" s="127" t="s">
        <v>338</v>
      </c>
      <c r="R25" s="1095"/>
    </row>
    <row r="26" spans="1:18">
      <c r="A26" s="418"/>
      <c r="B26" s="117" t="s">
        <v>438</v>
      </c>
      <c r="C26" s="117"/>
      <c r="D26" s="117"/>
      <c r="E26" s="117"/>
      <c r="F26" s="117"/>
      <c r="G26" s="117"/>
      <c r="H26" s="115">
        <f>+R48</f>
        <v>480134</v>
      </c>
      <c r="I26" s="108">
        <f>+VLOOKUP($B26,年度別調書!$A$4:$M$37,10,0)</f>
        <v>38694694218</v>
      </c>
      <c r="J26" s="108">
        <f>+VLOOKUP($B26,年度別調書!$A$4:$M$37,13,0)</f>
        <v>98151426478</v>
      </c>
      <c r="K26" s="114">
        <f t="shared" si="2"/>
        <v>189285</v>
      </c>
      <c r="L26" s="114">
        <f t="shared" si="3"/>
        <v>290849</v>
      </c>
      <c r="M26" s="303"/>
      <c r="N26" s="305">
        <f>+海田!N26</f>
        <v>5</v>
      </c>
      <c r="P26" s="132" t="s">
        <v>339</v>
      </c>
      <c r="Q26" s="129" t="s">
        <v>94</v>
      </c>
      <c r="R26" s="1095"/>
    </row>
    <row r="27" spans="1:18">
      <c r="A27" s="418"/>
      <c r="B27" s="117" t="s">
        <v>439</v>
      </c>
      <c r="C27" s="117"/>
      <c r="D27" s="117"/>
      <c r="E27" s="117"/>
      <c r="F27" s="117"/>
      <c r="G27" s="117"/>
      <c r="H27" s="115"/>
      <c r="I27" s="108">
        <f>+VLOOKUP($B27,年度別調書!$A$4:$M$37,10,0)</f>
        <v>37621895854</v>
      </c>
      <c r="J27" s="108">
        <f>+VLOOKUP($B27,年度別調書!$A$4:$M$37,13,0)</f>
        <v>100825076572</v>
      </c>
      <c r="K27" s="114">
        <f t="shared" si="2"/>
        <v>0</v>
      </c>
      <c r="L27" s="114">
        <f t="shared" si="3"/>
        <v>0</v>
      </c>
      <c r="M27" s="303"/>
      <c r="N27" s="305">
        <f>+海田!N27</f>
        <v>5</v>
      </c>
      <c r="P27" s="130" t="s">
        <v>352</v>
      </c>
      <c r="Q27" s="125"/>
      <c r="R27" s="1095">
        <v>420875</v>
      </c>
    </row>
    <row r="28" spans="1:18">
      <c r="A28" s="418"/>
      <c r="B28" s="117" t="s">
        <v>440</v>
      </c>
      <c r="C28" s="117"/>
      <c r="D28" s="117"/>
      <c r="E28" s="117"/>
      <c r="F28" s="117"/>
      <c r="G28" s="117"/>
      <c r="H28" s="115"/>
      <c r="I28" s="108">
        <f>+VLOOKUP($B28,年度別調書!$A$4:$M$37,10,0)</f>
        <v>29085465357</v>
      </c>
      <c r="J28" s="108">
        <f>+VLOOKUP($B28,年度別調書!$A$4:$M$37,13,0)</f>
        <v>101305165124</v>
      </c>
      <c r="K28" s="114">
        <f t="shared" si="2"/>
        <v>0</v>
      </c>
      <c r="L28" s="114">
        <f t="shared" si="3"/>
        <v>0</v>
      </c>
      <c r="M28" s="303"/>
      <c r="N28" s="305">
        <f>+海田!N28</f>
        <v>5</v>
      </c>
      <c r="O28" s="87" t="s">
        <v>353</v>
      </c>
      <c r="P28" s="131" t="s">
        <v>337</v>
      </c>
      <c r="Q28" s="127" t="s">
        <v>338</v>
      </c>
      <c r="R28" s="1095"/>
    </row>
    <row r="29" spans="1:18">
      <c r="A29" s="418"/>
      <c r="B29" s="117" t="s">
        <v>441</v>
      </c>
      <c r="C29" s="117"/>
      <c r="D29" s="117"/>
      <c r="E29" s="117"/>
      <c r="F29" s="117"/>
      <c r="G29" s="117"/>
      <c r="H29" s="115"/>
      <c r="I29" s="108">
        <f>+VLOOKUP($B29,年度別調書!$A$4:$M$37,10,0)</f>
        <v>25082997134</v>
      </c>
      <c r="J29" s="108">
        <f>+VLOOKUP($B29,年度別調書!$A$4:$M$37,13,0)</f>
        <v>96528725584</v>
      </c>
      <c r="K29" s="114">
        <f t="shared" si="2"/>
        <v>0</v>
      </c>
      <c r="L29" s="114">
        <f t="shared" si="3"/>
        <v>0</v>
      </c>
      <c r="M29" s="303"/>
      <c r="N29" s="305">
        <f>+海田!N29</f>
        <v>5</v>
      </c>
      <c r="P29" s="132" t="s">
        <v>339</v>
      </c>
      <c r="Q29" s="129" t="s">
        <v>94</v>
      </c>
      <c r="R29" s="1095"/>
    </row>
    <row r="30" spans="1:18">
      <c r="A30" s="418"/>
      <c r="B30" s="117" t="s">
        <v>442</v>
      </c>
      <c r="C30" s="117"/>
      <c r="D30" s="117"/>
      <c r="E30" s="117"/>
      <c r="F30" s="117"/>
      <c r="G30" s="117"/>
      <c r="H30" s="115"/>
      <c r="I30" s="108">
        <f>+VLOOKUP($B30,年度別調書!$A$4:$M$37,10,0)</f>
        <v>21657707574</v>
      </c>
      <c r="J30" s="108">
        <f>+VLOOKUP($B30,年度別調書!$A$4:$M$37,13,0)</f>
        <v>84768578867</v>
      </c>
      <c r="K30" s="114">
        <f t="shared" si="2"/>
        <v>0</v>
      </c>
      <c r="L30" s="114">
        <f t="shared" si="3"/>
        <v>0</v>
      </c>
      <c r="M30" s="303"/>
      <c r="N30" s="305">
        <f>+海田!N30</f>
        <v>5</v>
      </c>
      <c r="P30" s="130" t="s">
        <v>354</v>
      </c>
      <c r="Q30" s="125"/>
      <c r="R30" s="1095">
        <v>1634139</v>
      </c>
    </row>
    <row r="31" spans="1:18">
      <c r="A31" s="418"/>
      <c r="B31" s="117" t="s">
        <v>443</v>
      </c>
      <c r="C31" s="117"/>
      <c r="D31" s="117"/>
      <c r="E31" s="117"/>
      <c r="F31" s="117"/>
      <c r="G31" s="117"/>
      <c r="H31" s="115"/>
      <c r="I31" s="108">
        <f>+VLOOKUP($B31,年度別調書!$A$4:$M$37,10,0)</f>
        <v>25422571996</v>
      </c>
      <c r="J31" s="108">
        <f>+VLOOKUP($B31,年度別調書!$A$4:$M$37,13,0)</f>
        <v>105576318079</v>
      </c>
      <c r="K31" s="114">
        <f t="shared" si="2"/>
        <v>0</v>
      </c>
      <c r="L31" s="114">
        <f t="shared" si="3"/>
        <v>0</v>
      </c>
      <c r="M31" s="303"/>
      <c r="N31" s="305">
        <f>+海田!N31</f>
        <v>5</v>
      </c>
      <c r="O31" s="87" t="s">
        <v>355</v>
      </c>
      <c r="P31" s="131" t="s">
        <v>337</v>
      </c>
      <c r="Q31" s="127" t="s">
        <v>338</v>
      </c>
      <c r="R31" s="1095"/>
    </row>
    <row r="32" spans="1:18">
      <c r="A32" s="418"/>
      <c r="B32" s="117" t="s">
        <v>444</v>
      </c>
      <c r="C32" s="117"/>
      <c r="D32" s="117"/>
      <c r="E32" s="117"/>
      <c r="F32" s="117"/>
      <c r="G32" s="117"/>
      <c r="H32" s="115">
        <f>+R51</f>
        <v>247640</v>
      </c>
      <c r="I32" s="108">
        <f>+VLOOKUP($B32,年度別調書!$A$4:$M$37,10,0)</f>
        <v>24693835462</v>
      </c>
      <c r="J32" s="108">
        <f>+VLOOKUP($B32,年度別調書!$A$4:$M$37,13,0)</f>
        <v>110401232854</v>
      </c>
      <c r="K32" s="114">
        <f t="shared" si="2"/>
        <v>55391</v>
      </c>
      <c r="L32" s="114">
        <f t="shared" si="3"/>
        <v>192249</v>
      </c>
      <c r="M32" s="303"/>
      <c r="N32" s="305">
        <f>+海田!N32</f>
        <v>5</v>
      </c>
      <c r="P32" s="132" t="s">
        <v>339</v>
      </c>
      <c r="Q32" s="129" t="s">
        <v>94</v>
      </c>
      <c r="R32" s="1095"/>
    </row>
    <row r="33" spans="1:18">
      <c r="A33" s="418"/>
      <c r="B33" s="117" t="s">
        <v>445</v>
      </c>
      <c r="C33" s="117"/>
      <c r="D33" s="117"/>
      <c r="E33" s="117"/>
      <c r="F33" s="117"/>
      <c r="G33" s="117"/>
      <c r="H33" s="114"/>
      <c r="I33" s="108">
        <f>+VLOOKUP($B33,年度別調書!$A$4:$M$37,10,0)</f>
        <v>22324372880</v>
      </c>
      <c r="J33" s="108">
        <f>+VLOOKUP($B33,年度別調書!$A$4:$M$37,13,0)</f>
        <v>88097108350</v>
      </c>
      <c r="K33" s="114">
        <f t="shared" si="2"/>
        <v>0</v>
      </c>
      <c r="L33" s="114">
        <f t="shared" si="3"/>
        <v>0</v>
      </c>
      <c r="M33" s="303"/>
      <c r="N33" s="305">
        <f>+海田!N33</f>
        <v>5</v>
      </c>
      <c r="P33" s="130" t="s">
        <v>356</v>
      </c>
      <c r="Q33" s="125"/>
      <c r="R33" s="1095">
        <v>1507746</v>
      </c>
    </row>
    <row r="34" spans="1:18">
      <c r="A34" s="418"/>
      <c r="B34" s="117" t="s">
        <v>446</v>
      </c>
      <c r="C34" s="117"/>
      <c r="D34" s="117"/>
      <c r="E34" s="117"/>
      <c r="F34" s="117"/>
      <c r="G34" s="117"/>
      <c r="H34" s="114"/>
      <c r="I34" s="108">
        <f>+VLOOKUP($B34,年度別調書!$A$4:$M$37,10,0)</f>
        <v>26326163485</v>
      </c>
      <c r="J34" s="108">
        <f>+VLOOKUP($B34,年度別調書!$A$4:$M$37,13,0)</f>
        <v>102723057143</v>
      </c>
      <c r="K34" s="114">
        <f t="shared" si="2"/>
        <v>0</v>
      </c>
      <c r="L34" s="114">
        <f t="shared" si="3"/>
        <v>0</v>
      </c>
      <c r="M34" s="303"/>
      <c r="N34" s="305">
        <f>+海田!N34</f>
        <v>5</v>
      </c>
      <c r="O34" s="87" t="s">
        <v>357</v>
      </c>
      <c r="P34" s="133" t="s">
        <v>358</v>
      </c>
      <c r="Q34" s="127" t="s">
        <v>338</v>
      </c>
      <c r="R34" s="1095"/>
    </row>
    <row r="35" spans="1:18">
      <c r="A35" s="418"/>
      <c r="B35" s="117" t="s">
        <v>447</v>
      </c>
      <c r="C35" s="117"/>
      <c r="D35" s="117"/>
      <c r="E35" s="117"/>
      <c r="F35" s="117"/>
      <c r="G35" s="117"/>
      <c r="H35" s="114"/>
      <c r="I35" s="108">
        <f>+VLOOKUP($B35,年度別調書!$A$4:$M$37,10,0)</f>
        <v>26883440277</v>
      </c>
      <c r="J35" s="108">
        <f>+VLOOKUP($B35,年度別調書!$A$4:$M$37,13,0)</f>
        <v>99758377045</v>
      </c>
      <c r="K35" s="114">
        <f t="shared" si="2"/>
        <v>0</v>
      </c>
      <c r="L35" s="114">
        <f t="shared" si="3"/>
        <v>0</v>
      </c>
      <c r="M35" s="303"/>
      <c r="N35" s="305">
        <f>+海田!N35</f>
        <v>5</v>
      </c>
      <c r="P35" s="132" t="s">
        <v>339</v>
      </c>
      <c r="Q35" s="129" t="s">
        <v>94</v>
      </c>
      <c r="R35" s="1095"/>
    </row>
    <row r="36" spans="1:18">
      <c r="A36" s="418"/>
      <c r="B36" s="117" t="s">
        <v>448</v>
      </c>
      <c r="C36" s="117"/>
      <c r="D36" s="117"/>
      <c r="E36" s="117"/>
      <c r="F36" s="117"/>
      <c r="G36" s="117"/>
      <c r="H36" s="114"/>
      <c r="I36" s="108">
        <f>+VLOOKUP($B36,年度別調書!$A$4:$M$37,10,0)</f>
        <v>20821234544</v>
      </c>
      <c r="J36" s="108">
        <f>+VLOOKUP($B36,年度別調書!$A$4:$M$37,13,0)</f>
        <v>101115908424</v>
      </c>
      <c r="K36" s="114">
        <f t="shared" si="2"/>
        <v>0</v>
      </c>
      <c r="L36" s="114">
        <f t="shared" si="3"/>
        <v>0</v>
      </c>
      <c r="M36" s="303"/>
      <c r="N36" s="305">
        <f>+海田!N36</f>
        <v>5</v>
      </c>
      <c r="P36" s="130" t="s">
        <v>359</v>
      </c>
      <c r="Q36" s="125"/>
      <c r="R36" s="1095">
        <v>760784</v>
      </c>
    </row>
    <row r="37" spans="1:18">
      <c r="A37" s="418"/>
      <c r="B37" s="117" t="s">
        <v>449</v>
      </c>
      <c r="C37" s="117"/>
      <c r="D37" s="117"/>
      <c r="E37" s="117"/>
      <c r="F37" s="117"/>
      <c r="G37" s="117"/>
      <c r="H37" s="114"/>
      <c r="I37" s="108">
        <f>+VLOOKUP($B37,年度別調書!$A$4:$M$37,10,0)</f>
        <v>22169870622</v>
      </c>
      <c r="J37" s="108">
        <f>+VLOOKUP($B37,年度別調書!$A$4:$M$37,13,0)</f>
        <v>87897420767</v>
      </c>
      <c r="K37" s="114">
        <f t="shared" si="2"/>
        <v>0</v>
      </c>
      <c r="L37" s="114">
        <f t="shared" si="3"/>
        <v>0</v>
      </c>
      <c r="M37" s="303"/>
      <c r="N37" s="305">
        <f>+海田!N37</f>
        <v>5</v>
      </c>
      <c r="O37" s="87" t="s">
        <v>360</v>
      </c>
      <c r="P37" s="133" t="s">
        <v>361</v>
      </c>
      <c r="Q37" s="127" t="s">
        <v>338</v>
      </c>
      <c r="R37" s="1095"/>
    </row>
    <row r="38" spans="1:18">
      <c r="A38" s="418"/>
      <c r="B38" s="117" t="s">
        <v>450</v>
      </c>
      <c r="C38" s="117"/>
      <c r="D38" s="117"/>
      <c r="E38" s="117"/>
      <c r="F38" s="117"/>
      <c r="G38" s="117"/>
      <c r="H38" s="114"/>
      <c r="I38" s="108">
        <f>+VLOOKUP($B38,年度別調書!$A$4:$M$37,10,0)</f>
        <v>20924492616</v>
      </c>
      <c r="J38" s="108">
        <f>+VLOOKUP($B38,年度別調書!$A$4:$M$37,13,0)</f>
        <v>99556890040</v>
      </c>
      <c r="K38" s="114">
        <f t="shared" si="2"/>
        <v>0</v>
      </c>
      <c r="L38" s="114">
        <f t="shared" si="3"/>
        <v>0</v>
      </c>
      <c r="M38" s="303"/>
      <c r="N38" s="305">
        <f>+海田!N38</f>
        <v>8</v>
      </c>
      <c r="P38" s="132" t="s">
        <v>362</v>
      </c>
      <c r="Q38" s="129" t="s">
        <v>94</v>
      </c>
      <c r="R38" s="1095"/>
    </row>
    <row r="39" spans="1:18">
      <c r="A39" s="418"/>
      <c r="B39" s="117" t="s">
        <v>451</v>
      </c>
      <c r="C39" s="117"/>
      <c r="D39" s="117"/>
      <c r="E39" s="117"/>
      <c r="F39" s="117"/>
      <c r="G39" s="117"/>
      <c r="H39" s="114"/>
      <c r="I39" s="108">
        <f>+VLOOKUP($B39,年度別調書!$A$4:$M$37,10,0)</f>
        <v>21176145645</v>
      </c>
      <c r="J39" s="108">
        <f>+VLOOKUP($B39,年度別調書!$A$4:$M$37,13,0)</f>
        <v>104805589178</v>
      </c>
      <c r="K39" s="114">
        <f t="shared" si="2"/>
        <v>0</v>
      </c>
      <c r="L39" s="114">
        <f t="shared" si="3"/>
        <v>0</v>
      </c>
      <c r="M39" s="303"/>
      <c r="N39" s="305">
        <f>+海田!N39</f>
        <v>8</v>
      </c>
      <c r="P39" s="130" t="s">
        <v>363</v>
      </c>
      <c r="Q39" s="125"/>
      <c r="R39" s="1095">
        <v>672601</v>
      </c>
    </row>
    <row r="40" spans="1:18">
      <c r="A40" s="418"/>
      <c r="B40" s="117" t="s">
        <v>452</v>
      </c>
      <c r="C40" s="117"/>
      <c r="D40" s="117"/>
      <c r="E40" s="117"/>
      <c r="F40" s="117"/>
      <c r="G40" s="117"/>
      <c r="H40" s="114"/>
      <c r="I40" s="108">
        <f>+VLOOKUP($B40,年度別調書!$A$4:$M$37,10,0)</f>
        <v>23487276785</v>
      </c>
      <c r="J40" s="108">
        <f>+VLOOKUP($B40,年度別調書!$A$4:$M$37,13,0)</f>
        <v>105396818589</v>
      </c>
      <c r="K40" s="114">
        <f t="shared" si="2"/>
        <v>0</v>
      </c>
      <c r="L40" s="114">
        <f t="shared" si="3"/>
        <v>0</v>
      </c>
      <c r="M40" s="303"/>
      <c r="N40" s="305">
        <f>+海田!N40</f>
        <v>8</v>
      </c>
      <c r="O40" s="87" t="s">
        <v>364</v>
      </c>
      <c r="P40" s="133" t="s">
        <v>365</v>
      </c>
      <c r="Q40" s="127" t="s">
        <v>338</v>
      </c>
      <c r="R40" s="1095"/>
    </row>
    <row r="41" spans="1:18">
      <c r="A41" s="418"/>
      <c r="B41" s="117" t="s">
        <v>453</v>
      </c>
      <c r="C41" s="117"/>
      <c r="D41" s="117"/>
      <c r="E41" s="117"/>
      <c r="F41" s="117"/>
      <c r="G41" s="117"/>
      <c r="H41" s="114"/>
      <c r="I41" s="108">
        <f>+VLOOKUP($B41,年度別調書!$A$4:$M$37,10,0)</f>
        <v>19481573724</v>
      </c>
      <c r="J41" s="108">
        <f>+VLOOKUP($B41,年度別調書!$A$4:$M$37,13,0)</f>
        <v>99607043975</v>
      </c>
      <c r="K41" s="114">
        <f t="shared" si="2"/>
        <v>0</v>
      </c>
      <c r="L41" s="114">
        <f t="shared" si="3"/>
        <v>0</v>
      </c>
      <c r="M41" s="303"/>
      <c r="N41" s="305">
        <f>+海田!N41</f>
        <v>8</v>
      </c>
      <c r="P41" s="132" t="s">
        <v>362</v>
      </c>
      <c r="Q41" s="129" t="s">
        <v>94</v>
      </c>
      <c r="R41" s="1095"/>
    </row>
    <row r="42" spans="1:18">
      <c r="A42" s="418"/>
      <c r="B42" s="117" t="s">
        <v>454</v>
      </c>
      <c r="C42" s="117"/>
      <c r="D42" s="117"/>
      <c r="E42" s="117"/>
      <c r="F42" s="117"/>
      <c r="G42" s="117"/>
      <c r="H42" s="114"/>
      <c r="I42" s="108">
        <f>+VLOOKUP($B42,年度別調書!$A$4:$M$37,10,0)</f>
        <v>19871916207</v>
      </c>
      <c r="J42" s="108">
        <f>+VLOOKUP($B42,年度別調書!$A$4:$M$37,13,0)</f>
        <v>98551757388</v>
      </c>
      <c r="K42" s="114">
        <f t="shared" si="2"/>
        <v>0</v>
      </c>
      <c r="L42" s="114">
        <f t="shared" si="3"/>
        <v>0</v>
      </c>
      <c r="M42" s="303"/>
      <c r="N42" s="305">
        <f>+海田!N42</f>
        <v>8</v>
      </c>
      <c r="P42" s="130" t="s">
        <v>366</v>
      </c>
      <c r="Q42" s="125"/>
      <c r="R42" s="1095">
        <v>372194</v>
      </c>
    </row>
    <row r="43" spans="1:18">
      <c r="A43" s="418"/>
      <c r="B43" s="1108" t="s">
        <v>498</v>
      </c>
      <c r="C43" s="117"/>
      <c r="D43" s="117"/>
      <c r="E43" s="117"/>
      <c r="F43" s="117"/>
      <c r="G43" s="117"/>
      <c r="H43" s="114"/>
      <c r="I43" s="108">
        <f>+VLOOKUP($B43,年度別調書!$A$4:$M$37,10,0)</f>
        <v>21889958229</v>
      </c>
      <c r="J43" s="108">
        <f>+VLOOKUP($B43,年度別調書!$A$4:$M$37,13,0)</f>
        <v>101214576030</v>
      </c>
      <c r="K43" s="114">
        <f t="shared" si="2"/>
        <v>0</v>
      </c>
      <c r="L43" s="114">
        <f t="shared" si="3"/>
        <v>0</v>
      </c>
      <c r="M43" s="303"/>
      <c r="N43" s="305">
        <f>+海田!N43</f>
        <v>8</v>
      </c>
      <c r="O43" s="87" t="s">
        <v>367</v>
      </c>
      <c r="P43" s="133" t="s">
        <v>368</v>
      </c>
      <c r="Q43" s="127" t="s">
        <v>338</v>
      </c>
      <c r="R43" s="1095"/>
    </row>
    <row r="44" spans="1:18">
      <c r="A44" s="418"/>
      <c r="B44" s="1109"/>
      <c r="C44" s="117"/>
      <c r="D44" s="117"/>
      <c r="E44" s="117"/>
      <c r="F44" s="117"/>
      <c r="G44" s="117"/>
      <c r="H44" s="114"/>
      <c r="I44" s="108">
        <f>+VLOOKUP($B43,年度別調書!$A$4:$M$37,10,0)</f>
        <v>21889958229</v>
      </c>
      <c r="J44" s="108">
        <f>+VLOOKUP($B43,年度別調書!$A$4:$M$37,13,0)</f>
        <v>101214576030</v>
      </c>
      <c r="K44" s="114">
        <f t="shared" ref="K44" si="4">IFERROR(ROUND(H44*I44/J44,0),0)</f>
        <v>0</v>
      </c>
      <c r="L44" s="114">
        <f t="shared" ref="L44" si="5">H44-K44</f>
        <v>0</v>
      </c>
      <c r="M44" s="303"/>
      <c r="N44" s="305">
        <f>+海田!N44</f>
        <v>10</v>
      </c>
      <c r="P44" s="132" t="s">
        <v>362</v>
      </c>
      <c r="Q44" s="129" t="s">
        <v>94</v>
      </c>
      <c r="R44" s="1095"/>
    </row>
    <row r="45" spans="1:18">
      <c r="A45" s="418"/>
      <c r="B45" s="117" t="s">
        <v>494</v>
      </c>
      <c r="C45" s="117"/>
      <c r="D45" s="117"/>
      <c r="E45" s="117"/>
      <c r="F45" s="117"/>
      <c r="G45" s="117"/>
      <c r="H45" s="114"/>
      <c r="I45" s="108">
        <f>+VLOOKUP($B45,年度別調書!$A$4:$M$37,10,0)</f>
        <v>25568719436</v>
      </c>
      <c r="J45" s="108">
        <f>+VLOOKUP($B45,年度別調書!$A$4:$M$37,13,0)</f>
        <v>105092548853</v>
      </c>
      <c r="K45" s="114">
        <f t="shared" si="2"/>
        <v>0</v>
      </c>
      <c r="L45" s="114">
        <f t="shared" si="3"/>
        <v>0</v>
      </c>
      <c r="M45" s="303"/>
      <c r="N45" s="305">
        <f>+海田!N45</f>
        <v>10</v>
      </c>
      <c r="P45" s="130" t="s">
        <v>369</v>
      </c>
      <c r="Q45" s="125"/>
      <c r="R45" s="1095">
        <v>684373</v>
      </c>
    </row>
    <row r="46" spans="1:18">
      <c r="A46" s="418"/>
      <c r="B46" s="117" t="s">
        <v>495</v>
      </c>
      <c r="C46" s="117"/>
      <c r="D46" s="117"/>
      <c r="E46" s="117"/>
      <c r="F46" s="117"/>
      <c r="G46" s="117"/>
      <c r="H46" s="114"/>
      <c r="I46" s="108">
        <f>+VLOOKUP($B46,年度別調書!$A$4:$M$37,10,0)</f>
        <v>25732995336</v>
      </c>
      <c r="J46" s="108">
        <f>+VLOOKUP($B46,年度別調書!$A$4:$M$37,13,0)</f>
        <v>106246537477</v>
      </c>
      <c r="K46" s="114">
        <f t="shared" si="2"/>
        <v>0</v>
      </c>
      <c r="L46" s="114">
        <f t="shared" si="3"/>
        <v>0</v>
      </c>
      <c r="M46" s="303"/>
      <c r="N46" s="305">
        <f>+海田!N46</f>
        <v>10</v>
      </c>
      <c r="O46" s="87" t="s">
        <v>370</v>
      </c>
      <c r="P46" s="133" t="s">
        <v>365</v>
      </c>
      <c r="Q46" s="127" t="s">
        <v>338</v>
      </c>
      <c r="R46" s="1095"/>
    </row>
    <row r="47" spans="1:18">
      <c r="A47" s="418"/>
      <c r="B47" s="117" t="s">
        <v>496</v>
      </c>
      <c r="C47" s="117"/>
      <c r="D47" s="117"/>
      <c r="E47" s="117"/>
      <c r="F47" s="117"/>
      <c r="G47" s="117"/>
      <c r="H47" s="114"/>
      <c r="I47" s="108">
        <f>+VLOOKUP($B47,年度別調書!$A$4:$M$37,10,0)</f>
        <v>22974897869</v>
      </c>
      <c r="J47" s="108">
        <f>+VLOOKUP($B47,年度別調書!$A$4:$M$37,13,0)</f>
        <v>102361733085</v>
      </c>
      <c r="K47" s="114">
        <f t="shared" si="2"/>
        <v>0</v>
      </c>
      <c r="L47" s="114">
        <f t="shared" si="3"/>
        <v>0</v>
      </c>
      <c r="M47" s="303"/>
      <c r="N47" s="305">
        <f>+海田!N47</f>
        <v>10</v>
      </c>
      <c r="P47" s="132" t="s">
        <v>362</v>
      </c>
      <c r="Q47" s="129" t="s">
        <v>174</v>
      </c>
      <c r="R47" s="1095"/>
    </row>
    <row r="48" spans="1:18">
      <c r="A48" s="419"/>
      <c r="B48" s="118" t="s">
        <v>94</v>
      </c>
      <c r="C48" s="118"/>
      <c r="D48" s="118"/>
      <c r="E48" s="118"/>
      <c r="F48" s="118"/>
      <c r="G48" s="118"/>
      <c r="H48" s="119">
        <f>SUM(H6:H47)</f>
        <v>163052136</v>
      </c>
      <c r="I48" s="38"/>
      <c r="J48" s="38"/>
      <c r="K48" s="119">
        <f>SUM(K6:K47)</f>
        <v>95865398</v>
      </c>
      <c r="L48" s="119">
        <f>SUM(L6:L47)</f>
        <v>67186738</v>
      </c>
      <c r="M48" s="303"/>
      <c r="N48" s="305">
        <f>+海田!N48</f>
        <v>0</v>
      </c>
      <c r="P48" s="130" t="s">
        <v>371</v>
      </c>
      <c r="Q48" s="125"/>
      <c r="R48" s="1095">
        <v>480134</v>
      </c>
    </row>
    <row r="49" spans="10:18">
      <c r="K49" s="72"/>
      <c r="O49" s="87" t="s">
        <v>372</v>
      </c>
      <c r="P49" s="133" t="s">
        <v>365</v>
      </c>
      <c r="Q49" s="127" t="s">
        <v>338</v>
      </c>
      <c r="R49" s="1095"/>
    </row>
    <row r="50" spans="10:18">
      <c r="J50" s="306" t="s">
        <v>404</v>
      </c>
      <c r="K50" s="307" t="s">
        <v>403</v>
      </c>
      <c r="P50" s="132" t="s">
        <v>362</v>
      </c>
      <c r="Q50" s="129" t="s">
        <v>94</v>
      </c>
      <c r="R50" s="1095"/>
    </row>
    <row r="51" spans="10:18">
      <c r="J51" s="307">
        <v>3</v>
      </c>
      <c r="K51" s="308">
        <f>+SUMIFS($K$4:$K$48,$N$4:$N$48,$J51)</f>
        <v>92548428</v>
      </c>
      <c r="P51" s="124" t="s">
        <v>373</v>
      </c>
      <c r="Q51" s="125"/>
      <c r="R51" s="1095">
        <v>247640</v>
      </c>
    </row>
    <row r="52" spans="10:18">
      <c r="J52" s="307">
        <v>5</v>
      </c>
      <c r="K52" s="308">
        <f>+SUMIFS($K$4:$K$48,$N$4:$N$48,$J52)</f>
        <v>3316970</v>
      </c>
      <c r="O52" s="87" t="s">
        <v>374</v>
      </c>
      <c r="P52" s="134" t="s">
        <v>375</v>
      </c>
      <c r="Q52" s="127" t="s">
        <v>338</v>
      </c>
      <c r="R52" s="1095"/>
    </row>
    <row r="53" spans="10:18">
      <c r="J53" s="307">
        <v>8</v>
      </c>
      <c r="K53" s="308">
        <f>+SUMIFS($K$4:$K$48,$N$4:$N$48,$J53)</f>
        <v>0</v>
      </c>
      <c r="P53" s="128" t="s">
        <v>362</v>
      </c>
      <c r="Q53" s="129" t="s">
        <v>94</v>
      </c>
      <c r="R53" s="1095"/>
    </row>
    <row r="54" spans="10:18" ht="14.25" thickBot="1">
      <c r="J54" s="307">
        <v>10</v>
      </c>
      <c r="K54" s="308">
        <f>+SUMIFS($K$4:$K$48,$N$4:$N$48,$J54)</f>
        <v>0</v>
      </c>
      <c r="P54" s="135"/>
      <c r="Q54" s="125"/>
      <c r="R54" s="352"/>
    </row>
    <row r="55" spans="10:18" ht="14.25" thickBot="1">
      <c r="J55" s="306" t="s">
        <v>405</v>
      </c>
      <c r="K55" s="309">
        <f>SUM(K51:K54)</f>
        <v>95865398</v>
      </c>
      <c r="P55" s="136" t="s">
        <v>94</v>
      </c>
      <c r="Q55" s="127" t="s">
        <v>338</v>
      </c>
      <c r="R55" s="351">
        <f>SUM(R6:R53)</f>
        <v>163052136</v>
      </c>
    </row>
    <row r="56" spans="10:18" ht="14.25" thickBot="1">
      <c r="J56" s="306" t="s">
        <v>406</v>
      </c>
      <c r="K56" s="309">
        <f>+K48-K55</f>
        <v>0</v>
      </c>
      <c r="P56" s="137"/>
      <c r="Q56" s="138" t="s">
        <v>94</v>
      </c>
      <c r="R56" s="337"/>
    </row>
  </sheetData>
  <mergeCells count="27">
    <mergeCell ref="R51:R53"/>
    <mergeCell ref="R42:R44"/>
    <mergeCell ref="R45:R47"/>
    <mergeCell ref="P4:Q5"/>
    <mergeCell ref="R4:R5"/>
    <mergeCell ref="R48:R50"/>
    <mergeCell ref="R33:R35"/>
    <mergeCell ref="R36:R38"/>
    <mergeCell ref="R39:R41"/>
    <mergeCell ref="R6:R8"/>
    <mergeCell ref="R9:R11"/>
    <mergeCell ref="R12:R14"/>
    <mergeCell ref="R30:R32"/>
    <mergeCell ref="R15:R17"/>
    <mergeCell ref="R18:R20"/>
    <mergeCell ref="R21:R23"/>
    <mergeCell ref="A4:A5"/>
    <mergeCell ref="B4:B5"/>
    <mergeCell ref="H4:H5"/>
    <mergeCell ref="I4:I5"/>
    <mergeCell ref="B43:B44"/>
    <mergeCell ref="R24:R26"/>
    <mergeCell ref="R27:R29"/>
    <mergeCell ref="J4:J5"/>
    <mergeCell ref="K4:K5"/>
    <mergeCell ref="L4:L5"/>
    <mergeCell ref="N4:N5"/>
  </mergeCells>
  <phoneticPr fontId="2"/>
  <pageMargins left="0.78700000000000003" right="0.78700000000000003" top="0.63" bottom="0.82" header="0.3" footer="0.35"/>
  <pageSetup paperSize="9" scale="65" orientation="portrait" r:id="rId1"/>
  <headerFooter alignWithMargins="0"/>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tabColor rgb="FF66FF33"/>
  </sheetPr>
  <dimension ref="A2:AE56"/>
  <sheetViews>
    <sheetView zoomScale="85" zoomScaleNormal="85" zoomScaleSheetLayoutView="85" workbookViewId="0">
      <pane xSplit="2" ySplit="5" topLeftCell="F15" activePane="bottomRight" state="frozen"/>
      <selection sqref="A1:XFD1048576"/>
      <selection pane="topRight" sqref="A1:XFD1048576"/>
      <selection pane="bottomLeft" sqref="A1:XFD1048576"/>
      <selection pane="bottomRight" activeCell="U50" activeCellId="1" sqref="AC50 U50"/>
    </sheetView>
  </sheetViews>
  <sheetFormatPr defaultRowHeight="13.5"/>
  <cols>
    <col min="1" max="1" width="2.625" customWidth="1"/>
    <col min="2" max="2" width="11.625" bestFit="1" customWidth="1"/>
    <col min="3" max="5" width="13.125" customWidth="1"/>
    <col min="6" max="7" width="11.625" customWidth="1"/>
    <col min="8" max="8" width="13.125" customWidth="1"/>
    <col min="9" max="10" width="13.75" customWidth="1"/>
    <col min="11" max="12" width="13.125" customWidth="1"/>
    <col min="13" max="13" width="7.625" customWidth="1"/>
    <col min="14" max="14" width="3.125" customWidth="1"/>
    <col min="15" max="15" width="2.625" customWidth="1"/>
    <col min="16" max="21" width="11.625" customWidth="1"/>
    <col min="22" max="22" width="3.125" customWidth="1"/>
    <col min="23" max="23" width="2.625" customWidth="1"/>
    <col min="24" max="24" width="11.625" bestFit="1" customWidth="1"/>
    <col min="25" max="29" width="11.625" customWidth="1"/>
    <col min="30" max="30" width="3.125" customWidth="1"/>
  </cols>
  <sheetData>
    <row r="2" spans="1:29">
      <c r="A2" t="str">
        <f>+"令和"&amp;MID(総括表!A2,3,1)&amp;"年度決算　海田町海田地区"</f>
        <v>令和５年度決算　海田町海田地区</v>
      </c>
      <c r="O2" t="str">
        <f>+A2</f>
        <v>令和５年度決算　海田町海田地区</v>
      </c>
      <c r="T2" s="87"/>
      <c r="U2" s="87"/>
    </row>
    <row r="4" spans="1:29" ht="13.5" customHeight="1">
      <c r="A4" s="1104" t="s">
        <v>48</v>
      </c>
      <c r="B4" s="1104" t="s">
        <v>331</v>
      </c>
      <c r="C4" s="1121" t="s">
        <v>90</v>
      </c>
      <c r="D4" s="1121"/>
      <c r="E4" s="1121"/>
      <c r="F4" s="1107" t="s">
        <v>92</v>
      </c>
      <c r="G4" s="1107" t="s">
        <v>95</v>
      </c>
      <c r="H4" s="1107" t="s">
        <v>141</v>
      </c>
      <c r="I4" s="1096" t="s">
        <v>65</v>
      </c>
      <c r="J4" s="1096" t="s">
        <v>67</v>
      </c>
      <c r="K4" s="1098" t="s">
        <v>91</v>
      </c>
      <c r="L4" s="1100" t="s">
        <v>17</v>
      </c>
      <c r="M4" s="1100" t="s">
        <v>424</v>
      </c>
      <c r="N4" s="1122" t="s">
        <v>402</v>
      </c>
      <c r="O4" s="1104" t="s">
        <v>48</v>
      </c>
      <c r="P4" s="1104" t="s">
        <v>93</v>
      </c>
      <c r="Q4" s="1121" t="s">
        <v>90</v>
      </c>
      <c r="R4" s="1121"/>
      <c r="S4" s="1121"/>
      <c r="T4" s="1107" t="s">
        <v>92</v>
      </c>
      <c r="U4" s="1107" t="s">
        <v>95</v>
      </c>
      <c r="W4" s="1104" t="s">
        <v>48</v>
      </c>
      <c r="X4" s="1104" t="s">
        <v>93</v>
      </c>
      <c r="Y4" s="1121" t="s">
        <v>90</v>
      </c>
      <c r="Z4" s="1121"/>
      <c r="AA4" s="1121"/>
      <c r="AB4" s="1107" t="s">
        <v>92</v>
      </c>
      <c r="AC4" s="1107" t="s">
        <v>95</v>
      </c>
    </row>
    <row r="5" spans="1:29" ht="13.5" customHeight="1">
      <c r="A5" s="1105"/>
      <c r="B5" s="1106"/>
      <c r="C5" s="26" t="s">
        <v>89</v>
      </c>
      <c r="D5" s="26" t="s">
        <v>328</v>
      </c>
      <c r="E5" s="26" t="s">
        <v>87</v>
      </c>
      <c r="F5" s="1099"/>
      <c r="G5" s="1117"/>
      <c r="H5" s="1099"/>
      <c r="I5" s="1097"/>
      <c r="J5" s="1097"/>
      <c r="K5" s="1099"/>
      <c r="L5" s="1101"/>
      <c r="M5" s="1101"/>
      <c r="N5" s="1123"/>
      <c r="O5" s="1105"/>
      <c r="P5" s="1106"/>
      <c r="Q5" s="26" t="s">
        <v>89</v>
      </c>
      <c r="R5" s="26" t="s">
        <v>328</v>
      </c>
      <c r="S5" s="26" t="s">
        <v>87</v>
      </c>
      <c r="T5" s="1099"/>
      <c r="U5" s="1117"/>
      <c r="V5" s="113"/>
      <c r="W5" s="1105"/>
      <c r="X5" s="1106"/>
      <c r="Y5" s="26" t="s">
        <v>89</v>
      </c>
      <c r="Z5" s="26" t="s">
        <v>328</v>
      </c>
      <c r="AA5" s="26" t="s">
        <v>87</v>
      </c>
      <c r="AB5" s="1099"/>
      <c r="AC5" s="1117"/>
    </row>
    <row r="6" spans="1:29" ht="13.5" customHeight="1">
      <c r="A6" s="1118" t="s">
        <v>330</v>
      </c>
      <c r="B6" s="116" t="s">
        <v>455</v>
      </c>
      <c r="C6" s="115">
        <f t="shared" ref="C6:C47" si="0">+Q6+Y6</f>
        <v>0</v>
      </c>
      <c r="D6" s="115">
        <f t="shared" ref="D6:D47" si="1">+R6+Z6</f>
        <v>0</v>
      </c>
      <c r="E6" s="115">
        <f t="shared" ref="E6:E47" si="2">+S6+AA6</f>
        <v>0</v>
      </c>
      <c r="F6" s="115">
        <f t="shared" ref="F6:F47" si="3">+T6+AB6</f>
        <v>0</v>
      </c>
      <c r="G6" s="114">
        <f t="shared" ref="G6:G47" si="4">ROUND(C6/C$48*G$48,0)</f>
        <v>0</v>
      </c>
      <c r="H6" s="114">
        <f t="shared" ref="H6:H47" si="5">C6-G6</f>
        <v>0</v>
      </c>
      <c r="I6" s="38"/>
      <c r="J6" s="38"/>
      <c r="K6" s="114">
        <v>0</v>
      </c>
      <c r="L6" s="114">
        <f t="shared" ref="L6:L12" si="6">H6-K6</f>
        <v>0</v>
      </c>
      <c r="M6" s="120">
        <f>ROUND(C6/C$48*G$48,3)-ROUND(C6/C$48*G$48,0)</f>
        <v>0</v>
      </c>
      <c r="N6" s="304">
        <v>0</v>
      </c>
      <c r="O6" s="1118" t="s">
        <v>110</v>
      </c>
      <c r="P6" s="116" t="str">
        <f>+B6</f>
        <v>昭和57年度</v>
      </c>
      <c r="Q6" s="338">
        <v>0</v>
      </c>
      <c r="R6" s="338">
        <v>0</v>
      </c>
      <c r="S6" s="338">
        <v>0</v>
      </c>
      <c r="T6" s="338">
        <v>0</v>
      </c>
      <c r="U6" s="114"/>
      <c r="V6" s="120"/>
      <c r="W6" s="1118" t="s">
        <v>329</v>
      </c>
      <c r="X6" s="116" t="str">
        <f>+B6</f>
        <v>昭和57年度</v>
      </c>
      <c r="Y6" s="339">
        <v>0</v>
      </c>
      <c r="Z6" s="339">
        <v>0</v>
      </c>
      <c r="AA6" s="339">
        <v>0</v>
      </c>
      <c r="AB6" s="339">
        <v>0</v>
      </c>
      <c r="AC6" s="114"/>
    </row>
    <row r="7" spans="1:29">
      <c r="A7" s="1119"/>
      <c r="B7" s="116" t="s">
        <v>456</v>
      </c>
      <c r="C7" s="115">
        <f t="shared" si="0"/>
        <v>0</v>
      </c>
      <c r="D7" s="115">
        <f t="shared" si="1"/>
        <v>0</v>
      </c>
      <c r="E7" s="115">
        <f t="shared" si="2"/>
        <v>0</v>
      </c>
      <c r="F7" s="115">
        <f t="shared" si="3"/>
        <v>0</v>
      </c>
      <c r="G7" s="114">
        <f t="shared" si="4"/>
        <v>0</v>
      </c>
      <c r="H7" s="114">
        <f t="shared" si="5"/>
        <v>0</v>
      </c>
      <c r="I7" s="38"/>
      <c r="J7" s="38"/>
      <c r="K7" s="114">
        <v>0</v>
      </c>
      <c r="L7" s="114">
        <f t="shared" si="6"/>
        <v>0</v>
      </c>
      <c r="M7" s="120">
        <f>ROUND(C7/C$48*G$48,3)-ROUND(C7/C$48*G$48,0)</f>
        <v>0</v>
      </c>
      <c r="N7" s="304">
        <v>0</v>
      </c>
      <c r="O7" s="1119"/>
      <c r="P7" s="116" t="str">
        <f t="shared" ref="P7:P47" si="7">+B7</f>
        <v>昭和58年度</v>
      </c>
      <c r="Q7" s="338">
        <v>0</v>
      </c>
      <c r="R7" s="338">
        <v>0</v>
      </c>
      <c r="S7" s="338">
        <v>0</v>
      </c>
      <c r="T7" s="338">
        <v>0</v>
      </c>
      <c r="U7" s="114"/>
      <c r="V7" s="121"/>
      <c r="W7" s="1119"/>
      <c r="X7" s="116" t="str">
        <f t="shared" ref="X7:X47" si="8">+B7</f>
        <v>昭和58年度</v>
      </c>
      <c r="Y7" s="339">
        <v>0</v>
      </c>
      <c r="Z7" s="339">
        <v>0</v>
      </c>
      <c r="AA7" s="339">
        <v>0</v>
      </c>
      <c r="AB7" s="339">
        <v>0</v>
      </c>
      <c r="AC7" s="114"/>
    </row>
    <row r="8" spans="1:29">
      <c r="A8" s="1119"/>
      <c r="B8" s="116" t="s">
        <v>457</v>
      </c>
      <c r="C8" s="115">
        <f t="shared" si="0"/>
        <v>0</v>
      </c>
      <c r="D8" s="115">
        <f t="shared" si="1"/>
        <v>0</v>
      </c>
      <c r="E8" s="115">
        <f t="shared" si="2"/>
        <v>0</v>
      </c>
      <c r="F8" s="115">
        <f t="shared" si="3"/>
        <v>0</v>
      </c>
      <c r="G8" s="114">
        <f t="shared" si="4"/>
        <v>0</v>
      </c>
      <c r="H8" s="114">
        <f t="shared" si="5"/>
        <v>0</v>
      </c>
      <c r="I8" s="38"/>
      <c r="J8" s="38"/>
      <c r="K8" s="114">
        <v>0</v>
      </c>
      <c r="L8" s="114">
        <f t="shared" si="6"/>
        <v>0</v>
      </c>
      <c r="M8" s="120">
        <f>ROUND(C8/C$48*G$48,3)-ROUND(C8/C$48*G$48,0)</f>
        <v>0</v>
      </c>
      <c r="N8" s="304">
        <v>0</v>
      </c>
      <c r="O8" s="1119"/>
      <c r="P8" s="116" t="str">
        <f t="shared" si="7"/>
        <v>昭和59年度</v>
      </c>
      <c r="Q8" s="338">
        <v>0</v>
      </c>
      <c r="R8" s="338">
        <v>0</v>
      </c>
      <c r="S8" s="338">
        <v>0</v>
      </c>
      <c r="T8" s="338">
        <v>0</v>
      </c>
      <c r="U8" s="114"/>
      <c r="V8" s="121"/>
      <c r="W8" s="1119"/>
      <c r="X8" s="116" t="str">
        <f t="shared" si="8"/>
        <v>昭和59年度</v>
      </c>
      <c r="Y8" s="339">
        <v>0</v>
      </c>
      <c r="Z8" s="339">
        <v>0</v>
      </c>
      <c r="AA8" s="339">
        <v>0</v>
      </c>
      <c r="AB8" s="339">
        <v>0</v>
      </c>
      <c r="AC8" s="114"/>
    </row>
    <row r="9" spans="1:29">
      <c r="A9" s="1119"/>
      <c r="B9" s="116" t="s">
        <v>458</v>
      </c>
      <c r="C9" s="115">
        <f t="shared" si="0"/>
        <v>0</v>
      </c>
      <c r="D9" s="115">
        <f t="shared" si="1"/>
        <v>0</v>
      </c>
      <c r="E9" s="115">
        <f t="shared" si="2"/>
        <v>0</v>
      </c>
      <c r="F9" s="115">
        <f t="shared" si="3"/>
        <v>0</v>
      </c>
      <c r="G9" s="114">
        <f t="shared" si="4"/>
        <v>0</v>
      </c>
      <c r="H9" s="114">
        <f t="shared" si="5"/>
        <v>0</v>
      </c>
      <c r="I9" s="38"/>
      <c r="J9" s="38"/>
      <c r="K9" s="114">
        <v>0</v>
      </c>
      <c r="L9" s="114">
        <f t="shared" si="6"/>
        <v>0</v>
      </c>
      <c r="M9" s="120">
        <f>ROUND(C9/C$48*G$48,3)-ROUND(C9/C$48*G$48,0)</f>
        <v>0</v>
      </c>
      <c r="N9" s="304">
        <v>0</v>
      </c>
      <c r="O9" s="1119"/>
      <c r="P9" s="116" t="str">
        <f t="shared" si="7"/>
        <v>昭和60年度</v>
      </c>
      <c r="Q9" s="338">
        <v>0</v>
      </c>
      <c r="R9" s="338">
        <v>0</v>
      </c>
      <c r="S9" s="338">
        <v>0</v>
      </c>
      <c r="T9" s="338">
        <v>0</v>
      </c>
      <c r="U9" s="114"/>
      <c r="V9" s="121"/>
      <c r="W9" s="1119"/>
      <c r="X9" s="116" t="str">
        <f t="shared" si="8"/>
        <v>昭和60年度</v>
      </c>
      <c r="Y9" s="339">
        <v>0</v>
      </c>
      <c r="Z9" s="339">
        <v>0</v>
      </c>
      <c r="AA9" s="339">
        <v>0</v>
      </c>
      <c r="AB9" s="339">
        <v>0</v>
      </c>
      <c r="AC9" s="114"/>
    </row>
    <row r="10" spans="1:29">
      <c r="A10" s="1119"/>
      <c r="B10" s="116" t="s">
        <v>459</v>
      </c>
      <c r="C10" s="115">
        <f t="shared" si="0"/>
        <v>0</v>
      </c>
      <c r="D10" s="115">
        <f t="shared" si="1"/>
        <v>0</v>
      </c>
      <c r="E10" s="115">
        <f t="shared" si="2"/>
        <v>0</v>
      </c>
      <c r="F10" s="115">
        <f t="shared" si="3"/>
        <v>0</v>
      </c>
      <c r="G10" s="375">
        <f>ROUND(C10/C$48*G$48,0)</f>
        <v>0</v>
      </c>
      <c r="H10" s="114">
        <f t="shared" si="5"/>
        <v>0</v>
      </c>
      <c r="I10" s="38"/>
      <c r="J10" s="38"/>
      <c r="K10" s="114">
        <v>0</v>
      </c>
      <c r="L10" s="114">
        <f t="shared" si="6"/>
        <v>0</v>
      </c>
      <c r="M10" s="120">
        <f t="shared" ref="M10:M47" si="9">ROUND(C10/C$48*G$48,3)-ROUND(C10/C$48*G$48,0)</f>
        <v>0</v>
      </c>
      <c r="N10" s="304">
        <v>0</v>
      </c>
      <c r="O10" s="1119"/>
      <c r="P10" s="116" t="str">
        <f t="shared" si="7"/>
        <v>昭和61年度</v>
      </c>
      <c r="Q10" s="338">
        <v>0</v>
      </c>
      <c r="R10" s="338">
        <v>0</v>
      </c>
      <c r="S10" s="338">
        <v>0</v>
      </c>
      <c r="T10" s="338">
        <v>0</v>
      </c>
      <c r="U10" s="114"/>
      <c r="V10" s="121"/>
      <c r="W10" s="1119"/>
      <c r="X10" s="116" t="str">
        <f t="shared" si="8"/>
        <v>昭和61年度</v>
      </c>
      <c r="Y10" s="339">
        <v>0</v>
      </c>
      <c r="Z10" s="339">
        <v>0</v>
      </c>
      <c r="AA10" s="339">
        <v>0</v>
      </c>
      <c r="AB10" s="339">
        <v>0</v>
      </c>
      <c r="AC10" s="114"/>
    </row>
    <row r="11" spans="1:29">
      <c r="A11" s="1119"/>
      <c r="B11" s="116" t="s">
        <v>460</v>
      </c>
      <c r="C11" s="115">
        <f t="shared" si="0"/>
        <v>0</v>
      </c>
      <c r="D11" s="115">
        <f t="shared" si="1"/>
        <v>0</v>
      </c>
      <c r="E11" s="115">
        <f t="shared" si="2"/>
        <v>0</v>
      </c>
      <c r="F11" s="115">
        <f t="shared" si="3"/>
        <v>0</v>
      </c>
      <c r="G11" s="114">
        <f t="shared" si="4"/>
        <v>0</v>
      </c>
      <c r="H11" s="114">
        <f t="shared" si="5"/>
        <v>0</v>
      </c>
      <c r="I11" s="38"/>
      <c r="J11" s="38"/>
      <c r="K11" s="114">
        <v>0</v>
      </c>
      <c r="L11" s="114">
        <f t="shared" si="6"/>
        <v>0</v>
      </c>
      <c r="M11" s="120">
        <f t="shared" si="9"/>
        <v>0</v>
      </c>
      <c r="N11" s="304">
        <v>0</v>
      </c>
      <c r="O11" s="1119"/>
      <c r="P11" s="116" t="str">
        <f t="shared" si="7"/>
        <v>昭和62年度</v>
      </c>
      <c r="Q11" s="338">
        <v>0</v>
      </c>
      <c r="R11" s="338">
        <v>0</v>
      </c>
      <c r="S11" s="338">
        <v>0</v>
      </c>
      <c r="T11" s="338">
        <v>0</v>
      </c>
      <c r="U11" s="114"/>
      <c r="V11" s="121"/>
      <c r="W11" s="1119"/>
      <c r="X11" s="116" t="str">
        <f t="shared" si="8"/>
        <v>昭和62年度</v>
      </c>
      <c r="Y11" s="339">
        <v>0</v>
      </c>
      <c r="Z11" s="339">
        <v>0</v>
      </c>
      <c r="AA11" s="339">
        <v>0</v>
      </c>
      <c r="AB11" s="339">
        <v>0</v>
      </c>
      <c r="AC11" s="114"/>
    </row>
    <row r="12" spans="1:29">
      <c r="A12" s="1119"/>
      <c r="B12" s="116" t="s">
        <v>461</v>
      </c>
      <c r="C12" s="115">
        <f t="shared" si="0"/>
        <v>0</v>
      </c>
      <c r="D12" s="115">
        <f t="shared" si="1"/>
        <v>0</v>
      </c>
      <c r="E12" s="115">
        <f t="shared" si="2"/>
        <v>0</v>
      </c>
      <c r="F12" s="115">
        <f t="shared" si="3"/>
        <v>0</v>
      </c>
      <c r="G12" s="114">
        <f t="shared" si="4"/>
        <v>0</v>
      </c>
      <c r="H12" s="114">
        <f t="shared" si="5"/>
        <v>0</v>
      </c>
      <c r="I12" s="38"/>
      <c r="J12" s="38"/>
      <c r="K12" s="114">
        <v>0</v>
      </c>
      <c r="L12" s="114">
        <f t="shared" si="6"/>
        <v>0</v>
      </c>
      <c r="M12" s="120">
        <f t="shared" si="9"/>
        <v>0</v>
      </c>
      <c r="N12" s="304">
        <v>0</v>
      </c>
      <c r="O12" s="1119"/>
      <c r="P12" s="116" t="str">
        <f t="shared" si="7"/>
        <v>昭和63年度</v>
      </c>
      <c r="Q12" s="338">
        <v>0</v>
      </c>
      <c r="R12" s="338">
        <v>0</v>
      </c>
      <c r="S12" s="338">
        <v>0</v>
      </c>
      <c r="T12" s="338">
        <v>0</v>
      </c>
      <c r="U12" s="114"/>
      <c r="V12" s="121"/>
      <c r="W12" s="1119"/>
      <c r="X12" s="116" t="str">
        <f t="shared" si="8"/>
        <v>昭和63年度</v>
      </c>
      <c r="Y12" s="339">
        <v>0</v>
      </c>
      <c r="Z12" s="339">
        <v>0</v>
      </c>
      <c r="AA12" s="339">
        <v>0</v>
      </c>
      <c r="AB12" s="339">
        <v>0</v>
      </c>
      <c r="AC12" s="114"/>
    </row>
    <row r="13" spans="1:29">
      <c r="A13" s="1119"/>
      <c r="B13" s="117" t="s">
        <v>425</v>
      </c>
      <c r="C13" s="115">
        <f t="shared" si="0"/>
        <v>0</v>
      </c>
      <c r="D13" s="115">
        <f t="shared" si="1"/>
        <v>0</v>
      </c>
      <c r="E13" s="115">
        <f t="shared" si="2"/>
        <v>0</v>
      </c>
      <c r="F13" s="115">
        <f t="shared" si="3"/>
        <v>0</v>
      </c>
      <c r="G13" s="375">
        <f>ROUND(C13/C$48*G$48,0)</f>
        <v>0</v>
      </c>
      <c r="H13" s="114">
        <f t="shared" si="5"/>
        <v>0</v>
      </c>
      <c r="I13" s="108">
        <f>+VLOOKUP($B13,年度別調書!$A$4:$M$37,10,0)</f>
        <v>30622955900</v>
      </c>
      <c r="J13" s="108">
        <f>+VLOOKUP($B13,年度別調書!$A$4:$M$37,13,0)</f>
        <v>62903610340</v>
      </c>
      <c r="K13" s="114">
        <f>IFERROR(ROUND(H13*I13/J13,0),0)</f>
        <v>0</v>
      </c>
      <c r="L13" s="114">
        <f>H13-K13</f>
        <v>0</v>
      </c>
      <c r="M13" s="120">
        <f t="shared" si="9"/>
        <v>0</v>
      </c>
      <c r="N13" s="304">
        <v>3</v>
      </c>
      <c r="O13" s="1119"/>
      <c r="P13" s="116" t="str">
        <f t="shared" si="7"/>
        <v>平成元年度</v>
      </c>
      <c r="Q13" s="338">
        <v>0</v>
      </c>
      <c r="R13" s="338">
        <v>0</v>
      </c>
      <c r="S13" s="338">
        <v>0</v>
      </c>
      <c r="T13" s="338">
        <v>0</v>
      </c>
      <c r="U13" s="114"/>
      <c r="V13" s="121"/>
      <c r="W13" s="1119"/>
      <c r="X13" s="116" t="str">
        <f t="shared" si="8"/>
        <v>平成元年度</v>
      </c>
      <c r="Y13" s="339">
        <v>0</v>
      </c>
      <c r="Z13" s="339">
        <v>0</v>
      </c>
      <c r="AA13" s="339">
        <v>0</v>
      </c>
      <c r="AB13" s="339">
        <v>0</v>
      </c>
      <c r="AC13" s="114"/>
    </row>
    <row r="14" spans="1:29">
      <c r="A14" s="1119"/>
      <c r="B14" s="117" t="s">
        <v>426</v>
      </c>
      <c r="C14" s="115">
        <f>+Q14+Y14</f>
        <v>0</v>
      </c>
      <c r="D14" s="115">
        <f t="shared" si="1"/>
        <v>0</v>
      </c>
      <c r="E14" s="115">
        <f t="shared" si="2"/>
        <v>0</v>
      </c>
      <c r="F14" s="115">
        <f t="shared" si="3"/>
        <v>0</v>
      </c>
      <c r="G14" s="375">
        <f t="shared" si="4"/>
        <v>0</v>
      </c>
      <c r="H14" s="114">
        <f t="shared" si="5"/>
        <v>0</v>
      </c>
      <c r="I14" s="108">
        <f>+VLOOKUP($B14,年度別調書!$A$4:$M$37,10,0)</f>
        <v>36785805618</v>
      </c>
      <c r="J14" s="108">
        <f>+VLOOKUP($B14,年度別調書!$A$4:$M$37,13,0)</f>
        <v>65207626364</v>
      </c>
      <c r="K14" s="114">
        <f t="shared" ref="K14:K47" si="10">IFERROR(ROUND(H14*I14/J14,0),0)</f>
        <v>0</v>
      </c>
      <c r="L14" s="114">
        <f>H14-K14</f>
        <v>0</v>
      </c>
      <c r="M14" s="120">
        <f t="shared" si="9"/>
        <v>0</v>
      </c>
      <c r="N14" s="304">
        <v>3</v>
      </c>
      <c r="O14" s="1119"/>
      <c r="P14" s="116" t="str">
        <f t="shared" si="7"/>
        <v>平成2年度</v>
      </c>
      <c r="Q14" s="338">
        <v>0</v>
      </c>
      <c r="R14" s="338">
        <v>0</v>
      </c>
      <c r="S14" s="338">
        <v>0</v>
      </c>
      <c r="T14" s="338">
        <v>0</v>
      </c>
      <c r="U14" s="114"/>
      <c r="V14" s="121"/>
      <c r="W14" s="1119"/>
      <c r="X14" s="116" t="str">
        <f t="shared" si="8"/>
        <v>平成2年度</v>
      </c>
      <c r="Y14" s="339">
        <v>0</v>
      </c>
      <c r="Z14" s="339">
        <v>0</v>
      </c>
      <c r="AA14" s="339">
        <v>0</v>
      </c>
      <c r="AB14" s="339">
        <v>0</v>
      </c>
      <c r="AC14" s="114"/>
    </row>
    <row r="15" spans="1:29">
      <c r="A15" s="1119"/>
      <c r="B15" s="117" t="s">
        <v>427</v>
      </c>
      <c r="C15" s="115">
        <f t="shared" si="0"/>
        <v>0</v>
      </c>
      <c r="D15" s="115">
        <f t="shared" si="1"/>
        <v>0</v>
      </c>
      <c r="E15" s="115">
        <f t="shared" si="2"/>
        <v>0</v>
      </c>
      <c r="F15" s="115">
        <f t="shared" si="3"/>
        <v>0</v>
      </c>
      <c r="G15" s="375">
        <f>ROUND(C15/C$48*G$48,0)</f>
        <v>0</v>
      </c>
      <c r="H15" s="114">
        <f>C15-G15</f>
        <v>0</v>
      </c>
      <c r="I15" s="108">
        <f>+VLOOKUP($B15,年度別調書!$A$4:$M$37,10,0)</f>
        <v>42048127236</v>
      </c>
      <c r="J15" s="108">
        <f>+VLOOKUP($B15,年度別調書!$A$4:$M$37,13,0)</f>
        <v>72538415314</v>
      </c>
      <c r="K15" s="114">
        <f t="shared" si="10"/>
        <v>0</v>
      </c>
      <c r="L15" s="114">
        <f>H15-K15</f>
        <v>0</v>
      </c>
      <c r="M15" s="120">
        <f t="shared" si="9"/>
        <v>0</v>
      </c>
      <c r="N15" s="304">
        <v>3</v>
      </c>
      <c r="O15" s="1119"/>
      <c r="P15" s="116" t="str">
        <f t="shared" si="7"/>
        <v>平成3年度</v>
      </c>
      <c r="Q15" s="338">
        <v>0</v>
      </c>
      <c r="R15" s="338">
        <v>0</v>
      </c>
      <c r="S15" s="338">
        <v>0</v>
      </c>
      <c r="T15" s="338">
        <v>0</v>
      </c>
      <c r="U15" s="114"/>
      <c r="V15" s="121"/>
      <c r="W15" s="1119"/>
      <c r="X15" s="116" t="str">
        <f t="shared" si="8"/>
        <v>平成3年度</v>
      </c>
      <c r="Y15" s="339">
        <v>0</v>
      </c>
      <c r="Z15" s="339">
        <v>0</v>
      </c>
      <c r="AA15" s="339">
        <v>0</v>
      </c>
      <c r="AB15" s="339">
        <v>0</v>
      </c>
      <c r="AC15" s="114"/>
    </row>
    <row r="16" spans="1:29">
      <c r="A16" s="1119"/>
      <c r="B16" s="117" t="s">
        <v>428</v>
      </c>
      <c r="C16" s="115">
        <f t="shared" si="0"/>
        <v>2013138</v>
      </c>
      <c r="D16" s="115">
        <f t="shared" si="1"/>
        <v>55276</v>
      </c>
      <c r="E16" s="115">
        <f t="shared" si="2"/>
        <v>2068414</v>
      </c>
      <c r="F16" s="115">
        <f t="shared" si="3"/>
        <v>161080</v>
      </c>
      <c r="G16" s="375">
        <f>ROUND(C16/C$48*G$48,0)</f>
        <v>154586</v>
      </c>
      <c r="H16" s="114">
        <f t="shared" si="5"/>
        <v>1858552</v>
      </c>
      <c r="I16" s="108">
        <f>+VLOOKUP($B16,年度別調書!$A$4:$M$37,10,0)</f>
        <v>49320557603</v>
      </c>
      <c r="J16" s="108">
        <f>+VLOOKUP($B16,年度別調書!$A$4:$M$37,13,0)</f>
        <v>82028053042</v>
      </c>
      <c r="K16" s="114">
        <f t="shared" si="10"/>
        <v>1117481</v>
      </c>
      <c r="L16" s="114">
        <f>H16-K16</f>
        <v>741071</v>
      </c>
      <c r="M16" s="120">
        <f t="shared" si="9"/>
        <v>-0.45199999999022111</v>
      </c>
      <c r="N16" s="304">
        <v>3</v>
      </c>
      <c r="O16" s="1119"/>
      <c r="P16" s="116" t="str">
        <f t="shared" si="7"/>
        <v>平成4年度</v>
      </c>
      <c r="Q16" s="338">
        <v>997467</v>
      </c>
      <c r="R16" s="338">
        <v>36740</v>
      </c>
      <c r="S16" s="338">
        <v>1034207</v>
      </c>
      <c r="T16" s="338">
        <v>80540</v>
      </c>
      <c r="U16" s="114"/>
      <c r="V16" s="121"/>
      <c r="W16" s="1119"/>
      <c r="X16" s="116" t="str">
        <f t="shared" si="8"/>
        <v>平成4年度</v>
      </c>
      <c r="Y16" s="339">
        <v>1015671</v>
      </c>
      <c r="Z16" s="339">
        <v>18536</v>
      </c>
      <c r="AA16" s="339">
        <v>1034207</v>
      </c>
      <c r="AB16" s="339">
        <v>80540</v>
      </c>
      <c r="AC16" s="114"/>
    </row>
    <row r="17" spans="1:29">
      <c r="A17" s="1119"/>
      <c r="B17" s="117" t="s">
        <v>429</v>
      </c>
      <c r="C17" s="115">
        <f t="shared" si="0"/>
        <v>0</v>
      </c>
      <c r="D17" s="115">
        <f t="shared" si="1"/>
        <v>0</v>
      </c>
      <c r="E17" s="115">
        <f t="shared" si="2"/>
        <v>0</v>
      </c>
      <c r="F17" s="115">
        <f t="shared" si="3"/>
        <v>0</v>
      </c>
      <c r="G17" s="375">
        <f t="shared" si="4"/>
        <v>0</v>
      </c>
      <c r="H17" s="114">
        <f t="shared" si="5"/>
        <v>0</v>
      </c>
      <c r="I17" s="108">
        <f>+VLOOKUP($B17,年度別調書!$A$4:$M$37,10,0)</f>
        <v>54853236126</v>
      </c>
      <c r="J17" s="108">
        <f>+VLOOKUP($B17,年度別調書!$A$4:$M$37,13,0)</f>
        <v>94393962571</v>
      </c>
      <c r="K17" s="114">
        <f t="shared" si="10"/>
        <v>0</v>
      </c>
      <c r="L17" s="114">
        <f t="shared" ref="L17:L47" si="11">H17-K17</f>
        <v>0</v>
      </c>
      <c r="M17" s="120">
        <f t="shared" si="9"/>
        <v>0</v>
      </c>
      <c r="N17" s="304">
        <v>3</v>
      </c>
      <c r="O17" s="1119"/>
      <c r="P17" s="116" t="str">
        <f t="shared" si="7"/>
        <v>平成5年度</v>
      </c>
      <c r="Q17" s="441">
        <v>0</v>
      </c>
      <c r="R17" s="441">
        <v>0</v>
      </c>
      <c r="S17" s="441">
        <v>0</v>
      </c>
      <c r="T17" s="441">
        <v>0</v>
      </c>
      <c r="U17" s="114"/>
      <c r="V17" s="121"/>
      <c r="W17" s="1119"/>
      <c r="X17" s="116" t="str">
        <f t="shared" si="8"/>
        <v>平成5年度</v>
      </c>
      <c r="Y17" s="339">
        <v>0</v>
      </c>
      <c r="Z17" s="339">
        <v>0</v>
      </c>
      <c r="AA17" s="339">
        <v>0</v>
      </c>
      <c r="AB17" s="339">
        <v>0</v>
      </c>
      <c r="AC17" s="114"/>
    </row>
    <row r="18" spans="1:29">
      <c r="A18" s="1119"/>
      <c r="B18" s="117" t="s">
        <v>430</v>
      </c>
      <c r="C18" s="115">
        <f t="shared" si="0"/>
        <v>2836357</v>
      </c>
      <c r="D18" s="115">
        <f t="shared" si="1"/>
        <v>223639</v>
      </c>
      <c r="E18" s="115">
        <f t="shared" si="2"/>
        <v>3059996</v>
      </c>
      <c r="F18" s="115">
        <f t="shared" si="3"/>
        <v>87342</v>
      </c>
      <c r="G18" s="375">
        <f t="shared" si="4"/>
        <v>217799</v>
      </c>
      <c r="H18" s="114">
        <f t="shared" si="5"/>
        <v>2618558</v>
      </c>
      <c r="I18" s="108">
        <f>+VLOOKUP($B18,年度別調書!$A$4:$M$37,10,0)</f>
        <v>52459905451</v>
      </c>
      <c r="J18" s="108">
        <f>+VLOOKUP($B18,年度別調書!$A$4:$M$37,13,0)</f>
        <v>92179213936</v>
      </c>
      <c r="K18" s="114">
        <f t="shared" si="10"/>
        <v>1490242</v>
      </c>
      <c r="L18" s="114">
        <f t="shared" si="11"/>
        <v>1128316</v>
      </c>
      <c r="M18" s="120">
        <f t="shared" si="9"/>
        <v>0.1780000000144355</v>
      </c>
      <c r="N18" s="304">
        <v>3</v>
      </c>
      <c r="O18" s="1119"/>
      <c r="P18" s="116" t="str">
        <f t="shared" si="7"/>
        <v>平成6年度</v>
      </c>
      <c r="Q18" s="338">
        <v>1404324</v>
      </c>
      <c r="R18" s="338">
        <v>125674</v>
      </c>
      <c r="S18" s="338">
        <v>1529998</v>
      </c>
      <c r="T18" s="338">
        <v>43671</v>
      </c>
      <c r="U18" s="114"/>
      <c r="V18" s="121"/>
      <c r="W18" s="1119"/>
      <c r="X18" s="116" t="str">
        <f t="shared" si="8"/>
        <v>平成6年度</v>
      </c>
      <c r="Y18" s="339">
        <v>1432033</v>
      </c>
      <c r="Z18" s="339">
        <v>97965</v>
      </c>
      <c r="AA18" s="339">
        <v>1529998</v>
      </c>
      <c r="AB18" s="339">
        <v>43671</v>
      </c>
      <c r="AC18" s="114"/>
    </row>
    <row r="19" spans="1:29">
      <c r="A19" s="1119"/>
      <c r="B19" s="117" t="s">
        <v>431</v>
      </c>
      <c r="C19" s="115">
        <f>+Q19+Y19</f>
        <v>15303179</v>
      </c>
      <c r="D19" s="115">
        <f t="shared" si="1"/>
        <v>807691</v>
      </c>
      <c r="E19" s="115">
        <f t="shared" si="2"/>
        <v>16110870</v>
      </c>
      <c r="F19" s="115">
        <f t="shared" si="3"/>
        <v>848330</v>
      </c>
      <c r="G19" s="375">
        <f>ROUND(C19/C$48*G$48,0)</f>
        <v>1175106</v>
      </c>
      <c r="H19" s="114">
        <f>C19-G19</f>
        <v>14128073</v>
      </c>
      <c r="I19" s="108">
        <f>+VLOOKUP($B19,年度別調書!$A$4:$M$37,10,0)</f>
        <v>58579778590</v>
      </c>
      <c r="J19" s="108">
        <f>+VLOOKUP($B19,年度別調書!$A$4:$M$37,13,0)</f>
        <v>98916143476</v>
      </c>
      <c r="K19" s="114">
        <f t="shared" si="10"/>
        <v>8366879</v>
      </c>
      <c r="L19" s="114">
        <f t="shared" si="11"/>
        <v>5761194</v>
      </c>
      <c r="M19" s="120">
        <f t="shared" si="9"/>
        <v>-0.11400000005960464</v>
      </c>
      <c r="N19" s="304">
        <v>3</v>
      </c>
      <c r="O19" s="1119"/>
      <c r="P19" s="116" t="str">
        <f t="shared" si="7"/>
        <v>平成7年度</v>
      </c>
      <c r="Q19" s="338">
        <v>7590228</v>
      </c>
      <c r="R19" s="338">
        <v>465207</v>
      </c>
      <c r="S19" s="338">
        <v>8055435</v>
      </c>
      <c r="T19" s="338">
        <v>424165</v>
      </c>
      <c r="U19" s="114"/>
      <c r="V19" s="121"/>
      <c r="W19" s="1119"/>
      <c r="X19" s="116" t="str">
        <f t="shared" si="8"/>
        <v>平成7年度</v>
      </c>
      <c r="Y19" s="339">
        <v>7712951</v>
      </c>
      <c r="Z19" s="339">
        <v>342484</v>
      </c>
      <c r="AA19" s="339">
        <v>8055435</v>
      </c>
      <c r="AB19" s="339">
        <v>424165</v>
      </c>
      <c r="AC19" s="114"/>
    </row>
    <row r="20" spans="1:29">
      <c r="A20" s="1119"/>
      <c r="B20" s="117" t="s">
        <v>432</v>
      </c>
      <c r="C20" s="115">
        <f t="shared" si="0"/>
        <v>8628429</v>
      </c>
      <c r="D20" s="115">
        <f t="shared" si="1"/>
        <v>679917</v>
      </c>
      <c r="E20" s="115">
        <f t="shared" si="2"/>
        <v>9308346</v>
      </c>
      <c r="F20" s="115">
        <f t="shared" si="3"/>
        <v>1075730</v>
      </c>
      <c r="G20" s="375">
        <f t="shared" si="4"/>
        <v>662563</v>
      </c>
      <c r="H20" s="114">
        <f t="shared" si="5"/>
        <v>7965866</v>
      </c>
      <c r="I20" s="108">
        <f>+VLOOKUP($B20,年度別調書!$A$4:$M$37,10,0)</f>
        <v>59855732510</v>
      </c>
      <c r="J20" s="108">
        <f>+VLOOKUP($B20,年度別調書!$A$4:$M$37,13,0)</f>
        <v>105086070753</v>
      </c>
      <c r="K20" s="114">
        <f t="shared" si="10"/>
        <v>4537259</v>
      </c>
      <c r="L20" s="114">
        <f t="shared" si="11"/>
        <v>3428607</v>
      </c>
      <c r="M20" s="120">
        <f t="shared" si="9"/>
        <v>-0.16200000001117587</v>
      </c>
      <c r="N20" s="304">
        <v>3</v>
      </c>
      <c r="O20" s="1119"/>
      <c r="P20" s="116" t="str">
        <f t="shared" si="7"/>
        <v>平成8年度</v>
      </c>
      <c r="Q20" s="338">
        <v>4285331</v>
      </c>
      <c r="R20" s="338">
        <v>368842</v>
      </c>
      <c r="S20" s="338">
        <v>4654173</v>
      </c>
      <c r="T20" s="338">
        <v>537865</v>
      </c>
      <c r="U20" s="114"/>
      <c r="V20" s="121"/>
      <c r="W20" s="1119"/>
      <c r="X20" s="116" t="str">
        <f t="shared" si="8"/>
        <v>平成8年度</v>
      </c>
      <c r="Y20" s="339">
        <v>4343098</v>
      </c>
      <c r="Z20" s="339">
        <v>311075</v>
      </c>
      <c r="AA20" s="339">
        <v>4654173</v>
      </c>
      <c r="AB20" s="339">
        <v>537865</v>
      </c>
      <c r="AC20" s="114"/>
    </row>
    <row r="21" spans="1:29">
      <c r="A21" s="1119"/>
      <c r="B21" s="117" t="s">
        <v>433</v>
      </c>
      <c r="C21" s="115">
        <f t="shared" si="0"/>
        <v>2641956</v>
      </c>
      <c r="D21" s="115">
        <f t="shared" si="1"/>
        <v>238742</v>
      </c>
      <c r="E21" s="115">
        <f t="shared" si="2"/>
        <v>2880698</v>
      </c>
      <c r="F21" s="115">
        <f t="shared" si="3"/>
        <v>307086</v>
      </c>
      <c r="G21" s="375">
        <f t="shared" si="4"/>
        <v>202871</v>
      </c>
      <c r="H21" s="114">
        <f t="shared" si="5"/>
        <v>2439085</v>
      </c>
      <c r="I21" s="108">
        <f>+VLOOKUP($B21,年度別調書!$A$4:$M$37,10,0)</f>
        <v>65491097789</v>
      </c>
      <c r="J21" s="108">
        <f>+VLOOKUP($B21,年度別調書!$A$4:$M$37,13,0)</f>
        <v>112544371375</v>
      </c>
      <c r="K21" s="114">
        <f t="shared" si="10"/>
        <v>1419337</v>
      </c>
      <c r="L21" s="114">
        <f t="shared" si="11"/>
        <v>1019748</v>
      </c>
      <c r="M21" s="120">
        <f t="shared" si="9"/>
        <v>0.44599999999627471</v>
      </c>
      <c r="N21" s="304">
        <v>5</v>
      </c>
      <c r="O21" s="1119"/>
      <c r="P21" s="116" t="str">
        <f t="shared" si="7"/>
        <v>平成9年度</v>
      </c>
      <c r="Q21" s="338">
        <v>1314115</v>
      </c>
      <c r="R21" s="338">
        <v>126234</v>
      </c>
      <c r="S21" s="338">
        <v>1440349</v>
      </c>
      <c r="T21" s="338">
        <v>153543</v>
      </c>
      <c r="U21" s="114"/>
      <c r="V21" s="121"/>
      <c r="W21" s="1119"/>
      <c r="X21" s="116" t="str">
        <f t="shared" si="8"/>
        <v>平成9年度</v>
      </c>
      <c r="Y21" s="339">
        <v>1327841</v>
      </c>
      <c r="Z21" s="339">
        <v>112508</v>
      </c>
      <c r="AA21" s="339">
        <v>1440349</v>
      </c>
      <c r="AB21" s="339">
        <v>153543</v>
      </c>
      <c r="AC21" s="114"/>
    </row>
    <row r="22" spans="1:29">
      <c r="A22" s="1119"/>
      <c r="B22" s="117" t="s">
        <v>434</v>
      </c>
      <c r="C22" s="115">
        <f t="shared" si="0"/>
        <v>2423</v>
      </c>
      <c r="D22" s="115">
        <f t="shared" si="1"/>
        <v>279</v>
      </c>
      <c r="E22" s="115">
        <f t="shared" si="2"/>
        <v>2702</v>
      </c>
      <c r="F22" s="115">
        <f t="shared" si="3"/>
        <v>296</v>
      </c>
      <c r="G22" s="375">
        <f>ROUND(C22/C$48*G$48,0)</f>
        <v>186</v>
      </c>
      <c r="H22" s="114">
        <f t="shared" si="5"/>
        <v>2237</v>
      </c>
      <c r="I22" s="108">
        <f>+VLOOKUP($B22,年度別調書!$A$4:$M$37,10,0)</f>
        <v>66701247191</v>
      </c>
      <c r="J22" s="108">
        <f>+VLOOKUP($B22,年度別調書!$A$4:$M$37,13,0)</f>
        <v>118194473653</v>
      </c>
      <c r="K22" s="114">
        <f t="shared" si="10"/>
        <v>1262</v>
      </c>
      <c r="L22" s="114">
        <f t="shared" si="11"/>
        <v>975</v>
      </c>
      <c r="M22" s="120">
        <f t="shared" si="9"/>
        <v>5.7999999999992724E-2</v>
      </c>
      <c r="N22" s="304">
        <v>5</v>
      </c>
      <c r="O22" s="1119"/>
      <c r="P22" s="116" t="str">
        <f t="shared" si="7"/>
        <v>平成10年度</v>
      </c>
      <c r="Q22" s="338">
        <v>1205</v>
      </c>
      <c r="R22" s="338">
        <v>146</v>
      </c>
      <c r="S22" s="338">
        <v>1351</v>
      </c>
      <c r="T22" s="338">
        <v>148</v>
      </c>
      <c r="U22" s="114"/>
      <c r="V22" s="121"/>
      <c r="W22" s="1119"/>
      <c r="X22" s="116" t="str">
        <f t="shared" si="8"/>
        <v>平成10年度</v>
      </c>
      <c r="Y22" s="339">
        <v>1218</v>
      </c>
      <c r="Z22" s="339">
        <v>133</v>
      </c>
      <c r="AA22" s="339">
        <v>1351</v>
      </c>
      <c r="AB22" s="339">
        <v>148</v>
      </c>
      <c r="AC22" s="114"/>
    </row>
    <row r="23" spans="1:29">
      <c r="A23" s="1119"/>
      <c r="B23" s="117" t="s">
        <v>435</v>
      </c>
      <c r="C23" s="115">
        <f t="shared" si="0"/>
        <v>0</v>
      </c>
      <c r="D23" s="115">
        <f t="shared" si="1"/>
        <v>0</v>
      </c>
      <c r="E23" s="115">
        <f t="shared" si="2"/>
        <v>0</v>
      </c>
      <c r="F23" s="115">
        <f t="shared" si="3"/>
        <v>0</v>
      </c>
      <c r="G23" s="375">
        <f t="shared" si="4"/>
        <v>0</v>
      </c>
      <c r="H23" s="114">
        <f t="shared" si="5"/>
        <v>0</v>
      </c>
      <c r="I23" s="108">
        <f>+VLOOKUP($B23,年度別調書!$A$4:$M$37,10,0)</f>
        <v>58274420372</v>
      </c>
      <c r="J23" s="108">
        <f>+VLOOKUP($B23,年度別調書!$A$4:$M$37,13,0)</f>
        <v>110790062218</v>
      </c>
      <c r="K23" s="114">
        <f t="shared" si="10"/>
        <v>0</v>
      </c>
      <c r="L23" s="114">
        <f t="shared" si="11"/>
        <v>0</v>
      </c>
      <c r="M23" s="120">
        <f t="shared" si="9"/>
        <v>0</v>
      </c>
      <c r="N23" s="304">
        <v>5</v>
      </c>
      <c r="O23" s="1119"/>
      <c r="P23" s="116" t="str">
        <f t="shared" si="7"/>
        <v>平成11年度</v>
      </c>
      <c r="Q23" s="423">
        <v>0</v>
      </c>
      <c r="R23" s="441">
        <v>0</v>
      </c>
      <c r="S23" s="441">
        <v>0</v>
      </c>
      <c r="T23" s="441">
        <v>0</v>
      </c>
      <c r="U23" s="114"/>
      <c r="V23" s="121"/>
      <c r="W23" s="1119"/>
      <c r="X23" s="116" t="str">
        <f t="shared" si="8"/>
        <v>平成11年度</v>
      </c>
      <c r="Y23" s="423">
        <v>0</v>
      </c>
      <c r="Z23" s="423">
        <v>0</v>
      </c>
      <c r="AA23" s="423">
        <v>0</v>
      </c>
      <c r="AB23" s="423">
        <v>0</v>
      </c>
      <c r="AC23" s="114"/>
    </row>
    <row r="24" spans="1:29">
      <c r="A24" s="1119"/>
      <c r="B24" s="117" t="s">
        <v>436</v>
      </c>
      <c r="C24" s="115">
        <f t="shared" si="0"/>
        <v>0</v>
      </c>
      <c r="D24" s="115">
        <f t="shared" si="1"/>
        <v>0</v>
      </c>
      <c r="E24" s="115">
        <f t="shared" si="2"/>
        <v>0</v>
      </c>
      <c r="F24" s="115">
        <f t="shared" si="3"/>
        <v>0</v>
      </c>
      <c r="G24" s="375">
        <f t="shared" si="4"/>
        <v>0</v>
      </c>
      <c r="H24" s="114">
        <f t="shared" si="5"/>
        <v>0</v>
      </c>
      <c r="I24" s="108">
        <f>+VLOOKUP($B24,年度別調書!$A$4:$M$37,10,0)</f>
        <v>48353931386</v>
      </c>
      <c r="J24" s="108">
        <f>+VLOOKUP($B24,年度別調書!$A$4:$M$37,13,0)</f>
        <v>104173607652</v>
      </c>
      <c r="K24" s="114">
        <f t="shared" si="10"/>
        <v>0</v>
      </c>
      <c r="L24" s="114">
        <f t="shared" si="11"/>
        <v>0</v>
      </c>
      <c r="M24" s="120">
        <f t="shared" si="9"/>
        <v>0</v>
      </c>
      <c r="N24" s="304">
        <v>5</v>
      </c>
      <c r="O24" s="1119"/>
      <c r="P24" s="116" t="str">
        <f t="shared" si="7"/>
        <v>平成12年度</v>
      </c>
      <c r="Q24" s="423">
        <v>0</v>
      </c>
      <c r="R24" s="441">
        <v>0</v>
      </c>
      <c r="S24" s="441">
        <v>0</v>
      </c>
      <c r="T24" s="441">
        <v>0</v>
      </c>
      <c r="U24" s="114"/>
      <c r="V24" s="121"/>
      <c r="W24" s="1119"/>
      <c r="X24" s="116" t="str">
        <f t="shared" si="8"/>
        <v>平成12年度</v>
      </c>
      <c r="Y24" s="423">
        <v>0</v>
      </c>
      <c r="Z24" s="423">
        <v>0</v>
      </c>
      <c r="AA24" s="423">
        <v>0</v>
      </c>
      <c r="AB24" s="423">
        <v>0</v>
      </c>
      <c r="AC24" s="114"/>
    </row>
    <row r="25" spans="1:29">
      <c r="A25" s="1119"/>
      <c r="B25" s="117" t="s">
        <v>437</v>
      </c>
      <c r="C25" s="115">
        <f t="shared" si="0"/>
        <v>183763</v>
      </c>
      <c r="D25" s="115">
        <f t="shared" si="1"/>
        <v>26727</v>
      </c>
      <c r="E25" s="115">
        <f t="shared" si="2"/>
        <v>210490</v>
      </c>
      <c r="F25" s="115">
        <f t="shared" si="3"/>
        <v>24772</v>
      </c>
      <c r="G25" s="375">
        <f t="shared" si="4"/>
        <v>14111</v>
      </c>
      <c r="H25" s="114">
        <f t="shared" si="5"/>
        <v>169652</v>
      </c>
      <c r="I25" s="108">
        <f>+VLOOKUP($B25,年度別調書!$A$4:$M$37,10,0)</f>
        <v>42742028940</v>
      </c>
      <c r="J25" s="108">
        <f>+VLOOKUP($B25,年度別調書!$A$4:$M$37,13,0)</f>
        <v>101075943440</v>
      </c>
      <c r="K25" s="114">
        <f t="shared" si="10"/>
        <v>71741</v>
      </c>
      <c r="L25" s="114">
        <f t="shared" si="11"/>
        <v>97911</v>
      </c>
      <c r="M25" s="120">
        <f t="shared" si="9"/>
        <v>-0.14199999999982538</v>
      </c>
      <c r="N25" s="304">
        <v>5</v>
      </c>
      <c r="O25" s="1119"/>
      <c r="P25" s="116" t="str">
        <f t="shared" si="7"/>
        <v>平成13年度</v>
      </c>
      <c r="Q25" s="338">
        <v>91433</v>
      </c>
      <c r="R25" s="338">
        <v>13812</v>
      </c>
      <c r="S25" s="338">
        <v>105245</v>
      </c>
      <c r="T25" s="338">
        <v>12386</v>
      </c>
      <c r="U25" s="114"/>
      <c r="V25" s="121"/>
      <c r="W25" s="1119"/>
      <c r="X25" s="116" t="str">
        <f t="shared" si="8"/>
        <v>平成13年度</v>
      </c>
      <c r="Y25" s="339">
        <v>92330</v>
      </c>
      <c r="Z25" s="339">
        <v>12915</v>
      </c>
      <c r="AA25" s="339">
        <v>105245</v>
      </c>
      <c r="AB25" s="339">
        <v>12386</v>
      </c>
      <c r="AC25" s="114"/>
    </row>
    <row r="26" spans="1:29">
      <c r="A26" s="1119"/>
      <c r="B26" s="117" t="s">
        <v>438</v>
      </c>
      <c r="C26" s="115">
        <f t="shared" si="0"/>
        <v>305352</v>
      </c>
      <c r="D26" s="115">
        <f t="shared" si="1"/>
        <v>55508</v>
      </c>
      <c r="E26" s="115">
        <f t="shared" si="2"/>
        <v>360860</v>
      </c>
      <c r="F26" s="115">
        <f t="shared" si="3"/>
        <v>40732</v>
      </c>
      <c r="G26" s="375">
        <f t="shared" si="4"/>
        <v>23447</v>
      </c>
      <c r="H26" s="114">
        <f t="shared" si="5"/>
        <v>281905</v>
      </c>
      <c r="I26" s="108">
        <f>+VLOOKUP($B26,年度別調書!$A$4:$M$37,10,0)</f>
        <v>38694694218</v>
      </c>
      <c r="J26" s="108">
        <f>+VLOOKUP($B26,年度別調書!$A$4:$M$37,13,0)</f>
        <v>98151426478</v>
      </c>
      <c r="K26" s="114">
        <f t="shared" si="10"/>
        <v>111137</v>
      </c>
      <c r="L26" s="114">
        <f t="shared" si="11"/>
        <v>170768</v>
      </c>
      <c r="M26" s="120">
        <f t="shared" si="9"/>
        <v>0.47699999999895226</v>
      </c>
      <c r="N26" s="304">
        <v>5</v>
      </c>
      <c r="O26" s="1119"/>
      <c r="P26" s="116" t="str">
        <f t="shared" si="7"/>
        <v>平成14年度</v>
      </c>
      <c r="Q26" s="338">
        <v>152027</v>
      </c>
      <c r="R26" s="338">
        <v>28403</v>
      </c>
      <c r="S26" s="338">
        <v>180430</v>
      </c>
      <c r="T26" s="338">
        <v>20366</v>
      </c>
      <c r="U26" s="114"/>
      <c r="V26" s="121"/>
      <c r="W26" s="1119"/>
      <c r="X26" s="116" t="str">
        <f t="shared" si="8"/>
        <v>平成14年度</v>
      </c>
      <c r="Y26" s="339">
        <v>153325</v>
      </c>
      <c r="Z26" s="339">
        <v>27105</v>
      </c>
      <c r="AA26" s="339">
        <v>180430</v>
      </c>
      <c r="AB26" s="339">
        <v>20366</v>
      </c>
      <c r="AC26" s="114"/>
    </row>
    <row r="27" spans="1:29">
      <c r="A27" s="1119"/>
      <c r="B27" s="117" t="s">
        <v>439</v>
      </c>
      <c r="C27" s="115">
        <f t="shared" si="0"/>
        <v>525817</v>
      </c>
      <c r="D27" s="115">
        <f t="shared" si="1"/>
        <v>129313</v>
      </c>
      <c r="E27" s="115">
        <f t="shared" si="2"/>
        <v>655130</v>
      </c>
      <c r="F27" s="115">
        <f t="shared" si="3"/>
        <v>73524</v>
      </c>
      <c r="G27" s="375">
        <f>ROUND(C27/C$48*G$48,0)</f>
        <v>40377</v>
      </c>
      <c r="H27" s="114">
        <f t="shared" si="5"/>
        <v>485440</v>
      </c>
      <c r="I27" s="108">
        <f>+VLOOKUP($B27,年度別調書!$A$4:$M$37,10,0)</f>
        <v>37621895854</v>
      </c>
      <c r="J27" s="108">
        <f>+VLOOKUP($B27,年度別調書!$A$4:$M$37,13,0)</f>
        <v>100825076572</v>
      </c>
      <c r="K27" s="114">
        <f t="shared" si="10"/>
        <v>181137</v>
      </c>
      <c r="L27" s="114">
        <f t="shared" si="11"/>
        <v>304303</v>
      </c>
      <c r="M27" s="120">
        <f t="shared" si="9"/>
        <v>-0.37900000000081491</v>
      </c>
      <c r="N27" s="304">
        <v>5</v>
      </c>
      <c r="O27" s="1119"/>
      <c r="P27" s="116" t="str">
        <f t="shared" si="7"/>
        <v>平成15年度</v>
      </c>
      <c r="Q27" s="338">
        <v>261568</v>
      </c>
      <c r="R27" s="338">
        <v>65997</v>
      </c>
      <c r="S27" s="338">
        <v>327565</v>
      </c>
      <c r="T27" s="338">
        <v>36762</v>
      </c>
      <c r="U27" s="114"/>
      <c r="V27" s="121"/>
      <c r="W27" s="1119"/>
      <c r="X27" s="116" t="str">
        <f t="shared" si="8"/>
        <v>平成15年度</v>
      </c>
      <c r="Y27" s="339">
        <v>264249</v>
      </c>
      <c r="Z27" s="339">
        <v>63316</v>
      </c>
      <c r="AA27" s="339">
        <v>327565</v>
      </c>
      <c r="AB27" s="339">
        <v>36762</v>
      </c>
      <c r="AC27" s="114"/>
    </row>
    <row r="28" spans="1:29">
      <c r="A28" s="1119"/>
      <c r="B28" s="117" t="s">
        <v>440</v>
      </c>
      <c r="C28" s="115">
        <f t="shared" si="0"/>
        <v>428307</v>
      </c>
      <c r="D28" s="115">
        <f t="shared" si="1"/>
        <v>116771</v>
      </c>
      <c r="E28" s="115">
        <f t="shared" si="2"/>
        <v>545078</v>
      </c>
      <c r="F28" s="115">
        <f t="shared" si="3"/>
        <v>63034</v>
      </c>
      <c r="G28" s="375">
        <f>ROUND(C28/C$48*G$48,0)</f>
        <v>32889</v>
      </c>
      <c r="H28" s="114">
        <f>C28-G28</f>
        <v>395418</v>
      </c>
      <c r="I28" s="108">
        <f>+VLOOKUP($B28,年度別調書!$A$4:$M$37,10,0)</f>
        <v>29085465357</v>
      </c>
      <c r="J28" s="108">
        <f>+VLOOKUP($B28,年度別調書!$A$4:$M$37,13,0)</f>
        <v>101305165124</v>
      </c>
      <c r="K28" s="114">
        <f t="shared" si="10"/>
        <v>113527</v>
      </c>
      <c r="L28" s="114">
        <f t="shared" si="11"/>
        <v>281891</v>
      </c>
      <c r="M28" s="120">
        <f>ROUND(C28/C$48*G$48,3)-ROUND(C28/C$48*G$48,0)</f>
        <v>-1.2000000002444722E-2</v>
      </c>
      <c r="N28" s="304">
        <v>5</v>
      </c>
      <c r="O28" s="1119"/>
      <c r="P28" s="116" t="str">
        <f t="shared" si="7"/>
        <v>平成16年度</v>
      </c>
      <c r="Q28" s="338">
        <v>213040</v>
      </c>
      <c r="R28" s="338">
        <v>59499</v>
      </c>
      <c r="S28" s="338">
        <v>272539</v>
      </c>
      <c r="T28" s="338">
        <v>31517</v>
      </c>
      <c r="U28" s="114"/>
      <c r="V28" s="121"/>
      <c r="W28" s="1119"/>
      <c r="X28" s="116" t="str">
        <f t="shared" si="8"/>
        <v>平成16年度</v>
      </c>
      <c r="Y28" s="339">
        <v>215267</v>
      </c>
      <c r="Z28" s="339">
        <v>57272</v>
      </c>
      <c r="AA28" s="339">
        <v>272539</v>
      </c>
      <c r="AB28" s="339">
        <v>31517</v>
      </c>
      <c r="AC28" s="114"/>
    </row>
    <row r="29" spans="1:29">
      <c r="A29" s="1119"/>
      <c r="B29" s="117" t="s">
        <v>441</v>
      </c>
      <c r="C29" s="115">
        <f t="shared" si="0"/>
        <v>692738</v>
      </c>
      <c r="D29" s="115">
        <f t="shared" si="1"/>
        <v>207344</v>
      </c>
      <c r="E29" s="115">
        <f t="shared" si="2"/>
        <v>900082</v>
      </c>
      <c r="F29" s="115">
        <f>+T29+AB29</f>
        <v>107840</v>
      </c>
      <c r="G29" s="375">
        <f t="shared" si="4"/>
        <v>53194</v>
      </c>
      <c r="H29" s="114">
        <f t="shared" si="5"/>
        <v>639544</v>
      </c>
      <c r="I29" s="108">
        <f>+VLOOKUP($B29,年度別調書!$A$4:$M$37,10,0)</f>
        <v>25082997134</v>
      </c>
      <c r="J29" s="108">
        <f>+VLOOKUP($B29,年度別調書!$A$4:$M$37,13,0)</f>
        <v>96528725584</v>
      </c>
      <c r="K29" s="114">
        <f t="shared" si="10"/>
        <v>166186</v>
      </c>
      <c r="L29" s="114">
        <f>H29-K29</f>
        <v>473358</v>
      </c>
      <c r="M29" s="120">
        <f t="shared" si="9"/>
        <v>0.20900000000256114</v>
      </c>
      <c r="N29" s="304">
        <v>5</v>
      </c>
      <c r="O29" s="1119"/>
      <c r="P29" s="116" t="str">
        <f t="shared" si="7"/>
        <v>平成17年度</v>
      </c>
      <c r="Q29" s="338">
        <v>344573</v>
      </c>
      <c r="R29" s="338">
        <v>105468</v>
      </c>
      <c r="S29" s="338">
        <v>450041</v>
      </c>
      <c r="T29" s="338">
        <v>53920</v>
      </c>
      <c r="U29" s="114"/>
      <c r="V29" s="121"/>
      <c r="W29" s="1119"/>
      <c r="X29" s="116" t="str">
        <f t="shared" si="8"/>
        <v>平成17年度</v>
      </c>
      <c r="Y29" s="339">
        <v>348165</v>
      </c>
      <c r="Z29" s="339">
        <v>101876</v>
      </c>
      <c r="AA29" s="339">
        <v>450041</v>
      </c>
      <c r="AB29" s="339">
        <v>53920</v>
      </c>
      <c r="AC29" s="114"/>
    </row>
    <row r="30" spans="1:29">
      <c r="A30" s="1119"/>
      <c r="B30" s="117" t="s">
        <v>442</v>
      </c>
      <c r="C30" s="115">
        <f t="shared" si="0"/>
        <v>182214</v>
      </c>
      <c r="D30" s="115">
        <f t="shared" si="1"/>
        <v>60642</v>
      </c>
      <c r="E30" s="115">
        <f t="shared" si="2"/>
        <v>242856</v>
      </c>
      <c r="F30" s="115">
        <f t="shared" si="3"/>
        <v>27254</v>
      </c>
      <c r="G30" s="375">
        <f>ROUND(C30/C$48*G$48,0)</f>
        <v>13992</v>
      </c>
      <c r="H30" s="114">
        <f>C30-G30</f>
        <v>168222</v>
      </c>
      <c r="I30" s="108">
        <f>+VLOOKUP($B30,年度別調書!$A$4:$M$37,10,0)</f>
        <v>21657707574</v>
      </c>
      <c r="J30" s="108">
        <f>+VLOOKUP($B30,年度別調書!$A$4:$M$37,13,0)</f>
        <v>84768578867</v>
      </c>
      <c r="K30" s="114">
        <f t="shared" si="10"/>
        <v>42979</v>
      </c>
      <c r="L30" s="114">
        <f t="shared" si="11"/>
        <v>125243</v>
      </c>
      <c r="M30" s="120">
        <f t="shared" si="9"/>
        <v>-8.6999999999534339E-2</v>
      </c>
      <c r="N30" s="304">
        <v>5</v>
      </c>
      <c r="O30" s="1119"/>
      <c r="P30" s="116" t="str">
        <f t="shared" si="7"/>
        <v>平成18年度</v>
      </c>
      <c r="Q30" s="338">
        <v>90629</v>
      </c>
      <c r="R30" s="338">
        <v>30799</v>
      </c>
      <c r="S30" s="338">
        <v>121428</v>
      </c>
      <c r="T30" s="338">
        <v>13627</v>
      </c>
      <c r="U30" s="114"/>
      <c r="V30" s="121"/>
      <c r="W30" s="1119"/>
      <c r="X30" s="116" t="str">
        <f t="shared" si="8"/>
        <v>平成18年度</v>
      </c>
      <c r="Y30" s="339">
        <v>91585</v>
      </c>
      <c r="Z30" s="339">
        <v>29843</v>
      </c>
      <c r="AA30" s="339">
        <v>121428</v>
      </c>
      <c r="AB30" s="339">
        <v>13627</v>
      </c>
      <c r="AC30" s="114"/>
    </row>
    <row r="31" spans="1:29">
      <c r="A31" s="1119"/>
      <c r="B31" s="117" t="s">
        <v>443</v>
      </c>
      <c r="C31" s="115">
        <f t="shared" si="0"/>
        <v>0</v>
      </c>
      <c r="D31" s="115">
        <f t="shared" si="1"/>
        <v>0</v>
      </c>
      <c r="E31" s="115">
        <f t="shared" si="2"/>
        <v>0</v>
      </c>
      <c r="F31" s="115">
        <f t="shared" si="3"/>
        <v>0</v>
      </c>
      <c r="G31" s="375">
        <f t="shared" si="4"/>
        <v>0</v>
      </c>
      <c r="H31" s="114">
        <f t="shared" si="5"/>
        <v>0</v>
      </c>
      <c r="I31" s="108">
        <f>+VLOOKUP($B31,年度別調書!$A$4:$M$37,10,0)</f>
        <v>25422571996</v>
      </c>
      <c r="J31" s="108">
        <f>+VLOOKUP($B31,年度別調書!$A$4:$M$37,13,0)</f>
        <v>105576318079</v>
      </c>
      <c r="K31" s="114">
        <f t="shared" si="10"/>
        <v>0</v>
      </c>
      <c r="L31" s="114">
        <f t="shared" si="11"/>
        <v>0</v>
      </c>
      <c r="M31" s="120">
        <f t="shared" si="9"/>
        <v>0</v>
      </c>
      <c r="N31" s="304">
        <v>5</v>
      </c>
      <c r="O31" s="1119"/>
      <c r="P31" s="116" t="str">
        <f t="shared" si="7"/>
        <v>平成19年度</v>
      </c>
      <c r="Q31" s="153">
        <v>0</v>
      </c>
      <c r="R31" s="153">
        <v>0</v>
      </c>
      <c r="S31" s="153">
        <v>0</v>
      </c>
      <c r="T31" s="441">
        <v>0</v>
      </c>
      <c r="U31" s="114"/>
      <c r="V31" s="121"/>
      <c r="W31" s="1119"/>
      <c r="X31" s="116" t="str">
        <f t="shared" si="8"/>
        <v>平成19年度</v>
      </c>
      <c r="Y31" s="339">
        <v>0</v>
      </c>
      <c r="Z31" s="339">
        <v>0</v>
      </c>
      <c r="AA31" s="339">
        <v>0</v>
      </c>
      <c r="AB31" s="339">
        <v>0</v>
      </c>
      <c r="AC31" s="114"/>
    </row>
    <row r="32" spans="1:29">
      <c r="A32" s="1119"/>
      <c r="B32" s="117" t="s">
        <v>444</v>
      </c>
      <c r="C32" s="115">
        <f t="shared" si="0"/>
        <v>0</v>
      </c>
      <c r="D32" s="115">
        <f t="shared" si="1"/>
        <v>0</v>
      </c>
      <c r="E32" s="115">
        <f t="shared" si="2"/>
        <v>0</v>
      </c>
      <c r="F32" s="115">
        <f t="shared" si="3"/>
        <v>0</v>
      </c>
      <c r="G32" s="114">
        <f t="shared" si="4"/>
        <v>0</v>
      </c>
      <c r="H32" s="114">
        <f t="shared" si="5"/>
        <v>0</v>
      </c>
      <c r="I32" s="108">
        <f>+VLOOKUP($B32,年度別調書!$A$4:$M$37,10,0)</f>
        <v>24693835462</v>
      </c>
      <c r="J32" s="108">
        <f>+VLOOKUP($B32,年度別調書!$A$4:$M$37,13,0)</f>
        <v>110401232854</v>
      </c>
      <c r="K32" s="114">
        <f t="shared" si="10"/>
        <v>0</v>
      </c>
      <c r="L32" s="114">
        <f t="shared" si="11"/>
        <v>0</v>
      </c>
      <c r="M32" s="120">
        <f t="shared" si="9"/>
        <v>0</v>
      </c>
      <c r="N32" s="304">
        <v>5</v>
      </c>
      <c r="O32" s="1119"/>
      <c r="P32" s="116" t="str">
        <f t="shared" si="7"/>
        <v>平成20年度</v>
      </c>
      <c r="Q32" s="153">
        <v>0</v>
      </c>
      <c r="R32" s="153">
        <v>0</v>
      </c>
      <c r="S32" s="153">
        <v>0</v>
      </c>
      <c r="T32" s="441">
        <v>0</v>
      </c>
      <c r="U32" s="114"/>
      <c r="V32" s="121"/>
      <c r="W32" s="1119"/>
      <c r="X32" s="116" t="str">
        <f t="shared" si="8"/>
        <v>平成20年度</v>
      </c>
      <c r="Y32" s="339">
        <v>0</v>
      </c>
      <c r="Z32" s="339">
        <v>0</v>
      </c>
      <c r="AA32" s="339">
        <v>0</v>
      </c>
      <c r="AB32" s="339">
        <v>0</v>
      </c>
      <c r="AC32" s="114"/>
    </row>
    <row r="33" spans="1:29">
      <c r="A33" s="1119"/>
      <c r="B33" s="117" t="s">
        <v>445</v>
      </c>
      <c r="C33" s="115">
        <f t="shared" si="0"/>
        <v>0</v>
      </c>
      <c r="D33" s="115">
        <f t="shared" si="1"/>
        <v>0</v>
      </c>
      <c r="E33" s="115">
        <f t="shared" si="2"/>
        <v>0</v>
      </c>
      <c r="F33" s="115">
        <f t="shared" si="3"/>
        <v>0</v>
      </c>
      <c r="G33" s="114">
        <f t="shared" si="4"/>
        <v>0</v>
      </c>
      <c r="H33" s="114">
        <f t="shared" si="5"/>
        <v>0</v>
      </c>
      <c r="I33" s="108">
        <f>+VLOOKUP($B33,年度別調書!$A$4:$M$37,10,0)</f>
        <v>22324372880</v>
      </c>
      <c r="J33" s="108">
        <f>+VLOOKUP($B33,年度別調書!$A$4:$M$37,13,0)</f>
        <v>88097108350</v>
      </c>
      <c r="K33" s="114">
        <f t="shared" si="10"/>
        <v>0</v>
      </c>
      <c r="L33" s="114">
        <f t="shared" si="11"/>
        <v>0</v>
      </c>
      <c r="M33" s="120">
        <f t="shared" si="9"/>
        <v>0</v>
      </c>
      <c r="N33" s="304">
        <v>5</v>
      </c>
      <c r="O33" s="1119"/>
      <c r="P33" s="116" t="str">
        <f t="shared" si="7"/>
        <v>平成21年度</v>
      </c>
      <c r="Q33" s="153">
        <v>0</v>
      </c>
      <c r="R33" s="153">
        <v>0</v>
      </c>
      <c r="S33" s="153">
        <v>0</v>
      </c>
      <c r="T33" s="441">
        <v>0</v>
      </c>
      <c r="U33" s="114"/>
      <c r="V33" s="121"/>
      <c r="W33" s="1119"/>
      <c r="X33" s="116" t="str">
        <f t="shared" si="8"/>
        <v>平成21年度</v>
      </c>
      <c r="Y33" s="153">
        <v>0</v>
      </c>
      <c r="Z33" s="153">
        <v>0</v>
      </c>
      <c r="AA33" s="153">
        <v>0</v>
      </c>
      <c r="AB33" s="153">
        <v>0</v>
      </c>
      <c r="AC33" s="114"/>
    </row>
    <row r="34" spans="1:29">
      <c r="A34" s="1119"/>
      <c r="B34" s="117" t="s">
        <v>446</v>
      </c>
      <c r="C34" s="115">
        <f t="shared" si="0"/>
        <v>0</v>
      </c>
      <c r="D34" s="115">
        <f t="shared" si="1"/>
        <v>0</v>
      </c>
      <c r="E34" s="115">
        <f t="shared" si="2"/>
        <v>0</v>
      </c>
      <c r="F34" s="115">
        <f t="shared" si="3"/>
        <v>0</v>
      </c>
      <c r="G34" s="114">
        <f t="shared" si="4"/>
        <v>0</v>
      </c>
      <c r="H34" s="114">
        <f t="shared" si="5"/>
        <v>0</v>
      </c>
      <c r="I34" s="108">
        <f>+VLOOKUP($B34,年度別調書!$A$4:$M$37,10,0)</f>
        <v>26326163485</v>
      </c>
      <c r="J34" s="108">
        <f>+VLOOKUP($B34,年度別調書!$A$4:$M$37,13,0)</f>
        <v>102723057143</v>
      </c>
      <c r="K34" s="114">
        <f t="shared" si="10"/>
        <v>0</v>
      </c>
      <c r="L34" s="114">
        <f t="shared" si="11"/>
        <v>0</v>
      </c>
      <c r="M34" s="120">
        <f t="shared" si="9"/>
        <v>0</v>
      </c>
      <c r="N34" s="304">
        <v>5</v>
      </c>
      <c r="O34" s="1119"/>
      <c r="P34" s="116" t="str">
        <f t="shared" si="7"/>
        <v>平成22年度</v>
      </c>
      <c r="Q34" s="153">
        <v>0</v>
      </c>
      <c r="R34" s="153">
        <v>0</v>
      </c>
      <c r="S34" s="153">
        <v>0</v>
      </c>
      <c r="T34" s="441">
        <v>0</v>
      </c>
      <c r="U34" s="114"/>
      <c r="V34" s="121"/>
      <c r="W34" s="1119"/>
      <c r="X34" s="116" t="str">
        <f t="shared" si="8"/>
        <v>平成22年度</v>
      </c>
      <c r="Y34" s="153">
        <v>0</v>
      </c>
      <c r="Z34" s="153">
        <v>0</v>
      </c>
      <c r="AA34" s="153">
        <v>0</v>
      </c>
      <c r="AB34" s="153">
        <v>0</v>
      </c>
      <c r="AC34" s="114"/>
    </row>
    <row r="35" spans="1:29">
      <c r="A35" s="1119"/>
      <c r="B35" s="117" t="s">
        <v>447</v>
      </c>
      <c r="C35" s="115">
        <f t="shared" si="0"/>
        <v>0</v>
      </c>
      <c r="D35" s="115">
        <f t="shared" si="1"/>
        <v>0</v>
      </c>
      <c r="E35" s="115">
        <f t="shared" si="2"/>
        <v>0</v>
      </c>
      <c r="F35" s="115">
        <f t="shared" si="3"/>
        <v>0</v>
      </c>
      <c r="G35" s="114">
        <f t="shared" si="4"/>
        <v>0</v>
      </c>
      <c r="H35" s="114">
        <f t="shared" si="5"/>
        <v>0</v>
      </c>
      <c r="I35" s="108">
        <f>+VLOOKUP($B35,年度別調書!$A$4:$M$37,10,0)</f>
        <v>26883440277</v>
      </c>
      <c r="J35" s="108">
        <f>+VLOOKUP($B35,年度別調書!$A$4:$M$37,13,0)</f>
        <v>99758377045</v>
      </c>
      <c r="K35" s="114">
        <f t="shared" si="10"/>
        <v>0</v>
      </c>
      <c r="L35" s="114">
        <f t="shared" si="11"/>
        <v>0</v>
      </c>
      <c r="M35" s="120">
        <f t="shared" si="9"/>
        <v>0</v>
      </c>
      <c r="N35" s="304">
        <v>5</v>
      </c>
      <c r="O35" s="1119"/>
      <c r="P35" s="116" t="str">
        <f t="shared" si="7"/>
        <v>平成23年度</v>
      </c>
      <c r="Q35" s="153">
        <v>0</v>
      </c>
      <c r="R35" s="153">
        <v>0</v>
      </c>
      <c r="S35" s="153">
        <v>0</v>
      </c>
      <c r="T35" s="441">
        <v>0</v>
      </c>
      <c r="U35" s="114"/>
      <c r="V35" s="121"/>
      <c r="W35" s="1119"/>
      <c r="X35" s="116" t="str">
        <f t="shared" si="8"/>
        <v>平成23年度</v>
      </c>
      <c r="Y35" s="153">
        <v>0</v>
      </c>
      <c r="Z35" s="153">
        <v>0</v>
      </c>
      <c r="AA35" s="153">
        <v>0</v>
      </c>
      <c r="AB35" s="153">
        <v>0</v>
      </c>
      <c r="AC35" s="114"/>
    </row>
    <row r="36" spans="1:29">
      <c r="A36" s="1119"/>
      <c r="B36" s="117" t="s">
        <v>448</v>
      </c>
      <c r="C36" s="115">
        <f t="shared" si="0"/>
        <v>0</v>
      </c>
      <c r="D36" s="115">
        <f t="shared" si="1"/>
        <v>0</v>
      </c>
      <c r="E36" s="115">
        <f t="shared" si="2"/>
        <v>0</v>
      </c>
      <c r="F36" s="115">
        <f t="shared" si="3"/>
        <v>0</v>
      </c>
      <c r="G36" s="114">
        <f t="shared" si="4"/>
        <v>0</v>
      </c>
      <c r="H36" s="114">
        <f t="shared" si="5"/>
        <v>0</v>
      </c>
      <c r="I36" s="108">
        <f>+VLOOKUP($B36,年度別調書!$A$4:$M$37,10,0)</f>
        <v>20821234544</v>
      </c>
      <c r="J36" s="108">
        <f>+VLOOKUP($B36,年度別調書!$A$4:$M$37,13,0)</f>
        <v>101115908424</v>
      </c>
      <c r="K36" s="114">
        <f t="shared" si="10"/>
        <v>0</v>
      </c>
      <c r="L36" s="114">
        <f t="shared" si="11"/>
        <v>0</v>
      </c>
      <c r="M36" s="120">
        <f t="shared" si="9"/>
        <v>0</v>
      </c>
      <c r="N36" s="304">
        <v>5</v>
      </c>
      <c r="O36" s="1119"/>
      <c r="P36" s="116" t="str">
        <f t="shared" si="7"/>
        <v>平成24年度</v>
      </c>
      <c r="Q36" s="153">
        <v>0</v>
      </c>
      <c r="R36" s="153">
        <v>0</v>
      </c>
      <c r="S36" s="153">
        <v>0</v>
      </c>
      <c r="T36" s="441">
        <v>0</v>
      </c>
      <c r="U36" s="114"/>
      <c r="V36" s="121"/>
      <c r="W36" s="1119"/>
      <c r="X36" s="116" t="str">
        <f t="shared" si="8"/>
        <v>平成24年度</v>
      </c>
      <c r="Y36" s="153">
        <v>0</v>
      </c>
      <c r="Z36" s="153">
        <v>0</v>
      </c>
      <c r="AA36" s="153">
        <v>0</v>
      </c>
      <c r="AB36" s="153">
        <v>0</v>
      </c>
      <c r="AC36" s="114"/>
    </row>
    <row r="37" spans="1:29">
      <c r="A37" s="1119"/>
      <c r="B37" s="117" t="s">
        <v>449</v>
      </c>
      <c r="C37" s="115">
        <f t="shared" si="0"/>
        <v>0</v>
      </c>
      <c r="D37" s="115">
        <f t="shared" si="1"/>
        <v>0</v>
      </c>
      <c r="E37" s="115">
        <f t="shared" si="2"/>
        <v>0</v>
      </c>
      <c r="F37" s="115">
        <f t="shared" si="3"/>
        <v>0</v>
      </c>
      <c r="G37" s="114">
        <f t="shared" si="4"/>
        <v>0</v>
      </c>
      <c r="H37" s="114">
        <f t="shared" si="5"/>
        <v>0</v>
      </c>
      <c r="I37" s="108">
        <f>+VLOOKUP($B37,年度別調書!$A$4:$M$37,10,0)</f>
        <v>22169870622</v>
      </c>
      <c r="J37" s="108">
        <f>+VLOOKUP($B37,年度別調書!$A$4:$M$37,13,0)</f>
        <v>87897420767</v>
      </c>
      <c r="K37" s="114">
        <f t="shared" si="10"/>
        <v>0</v>
      </c>
      <c r="L37" s="114">
        <f t="shared" si="11"/>
        <v>0</v>
      </c>
      <c r="M37" s="120">
        <f t="shared" si="9"/>
        <v>0</v>
      </c>
      <c r="N37" s="304">
        <v>5</v>
      </c>
      <c r="O37" s="1119"/>
      <c r="P37" s="116" t="str">
        <f t="shared" si="7"/>
        <v>平成25年度</v>
      </c>
      <c r="Q37" s="153">
        <v>0</v>
      </c>
      <c r="R37" s="153">
        <v>0</v>
      </c>
      <c r="S37" s="153">
        <v>0</v>
      </c>
      <c r="T37" s="441">
        <v>0</v>
      </c>
      <c r="U37" s="114"/>
      <c r="V37" s="121"/>
      <c r="W37" s="1119"/>
      <c r="X37" s="116" t="str">
        <f t="shared" si="8"/>
        <v>平成25年度</v>
      </c>
      <c r="Y37" s="153">
        <v>0</v>
      </c>
      <c r="Z37" s="153">
        <v>0</v>
      </c>
      <c r="AA37" s="153">
        <v>0</v>
      </c>
      <c r="AB37" s="153">
        <v>0</v>
      </c>
      <c r="AC37" s="114"/>
    </row>
    <row r="38" spans="1:29">
      <c r="A38" s="1119"/>
      <c r="B38" s="117" t="s">
        <v>450</v>
      </c>
      <c r="C38" s="115">
        <f t="shared" si="0"/>
        <v>0</v>
      </c>
      <c r="D38" s="115">
        <f t="shared" si="1"/>
        <v>0</v>
      </c>
      <c r="E38" s="115">
        <f t="shared" si="2"/>
        <v>0</v>
      </c>
      <c r="F38" s="115">
        <f t="shared" si="3"/>
        <v>0</v>
      </c>
      <c r="G38" s="114">
        <f t="shared" si="4"/>
        <v>0</v>
      </c>
      <c r="H38" s="114">
        <f t="shared" si="5"/>
        <v>0</v>
      </c>
      <c r="I38" s="108">
        <f>+VLOOKUP($B38,年度別調書!$A$4:$M$37,10,0)</f>
        <v>20924492616</v>
      </c>
      <c r="J38" s="108">
        <f>+VLOOKUP($B38,年度別調書!$A$4:$M$37,13,0)</f>
        <v>99556890040</v>
      </c>
      <c r="K38" s="114">
        <f t="shared" si="10"/>
        <v>0</v>
      </c>
      <c r="L38" s="114">
        <f t="shared" si="11"/>
        <v>0</v>
      </c>
      <c r="M38" s="120">
        <f t="shared" si="9"/>
        <v>0</v>
      </c>
      <c r="N38" s="304">
        <v>8</v>
      </c>
      <c r="O38" s="1119"/>
      <c r="P38" s="116" t="str">
        <f t="shared" si="7"/>
        <v>平成26年度</v>
      </c>
      <c r="Q38" s="153">
        <v>0</v>
      </c>
      <c r="R38" s="153">
        <v>0</v>
      </c>
      <c r="S38" s="153">
        <v>0</v>
      </c>
      <c r="T38" s="441">
        <v>0</v>
      </c>
      <c r="U38" s="114"/>
      <c r="V38" s="121"/>
      <c r="W38" s="1119"/>
      <c r="X38" s="116" t="str">
        <f t="shared" si="8"/>
        <v>平成26年度</v>
      </c>
      <c r="Y38" s="153">
        <v>0</v>
      </c>
      <c r="Z38" s="153">
        <v>0</v>
      </c>
      <c r="AA38" s="153">
        <v>0</v>
      </c>
      <c r="AB38" s="153">
        <v>0</v>
      </c>
      <c r="AC38" s="114"/>
    </row>
    <row r="39" spans="1:29">
      <c r="A39" s="1119"/>
      <c r="B39" s="117" t="s">
        <v>451</v>
      </c>
      <c r="C39" s="115">
        <f t="shared" si="0"/>
        <v>0</v>
      </c>
      <c r="D39" s="115">
        <f t="shared" si="1"/>
        <v>0</v>
      </c>
      <c r="E39" s="115">
        <f t="shared" si="2"/>
        <v>0</v>
      </c>
      <c r="F39" s="115">
        <f t="shared" si="3"/>
        <v>0</v>
      </c>
      <c r="G39" s="114">
        <f t="shared" si="4"/>
        <v>0</v>
      </c>
      <c r="H39" s="114">
        <f t="shared" si="5"/>
        <v>0</v>
      </c>
      <c r="I39" s="108">
        <f>+VLOOKUP($B39,年度別調書!$A$4:$M$37,10,0)</f>
        <v>21176145645</v>
      </c>
      <c r="J39" s="108">
        <f>+VLOOKUP($B39,年度別調書!$A$4:$M$37,13,0)</f>
        <v>104805589178</v>
      </c>
      <c r="K39" s="114">
        <f t="shared" si="10"/>
        <v>0</v>
      </c>
      <c r="L39" s="114">
        <f t="shared" si="11"/>
        <v>0</v>
      </c>
      <c r="M39" s="120">
        <f t="shared" si="9"/>
        <v>0</v>
      </c>
      <c r="N39" s="304">
        <v>8</v>
      </c>
      <c r="O39" s="1119"/>
      <c r="P39" s="116" t="str">
        <f t="shared" si="7"/>
        <v>平成27年度</v>
      </c>
      <c r="Q39" s="153">
        <v>0</v>
      </c>
      <c r="R39" s="153">
        <v>0</v>
      </c>
      <c r="S39" s="153">
        <v>0</v>
      </c>
      <c r="T39" s="441">
        <v>0</v>
      </c>
      <c r="U39" s="114"/>
      <c r="V39" s="121"/>
      <c r="W39" s="1119"/>
      <c r="X39" s="116" t="str">
        <f t="shared" si="8"/>
        <v>平成27年度</v>
      </c>
      <c r="Y39" s="153">
        <v>0</v>
      </c>
      <c r="Z39" s="153">
        <v>0</v>
      </c>
      <c r="AA39" s="153">
        <v>0</v>
      </c>
      <c r="AB39" s="153">
        <v>0</v>
      </c>
      <c r="AC39" s="114"/>
    </row>
    <row r="40" spans="1:29">
      <c r="A40" s="1119"/>
      <c r="B40" s="117" t="s">
        <v>452</v>
      </c>
      <c r="C40" s="115">
        <f>+Q40+Y40</f>
        <v>11144</v>
      </c>
      <c r="D40" s="115">
        <f t="shared" si="1"/>
        <v>1463</v>
      </c>
      <c r="E40" s="115">
        <f t="shared" si="2"/>
        <v>12607</v>
      </c>
      <c r="F40" s="115">
        <f t="shared" si="3"/>
        <v>1414</v>
      </c>
      <c r="G40" s="114">
        <f>ROUND(C40/C$48*G$48,0)</f>
        <v>856</v>
      </c>
      <c r="H40" s="114">
        <f>C40-G40</f>
        <v>10288</v>
      </c>
      <c r="I40" s="108">
        <f>+VLOOKUP($B40,年度別調書!$A$4:$M$37,10,0)</f>
        <v>23487276785</v>
      </c>
      <c r="J40" s="108">
        <f>+VLOOKUP($B40,年度別調書!$A$4:$M$37,13,0)</f>
        <v>105396818589</v>
      </c>
      <c r="K40" s="114">
        <f>IFERROR(ROUND(H40*I40/J40,0),0)</f>
        <v>2293</v>
      </c>
      <c r="L40" s="114">
        <f t="shared" si="11"/>
        <v>7995</v>
      </c>
      <c r="M40" s="120">
        <f t="shared" si="9"/>
        <v>-0.27099999999995816</v>
      </c>
      <c r="N40" s="304">
        <v>8</v>
      </c>
      <c r="O40" s="1119"/>
      <c r="P40" s="116" t="str">
        <f t="shared" si="7"/>
        <v>平成28年度</v>
      </c>
      <c r="Q40" s="153">
        <v>5565</v>
      </c>
      <c r="R40" s="153">
        <v>739</v>
      </c>
      <c r="S40" s="153">
        <v>6304</v>
      </c>
      <c r="T40" s="153">
        <v>707</v>
      </c>
      <c r="U40" s="114"/>
      <c r="V40" s="121"/>
      <c r="W40" s="1119"/>
      <c r="X40" s="116" t="str">
        <f t="shared" si="8"/>
        <v>平成28年度</v>
      </c>
      <c r="Y40" s="153">
        <v>5579</v>
      </c>
      <c r="Z40" s="153">
        <v>724</v>
      </c>
      <c r="AA40" s="153">
        <v>6303</v>
      </c>
      <c r="AB40" s="153">
        <v>707</v>
      </c>
      <c r="AC40" s="114"/>
    </row>
    <row r="41" spans="1:29">
      <c r="A41" s="1119"/>
      <c r="B41" s="117" t="s">
        <v>453</v>
      </c>
      <c r="C41" s="115">
        <f>+Q41+Y41</f>
        <v>1553</v>
      </c>
      <c r="D41" s="115">
        <f t="shared" si="1"/>
        <v>1114</v>
      </c>
      <c r="E41" s="115">
        <f t="shared" si="2"/>
        <v>2667</v>
      </c>
      <c r="F41" s="115">
        <f t="shared" si="3"/>
        <v>300</v>
      </c>
      <c r="G41" s="114">
        <f t="shared" si="4"/>
        <v>119</v>
      </c>
      <c r="H41" s="114">
        <f t="shared" si="5"/>
        <v>1434</v>
      </c>
      <c r="I41" s="108">
        <f>+VLOOKUP($B41,年度別調書!$A$4:$M$37,10,0)</f>
        <v>19481573724</v>
      </c>
      <c r="J41" s="108">
        <f>+VLOOKUP($B41,年度別調書!$A$4:$M$37,13,0)</f>
        <v>99607043975</v>
      </c>
      <c r="K41" s="114">
        <f t="shared" si="10"/>
        <v>280</v>
      </c>
      <c r="L41" s="114">
        <f t="shared" si="11"/>
        <v>1154</v>
      </c>
      <c r="M41" s="120">
        <f t="shared" si="9"/>
        <v>0.25199999999999534</v>
      </c>
      <c r="N41" s="304">
        <v>8</v>
      </c>
      <c r="O41" s="1119"/>
      <c r="P41" s="116" t="str">
        <f t="shared" si="7"/>
        <v>平成29年度</v>
      </c>
      <c r="Q41" s="153">
        <v>775</v>
      </c>
      <c r="R41" s="153">
        <v>559</v>
      </c>
      <c r="S41" s="153">
        <v>1334</v>
      </c>
      <c r="T41" s="153">
        <v>150</v>
      </c>
      <c r="U41" s="114"/>
      <c r="V41" s="121"/>
      <c r="W41" s="1119"/>
      <c r="X41" s="116" t="str">
        <f t="shared" si="8"/>
        <v>平成29年度</v>
      </c>
      <c r="Y41" s="153">
        <v>778</v>
      </c>
      <c r="Z41" s="153">
        <v>555</v>
      </c>
      <c r="AA41" s="153">
        <v>1333</v>
      </c>
      <c r="AB41" s="153">
        <v>150</v>
      </c>
      <c r="AC41" s="114"/>
    </row>
    <row r="42" spans="1:29">
      <c r="A42" s="1119"/>
      <c r="B42" s="117" t="s">
        <v>454</v>
      </c>
      <c r="C42" s="115">
        <f t="shared" si="0"/>
        <v>0</v>
      </c>
      <c r="D42" s="115">
        <f t="shared" si="1"/>
        <v>0</v>
      </c>
      <c r="E42" s="115">
        <f t="shared" si="2"/>
        <v>0</v>
      </c>
      <c r="F42" s="115">
        <f t="shared" si="3"/>
        <v>0</v>
      </c>
      <c r="G42" s="114">
        <f t="shared" si="4"/>
        <v>0</v>
      </c>
      <c r="H42" s="114">
        <f t="shared" si="5"/>
        <v>0</v>
      </c>
      <c r="I42" s="108">
        <f>+VLOOKUP($B42,年度別調書!$A$4:$M$37,10,0)</f>
        <v>19871916207</v>
      </c>
      <c r="J42" s="108">
        <f>+VLOOKUP($B42,年度別調書!$A$4:$M$37,13,0)</f>
        <v>98551757388</v>
      </c>
      <c r="K42" s="114">
        <f t="shared" si="10"/>
        <v>0</v>
      </c>
      <c r="L42" s="114">
        <f t="shared" si="11"/>
        <v>0</v>
      </c>
      <c r="M42" s="120">
        <f t="shared" si="9"/>
        <v>0</v>
      </c>
      <c r="N42" s="304">
        <v>8</v>
      </c>
      <c r="O42" s="1119"/>
      <c r="P42" s="116" t="str">
        <f t="shared" si="7"/>
        <v>平成30年度</v>
      </c>
      <c r="Q42" s="153">
        <v>0</v>
      </c>
      <c r="R42" s="153">
        <v>0</v>
      </c>
      <c r="S42" s="153">
        <v>0</v>
      </c>
      <c r="T42" s="153">
        <v>0</v>
      </c>
      <c r="U42" s="114"/>
      <c r="V42" s="121"/>
      <c r="W42" s="1119"/>
      <c r="X42" s="116" t="str">
        <f t="shared" si="8"/>
        <v>平成30年度</v>
      </c>
      <c r="Y42" s="153">
        <v>0</v>
      </c>
      <c r="Z42" s="153">
        <v>0</v>
      </c>
      <c r="AA42" s="153">
        <v>0</v>
      </c>
      <c r="AB42" s="153">
        <v>0</v>
      </c>
      <c r="AC42" s="114"/>
    </row>
    <row r="43" spans="1:29">
      <c r="A43" s="1119"/>
      <c r="B43" s="1108" t="s">
        <v>499</v>
      </c>
      <c r="C43" s="115">
        <f>+Q43</f>
        <v>0</v>
      </c>
      <c r="D43" s="115">
        <f>+R43</f>
        <v>0</v>
      </c>
      <c r="E43" s="115">
        <f>+S43</f>
        <v>0</v>
      </c>
      <c r="F43" s="115">
        <f>+T43</f>
        <v>0</v>
      </c>
      <c r="G43" s="114">
        <f>ROUND(C43/C$48*G$48,0)</f>
        <v>0</v>
      </c>
      <c r="H43" s="114">
        <f>C43-G43</f>
        <v>0</v>
      </c>
      <c r="I43" s="108">
        <f>+VLOOKUP($B43,年度別調書!$A$4:$M$37,10,0)</f>
        <v>21889958229</v>
      </c>
      <c r="J43" s="108">
        <f>+VLOOKUP($B43,年度別調書!$A$4:$M$37,13,0)</f>
        <v>101214576030</v>
      </c>
      <c r="K43" s="114">
        <f>IFERROR(ROUND(H43*I43/J43,0),0)</f>
        <v>0</v>
      </c>
      <c r="L43" s="114">
        <f t="shared" si="11"/>
        <v>0</v>
      </c>
      <c r="M43" s="120">
        <f t="shared" si="9"/>
        <v>0</v>
      </c>
      <c r="N43" s="304">
        <v>8</v>
      </c>
      <c r="O43" s="1119"/>
      <c r="P43" s="1124" t="str">
        <f t="shared" si="7"/>
        <v>令和元年度</v>
      </c>
      <c r="Q43" s="1126">
        <v>0</v>
      </c>
      <c r="R43" s="1126">
        <v>0</v>
      </c>
      <c r="S43" s="1126">
        <v>0</v>
      </c>
      <c r="T43" s="1126">
        <v>0</v>
      </c>
      <c r="U43" s="1128"/>
      <c r="V43" s="121"/>
      <c r="W43" s="1119"/>
      <c r="X43" s="1124" t="str">
        <f t="shared" si="8"/>
        <v>令和元年度</v>
      </c>
      <c r="Y43" s="1126">
        <v>0</v>
      </c>
      <c r="Z43" s="1126">
        <v>0</v>
      </c>
      <c r="AA43" s="1126">
        <v>0</v>
      </c>
      <c r="AB43" s="1126">
        <v>0</v>
      </c>
      <c r="AC43" s="1128"/>
    </row>
    <row r="44" spans="1:29">
      <c r="A44" s="1119"/>
      <c r="B44" s="1109"/>
      <c r="C44" s="115">
        <f>+Y43</f>
        <v>0</v>
      </c>
      <c r="D44" s="115">
        <f>+Z43</f>
        <v>0</v>
      </c>
      <c r="E44" s="115">
        <f>+AA43</f>
        <v>0</v>
      </c>
      <c r="F44" s="115">
        <f>+AB43</f>
        <v>0</v>
      </c>
      <c r="G44" s="114">
        <f>ROUND(C44/C$48*G$48,0)</f>
        <v>0</v>
      </c>
      <c r="H44" s="114">
        <f>C44-G44</f>
        <v>0</v>
      </c>
      <c r="I44" s="108">
        <f>+VLOOKUP($B43,年度別調書!$A$4:$M$37,10,0)</f>
        <v>21889958229</v>
      </c>
      <c r="J44" s="108">
        <f>+VLOOKUP($B43,年度別調書!$A$4:$M$37,13,0)</f>
        <v>101214576030</v>
      </c>
      <c r="K44" s="114">
        <f>IFERROR(ROUND(H44*I44/J44,0),0)</f>
        <v>0</v>
      </c>
      <c r="L44" s="114">
        <f t="shared" ref="L44" si="12">H44-K44</f>
        <v>0</v>
      </c>
      <c r="M44" s="120">
        <f t="shared" ref="M44" si="13">ROUND(C44/C$48*G$48,3)-ROUND(C44/C$48*G$48,0)</f>
        <v>0</v>
      </c>
      <c r="N44" s="304">
        <v>10</v>
      </c>
      <c r="O44" s="1119"/>
      <c r="P44" s="1125"/>
      <c r="Q44" s="1127"/>
      <c r="R44" s="1127"/>
      <c r="S44" s="1127"/>
      <c r="T44" s="1127"/>
      <c r="U44" s="1129"/>
      <c r="V44" s="121"/>
      <c r="W44" s="1119"/>
      <c r="X44" s="1125"/>
      <c r="Y44" s="1127"/>
      <c r="Z44" s="1127"/>
      <c r="AA44" s="1127"/>
      <c r="AB44" s="1127"/>
      <c r="AC44" s="1129"/>
    </row>
    <row r="45" spans="1:29">
      <c r="A45" s="1119"/>
      <c r="B45" s="117" t="s">
        <v>494</v>
      </c>
      <c r="C45" s="115">
        <f t="shared" si="0"/>
        <v>0</v>
      </c>
      <c r="D45" s="115">
        <f t="shared" si="1"/>
        <v>1980</v>
      </c>
      <c r="E45" s="115">
        <f t="shared" si="2"/>
        <v>1980</v>
      </c>
      <c r="F45" s="115">
        <f t="shared" si="3"/>
        <v>222</v>
      </c>
      <c r="G45" s="114">
        <f t="shared" si="4"/>
        <v>0</v>
      </c>
      <c r="H45" s="114">
        <f t="shared" si="5"/>
        <v>0</v>
      </c>
      <c r="I45" s="108">
        <f>+VLOOKUP($B45,年度別調書!$A$4:$M$37,10,0)</f>
        <v>25568719436</v>
      </c>
      <c r="J45" s="108">
        <f>+VLOOKUP($B45,年度別調書!$A$4:$M$37,13,0)</f>
        <v>105092548853</v>
      </c>
      <c r="K45" s="114">
        <f t="shared" si="10"/>
        <v>0</v>
      </c>
      <c r="L45" s="114">
        <f t="shared" si="11"/>
        <v>0</v>
      </c>
      <c r="M45" s="120">
        <f t="shared" si="9"/>
        <v>0</v>
      </c>
      <c r="N45" s="304">
        <v>10</v>
      </c>
      <c r="O45" s="1119"/>
      <c r="P45" s="116" t="str">
        <f t="shared" si="7"/>
        <v>令和2年度</v>
      </c>
      <c r="Q45" s="153">
        <v>0</v>
      </c>
      <c r="R45" s="153">
        <v>990</v>
      </c>
      <c r="S45" s="153">
        <v>990</v>
      </c>
      <c r="T45" s="153">
        <v>111</v>
      </c>
      <c r="U45" s="114"/>
      <c r="V45" s="121"/>
      <c r="W45" s="1119"/>
      <c r="X45" s="116" t="str">
        <f t="shared" si="8"/>
        <v>令和2年度</v>
      </c>
      <c r="Y45" s="153">
        <v>0</v>
      </c>
      <c r="Z45" s="153">
        <v>990</v>
      </c>
      <c r="AA45" s="153">
        <v>990</v>
      </c>
      <c r="AB45" s="153">
        <v>111</v>
      </c>
      <c r="AC45" s="114"/>
    </row>
    <row r="46" spans="1:29">
      <c r="A46" s="1119"/>
      <c r="B46" s="117" t="s">
        <v>495</v>
      </c>
      <c r="C46" s="115">
        <f t="shared" si="0"/>
        <v>0</v>
      </c>
      <c r="D46" s="115">
        <f t="shared" si="1"/>
        <v>0</v>
      </c>
      <c r="E46" s="115">
        <f t="shared" si="2"/>
        <v>0</v>
      </c>
      <c r="F46" s="115">
        <f t="shared" si="3"/>
        <v>0</v>
      </c>
      <c r="G46" s="114">
        <f t="shared" si="4"/>
        <v>0</v>
      </c>
      <c r="H46" s="114">
        <f t="shared" si="5"/>
        <v>0</v>
      </c>
      <c r="I46" s="108">
        <f>+VLOOKUP($B46,年度別調書!$A$4:$M$37,10,0)</f>
        <v>25732995336</v>
      </c>
      <c r="J46" s="108">
        <f>+VLOOKUP($B46,年度別調書!$A$4:$M$37,13,0)</f>
        <v>106246537477</v>
      </c>
      <c r="K46" s="114">
        <f t="shared" si="10"/>
        <v>0</v>
      </c>
      <c r="L46" s="114">
        <f t="shared" si="11"/>
        <v>0</v>
      </c>
      <c r="M46" s="120">
        <f t="shared" si="9"/>
        <v>0</v>
      </c>
      <c r="N46" s="304">
        <v>10</v>
      </c>
      <c r="O46" s="1119"/>
      <c r="P46" s="116" t="str">
        <f t="shared" si="7"/>
        <v>令和3年度</v>
      </c>
      <c r="Q46" s="153">
        <v>0</v>
      </c>
      <c r="R46" s="153">
        <v>0</v>
      </c>
      <c r="S46" s="153">
        <v>0</v>
      </c>
      <c r="T46" s="153">
        <v>0</v>
      </c>
      <c r="U46" s="114"/>
      <c r="V46" s="121"/>
      <c r="W46" s="1119"/>
      <c r="X46" s="116" t="str">
        <f t="shared" si="8"/>
        <v>令和3年度</v>
      </c>
      <c r="Y46" s="153">
        <v>0</v>
      </c>
      <c r="Z46" s="153">
        <v>0</v>
      </c>
      <c r="AA46" s="153">
        <v>0</v>
      </c>
      <c r="AB46" s="153">
        <v>0</v>
      </c>
      <c r="AC46" s="114"/>
    </row>
    <row r="47" spans="1:29">
      <c r="A47" s="1119"/>
      <c r="B47" s="117" t="s">
        <v>496</v>
      </c>
      <c r="C47" s="115">
        <f t="shared" si="0"/>
        <v>0</v>
      </c>
      <c r="D47" s="115">
        <f t="shared" si="1"/>
        <v>7462</v>
      </c>
      <c r="E47" s="115">
        <f t="shared" si="2"/>
        <v>7462</v>
      </c>
      <c r="F47" s="115">
        <f t="shared" si="3"/>
        <v>838</v>
      </c>
      <c r="G47" s="114">
        <f t="shared" si="4"/>
        <v>0</v>
      </c>
      <c r="H47" s="114">
        <f t="shared" si="5"/>
        <v>0</v>
      </c>
      <c r="I47" s="108">
        <f>+VLOOKUP($B47,年度別調書!$A$4:$M$37,10,0)</f>
        <v>22974897869</v>
      </c>
      <c r="J47" s="108">
        <f>+VLOOKUP($B47,年度別調書!$A$4:$M$37,13,0)</f>
        <v>102361733085</v>
      </c>
      <c r="K47" s="114">
        <f t="shared" si="10"/>
        <v>0</v>
      </c>
      <c r="L47" s="114">
        <f t="shared" si="11"/>
        <v>0</v>
      </c>
      <c r="M47" s="120">
        <f t="shared" si="9"/>
        <v>0</v>
      </c>
      <c r="N47" s="304">
        <v>10</v>
      </c>
      <c r="O47" s="1119"/>
      <c r="P47" s="116" t="str">
        <f t="shared" si="7"/>
        <v>令和4年度</v>
      </c>
      <c r="Q47" s="153">
        <v>0</v>
      </c>
      <c r="R47" s="153">
        <v>3276</v>
      </c>
      <c r="S47" s="153">
        <v>3276</v>
      </c>
      <c r="T47" s="153">
        <v>368</v>
      </c>
      <c r="U47" s="114"/>
      <c r="V47" s="121"/>
      <c r="W47" s="1119"/>
      <c r="X47" s="116" t="str">
        <f t="shared" si="8"/>
        <v>令和4年度</v>
      </c>
      <c r="Y47" s="153">
        <v>0</v>
      </c>
      <c r="Z47" s="153">
        <v>4186</v>
      </c>
      <c r="AA47" s="153">
        <v>4186</v>
      </c>
      <c r="AB47" s="153">
        <v>470</v>
      </c>
      <c r="AC47" s="114"/>
    </row>
    <row r="48" spans="1:29">
      <c r="A48" s="1120"/>
      <c r="B48" s="118" t="s">
        <v>94</v>
      </c>
      <c r="C48" s="119">
        <f>SUM(C6:C47)</f>
        <v>33756370</v>
      </c>
      <c r="D48" s="119">
        <f>SUM(D6:D47)</f>
        <v>2613868</v>
      </c>
      <c r="E48" s="119">
        <f>SUM(E6:E47)</f>
        <v>36370238</v>
      </c>
      <c r="F48" s="119">
        <f>SUM(F6:F47)</f>
        <v>2819794</v>
      </c>
      <c r="G48" s="104">
        <f>+U48+AC48</f>
        <v>2592096</v>
      </c>
      <c r="H48" s="119">
        <f>SUM(H6:H47)</f>
        <v>31164274</v>
      </c>
      <c r="I48" s="38"/>
      <c r="J48" s="38"/>
      <c r="K48" s="119">
        <f>SUM(K6:K47)</f>
        <v>17621740</v>
      </c>
      <c r="L48" s="119">
        <f>SUM(L6:L47)</f>
        <v>13542534</v>
      </c>
      <c r="M48" s="119"/>
      <c r="N48" s="304"/>
      <c r="O48" s="1120"/>
      <c r="P48" s="118" t="s">
        <v>94</v>
      </c>
      <c r="Q48" s="119">
        <f>SUM(Q6:Q47)</f>
        <v>16752280</v>
      </c>
      <c r="R48" s="119">
        <f>SUM(R6:R47)</f>
        <v>1432385</v>
      </c>
      <c r="S48" s="119">
        <f>SUM(S6:S47)</f>
        <v>18184665</v>
      </c>
      <c r="T48" s="119">
        <f>SUM(T6:T47)</f>
        <v>1409846</v>
      </c>
      <c r="U48" s="340">
        <v>1286967</v>
      </c>
      <c r="V48" s="112"/>
      <c r="W48" s="1120"/>
      <c r="X48" s="118" t="s">
        <v>94</v>
      </c>
      <c r="Y48" s="119">
        <f>SUM(Y6:Y47)</f>
        <v>17004090</v>
      </c>
      <c r="Z48" s="119">
        <f>SUM(Z6:Z47)</f>
        <v>1181483</v>
      </c>
      <c r="AA48" s="119">
        <f>SUM(AA6:AA47)</f>
        <v>18185573</v>
      </c>
      <c r="AB48" s="119">
        <f>SUM(AB6:AB47)</f>
        <v>1409948</v>
      </c>
      <c r="AC48" s="341">
        <v>1305129</v>
      </c>
    </row>
    <row r="49" spans="7:31" ht="14.25" thickBot="1">
      <c r="G49" s="107">
        <f>G48-SUM(G6:G47)</f>
        <v>0</v>
      </c>
      <c r="O49" s="23"/>
    </row>
    <row r="50" spans="7:31" ht="14.25" thickBot="1">
      <c r="J50" s="306" t="s">
        <v>404</v>
      </c>
      <c r="K50" s="307" t="s">
        <v>403</v>
      </c>
      <c r="P50" s="445" t="s">
        <v>544</v>
      </c>
      <c r="Q50" s="446">
        <f>SUM(海田:廿日市!Q48)</f>
        <v>39380544</v>
      </c>
      <c r="R50" s="447">
        <f>SUM(海田:廿日市!R48)</f>
        <v>4394901</v>
      </c>
      <c r="S50" s="447">
        <f>SUM(海田:廿日市!S48)</f>
        <v>43775445</v>
      </c>
      <c r="T50" s="447">
        <f>SUM(海田:廿日市!T48)</f>
        <v>3962461</v>
      </c>
      <c r="U50" s="448">
        <f>SUM(海田:廿日市!U48)</f>
        <v>3527598</v>
      </c>
      <c r="V50" s="72"/>
      <c r="W50" s="72"/>
      <c r="X50" s="72"/>
      <c r="Y50" s="449">
        <f>SUM(海田:廿日市!Y48)</f>
        <v>39884829</v>
      </c>
      <c r="Z50" s="447">
        <f>SUM(海田:廿日市!Z48)</f>
        <v>3917288</v>
      </c>
      <c r="AA50" s="447">
        <f>SUM(海田:廿日市!AA48)</f>
        <v>43802117</v>
      </c>
      <c r="AB50" s="447">
        <f>SUM(海田:廿日市!AB48)</f>
        <v>3965454</v>
      </c>
      <c r="AC50" s="448">
        <f>SUM(海田:廿日市!AC48)</f>
        <v>3568245</v>
      </c>
      <c r="AE50" t="s">
        <v>545</v>
      </c>
    </row>
    <row r="51" spans="7:31">
      <c r="J51" s="307">
        <v>3</v>
      </c>
      <c r="K51" s="308">
        <f>+SUMIFS($K$4:$K$48,$N$4:$N$48,$J51)</f>
        <v>15511861</v>
      </c>
    </row>
    <row r="52" spans="7:31">
      <c r="J52" s="307">
        <v>5</v>
      </c>
      <c r="K52" s="308">
        <f>+SUMIFS($K$4:$K$48,$N$4:$N$48,$J52)</f>
        <v>2107306</v>
      </c>
    </row>
    <row r="53" spans="7:31">
      <c r="J53" s="307">
        <v>8</v>
      </c>
      <c r="K53" s="308">
        <f>+SUMIFS($K$4:$K$48,$N$4:$N$48,$J53)</f>
        <v>2573</v>
      </c>
    </row>
    <row r="54" spans="7:31">
      <c r="J54" s="307">
        <v>10</v>
      </c>
      <c r="K54" s="308">
        <f>+SUMIFS($K$4:$K$48,$N$4:$N$48,$J54)</f>
        <v>0</v>
      </c>
    </row>
    <row r="55" spans="7:31">
      <c r="J55" s="306" t="s">
        <v>405</v>
      </c>
      <c r="K55" s="309">
        <f>SUM(K51:K54)</f>
        <v>17621740</v>
      </c>
    </row>
    <row r="56" spans="7:31">
      <c r="J56" s="306" t="s">
        <v>406</v>
      </c>
      <c r="K56" s="309">
        <f>+K48-K55</f>
        <v>0</v>
      </c>
    </row>
  </sheetData>
  <mergeCells count="38">
    <mergeCell ref="U43:U44"/>
    <mergeCell ref="AC43:AC44"/>
    <mergeCell ref="AB43:AB44"/>
    <mergeCell ref="AA43:AA44"/>
    <mergeCell ref="Z43:Z44"/>
    <mergeCell ref="Y43:Y44"/>
    <mergeCell ref="K4:K5"/>
    <mergeCell ref="A6:A48"/>
    <mergeCell ref="P4:P5"/>
    <mergeCell ref="O6:O48"/>
    <mergeCell ref="C4:E4"/>
    <mergeCell ref="F4:F5"/>
    <mergeCell ref="G4:G5"/>
    <mergeCell ref="A4:A5"/>
    <mergeCell ref="B4:B5"/>
    <mergeCell ref="H4:H5"/>
    <mergeCell ref="I4:I5"/>
    <mergeCell ref="J4:J5"/>
    <mergeCell ref="O4:O5"/>
    <mergeCell ref="M4:M5"/>
    <mergeCell ref="P43:P44"/>
    <mergeCell ref="B43:B44"/>
    <mergeCell ref="AB4:AB5"/>
    <mergeCell ref="AC4:AC5"/>
    <mergeCell ref="L4:L5"/>
    <mergeCell ref="W6:W48"/>
    <mergeCell ref="W4:W5"/>
    <mergeCell ref="X4:X5"/>
    <mergeCell ref="Y4:AA4"/>
    <mergeCell ref="Q4:S4"/>
    <mergeCell ref="U4:U5"/>
    <mergeCell ref="T4:T5"/>
    <mergeCell ref="N4:N5"/>
    <mergeCell ref="X43:X44"/>
    <mergeCell ref="T43:T44"/>
    <mergeCell ref="S43:S44"/>
    <mergeCell ref="R43:R44"/>
    <mergeCell ref="Q43:Q44"/>
  </mergeCells>
  <phoneticPr fontId="2"/>
  <pageMargins left="0.78740157480314965" right="0.78740157480314965" top="0.62992125984251968" bottom="0.82677165354330717" header="0.31496062992125984" footer="0.35433070866141736"/>
  <pageSetup paperSize="9" scale="83" fitToWidth="2" orientation="landscape" r:id="rId1"/>
  <headerFooter alignWithMargins="0"/>
  <colBreaks count="1" manualBreakCount="1">
    <brk id="14" max="47" man="1"/>
  </colBreaks>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66FF33"/>
  </sheetPr>
  <dimension ref="A2:AC56"/>
  <sheetViews>
    <sheetView zoomScale="85" zoomScaleNormal="85" zoomScaleSheetLayoutView="85" workbookViewId="0">
      <pane xSplit="2" ySplit="5" topLeftCell="C6" activePane="bottomRight" state="frozen"/>
      <selection sqref="A1:XFD1048576"/>
      <selection pane="topRight" sqref="A1:XFD1048576"/>
      <selection pane="bottomLeft" sqref="A1:XFD1048576"/>
      <selection pane="bottomRight" activeCell="C48" sqref="C48"/>
    </sheetView>
  </sheetViews>
  <sheetFormatPr defaultRowHeight="13.5"/>
  <cols>
    <col min="1" max="1" width="2.625" customWidth="1"/>
    <col min="2" max="2" width="11.625" bestFit="1" customWidth="1"/>
    <col min="3" max="5" width="13.125" customWidth="1"/>
    <col min="6" max="7" width="11.625" customWidth="1"/>
    <col min="8" max="8" width="13.125" customWidth="1"/>
    <col min="9" max="10" width="13.75" customWidth="1"/>
    <col min="11" max="12" width="13.125" customWidth="1"/>
    <col min="13" max="13" width="7.625" customWidth="1"/>
    <col min="14" max="14" width="3.125" customWidth="1"/>
    <col min="15" max="15" width="2.625" customWidth="1"/>
    <col min="16" max="21" width="11.625" customWidth="1"/>
    <col min="22" max="22" width="3.125" customWidth="1"/>
    <col min="23" max="23" width="2.625" customWidth="1"/>
    <col min="24" max="24" width="11.625" bestFit="1" customWidth="1"/>
    <col min="25" max="29" width="11.625" customWidth="1"/>
    <col min="30" max="30" width="3.125" customWidth="1"/>
  </cols>
  <sheetData>
    <row r="2" spans="1:29">
      <c r="A2" t="str">
        <f>+"令和"&amp;MID(総括表!A2,3,1)&amp;"年度決算　府中町青崎地区"</f>
        <v>令和５年度決算　府中町青崎地区</v>
      </c>
      <c r="O2" t="str">
        <f>+A2</f>
        <v>令和５年度決算　府中町青崎地区</v>
      </c>
      <c r="T2" s="87"/>
      <c r="U2" s="87"/>
    </row>
    <row r="4" spans="1:29" ht="13.5" customHeight="1">
      <c r="A4" s="1104" t="s">
        <v>48</v>
      </c>
      <c r="B4" s="1104" t="s">
        <v>331</v>
      </c>
      <c r="C4" s="1121" t="s">
        <v>90</v>
      </c>
      <c r="D4" s="1121"/>
      <c r="E4" s="1121"/>
      <c r="F4" s="1107" t="s">
        <v>92</v>
      </c>
      <c r="G4" s="1107" t="s">
        <v>95</v>
      </c>
      <c r="H4" s="1107" t="s">
        <v>141</v>
      </c>
      <c r="I4" s="1096" t="s">
        <v>65</v>
      </c>
      <c r="J4" s="1096" t="s">
        <v>67</v>
      </c>
      <c r="K4" s="1098" t="s">
        <v>91</v>
      </c>
      <c r="L4" s="1100" t="s">
        <v>17</v>
      </c>
      <c r="M4" s="1100" t="s">
        <v>424</v>
      </c>
      <c r="N4" s="1122" t="s">
        <v>402</v>
      </c>
      <c r="O4" s="1104" t="s">
        <v>48</v>
      </c>
      <c r="P4" s="1104" t="s">
        <v>93</v>
      </c>
      <c r="Q4" s="1121" t="s">
        <v>90</v>
      </c>
      <c r="R4" s="1121"/>
      <c r="S4" s="1121"/>
      <c r="T4" s="1107" t="s">
        <v>92</v>
      </c>
      <c r="U4" s="1107" t="s">
        <v>95</v>
      </c>
      <c r="W4" s="1104" t="s">
        <v>48</v>
      </c>
      <c r="X4" s="1104" t="s">
        <v>93</v>
      </c>
      <c r="Y4" s="1121" t="s">
        <v>90</v>
      </c>
      <c r="Z4" s="1121"/>
      <c r="AA4" s="1121"/>
      <c r="AB4" s="1107" t="s">
        <v>92</v>
      </c>
      <c r="AC4" s="1107" t="s">
        <v>95</v>
      </c>
    </row>
    <row r="5" spans="1:29" ht="13.5" customHeight="1">
      <c r="A5" s="1105"/>
      <c r="B5" s="1106"/>
      <c r="C5" s="26" t="s">
        <v>89</v>
      </c>
      <c r="D5" s="26" t="s">
        <v>328</v>
      </c>
      <c r="E5" s="26" t="s">
        <v>87</v>
      </c>
      <c r="F5" s="1099"/>
      <c r="G5" s="1117"/>
      <c r="H5" s="1099"/>
      <c r="I5" s="1097"/>
      <c r="J5" s="1097"/>
      <c r="K5" s="1099"/>
      <c r="L5" s="1101"/>
      <c r="M5" s="1101"/>
      <c r="N5" s="1123"/>
      <c r="O5" s="1105"/>
      <c r="P5" s="1106"/>
      <c r="Q5" s="26" t="s">
        <v>89</v>
      </c>
      <c r="R5" s="26" t="s">
        <v>328</v>
      </c>
      <c r="S5" s="26" t="s">
        <v>87</v>
      </c>
      <c r="T5" s="1099"/>
      <c r="U5" s="1117"/>
      <c r="V5" s="113"/>
      <c r="W5" s="1105"/>
      <c r="X5" s="1106"/>
      <c r="Y5" s="26" t="s">
        <v>89</v>
      </c>
      <c r="Z5" s="26" t="s">
        <v>328</v>
      </c>
      <c r="AA5" s="26" t="s">
        <v>87</v>
      </c>
      <c r="AB5" s="1099"/>
      <c r="AC5" s="1117"/>
    </row>
    <row r="6" spans="1:29" ht="13.5" customHeight="1">
      <c r="A6" s="1118" t="s">
        <v>330</v>
      </c>
      <c r="B6" s="116" t="s">
        <v>455</v>
      </c>
      <c r="C6" s="115">
        <f t="shared" ref="C6:C47" si="0">+Q6+Y6</f>
        <v>0</v>
      </c>
      <c r="D6" s="115">
        <f t="shared" ref="D6:D47" si="1">+R6+Z6</f>
        <v>0</v>
      </c>
      <c r="E6" s="115">
        <f t="shared" ref="E6:E47" si="2">+S6+AA6</f>
        <v>0</v>
      </c>
      <c r="F6" s="115">
        <f t="shared" ref="F6:F47" si="3">+T6+AB6</f>
        <v>0</v>
      </c>
      <c r="G6" s="114">
        <f t="shared" ref="G6:G47" si="4">ROUND(C6/C$48*G$48,0)</f>
        <v>0</v>
      </c>
      <c r="H6" s="114">
        <f t="shared" ref="H6:H47" si="5">C6-G6</f>
        <v>0</v>
      </c>
      <c r="I6" s="38"/>
      <c r="J6" s="38"/>
      <c r="K6" s="114">
        <v>0</v>
      </c>
      <c r="L6" s="114">
        <f t="shared" ref="L6:L12" si="6">H6-K6</f>
        <v>0</v>
      </c>
      <c r="M6" s="120">
        <f>ROUND(C6/C$48*G$48,3)-ROUND(C6/C$48*G$48,0)</f>
        <v>0</v>
      </c>
      <c r="N6" s="305">
        <f>+海田!N6</f>
        <v>0</v>
      </c>
      <c r="O6" s="1118" t="s">
        <v>110</v>
      </c>
      <c r="P6" s="116" t="str">
        <f>+B6</f>
        <v>昭和57年度</v>
      </c>
      <c r="Q6" s="342"/>
      <c r="R6" s="342"/>
      <c r="S6" s="342"/>
      <c r="T6" s="342"/>
      <c r="U6" s="114"/>
      <c r="V6" s="120"/>
      <c r="W6" s="1118" t="s">
        <v>462</v>
      </c>
      <c r="X6" s="116" t="str">
        <f>+B6</f>
        <v>昭和57年度</v>
      </c>
      <c r="Y6" s="343">
        <v>0</v>
      </c>
      <c r="Z6" s="343">
        <v>0</v>
      </c>
      <c r="AA6" s="343">
        <v>0</v>
      </c>
      <c r="AB6" s="343">
        <v>0</v>
      </c>
      <c r="AC6" s="114"/>
    </row>
    <row r="7" spans="1:29">
      <c r="A7" s="1119"/>
      <c r="B7" s="116" t="s">
        <v>456</v>
      </c>
      <c r="C7" s="115">
        <f t="shared" si="0"/>
        <v>0</v>
      </c>
      <c r="D7" s="115">
        <f t="shared" si="1"/>
        <v>0</v>
      </c>
      <c r="E7" s="115">
        <f t="shared" si="2"/>
        <v>0</v>
      </c>
      <c r="F7" s="115">
        <f t="shared" si="3"/>
        <v>0</v>
      </c>
      <c r="G7" s="114">
        <f t="shared" si="4"/>
        <v>0</v>
      </c>
      <c r="H7" s="114">
        <f t="shared" si="5"/>
        <v>0</v>
      </c>
      <c r="I7" s="38"/>
      <c r="J7" s="38"/>
      <c r="K7" s="114">
        <v>0</v>
      </c>
      <c r="L7" s="114">
        <f t="shared" si="6"/>
        <v>0</v>
      </c>
      <c r="M7" s="120">
        <f>ROUND(C7/C$48*G$48,3)-ROUND(C7/C$48*G$48,0)</f>
        <v>0</v>
      </c>
      <c r="N7" s="305">
        <f>+海田!N7</f>
        <v>0</v>
      </c>
      <c r="O7" s="1119"/>
      <c r="P7" s="116" t="str">
        <f t="shared" ref="P7:P47" si="7">+B7</f>
        <v>昭和58年度</v>
      </c>
      <c r="Q7" s="342">
        <v>0</v>
      </c>
      <c r="R7" s="342">
        <v>0</v>
      </c>
      <c r="S7" s="342">
        <v>0</v>
      </c>
      <c r="T7" s="342">
        <v>0</v>
      </c>
      <c r="U7" s="114"/>
      <c r="V7" s="121"/>
      <c r="W7" s="1119"/>
      <c r="X7" s="116" t="str">
        <f t="shared" ref="X7:X47" si="8">+B7</f>
        <v>昭和58年度</v>
      </c>
      <c r="Y7" s="343">
        <v>0</v>
      </c>
      <c r="Z7" s="343">
        <v>0</v>
      </c>
      <c r="AA7" s="343">
        <v>0</v>
      </c>
      <c r="AB7" s="343">
        <v>0</v>
      </c>
      <c r="AC7" s="114"/>
    </row>
    <row r="8" spans="1:29">
      <c r="A8" s="1119"/>
      <c r="B8" s="116" t="s">
        <v>457</v>
      </c>
      <c r="C8" s="115">
        <f t="shared" si="0"/>
        <v>0</v>
      </c>
      <c r="D8" s="115">
        <f t="shared" si="1"/>
        <v>0</v>
      </c>
      <c r="E8" s="115">
        <f t="shared" si="2"/>
        <v>0</v>
      </c>
      <c r="F8" s="115">
        <f t="shared" si="3"/>
        <v>0</v>
      </c>
      <c r="G8" s="114">
        <f t="shared" si="4"/>
        <v>0</v>
      </c>
      <c r="H8" s="114">
        <f t="shared" si="5"/>
        <v>0</v>
      </c>
      <c r="I8" s="38"/>
      <c r="J8" s="38"/>
      <c r="K8" s="114">
        <v>0</v>
      </c>
      <c r="L8" s="114">
        <f t="shared" si="6"/>
        <v>0</v>
      </c>
      <c r="M8" s="120">
        <f>ROUND(C8/C$48*G$48,3)-ROUND(C8/C$48*G$48,0)</f>
        <v>0</v>
      </c>
      <c r="N8" s="305">
        <f>+海田!N8</f>
        <v>0</v>
      </c>
      <c r="O8" s="1119"/>
      <c r="P8" s="116" t="str">
        <f t="shared" si="7"/>
        <v>昭和59年度</v>
      </c>
      <c r="Q8" s="342">
        <v>0</v>
      </c>
      <c r="R8" s="342">
        <v>0</v>
      </c>
      <c r="S8" s="342">
        <v>0</v>
      </c>
      <c r="T8" s="342">
        <v>0</v>
      </c>
      <c r="U8" s="114"/>
      <c r="V8" s="121"/>
      <c r="W8" s="1119"/>
      <c r="X8" s="116" t="str">
        <f t="shared" si="8"/>
        <v>昭和59年度</v>
      </c>
      <c r="Y8" s="343">
        <v>0</v>
      </c>
      <c r="Z8" s="343">
        <v>0</v>
      </c>
      <c r="AA8" s="343">
        <v>0</v>
      </c>
      <c r="AB8" s="343">
        <v>0</v>
      </c>
      <c r="AC8" s="114"/>
    </row>
    <row r="9" spans="1:29">
      <c r="A9" s="1119"/>
      <c r="B9" s="116" t="s">
        <v>458</v>
      </c>
      <c r="C9" s="115">
        <f t="shared" si="0"/>
        <v>0</v>
      </c>
      <c r="D9" s="115">
        <f t="shared" si="1"/>
        <v>0</v>
      </c>
      <c r="E9" s="115">
        <f t="shared" si="2"/>
        <v>0</v>
      </c>
      <c r="F9" s="115">
        <f t="shared" si="3"/>
        <v>0</v>
      </c>
      <c r="G9" s="114">
        <f t="shared" si="4"/>
        <v>0</v>
      </c>
      <c r="H9" s="114">
        <f t="shared" si="5"/>
        <v>0</v>
      </c>
      <c r="I9" s="38"/>
      <c r="J9" s="38"/>
      <c r="K9" s="114">
        <v>0</v>
      </c>
      <c r="L9" s="114">
        <f t="shared" si="6"/>
        <v>0</v>
      </c>
      <c r="M9" s="120">
        <f>ROUND(C9/C$48*G$48,3)-ROUND(C9/C$48*G$48,0)</f>
        <v>0</v>
      </c>
      <c r="N9" s="305">
        <f>+海田!N9</f>
        <v>0</v>
      </c>
      <c r="O9" s="1119"/>
      <c r="P9" s="116" t="str">
        <f t="shared" si="7"/>
        <v>昭和60年度</v>
      </c>
      <c r="Q9" s="342">
        <v>0</v>
      </c>
      <c r="R9" s="342">
        <v>0</v>
      </c>
      <c r="S9" s="342">
        <v>0</v>
      </c>
      <c r="T9" s="342">
        <v>0</v>
      </c>
      <c r="U9" s="114"/>
      <c r="V9" s="121"/>
      <c r="W9" s="1119"/>
      <c r="X9" s="116" t="str">
        <f t="shared" si="8"/>
        <v>昭和60年度</v>
      </c>
      <c r="Y9" s="343">
        <v>0</v>
      </c>
      <c r="Z9" s="343">
        <v>0</v>
      </c>
      <c r="AA9" s="343">
        <v>0</v>
      </c>
      <c r="AB9" s="343">
        <v>0</v>
      </c>
      <c r="AC9" s="114"/>
    </row>
    <row r="10" spans="1:29">
      <c r="A10" s="1119"/>
      <c r="B10" s="116" t="s">
        <v>459</v>
      </c>
      <c r="C10" s="115">
        <f t="shared" si="0"/>
        <v>0</v>
      </c>
      <c r="D10" s="115">
        <f t="shared" si="1"/>
        <v>0</v>
      </c>
      <c r="E10" s="115">
        <f t="shared" si="2"/>
        <v>0</v>
      </c>
      <c r="F10" s="115">
        <f t="shared" si="3"/>
        <v>0</v>
      </c>
      <c r="G10" s="114">
        <f t="shared" si="4"/>
        <v>0</v>
      </c>
      <c r="H10" s="114">
        <f t="shared" si="5"/>
        <v>0</v>
      </c>
      <c r="I10" s="38"/>
      <c r="J10" s="38"/>
      <c r="K10" s="114">
        <v>0</v>
      </c>
      <c r="L10" s="114">
        <f t="shared" si="6"/>
        <v>0</v>
      </c>
      <c r="M10" s="120">
        <f t="shared" ref="M10:M47" si="9">ROUND(C10/C$48*G$48,3)-ROUND(C10/C$48*G$48,0)</f>
        <v>0</v>
      </c>
      <c r="N10" s="305">
        <f>+海田!N10</f>
        <v>0</v>
      </c>
      <c r="O10" s="1119"/>
      <c r="P10" s="116" t="str">
        <f t="shared" si="7"/>
        <v>昭和61年度</v>
      </c>
      <c r="Q10" s="342">
        <v>0</v>
      </c>
      <c r="R10" s="342">
        <v>0</v>
      </c>
      <c r="S10" s="342">
        <v>0</v>
      </c>
      <c r="T10" s="342">
        <v>0</v>
      </c>
      <c r="U10" s="114"/>
      <c r="V10" s="121"/>
      <c r="W10" s="1119"/>
      <c r="X10" s="116" t="str">
        <f t="shared" si="8"/>
        <v>昭和61年度</v>
      </c>
      <c r="Y10" s="343">
        <v>0</v>
      </c>
      <c r="Z10" s="343">
        <v>0</v>
      </c>
      <c r="AA10" s="343">
        <v>0</v>
      </c>
      <c r="AB10" s="343">
        <v>0</v>
      </c>
      <c r="AC10" s="114"/>
    </row>
    <row r="11" spans="1:29">
      <c r="A11" s="1119"/>
      <c r="B11" s="116" t="s">
        <v>460</v>
      </c>
      <c r="C11" s="115">
        <f t="shared" si="0"/>
        <v>0</v>
      </c>
      <c r="D11" s="115">
        <f t="shared" si="1"/>
        <v>0</v>
      </c>
      <c r="E11" s="115">
        <f t="shared" si="2"/>
        <v>0</v>
      </c>
      <c r="F11" s="115">
        <f t="shared" si="3"/>
        <v>0</v>
      </c>
      <c r="G11" s="375">
        <f>ROUND(C11/C$48*G$48,0)</f>
        <v>0</v>
      </c>
      <c r="H11" s="114">
        <f t="shared" si="5"/>
        <v>0</v>
      </c>
      <c r="I11" s="38"/>
      <c r="J11" s="38"/>
      <c r="K11" s="114">
        <v>0</v>
      </c>
      <c r="L11" s="114">
        <f t="shared" si="6"/>
        <v>0</v>
      </c>
      <c r="M11" s="120">
        <f t="shared" si="9"/>
        <v>0</v>
      </c>
      <c r="N11" s="305">
        <f>+海田!N11</f>
        <v>0</v>
      </c>
      <c r="O11" s="1119"/>
      <c r="P11" s="116" t="str">
        <f t="shared" si="7"/>
        <v>昭和62年度</v>
      </c>
      <c r="Q11" s="342">
        <v>0</v>
      </c>
      <c r="R11" s="342">
        <v>0</v>
      </c>
      <c r="S11" s="342">
        <v>0</v>
      </c>
      <c r="T11" s="342">
        <v>0</v>
      </c>
      <c r="U11" s="114"/>
      <c r="V11" s="121"/>
      <c r="W11" s="1119"/>
      <c r="X11" s="116" t="str">
        <f t="shared" si="8"/>
        <v>昭和62年度</v>
      </c>
      <c r="Y11" s="343">
        <v>0</v>
      </c>
      <c r="Z11" s="343">
        <v>0</v>
      </c>
      <c r="AA11" s="343">
        <v>0</v>
      </c>
      <c r="AB11" s="343">
        <v>0</v>
      </c>
      <c r="AC11" s="114"/>
    </row>
    <row r="12" spans="1:29">
      <c r="A12" s="1119"/>
      <c r="B12" s="116" t="s">
        <v>461</v>
      </c>
      <c r="C12" s="115">
        <f t="shared" si="0"/>
        <v>0</v>
      </c>
      <c r="D12" s="115">
        <f t="shared" si="1"/>
        <v>0</v>
      </c>
      <c r="E12" s="115">
        <f t="shared" si="2"/>
        <v>0</v>
      </c>
      <c r="F12" s="115">
        <f t="shared" si="3"/>
        <v>0</v>
      </c>
      <c r="G12" s="114">
        <f t="shared" si="4"/>
        <v>0</v>
      </c>
      <c r="H12" s="114">
        <f t="shared" si="5"/>
        <v>0</v>
      </c>
      <c r="I12" s="38"/>
      <c r="J12" s="38"/>
      <c r="K12" s="114">
        <v>0</v>
      </c>
      <c r="L12" s="114">
        <f t="shared" si="6"/>
        <v>0</v>
      </c>
      <c r="M12" s="120">
        <f t="shared" si="9"/>
        <v>0</v>
      </c>
      <c r="N12" s="305">
        <f>+海田!N12</f>
        <v>0</v>
      </c>
      <c r="O12" s="1119"/>
      <c r="P12" s="116" t="str">
        <f t="shared" si="7"/>
        <v>昭和63年度</v>
      </c>
      <c r="Q12" s="342">
        <v>0</v>
      </c>
      <c r="R12" s="342">
        <v>0</v>
      </c>
      <c r="S12" s="342">
        <v>0</v>
      </c>
      <c r="T12" s="342">
        <v>0</v>
      </c>
      <c r="U12" s="114"/>
      <c r="V12" s="121"/>
      <c r="W12" s="1119"/>
      <c r="X12" s="116" t="str">
        <f t="shared" si="8"/>
        <v>昭和63年度</v>
      </c>
      <c r="Y12" s="343">
        <v>0</v>
      </c>
      <c r="Z12" s="343">
        <v>0</v>
      </c>
      <c r="AA12" s="343">
        <v>0</v>
      </c>
      <c r="AB12" s="343">
        <v>0</v>
      </c>
      <c r="AC12" s="114"/>
    </row>
    <row r="13" spans="1:29">
      <c r="A13" s="1119"/>
      <c r="B13" s="117" t="s">
        <v>425</v>
      </c>
      <c r="C13" s="115">
        <f t="shared" si="0"/>
        <v>0</v>
      </c>
      <c r="D13" s="115">
        <f t="shared" si="1"/>
        <v>0</v>
      </c>
      <c r="E13" s="115">
        <f t="shared" si="2"/>
        <v>0</v>
      </c>
      <c r="F13" s="115">
        <f t="shared" si="3"/>
        <v>0</v>
      </c>
      <c r="G13" s="114">
        <f t="shared" si="4"/>
        <v>0</v>
      </c>
      <c r="H13" s="114">
        <f t="shared" si="5"/>
        <v>0</v>
      </c>
      <c r="I13" s="108">
        <f>+VLOOKUP($B13,年度別調書!$A$4:$M$37,10,0)</f>
        <v>30622955900</v>
      </c>
      <c r="J13" s="108">
        <f>+VLOOKUP($B13,年度別調書!$A$4:$M$37,13,0)</f>
        <v>62903610340</v>
      </c>
      <c r="K13" s="114">
        <f>IFERROR(ROUND(H13*I13/J13,0),0)</f>
        <v>0</v>
      </c>
      <c r="L13" s="114">
        <f>H13-K13</f>
        <v>0</v>
      </c>
      <c r="M13" s="120">
        <f t="shared" si="9"/>
        <v>0</v>
      </c>
      <c r="N13" s="305">
        <f>+海田!N13</f>
        <v>3</v>
      </c>
      <c r="O13" s="1119"/>
      <c r="P13" s="116" t="str">
        <f t="shared" si="7"/>
        <v>平成元年度</v>
      </c>
      <c r="Q13" s="342">
        <v>0</v>
      </c>
      <c r="R13" s="342">
        <v>0</v>
      </c>
      <c r="S13" s="342">
        <v>0</v>
      </c>
      <c r="T13" s="342">
        <v>0</v>
      </c>
      <c r="U13" s="114"/>
      <c r="V13" s="121"/>
      <c r="W13" s="1119"/>
      <c r="X13" s="116" t="str">
        <f t="shared" si="8"/>
        <v>平成元年度</v>
      </c>
      <c r="Y13" s="343">
        <v>0</v>
      </c>
      <c r="Z13" s="343">
        <v>0</v>
      </c>
      <c r="AA13" s="343">
        <v>0</v>
      </c>
      <c r="AB13" s="343">
        <v>0</v>
      </c>
      <c r="AC13" s="114"/>
    </row>
    <row r="14" spans="1:29">
      <c r="A14" s="1119"/>
      <c r="B14" s="117" t="s">
        <v>426</v>
      </c>
      <c r="C14" s="115">
        <f>+Q14+Y14</f>
        <v>0</v>
      </c>
      <c r="D14" s="115">
        <f t="shared" si="1"/>
        <v>0</v>
      </c>
      <c r="E14" s="115">
        <f t="shared" si="2"/>
        <v>0</v>
      </c>
      <c r="F14" s="115">
        <f t="shared" si="3"/>
        <v>0</v>
      </c>
      <c r="G14" s="114">
        <f t="shared" si="4"/>
        <v>0</v>
      </c>
      <c r="H14" s="114">
        <f t="shared" si="5"/>
        <v>0</v>
      </c>
      <c r="I14" s="108">
        <f>+VLOOKUP($B14,年度別調書!$A$4:$M$37,10,0)</f>
        <v>36785805618</v>
      </c>
      <c r="J14" s="108">
        <f>+VLOOKUP($B14,年度別調書!$A$4:$M$37,13,0)</f>
        <v>65207626364</v>
      </c>
      <c r="K14" s="114">
        <f t="shared" ref="K14:K22" si="10">IFERROR(ROUND(H14*I14/J14,0),0)</f>
        <v>0</v>
      </c>
      <c r="L14" s="114">
        <f>H14-K14</f>
        <v>0</v>
      </c>
      <c r="M14" s="120">
        <f t="shared" si="9"/>
        <v>0</v>
      </c>
      <c r="N14" s="305">
        <f>+海田!N14</f>
        <v>3</v>
      </c>
      <c r="O14" s="1119"/>
      <c r="P14" s="116" t="str">
        <f t="shared" si="7"/>
        <v>平成2年度</v>
      </c>
      <c r="Q14" s="441">
        <v>0</v>
      </c>
      <c r="R14" s="441">
        <v>0</v>
      </c>
      <c r="S14" s="441">
        <v>0</v>
      </c>
      <c r="T14" s="441">
        <v>0</v>
      </c>
      <c r="U14" s="114"/>
      <c r="V14" s="121"/>
      <c r="W14" s="1119"/>
      <c r="X14" s="116" t="str">
        <f t="shared" si="8"/>
        <v>平成2年度</v>
      </c>
      <c r="Y14" s="343">
        <v>0</v>
      </c>
      <c r="Z14" s="343">
        <v>0</v>
      </c>
      <c r="AA14" s="343">
        <v>0</v>
      </c>
      <c r="AB14" s="343">
        <v>0</v>
      </c>
      <c r="AC14" s="114"/>
    </row>
    <row r="15" spans="1:29">
      <c r="A15" s="1119"/>
      <c r="B15" s="117" t="s">
        <v>427</v>
      </c>
      <c r="C15" s="115">
        <f t="shared" si="0"/>
        <v>0</v>
      </c>
      <c r="D15" s="115">
        <f t="shared" si="1"/>
        <v>0</v>
      </c>
      <c r="E15" s="115">
        <f t="shared" si="2"/>
        <v>0</v>
      </c>
      <c r="F15" s="115">
        <f t="shared" si="3"/>
        <v>0</v>
      </c>
      <c r="G15" s="114">
        <f t="shared" si="4"/>
        <v>0</v>
      </c>
      <c r="H15" s="114">
        <f t="shared" si="5"/>
        <v>0</v>
      </c>
      <c r="I15" s="108">
        <f>+VLOOKUP($B15,年度別調書!$A$4:$M$37,10,0)</f>
        <v>42048127236</v>
      </c>
      <c r="J15" s="108">
        <f>+VLOOKUP($B15,年度別調書!$A$4:$M$37,13,0)</f>
        <v>72538415314</v>
      </c>
      <c r="K15" s="114">
        <f t="shared" si="10"/>
        <v>0</v>
      </c>
      <c r="L15" s="114">
        <f>H15-K15</f>
        <v>0</v>
      </c>
      <c r="M15" s="120">
        <f t="shared" si="9"/>
        <v>0</v>
      </c>
      <c r="N15" s="305">
        <f>+海田!N15</f>
        <v>3</v>
      </c>
      <c r="O15" s="1119"/>
      <c r="P15" s="116" t="str">
        <f t="shared" si="7"/>
        <v>平成3年度</v>
      </c>
      <c r="Q15" s="342">
        <v>0</v>
      </c>
      <c r="R15" s="342">
        <v>0</v>
      </c>
      <c r="S15" s="342">
        <v>0</v>
      </c>
      <c r="T15" s="342">
        <v>0</v>
      </c>
      <c r="U15" s="114"/>
      <c r="V15" s="121"/>
      <c r="W15" s="1119"/>
      <c r="X15" s="116" t="str">
        <f t="shared" si="8"/>
        <v>平成3年度</v>
      </c>
      <c r="Y15" s="343">
        <v>0</v>
      </c>
      <c r="Z15" s="343">
        <v>0</v>
      </c>
      <c r="AA15" s="343">
        <v>0</v>
      </c>
      <c r="AB15" s="343">
        <v>0</v>
      </c>
      <c r="AC15" s="114"/>
    </row>
    <row r="16" spans="1:29">
      <c r="A16" s="1119"/>
      <c r="B16" s="117" t="s">
        <v>428</v>
      </c>
      <c r="C16" s="115">
        <f t="shared" si="0"/>
        <v>682449</v>
      </c>
      <c r="D16" s="115">
        <f t="shared" si="1"/>
        <v>18739</v>
      </c>
      <c r="E16" s="115">
        <f t="shared" si="2"/>
        <v>701188</v>
      </c>
      <c r="F16" s="115">
        <f t="shared" si="3"/>
        <v>54606</v>
      </c>
      <c r="G16" s="375">
        <f>ROUND(C16/C$48*G$48,0)</f>
        <v>58743</v>
      </c>
      <c r="H16" s="114">
        <f t="shared" si="5"/>
        <v>623706</v>
      </c>
      <c r="I16" s="108">
        <f>+VLOOKUP($B16,年度別調書!$A$4:$M$37,10,0)</f>
        <v>49320557603</v>
      </c>
      <c r="J16" s="108">
        <f>+VLOOKUP($B16,年度別調書!$A$4:$M$37,13,0)</f>
        <v>82028053042</v>
      </c>
      <c r="K16" s="114">
        <f t="shared" si="10"/>
        <v>375012</v>
      </c>
      <c r="L16" s="114">
        <f>H16-K16</f>
        <v>248694</v>
      </c>
      <c r="M16" s="120">
        <f t="shared" si="9"/>
        <v>-0.37400000000343425</v>
      </c>
      <c r="N16" s="305">
        <f>+海田!N16</f>
        <v>3</v>
      </c>
      <c r="O16" s="1119"/>
      <c r="P16" s="116" t="str">
        <f t="shared" si="7"/>
        <v>平成4年度</v>
      </c>
      <c r="Q16" s="342">
        <v>338139</v>
      </c>
      <c r="R16" s="342">
        <v>12455</v>
      </c>
      <c r="S16" s="342">
        <v>350594</v>
      </c>
      <c r="T16" s="342">
        <v>27303</v>
      </c>
      <c r="U16" s="114"/>
      <c r="V16" s="121"/>
      <c r="W16" s="1119"/>
      <c r="X16" s="116" t="str">
        <f t="shared" si="8"/>
        <v>平成4年度</v>
      </c>
      <c r="Y16" s="343">
        <v>344310</v>
      </c>
      <c r="Z16" s="343">
        <v>6284</v>
      </c>
      <c r="AA16" s="343">
        <v>350594</v>
      </c>
      <c r="AB16" s="343">
        <v>27303</v>
      </c>
      <c r="AC16" s="114"/>
    </row>
    <row r="17" spans="1:29">
      <c r="A17" s="1119"/>
      <c r="B17" s="117" t="s">
        <v>429</v>
      </c>
      <c r="C17" s="115">
        <f t="shared" si="0"/>
        <v>2744661</v>
      </c>
      <c r="D17" s="115">
        <f t="shared" si="1"/>
        <v>143447</v>
      </c>
      <c r="E17" s="115">
        <f t="shared" si="2"/>
        <v>2888108</v>
      </c>
      <c r="F17" s="115">
        <f t="shared" si="3"/>
        <v>135410</v>
      </c>
      <c r="G17" s="375">
        <f t="shared" si="4"/>
        <v>236250</v>
      </c>
      <c r="H17" s="114">
        <f t="shared" si="5"/>
        <v>2508411</v>
      </c>
      <c r="I17" s="108">
        <f>+VLOOKUP($B17,年度別調書!$A$4:$M$37,10,0)</f>
        <v>54853236126</v>
      </c>
      <c r="J17" s="108">
        <f>+VLOOKUP($B17,年度別調書!$A$4:$M$37,13,0)</f>
        <v>94393962571</v>
      </c>
      <c r="K17" s="114">
        <f t="shared" si="10"/>
        <v>1457662</v>
      </c>
      <c r="L17" s="114">
        <f t="shared" ref="L17:L47" si="11">H17-K17</f>
        <v>1050749</v>
      </c>
      <c r="M17" s="120">
        <f t="shared" si="9"/>
        <v>2.9000000009546056E-2</v>
      </c>
      <c r="N17" s="305">
        <f>+海田!N17</f>
        <v>3</v>
      </c>
      <c r="O17" s="1119"/>
      <c r="P17" s="116" t="str">
        <f t="shared" si="7"/>
        <v>平成5年度</v>
      </c>
      <c r="Q17" s="342">
        <v>1357280</v>
      </c>
      <c r="R17" s="342">
        <v>86774</v>
      </c>
      <c r="S17" s="342">
        <v>1444054</v>
      </c>
      <c r="T17" s="342">
        <v>67705</v>
      </c>
      <c r="U17" s="114"/>
      <c r="V17" s="121"/>
      <c r="W17" s="1119"/>
      <c r="X17" s="116" t="str">
        <f t="shared" si="8"/>
        <v>平成5年度</v>
      </c>
      <c r="Y17" s="343">
        <v>1387381</v>
      </c>
      <c r="Z17" s="343">
        <v>56673</v>
      </c>
      <c r="AA17" s="343">
        <v>1444054</v>
      </c>
      <c r="AB17" s="343">
        <v>67705</v>
      </c>
      <c r="AC17" s="114"/>
    </row>
    <row r="18" spans="1:29">
      <c r="A18" s="1119"/>
      <c r="B18" s="117" t="s">
        <v>430</v>
      </c>
      <c r="C18" s="115">
        <f t="shared" si="0"/>
        <v>0</v>
      </c>
      <c r="D18" s="115">
        <f t="shared" si="1"/>
        <v>0</v>
      </c>
      <c r="E18" s="115">
        <f t="shared" si="2"/>
        <v>0</v>
      </c>
      <c r="F18" s="115">
        <f t="shared" si="3"/>
        <v>0</v>
      </c>
      <c r="G18" s="114">
        <f t="shared" si="4"/>
        <v>0</v>
      </c>
      <c r="H18" s="114">
        <f t="shared" si="5"/>
        <v>0</v>
      </c>
      <c r="I18" s="108">
        <f>+VLOOKUP($B18,年度別調書!$A$4:$M$37,10,0)</f>
        <v>52459905451</v>
      </c>
      <c r="J18" s="108">
        <f>+VLOOKUP($B18,年度別調書!$A$4:$M$37,13,0)</f>
        <v>92179213936</v>
      </c>
      <c r="K18" s="114">
        <f t="shared" si="10"/>
        <v>0</v>
      </c>
      <c r="L18" s="114">
        <f t="shared" si="11"/>
        <v>0</v>
      </c>
      <c r="M18" s="120">
        <f t="shared" si="9"/>
        <v>0</v>
      </c>
      <c r="N18" s="305">
        <f>+海田!N18</f>
        <v>3</v>
      </c>
      <c r="O18" s="1119"/>
      <c r="P18" s="116" t="str">
        <f t="shared" si="7"/>
        <v>平成6年度</v>
      </c>
      <c r="Q18" s="441">
        <v>0</v>
      </c>
      <c r="R18" s="441">
        <v>0</v>
      </c>
      <c r="S18" s="441">
        <v>0</v>
      </c>
      <c r="T18" s="441">
        <v>0</v>
      </c>
      <c r="U18" s="114"/>
      <c r="V18" s="121"/>
      <c r="W18" s="1119"/>
      <c r="X18" s="116" t="str">
        <f t="shared" si="8"/>
        <v>平成6年度</v>
      </c>
      <c r="Y18" s="343">
        <v>0</v>
      </c>
      <c r="Z18" s="343">
        <v>0</v>
      </c>
      <c r="AA18" s="343">
        <v>0</v>
      </c>
      <c r="AB18" s="343">
        <v>0</v>
      </c>
      <c r="AC18" s="114"/>
    </row>
    <row r="19" spans="1:29">
      <c r="A19" s="1119"/>
      <c r="B19" s="117" t="s">
        <v>431</v>
      </c>
      <c r="C19" s="115">
        <f t="shared" si="0"/>
        <v>0</v>
      </c>
      <c r="D19" s="115">
        <f t="shared" si="1"/>
        <v>0</v>
      </c>
      <c r="E19" s="115">
        <f t="shared" si="2"/>
        <v>0</v>
      </c>
      <c r="F19" s="115">
        <f t="shared" si="3"/>
        <v>0</v>
      </c>
      <c r="G19" s="114">
        <f t="shared" si="4"/>
        <v>0</v>
      </c>
      <c r="H19" s="114">
        <f t="shared" si="5"/>
        <v>0</v>
      </c>
      <c r="I19" s="108">
        <f>+VLOOKUP($B19,年度別調書!$A$4:$M$37,10,0)</f>
        <v>58579778590</v>
      </c>
      <c r="J19" s="108">
        <f>+VLOOKUP($B19,年度別調書!$A$4:$M$37,13,0)</f>
        <v>98916143476</v>
      </c>
      <c r="K19" s="114">
        <f t="shared" si="10"/>
        <v>0</v>
      </c>
      <c r="L19" s="114">
        <f t="shared" si="11"/>
        <v>0</v>
      </c>
      <c r="M19" s="120">
        <f t="shared" si="9"/>
        <v>0</v>
      </c>
      <c r="N19" s="305">
        <f>+海田!N19</f>
        <v>3</v>
      </c>
      <c r="O19" s="1119"/>
      <c r="P19" s="116" t="str">
        <f t="shared" si="7"/>
        <v>平成7年度</v>
      </c>
      <c r="Q19" s="441">
        <v>0</v>
      </c>
      <c r="R19" s="441">
        <v>0</v>
      </c>
      <c r="S19" s="441">
        <v>0</v>
      </c>
      <c r="T19" s="441">
        <v>0</v>
      </c>
      <c r="U19" s="114"/>
      <c r="V19" s="121"/>
      <c r="W19" s="1119"/>
      <c r="X19" s="116" t="str">
        <f t="shared" si="8"/>
        <v>平成7年度</v>
      </c>
      <c r="Y19" s="343">
        <v>0</v>
      </c>
      <c r="Z19" s="343">
        <v>0</v>
      </c>
      <c r="AA19" s="343">
        <v>0</v>
      </c>
      <c r="AB19" s="343">
        <v>0</v>
      </c>
      <c r="AC19" s="114"/>
    </row>
    <row r="20" spans="1:29">
      <c r="A20" s="1119"/>
      <c r="B20" s="117" t="s">
        <v>432</v>
      </c>
      <c r="C20" s="115">
        <f t="shared" si="0"/>
        <v>338992</v>
      </c>
      <c r="D20" s="115">
        <f t="shared" si="1"/>
        <v>26714</v>
      </c>
      <c r="E20" s="115">
        <f t="shared" si="2"/>
        <v>365706</v>
      </c>
      <c r="F20" s="115">
        <f t="shared" si="3"/>
        <v>42264</v>
      </c>
      <c r="G20" s="114">
        <f t="shared" si="4"/>
        <v>29179</v>
      </c>
      <c r="H20" s="114">
        <f t="shared" si="5"/>
        <v>309813</v>
      </c>
      <c r="I20" s="108">
        <f>+VLOOKUP($B20,年度別調書!$A$4:$M$37,10,0)</f>
        <v>59855732510</v>
      </c>
      <c r="J20" s="108">
        <f>+VLOOKUP($B20,年度別調書!$A$4:$M$37,13,0)</f>
        <v>105086070753</v>
      </c>
      <c r="K20" s="114">
        <f t="shared" si="10"/>
        <v>176466</v>
      </c>
      <c r="L20" s="114">
        <f t="shared" si="11"/>
        <v>133347</v>
      </c>
      <c r="M20" s="120">
        <f t="shared" si="9"/>
        <v>0.14800000000104774</v>
      </c>
      <c r="N20" s="305">
        <f>+海田!N20</f>
        <v>3</v>
      </c>
      <c r="O20" s="1119"/>
      <c r="P20" s="116" t="str">
        <f t="shared" si="7"/>
        <v>平成8年度</v>
      </c>
      <c r="Q20" s="342">
        <v>168361</v>
      </c>
      <c r="R20" s="342">
        <v>14492</v>
      </c>
      <c r="S20" s="342">
        <v>182853</v>
      </c>
      <c r="T20" s="342">
        <v>21132</v>
      </c>
      <c r="U20" s="114"/>
      <c r="V20" s="121"/>
      <c r="W20" s="1119"/>
      <c r="X20" s="116" t="str">
        <f t="shared" si="8"/>
        <v>平成8年度</v>
      </c>
      <c r="Y20" s="343">
        <v>170631</v>
      </c>
      <c r="Z20" s="343">
        <v>12222</v>
      </c>
      <c r="AA20" s="343">
        <v>182853</v>
      </c>
      <c r="AB20" s="343">
        <v>21132</v>
      </c>
      <c r="AC20" s="114"/>
    </row>
    <row r="21" spans="1:29">
      <c r="A21" s="1119"/>
      <c r="B21" s="117" t="s">
        <v>433</v>
      </c>
      <c r="C21" s="115">
        <f t="shared" si="0"/>
        <v>2220449</v>
      </c>
      <c r="D21" s="115">
        <f t="shared" si="1"/>
        <v>200651</v>
      </c>
      <c r="E21" s="115">
        <f t="shared" si="2"/>
        <v>2421100</v>
      </c>
      <c r="F21" s="115">
        <f t="shared" si="3"/>
        <v>258094</v>
      </c>
      <c r="G21" s="114">
        <f t="shared" si="4"/>
        <v>191128</v>
      </c>
      <c r="H21" s="114">
        <f t="shared" si="5"/>
        <v>2029321</v>
      </c>
      <c r="I21" s="108">
        <f>+VLOOKUP($B21,年度別調書!$A$4:$M$37,10,0)</f>
        <v>65491097789</v>
      </c>
      <c r="J21" s="108">
        <f>+VLOOKUP($B21,年度別調書!$A$4:$M$37,13,0)</f>
        <v>112544371375</v>
      </c>
      <c r="K21" s="114">
        <f t="shared" si="10"/>
        <v>1180889</v>
      </c>
      <c r="L21" s="114">
        <f t="shared" si="11"/>
        <v>848432</v>
      </c>
      <c r="M21" s="120">
        <f t="shared" si="9"/>
        <v>-0.15599999998812564</v>
      </c>
      <c r="N21" s="305">
        <f>+海田!N21</f>
        <v>5</v>
      </c>
      <c r="O21" s="1119"/>
      <c r="P21" s="116" t="str">
        <f t="shared" si="7"/>
        <v>平成9年度</v>
      </c>
      <c r="Q21" s="342">
        <v>1104456</v>
      </c>
      <c r="R21" s="342">
        <v>106094</v>
      </c>
      <c r="S21" s="342">
        <v>1210550</v>
      </c>
      <c r="T21" s="342">
        <v>129047</v>
      </c>
      <c r="U21" s="114"/>
      <c r="V21" s="121"/>
      <c r="W21" s="1119"/>
      <c r="X21" s="116" t="str">
        <f t="shared" si="8"/>
        <v>平成9年度</v>
      </c>
      <c r="Y21" s="343">
        <v>1115993</v>
      </c>
      <c r="Z21" s="343">
        <v>94557</v>
      </c>
      <c r="AA21" s="343">
        <v>1210550</v>
      </c>
      <c r="AB21" s="343">
        <v>129047</v>
      </c>
      <c r="AC21" s="114"/>
    </row>
    <row r="22" spans="1:29">
      <c r="A22" s="1119"/>
      <c r="B22" s="117" t="s">
        <v>434</v>
      </c>
      <c r="C22" s="115">
        <f t="shared" si="0"/>
        <v>1319568</v>
      </c>
      <c r="D22" s="115">
        <f t="shared" si="1"/>
        <v>151918</v>
      </c>
      <c r="E22" s="115">
        <f t="shared" si="2"/>
        <v>1471486</v>
      </c>
      <c r="F22" s="115">
        <f t="shared" si="3"/>
        <v>161068</v>
      </c>
      <c r="G22" s="375">
        <f>ROUND(C22/C$48*G$48,0)</f>
        <v>113583</v>
      </c>
      <c r="H22" s="114">
        <f t="shared" si="5"/>
        <v>1205985</v>
      </c>
      <c r="I22" s="108">
        <f>+VLOOKUP($B22,年度別調書!$A$4:$M$37,10,0)</f>
        <v>66701247191</v>
      </c>
      <c r="J22" s="108">
        <f>+VLOOKUP($B22,年度別調書!$A$4:$M$37,13,0)</f>
        <v>118194473653</v>
      </c>
      <c r="K22" s="114">
        <f t="shared" si="10"/>
        <v>680579</v>
      </c>
      <c r="L22" s="114">
        <f t="shared" si="11"/>
        <v>525406</v>
      </c>
      <c r="M22" s="120">
        <f t="shared" si="9"/>
        <v>0.41800000000512227</v>
      </c>
      <c r="N22" s="305">
        <f>+海田!N22</f>
        <v>5</v>
      </c>
      <c r="O22" s="1119"/>
      <c r="P22" s="116" t="str">
        <f t="shared" si="7"/>
        <v>平成10年度</v>
      </c>
      <c r="Q22" s="342">
        <v>656381</v>
      </c>
      <c r="R22" s="342">
        <v>79362</v>
      </c>
      <c r="S22" s="342">
        <v>735743</v>
      </c>
      <c r="T22" s="342">
        <v>80534</v>
      </c>
      <c r="U22" s="114"/>
      <c r="V22" s="121"/>
      <c r="W22" s="1119"/>
      <c r="X22" s="116" t="str">
        <f t="shared" si="8"/>
        <v>平成10年度</v>
      </c>
      <c r="Y22" s="343">
        <v>663187</v>
      </c>
      <c r="Z22" s="343">
        <v>72556</v>
      </c>
      <c r="AA22" s="343">
        <v>735743</v>
      </c>
      <c r="AB22" s="343">
        <v>80534</v>
      </c>
      <c r="AC22" s="114"/>
    </row>
    <row r="23" spans="1:29">
      <c r="A23" s="1119"/>
      <c r="B23" s="117" t="s">
        <v>435</v>
      </c>
      <c r="C23" s="115">
        <f t="shared" si="0"/>
        <v>0</v>
      </c>
      <c r="D23" s="115">
        <f t="shared" si="1"/>
        <v>0</v>
      </c>
      <c r="E23" s="115">
        <f t="shared" si="2"/>
        <v>0</v>
      </c>
      <c r="F23" s="115">
        <f t="shared" si="3"/>
        <v>0</v>
      </c>
      <c r="G23" s="114">
        <f t="shared" si="4"/>
        <v>0</v>
      </c>
      <c r="H23" s="114">
        <f t="shared" si="5"/>
        <v>0</v>
      </c>
      <c r="I23" s="108">
        <f>+VLOOKUP($B23,年度別調書!$A$4:$M$37,10,0)</f>
        <v>58274420372</v>
      </c>
      <c r="J23" s="108">
        <f>+VLOOKUP($B23,年度別調書!$A$4:$M$37,13,0)</f>
        <v>110790062218</v>
      </c>
      <c r="K23" s="114">
        <f t="shared" ref="K23:K47" si="12">IFERROR(ROUND(H23*I23/J23,0),0)</f>
        <v>0</v>
      </c>
      <c r="L23" s="114">
        <f t="shared" si="11"/>
        <v>0</v>
      </c>
      <c r="M23" s="120">
        <f t="shared" si="9"/>
        <v>0</v>
      </c>
      <c r="N23" s="305">
        <f>+海田!N23</f>
        <v>5</v>
      </c>
      <c r="O23" s="1119"/>
      <c r="P23" s="116" t="str">
        <f t="shared" si="7"/>
        <v>平成11年度</v>
      </c>
      <c r="Q23" s="441">
        <v>0</v>
      </c>
      <c r="R23" s="441">
        <v>0</v>
      </c>
      <c r="S23" s="441">
        <v>0</v>
      </c>
      <c r="T23" s="441">
        <v>0</v>
      </c>
      <c r="U23" s="114"/>
      <c r="V23" s="121"/>
      <c r="W23" s="1119"/>
      <c r="X23" s="116" t="str">
        <f t="shared" si="8"/>
        <v>平成11年度</v>
      </c>
      <c r="Y23" s="343">
        <v>0</v>
      </c>
      <c r="Z23" s="343">
        <v>0</v>
      </c>
      <c r="AA23" s="343">
        <v>0</v>
      </c>
      <c r="AB23" s="343">
        <v>0</v>
      </c>
      <c r="AC23" s="114"/>
    </row>
    <row r="24" spans="1:29">
      <c r="A24" s="1119"/>
      <c r="B24" s="117" t="s">
        <v>436</v>
      </c>
      <c r="C24" s="115">
        <f t="shared" si="0"/>
        <v>0</v>
      </c>
      <c r="D24" s="115">
        <f t="shared" si="1"/>
        <v>0</v>
      </c>
      <c r="E24" s="115">
        <f t="shared" si="2"/>
        <v>0</v>
      </c>
      <c r="F24" s="115">
        <f t="shared" si="3"/>
        <v>0</v>
      </c>
      <c r="G24" s="114">
        <f t="shared" si="4"/>
        <v>0</v>
      </c>
      <c r="H24" s="114">
        <f t="shared" si="5"/>
        <v>0</v>
      </c>
      <c r="I24" s="108">
        <f>+VLOOKUP($B24,年度別調書!$A$4:$M$37,10,0)</f>
        <v>48353931386</v>
      </c>
      <c r="J24" s="108">
        <f>+VLOOKUP($B24,年度別調書!$A$4:$M$37,13,0)</f>
        <v>104173607652</v>
      </c>
      <c r="K24" s="114">
        <f t="shared" si="12"/>
        <v>0</v>
      </c>
      <c r="L24" s="114">
        <f t="shared" si="11"/>
        <v>0</v>
      </c>
      <c r="M24" s="120">
        <f t="shared" si="9"/>
        <v>0</v>
      </c>
      <c r="N24" s="305">
        <f>+海田!N24</f>
        <v>5</v>
      </c>
      <c r="O24" s="1119"/>
      <c r="P24" s="116" t="str">
        <f t="shared" si="7"/>
        <v>平成12年度</v>
      </c>
      <c r="Q24" s="441">
        <v>0</v>
      </c>
      <c r="R24" s="441">
        <v>0</v>
      </c>
      <c r="S24" s="441">
        <v>0</v>
      </c>
      <c r="T24" s="441">
        <v>0</v>
      </c>
      <c r="U24" s="114"/>
      <c r="V24" s="121"/>
      <c r="W24" s="1119"/>
      <c r="X24" s="116" t="str">
        <f t="shared" si="8"/>
        <v>平成12年度</v>
      </c>
      <c r="Y24" s="343">
        <v>0</v>
      </c>
      <c r="Z24" s="343">
        <v>0</v>
      </c>
      <c r="AA24" s="343">
        <v>0</v>
      </c>
      <c r="AB24" s="343">
        <v>0</v>
      </c>
      <c r="AC24" s="114"/>
    </row>
    <row r="25" spans="1:29">
      <c r="A25" s="1119"/>
      <c r="B25" s="117" t="s">
        <v>437</v>
      </c>
      <c r="C25" s="115">
        <f t="shared" si="0"/>
        <v>0</v>
      </c>
      <c r="D25" s="115">
        <f t="shared" si="1"/>
        <v>0</v>
      </c>
      <c r="E25" s="115">
        <f t="shared" si="2"/>
        <v>0</v>
      </c>
      <c r="F25" s="115">
        <f t="shared" si="3"/>
        <v>0</v>
      </c>
      <c r="G25" s="114">
        <f t="shared" si="4"/>
        <v>0</v>
      </c>
      <c r="H25" s="114">
        <f t="shared" si="5"/>
        <v>0</v>
      </c>
      <c r="I25" s="108">
        <f>+VLOOKUP($B25,年度別調書!$A$4:$M$37,10,0)</f>
        <v>42742028940</v>
      </c>
      <c r="J25" s="108">
        <f>+VLOOKUP($B25,年度別調書!$A$4:$M$37,13,0)</f>
        <v>101075943440</v>
      </c>
      <c r="K25" s="114">
        <f t="shared" si="12"/>
        <v>0</v>
      </c>
      <c r="L25" s="114">
        <f t="shared" si="11"/>
        <v>0</v>
      </c>
      <c r="M25" s="120">
        <f t="shared" si="9"/>
        <v>0</v>
      </c>
      <c r="N25" s="305">
        <f>+海田!N25</f>
        <v>5</v>
      </c>
      <c r="O25" s="1119"/>
      <c r="P25" s="116" t="str">
        <f t="shared" si="7"/>
        <v>平成13年度</v>
      </c>
      <c r="Q25" s="441">
        <v>0</v>
      </c>
      <c r="R25" s="441">
        <v>0</v>
      </c>
      <c r="S25" s="441">
        <v>0</v>
      </c>
      <c r="T25" s="441">
        <v>0</v>
      </c>
      <c r="U25" s="114"/>
      <c r="V25" s="121"/>
      <c r="W25" s="1119"/>
      <c r="X25" s="116" t="str">
        <f t="shared" si="8"/>
        <v>平成13年度</v>
      </c>
      <c r="Y25" s="343">
        <v>0</v>
      </c>
      <c r="Z25" s="343">
        <v>0</v>
      </c>
      <c r="AA25" s="343">
        <v>0</v>
      </c>
      <c r="AB25" s="343">
        <v>0</v>
      </c>
      <c r="AC25" s="114"/>
    </row>
    <row r="26" spans="1:29">
      <c r="A26" s="1119"/>
      <c r="B26" s="117" t="s">
        <v>438</v>
      </c>
      <c r="C26" s="115">
        <f t="shared" si="0"/>
        <v>0</v>
      </c>
      <c r="D26" s="115">
        <f t="shared" si="1"/>
        <v>0</v>
      </c>
      <c r="E26" s="115">
        <f t="shared" si="2"/>
        <v>0</v>
      </c>
      <c r="F26" s="115">
        <f t="shared" si="3"/>
        <v>0</v>
      </c>
      <c r="G26" s="114">
        <f t="shared" si="4"/>
        <v>0</v>
      </c>
      <c r="H26" s="114">
        <f t="shared" si="5"/>
        <v>0</v>
      </c>
      <c r="I26" s="108">
        <f>+VLOOKUP($B26,年度別調書!$A$4:$M$37,10,0)</f>
        <v>38694694218</v>
      </c>
      <c r="J26" s="108">
        <f>+VLOOKUP($B26,年度別調書!$A$4:$M$37,13,0)</f>
        <v>98151426478</v>
      </c>
      <c r="K26" s="114">
        <f t="shared" si="12"/>
        <v>0</v>
      </c>
      <c r="L26" s="114">
        <f t="shared" si="11"/>
        <v>0</v>
      </c>
      <c r="M26" s="120">
        <f t="shared" si="9"/>
        <v>0</v>
      </c>
      <c r="N26" s="305">
        <f>+海田!N26</f>
        <v>5</v>
      </c>
      <c r="O26" s="1119"/>
      <c r="P26" s="116" t="str">
        <f t="shared" si="7"/>
        <v>平成14年度</v>
      </c>
      <c r="Q26" s="441">
        <v>0</v>
      </c>
      <c r="R26" s="441">
        <v>0</v>
      </c>
      <c r="S26" s="441">
        <v>0</v>
      </c>
      <c r="T26" s="441">
        <v>0</v>
      </c>
      <c r="U26" s="114"/>
      <c r="V26" s="121"/>
      <c r="W26" s="1119"/>
      <c r="X26" s="116" t="str">
        <f t="shared" si="8"/>
        <v>平成14年度</v>
      </c>
      <c r="Y26" s="343">
        <v>0</v>
      </c>
      <c r="Z26" s="343">
        <v>0</v>
      </c>
      <c r="AA26" s="343">
        <v>0</v>
      </c>
      <c r="AB26" s="343">
        <v>0</v>
      </c>
      <c r="AC26" s="114"/>
    </row>
    <row r="27" spans="1:29">
      <c r="A27" s="1119"/>
      <c r="B27" s="117" t="s">
        <v>439</v>
      </c>
      <c r="C27" s="115">
        <f t="shared" si="0"/>
        <v>0</v>
      </c>
      <c r="D27" s="115">
        <f t="shared" si="1"/>
        <v>0</v>
      </c>
      <c r="E27" s="115">
        <f t="shared" si="2"/>
        <v>0</v>
      </c>
      <c r="F27" s="115">
        <f t="shared" si="3"/>
        <v>0</v>
      </c>
      <c r="G27" s="114">
        <f t="shared" si="4"/>
        <v>0</v>
      </c>
      <c r="H27" s="114">
        <f t="shared" si="5"/>
        <v>0</v>
      </c>
      <c r="I27" s="108">
        <f>+VLOOKUP($B27,年度別調書!$A$4:$M$37,10,0)</f>
        <v>37621895854</v>
      </c>
      <c r="J27" s="108">
        <f>+VLOOKUP($B27,年度別調書!$A$4:$M$37,13,0)</f>
        <v>100825076572</v>
      </c>
      <c r="K27" s="114">
        <f t="shared" si="12"/>
        <v>0</v>
      </c>
      <c r="L27" s="114">
        <f t="shared" si="11"/>
        <v>0</v>
      </c>
      <c r="M27" s="120">
        <f t="shared" si="9"/>
        <v>0</v>
      </c>
      <c r="N27" s="305">
        <f>+海田!N27</f>
        <v>5</v>
      </c>
      <c r="O27" s="1119"/>
      <c r="P27" s="116" t="str">
        <f t="shared" si="7"/>
        <v>平成15年度</v>
      </c>
      <c r="Q27" s="441">
        <v>0</v>
      </c>
      <c r="R27" s="441">
        <v>0</v>
      </c>
      <c r="S27" s="441">
        <v>0</v>
      </c>
      <c r="T27" s="441">
        <v>0</v>
      </c>
      <c r="U27" s="114"/>
      <c r="V27" s="121"/>
      <c r="W27" s="1119"/>
      <c r="X27" s="116" t="str">
        <f t="shared" si="8"/>
        <v>平成15年度</v>
      </c>
      <c r="Y27" s="343">
        <v>0</v>
      </c>
      <c r="Z27" s="343">
        <v>0</v>
      </c>
      <c r="AA27" s="343">
        <v>0</v>
      </c>
      <c r="AB27" s="343">
        <v>0</v>
      </c>
      <c r="AC27" s="114"/>
    </row>
    <row r="28" spans="1:29">
      <c r="A28" s="1119"/>
      <c r="B28" s="117" t="s">
        <v>440</v>
      </c>
      <c r="C28" s="115">
        <f t="shared" si="0"/>
        <v>0</v>
      </c>
      <c r="D28" s="115">
        <f t="shared" si="1"/>
        <v>0</v>
      </c>
      <c r="E28" s="115">
        <f t="shared" si="2"/>
        <v>0</v>
      </c>
      <c r="F28" s="115">
        <f t="shared" si="3"/>
        <v>0</v>
      </c>
      <c r="G28" s="114">
        <f t="shared" si="4"/>
        <v>0</v>
      </c>
      <c r="H28" s="114">
        <f t="shared" si="5"/>
        <v>0</v>
      </c>
      <c r="I28" s="108">
        <f>+VLOOKUP($B28,年度別調書!$A$4:$M$37,10,0)</f>
        <v>29085465357</v>
      </c>
      <c r="J28" s="108">
        <f>+VLOOKUP($B28,年度別調書!$A$4:$M$37,13,0)</f>
        <v>101305165124</v>
      </c>
      <c r="K28" s="114">
        <f t="shared" si="12"/>
        <v>0</v>
      </c>
      <c r="L28" s="114">
        <f t="shared" si="11"/>
        <v>0</v>
      </c>
      <c r="M28" s="120">
        <f t="shared" si="9"/>
        <v>0</v>
      </c>
      <c r="N28" s="305">
        <f>+海田!N28</f>
        <v>5</v>
      </c>
      <c r="O28" s="1119"/>
      <c r="P28" s="116" t="str">
        <f t="shared" si="7"/>
        <v>平成16年度</v>
      </c>
      <c r="Q28" s="441">
        <v>0</v>
      </c>
      <c r="R28" s="441">
        <v>0</v>
      </c>
      <c r="S28" s="441">
        <v>0</v>
      </c>
      <c r="T28" s="441">
        <v>0</v>
      </c>
      <c r="U28" s="114"/>
      <c r="V28" s="121"/>
      <c r="W28" s="1119"/>
      <c r="X28" s="116" t="str">
        <f t="shared" si="8"/>
        <v>平成16年度</v>
      </c>
      <c r="Y28" s="343">
        <v>0</v>
      </c>
      <c r="Z28" s="343">
        <v>0</v>
      </c>
      <c r="AA28" s="343">
        <v>0</v>
      </c>
      <c r="AB28" s="343">
        <v>0</v>
      </c>
      <c r="AC28" s="114"/>
    </row>
    <row r="29" spans="1:29">
      <c r="A29" s="1119"/>
      <c r="B29" s="117" t="s">
        <v>441</v>
      </c>
      <c r="C29" s="115">
        <f t="shared" si="0"/>
        <v>0</v>
      </c>
      <c r="D29" s="115">
        <f t="shared" si="1"/>
        <v>0</v>
      </c>
      <c r="E29" s="115">
        <f t="shared" si="2"/>
        <v>0</v>
      </c>
      <c r="F29" s="115">
        <f t="shared" si="3"/>
        <v>0</v>
      </c>
      <c r="G29" s="114">
        <f t="shared" si="4"/>
        <v>0</v>
      </c>
      <c r="H29" s="114">
        <f t="shared" si="5"/>
        <v>0</v>
      </c>
      <c r="I29" s="108">
        <f>+VLOOKUP($B29,年度別調書!$A$4:$M$37,10,0)</f>
        <v>25082997134</v>
      </c>
      <c r="J29" s="108">
        <f>+VLOOKUP($B29,年度別調書!$A$4:$M$37,13,0)</f>
        <v>96528725584</v>
      </c>
      <c r="K29" s="114">
        <f t="shared" si="12"/>
        <v>0</v>
      </c>
      <c r="L29" s="114">
        <f t="shared" si="11"/>
        <v>0</v>
      </c>
      <c r="M29" s="120">
        <f t="shared" si="9"/>
        <v>0</v>
      </c>
      <c r="N29" s="305">
        <f>+海田!N29</f>
        <v>5</v>
      </c>
      <c r="O29" s="1119"/>
      <c r="P29" s="116" t="str">
        <f t="shared" si="7"/>
        <v>平成17年度</v>
      </c>
      <c r="Q29" s="441">
        <v>0</v>
      </c>
      <c r="R29" s="441">
        <v>0</v>
      </c>
      <c r="S29" s="441">
        <v>0</v>
      </c>
      <c r="T29" s="441">
        <v>0</v>
      </c>
      <c r="U29" s="114"/>
      <c r="V29" s="121"/>
      <c r="W29" s="1119"/>
      <c r="X29" s="116" t="str">
        <f t="shared" si="8"/>
        <v>平成17年度</v>
      </c>
      <c r="Y29" s="343">
        <v>0</v>
      </c>
      <c r="Z29" s="343">
        <v>0</v>
      </c>
      <c r="AA29" s="343">
        <v>0</v>
      </c>
      <c r="AB29" s="343">
        <v>0</v>
      </c>
      <c r="AC29" s="114"/>
    </row>
    <row r="30" spans="1:29">
      <c r="A30" s="1119"/>
      <c r="B30" s="117" t="s">
        <v>442</v>
      </c>
      <c r="C30" s="115">
        <f t="shared" si="0"/>
        <v>0</v>
      </c>
      <c r="D30" s="115">
        <f t="shared" si="1"/>
        <v>0</v>
      </c>
      <c r="E30" s="115">
        <f t="shared" si="2"/>
        <v>0</v>
      </c>
      <c r="F30" s="115">
        <f t="shared" si="3"/>
        <v>0</v>
      </c>
      <c r="G30" s="114">
        <f t="shared" si="4"/>
        <v>0</v>
      </c>
      <c r="H30" s="114">
        <f t="shared" si="5"/>
        <v>0</v>
      </c>
      <c r="I30" s="108">
        <f>+VLOOKUP($B30,年度別調書!$A$4:$M$37,10,0)</f>
        <v>21657707574</v>
      </c>
      <c r="J30" s="108">
        <f>+VLOOKUP($B30,年度別調書!$A$4:$M$37,13,0)</f>
        <v>84768578867</v>
      </c>
      <c r="K30" s="114">
        <f t="shared" si="12"/>
        <v>0</v>
      </c>
      <c r="L30" s="114">
        <f t="shared" si="11"/>
        <v>0</v>
      </c>
      <c r="M30" s="120">
        <f t="shared" si="9"/>
        <v>0</v>
      </c>
      <c r="N30" s="305">
        <f>+海田!N30</f>
        <v>5</v>
      </c>
      <c r="O30" s="1119"/>
      <c r="P30" s="116" t="str">
        <f t="shared" si="7"/>
        <v>平成18年度</v>
      </c>
      <c r="Q30" s="441">
        <v>0</v>
      </c>
      <c r="R30" s="441">
        <v>0</v>
      </c>
      <c r="S30" s="441">
        <v>0</v>
      </c>
      <c r="T30" s="441">
        <v>0</v>
      </c>
      <c r="U30" s="114"/>
      <c r="V30" s="121"/>
      <c r="W30" s="1119"/>
      <c r="X30" s="116" t="str">
        <f t="shared" si="8"/>
        <v>平成18年度</v>
      </c>
      <c r="Y30" s="343">
        <v>0</v>
      </c>
      <c r="Z30" s="343">
        <v>0</v>
      </c>
      <c r="AA30" s="343">
        <v>0</v>
      </c>
      <c r="AB30" s="343">
        <v>0</v>
      </c>
      <c r="AC30" s="114"/>
    </row>
    <row r="31" spans="1:29">
      <c r="A31" s="1119"/>
      <c r="B31" s="117" t="s">
        <v>443</v>
      </c>
      <c r="C31" s="115">
        <f t="shared" si="0"/>
        <v>0</v>
      </c>
      <c r="D31" s="115">
        <f t="shared" si="1"/>
        <v>0</v>
      </c>
      <c r="E31" s="115">
        <f t="shared" si="2"/>
        <v>0</v>
      </c>
      <c r="F31" s="115">
        <f t="shared" si="3"/>
        <v>0</v>
      </c>
      <c r="G31" s="114">
        <f t="shared" si="4"/>
        <v>0</v>
      </c>
      <c r="H31" s="114">
        <f t="shared" si="5"/>
        <v>0</v>
      </c>
      <c r="I31" s="108">
        <f>+VLOOKUP($B31,年度別調書!$A$4:$M$37,10,0)</f>
        <v>25422571996</v>
      </c>
      <c r="J31" s="108">
        <f>+VLOOKUP($B31,年度別調書!$A$4:$M$37,13,0)</f>
        <v>105576318079</v>
      </c>
      <c r="K31" s="114">
        <f t="shared" si="12"/>
        <v>0</v>
      </c>
      <c r="L31" s="114">
        <f t="shared" si="11"/>
        <v>0</v>
      </c>
      <c r="M31" s="120">
        <f t="shared" si="9"/>
        <v>0</v>
      </c>
      <c r="N31" s="305">
        <f>+海田!N31</f>
        <v>5</v>
      </c>
      <c r="O31" s="1119"/>
      <c r="P31" s="116" t="str">
        <f t="shared" si="7"/>
        <v>平成19年度</v>
      </c>
      <c r="Q31" s="441">
        <v>0</v>
      </c>
      <c r="R31" s="441">
        <v>0</v>
      </c>
      <c r="S31" s="441">
        <v>0</v>
      </c>
      <c r="T31" s="441">
        <v>0</v>
      </c>
      <c r="U31" s="114"/>
      <c r="V31" s="121"/>
      <c r="W31" s="1119"/>
      <c r="X31" s="116" t="str">
        <f t="shared" si="8"/>
        <v>平成19年度</v>
      </c>
      <c r="Y31" s="343">
        <v>0</v>
      </c>
      <c r="Z31" s="343">
        <v>0</v>
      </c>
      <c r="AA31" s="343">
        <v>0</v>
      </c>
      <c r="AB31" s="343">
        <v>0</v>
      </c>
      <c r="AC31" s="114"/>
    </row>
    <row r="32" spans="1:29">
      <c r="A32" s="1119"/>
      <c r="B32" s="117" t="s">
        <v>444</v>
      </c>
      <c r="C32" s="115">
        <f t="shared" si="0"/>
        <v>0</v>
      </c>
      <c r="D32" s="115">
        <f t="shared" si="1"/>
        <v>0</v>
      </c>
      <c r="E32" s="115">
        <f t="shared" si="2"/>
        <v>0</v>
      </c>
      <c r="F32" s="115">
        <f t="shared" si="3"/>
        <v>0</v>
      </c>
      <c r="G32" s="114">
        <f t="shared" si="4"/>
        <v>0</v>
      </c>
      <c r="H32" s="114">
        <f t="shared" si="5"/>
        <v>0</v>
      </c>
      <c r="I32" s="108">
        <f>+VLOOKUP($B32,年度別調書!$A$4:$M$37,10,0)</f>
        <v>24693835462</v>
      </c>
      <c r="J32" s="108">
        <f>+VLOOKUP($B32,年度別調書!$A$4:$M$37,13,0)</f>
        <v>110401232854</v>
      </c>
      <c r="K32" s="114">
        <f t="shared" si="12"/>
        <v>0</v>
      </c>
      <c r="L32" s="114">
        <f t="shared" si="11"/>
        <v>0</v>
      </c>
      <c r="M32" s="120">
        <f t="shared" si="9"/>
        <v>0</v>
      </c>
      <c r="N32" s="305">
        <f>+海田!N32</f>
        <v>5</v>
      </c>
      <c r="O32" s="1119"/>
      <c r="P32" s="116" t="str">
        <f t="shared" si="7"/>
        <v>平成20年度</v>
      </c>
      <c r="Q32" s="441">
        <v>0</v>
      </c>
      <c r="R32" s="441">
        <v>0</v>
      </c>
      <c r="S32" s="441">
        <v>0</v>
      </c>
      <c r="T32" s="441">
        <v>0</v>
      </c>
      <c r="U32" s="114"/>
      <c r="V32" s="121"/>
      <c r="W32" s="1119"/>
      <c r="X32" s="116" t="str">
        <f t="shared" si="8"/>
        <v>平成20年度</v>
      </c>
      <c r="Y32" s="343">
        <v>0</v>
      </c>
      <c r="Z32" s="343">
        <v>0</v>
      </c>
      <c r="AA32" s="343">
        <v>0</v>
      </c>
      <c r="AB32" s="343">
        <v>0</v>
      </c>
      <c r="AC32" s="114"/>
    </row>
    <row r="33" spans="1:29">
      <c r="A33" s="1119"/>
      <c r="B33" s="117" t="s">
        <v>445</v>
      </c>
      <c r="C33" s="115">
        <f t="shared" si="0"/>
        <v>0</v>
      </c>
      <c r="D33" s="115">
        <f t="shared" si="1"/>
        <v>0</v>
      </c>
      <c r="E33" s="115">
        <f t="shared" si="2"/>
        <v>0</v>
      </c>
      <c r="F33" s="115">
        <f t="shared" si="3"/>
        <v>0</v>
      </c>
      <c r="G33" s="114">
        <f t="shared" si="4"/>
        <v>0</v>
      </c>
      <c r="H33" s="114">
        <f t="shared" si="5"/>
        <v>0</v>
      </c>
      <c r="I33" s="108">
        <f>+VLOOKUP($B33,年度別調書!$A$4:$M$37,10,0)</f>
        <v>22324372880</v>
      </c>
      <c r="J33" s="108">
        <f>+VLOOKUP($B33,年度別調書!$A$4:$M$37,13,0)</f>
        <v>88097108350</v>
      </c>
      <c r="K33" s="114">
        <f t="shared" si="12"/>
        <v>0</v>
      </c>
      <c r="L33" s="114">
        <f t="shared" si="11"/>
        <v>0</v>
      </c>
      <c r="M33" s="120">
        <f t="shared" si="9"/>
        <v>0</v>
      </c>
      <c r="N33" s="305">
        <f>+海田!N33</f>
        <v>5</v>
      </c>
      <c r="O33" s="1119"/>
      <c r="P33" s="116" t="str">
        <f t="shared" si="7"/>
        <v>平成21年度</v>
      </c>
      <c r="Q33" s="441">
        <v>0</v>
      </c>
      <c r="R33" s="441">
        <v>0</v>
      </c>
      <c r="S33" s="441">
        <v>0</v>
      </c>
      <c r="T33" s="441">
        <v>0</v>
      </c>
      <c r="U33" s="114"/>
      <c r="V33" s="121"/>
      <c r="W33" s="1119"/>
      <c r="X33" s="116" t="str">
        <f t="shared" si="8"/>
        <v>平成21年度</v>
      </c>
      <c r="Y33" s="343">
        <v>0</v>
      </c>
      <c r="Z33" s="343">
        <v>0</v>
      </c>
      <c r="AA33" s="343">
        <v>0</v>
      </c>
      <c r="AB33" s="343">
        <v>0</v>
      </c>
      <c r="AC33" s="114"/>
    </row>
    <row r="34" spans="1:29">
      <c r="A34" s="1119"/>
      <c r="B34" s="117" t="s">
        <v>446</v>
      </c>
      <c r="C34" s="115">
        <f t="shared" si="0"/>
        <v>0</v>
      </c>
      <c r="D34" s="115">
        <f t="shared" si="1"/>
        <v>0</v>
      </c>
      <c r="E34" s="115">
        <f t="shared" si="2"/>
        <v>0</v>
      </c>
      <c r="F34" s="115">
        <f t="shared" si="3"/>
        <v>0</v>
      </c>
      <c r="G34" s="114">
        <f t="shared" si="4"/>
        <v>0</v>
      </c>
      <c r="H34" s="114">
        <f t="shared" si="5"/>
        <v>0</v>
      </c>
      <c r="I34" s="108">
        <f>+VLOOKUP($B34,年度別調書!$A$4:$M$37,10,0)</f>
        <v>26326163485</v>
      </c>
      <c r="J34" s="108">
        <f>+VLOOKUP($B34,年度別調書!$A$4:$M$37,13,0)</f>
        <v>102723057143</v>
      </c>
      <c r="K34" s="114">
        <f t="shared" si="12"/>
        <v>0</v>
      </c>
      <c r="L34" s="114">
        <f t="shared" si="11"/>
        <v>0</v>
      </c>
      <c r="M34" s="120">
        <f t="shared" si="9"/>
        <v>0</v>
      </c>
      <c r="N34" s="305">
        <f>+海田!N34</f>
        <v>5</v>
      </c>
      <c r="O34" s="1119"/>
      <c r="P34" s="116" t="str">
        <f t="shared" si="7"/>
        <v>平成22年度</v>
      </c>
      <c r="Q34" s="441">
        <v>0</v>
      </c>
      <c r="R34" s="441">
        <v>0</v>
      </c>
      <c r="S34" s="441">
        <v>0</v>
      </c>
      <c r="T34" s="441">
        <v>0</v>
      </c>
      <c r="U34" s="114"/>
      <c r="V34" s="121"/>
      <c r="W34" s="1119"/>
      <c r="X34" s="116" t="str">
        <f t="shared" si="8"/>
        <v>平成22年度</v>
      </c>
      <c r="Y34" s="343">
        <v>0</v>
      </c>
      <c r="Z34" s="343">
        <v>0</v>
      </c>
      <c r="AA34" s="343">
        <v>0</v>
      </c>
      <c r="AB34" s="343">
        <v>0</v>
      </c>
      <c r="AC34" s="114"/>
    </row>
    <row r="35" spans="1:29">
      <c r="A35" s="1119"/>
      <c r="B35" s="117" t="s">
        <v>447</v>
      </c>
      <c r="C35" s="115">
        <f t="shared" si="0"/>
        <v>0</v>
      </c>
      <c r="D35" s="115">
        <f t="shared" si="1"/>
        <v>0</v>
      </c>
      <c r="E35" s="115">
        <f t="shared" si="2"/>
        <v>0</v>
      </c>
      <c r="F35" s="115">
        <f t="shared" si="3"/>
        <v>0</v>
      </c>
      <c r="G35" s="114">
        <f t="shared" si="4"/>
        <v>0</v>
      </c>
      <c r="H35" s="114">
        <f t="shared" si="5"/>
        <v>0</v>
      </c>
      <c r="I35" s="108">
        <f>+VLOOKUP($B35,年度別調書!$A$4:$M$37,10,0)</f>
        <v>26883440277</v>
      </c>
      <c r="J35" s="108">
        <f>+VLOOKUP($B35,年度別調書!$A$4:$M$37,13,0)</f>
        <v>99758377045</v>
      </c>
      <c r="K35" s="114">
        <f t="shared" si="12"/>
        <v>0</v>
      </c>
      <c r="L35" s="114">
        <f t="shared" si="11"/>
        <v>0</v>
      </c>
      <c r="M35" s="120">
        <f t="shared" si="9"/>
        <v>0</v>
      </c>
      <c r="N35" s="305">
        <f>+海田!N35</f>
        <v>5</v>
      </c>
      <c r="O35" s="1119"/>
      <c r="P35" s="116" t="str">
        <f t="shared" si="7"/>
        <v>平成23年度</v>
      </c>
      <c r="Q35" s="441">
        <v>0</v>
      </c>
      <c r="R35" s="441">
        <v>0</v>
      </c>
      <c r="S35" s="441">
        <v>0</v>
      </c>
      <c r="T35" s="441">
        <v>0</v>
      </c>
      <c r="U35" s="114"/>
      <c r="V35" s="121"/>
      <c r="W35" s="1119"/>
      <c r="X35" s="116" t="str">
        <f t="shared" si="8"/>
        <v>平成23年度</v>
      </c>
      <c r="Y35" s="343">
        <v>0</v>
      </c>
      <c r="Z35" s="343">
        <v>0</v>
      </c>
      <c r="AA35" s="343">
        <v>0</v>
      </c>
      <c r="AB35" s="343">
        <v>0</v>
      </c>
      <c r="AC35" s="114"/>
    </row>
    <row r="36" spans="1:29">
      <c r="A36" s="1119"/>
      <c r="B36" s="117" t="s">
        <v>448</v>
      </c>
      <c r="C36" s="115">
        <f t="shared" si="0"/>
        <v>0</v>
      </c>
      <c r="D36" s="115">
        <f t="shared" si="1"/>
        <v>0</v>
      </c>
      <c r="E36" s="115">
        <f t="shared" si="2"/>
        <v>0</v>
      </c>
      <c r="F36" s="115">
        <f t="shared" si="3"/>
        <v>0</v>
      </c>
      <c r="G36" s="114">
        <f t="shared" si="4"/>
        <v>0</v>
      </c>
      <c r="H36" s="114">
        <f t="shared" si="5"/>
        <v>0</v>
      </c>
      <c r="I36" s="108">
        <f>+VLOOKUP($B36,年度別調書!$A$4:$M$37,10,0)</f>
        <v>20821234544</v>
      </c>
      <c r="J36" s="108">
        <f>+VLOOKUP($B36,年度別調書!$A$4:$M$37,13,0)</f>
        <v>101115908424</v>
      </c>
      <c r="K36" s="114">
        <f t="shared" si="12"/>
        <v>0</v>
      </c>
      <c r="L36" s="114">
        <f t="shared" si="11"/>
        <v>0</v>
      </c>
      <c r="M36" s="120">
        <f t="shared" si="9"/>
        <v>0</v>
      </c>
      <c r="N36" s="305">
        <f>+海田!N36</f>
        <v>5</v>
      </c>
      <c r="O36" s="1119"/>
      <c r="P36" s="116" t="str">
        <f t="shared" si="7"/>
        <v>平成24年度</v>
      </c>
      <c r="Q36" s="441">
        <v>0</v>
      </c>
      <c r="R36" s="441">
        <v>0</v>
      </c>
      <c r="S36" s="441">
        <v>0</v>
      </c>
      <c r="T36" s="441">
        <v>0</v>
      </c>
      <c r="U36" s="114"/>
      <c r="V36" s="121"/>
      <c r="W36" s="1119"/>
      <c r="X36" s="116" t="str">
        <f t="shared" si="8"/>
        <v>平成24年度</v>
      </c>
      <c r="Y36" s="343">
        <v>0</v>
      </c>
      <c r="Z36" s="343">
        <v>0</v>
      </c>
      <c r="AA36" s="343">
        <v>0</v>
      </c>
      <c r="AB36" s="343">
        <v>0</v>
      </c>
      <c r="AC36" s="114"/>
    </row>
    <row r="37" spans="1:29">
      <c r="A37" s="1119"/>
      <c r="B37" s="117" t="s">
        <v>449</v>
      </c>
      <c r="C37" s="115">
        <f t="shared" si="0"/>
        <v>80593</v>
      </c>
      <c r="D37" s="115">
        <f t="shared" si="1"/>
        <v>24583</v>
      </c>
      <c r="E37" s="115">
        <f t="shared" si="2"/>
        <v>105176</v>
      </c>
      <c r="F37" s="115">
        <f t="shared" si="3"/>
        <v>11804</v>
      </c>
      <c r="G37" s="375">
        <f>ROUND(C37/C$48*G$48,0)</f>
        <v>6937</v>
      </c>
      <c r="H37" s="114">
        <f t="shared" si="5"/>
        <v>73656</v>
      </c>
      <c r="I37" s="108">
        <f>+VLOOKUP($B37,年度別調書!$A$4:$M$37,10,0)</f>
        <v>22169870622</v>
      </c>
      <c r="J37" s="108">
        <f>+VLOOKUP($B37,年度別調書!$A$4:$M$37,13,0)</f>
        <v>87897420767</v>
      </c>
      <c r="K37" s="114">
        <f t="shared" si="12"/>
        <v>18578</v>
      </c>
      <c r="L37" s="114">
        <f t="shared" si="11"/>
        <v>55078</v>
      </c>
      <c r="M37" s="120">
        <f t="shared" si="9"/>
        <v>0.14000000000032742</v>
      </c>
      <c r="N37" s="305">
        <f>+海田!N37</f>
        <v>5</v>
      </c>
      <c r="O37" s="1119"/>
      <c r="P37" s="116" t="str">
        <f t="shared" si="7"/>
        <v>平成25年度</v>
      </c>
      <c r="Q37" s="342">
        <v>40172</v>
      </c>
      <c r="R37" s="342">
        <v>12416</v>
      </c>
      <c r="S37" s="342">
        <v>52588</v>
      </c>
      <c r="T37" s="342">
        <v>5902</v>
      </c>
      <c r="U37" s="114"/>
      <c r="V37" s="121"/>
      <c r="W37" s="1119"/>
      <c r="X37" s="116" t="str">
        <f t="shared" si="8"/>
        <v>平成25年度</v>
      </c>
      <c r="Y37" s="343">
        <v>40421</v>
      </c>
      <c r="Z37" s="343">
        <v>12167</v>
      </c>
      <c r="AA37" s="343">
        <v>52588</v>
      </c>
      <c r="AB37" s="343">
        <v>5902</v>
      </c>
      <c r="AC37" s="114"/>
    </row>
    <row r="38" spans="1:29">
      <c r="A38" s="1119"/>
      <c r="B38" s="117" t="s">
        <v>450</v>
      </c>
      <c r="C38" s="115">
        <f t="shared" si="0"/>
        <v>0</v>
      </c>
      <c r="D38" s="115">
        <f t="shared" si="1"/>
        <v>0</v>
      </c>
      <c r="E38" s="115">
        <f t="shared" si="2"/>
        <v>0</v>
      </c>
      <c r="F38" s="115">
        <f t="shared" si="3"/>
        <v>0</v>
      </c>
      <c r="G38" s="114">
        <f t="shared" si="4"/>
        <v>0</v>
      </c>
      <c r="H38" s="114">
        <f t="shared" si="5"/>
        <v>0</v>
      </c>
      <c r="I38" s="108">
        <f>+VLOOKUP($B38,年度別調書!$A$4:$M$37,10,0)</f>
        <v>20924492616</v>
      </c>
      <c r="J38" s="108">
        <f>+VLOOKUP($B38,年度別調書!$A$4:$M$37,13,0)</f>
        <v>99556890040</v>
      </c>
      <c r="K38" s="114">
        <f t="shared" si="12"/>
        <v>0</v>
      </c>
      <c r="L38" s="114">
        <f t="shared" si="11"/>
        <v>0</v>
      </c>
      <c r="M38" s="120">
        <f t="shared" si="9"/>
        <v>0</v>
      </c>
      <c r="N38" s="305">
        <f>+海田!N38</f>
        <v>8</v>
      </c>
      <c r="O38" s="1119"/>
      <c r="P38" s="116" t="str">
        <f t="shared" si="7"/>
        <v>平成26年度</v>
      </c>
      <c r="Q38" s="441">
        <v>0</v>
      </c>
      <c r="R38" s="441">
        <v>0</v>
      </c>
      <c r="S38" s="441">
        <v>0</v>
      </c>
      <c r="T38" s="441">
        <v>0</v>
      </c>
      <c r="U38" s="114"/>
      <c r="V38" s="121"/>
      <c r="W38" s="1119"/>
      <c r="X38" s="116" t="str">
        <f t="shared" si="8"/>
        <v>平成26年度</v>
      </c>
      <c r="Y38" s="343">
        <v>0</v>
      </c>
      <c r="Z38" s="343">
        <v>0</v>
      </c>
      <c r="AA38" s="343">
        <v>0</v>
      </c>
      <c r="AB38" s="343">
        <v>0</v>
      </c>
      <c r="AC38" s="114"/>
    </row>
    <row r="39" spans="1:29">
      <c r="A39" s="1119"/>
      <c r="B39" s="117" t="s">
        <v>451</v>
      </c>
      <c r="C39" s="115">
        <f t="shared" si="0"/>
        <v>158844</v>
      </c>
      <c r="D39" s="115">
        <f t="shared" si="1"/>
        <v>23178</v>
      </c>
      <c r="E39" s="115">
        <f t="shared" si="2"/>
        <v>182022</v>
      </c>
      <c r="F39" s="115">
        <f t="shared" si="3"/>
        <v>20428</v>
      </c>
      <c r="G39" s="114">
        <f t="shared" si="4"/>
        <v>13673</v>
      </c>
      <c r="H39" s="114">
        <f t="shared" si="5"/>
        <v>145171</v>
      </c>
      <c r="I39" s="108">
        <f>+VLOOKUP($B39,年度別調書!$A$4:$M$37,10,0)</f>
        <v>21176145645</v>
      </c>
      <c r="J39" s="108">
        <f>+VLOOKUP($B39,年度別調書!$A$4:$M$37,13,0)</f>
        <v>104805589178</v>
      </c>
      <c r="K39" s="114">
        <f t="shared" si="12"/>
        <v>29332</v>
      </c>
      <c r="L39" s="114">
        <f t="shared" si="11"/>
        <v>115839</v>
      </c>
      <c r="M39" s="120">
        <f t="shared" si="9"/>
        <v>-0.30999999999949068</v>
      </c>
      <c r="N39" s="305">
        <f>+海田!N39</f>
        <v>8</v>
      </c>
      <c r="O39" s="1119"/>
      <c r="P39" s="116" t="str">
        <f t="shared" si="7"/>
        <v>平成27年度</v>
      </c>
      <c r="Q39" s="342">
        <v>79307</v>
      </c>
      <c r="R39" s="342">
        <v>11704</v>
      </c>
      <c r="S39" s="342">
        <v>91011</v>
      </c>
      <c r="T39" s="342">
        <v>10214</v>
      </c>
      <c r="U39" s="114"/>
      <c r="V39" s="121"/>
      <c r="W39" s="1119"/>
      <c r="X39" s="116" t="str">
        <f t="shared" si="8"/>
        <v>平成27年度</v>
      </c>
      <c r="Y39" s="343">
        <v>79537</v>
      </c>
      <c r="Z39" s="343">
        <v>11474</v>
      </c>
      <c r="AA39" s="343">
        <v>91011</v>
      </c>
      <c r="AB39" s="343">
        <v>10214</v>
      </c>
      <c r="AC39" s="114"/>
    </row>
    <row r="40" spans="1:29">
      <c r="A40" s="1119"/>
      <c r="B40" s="117" t="s">
        <v>452</v>
      </c>
      <c r="C40" s="115">
        <f t="shared" si="0"/>
        <v>609879</v>
      </c>
      <c r="D40" s="115">
        <f t="shared" si="1"/>
        <v>80022</v>
      </c>
      <c r="E40" s="115">
        <f t="shared" si="2"/>
        <v>689901</v>
      </c>
      <c r="F40" s="115">
        <f t="shared" si="3"/>
        <v>77426</v>
      </c>
      <c r="G40" s="443">
        <f t="shared" si="4"/>
        <v>52496</v>
      </c>
      <c r="H40" s="114">
        <f t="shared" si="5"/>
        <v>557383</v>
      </c>
      <c r="I40" s="108">
        <f>+VLOOKUP($B40,年度別調書!$A$4:$M$37,10,0)</f>
        <v>23487276785</v>
      </c>
      <c r="J40" s="108">
        <f>+VLOOKUP($B40,年度別調書!$A$4:$M$37,13,0)</f>
        <v>105396818589</v>
      </c>
      <c r="K40" s="114">
        <f t="shared" si="12"/>
        <v>124211</v>
      </c>
      <c r="L40" s="114">
        <f t="shared" si="11"/>
        <v>433172</v>
      </c>
      <c r="M40" s="120">
        <f t="shared" si="9"/>
        <v>7.6000000000931323E-2</v>
      </c>
      <c r="N40" s="305">
        <f>+海田!N40</f>
        <v>8</v>
      </c>
      <c r="O40" s="1119"/>
      <c r="P40" s="116" t="str">
        <f t="shared" si="7"/>
        <v>平成28年度</v>
      </c>
      <c r="Q40" s="342">
        <v>304578</v>
      </c>
      <c r="R40" s="342">
        <v>40418</v>
      </c>
      <c r="S40" s="342">
        <v>344996</v>
      </c>
      <c r="T40" s="342">
        <v>38718</v>
      </c>
      <c r="U40" s="114"/>
      <c r="V40" s="121"/>
      <c r="W40" s="1119"/>
      <c r="X40" s="116" t="str">
        <f t="shared" si="8"/>
        <v>平成28年度</v>
      </c>
      <c r="Y40" s="343">
        <v>305301</v>
      </c>
      <c r="Z40" s="343">
        <v>39604</v>
      </c>
      <c r="AA40" s="343">
        <v>344905</v>
      </c>
      <c r="AB40" s="343">
        <v>38708</v>
      </c>
      <c r="AC40" s="114"/>
    </row>
    <row r="41" spans="1:29">
      <c r="A41" s="1119"/>
      <c r="B41" s="117" t="s">
        <v>453</v>
      </c>
      <c r="C41" s="115">
        <f t="shared" si="0"/>
        <v>172882</v>
      </c>
      <c r="D41" s="115">
        <f t="shared" si="1"/>
        <v>124188</v>
      </c>
      <c r="E41" s="115">
        <f t="shared" si="2"/>
        <v>297070</v>
      </c>
      <c r="F41" s="115">
        <f t="shared" si="3"/>
        <v>33339</v>
      </c>
      <c r="G41" s="114">
        <f t="shared" si="4"/>
        <v>14881</v>
      </c>
      <c r="H41" s="114">
        <f t="shared" si="5"/>
        <v>158001</v>
      </c>
      <c r="I41" s="108">
        <f>+VLOOKUP($B41,年度別調書!$A$4:$M$37,10,0)</f>
        <v>19481573724</v>
      </c>
      <c r="J41" s="108">
        <f>+VLOOKUP($B41,年度別調書!$A$4:$M$37,13,0)</f>
        <v>99607043975</v>
      </c>
      <c r="K41" s="114">
        <f t="shared" si="12"/>
        <v>30903</v>
      </c>
      <c r="L41" s="114">
        <f t="shared" si="11"/>
        <v>127098</v>
      </c>
      <c r="M41" s="120">
        <f t="shared" si="9"/>
        <v>2.8000000000247383E-2</v>
      </c>
      <c r="N41" s="305">
        <f>+海田!N41</f>
        <v>8</v>
      </c>
      <c r="O41" s="1119"/>
      <c r="P41" s="116" t="str">
        <f t="shared" si="7"/>
        <v>平成29年度</v>
      </c>
      <c r="Q41" s="153">
        <v>86312</v>
      </c>
      <c r="R41" s="153">
        <v>62301</v>
      </c>
      <c r="S41" s="153">
        <v>148613</v>
      </c>
      <c r="T41" s="153">
        <v>16678</v>
      </c>
      <c r="U41" s="114"/>
      <c r="V41" s="121"/>
      <c r="W41" s="1119"/>
      <c r="X41" s="116" t="str">
        <f t="shared" si="8"/>
        <v>平成29年度</v>
      </c>
      <c r="Y41" s="153">
        <v>86570</v>
      </c>
      <c r="Z41" s="153">
        <v>61887</v>
      </c>
      <c r="AA41" s="153">
        <v>148457</v>
      </c>
      <c r="AB41" s="153">
        <v>16661</v>
      </c>
      <c r="AC41" s="114"/>
    </row>
    <row r="42" spans="1:29">
      <c r="A42" s="1119"/>
      <c r="B42" s="117" t="s">
        <v>454</v>
      </c>
      <c r="C42" s="115">
        <f t="shared" si="0"/>
        <v>0</v>
      </c>
      <c r="D42" s="115">
        <f t="shared" si="1"/>
        <v>10735</v>
      </c>
      <c r="E42" s="115">
        <f t="shared" si="2"/>
        <v>10735</v>
      </c>
      <c r="F42" s="115">
        <f t="shared" si="3"/>
        <v>1204</v>
      </c>
      <c r="G42" s="114">
        <f t="shared" si="4"/>
        <v>0</v>
      </c>
      <c r="H42" s="114">
        <f t="shared" si="5"/>
        <v>0</v>
      </c>
      <c r="I42" s="108">
        <f>+VLOOKUP($B42,年度別調書!$A$4:$M$37,10,0)</f>
        <v>19871916207</v>
      </c>
      <c r="J42" s="108">
        <f>+VLOOKUP($B42,年度別調書!$A$4:$M$37,13,0)</f>
        <v>98551757388</v>
      </c>
      <c r="K42" s="114">
        <f t="shared" si="12"/>
        <v>0</v>
      </c>
      <c r="L42" s="114">
        <f t="shared" si="11"/>
        <v>0</v>
      </c>
      <c r="M42" s="120">
        <f t="shared" si="9"/>
        <v>0</v>
      </c>
      <c r="N42" s="305">
        <f>+海田!N42</f>
        <v>8</v>
      </c>
      <c r="O42" s="1119"/>
      <c r="P42" s="116" t="str">
        <f t="shared" si="7"/>
        <v>平成30年度</v>
      </c>
      <c r="Q42" s="153">
        <v>0</v>
      </c>
      <c r="R42" s="153">
        <v>5369</v>
      </c>
      <c r="S42" s="153">
        <v>5369</v>
      </c>
      <c r="T42" s="153">
        <v>602</v>
      </c>
      <c r="U42" s="114"/>
      <c r="V42" s="121"/>
      <c r="W42" s="1119"/>
      <c r="X42" s="116" t="str">
        <f t="shared" si="8"/>
        <v>平成30年度</v>
      </c>
      <c r="Y42" s="153">
        <v>0</v>
      </c>
      <c r="Z42" s="153">
        <v>5366</v>
      </c>
      <c r="AA42" s="153">
        <v>5366</v>
      </c>
      <c r="AB42" s="153">
        <v>602</v>
      </c>
      <c r="AC42" s="114"/>
    </row>
    <row r="43" spans="1:29">
      <c r="A43" s="1119"/>
      <c r="B43" s="1108" t="s">
        <v>499</v>
      </c>
      <c r="C43" s="115">
        <f>+Q43</f>
        <v>0</v>
      </c>
      <c r="D43" s="115">
        <f>+R43</f>
        <v>15383</v>
      </c>
      <c r="E43" s="115">
        <f>+S43</f>
        <v>15383</v>
      </c>
      <c r="F43" s="115">
        <f>+T43</f>
        <v>1726</v>
      </c>
      <c r="G43" s="114">
        <f t="shared" si="4"/>
        <v>0</v>
      </c>
      <c r="H43" s="114">
        <f t="shared" si="5"/>
        <v>0</v>
      </c>
      <c r="I43" s="108">
        <f>+VLOOKUP($B43,年度別調書!$A$4:$M$37,10,0)</f>
        <v>21889958229</v>
      </c>
      <c r="J43" s="108">
        <f>+VLOOKUP($B43,年度別調書!$A$4:$M$37,13,0)</f>
        <v>101214576030</v>
      </c>
      <c r="K43" s="114">
        <f t="shared" si="12"/>
        <v>0</v>
      </c>
      <c r="L43" s="114">
        <f t="shared" si="11"/>
        <v>0</v>
      </c>
      <c r="M43" s="120">
        <f t="shared" si="9"/>
        <v>0</v>
      </c>
      <c r="N43" s="424" t="s">
        <v>501</v>
      </c>
      <c r="O43" s="1119"/>
      <c r="P43" s="1124" t="str">
        <f t="shared" si="7"/>
        <v>令和元年度</v>
      </c>
      <c r="Q43" s="1126">
        <v>0</v>
      </c>
      <c r="R43" s="1126">
        <v>15383</v>
      </c>
      <c r="S43" s="1126">
        <v>15383</v>
      </c>
      <c r="T43" s="1126">
        <v>1726</v>
      </c>
      <c r="U43" s="1128"/>
      <c r="V43" s="121"/>
      <c r="W43" s="1119"/>
      <c r="X43" s="1124" t="str">
        <f t="shared" si="8"/>
        <v>令和元年度</v>
      </c>
      <c r="Y43" s="1126">
        <v>0</v>
      </c>
      <c r="Z43" s="1126">
        <v>15333</v>
      </c>
      <c r="AA43" s="1126">
        <v>15333</v>
      </c>
      <c r="AB43" s="1126">
        <v>1721</v>
      </c>
      <c r="AC43" s="1128"/>
    </row>
    <row r="44" spans="1:29">
      <c r="A44" s="1119"/>
      <c r="B44" s="1109"/>
      <c r="C44" s="115">
        <f>+Y43</f>
        <v>0</v>
      </c>
      <c r="D44" s="115">
        <f>+Z43</f>
        <v>15333</v>
      </c>
      <c r="E44" s="115">
        <f>+AA43</f>
        <v>15333</v>
      </c>
      <c r="F44" s="115">
        <f>+AB43</f>
        <v>1721</v>
      </c>
      <c r="G44" s="114">
        <f>ROUND(C44/C$48*G$48,0)</f>
        <v>0</v>
      </c>
      <c r="H44" s="114">
        <f t="shared" ref="H44" si="13">C44-G44</f>
        <v>0</v>
      </c>
      <c r="I44" s="108">
        <f>+VLOOKUP($B43,年度別調書!$A$4:$M$37,10,0)</f>
        <v>21889958229</v>
      </c>
      <c r="J44" s="108">
        <f>+VLOOKUP($B43,年度別調書!$A$4:$M$37,13,0)</f>
        <v>101214576030</v>
      </c>
      <c r="K44" s="114">
        <f t="shared" ref="K44" si="14">IFERROR(ROUND(H44*I44/J44,0),0)</f>
        <v>0</v>
      </c>
      <c r="L44" s="114">
        <f t="shared" ref="L44" si="15">H44-K44</f>
        <v>0</v>
      </c>
      <c r="M44" s="120">
        <f t="shared" ref="M44" si="16">ROUND(C44/C$48*G$48,3)-ROUND(C44/C$48*G$48,0)</f>
        <v>0</v>
      </c>
      <c r="N44" s="305">
        <v>10</v>
      </c>
      <c r="O44" s="1119"/>
      <c r="P44" s="1125"/>
      <c r="Q44" s="1127"/>
      <c r="R44" s="1127"/>
      <c r="S44" s="1127"/>
      <c r="T44" s="1127"/>
      <c r="U44" s="1129"/>
      <c r="V44" s="121"/>
      <c r="W44" s="1119"/>
      <c r="X44" s="1125"/>
      <c r="Y44" s="1127"/>
      <c r="Z44" s="1127"/>
      <c r="AA44" s="1127"/>
      <c r="AB44" s="1127"/>
      <c r="AC44" s="1129"/>
    </row>
    <row r="45" spans="1:29">
      <c r="A45" s="1119"/>
      <c r="B45" s="117" t="s">
        <v>494</v>
      </c>
      <c r="C45" s="115">
        <f t="shared" si="0"/>
        <v>0</v>
      </c>
      <c r="D45" s="115">
        <f t="shared" si="1"/>
        <v>2202</v>
      </c>
      <c r="E45" s="115">
        <f t="shared" si="2"/>
        <v>2202</v>
      </c>
      <c r="F45" s="115">
        <f t="shared" si="3"/>
        <v>248</v>
      </c>
      <c r="G45" s="114">
        <f t="shared" si="4"/>
        <v>0</v>
      </c>
      <c r="H45" s="114">
        <f t="shared" si="5"/>
        <v>0</v>
      </c>
      <c r="I45" s="108">
        <f>+VLOOKUP($B45,年度別調書!$A$4:$M$37,10,0)</f>
        <v>25568719436</v>
      </c>
      <c r="J45" s="108">
        <f>+VLOOKUP($B45,年度別調書!$A$4:$M$37,13,0)</f>
        <v>105092548853</v>
      </c>
      <c r="K45" s="114">
        <f t="shared" si="12"/>
        <v>0</v>
      </c>
      <c r="L45" s="114">
        <f t="shared" si="11"/>
        <v>0</v>
      </c>
      <c r="M45" s="120">
        <f t="shared" si="9"/>
        <v>0</v>
      </c>
      <c r="N45" s="305">
        <v>10</v>
      </c>
      <c r="O45" s="1119"/>
      <c r="P45" s="116" t="str">
        <f t="shared" si="7"/>
        <v>令和2年度</v>
      </c>
      <c r="Q45" s="153">
        <v>0</v>
      </c>
      <c r="R45" s="153">
        <v>1101</v>
      </c>
      <c r="S45" s="153">
        <v>1101</v>
      </c>
      <c r="T45" s="153">
        <v>124</v>
      </c>
      <c r="U45" s="114"/>
      <c r="V45" s="121"/>
      <c r="W45" s="1119"/>
      <c r="X45" s="116" t="str">
        <f t="shared" si="8"/>
        <v>令和2年度</v>
      </c>
      <c r="Y45" s="153">
        <v>0</v>
      </c>
      <c r="Z45" s="153">
        <v>1101</v>
      </c>
      <c r="AA45" s="153">
        <v>1101</v>
      </c>
      <c r="AB45" s="153">
        <v>124</v>
      </c>
      <c r="AC45" s="114"/>
    </row>
    <row r="46" spans="1:29">
      <c r="A46" s="1119"/>
      <c r="B46" s="117" t="s">
        <v>495</v>
      </c>
      <c r="C46" s="115">
        <f t="shared" si="0"/>
        <v>0</v>
      </c>
      <c r="D46" s="115">
        <f t="shared" si="1"/>
        <v>0</v>
      </c>
      <c r="E46" s="115">
        <f t="shared" si="2"/>
        <v>0</v>
      </c>
      <c r="F46" s="115">
        <f t="shared" si="3"/>
        <v>0</v>
      </c>
      <c r="G46" s="114">
        <f t="shared" si="4"/>
        <v>0</v>
      </c>
      <c r="H46" s="114">
        <f t="shared" si="5"/>
        <v>0</v>
      </c>
      <c r="I46" s="108">
        <f>+VLOOKUP($B46,年度別調書!$A$4:$M$37,10,0)</f>
        <v>25732995336</v>
      </c>
      <c r="J46" s="108">
        <f>+VLOOKUP($B46,年度別調書!$A$4:$M$37,13,0)</f>
        <v>106246537477</v>
      </c>
      <c r="K46" s="114">
        <f t="shared" si="12"/>
        <v>0</v>
      </c>
      <c r="L46" s="114">
        <f t="shared" si="11"/>
        <v>0</v>
      </c>
      <c r="M46" s="120">
        <f t="shared" si="9"/>
        <v>0</v>
      </c>
      <c r="N46" s="305">
        <v>10</v>
      </c>
      <c r="O46" s="1119"/>
      <c r="P46" s="116" t="str">
        <f t="shared" si="7"/>
        <v>令和3年度</v>
      </c>
      <c r="Q46" s="153">
        <v>0</v>
      </c>
      <c r="R46" s="153">
        <v>0</v>
      </c>
      <c r="S46" s="153">
        <v>0</v>
      </c>
      <c r="T46" s="153">
        <v>0</v>
      </c>
      <c r="U46" s="114"/>
      <c r="V46" s="121"/>
      <c r="W46" s="1119"/>
      <c r="X46" s="116" t="str">
        <f t="shared" si="8"/>
        <v>令和3年度</v>
      </c>
      <c r="Y46" s="153">
        <v>0</v>
      </c>
      <c r="Z46" s="153">
        <v>0</v>
      </c>
      <c r="AA46" s="153">
        <v>0</v>
      </c>
      <c r="AB46" s="153">
        <v>0</v>
      </c>
      <c r="AC46" s="114"/>
    </row>
    <row r="47" spans="1:29">
      <c r="A47" s="1119"/>
      <c r="B47" s="117" t="s">
        <v>496</v>
      </c>
      <c r="C47" s="115">
        <f t="shared" si="0"/>
        <v>0</v>
      </c>
      <c r="D47" s="115">
        <f t="shared" si="1"/>
        <v>11419</v>
      </c>
      <c r="E47" s="115">
        <f t="shared" si="2"/>
        <v>11419</v>
      </c>
      <c r="F47" s="115">
        <f t="shared" si="3"/>
        <v>1282</v>
      </c>
      <c r="G47" s="114">
        <f t="shared" si="4"/>
        <v>0</v>
      </c>
      <c r="H47" s="114">
        <f t="shared" si="5"/>
        <v>0</v>
      </c>
      <c r="I47" s="108">
        <f>+VLOOKUP($B47,年度別調書!$A$4:$M$37,10,0)</f>
        <v>22974897869</v>
      </c>
      <c r="J47" s="108">
        <f>+VLOOKUP($B47,年度別調書!$A$4:$M$37,13,0)</f>
        <v>102361733085</v>
      </c>
      <c r="K47" s="114">
        <f t="shared" si="12"/>
        <v>0</v>
      </c>
      <c r="L47" s="114">
        <f t="shared" si="11"/>
        <v>0</v>
      </c>
      <c r="M47" s="120">
        <f t="shared" si="9"/>
        <v>0</v>
      </c>
      <c r="N47" s="305">
        <v>10</v>
      </c>
      <c r="O47" s="1119"/>
      <c r="P47" s="116" t="str">
        <f t="shared" si="7"/>
        <v>令和4年度</v>
      </c>
      <c r="Q47" s="153">
        <v>0</v>
      </c>
      <c r="R47" s="153">
        <v>5014</v>
      </c>
      <c r="S47" s="153">
        <v>5014</v>
      </c>
      <c r="T47" s="153">
        <v>563</v>
      </c>
      <c r="U47" s="114"/>
      <c r="V47" s="121"/>
      <c r="W47" s="1119"/>
      <c r="X47" s="116" t="str">
        <f t="shared" si="8"/>
        <v>令和4年度</v>
      </c>
      <c r="Y47" s="153">
        <v>0</v>
      </c>
      <c r="Z47" s="153">
        <v>6405</v>
      </c>
      <c r="AA47" s="153">
        <v>6405</v>
      </c>
      <c r="AB47" s="153">
        <v>719</v>
      </c>
      <c r="AC47" s="114"/>
    </row>
    <row r="48" spans="1:29">
      <c r="A48" s="1120"/>
      <c r="B48" s="118" t="s">
        <v>94</v>
      </c>
      <c r="C48" s="119">
        <f>SUM(C6:C47)</f>
        <v>8328317</v>
      </c>
      <c r="D48" s="119">
        <f>SUM(D6:D47)</f>
        <v>848512</v>
      </c>
      <c r="E48" s="119">
        <f>SUM(E6:E47)</f>
        <v>9176829</v>
      </c>
      <c r="F48" s="119">
        <f>SUM(F6:F47)</f>
        <v>800620</v>
      </c>
      <c r="G48" s="104">
        <f>+U48+AC48</f>
        <v>716870</v>
      </c>
      <c r="H48" s="119">
        <f>SUM(H6:H47)</f>
        <v>7611447</v>
      </c>
      <c r="I48" s="38"/>
      <c r="J48" s="38"/>
      <c r="K48" s="119">
        <f>SUM(K6:K47)</f>
        <v>4073632</v>
      </c>
      <c r="L48" s="119">
        <f>SUM(L6:L47)</f>
        <v>3537815</v>
      </c>
      <c r="M48" s="119"/>
      <c r="N48" s="305">
        <f>+海田!N48</f>
        <v>0</v>
      </c>
      <c r="O48" s="1120"/>
      <c r="P48" s="118" t="s">
        <v>94</v>
      </c>
      <c r="Q48" s="119">
        <f>SUM(Q6:Q47)</f>
        <v>4134986</v>
      </c>
      <c r="R48" s="119">
        <f>SUM(R6:R47)</f>
        <v>452883</v>
      </c>
      <c r="S48" s="119">
        <f>SUM(S6:S47)</f>
        <v>4587869</v>
      </c>
      <c r="T48" s="119">
        <f>SUM(T6:T47)</f>
        <v>400248</v>
      </c>
      <c r="U48" s="233">
        <v>356288</v>
      </c>
      <c r="V48" s="112"/>
      <c r="W48" s="1120"/>
      <c r="X48" s="118" t="s">
        <v>94</v>
      </c>
      <c r="Y48" s="119">
        <f>SUM(Y6:Y47)</f>
        <v>4193331</v>
      </c>
      <c r="Z48" s="119">
        <f>SUM(Z6:Z47)</f>
        <v>395629</v>
      </c>
      <c r="AA48" s="119">
        <f>SUM(AA6:AA47)</f>
        <v>4588960</v>
      </c>
      <c r="AB48" s="119">
        <f>SUM(AB6:AB47)</f>
        <v>400372</v>
      </c>
      <c r="AC48" s="233">
        <v>360582</v>
      </c>
    </row>
    <row r="49" spans="7:29">
      <c r="G49" s="107">
        <f>G48-SUM(G6:G47)</f>
        <v>0</v>
      </c>
      <c r="K49" s="72"/>
      <c r="O49" s="23"/>
      <c r="U49" s="107"/>
      <c r="AC49" s="107"/>
    </row>
    <row r="50" spans="7:29">
      <c r="J50" s="306" t="s">
        <v>404</v>
      </c>
      <c r="K50" s="307" t="s">
        <v>403</v>
      </c>
    </row>
    <row r="51" spans="7:29">
      <c r="J51" s="307">
        <v>3</v>
      </c>
      <c r="K51" s="308">
        <f>+SUMIFS($K$4:$K$48,$N$4:$N$48,$J51)</f>
        <v>2009140</v>
      </c>
    </row>
    <row r="52" spans="7:29">
      <c r="J52" s="307">
        <v>5</v>
      </c>
      <c r="K52" s="308">
        <f>+SUMIFS($K$4:$K$48,$N$4:$N$48,$J52)</f>
        <v>1880046</v>
      </c>
    </row>
    <row r="53" spans="7:29">
      <c r="J53" s="307">
        <v>8</v>
      </c>
      <c r="K53" s="308">
        <f>+SUMIFS($K$4:$K$48,$N$4:$N$48,$J53)</f>
        <v>184446</v>
      </c>
    </row>
    <row r="54" spans="7:29">
      <c r="J54" s="307">
        <v>10</v>
      </c>
      <c r="K54" s="308">
        <f>+SUMIFS($K$4:$K$48,$N$4:$N$48,$J54)</f>
        <v>0</v>
      </c>
    </row>
    <row r="55" spans="7:29">
      <c r="J55" s="306" t="s">
        <v>405</v>
      </c>
      <c r="K55" s="309">
        <f>SUM(K51:K54)</f>
        <v>4073632</v>
      </c>
    </row>
    <row r="56" spans="7:29">
      <c r="J56" s="306" t="s">
        <v>406</v>
      </c>
      <c r="K56" s="309">
        <f>+K48-K55</f>
        <v>0</v>
      </c>
    </row>
  </sheetData>
  <mergeCells count="38">
    <mergeCell ref="P4:P5"/>
    <mergeCell ref="P43:P44"/>
    <mergeCell ref="U43:U44"/>
    <mergeCell ref="T43:T44"/>
    <mergeCell ref="S43:S44"/>
    <mergeCell ref="R43:R44"/>
    <mergeCell ref="Q43:Q44"/>
    <mergeCell ref="A6:A48"/>
    <mergeCell ref="O6:O48"/>
    <mergeCell ref="A4:A5"/>
    <mergeCell ref="B4:B5"/>
    <mergeCell ref="B43:B44"/>
    <mergeCell ref="M4:M5"/>
    <mergeCell ref="H4:H5"/>
    <mergeCell ref="I4:I5"/>
    <mergeCell ref="J4:J5"/>
    <mergeCell ref="K4:K5"/>
    <mergeCell ref="L4:L5"/>
    <mergeCell ref="O4:O5"/>
    <mergeCell ref="N4:N5"/>
    <mergeCell ref="C4:E4"/>
    <mergeCell ref="F4:F5"/>
    <mergeCell ref="G4:G5"/>
    <mergeCell ref="X4:X5"/>
    <mergeCell ref="Y4:AA4"/>
    <mergeCell ref="Q4:S4"/>
    <mergeCell ref="AB4:AB5"/>
    <mergeCell ref="AC43:AC44"/>
    <mergeCell ref="AB43:AB44"/>
    <mergeCell ref="AA43:AA44"/>
    <mergeCell ref="Z43:Z44"/>
    <mergeCell ref="AC4:AC5"/>
    <mergeCell ref="Y43:Y44"/>
    <mergeCell ref="W6:W48"/>
    <mergeCell ref="X43:X44"/>
    <mergeCell ref="T4:T5"/>
    <mergeCell ref="U4:U5"/>
    <mergeCell ref="W4:W5"/>
  </mergeCells>
  <phoneticPr fontId="2"/>
  <pageMargins left="0.78740157480314965" right="0.78740157480314965" top="0.62992125984251968" bottom="0.82677165354330717" header="0.31496062992125984" footer="0.35433070866141736"/>
  <pageSetup paperSize="9" scale="83" fitToWidth="2" orientation="landscape" r:id="rId1"/>
  <headerFooter alignWithMargins="0"/>
  <colBreaks count="1" manualBreakCount="1">
    <brk id="14" max="47" man="1"/>
  </colBreaks>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66FF33"/>
  </sheetPr>
  <dimension ref="A2:AC56"/>
  <sheetViews>
    <sheetView zoomScale="85" zoomScaleNormal="85" zoomScaleSheetLayoutView="85" workbookViewId="0">
      <pane xSplit="2" ySplit="5" topLeftCell="C6" activePane="bottomRight" state="frozen"/>
      <selection sqref="A1:XFD1048576"/>
      <selection pane="topRight" sqref="A1:XFD1048576"/>
      <selection pane="bottomLeft" sqref="A1:XFD1048576"/>
      <selection pane="bottomRight" activeCell="C6" sqref="C6"/>
    </sheetView>
  </sheetViews>
  <sheetFormatPr defaultRowHeight="13.5"/>
  <cols>
    <col min="1" max="1" width="2.625" customWidth="1"/>
    <col min="2" max="2" width="11.625" bestFit="1" customWidth="1"/>
    <col min="3" max="5" width="13.125" customWidth="1"/>
    <col min="6" max="7" width="11.625" customWidth="1"/>
    <col min="8" max="8" width="13.125" customWidth="1"/>
    <col min="9" max="10" width="13.75" customWidth="1"/>
    <col min="11" max="12" width="13.125" customWidth="1"/>
    <col min="13" max="13" width="7.625" customWidth="1"/>
    <col min="14" max="14" width="3.125" customWidth="1"/>
    <col min="15" max="15" width="2.625" customWidth="1"/>
    <col min="16" max="21" width="11.625" customWidth="1"/>
    <col min="22" max="22" width="3.125" customWidth="1"/>
    <col min="23" max="23" width="2.625" customWidth="1"/>
    <col min="24" max="24" width="11.625" bestFit="1" customWidth="1"/>
    <col min="25" max="29" width="11.625" customWidth="1"/>
    <col min="30" max="30" width="3.125" customWidth="1"/>
  </cols>
  <sheetData>
    <row r="2" spans="1:29">
      <c r="A2" t="str">
        <f>+"令和"&amp;MID(総括表!A2,3,1)&amp;"年度決算　府中町大須地区"</f>
        <v>令和５年度決算　府中町大須地区</v>
      </c>
      <c r="O2" t="str">
        <f>+A2</f>
        <v>令和５年度決算　府中町大須地区</v>
      </c>
      <c r="T2" s="87"/>
      <c r="U2" s="87"/>
    </row>
    <row r="4" spans="1:29" ht="13.5" customHeight="1">
      <c r="A4" s="1104" t="s">
        <v>48</v>
      </c>
      <c r="B4" s="1104" t="s">
        <v>331</v>
      </c>
      <c r="C4" s="1121" t="s">
        <v>90</v>
      </c>
      <c r="D4" s="1121"/>
      <c r="E4" s="1121"/>
      <c r="F4" s="1107" t="s">
        <v>92</v>
      </c>
      <c r="G4" s="1107" t="s">
        <v>95</v>
      </c>
      <c r="H4" s="1107" t="s">
        <v>141</v>
      </c>
      <c r="I4" s="1096" t="s">
        <v>65</v>
      </c>
      <c r="J4" s="1096" t="s">
        <v>67</v>
      </c>
      <c r="K4" s="1098" t="s">
        <v>91</v>
      </c>
      <c r="L4" s="1100" t="s">
        <v>17</v>
      </c>
      <c r="M4" s="1100" t="s">
        <v>424</v>
      </c>
      <c r="N4" s="1122" t="s">
        <v>402</v>
      </c>
      <c r="O4" s="1104" t="s">
        <v>48</v>
      </c>
      <c r="P4" s="1104" t="s">
        <v>93</v>
      </c>
      <c r="Q4" s="1121" t="s">
        <v>90</v>
      </c>
      <c r="R4" s="1121"/>
      <c r="S4" s="1121"/>
      <c r="T4" s="1107" t="s">
        <v>92</v>
      </c>
      <c r="U4" s="1107" t="s">
        <v>95</v>
      </c>
      <c r="W4" s="1104" t="s">
        <v>48</v>
      </c>
      <c r="X4" s="1104" t="s">
        <v>93</v>
      </c>
      <c r="Y4" s="1121" t="s">
        <v>90</v>
      </c>
      <c r="Z4" s="1121"/>
      <c r="AA4" s="1121"/>
      <c r="AB4" s="1107" t="s">
        <v>92</v>
      </c>
      <c r="AC4" s="1107" t="s">
        <v>95</v>
      </c>
    </row>
    <row r="5" spans="1:29" ht="13.5" customHeight="1">
      <c r="A5" s="1105"/>
      <c r="B5" s="1106"/>
      <c r="C5" s="26" t="s">
        <v>89</v>
      </c>
      <c r="D5" s="26" t="s">
        <v>328</v>
      </c>
      <c r="E5" s="26" t="s">
        <v>87</v>
      </c>
      <c r="F5" s="1099"/>
      <c r="G5" s="1117"/>
      <c r="H5" s="1099"/>
      <c r="I5" s="1097"/>
      <c r="J5" s="1097"/>
      <c r="K5" s="1099"/>
      <c r="L5" s="1101"/>
      <c r="M5" s="1101"/>
      <c r="N5" s="1123"/>
      <c r="O5" s="1105"/>
      <c r="P5" s="1106"/>
      <c r="Q5" s="26" t="s">
        <v>89</v>
      </c>
      <c r="R5" s="26" t="s">
        <v>328</v>
      </c>
      <c r="S5" s="26" t="s">
        <v>87</v>
      </c>
      <c r="T5" s="1099"/>
      <c r="U5" s="1117"/>
      <c r="V5" s="113"/>
      <c r="W5" s="1105"/>
      <c r="X5" s="1106"/>
      <c r="Y5" s="26" t="s">
        <v>89</v>
      </c>
      <c r="Z5" s="26" t="s">
        <v>328</v>
      </c>
      <c r="AA5" s="26" t="s">
        <v>87</v>
      </c>
      <c r="AB5" s="1099"/>
      <c r="AC5" s="1117"/>
    </row>
    <row r="6" spans="1:29" ht="13.5" customHeight="1">
      <c r="A6" s="1118" t="s">
        <v>330</v>
      </c>
      <c r="B6" s="116" t="s">
        <v>455</v>
      </c>
      <c r="C6" s="115">
        <f t="shared" ref="C6:C47" si="0">+Q6+Y6</f>
        <v>0</v>
      </c>
      <c r="D6" s="115">
        <f t="shared" ref="D6:D47" si="1">+R6+Z6</f>
        <v>0</v>
      </c>
      <c r="E6" s="115">
        <f t="shared" ref="E6:E47" si="2">+S6+AA6</f>
        <v>0</v>
      </c>
      <c r="F6" s="115">
        <f t="shared" ref="F6:F47" si="3">+T6+AB6</f>
        <v>0</v>
      </c>
      <c r="G6" s="114">
        <f t="shared" ref="G6:G47" si="4">ROUND(C6/C$48*G$48,0)</f>
        <v>0</v>
      </c>
      <c r="H6" s="114">
        <f t="shared" ref="H6:H47" si="5">C6-G6</f>
        <v>0</v>
      </c>
      <c r="I6" s="38"/>
      <c r="J6" s="38"/>
      <c r="K6" s="114">
        <v>0</v>
      </c>
      <c r="L6" s="114">
        <f t="shared" ref="L6:L12" si="6">H6-K6</f>
        <v>0</v>
      </c>
      <c r="M6" s="120">
        <f>ROUND(C6/C$48*G$48,3)-ROUND(C6/C$48*G$48,0)</f>
        <v>0</v>
      </c>
      <c r="N6" s="305">
        <f>+海田!N6</f>
        <v>0</v>
      </c>
      <c r="O6" s="1118" t="s">
        <v>110</v>
      </c>
      <c r="P6" s="116" t="str">
        <f>+B6</f>
        <v>昭和57年度</v>
      </c>
      <c r="Q6" s="344">
        <v>0</v>
      </c>
      <c r="R6" s="344">
        <v>0</v>
      </c>
      <c r="S6" s="344">
        <v>0</v>
      </c>
      <c r="T6" s="344">
        <v>0</v>
      </c>
      <c r="U6" s="114"/>
      <c r="V6" s="120"/>
      <c r="W6" s="1118" t="s">
        <v>462</v>
      </c>
      <c r="X6" s="116" t="str">
        <f>+B6</f>
        <v>昭和57年度</v>
      </c>
      <c r="Y6" s="345">
        <v>0</v>
      </c>
      <c r="Z6" s="345">
        <v>0</v>
      </c>
      <c r="AA6" s="345">
        <v>0</v>
      </c>
      <c r="AB6" s="345">
        <v>0</v>
      </c>
      <c r="AC6" s="114"/>
    </row>
    <row r="7" spans="1:29">
      <c r="A7" s="1119"/>
      <c r="B7" s="116" t="s">
        <v>456</v>
      </c>
      <c r="C7" s="115">
        <f t="shared" si="0"/>
        <v>0</v>
      </c>
      <c r="D7" s="115">
        <f t="shared" si="1"/>
        <v>0</v>
      </c>
      <c r="E7" s="115">
        <f t="shared" si="2"/>
        <v>0</v>
      </c>
      <c r="F7" s="115">
        <f t="shared" si="3"/>
        <v>0</v>
      </c>
      <c r="G7" s="114">
        <f t="shared" si="4"/>
        <v>0</v>
      </c>
      <c r="H7" s="114">
        <f t="shared" si="5"/>
        <v>0</v>
      </c>
      <c r="I7" s="38"/>
      <c r="J7" s="38"/>
      <c r="K7" s="114">
        <v>0</v>
      </c>
      <c r="L7" s="114">
        <f t="shared" si="6"/>
        <v>0</v>
      </c>
      <c r="M7" s="120">
        <f>ROUND(C7/C$48*G$48,3)-ROUND(C7/C$48*G$48,0)</f>
        <v>0</v>
      </c>
      <c r="N7" s="305">
        <f>+海田!N7</f>
        <v>0</v>
      </c>
      <c r="O7" s="1119"/>
      <c r="P7" s="116" t="str">
        <f t="shared" ref="P7:P47" si="7">+B7</f>
        <v>昭和58年度</v>
      </c>
      <c r="Q7" s="344">
        <v>0</v>
      </c>
      <c r="R7" s="344">
        <v>0</v>
      </c>
      <c r="S7" s="344">
        <v>0</v>
      </c>
      <c r="T7" s="344">
        <v>0</v>
      </c>
      <c r="U7" s="114"/>
      <c r="V7" s="121"/>
      <c r="W7" s="1119"/>
      <c r="X7" s="116" t="str">
        <f t="shared" ref="X7:X47" si="8">+B7</f>
        <v>昭和58年度</v>
      </c>
      <c r="Y7" s="345">
        <v>0</v>
      </c>
      <c r="Z7" s="345">
        <v>0</v>
      </c>
      <c r="AA7" s="345">
        <v>0</v>
      </c>
      <c r="AB7" s="345">
        <v>0</v>
      </c>
      <c r="AC7" s="114"/>
    </row>
    <row r="8" spans="1:29">
      <c r="A8" s="1119"/>
      <c r="B8" s="116" t="s">
        <v>457</v>
      </c>
      <c r="C8" s="115">
        <f t="shared" si="0"/>
        <v>0</v>
      </c>
      <c r="D8" s="115">
        <f t="shared" si="1"/>
        <v>0</v>
      </c>
      <c r="E8" s="115">
        <f t="shared" si="2"/>
        <v>0</v>
      </c>
      <c r="F8" s="115">
        <f t="shared" si="3"/>
        <v>0</v>
      </c>
      <c r="G8" s="114">
        <f t="shared" si="4"/>
        <v>0</v>
      </c>
      <c r="H8" s="114">
        <f t="shared" si="5"/>
        <v>0</v>
      </c>
      <c r="I8" s="38"/>
      <c r="J8" s="38"/>
      <c r="K8" s="114">
        <v>0</v>
      </c>
      <c r="L8" s="114">
        <f t="shared" si="6"/>
        <v>0</v>
      </c>
      <c r="M8" s="120">
        <f>ROUND(C8/C$48*G$48,3)-ROUND(C8/C$48*G$48,0)</f>
        <v>0</v>
      </c>
      <c r="N8" s="305">
        <f>+海田!N8</f>
        <v>0</v>
      </c>
      <c r="O8" s="1119"/>
      <c r="P8" s="116" t="str">
        <f t="shared" si="7"/>
        <v>昭和59年度</v>
      </c>
      <c r="Q8" s="344">
        <v>0</v>
      </c>
      <c r="R8" s="344">
        <v>0</v>
      </c>
      <c r="S8" s="344">
        <v>0</v>
      </c>
      <c r="T8" s="344">
        <v>0</v>
      </c>
      <c r="U8" s="114"/>
      <c r="V8" s="121"/>
      <c r="W8" s="1119"/>
      <c r="X8" s="116" t="str">
        <f t="shared" si="8"/>
        <v>昭和59年度</v>
      </c>
      <c r="Y8" s="345">
        <v>0</v>
      </c>
      <c r="Z8" s="345">
        <v>0</v>
      </c>
      <c r="AA8" s="345">
        <v>0</v>
      </c>
      <c r="AB8" s="345">
        <v>0</v>
      </c>
      <c r="AC8" s="114"/>
    </row>
    <row r="9" spans="1:29">
      <c r="A9" s="1119"/>
      <c r="B9" s="116" t="s">
        <v>458</v>
      </c>
      <c r="C9" s="115">
        <f t="shared" si="0"/>
        <v>0</v>
      </c>
      <c r="D9" s="115">
        <f t="shared" si="1"/>
        <v>0</v>
      </c>
      <c r="E9" s="115">
        <f t="shared" si="2"/>
        <v>0</v>
      </c>
      <c r="F9" s="115">
        <f t="shared" si="3"/>
        <v>0</v>
      </c>
      <c r="G9" s="114">
        <f t="shared" si="4"/>
        <v>0</v>
      </c>
      <c r="H9" s="114">
        <f t="shared" si="5"/>
        <v>0</v>
      </c>
      <c r="I9" s="38"/>
      <c r="J9" s="38"/>
      <c r="K9" s="114">
        <v>0</v>
      </c>
      <c r="L9" s="114">
        <f t="shared" si="6"/>
        <v>0</v>
      </c>
      <c r="M9" s="120">
        <f>ROUND(C9/C$48*G$48,3)-ROUND(C9/C$48*G$48,0)</f>
        <v>0</v>
      </c>
      <c r="N9" s="305">
        <f>+海田!N9</f>
        <v>0</v>
      </c>
      <c r="O9" s="1119"/>
      <c r="P9" s="116" t="str">
        <f t="shared" si="7"/>
        <v>昭和60年度</v>
      </c>
      <c r="Q9" s="344">
        <v>0</v>
      </c>
      <c r="R9" s="344">
        <v>0</v>
      </c>
      <c r="S9" s="344">
        <v>0</v>
      </c>
      <c r="T9" s="344">
        <v>0</v>
      </c>
      <c r="U9" s="114"/>
      <c r="V9" s="121"/>
      <c r="W9" s="1119"/>
      <c r="X9" s="116" t="str">
        <f t="shared" si="8"/>
        <v>昭和60年度</v>
      </c>
      <c r="Y9" s="345">
        <v>0</v>
      </c>
      <c r="Z9" s="345">
        <v>0</v>
      </c>
      <c r="AA9" s="345">
        <v>0</v>
      </c>
      <c r="AB9" s="345">
        <v>0</v>
      </c>
      <c r="AC9" s="114"/>
    </row>
    <row r="10" spans="1:29">
      <c r="A10" s="1119"/>
      <c r="B10" s="116" t="s">
        <v>459</v>
      </c>
      <c r="C10" s="115">
        <f t="shared" si="0"/>
        <v>0</v>
      </c>
      <c r="D10" s="115">
        <f t="shared" si="1"/>
        <v>0</v>
      </c>
      <c r="E10" s="115">
        <f t="shared" si="2"/>
        <v>0</v>
      </c>
      <c r="F10" s="115">
        <f t="shared" si="3"/>
        <v>0</v>
      </c>
      <c r="G10" s="114">
        <f t="shared" si="4"/>
        <v>0</v>
      </c>
      <c r="H10" s="114">
        <f t="shared" si="5"/>
        <v>0</v>
      </c>
      <c r="I10" s="38"/>
      <c r="J10" s="38"/>
      <c r="K10" s="114">
        <v>0</v>
      </c>
      <c r="L10" s="114">
        <f t="shared" si="6"/>
        <v>0</v>
      </c>
      <c r="M10" s="120">
        <f t="shared" ref="M10:M47" si="9">ROUND(C10/C$48*G$48,3)-ROUND(C10/C$48*G$48,0)</f>
        <v>0</v>
      </c>
      <c r="N10" s="305">
        <f>+海田!N10</f>
        <v>0</v>
      </c>
      <c r="O10" s="1119"/>
      <c r="P10" s="116" t="str">
        <f t="shared" si="7"/>
        <v>昭和61年度</v>
      </c>
      <c r="Q10" s="344">
        <v>0</v>
      </c>
      <c r="R10" s="344">
        <v>0</v>
      </c>
      <c r="S10" s="344">
        <v>0</v>
      </c>
      <c r="T10" s="344">
        <v>0</v>
      </c>
      <c r="U10" s="114"/>
      <c r="V10" s="121"/>
      <c r="W10" s="1119"/>
      <c r="X10" s="116" t="str">
        <f t="shared" si="8"/>
        <v>昭和61年度</v>
      </c>
      <c r="Y10" s="345">
        <v>0</v>
      </c>
      <c r="Z10" s="345">
        <v>0</v>
      </c>
      <c r="AA10" s="345">
        <v>0</v>
      </c>
      <c r="AB10" s="345">
        <v>0</v>
      </c>
      <c r="AC10" s="114"/>
    </row>
    <row r="11" spans="1:29">
      <c r="A11" s="1119"/>
      <c r="B11" s="116" t="s">
        <v>460</v>
      </c>
      <c r="C11" s="115">
        <f t="shared" si="0"/>
        <v>0</v>
      </c>
      <c r="D11" s="115">
        <f t="shared" si="1"/>
        <v>0</v>
      </c>
      <c r="E11" s="115">
        <f t="shared" si="2"/>
        <v>0</v>
      </c>
      <c r="F11" s="115">
        <f t="shared" si="3"/>
        <v>0</v>
      </c>
      <c r="G11" s="114">
        <f t="shared" si="4"/>
        <v>0</v>
      </c>
      <c r="H11" s="114">
        <f t="shared" si="5"/>
        <v>0</v>
      </c>
      <c r="I11" s="38"/>
      <c r="J11" s="38"/>
      <c r="K11" s="114">
        <v>0</v>
      </c>
      <c r="L11" s="114">
        <f t="shared" si="6"/>
        <v>0</v>
      </c>
      <c r="M11" s="120">
        <f t="shared" si="9"/>
        <v>0</v>
      </c>
      <c r="N11" s="305">
        <f>+海田!N11</f>
        <v>0</v>
      </c>
      <c r="O11" s="1119"/>
      <c r="P11" s="116" t="str">
        <f t="shared" si="7"/>
        <v>昭和62年度</v>
      </c>
      <c r="Q11" s="344">
        <v>0</v>
      </c>
      <c r="R11" s="344">
        <v>0</v>
      </c>
      <c r="S11" s="344">
        <v>0</v>
      </c>
      <c r="T11" s="344">
        <v>0</v>
      </c>
      <c r="U11" s="114"/>
      <c r="V11" s="121"/>
      <c r="W11" s="1119"/>
      <c r="X11" s="116" t="str">
        <f t="shared" si="8"/>
        <v>昭和62年度</v>
      </c>
      <c r="Y11" s="345">
        <v>0</v>
      </c>
      <c r="Z11" s="345">
        <v>0</v>
      </c>
      <c r="AA11" s="345">
        <v>0</v>
      </c>
      <c r="AB11" s="345">
        <v>0</v>
      </c>
      <c r="AC11" s="114"/>
    </row>
    <row r="12" spans="1:29">
      <c r="A12" s="1119"/>
      <c r="B12" s="116" t="s">
        <v>461</v>
      </c>
      <c r="C12" s="115">
        <f t="shared" si="0"/>
        <v>0</v>
      </c>
      <c r="D12" s="115">
        <f t="shared" si="1"/>
        <v>0</v>
      </c>
      <c r="E12" s="115">
        <f t="shared" si="2"/>
        <v>0</v>
      </c>
      <c r="F12" s="115">
        <f t="shared" si="3"/>
        <v>0</v>
      </c>
      <c r="G12" s="114">
        <f t="shared" si="4"/>
        <v>0</v>
      </c>
      <c r="H12" s="114">
        <f t="shared" si="5"/>
        <v>0</v>
      </c>
      <c r="I12" s="38"/>
      <c r="J12" s="38"/>
      <c r="K12" s="114">
        <v>0</v>
      </c>
      <c r="L12" s="114">
        <f t="shared" si="6"/>
        <v>0</v>
      </c>
      <c r="M12" s="120">
        <f t="shared" si="9"/>
        <v>0</v>
      </c>
      <c r="N12" s="305">
        <f>+海田!N12</f>
        <v>0</v>
      </c>
      <c r="O12" s="1119"/>
      <c r="P12" s="116" t="str">
        <f t="shared" si="7"/>
        <v>昭和63年度</v>
      </c>
      <c r="Q12" s="344">
        <v>0</v>
      </c>
      <c r="R12" s="344">
        <v>0</v>
      </c>
      <c r="S12" s="344">
        <v>0</v>
      </c>
      <c r="T12" s="344">
        <v>0</v>
      </c>
      <c r="U12" s="114"/>
      <c r="V12" s="121"/>
      <c r="W12" s="1119"/>
      <c r="X12" s="116" t="str">
        <f t="shared" si="8"/>
        <v>昭和63年度</v>
      </c>
      <c r="Y12" s="345">
        <v>0</v>
      </c>
      <c r="Z12" s="345">
        <v>0</v>
      </c>
      <c r="AA12" s="345">
        <v>0</v>
      </c>
      <c r="AB12" s="345">
        <v>0</v>
      </c>
      <c r="AC12" s="114"/>
    </row>
    <row r="13" spans="1:29">
      <c r="A13" s="1119"/>
      <c r="B13" s="117" t="s">
        <v>425</v>
      </c>
      <c r="C13" s="115">
        <f t="shared" si="0"/>
        <v>0</v>
      </c>
      <c r="D13" s="115">
        <f t="shared" si="1"/>
        <v>0</v>
      </c>
      <c r="E13" s="115">
        <f t="shared" si="2"/>
        <v>0</v>
      </c>
      <c r="F13" s="115">
        <f t="shared" si="3"/>
        <v>0</v>
      </c>
      <c r="G13" s="114">
        <f t="shared" si="4"/>
        <v>0</v>
      </c>
      <c r="H13" s="114">
        <f t="shared" si="5"/>
        <v>0</v>
      </c>
      <c r="I13" s="108">
        <f>+VLOOKUP($B13,年度別調書!$A$4:$M$37,10,0)</f>
        <v>30622955900</v>
      </c>
      <c r="J13" s="108">
        <f>+VLOOKUP($B13,年度別調書!$A$4:$M$37,13,0)</f>
        <v>62903610340</v>
      </c>
      <c r="K13" s="114">
        <f>IFERROR(ROUND(H13*I13/J13,0),0)</f>
        <v>0</v>
      </c>
      <c r="L13" s="114">
        <f>H13-K13</f>
        <v>0</v>
      </c>
      <c r="M13" s="120">
        <f t="shared" si="9"/>
        <v>0</v>
      </c>
      <c r="N13" s="305">
        <f>+海田!N13</f>
        <v>3</v>
      </c>
      <c r="O13" s="1119"/>
      <c r="P13" s="116" t="str">
        <f t="shared" si="7"/>
        <v>平成元年度</v>
      </c>
      <c r="Q13" s="344">
        <v>0</v>
      </c>
      <c r="R13" s="344">
        <v>0</v>
      </c>
      <c r="S13" s="344">
        <v>0</v>
      </c>
      <c r="T13" s="344">
        <v>0</v>
      </c>
      <c r="U13" s="114"/>
      <c r="V13" s="121"/>
      <c r="W13" s="1119"/>
      <c r="X13" s="116" t="str">
        <f t="shared" si="8"/>
        <v>平成元年度</v>
      </c>
      <c r="Y13" s="345">
        <v>0</v>
      </c>
      <c r="Z13" s="345">
        <v>0</v>
      </c>
      <c r="AA13" s="345">
        <v>0</v>
      </c>
      <c r="AB13" s="345">
        <v>0</v>
      </c>
      <c r="AC13" s="114"/>
    </row>
    <row r="14" spans="1:29">
      <c r="A14" s="1119"/>
      <c r="B14" s="117" t="s">
        <v>426</v>
      </c>
      <c r="C14" s="115">
        <f t="shared" si="0"/>
        <v>0</v>
      </c>
      <c r="D14" s="115">
        <f t="shared" si="1"/>
        <v>0</v>
      </c>
      <c r="E14" s="115">
        <f t="shared" si="2"/>
        <v>0</v>
      </c>
      <c r="F14" s="115">
        <f t="shared" si="3"/>
        <v>0</v>
      </c>
      <c r="G14" s="114">
        <f t="shared" si="4"/>
        <v>0</v>
      </c>
      <c r="H14" s="114">
        <f t="shared" si="5"/>
        <v>0</v>
      </c>
      <c r="I14" s="108">
        <f>+VLOOKUP($B14,年度別調書!$A$4:$M$37,10,0)</f>
        <v>36785805618</v>
      </c>
      <c r="J14" s="108">
        <f>+VLOOKUP($B14,年度別調書!$A$4:$M$37,13,0)</f>
        <v>65207626364</v>
      </c>
      <c r="K14" s="114">
        <f t="shared" ref="K14:K47" si="10">IFERROR(ROUND(H14*I14/J14,0),0)</f>
        <v>0</v>
      </c>
      <c r="L14" s="114">
        <f>H14-K14</f>
        <v>0</v>
      </c>
      <c r="M14" s="120">
        <f t="shared" si="9"/>
        <v>0</v>
      </c>
      <c r="N14" s="305">
        <f>+海田!N14</f>
        <v>3</v>
      </c>
      <c r="O14" s="1119"/>
      <c r="P14" s="116" t="str">
        <f t="shared" si="7"/>
        <v>平成2年度</v>
      </c>
      <c r="Q14" s="344">
        <v>0</v>
      </c>
      <c r="R14" s="344">
        <v>0</v>
      </c>
      <c r="S14" s="344">
        <v>0</v>
      </c>
      <c r="T14" s="344">
        <v>0</v>
      </c>
      <c r="U14" s="114"/>
      <c r="V14" s="121"/>
      <c r="W14" s="1119"/>
      <c r="X14" s="116" t="str">
        <f t="shared" si="8"/>
        <v>平成2年度</v>
      </c>
      <c r="Y14" s="345">
        <v>0</v>
      </c>
      <c r="Z14" s="345">
        <v>0</v>
      </c>
      <c r="AA14" s="345">
        <v>0</v>
      </c>
      <c r="AB14" s="345">
        <v>0</v>
      </c>
      <c r="AC14" s="114"/>
    </row>
    <row r="15" spans="1:29">
      <c r="A15" s="1119"/>
      <c r="B15" s="117" t="s">
        <v>427</v>
      </c>
      <c r="C15" s="115">
        <f t="shared" si="0"/>
        <v>0</v>
      </c>
      <c r="D15" s="115">
        <f t="shared" si="1"/>
        <v>0</v>
      </c>
      <c r="E15" s="115">
        <f t="shared" si="2"/>
        <v>0</v>
      </c>
      <c r="F15" s="115">
        <f t="shared" si="3"/>
        <v>0</v>
      </c>
      <c r="G15" s="114">
        <f t="shared" si="4"/>
        <v>0</v>
      </c>
      <c r="H15" s="114">
        <f t="shared" si="5"/>
        <v>0</v>
      </c>
      <c r="I15" s="108">
        <f>+VLOOKUP($B15,年度別調書!$A$4:$M$37,10,0)</f>
        <v>42048127236</v>
      </c>
      <c r="J15" s="108">
        <f>+VLOOKUP($B15,年度別調書!$A$4:$M$37,13,0)</f>
        <v>72538415314</v>
      </c>
      <c r="K15" s="114">
        <f t="shared" si="10"/>
        <v>0</v>
      </c>
      <c r="L15" s="114">
        <f>H15-K15</f>
        <v>0</v>
      </c>
      <c r="M15" s="120">
        <f t="shared" si="9"/>
        <v>0</v>
      </c>
      <c r="N15" s="305">
        <f>+海田!N15</f>
        <v>3</v>
      </c>
      <c r="O15" s="1119"/>
      <c r="P15" s="116" t="str">
        <f t="shared" si="7"/>
        <v>平成3年度</v>
      </c>
      <c r="Q15" s="344">
        <v>0</v>
      </c>
      <c r="R15" s="344">
        <v>0</v>
      </c>
      <c r="S15" s="344">
        <v>0</v>
      </c>
      <c r="T15" s="344">
        <v>0</v>
      </c>
      <c r="U15" s="114"/>
      <c r="V15" s="121"/>
      <c r="W15" s="1119"/>
      <c r="X15" s="116" t="str">
        <f t="shared" si="8"/>
        <v>平成3年度</v>
      </c>
      <c r="Y15" s="345">
        <v>0</v>
      </c>
      <c r="Z15" s="345">
        <v>0</v>
      </c>
      <c r="AA15" s="345">
        <v>0</v>
      </c>
      <c r="AB15" s="345">
        <v>0</v>
      </c>
      <c r="AC15" s="114"/>
    </row>
    <row r="16" spans="1:29">
      <c r="A16" s="1119"/>
      <c r="B16" s="117" t="s">
        <v>428</v>
      </c>
      <c r="C16" s="115">
        <f t="shared" si="0"/>
        <v>0</v>
      </c>
      <c r="D16" s="115">
        <f t="shared" si="1"/>
        <v>0</v>
      </c>
      <c r="E16" s="115">
        <f t="shared" si="2"/>
        <v>0</v>
      </c>
      <c r="F16" s="115">
        <f t="shared" si="3"/>
        <v>0</v>
      </c>
      <c r="G16" s="114">
        <f t="shared" si="4"/>
        <v>0</v>
      </c>
      <c r="H16" s="114">
        <f t="shared" si="5"/>
        <v>0</v>
      </c>
      <c r="I16" s="108">
        <f>+VLOOKUP($B16,年度別調書!$A$4:$M$37,10,0)</f>
        <v>49320557603</v>
      </c>
      <c r="J16" s="108">
        <f>+VLOOKUP($B16,年度別調書!$A$4:$M$37,13,0)</f>
        <v>82028053042</v>
      </c>
      <c r="K16" s="114">
        <f t="shared" si="10"/>
        <v>0</v>
      </c>
      <c r="L16" s="114">
        <f>H16-K16</f>
        <v>0</v>
      </c>
      <c r="M16" s="120">
        <f t="shared" si="9"/>
        <v>0</v>
      </c>
      <c r="N16" s="305">
        <f>+海田!N16</f>
        <v>3</v>
      </c>
      <c r="O16" s="1119"/>
      <c r="P16" s="116" t="str">
        <f t="shared" si="7"/>
        <v>平成4年度</v>
      </c>
      <c r="Q16" s="344">
        <v>0</v>
      </c>
      <c r="R16" s="344">
        <v>0</v>
      </c>
      <c r="S16" s="344">
        <v>0</v>
      </c>
      <c r="T16" s="344">
        <v>0</v>
      </c>
      <c r="U16" s="114"/>
      <c r="V16" s="121"/>
      <c r="W16" s="1119"/>
      <c r="X16" s="116" t="str">
        <f t="shared" si="8"/>
        <v>平成4年度</v>
      </c>
      <c r="Y16" s="345">
        <v>0</v>
      </c>
      <c r="Z16" s="345">
        <v>0</v>
      </c>
      <c r="AA16" s="345">
        <v>0</v>
      </c>
      <c r="AB16" s="345">
        <v>0</v>
      </c>
      <c r="AC16" s="114"/>
    </row>
    <row r="17" spans="1:29">
      <c r="A17" s="1119"/>
      <c r="B17" s="117" t="s">
        <v>429</v>
      </c>
      <c r="C17" s="115">
        <f t="shared" si="0"/>
        <v>0</v>
      </c>
      <c r="D17" s="115">
        <f t="shared" si="1"/>
        <v>0</v>
      </c>
      <c r="E17" s="115">
        <f t="shared" si="2"/>
        <v>0</v>
      </c>
      <c r="F17" s="115">
        <f t="shared" si="3"/>
        <v>0</v>
      </c>
      <c r="G17" s="114">
        <f t="shared" si="4"/>
        <v>0</v>
      </c>
      <c r="H17" s="114">
        <f t="shared" si="5"/>
        <v>0</v>
      </c>
      <c r="I17" s="108">
        <f>+VLOOKUP($B17,年度別調書!$A$4:$M$37,10,0)</f>
        <v>54853236126</v>
      </c>
      <c r="J17" s="108">
        <f>+VLOOKUP($B17,年度別調書!$A$4:$M$37,13,0)</f>
        <v>94393962571</v>
      </c>
      <c r="K17" s="114">
        <f t="shared" si="10"/>
        <v>0</v>
      </c>
      <c r="L17" s="114">
        <f t="shared" ref="L17:L47" si="11">H17-K17</f>
        <v>0</v>
      </c>
      <c r="M17" s="120">
        <f t="shared" si="9"/>
        <v>0</v>
      </c>
      <c r="N17" s="305">
        <f>+海田!N17</f>
        <v>3</v>
      </c>
      <c r="O17" s="1119"/>
      <c r="P17" s="116" t="str">
        <f t="shared" si="7"/>
        <v>平成5年度</v>
      </c>
      <c r="Q17" s="344">
        <v>0</v>
      </c>
      <c r="R17" s="344">
        <v>0</v>
      </c>
      <c r="S17" s="344">
        <v>0</v>
      </c>
      <c r="T17" s="344">
        <v>0</v>
      </c>
      <c r="U17" s="114"/>
      <c r="V17" s="121"/>
      <c r="W17" s="1119"/>
      <c r="X17" s="116" t="str">
        <f t="shared" si="8"/>
        <v>平成5年度</v>
      </c>
      <c r="Y17" s="345">
        <v>0</v>
      </c>
      <c r="Z17" s="345">
        <v>0</v>
      </c>
      <c r="AA17" s="345">
        <v>0</v>
      </c>
      <c r="AB17" s="345">
        <v>0</v>
      </c>
      <c r="AC17" s="114"/>
    </row>
    <row r="18" spans="1:29">
      <c r="A18" s="1119"/>
      <c r="B18" s="117" t="s">
        <v>430</v>
      </c>
      <c r="C18" s="115">
        <f t="shared" si="0"/>
        <v>0</v>
      </c>
      <c r="D18" s="115">
        <f t="shared" si="1"/>
        <v>0</v>
      </c>
      <c r="E18" s="115">
        <f t="shared" si="2"/>
        <v>0</v>
      </c>
      <c r="F18" s="115">
        <f t="shared" si="3"/>
        <v>0</v>
      </c>
      <c r="G18" s="114">
        <f t="shared" si="4"/>
        <v>0</v>
      </c>
      <c r="H18" s="114">
        <f t="shared" si="5"/>
        <v>0</v>
      </c>
      <c r="I18" s="108">
        <f>+VLOOKUP($B18,年度別調書!$A$4:$M$37,10,0)</f>
        <v>52459905451</v>
      </c>
      <c r="J18" s="108">
        <f>+VLOOKUP($B18,年度別調書!$A$4:$M$37,13,0)</f>
        <v>92179213936</v>
      </c>
      <c r="K18" s="114">
        <f t="shared" si="10"/>
        <v>0</v>
      </c>
      <c r="L18" s="114">
        <f t="shared" si="11"/>
        <v>0</v>
      </c>
      <c r="M18" s="120">
        <f t="shared" si="9"/>
        <v>0</v>
      </c>
      <c r="N18" s="305">
        <f>+海田!N18</f>
        <v>3</v>
      </c>
      <c r="O18" s="1119"/>
      <c r="P18" s="116" t="str">
        <f t="shared" si="7"/>
        <v>平成6年度</v>
      </c>
      <c r="Q18" s="344">
        <v>0</v>
      </c>
      <c r="R18" s="344">
        <v>0</v>
      </c>
      <c r="S18" s="344">
        <v>0</v>
      </c>
      <c r="T18" s="344">
        <v>0</v>
      </c>
      <c r="U18" s="114"/>
      <c r="V18" s="121"/>
      <c r="W18" s="1119"/>
      <c r="X18" s="116" t="str">
        <f t="shared" si="8"/>
        <v>平成6年度</v>
      </c>
      <c r="Y18" s="345">
        <v>0</v>
      </c>
      <c r="Z18" s="345">
        <v>0</v>
      </c>
      <c r="AA18" s="345">
        <v>0</v>
      </c>
      <c r="AB18" s="345">
        <v>0</v>
      </c>
      <c r="AC18" s="114"/>
    </row>
    <row r="19" spans="1:29">
      <c r="A19" s="1119"/>
      <c r="B19" s="117" t="s">
        <v>431</v>
      </c>
      <c r="C19" s="115">
        <f t="shared" si="0"/>
        <v>0</v>
      </c>
      <c r="D19" s="115">
        <f t="shared" si="1"/>
        <v>0</v>
      </c>
      <c r="E19" s="115">
        <f t="shared" si="2"/>
        <v>0</v>
      </c>
      <c r="F19" s="115">
        <f t="shared" si="3"/>
        <v>0</v>
      </c>
      <c r="G19" s="114">
        <f t="shared" si="4"/>
        <v>0</v>
      </c>
      <c r="H19" s="114">
        <f t="shared" si="5"/>
        <v>0</v>
      </c>
      <c r="I19" s="108">
        <f>+VLOOKUP($B19,年度別調書!$A$4:$M$37,10,0)</f>
        <v>58579778590</v>
      </c>
      <c r="J19" s="108">
        <f>+VLOOKUP($B19,年度別調書!$A$4:$M$37,13,0)</f>
        <v>98916143476</v>
      </c>
      <c r="K19" s="114">
        <f t="shared" si="10"/>
        <v>0</v>
      </c>
      <c r="L19" s="114">
        <f t="shared" si="11"/>
        <v>0</v>
      </c>
      <c r="M19" s="120">
        <f t="shared" si="9"/>
        <v>0</v>
      </c>
      <c r="N19" s="305">
        <f>+海田!N19</f>
        <v>3</v>
      </c>
      <c r="O19" s="1119"/>
      <c r="P19" s="116" t="str">
        <f t="shared" si="7"/>
        <v>平成7年度</v>
      </c>
      <c r="Q19" s="344">
        <v>0</v>
      </c>
      <c r="R19" s="344">
        <v>0</v>
      </c>
      <c r="S19" s="344">
        <v>0</v>
      </c>
      <c r="T19" s="344">
        <v>0</v>
      </c>
      <c r="U19" s="114"/>
      <c r="V19" s="121"/>
      <c r="W19" s="1119"/>
      <c r="X19" s="116" t="str">
        <f t="shared" si="8"/>
        <v>平成7年度</v>
      </c>
      <c r="Y19" s="345">
        <v>0</v>
      </c>
      <c r="Z19" s="345">
        <v>0</v>
      </c>
      <c r="AA19" s="345">
        <v>0</v>
      </c>
      <c r="AB19" s="345">
        <v>0</v>
      </c>
      <c r="AC19" s="114"/>
    </row>
    <row r="20" spans="1:29">
      <c r="A20" s="1119"/>
      <c r="B20" s="117" t="s">
        <v>432</v>
      </c>
      <c r="C20" s="115">
        <f t="shared" si="0"/>
        <v>0</v>
      </c>
      <c r="D20" s="115">
        <f t="shared" si="1"/>
        <v>0</v>
      </c>
      <c r="E20" s="115">
        <f t="shared" si="2"/>
        <v>0</v>
      </c>
      <c r="F20" s="115">
        <f t="shared" si="3"/>
        <v>0</v>
      </c>
      <c r="G20" s="114">
        <f t="shared" si="4"/>
        <v>0</v>
      </c>
      <c r="H20" s="114">
        <f t="shared" si="5"/>
        <v>0</v>
      </c>
      <c r="I20" s="108">
        <f>+VLOOKUP($B20,年度別調書!$A$4:$M$37,10,0)</f>
        <v>59855732510</v>
      </c>
      <c r="J20" s="108">
        <f>+VLOOKUP($B20,年度別調書!$A$4:$M$37,13,0)</f>
        <v>105086070753</v>
      </c>
      <c r="K20" s="114">
        <f t="shared" si="10"/>
        <v>0</v>
      </c>
      <c r="L20" s="114">
        <f t="shared" si="11"/>
        <v>0</v>
      </c>
      <c r="M20" s="120">
        <f t="shared" si="9"/>
        <v>0</v>
      </c>
      <c r="N20" s="305">
        <f>+海田!N20</f>
        <v>3</v>
      </c>
      <c r="O20" s="1119"/>
      <c r="P20" s="116" t="str">
        <f t="shared" si="7"/>
        <v>平成8年度</v>
      </c>
      <c r="Q20" s="344">
        <v>0</v>
      </c>
      <c r="R20" s="344">
        <v>0</v>
      </c>
      <c r="S20" s="344">
        <v>0</v>
      </c>
      <c r="T20" s="344">
        <v>0</v>
      </c>
      <c r="U20" s="114"/>
      <c r="V20" s="121"/>
      <c r="W20" s="1119"/>
      <c r="X20" s="116" t="str">
        <f t="shared" si="8"/>
        <v>平成8年度</v>
      </c>
      <c r="Y20" s="345">
        <v>0</v>
      </c>
      <c r="Z20" s="345">
        <v>0</v>
      </c>
      <c r="AA20" s="345">
        <v>0</v>
      </c>
      <c r="AB20" s="345">
        <v>0</v>
      </c>
      <c r="AC20" s="114"/>
    </row>
    <row r="21" spans="1:29">
      <c r="A21" s="1119"/>
      <c r="B21" s="117" t="s">
        <v>433</v>
      </c>
      <c r="C21" s="115">
        <f t="shared" si="0"/>
        <v>0</v>
      </c>
      <c r="D21" s="115">
        <f t="shared" si="1"/>
        <v>0</v>
      </c>
      <c r="E21" s="115">
        <f t="shared" si="2"/>
        <v>0</v>
      </c>
      <c r="F21" s="115">
        <f t="shared" si="3"/>
        <v>0</v>
      </c>
      <c r="G21" s="114">
        <f t="shared" si="4"/>
        <v>0</v>
      </c>
      <c r="H21" s="114">
        <f t="shared" si="5"/>
        <v>0</v>
      </c>
      <c r="I21" s="108">
        <f>+VLOOKUP($B21,年度別調書!$A$4:$M$37,10,0)</f>
        <v>65491097789</v>
      </c>
      <c r="J21" s="108">
        <f>+VLOOKUP($B21,年度別調書!$A$4:$M$37,13,0)</f>
        <v>112544371375</v>
      </c>
      <c r="K21" s="114">
        <f t="shared" si="10"/>
        <v>0</v>
      </c>
      <c r="L21" s="114">
        <f t="shared" si="11"/>
        <v>0</v>
      </c>
      <c r="M21" s="120">
        <f t="shared" si="9"/>
        <v>0</v>
      </c>
      <c r="N21" s="305">
        <f>+海田!N21</f>
        <v>5</v>
      </c>
      <c r="O21" s="1119"/>
      <c r="P21" s="116" t="str">
        <f t="shared" si="7"/>
        <v>平成9年度</v>
      </c>
      <c r="Q21" s="344">
        <v>0</v>
      </c>
      <c r="R21" s="344">
        <v>0</v>
      </c>
      <c r="S21" s="344">
        <v>0</v>
      </c>
      <c r="T21" s="344">
        <v>0</v>
      </c>
      <c r="U21" s="114"/>
      <c r="V21" s="121"/>
      <c r="W21" s="1119"/>
      <c r="X21" s="116" t="str">
        <f t="shared" si="8"/>
        <v>平成9年度</v>
      </c>
      <c r="Y21" s="345">
        <v>0</v>
      </c>
      <c r="Z21" s="345">
        <v>0</v>
      </c>
      <c r="AA21" s="345">
        <v>0</v>
      </c>
      <c r="AB21" s="345">
        <v>0</v>
      </c>
      <c r="AC21" s="114"/>
    </row>
    <row r="22" spans="1:29">
      <c r="A22" s="1119"/>
      <c r="B22" s="117" t="s">
        <v>434</v>
      </c>
      <c r="C22" s="115">
        <f t="shared" si="0"/>
        <v>0</v>
      </c>
      <c r="D22" s="115">
        <f t="shared" si="1"/>
        <v>0</v>
      </c>
      <c r="E22" s="115">
        <f t="shared" si="2"/>
        <v>0</v>
      </c>
      <c r="F22" s="115">
        <f t="shared" si="3"/>
        <v>0</v>
      </c>
      <c r="G22" s="114">
        <f t="shared" si="4"/>
        <v>0</v>
      </c>
      <c r="H22" s="114">
        <f t="shared" si="5"/>
        <v>0</v>
      </c>
      <c r="I22" s="108">
        <f>+VLOOKUP($B22,年度別調書!$A$4:$M$37,10,0)</f>
        <v>66701247191</v>
      </c>
      <c r="J22" s="108">
        <f>+VLOOKUP($B22,年度別調書!$A$4:$M$37,13,0)</f>
        <v>118194473653</v>
      </c>
      <c r="K22" s="114">
        <f t="shared" si="10"/>
        <v>0</v>
      </c>
      <c r="L22" s="114">
        <f t="shared" si="11"/>
        <v>0</v>
      </c>
      <c r="M22" s="120">
        <f t="shared" si="9"/>
        <v>0</v>
      </c>
      <c r="N22" s="305">
        <f>+海田!N22</f>
        <v>5</v>
      </c>
      <c r="O22" s="1119"/>
      <c r="P22" s="116" t="str">
        <f t="shared" si="7"/>
        <v>平成10年度</v>
      </c>
      <c r="Q22" s="344">
        <v>0</v>
      </c>
      <c r="R22" s="344">
        <v>0</v>
      </c>
      <c r="S22" s="344">
        <v>0</v>
      </c>
      <c r="T22" s="344">
        <v>0</v>
      </c>
      <c r="U22" s="114"/>
      <c r="V22" s="121"/>
      <c r="W22" s="1119"/>
      <c r="X22" s="116" t="str">
        <f t="shared" si="8"/>
        <v>平成10年度</v>
      </c>
      <c r="Y22" s="345">
        <v>0</v>
      </c>
      <c r="Z22" s="345">
        <v>0</v>
      </c>
      <c r="AA22" s="345">
        <v>0</v>
      </c>
      <c r="AB22" s="345">
        <v>0</v>
      </c>
      <c r="AC22" s="114"/>
    </row>
    <row r="23" spans="1:29">
      <c r="A23" s="1119"/>
      <c r="B23" s="117" t="s">
        <v>435</v>
      </c>
      <c r="C23" s="115">
        <f t="shared" si="0"/>
        <v>0</v>
      </c>
      <c r="D23" s="115">
        <f t="shared" si="1"/>
        <v>0</v>
      </c>
      <c r="E23" s="115">
        <f t="shared" si="2"/>
        <v>0</v>
      </c>
      <c r="F23" s="115">
        <f t="shared" si="3"/>
        <v>0</v>
      </c>
      <c r="G23" s="114">
        <f t="shared" si="4"/>
        <v>0</v>
      </c>
      <c r="H23" s="114">
        <f t="shared" si="5"/>
        <v>0</v>
      </c>
      <c r="I23" s="108">
        <f>+VLOOKUP($B23,年度別調書!$A$4:$M$37,10,0)</f>
        <v>58274420372</v>
      </c>
      <c r="J23" s="108">
        <f>+VLOOKUP($B23,年度別調書!$A$4:$M$37,13,0)</f>
        <v>110790062218</v>
      </c>
      <c r="K23" s="114">
        <f t="shared" si="10"/>
        <v>0</v>
      </c>
      <c r="L23" s="114">
        <f t="shared" si="11"/>
        <v>0</v>
      </c>
      <c r="M23" s="120">
        <f t="shared" si="9"/>
        <v>0</v>
      </c>
      <c r="N23" s="305">
        <f>+海田!N23</f>
        <v>5</v>
      </c>
      <c r="O23" s="1119"/>
      <c r="P23" s="116" t="str">
        <f t="shared" si="7"/>
        <v>平成11年度</v>
      </c>
      <c r="Q23" s="344">
        <v>0</v>
      </c>
      <c r="R23" s="344">
        <v>0</v>
      </c>
      <c r="S23" s="344">
        <v>0</v>
      </c>
      <c r="T23" s="344">
        <v>0</v>
      </c>
      <c r="U23" s="114"/>
      <c r="V23" s="121"/>
      <c r="W23" s="1119"/>
      <c r="X23" s="116" t="str">
        <f t="shared" si="8"/>
        <v>平成11年度</v>
      </c>
      <c r="Y23" s="345">
        <v>0</v>
      </c>
      <c r="Z23" s="345">
        <v>0</v>
      </c>
      <c r="AA23" s="345">
        <v>0</v>
      </c>
      <c r="AB23" s="345">
        <v>0</v>
      </c>
      <c r="AC23" s="114"/>
    </row>
    <row r="24" spans="1:29">
      <c r="A24" s="1119"/>
      <c r="B24" s="117" t="s">
        <v>436</v>
      </c>
      <c r="C24" s="115">
        <f t="shared" si="0"/>
        <v>0</v>
      </c>
      <c r="D24" s="115">
        <f t="shared" si="1"/>
        <v>0</v>
      </c>
      <c r="E24" s="115">
        <f t="shared" si="2"/>
        <v>0</v>
      </c>
      <c r="F24" s="115">
        <f t="shared" si="3"/>
        <v>0</v>
      </c>
      <c r="G24" s="114">
        <f t="shared" si="4"/>
        <v>0</v>
      </c>
      <c r="H24" s="114">
        <f t="shared" si="5"/>
        <v>0</v>
      </c>
      <c r="I24" s="108">
        <f>+VLOOKUP($B24,年度別調書!$A$4:$M$37,10,0)</f>
        <v>48353931386</v>
      </c>
      <c r="J24" s="108">
        <f>+VLOOKUP($B24,年度別調書!$A$4:$M$37,13,0)</f>
        <v>104173607652</v>
      </c>
      <c r="K24" s="114">
        <f t="shared" si="10"/>
        <v>0</v>
      </c>
      <c r="L24" s="114">
        <f t="shared" si="11"/>
        <v>0</v>
      </c>
      <c r="M24" s="120">
        <f t="shared" si="9"/>
        <v>0</v>
      </c>
      <c r="N24" s="305">
        <f>+海田!N24</f>
        <v>5</v>
      </c>
      <c r="O24" s="1119"/>
      <c r="P24" s="116" t="str">
        <f t="shared" si="7"/>
        <v>平成12年度</v>
      </c>
      <c r="Q24" s="344">
        <v>0</v>
      </c>
      <c r="R24" s="344">
        <v>0</v>
      </c>
      <c r="S24" s="344">
        <v>0</v>
      </c>
      <c r="T24" s="344">
        <v>0</v>
      </c>
      <c r="U24" s="114"/>
      <c r="V24" s="121"/>
      <c r="W24" s="1119"/>
      <c r="X24" s="116" t="str">
        <f t="shared" si="8"/>
        <v>平成12年度</v>
      </c>
      <c r="Y24" s="345">
        <v>0</v>
      </c>
      <c r="Z24" s="345">
        <v>0</v>
      </c>
      <c r="AA24" s="345">
        <v>0</v>
      </c>
      <c r="AB24" s="345">
        <v>0</v>
      </c>
      <c r="AC24" s="114"/>
    </row>
    <row r="25" spans="1:29">
      <c r="A25" s="1119"/>
      <c r="B25" s="117" t="s">
        <v>437</v>
      </c>
      <c r="C25" s="115">
        <f t="shared" si="0"/>
        <v>0</v>
      </c>
      <c r="D25" s="115">
        <f t="shared" si="1"/>
        <v>0</v>
      </c>
      <c r="E25" s="115">
        <f t="shared" si="2"/>
        <v>0</v>
      </c>
      <c r="F25" s="115">
        <f t="shared" si="3"/>
        <v>0</v>
      </c>
      <c r="G25" s="114">
        <f t="shared" si="4"/>
        <v>0</v>
      </c>
      <c r="H25" s="114">
        <f t="shared" si="5"/>
        <v>0</v>
      </c>
      <c r="I25" s="108">
        <f>+VLOOKUP($B25,年度別調書!$A$4:$M$37,10,0)</f>
        <v>42742028940</v>
      </c>
      <c r="J25" s="108">
        <f>+VLOOKUP($B25,年度別調書!$A$4:$M$37,13,0)</f>
        <v>101075943440</v>
      </c>
      <c r="K25" s="114">
        <f t="shared" si="10"/>
        <v>0</v>
      </c>
      <c r="L25" s="114">
        <f t="shared" si="11"/>
        <v>0</v>
      </c>
      <c r="M25" s="120">
        <f t="shared" si="9"/>
        <v>0</v>
      </c>
      <c r="N25" s="305">
        <f>+海田!N25</f>
        <v>5</v>
      </c>
      <c r="O25" s="1119"/>
      <c r="P25" s="116" t="str">
        <f t="shared" si="7"/>
        <v>平成13年度</v>
      </c>
      <c r="Q25" s="344">
        <v>0</v>
      </c>
      <c r="R25" s="344">
        <v>0</v>
      </c>
      <c r="S25" s="344">
        <v>0</v>
      </c>
      <c r="T25" s="344">
        <v>0</v>
      </c>
      <c r="U25" s="114"/>
      <c r="V25" s="121"/>
      <c r="W25" s="1119"/>
      <c r="X25" s="116" t="str">
        <f t="shared" si="8"/>
        <v>平成13年度</v>
      </c>
      <c r="Y25" s="345">
        <v>0</v>
      </c>
      <c r="Z25" s="345">
        <v>0</v>
      </c>
      <c r="AA25" s="345">
        <v>0</v>
      </c>
      <c r="AB25" s="345">
        <v>0</v>
      </c>
      <c r="AC25" s="114"/>
    </row>
    <row r="26" spans="1:29">
      <c r="A26" s="1119"/>
      <c r="B26" s="117" t="s">
        <v>438</v>
      </c>
      <c r="C26" s="115">
        <f t="shared" si="0"/>
        <v>0</v>
      </c>
      <c r="D26" s="115">
        <f t="shared" si="1"/>
        <v>0</v>
      </c>
      <c r="E26" s="115">
        <f t="shared" si="2"/>
        <v>0</v>
      </c>
      <c r="F26" s="115">
        <f t="shared" si="3"/>
        <v>0</v>
      </c>
      <c r="G26" s="114">
        <f t="shared" si="4"/>
        <v>0</v>
      </c>
      <c r="H26" s="114">
        <f t="shared" si="5"/>
        <v>0</v>
      </c>
      <c r="I26" s="108">
        <f>+VLOOKUP($B26,年度別調書!$A$4:$M$37,10,0)</f>
        <v>38694694218</v>
      </c>
      <c r="J26" s="108">
        <f>+VLOOKUP($B26,年度別調書!$A$4:$M$37,13,0)</f>
        <v>98151426478</v>
      </c>
      <c r="K26" s="114">
        <f t="shared" si="10"/>
        <v>0</v>
      </c>
      <c r="L26" s="114">
        <f t="shared" si="11"/>
        <v>0</v>
      </c>
      <c r="M26" s="120">
        <f t="shared" si="9"/>
        <v>0</v>
      </c>
      <c r="N26" s="305">
        <f>+海田!N26</f>
        <v>5</v>
      </c>
      <c r="O26" s="1119"/>
      <c r="P26" s="116" t="str">
        <f t="shared" si="7"/>
        <v>平成14年度</v>
      </c>
      <c r="Q26" s="344">
        <v>0</v>
      </c>
      <c r="R26" s="344">
        <v>0</v>
      </c>
      <c r="S26" s="344">
        <v>0</v>
      </c>
      <c r="T26" s="344">
        <v>0</v>
      </c>
      <c r="U26" s="114"/>
      <c r="V26" s="121"/>
      <c r="W26" s="1119"/>
      <c r="X26" s="116" t="str">
        <f t="shared" si="8"/>
        <v>平成14年度</v>
      </c>
      <c r="Y26" s="345">
        <v>0</v>
      </c>
      <c r="Z26" s="345">
        <v>0</v>
      </c>
      <c r="AA26" s="345">
        <v>0</v>
      </c>
      <c r="AB26" s="345">
        <v>0</v>
      </c>
      <c r="AC26" s="114"/>
    </row>
    <row r="27" spans="1:29">
      <c r="A27" s="1119"/>
      <c r="B27" s="117" t="s">
        <v>439</v>
      </c>
      <c r="C27" s="115">
        <f t="shared" si="0"/>
        <v>0</v>
      </c>
      <c r="D27" s="115">
        <f t="shared" si="1"/>
        <v>0</v>
      </c>
      <c r="E27" s="115">
        <f t="shared" si="2"/>
        <v>0</v>
      </c>
      <c r="F27" s="115">
        <f t="shared" si="3"/>
        <v>0</v>
      </c>
      <c r="G27" s="114">
        <f t="shared" si="4"/>
        <v>0</v>
      </c>
      <c r="H27" s="114">
        <f t="shared" si="5"/>
        <v>0</v>
      </c>
      <c r="I27" s="108">
        <f>+VLOOKUP($B27,年度別調書!$A$4:$M$37,10,0)</f>
        <v>37621895854</v>
      </c>
      <c r="J27" s="108">
        <f>+VLOOKUP($B27,年度別調書!$A$4:$M$37,13,0)</f>
        <v>100825076572</v>
      </c>
      <c r="K27" s="114">
        <f t="shared" si="10"/>
        <v>0</v>
      </c>
      <c r="L27" s="114">
        <f t="shared" si="11"/>
        <v>0</v>
      </c>
      <c r="M27" s="120">
        <f t="shared" si="9"/>
        <v>0</v>
      </c>
      <c r="N27" s="305">
        <f>+海田!N27</f>
        <v>5</v>
      </c>
      <c r="O27" s="1119"/>
      <c r="P27" s="116" t="str">
        <f t="shared" si="7"/>
        <v>平成15年度</v>
      </c>
      <c r="Q27" s="344">
        <v>0</v>
      </c>
      <c r="R27" s="344">
        <v>0</v>
      </c>
      <c r="S27" s="344">
        <v>0</v>
      </c>
      <c r="T27" s="344">
        <v>0</v>
      </c>
      <c r="U27" s="114"/>
      <c r="V27" s="121"/>
      <c r="W27" s="1119"/>
      <c r="X27" s="116" t="str">
        <f t="shared" si="8"/>
        <v>平成15年度</v>
      </c>
      <c r="Y27" s="345">
        <v>0</v>
      </c>
      <c r="Z27" s="345">
        <v>0</v>
      </c>
      <c r="AA27" s="345">
        <v>0</v>
      </c>
      <c r="AB27" s="345">
        <v>0</v>
      </c>
      <c r="AC27" s="114"/>
    </row>
    <row r="28" spans="1:29">
      <c r="A28" s="1119"/>
      <c r="B28" s="117" t="s">
        <v>440</v>
      </c>
      <c r="C28" s="115">
        <f t="shared" si="0"/>
        <v>0</v>
      </c>
      <c r="D28" s="115">
        <f t="shared" si="1"/>
        <v>0</v>
      </c>
      <c r="E28" s="115">
        <f t="shared" si="2"/>
        <v>0</v>
      </c>
      <c r="F28" s="115">
        <f t="shared" si="3"/>
        <v>0</v>
      </c>
      <c r="G28" s="114">
        <f t="shared" si="4"/>
        <v>0</v>
      </c>
      <c r="H28" s="114">
        <f t="shared" si="5"/>
        <v>0</v>
      </c>
      <c r="I28" s="108">
        <f>+VLOOKUP($B28,年度別調書!$A$4:$M$37,10,0)</f>
        <v>29085465357</v>
      </c>
      <c r="J28" s="108">
        <f>+VLOOKUP($B28,年度別調書!$A$4:$M$37,13,0)</f>
        <v>101305165124</v>
      </c>
      <c r="K28" s="114">
        <f t="shared" si="10"/>
        <v>0</v>
      </c>
      <c r="L28" s="114">
        <f t="shared" si="11"/>
        <v>0</v>
      </c>
      <c r="M28" s="120">
        <f t="shared" si="9"/>
        <v>0</v>
      </c>
      <c r="N28" s="305">
        <f>+海田!N28</f>
        <v>5</v>
      </c>
      <c r="O28" s="1119"/>
      <c r="P28" s="116" t="str">
        <f t="shared" si="7"/>
        <v>平成16年度</v>
      </c>
      <c r="Q28" s="344">
        <v>0</v>
      </c>
      <c r="R28" s="344">
        <v>0</v>
      </c>
      <c r="S28" s="344">
        <v>0</v>
      </c>
      <c r="T28" s="344">
        <v>0</v>
      </c>
      <c r="U28" s="114"/>
      <c r="V28" s="121"/>
      <c r="W28" s="1119"/>
      <c r="X28" s="116" t="str">
        <f t="shared" si="8"/>
        <v>平成16年度</v>
      </c>
      <c r="Y28" s="345">
        <v>0</v>
      </c>
      <c r="Z28" s="345">
        <v>0</v>
      </c>
      <c r="AA28" s="345">
        <v>0</v>
      </c>
      <c r="AB28" s="345">
        <v>0</v>
      </c>
      <c r="AC28" s="114"/>
    </row>
    <row r="29" spans="1:29">
      <c r="A29" s="1119"/>
      <c r="B29" s="117" t="s">
        <v>441</v>
      </c>
      <c r="C29" s="115">
        <f t="shared" si="0"/>
        <v>0</v>
      </c>
      <c r="D29" s="115">
        <f t="shared" si="1"/>
        <v>0</v>
      </c>
      <c r="E29" s="115">
        <f t="shared" si="2"/>
        <v>0</v>
      </c>
      <c r="F29" s="115">
        <f t="shared" si="3"/>
        <v>0</v>
      </c>
      <c r="G29" s="114">
        <f t="shared" si="4"/>
        <v>0</v>
      </c>
      <c r="H29" s="114">
        <f t="shared" si="5"/>
        <v>0</v>
      </c>
      <c r="I29" s="108">
        <f>+VLOOKUP($B29,年度別調書!$A$4:$M$37,10,0)</f>
        <v>25082997134</v>
      </c>
      <c r="J29" s="108">
        <f>+VLOOKUP($B29,年度別調書!$A$4:$M$37,13,0)</f>
        <v>96528725584</v>
      </c>
      <c r="K29" s="114">
        <f t="shared" si="10"/>
        <v>0</v>
      </c>
      <c r="L29" s="114">
        <f t="shared" si="11"/>
        <v>0</v>
      </c>
      <c r="M29" s="120">
        <f t="shared" si="9"/>
        <v>0</v>
      </c>
      <c r="N29" s="305">
        <f>+海田!N29</f>
        <v>5</v>
      </c>
      <c r="O29" s="1119"/>
      <c r="P29" s="116" t="str">
        <f t="shared" si="7"/>
        <v>平成17年度</v>
      </c>
      <c r="Q29" s="344">
        <v>0</v>
      </c>
      <c r="R29" s="344">
        <v>0</v>
      </c>
      <c r="S29" s="344">
        <v>0</v>
      </c>
      <c r="T29" s="344">
        <v>0</v>
      </c>
      <c r="U29" s="114"/>
      <c r="V29" s="121"/>
      <c r="W29" s="1119"/>
      <c r="X29" s="116" t="str">
        <f t="shared" si="8"/>
        <v>平成17年度</v>
      </c>
      <c r="Y29" s="345">
        <v>0</v>
      </c>
      <c r="Z29" s="345">
        <v>0</v>
      </c>
      <c r="AA29" s="345">
        <v>0</v>
      </c>
      <c r="AB29" s="345">
        <v>0</v>
      </c>
      <c r="AC29" s="114"/>
    </row>
    <row r="30" spans="1:29">
      <c r="A30" s="1119"/>
      <c r="B30" s="117" t="s">
        <v>442</v>
      </c>
      <c r="C30" s="115">
        <f t="shared" si="0"/>
        <v>0</v>
      </c>
      <c r="D30" s="115">
        <f t="shared" si="1"/>
        <v>0</v>
      </c>
      <c r="E30" s="115">
        <f t="shared" si="2"/>
        <v>0</v>
      </c>
      <c r="F30" s="115">
        <f t="shared" si="3"/>
        <v>0</v>
      </c>
      <c r="G30" s="114">
        <f t="shared" si="4"/>
        <v>0</v>
      </c>
      <c r="H30" s="114">
        <f t="shared" si="5"/>
        <v>0</v>
      </c>
      <c r="I30" s="108">
        <f>+VLOOKUP($B30,年度別調書!$A$4:$M$37,10,0)</f>
        <v>21657707574</v>
      </c>
      <c r="J30" s="108">
        <f>+VLOOKUP($B30,年度別調書!$A$4:$M$37,13,0)</f>
        <v>84768578867</v>
      </c>
      <c r="K30" s="114">
        <f t="shared" si="10"/>
        <v>0</v>
      </c>
      <c r="L30" s="114">
        <f t="shared" si="11"/>
        <v>0</v>
      </c>
      <c r="M30" s="120">
        <f t="shared" si="9"/>
        <v>0</v>
      </c>
      <c r="N30" s="305">
        <f>+海田!N30</f>
        <v>5</v>
      </c>
      <c r="O30" s="1119"/>
      <c r="P30" s="116" t="str">
        <f t="shared" si="7"/>
        <v>平成18年度</v>
      </c>
      <c r="Q30" s="344">
        <v>0</v>
      </c>
      <c r="R30" s="344">
        <v>0</v>
      </c>
      <c r="S30" s="344">
        <v>0</v>
      </c>
      <c r="T30" s="344">
        <v>0</v>
      </c>
      <c r="U30" s="114"/>
      <c r="V30" s="121"/>
      <c r="W30" s="1119"/>
      <c r="X30" s="116" t="str">
        <f t="shared" si="8"/>
        <v>平成18年度</v>
      </c>
      <c r="Y30" s="345">
        <v>0</v>
      </c>
      <c r="Z30" s="345">
        <v>0</v>
      </c>
      <c r="AA30" s="345">
        <v>0</v>
      </c>
      <c r="AB30" s="345">
        <v>0</v>
      </c>
      <c r="AC30" s="114"/>
    </row>
    <row r="31" spans="1:29">
      <c r="A31" s="1119"/>
      <c r="B31" s="117" t="s">
        <v>443</v>
      </c>
      <c r="C31" s="115">
        <f t="shared" si="0"/>
        <v>0</v>
      </c>
      <c r="D31" s="115">
        <f t="shared" si="1"/>
        <v>0</v>
      </c>
      <c r="E31" s="115">
        <f t="shared" si="2"/>
        <v>0</v>
      </c>
      <c r="F31" s="115">
        <f t="shared" si="3"/>
        <v>0</v>
      </c>
      <c r="G31" s="114">
        <f t="shared" si="4"/>
        <v>0</v>
      </c>
      <c r="H31" s="114">
        <f t="shared" si="5"/>
        <v>0</v>
      </c>
      <c r="I31" s="108">
        <f>+VLOOKUP($B31,年度別調書!$A$4:$M$37,10,0)</f>
        <v>25422571996</v>
      </c>
      <c r="J31" s="108">
        <f>+VLOOKUP($B31,年度別調書!$A$4:$M$37,13,0)</f>
        <v>105576318079</v>
      </c>
      <c r="K31" s="114">
        <f t="shared" si="10"/>
        <v>0</v>
      </c>
      <c r="L31" s="114">
        <f t="shared" si="11"/>
        <v>0</v>
      </c>
      <c r="M31" s="120">
        <f t="shared" si="9"/>
        <v>0</v>
      </c>
      <c r="N31" s="305">
        <f>+海田!N31</f>
        <v>5</v>
      </c>
      <c r="O31" s="1119"/>
      <c r="P31" s="116" t="str">
        <f t="shared" si="7"/>
        <v>平成19年度</v>
      </c>
      <c r="Q31" s="344">
        <v>0</v>
      </c>
      <c r="R31" s="344">
        <v>0</v>
      </c>
      <c r="S31" s="344">
        <v>0</v>
      </c>
      <c r="T31" s="344">
        <v>0</v>
      </c>
      <c r="U31" s="114"/>
      <c r="V31" s="121"/>
      <c r="W31" s="1119"/>
      <c r="X31" s="116" t="str">
        <f t="shared" si="8"/>
        <v>平成19年度</v>
      </c>
      <c r="Y31" s="345">
        <v>0</v>
      </c>
      <c r="Z31" s="345">
        <v>0</v>
      </c>
      <c r="AA31" s="345">
        <v>0</v>
      </c>
      <c r="AB31" s="345">
        <v>0</v>
      </c>
      <c r="AC31" s="114"/>
    </row>
    <row r="32" spans="1:29">
      <c r="A32" s="1119"/>
      <c r="B32" s="117" t="s">
        <v>444</v>
      </c>
      <c r="C32" s="115">
        <f t="shared" si="0"/>
        <v>66836</v>
      </c>
      <c r="D32" s="115">
        <f t="shared" si="1"/>
        <v>25592</v>
      </c>
      <c r="E32" s="115">
        <f t="shared" si="2"/>
        <v>92428</v>
      </c>
      <c r="F32" s="115">
        <f t="shared" si="3"/>
        <v>10372</v>
      </c>
      <c r="G32" s="375">
        <f>ROUND(C32/C$48*G$48,0)</f>
        <v>7501</v>
      </c>
      <c r="H32" s="114">
        <f t="shared" si="5"/>
        <v>59335</v>
      </c>
      <c r="I32" s="108">
        <f>+VLOOKUP($B32,年度別調書!$A$4:$M$37,10,0)</f>
        <v>24693835462</v>
      </c>
      <c r="J32" s="108">
        <f>+VLOOKUP($B32,年度別調書!$A$4:$M$37,13,0)</f>
        <v>110401232854</v>
      </c>
      <c r="K32" s="114">
        <f t="shared" si="10"/>
        <v>13272</v>
      </c>
      <c r="L32" s="114">
        <f t="shared" si="11"/>
        <v>46063</v>
      </c>
      <c r="M32" s="120">
        <f t="shared" si="9"/>
        <v>-0.27000000000043656</v>
      </c>
      <c r="N32" s="305">
        <f>+海田!N32</f>
        <v>5</v>
      </c>
      <c r="O32" s="1119"/>
      <c r="P32" s="116" t="str">
        <f t="shared" si="7"/>
        <v>平成20年度</v>
      </c>
      <c r="Q32" s="344">
        <v>33245</v>
      </c>
      <c r="R32" s="344">
        <v>12969</v>
      </c>
      <c r="S32" s="344">
        <v>46214</v>
      </c>
      <c r="T32" s="344">
        <v>5186</v>
      </c>
      <c r="U32" s="114"/>
      <c r="V32" s="121"/>
      <c r="W32" s="1119"/>
      <c r="X32" s="116" t="str">
        <f t="shared" si="8"/>
        <v>平成20年度</v>
      </c>
      <c r="Y32" s="345">
        <v>33591</v>
      </c>
      <c r="Z32" s="345">
        <v>12623</v>
      </c>
      <c r="AA32" s="345">
        <v>46214</v>
      </c>
      <c r="AB32" s="345">
        <v>5186</v>
      </c>
      <c r="AC32" s="114"/>
    </row>
    <row r="33" spans="1:29">
      <c r="A33" s="1119"/>
      <c r="B33" s="117" t="s">
        <v>445</v>
      </c>
      <c r="C33" s="115">
        <f t="shared" si="0"/>
        <v>33861</v>
      </c>
      <c r="D33" s="115">
        <f t="shared" si="1"/>
        <v>13725</v>
      </c>
      <c r="E33" s="115">
        <f t="shared" si="2"/>
        <v>47586</v>
      </c>
      <c r="F33" s="115">
        <f t="shared" si="3"/>
        <v>5340</v>
      </c>
      <c r="G33" s="114">
        <f t="shared" si="4"/>
        <v>3800</v>
      </c>
      <c r="H33" s="114">
        <f t="shared" si="5"/>
        <v>30061</v>
      </c>
      <c r="I33" s="108">
        <f>+VLOOKUP($B33,年度別調書!$A$4:$M$37,10,0)</f>
        <v>22324372880</v>
      </c>
      <c r="J33" s="108">
        <f>+VLOOKUP($B33,年度別調書!$A$4:$M$37,13,0)</f>
        <v>88097108350</v>
      </c>
      <c r="K33" s="114">
        <f t="shared" si="10"/>
        <v>7618</v>
      </c>
      <c r="L33" s="114">
        <f t="shared" si="11"/>
        <v>22443</v>
      </c>
      <c r="M33" s="120">
        <f t="shared" si="9"/>
        <v>8.1000000000130967E-2</v>
      </c>
      <c r="N33" s="305">
        <f>+海田!N33</f>
        <v>5</v>
      </c>
      <c r="O33" s="1119"/>
      <c r="P33" s="116" t="str">
        <f t="shared" si="7"/>
        <v>平成21年度</v>
      </c>
      <c r="Q33" s="344">
        <v>16848</v>
      </c>
      <c r="R33" s="344">
        <v>6945</v>
      </c>
      <c r="S33" s="344">
        <v>23793</v>
      </c>
      <c r="T33" s="344">
        <v>2670</v>
      </c>
      <c r="U33" s="114"/>
      <c r="V33" s="121"/>
      <c r="W33" s="1119"/>
      <c r="X33" s="116" t="str">
        <f t="shared" si="8"/>
        <v>平成21年度</v>
      </c>
      <c r="Y33" s="345">
        <v>17013</v>
      </c>
      <c r="Z33" s="345">
        <v>6780</v>
      </c>
      <c r="AA33" s="345">
        <v>23793</v>
      </c>
      <c r="AB33" s="345">
        <v>2670</v>
      </c>
      <c r="AC33" s="114"/>
    </row>
    <row r="34" spans="1:29">
      <c r="A34" s="1119"/>
      <c r="B34" s="117" t="s">
        <v>446</v>
      </c>
      <c r="C34" s="115">
        <f t="shared" si="0"/>
        <v>675740</v>
      </c>
      <c r="D34" s="115">
        <f t="shared" si="1"/>
        <v>257120</v>
      </c>
      <c r="E34" s="115">
        <f t="shared" si="2"/>
        <v>932860</v>
      </c>
      <c r="F34" s="115">
        <f t="shared" si="3"/>
        <v>104692</v>
      </c>
      <c r="G34" s="375">
        <f>ROUND(C34/C$48*G$48,0)</f>
        <v>75836</v>
      </c>
      <c r="H34" s="114">
        <f t="shared" si="5"/>
        <v>599904</v>
      </c>
      <c r="I34" s="108">
        <f>+VLOOKUP($B34,年度別調書!$A$4:$M$37,10,0)</f>
        <v>26326163485</v>
      </c>
      <c r="J34" s="108">
        <f>+VLOOKUP($B34,年度別調書!$A$4:$M$37,13,0)</f>
        <v>102723057143</v>
      </c>
      <c r="K34" s="114">
        <f t="shared" si="10"/>
        <v>153745</v>
      </c>
      <c r="L34" s="114">
        <f t="shared" si="11"/>
        <v>446159</v>
      </c>
      <c r="M34" s="120">
        <f t="shared" si="9"/>
        <v>-0.47599999999511056</v>
      </c>
      <c r="N34" s="305">
        <f>+海田!N34</f>
        <v>5</v>
      </c>
      <c r="O34" s="1119"/>
      <c r="P34" s="116" t="str">
        <f t="shared" si="7"/>
        <v>平成22年度</v>
      </c>
      <c r="Q34" s="344">
        <v>336394</v>
      </c>
      <c r="R34" s="344">
        <v>130036</v>
      </c>
      <c r="S34" s="344">
        <v>466430</v>
      </c>
      <c r="T34" s="344">
        <v>52346</v>
      </c>
      <c r="U34" s="114"/>
      <c r="V34" s="121"/>
      <c r="W34" s="1119"/>
      <c r="X34" s="116" t="str">
        <f t="shared" si="8"/>
        <v>平成22年度</v>
      </c>
      <c r="Y34" s="345">
        <v>339346</v>
      </c>
      <c r="Z34" s="345">
        <v>127084</v>
      </c>
      <c r="AA34" s="345">
        <v>466430</v>
      </c>
      <c r="AB34" s="345">
        <v>52346</v>
      </c>
      <c r="AC34" s="114"/>
    </row>
    <row r="35" spans="1:29">
      <c r="A35" s="1119"/>
      <c r="B35" s="117" t="s">
        <v>447</v>
      </c>
      <c r="C35" s="115">
        <f t="shared" si="0"/>
        <v>419551</v>
      </c>
      <c r="D35" s="115">
        <f t="shared" si="1"/>
        <v>147551</v>
      </c>
      <c r="E35" s="115">
        <f t="shared" si="2"/>
        <v>567102</v>
      </c>
      <c r="F35" s="115">
        <f t="shared" si="3"/>
        <v>63644</v>
      </c>
      <c r="G35" s="114">
        <f t="shared" si="4"/>
        <v>47084</v>
      </c>
      <c r="H35" s="114">
        <f t="shared" si="5"/>
        <v>372467</v>
      </c>
      <c r="I35" s="108">
        <f>+VLOOKUP($B35,年度別調書!$A$4:$M$37,10,0)</f>
        <v>26883440277</v>
      </c>
      <c r="J35" s="108">
        <f>+VLOOKUP($B35,年度別調書!$A$4:$M$37,13,0)</f>
        <v>99758377045</v>
      </c>
      <c r="K35" s="114">
        <f t="shared" si="10"/>
        <v>100374</v>
      </c>
      <c r="L35" s="114">
        <f t="shared" si="11"/>
        <v>272093</v>
      </c>
      <c r="M35" s="120">
        <f t="shared" si="9"/>
        <v>0.48500000000058208</v>
      </c>
      <c r="N35" s="305">
        <f>+海田!N35</f>
        <v>5</v>
      </c>
      <c r="O35" s="1119"/>
      <c r="P35" s="116" t="str">
        <f t="shared" si="7"/>
        <v>平成23年度</v>
      </c>
      <c r="Q35" s="344">
        <v>208963</v>
      </c>
      <c r="R35" s="344">
        <v>74588</v>
      </c>
      <c r="S35" s="344">
        <v>283551</v>
      </c>
      <c r="T35" s="344">
        <v>31822</v>
      </c>
      <c r="U35" s="114"/>
      <c r="V35" s="121"/>
      <c r="W35" s="1119"/>
      <c r="X35" s="116" t="str">
        <f t="shared" si="8"/>
        <v>平成23年度</v>
      </c>
      <c r="Y35" s="345">
        <v>210588</v>
      </c>
      <c r="Z35" s="345">
        <v>72963</v>
      </c>
      <c r="AA35" s="345">
        <v>283551</v>
      </c>
      <c r="AB35" s="345">
        <v>31822</v>
      </c>
      <c r="AC35" s="114"/>
    </row>
    <row r="36" spans="1:29">
      <c r="A36" s="1119"/>
      <c r="B36" s="117" t="s">
        <v>448</v>
      </c>
      <c r="C36" s="115">
        <f t="shared" si="0"/>
        <v>67275</v>
      </c>
      <c r="D36" s="115">
        <f t="shared" si="1"/>
        <v>22663</v>
      </c>
      <c r="E36" s="115">
        <f t="shared" si="2"/>
        <v>89938</v>
      </c>
      <c r="F36" s="115">
        <f t="shared" si="3"/>
        <v>10094</v>
      </c>
      <c r="G36" s="114">
        <f t="shared" si="4"/>
        <v>7550</v>
      </c>
      <c r="H36" s="114">
        <f t="shared" si="5"/>
        <v>59725</v>
      </c>
      <c r="I36" s="108">
        <f>+VLOOKUP($B36,年度別調書!$A$4:$M$37,10,0)</f>
        <v>20821234544</v>
      </c>
      <c r="J36" s="108">
        <f>+VLOOKUP($B36,年度別調書!$A$4:$M$37,13,0)</f>
        <v>101115908424</v>
      </c>
      <c r="K36" s="114">
        <f t="shared" si="10"/>
        <v>12298</v>
      </c>
      <c r="L36" s="114">
        <f t="shared" si="11"/>
        <v>47427</v>
      </c>
      <c r="M36" s="120">
        <f t="shared" si="9"/>
        <v>-2.9999999997016857E-3</v>
      </c>
      <c r="N36" s="305">
        <f>+海田!N36</f>
        <v>5</v>
      </c>
      <c r="O36" s="1119"/>
      <c r="P36" s="116" t="str">
        <f t="shared" si="7"/>
        <v>平成24年度</v>
      </c>
      <c r="Q36" s="344">
        <v>33519</v>
      </c>
      <c r="R36" s="344">
        <v>11450</v>
      </c>
      <c r="S36" s="344">
        <v>44969</v>
      </c>
      <c r="T36" s="344">
        <v>5047</v>
      </c>
      <c r="U36" s="114"/>
      <c r="V36" s="121"/>
      <c r="W36" s="1119"/>
      <c r="X36" s="116" t="str">
        <f t="shared" si="8"/>
        <v>平成24年度</v>
      </c>
      <c r="Y36" s="345">
        <v>33756</v>
      </c>
      <c r="Z36" s="345">
        <v>11213</v>
      </c>
      <c r="AA36" s="345">
        <v>44969</v>
      </c>
      <c r="AB36" s="345">
        <v>5047</v>
      </c>
      <c r="AC36" s="114"/>
    </row>
    <row r="37" spans="1:29">
      <c r="A37" s="1119"/>
      <c r="B37" s="117" t="s">
        <v>449</v>
      </c>
      <c r="C37" s="115">
        <f t="shared" si="0"/>
        <v>159407</v>
      </c>
      <c r="D37" s="115">
        <f t="shared" si="1"/>
        <v>48621</v>
      </c>
      <c r="E37" s="115">
        <f t="shared" si="2"/>
        <v>208028</v>
      </c>
      <c r="F37" s="115">
        <f t="shared" si="3"/>
        <v>23346</v>
      </c>
      <c r="G37" s="114">
        <f t="shared" si="4"/>
        <v>17890</v>
      </c>
      <c r="H37" s="114">
        <f t="shared" si="5"/>
        <v>141517</v>
      </c>
      <c r="I37" s="108">
        <f>+VLOOKUP($B37,年度別調書!$A$4:$M$37,10,0)</f>
        <v>22169870622</v>
      </c>
      <c r="J37" s="108">
        <f>+VLOOKUP($B37,年度別調書!$A$4:$M$37,13,0)</f>
        <v>87897420767</v>
      </c>
      <c r="K37" s="114">
        <f t="shared" si="10"/>
        <v>35694</v>
      </c>
      <c r="L37" s="114">
        <f t="shared" si="11"/>
        <v>105823</v>
      </c>
      <c r="M37" s="120">
        <f t="shared" si="9"/>
        <v>-0.4069999999992433</v>
      </c>
      <c r="N37" s="305">
        <f>+海田!N37</f>
        <v>5</v>
      </c>
      <c r="O37" s="1119"/>
      <c r="P37" s="116" t="str">
        <f t="shared" si="7"/>
        <v>平成25年度</v>
      </c>
      <c r="Q37" s="344">
        <v>79457</v>
      </c>
      <c r="R37" s="344">
        <v>24557</v>
      </c>
      <c r="S37" s="344">
        <v>104014</v>
      </c>
      <c r="T37" s="344">
        <v>11673</v>
      </c>
      <c r="U37" s="114"/>
      <c r="V37" s="121"/>
      <c r="W37" s="1119"/>
      <c r="X37" s="116" t="str">
        <f t="shared" si="8"/>
        <v>平成25年度</v>
      </c>
      <c r="Y37" s="345">
        <v>79950</v>
      </c>
      <c r="Z37" s="345">
        <v>24064</v>
      </c>
      <c r="AA37" s="345">
        <v>104014</v>
      </c>
      <c r="AB37" s="345">
        <v>11673</v>
      </c>
      <c r="AC37" s="114"/>
    </row>
    <row r="38" spans="1:29">
      <c r="A38" s="1119"/>
      <c r="B38" s="117" t="s">
        <v>450</v>
      </c>
      <c r="C38" s="115">
        <f t="shared" si="0"/>
        <v>448284</v>
      </c>
      <c r="D38" s="115">
        <f t="shared" si="1"/>
        <v>68620</v>
      </c>
      <c r="E38" s="115">
        <f t="shared" si="2"/>
        <v>516904</v>
      </c>
      <c r="F38" s="115">
        <f t="shared" si="3"/>
        <v>58010</v>
      </c>
      <c r="G38" s="114">
        <f t="shared" si="4"/>
        <v>50309</v>
      </c>
      <c r="H38" s="114">
        <f t="shared" si="5"/>
        <v>397975</v>
      </c>
      <c r="I38" s="108">
        <f>+VLOOKUP($B38,年度別調書!$A$4:$M$37,10,0)</f>
        <v>20924492616</v>
      </c>
      <c r="J38" s="108">
        <f>+VLOOKUP($B38,年度別調書!$A$4:$M$37,13,0)</f>
        <v>99556890040</v>
      </c>
      <c r="K38" s="114">
        <f t="shared" si="10"/>
        <v>83645</v>
      </c>
      <c r="L38" s="114">
        <f t="shared" si="11"/>
        <v>314330</v>
      </c>
      <c r="M38" s="120">
        <f t="shared" si="9"/>
        <v>7.1000000003550667E-2</v>
      </c>
      <c r="N38" s="305">
        <f>+海田!N38</f>
        <v>8</v>
      </c>
      <c r="O38" s="1119"/>
      <c r="P38" s="116" t="str">
        <f t="shared" si="7"/>
        <v>平成26年度</v>
      </c>
      <c r="Q38" s="344">
        <v>223790</v>
      </c>
      <c r="R38" s="344">
        <v>34662</v>
      </c>
      <c r="S38" s="344">
        <v>258452</v>
      </c>
      <c r="T38" s="344">
        <v>29005</v>
      </c>
      <c r="U38" s="114"/>
      <c r="V38" s="121"/>
      <c r="W38" s="1119"/>
      <c r="X38" s="116" t="str">
        <f t="shared" si="8"/>
        <v>平成26年度</v>
      </c>
      <c r="Y38" s="345">
        <v>224494</v>
      </c>
      <c r="Z38" s="345">
        <v>33958</v>
      </c>
      <c r="AA38" s="345">
        <v>258452</v>
      </c>
      <c r="AB38" s="345">
        <v>29005</v>
      </c>
      <c r="AC38" s="114"/>
    </row>
    <row r="39" spans="1:29">
      <c r="A39" s="1119"/>
      <c r="B39" s="117" t="s">
        <v>451</v>
      </c>
      <c r="C39" s="115">
        <f t="shared" si="0"/>
        <v>1260260</v>
      </c>
      <c r="D39" s="115">
        <f t="shared" si="1"/>
        <v>183892</v>
      </c>
      <c r="E39" s="115">
        <f t="shared" si="2"/>
        <v>1444152</v>
      </c>
      <c r="F39" s="115">
        <f t="shared" si="3"/>
        <v>162072</v>
      </c>
      <c r="G39" s="443">
        <f t="shared" si="4"/>
        <v>141434</v>
      </c>
      <c r="H39" s="114">
        <f t="shared" si="5"/>
        <v>1118826</v>
      </c>
      <c r="I39" s="108">
        <f>+VLOOKUP($B39,年度別調書!$A$4:$M$37,10,0)</f>
        <v>21176145645</v>
      </c>
      <c r="J39" s="108">
        <f>+VLOOKUP($B39,年度別調書!$A$4:$M$37,13,0)</f>
        <v>104805589178</v>
      </c>
      <c r="K39" s="114">
        <f t="shared" si="10"/>
        <v>226061</v>
      </c>
      <c r="L39" s="114">
        <f t="shared" si="11"/>
        <v>892765</v>
      </c>
      <c r="M39" s="120">
        <f t="shared" si="9"/>
        <v>-0.19899999999324791</v>
      </c>
      <c r="N39" s="305">
        <f>+海田!N39</f>
        <v>8</v>
      </c>
      <c r="O39" s="1119"/>
      <c r="P39" s="116" t="str">
        <f t="shared" si="7"/>
        <v>平成27年度</v>
      </c>
      <c r="Q39" s="344">
        <v>629220</v>
      </c>
      <c r="R39" s="344">
        <v>92856</v>
      </c>
      <c r="S39" s="344">
        <v>722076</v>
      </c>
      <c r="T39" s="344">
        <v>81036</v>
      </c>
      <c r="U39" s="114"/>
      <c r="V39" s="121"/>
      <c r="W39" s="1119"/>
      <c r="X39" s="116" t="str">
        <f t="shared" si="8"/>
        <v>平成27年度</v>
      </c>
      <c r="Y39" s="345">
        <v>631040</v>
      </c>
      <c r="Z39" s="345">
        <v>91036</v>
      </c>
      <c r="AA39" s="345">
        <v>722076</v>
      </c>
      <c r="AB39" s="345">
        <v>81036</v>
      </c>
      <c r="AC39" s="114"/>
    </row>
    <row r="40" spans="1:29">
      <c r="A40" s="1119"/>
      <c r="B40" s="117" t="s">
        <v>452</v>
      </c>
      <c r="C40" s="115">
        <f t="shared" si="0"/>
        <v>420387</v>
      </c>
      <c r="D40" s="115">
        <f t="shared" si="1"/>
        <v>55160</v>
      </c>
      <c r="E40" s="115">
        <f t="shared" si="2"/>
        <v>475547</v>
      </c>
      <c r="F40" s="115">
        <f t="shared" si="3"/>
        <v>53369</v>
      </c>
      <c r="G40" s="114">
        <f t="shared" si="4"/>
        <v>47178</v>
      </c>
      <c r="H40" s="114">
        <f t="shared" si="5"/>
        <v>373209</v>
      </c>
      <c r="I40" s="108">
        <f>+VLOOKUP($B40,年度別調書!$A$4:$M$37,10,0)</f>
        <v>23487276785</v>
      </c>
      <c r="J40" s="108">
        <f>+VLOOKUP($B40,年度別調書!$A$4:$M$37,13,0)</f>
        <v>105396818589</v>
      </c>
      <c r="K40" s="114">
        <f t="shared" si="10"/>
        <v>83168</v>
      </c>
      <c r="L40" s="114">
        <f t="shared" si="11"/>
        <v>290041</v>
      </c>
      <c r="M40" s="120">
        <f t="shared" si="9"/>
        <v>0.30599999999685679</v>
      </c>
      <c r="N40" s="305">
        <f>+海田!N40</f>
        <v>8</v>
      </c>
      <c r="O40" s="1119"/>
      <c r="P40" s="116" t="str">
        <f t="shared" si="7"/>
        <v>平成28年度</v>
      </c>
      <c r="Q40" s="344">
        <v>209944</v>
      </c>
      <c r="R40" s="344">
        <v>27861</v>
      </c>
      <c r="S40" s="344">
        <v>237805</v>
      </c>
      <c r="T40" s="344">
        <v>26688</v>
      </c>
      <c r="U40" s="114"/>
      <c r="V40" s="121"/>
      <c r="W40" s="1119"/>
      <c r="X40" s="116" t="str">
        <f t="shared" si="8"/>
        <v>平成28年度</v>
      </c>
      <c r="Y40" s="345">
        <v>210443</v>
      </c>
      <c r="Z40" s="345">
        <v>27299</v>
      </c>
      <c r="AA40" s="345">
        <v>237742</v>
      </c>
      <c r="AB40" s="345">
        <v>26681</v>
      </c>
      <c r="AC40" s="114"/>
    </row>
    <row r="41" spans="1:29">
      <c r="A41" s="1119"/>
      <c r="B41" s="117" t="s">
        <v>453</v>
      </c>
      <c r="C41" s="115">
        <f t="shared" si="0"/>
        <v>58778</v>
      </c>
      <c r="D41" s="115">
        <f t="shared" si="1"/>
        <v>42221</v>
      </c>
      <c r="E41" s="115">
        <f t="shared" si="2"/>
        <v>100999</v>
      </c>
      <c r="F41" s="115">
        <f t="shared" si="3"/>
        <v>11334</v>
      </c>
      <c r="G41" s="114">
        <f t="shared" si="4"/>
        <v>6596</v>
      </c>
      <c r="H41" s="114">
        <f t="shared" si="5"/>
        <v>52182</v>
      </c>
      <c r="I41" s="108">
        <f>+VLOOKUP($B41,年度別調書!$A$4:$M$37,10,0)</f>
        <v>19481573724</v>
      </c>
      <c r="J41" s="108">
        <f>+VLOOKUP($B41,年度別調書!$A$4:$M$37,13,0)</f>
        <v>99607043975</v>
      </c>
      <c r="K41" s="114">
        <f t="shared" si="10"/>
        <v>10206</v>
      </c>
      <c r="L41" s="114">
        <f t="shared" si="11"/>
        <v>41976</v>
      </c>
      <c r="M41" s="120">
        <f t="shared" si="9"/>
        <v>0.41299999999955617</v>
      </c>
      <c r="N41" s="305">
        <f>+海田!N41</f>
        <v>8</v>
      </c>
      <c r="O41" s="1119"/>
      <c r="P41" s="116" t="str">
        <f t="shared" si="7"/>
        <v>平成29年度</v>
      </c>
      <c r="Q41" s="344">
        <v>29345</v>
      </c>
      <c r="R41" s="344">
        <v>21181</v>
      </c>
      <c r="S41" s="344">
        <v>50526</v>
      </c>
      <c r="T41" s="344">
        <v>5670</v>
      </c>
      <c r="U41" s="114"/>
      <c r="V41" s="121"/>
      <c r="W41" s="1119"/>
      <c r="X41" s="116" t="str">
        <f t="shared" si="8"/>
        <v>平成29年度</v>
      </c>
      <c r="Y41" s="345">
        <v>29433</v>
      </c>
      <c r="Z41" s="345">
        <v>21040</v>
      </c>
      <c r="AA41" s="345">
        <v>50473</v>
      </c>
      <c r="AB41" s="345">
        <v>5664</v>
      </c>
      <c r="AC41" s="114"/>
    </row>
    <row r="42" spans="1:29">
      <c r="A42" s="1119"/>
      <c r="B42" s="117" t="s">
        <v>454</v>
      </c>
      <c r="C42" s="115">
        <f t="shared" si="0"/>
        <v>0</v>
      </c>
      <c r="D42" s="115">
        <f t="shared" si="1"/>
        <v>45372</v>
      </c>
      <c r="E42" s="115">
        <f t="shared" si="2"/>
        <v>45372</v>
      </c>
      <c r="F42" s="115">
        <f t="shared" si="3"/>
        <v>5092</v>
      </c>
      <c r="G42" s="114">
        <f t="shared" si="4"/>
        <v>0</v>
      </c>
      <c r="H42" s="114">
        <f t="shared" si="5"/>
        <v>0</v>
      </c>
      <c r="I42" s="108">
        <f>+VLOOKUP($B42,年度別調書!$A$4:$M$37,10,0)</f>
        <v>19871916207</v>
      </c>
      <c r="J42" s="108">
        <f>+VLOOKUP($B42,年度別調書!$A$4:$M$37,13,0)</f>
        <v>98551757388</v>
      </c>
      <c r="K42" s="114">
        <f t="shared" si="10"/>
        <v>0</v>
      </c>
      <c r="L42" s="114">
        <f t="shared" si="11"/>
        <v>0</v>
      </c>
      <c r="M42" s="120">
        <f t="shared" si="9"/>
        <v>0</v>
      </c>
      <c r="N42" s="305">
        <f>+海田!N42</f>
        <v>8</v>
      </c>
      <c r="O42" s="1119"/>
      <c r="P42" s="116" t="str">
        <f t="shared" si="7"/>
        <v>平成30年度</v>
      </c>
      <c r="Q42" s="344">
        <v>0</v>
      </c>
      <c r="R42" s="344">
        <v>22691</v>
      </c>
      <c r="S42" s="344">
        <v>22691</v>
      </c>
      <c r="T42" s="344">
        <v>2547</v>
      </c>
      <c r="U42" s="114"/>
      <c r="V42" s="121"/>
      <c r="W42" s="1119"/>
      <c r="X42" s="116" t="str">
        <f t="shared" si="8"/>
        <v>平成30年度</v>
      </c>
      <c r="Y42" s="345">
        <v>0</v>
      </c>
      <c r="Z42" s="345">
        <v>22681</v>
      </c>
      <c r="AA42" s="345">
        <v>22681</v>
      </c>
      <c r="AB42" s="345">
        <v>2545</v>
      </c>
      <c r="AC42" s="114"/>
    </row>
    <row r="43" spans="1:29">
      <c r="A43" s="1119"/>
      <c r="B43" s="1108" t="s">
        <v>500</v>
      </c>
      <c r="C43" s="115">
        <f>+Q43</f>
        <v>0</v>
      </c>
      <c r="D43" s="115">
        <f>+R43</f>
        <v>53</v>
      </c>
      <c r="E43" s="115">
        <f>+S43</f>
        <v>53</v>
      </c>
      <c r="F43" s="115">
        <f>+T43</f>
        <v>6</v>
      </c>
      <c r="G43" s="114">
        <f t="shared" si="4"/>
        <v>0</v>
      </c>
      <c r="H43" s="114">
        <f t="shared" si="5"/>
        <v>0</v>
      </c>
      <c r="I43" s="108">
        <f>+VLOOKUP($B43,年度別調書!$A$4:$M$37,10,0)</f>
        <v>21889958229</v>
      </c>
      <c r="J43" s="108">
        <f>+VLOOKUP($B43,年度別調書!$A$4:$M$37,13,0)</f>
        <v>101214576030</v>
      </c>
      <c r="K43" s="114">
        <f t="shared" si="10"/>
        <v>0</v>
      </c>
      <c r="L43" s="114">
        <f t="shared" si="11"/>
        <v>0</v>
      </c>
      <c r="M43" s="120">
        <f t="shared" si="9"/>
        <v>0</v>
      </c>
      <c r="N43" s="305">
        <f>+海田!N43</f>
        <v>8</v>
      </c>
      <c r="O43" s="1119"/>
      <c r="P43" s="1124" t="str">
        <f t="shared" si="7"/>
        <v>令和元年度</v>
      </c>
      <c r="Q43" s="1126">
        <v>0</v>
      </c>
      <c r="R43" s="1126">
        <v>53</v>
      </c>
      <c r="S43" s="1126">
        <v>53</v>
      </c>
      <c r="T43" s="1126">
        <v>6</v>
      </c>
      <c r="U43" s="1128"/>
      <c r="V43" s="121"/>
      <c r="W43" s="1119"/>
      <c r="X43" s="1124" t="str">
        <f t="shared" si="8"/>
        <v>令和元年度</v>
      </c>
      <c r="Y43" s="1126">
        <v>0</v>
      </c>
      <c r="Z43" s="1126">
        <v>53</v>
      </c>
      <c r="AA43" s="1126">
        <v>53</v>
      </c>
      <c r="AB43" s="1126">
        <v>6</v>
      </c>
      <c r="AC43" s="1128"/>
    </row>
    <row r="44" spans="1:29">
      <c r="A44" s="1119"/>
      <c r="B44" s="1109"/>
      <c r="C44" s="115">
        <f>+Y43</f>
        <v>0</v>
      </c>
      <c r="D44" s="115">
        <f>+Z43</f>
        <v>53</v>
      </c>
      <c r="E44" s="115">
        <f>+AA43</f>
        <v>53</v>
      </c>
      <c r="F44" s="115">
        <f>+AB43</f>
        <v>6</v>
      </c>
      <c r="G44" s="114">
        <f t="shared" ref="G44" si="12">ROUND(C44/C$48*G$48,0)</f>
        <v>0</v>
      </c>
      <c r="H44" s="114">
        <f t="shared" ref="H44" si="13">C44-G44</f>
        <v>0</v>
      </c>
      <c r="I44" s="108">
        <f>+VLOOKUP($B43,年度別調書!$A$4:$M$37,10,0)</f>
        <v>21889958229</v>
      </c>
      <c r="J44" s="108">
        <f>+VLOOKUP($B43,年度別調書!$A$4:$M$37,13,0)</f>
        <v>101214576030</v>
      </c>
      <c r="K44" s="114">
        <f t="shared" ref="K44" si="14">IFERROR(ROUND(H44*I44/J44,0),0)</f>
        <v>0</v>
      </c>
      <c r="L44" s="114">
        <f t="shared" ref="L44" si="15">H44-K44</f>
        <v>0</v>
      </c>
      <c r="M44" s="120">
        <f t="shared" ref="M44" si="16">ROUND(C44/C$48*G$48,3)-ROUND(C44/C$48*G$48,0)</f>
        <v>0</v>
      </c>
      <c r="N44" s="305">
        <f>+海田!N44</f>
        <v>10</v>
      </c>
      <c r="O44" s="1119"/>
      <c r="P44" s="1125"/>
      <c r="Q44" s="1127"/>
      <c r="R44" s="1127"/>
      <c r="S44" s="1127"/>
      <c r="T44" s="1127"/>
      <c r="U44" s="1129"/>
      <c r="V44" s="121"/>
      <c r="W44" s="1119"/>
      <c r="X44" s="1125"/>
      <c r="Y44" s="1127"/>
      <c r="Z44" s="1127"/>
      <c r="AA44" s="1127"/>
      <c r="AB44" s="1127"/>
      <c r="AC44" s="1129"/>
    </row>
    <row r="45" spans="1:29">
      <c r="A45" s="1119"/>
      <c r="B45" s="117" t="s">
        <v>494</v>
      </c>
      <c r="C45" s="115">
        <f t="shared" si="0"/>
        <v>0</v>
      </c>
      <c r="D45" s="115">
        <f t="shared" si="1"/>
        <v>5000</v>
      </c>
      <c r="E45" s="115">
        <f t="shared" si="2"/>
        <v>5000</v>
      </c>
      <c r="F45" s="115">
        <f t="shared" si="3"/>
        <v>562</v>
      </c>
      <c r="G45" s="114">
        <f t="shared" si="4"/>
        <v>0</v>
      </c>
      <c r="H45" s="114">
        <f t="shared" si="5"/>
        <v>0</v>
      </c>
      <c r="I45" s="108">
        <f>+VLOOKUP($B45,年度別調書!$A$4:$M$37,10,0)</f>
        <v>25568719436</v>
      </c>
      <c r="J45" s="108">
        <f>+VLOOKUP($B45,年度別調書!$A$4:$M$37,13,0)</f>
        <v>105092548853</v>
      </c>
      <c r="K45" s="114">
        <f t="shared" si="10"/>
        <v>0</v>
      </c>
      <c r="L45" s="114">
        <f t="shared" si="11"/>
        <v>0</v>
      </c>
      <c r="M45" s="120">
        <f t="shared" si="9"/>
        <v>0</v>
      </c>
      <c r="N45" s="305">
        <f>+海田!N45</f>
        <v>10</v>
      </c>
      <c r="O45" s="1119"/>
      <c r="P45" s="116" t="str">
        <f t="shared" si="7"/>
        <v>令和2年度</v>
      </c>
      <c r="Q45" s="344">
        <v>0</v>
      </c>
      <c r="R45" s="344">
        <v>2500</v>
      </c>
      <c r="S45" s="344">
        <v>2500</v>
      </c>
      <c r="T45" s="344">
        <v>281</v>
      </c>
      <c r="U45" s="114"/>
      <c r="V45" s="121"/>
      <c r="W45" s="1119"/>
      <c r="X45" s="116" t="str">
        <f t="shared" si="8"/>
        <v>令和2年度</v>
      </c>
      <c r="Y45" s="153">
        <v>0</v>
      </c>
      <c r="Z45" s="153">
        <v>2500</v>
      </c>
      <c r="AA45" s="153">
        <v>2500</v>
      </c>
      <c r="AB45" s="153">
        <v>281</v>
      </c>
      <c r="AC45" s="114"/>
    </row>
    <row r="46" spans="1:29">
      <c r="A46" s="1119"/>
      <c r="B46" s="117" t="s">
        <v>495</v>
      </c>
      <c r="C46" s="115">
        <f t="shared" si="0"/>
        <v>0</v>
      </c>
      <c r="D46" s="115">
        <f t="shared" si="1"/>
        <v>101147</v>
      </c>
      <c r="E46" s="115">
        <f t="shared" si="2"/>
        <v>101147</v>
      </c>
      <c r="F46" s="115">
        <f t="shared" si="3"/>
        <v>11351</v>
      </c>
      <c r="G46" s="114">
        <f t="shared" si="4"/>
        <v>0</v>
      </c>
      <c r="H46" s="114">
        <f t="shared" si="5"/>
        <v>0</v>
      </c>
      <c r="I46" s="108">
        <f>+VLOOKUP($B46,年度別調書!$A$4:$M$37,10,0)</f>
        <v>25732995336</v>
      </c>
      <c r="J46" s="108">
        <f>+VLOOKUP($B46,年度別調書!$A$4:$M$37,13,0)</f>
        <v>106246537477</v>
      </c>
      <c r="K46" s="114">
        <f t="shared" si="10"/>
        <v>0</v>
      </c>
      <c r="L46" s="114">
        <f t="shared" si="11"/>
        <v>0</v>
      </c>
      <c r="M46" s="120">
        <f t="shared" si="9"/>
        <v>0</v>
      </c>
      <c r="N46" s="305">
        <f>+海田!N46</f>
        <v>10</v>
      </c>
      <c r="O46" s="1119"/>
      <c r="P46" s="116" t="str">
        <f t="shared" si="7"/>
        <v>令和3年度</v>
      </c>
      <c r="Q46" s="344">
        <v>0</v>
      </c>
      <c r="R46" s="344">
        <v>47102</v>
      </c>
      <c r="S46" s="344">
        <v>47102</v>
      </c>
      <c r="T46" s="344">
        <v>5286</v>
      </c>
      <c r="U46" s="114"/>
      <c r="V46" s="121"/>
      <c r="W46" s="1119"/>
      <c r="X46" s="116" t="str">
        <f t="shared" si="8"/>
        <v>令和3年度</v>
      </c>
      <c r="Y46" s="153">
        <v>0</v>
      </c>
      <c r="Z46" s="153">
        <v>54045</v>
      </c>
      <c r="AA46" s="153">
        <v>54045</v>
      </c>
      <c r="AB46" s="153">
        <v>6065</v>
      </c>
      <c r="AC46" s="114"/>
    </row>
    <row r="47" spans="1:29">
      <c r="A47" s="1119"/>
      <c r="B47" s="117" t="s">
        <v>496</v>
      </c>
      <c r="C47" s="115">
        <f t="shared" si="0"/>
        <v>0</v>
      </c>
      <c r="D47" s="115">
        <f t="shared" si="1"/>
        <v>150510</v>
      </c>
      <c r="E47" s="115">
        <f t="shared" si="2"/>
        <v>150510</v>
      </c>
      <c r="F47" s="115">
        <f t="shared" si="3"/>
        <v>16892</v>
      </c>
      <c r="G47" s="114">
        <f t="shared" si="4"/>
        <v>0</v>
      </c>
      <c r="H47" s="114">
        <f t="shared" si="5"/>
        <v>0</v>
      </c>
      <c r="I47" s="108">
        <f>+VLOOKUP($B47,年度別調書!$A$4:$M$37,10,0)</f>
        <v>22974897869</v>
      </c>
      <c r="J47" s="108">
        <f>+VLOOKUP($B47,年度別調書!$A$4:$M$37,13,0)</f>
        <v>102361733085</v>
      </c>
      <c r="K47" s="114">
        <f t="shared" si="10"/>
        <v>0</v>
      </c>
      <c r="L47" s="114">
        <f t="shared" si="11"/>
        <v>0</v>
      </c>
      <c r="M47" s="120">
        <f t="shared" si="9"/>
        <v>0</v>
      </c>
      <c r="N47" s="305">
        <f>+海田!N47</f>
        <v>10</v>
      </c>
      <c r="O47" s="1119"/>
      <c r="P47" s="116" t="str">
        <f t="shared" si="7"/>
        <v>令和4年度</v>
      </c>
      <c r="Q47" s="153">
        <v>0</v>
      </c>
      <c r="R47" s="153">
        <v>66087</v>
      </c>
      <c r="S47" s="153">
        <v>66087</v>
      </c>
      <c r="T47" s="153">
        <v>7417</v>
      </c>
      <c r="U47" s="114"/>
      <c r="V47" s="121"/>
      <c r="W47" s="1119"/>
      <c r="X47" s="116" t="str">
        <f t="shared" si="8"/>
        <v>令和4年度</v>
      </c>
      <c r="Y47" s="441">
        <v>0</v>
      </c>
      <c r="Z47" s="441">
        <v>84423</v>
      </c>
      <c r="AA47" s="441">
        <v>84423</v>
      </c>
      <c r="AB47" s="441">
        <v>9475</v>
      </c>
      <c r="AC47" s="114"/>
    </row>
    <row r="48" spans="1:29">
      <c r="A48" s="1120"/>
      <c r="B48" s="118" t="s">
        <v>94</v>
      </c>
      <c r="C48" s="119">
        <f>SUM(C6:C47)</f>
        <v>3610379</v>
      </c>
      <c r="D48" s="119">
        <f>SUM(D6:D47)</f>
        <v>1167300</v>
      </c>
      <c r="E48" s="119">
        <f>SUM(E6:E47)</f>
        <v>4777679</v>
      </c>
      <c r="F48" s="119">
        <f>SUM(F6:F47)</f>
        <v>536182</v>
      </c>
      <c r="G48" s="104">
        <f>+U48+AC48</f>
        <v>405178</v>
      </c>
      <c r="H48" s="119">
        <f>SUM(H6:H47)</f>
        <v>3205201</v>
      </c>
      <c r="I48" s="38"/>
      <c r="J48" s="38"/>
      <c r="K48" s="119">
        <f>SUM(K6:K47)</f>
        <v>726081</v>
      </c>
      <c r="L48" s="119">
        <f>SUM(L6:L47)</f>
        <v>2479120</v>
      </c>
      <c r="M48" s="119"/>
      <c r="N48" s="305">
        <f>+海田!N48</f>
        <v>0</v>
      </c>
      <c r="O48" s="1120"/>
      <c r="P48" s="118" t="s">
        <v>94</v>
      </c>
      <c r="Q48" s="119">
        <f>SUM(Q6:Q47)</f>
        <v>1800725</v>
      </c>
      <c r="R48" s="119">
        <f>SUM(R6:R47)</f>
        <v>575538</v>
      </c>
      <c r="S48" s="119">
        <f>SUM(S6:S47)</f>
        <v>2376263</v>
      </c>
      <c r="T48" s="119">
        <f>SUM(T6:T47)</f>
        <v>266680</v>
      </c>
      <c r="U48" s="233">
        <v>202088</v>
      </c>
      <c r="V48" s="112"/>
      <c r="W48" s="1120"/>
      <c r="X48" s="118" t="s">
        <v>94</v>
      </c>
      <c r="Y48" s="119">
        <f>SUM(Y6:Y47)</f>
        <v>1809654</v>
      </c>
      <c r="Z48" s="119">
        <f>SUM(Z6:Z47)</f>
        <v>591762</v>
      </c>
      <c r="AA48" s="119">
        <f>SUM(AA6:AA47)</f>
        <v>2401416</v>
      </c>
      <c r="AB48" s="119">
        <f>SUM(AB6:AB47)</f>
        <v>269502</v>
      </c>
      <c r="AC48" s="233">
        <v>203090</v>
      </c>
    </row>
    <row r="49" spans="7:29">
      <c r="G49" s="107">
        <f>G48-SUM(G6:G47)</f>
        <v>0</v>
      </c>
      <c r="K49" s="72"/>
      <c r="O49" s="23"/>
      <c r="U49" s="107"/>
      <c r="AC49" s="107"/>
    </row>
    <row r="50" spans="7:29">
      <c r="J50" s="306" t="s">
        <v>404</v>
      </c>
      <c r="K50" s="307" t="s">
        <v>403</v>
      </c>
    </row>
    <row r="51" spans="7:29">
      <c r="J51" s="307">
        <v>3</v>
      </c>
      <c r="K51" s="308">
        <f>+SUMIFS($K$4:$K$48,$N$4:$N$48,$J51)</f>
        <v>0</v>
      </c>
    </row>
    <row r="52" spans="7:29">
      <c r="J52" s="307">
        <v>5</v>
      </c>
      <c r="K52" s="308">
        <f>+SUMIFS($K$4:$K$48,$N$4:$N$48,$J52)</f>
        <v>323001</v>
      </c>
    </row>
    <row r="53" spans="7:29">
      <c r="J53" s="307">
        <v>8</v>
      </c>
      <c r="K53" s="308">
        <f>+SUMIFS($K$4:$K$48,$N$4:$N$48,$J53)</f>
        <v>403080</v>
      </c>
    </row>
    <row r="54" spans="7:29">
      <c r="J54" s="307">
        <v>10</v>
      </c>
      <c r="K54" s="308">
        <f>+SUMIFS($K$4:$K$48,$N$4:$N$48,$J54)</f>
        <v>0</v>
      </c>
    </row>
    <row r="55" spans="7:29">
      <c r="J55" s="306" t="s">
        <v>405</v>
      </c>
      <c r="K55" s="309">
        <f>SUM(K51:K54)</f>
        <v>726081</v>
      </c>
    </row>
    <row r="56" spans="7:29">
      <c r="J56" s="306" t="s">
        <v>406</v>
      </c>
      <c r="K56" s="309">
        <f>+K48-K55</f>
        <v>0</v>
      </c>
    </row>
  </sheetData>
  <mergeCells count="38">
    <mergeCell ref="Q43:Q44"/>
    <mergeCell ref="P43:P44"/>
    <mergeCell ref="B43:B44"/>
    <mergeCell ref="X43:X44"/>
    <mergeCell ref="U43:U44"/>
    <mergeCell ref="T43:T44"/>
    <mergeCell ref="S43:S44"/>
    <mergeCell ref="R43:R44"/>
    <mergeCell ref="AC43:AC44"/>
    <mergeCell ref="AB43:AB44"/>
    <mergeCell ref="AA43:AA44"/>
    <mergeCell ref="Z43:Z44"/>
    <mergeCell ref="Y43:Y44"/>
    <mergeCell ref="L4:L5"/>
    <mergeCell ref="M4:M5"/>
    <mergeCell ref="O4:O5"/>
    <mergeCell ref="A4:A5"/>
    <mergeCell ref="B4:B5"/>
    <mergeCell ref="C4:E4"/>
    <mergeCell ref="F4:F5"/>
    <mergeCell ref="G4:G5"/>
    <mergeCell ref="N4:N5"/>
    <mergeCell ref="Y4:AA4"/>
    <mergeCell ref="AB4:AB5"/>
    <mergeCell ref="AC4:AC5"/>
    <mergeCell ref="A6:A48"/>
    <mergeCell ref="O6:O48"/>
    <mergeCell ref="W6:W48"/>
    <mergeCell ref="P4:P5"/>
    <mergeCell ref="Q4:S4"/>
    <mergeCell ref="T4:T5"/>
    <mergeCell ref="U4:U5"/>
    <mergeCell ref="H4:H5"/>
    <mergeCell ref="W4:W5"/>
    <mergeCell ref="X4:X5"/>
    <mergeCell ref="I4:I5"/>
    <mergeCell ref="J4:J5"/>
    <mergeCell ref="K4:K5"/>
  </mergeCells>
  <phoneticPr fontId="2"/>
  <pageMargins left="0.78740157480314965" right="0.78740157480314965" top="0.62992125984251968" bottom="0.82677165354330717" header="0.31496062992125984" footer="0.35433070866141736"/>
  <pageSetup paperSize="9" scale="83" fitToWidth="2" orientation="landscape" r:id="rId1"/>
  <headerFooter alignWithMargins="0"/>
  <colBreaks count="1" manualBreakCount="1">
    <brk id="14" max="47" man="1"/>
  </colBreaks>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66FF33"/>
  </sheetPr>
  <dimension ref="A2:AC56"/>
  <sheetViews>
    <sheetView zoomScale="85" zoomScaleNormal="85" zoomScaleSheetLayoutView="85" workbookViewId="0">
      <pane xSplit="2" ySplit="5" topLeftCell="C6" activePane="bottomRight" state="frozen"/>
      <selection sqref="A1:XFD1048576"/>
      <selection pane="topRight" sqref="A1:XFD1048576"/>
      <selection pane="bottomLeft" sqref="A1:XFD1048576"/>
      <selection pane="bottomRight" activeCell="M52" sqref="M52"/>
    </sheetView>
  </sheetViews>
  <sheetFormatPr defaultRowHeight="13.5"/>
  <cols>
    <col min="1" max="1" width="2.625" customWidth="1"/>
    <col min="2" max="2" width="11.625" bestFit="1" customWidth="1"/>
    <col min="3" max="5" width="13.125" customWidth="1"/>
    <col min="6" max="7" width="11.625" customWidth="1"/>
    <col min="8" max="8" width="13.125" customWidth="1"/>
    <col min="9" max="10" width="13.75" customWidth="1"/>
    <col min="11" max="12" width="13.125" customWidth="1"/>
    <col min="13" max="13" width="7.625" customWidth="1"/>
    <col min="14" max="14" width="3.125" customWidth="1"/>
    <col min="15" max="15" width="2.625" customWidth="1"/>
    <col min="16" max="21" width="11.625" customWidth="1"/>
    <col min="22" max="22" width="3.125" customWidth="1"/>
    <col min="23" max="23" width="2.625" customWidth="1"/>
    <col min="24" max="24" width="11.625" bestFit="1" customWidth="1"/>
    <col min="25" max="29" width="11.625" customWidth="1"/>
    <col min="30" max="30" width="3.125" customWidth="1"/>
  </cols>
  <sheetData>
    <row r="2" spans="1:29">
      <c r="A2" t="str">
        <f>+"令和"&amp;MID(総括表!A2,3,1)&amp;"年度決算　府中町大須地区(共通分)"</f>
        <v>令和５年度決算　府中町大須地区(共通分)</v>
      </c>
      <c r="O2" t="str">
        <f>+A2</f>
        <v>令和５年度決算　府中町大須地区(共通分)</v>
      </c>
      <c r="T2" s="87"/>
      <c r="U2" s="87"/>
    </row>
    <row r="4" spans="1:29" ht="13.5" customHeight="1">
      <c r="A4" s="1104" t="s">
        <v>48</v>
      </c>
      <c r="B4" s="1104" t="s">
        <v>331</v>
      </c>
      <c r="C4" s="1121" t="s">
        <v>90</v>
      </c>
      <c r="D4" s="1121"/>
      <c r="E4" s="1121"/>
      <c r="F4" s="1107" t="s">
        <v>92</v>
      </c>
      <c r="G4" s="1107" t="s">
        <v>95</v>
      </c>
      <c r="H4" s="1107" t="s">
        <v>141</v>
      </c>
      <c r="I4" s="1096" t="s">
        <v>65</v>
      </c>
      <c r="J4" s="1096" t="s">
        <v>67</v>
      </c>
      <c r="K4" s="1098" t="s">
        <v>91</v>
      </c>
      <c r="L4" s="1100" t="s">
        <v>17</v>
      </c>
      <c r="M4" s="1100" t="s">
        <v>424</v>
      </c>
      <c r="N4" s="1122" t="s">
        <v>402</v>
      </c>
      <c r="O4" s="1104" t="s">
        <v>48</v>
      </c>
      <c r="P4" s="1104" t="s">
        <v>93</v>
      </c>
      <c r="Q4" s="1121" t="s">
        <v>90</v>
      </c>
      <c r="R4" s="1121"/>
      <c r="S4" s="1121"/>
      <c r="T4" s="1107" t="s">
        <v>92</v>
      </c>
      <c r="U4" s="1107" t="s">
        <v>95</v>
      </c>
      <c r="W4" s="1104" t="s">
        <v>48</v>
      </c>
      <c r="X4" s="1104" t="s">
        <v>93</v>
      </c>
      <c r="Y4" s="1121" t="s">
        <v>90</v>
      </c>
      <c r="Z4" s="1121"/>
      <c r="AA4" s="1121"/>
      <c r="AB4" s="1107" t="s">
        <v>92</v>
      </c>
      <c r="AC4" s="1107" t="s">
        <v>95</v>
      </c>
    </row>
    <row r="5" spans="1:29" ht="13.5" customHeight="1">
      <c r="A5" s="1105"/>
      <c r="B5" s="1106"/>
      <c r="C5" s="26" t="s">
        <v>89</v>
      </c>
      <c r="D5" s="26" t="s">
        <v>328</v>
      </c>
      <c r="E5" s="26" t="s">
        <v>87</v>
      </c>
      <c r="F5" s="1099"/>
      <c r="G5" s="1117"/>
      <c r="H5" s="1099"/>
      <c r="I5" s="1097"/>
      <c r="J5" s="1097"/>
      <c r="K5" s="1099"/>
      <c r="L5" s="1101"/>
      <c r="M5" s="1101"/>
      <c r="N5" s="1123"/>
      <c r="O5" s="1105"/>
      <c r="P5" s="1106"/>
      <c r="Q5" s="26" t="s">
        <v>89</v>
      </c>
      <c r="R5" s="26" t="s">
        <v>328</v>
      </c>
      <c r="S5" s="26" t="s">
        <v>87</v>
      </c>
      <c r="T5" s="1099"/>
      <c r="U5" s="1117"/>
      <c r="V5" s="113"/>
      <c r="W5" s="1105"/>
      <c r="X5" s="1106"/>
      <c r="Y5" s="26" t="s">
        <v>89</v>
      </c>
      <c r="Z5" s="26" t="s">
        <v>328</v>
      </c>
      <c r="AA5" s="26" t="s">
        <v>87</v>
      </c>
      <c r="AB5" s="1099"/>
      <c r="AC5" s="1117"/>
    </row>
    <row r="6" spans="1:29" ht="13.5" customHeight="1">
      <c r="A6" s="1118" t="s">
        <v>330</v>
      </c>
      <c r="B6" s="116" t="s">
        <v>455</v>
      </c>
      <c r="C6" s="115">
        <f t="shared" ref="C6:C47" si="0">+Q6+Y6</f>
        <v>0</v>
      </c>
      <c r="D6" s="115">
        <f t="shared" ref="D6:D47" si="1">+R6+Z6</f>
        <v>0</v>
      </c>
      <c r="E6" s="115">
        <f t="shared" ref="E6:E47" si="2">+S6+AA6</f>
        <v>0</v>
      </c>
      <c r="F6" s="115">
        <f t="shared" ref="F6:F47" si="3">+T6+AB6</f>
        <v>0</v>
      </c>
      <c r="G6" s="114">
        <f t="shared" ref="G6:G47" si="4">ROUND(C6/C$48*G$48,0)</f>
        <v>0</v>
      </c>
      <c r="H6" s="114">
        <f t="shared" ref="H6:H47" si="5">C6-G6</f>
        <v>0</v>
      </c>
      <c r="I6" s="38"/>
      <c r="J6" s="38"/>
      <c r="K6" s="114">
        <v>0</v>
      </c>
      <c r="L6" s="114">
        <f t="shared" ref="L6:L12" si="6">H6-K6</f>
        <v>0</v>
      </c>
      <c r="M6" s="120">
        <f>ROUND(C6/C$48*G$48,3)-ROUND(C6/C$48*G$48,0)</f>
        <v>0</v>
      </c>
      <c r="N6" s="305">
        <f>+海田!N6</f>
        <v>0</v>
      </c>
      <c r="O6" s="1118" t="s">
        <v>110</v>
      </c>
      <c r="P6" s="116" t="str">
        <f>+B6</f>
        <v>昭和57年度</v>
      </c>
      <c r="Q6" s="346">
        <v>0</v>
      </c>
      <c r="R6" s="346">
        <v>0</v>
      </c>
      <c r="S6" s="346">
        <v>0</v>
      </c>
      <c r="T6" s="346">
        <v>0</v>
      </c>
      <c r="U6" s="114"/>
      <c r="V6" s="120"/>
      <c r="W6" s="1118" t="s">
        <v>462</v>
      </c>
      <c r="X6" s="116" t="str">
        <f>+B6</f>
        <v>昭和57年度</v>
      </c>
      <c r="Y6" s="347">
        <v>0</v>
      </c>
      <c r="Z6" s="347">
        <v>0</v>
      </c>
      <c r="AA6" s="347">
        <v>0</v>
      </c>
      <c r="AB6" s="347">
        <v>0</v>
      </c>
      <c r="AC6" s="114"/>
    </row>
    <row r="7" spans="1:29">
      <c r="A7" s="1119"/>
      <c r="B7" s="116" t="s">
        <v>456</v>
      </c>
      <c r="C7" s="115">
        <f t="shared" si="0"/>
        <v>0</v>
      </c>
      <c r="D7" s="115">
        <f t="shared" si="1"/>
        <v>0</v>
      </c>
      <c r="E7" s="115">
        <f t="shared" si="2"/>
        <v>0</v>
      </c>
      <c r="F7" s="115">
        <f t="shared" si="3"/>
        <v>0</v>
      </c>
      <c r="G7" s="114">
        <f t="shared" si="4"/>
        <v>0</v>
      </c>
      <c r="H7" s="114">
        <f t="shared" si="5"/>
        <v>0</v>
      </c>
      <c r="I7" s="38"/>
      <c r="J7" s="38"/>
      <c r="K7" s="114">
        <v>0</v>
      </c>
      <c r="L7" s="114">
        <f t="shared" si="6"/>
        <v>0</v>
      </c>
      <c r="M7" s="120">
        <f>ROUND(C7/C$48*G$48,3)-ROUND(C7/C$48*G$48,0)</f>
        <v>0</v>
      </c>
      <c r="N7" s="305">
        <f>+海田!N7</f>
        <v>0</v>
      </c>
      <c r="O7" s="1119"/>
      <c r="P7" s="116" t="str">
        <f t="shared" ref="P7:P47" si="7">+B7</f>
        <v>昭和58年度</v>
      </c>
      <c r="Q7" s="346">
        <v>0</v>
      </c>
      <c r="R7" s="346">
        <v>0</v>
      </c>
      <c r="S7" s="346">
        <v>0</v>
      </c>
      <c r="T7" s="346">
        <v>0</v>
      </c>
      <c r="U7" s="114"/>
      <c r="V7" s="121"/>
      <c r="W7" s="1119"/>
      <c r="X7" s="116" t="str">
        <f t="shared" ref="X7:X47" si="8">+B7</f>
        <v>昭和58年度</v>
      </c>
      <c r="Y7" s="347">
        <v>0</v>
      </c>
      <c r="Z7" s="347">
        <v>0</v>
      </c>
      <c r="AA7" s="347">
        <v>0</v>
      </c>
      <c r="AB7" s="347">
        <v>0</v>
      </c>
      <c r="AC7" s="114"/>
    </row>
    <row r="8" spans="1:29">
      <c r="A8" s="1119"/>
      <c r="B8" s="116" t="s">
        <v>457</v>
      </c>
      <c r="C8" s="115">
        <f t="shared" si="0"/>
        <v>0</v>
      </c>
      <c r="D8" s="115">
        <f t="shared" si="1"/>
        <v>0</v>
      </c>
      <c r="E8" s="115">
        <f t="shared" si="2"/>
        <v>0</v>
      </c>
      <c r="F8" s="115">
        <f t="shared" si="3"/>
        <v>0</v>
      </c>
      <c r="G8" s="114">
        <f t="shared" si="4"/>
        <v>0</v>
      </c>
      <c r="H8" s="114">
        <f t="shared" si="5"/>
        <v>0</v>
      </c>
      <c r="I8" s="38"/>
      <c r="J8" s="38"/>
      <c r="K8" s="114">
        <v>0</v>
      </c>
      <c r="L8" s="114">
        <f t="shared" si="6"/>
        <v>0</v>
      </c>
      <c r="M8" s="120">
        <f>ROUND(C8/C$48*G$48,3)-ROUND(C8/C$48*G$48,0)</f>
        <v>0</v>
      </c>
      <c r="N8" s="305">
        <f>+海田!N8</f>
        <v>0</v>
      </c>
      <c r="O8" s="1119"/>
      <c r="P8" s="116" t="str">
        <f t="shared" si="7"/>
        <v>昭和59年度</v>
      </c>
      <c r="Q8" s="346">
        <v>0</v>
      </c>
      <c r="R8" s="346">
        <v>0</v>
      </c>
      <c r="S8" s="346">
        <v>0</v>
      </c>
      <c r="T8" s="346">
        <v>0</v>
      </c>
      <c r="U8" s="114"/>
      <c r="V8" s="121"/>
      <c r="W8" s="1119"/>
      <c r="X8" s="116" t="str">
        <f t="shared" si="8"/>
        <v>昭和59年度</v>
      </c>
      <c r="Y8" s="347">
        <v>0</v>
      </c>
      <c r="Z8" s="347">
        <v>0</v>
      </c>
      <c r="AA8" s="347">
        <v>0</v>
      </c>
      <c r="AB8" s="347">
        <v>0</v>
      </c>
      <c r="AC8" s="114"/>
    </row>
    <row r="9" spans="1:29">
      <c r="A9" s="1119"/>
      <c r="B9" s="116" t="s">
        <v>458</v>
      </c>
      <c r="C9" s="115">
        <f t="shared" si="0"/>
        <v>0</v>
      </c>
      <c r="D9" s="115">
        <f t="shared" si="1"/>
        <v>0</v>
      </c>
      <c r="E9" s="115">
        <f t="shared" si="2"/>
        <v>0</v>
      </c>
      <c r="F9" s="115">
        <f t="shared" si="3"/>
        <v>0</v>
      </c>
      <c r="G9" s="114">
        <f t="shared" si="4"/>
        <v>0</v>
      </c>
      <c r="H9" s="114">
        <f t="shared" si="5"/>
        <v>0</v>
      </c>
      <c r="I9" s="38"/>
      <c r="J9" s="38"/>
      <c r="K9" s="114">
        <v>0</v>
      </c>
      <c r="L9" s="114">
        <f t="shared" si="6"/>
        <v>0</v>
      </c>
      <c r="M9" s="120">
        <f>ROUND(C9/C$48*G$48,3)-ROUND(C9/C$48*G$48,0)</f>
        <v>0</v>
      </c>
      <c r="N9" s="305">
        <f>+海田!N9</f>
        <v>0</v>
      </c>
      <c r="O9" s="1119"/>
      <c r="P9" s="116" t="str">
        <f t="shared" si="7"/>
        <v>昭和60年度</v>
      </c>
      <c r="Q9" s="346">
        <v>0</v>
      </c>
      <c r="R9" s="346">
        <v>0</v>
      </c>
      <c r="S9" s="346">
        <v>0</v>
      </c>
      <c r="T9" s="346">
        <v>0</v>
      </c>
      <c r="U9" s="114"/>
      <c r="V9" s="121"/>
      <c r="W9" s="1119"/>
      <c r="X9" s="116" t="str">
        <f t="shared" si="8"/>
        <v>昭和60年度</v>
      </c>
      <c r="Y9" s="347">
        <v>0</v>
      </c>
      <c r="Z9" s="347">
        <v>0</v>
      </c>
      <c r="AA9" s="347">
        <v>0</v>
      </c>
      <c r="AB9" s="347">
        <v>0</v>
      </c>
      <c r="AC9" s="114"/>
    </row>
    <row r="10" spans="1:29">
      <c r="A10" s="1119"/>
      <c r="B10" s="116" t="s">
        <v>459</v>
      </c>
      <c r="C10" s="115">
        <f t="shared" si="0"/>
        <v>0</v>
      </c>
      <c r="D10" s="115">
        <f t="shared" si="1"/>
        <v>0</v>
      </c>
      <c r="E10" s="115">
        <f t="shared" si="2"/>
        <v>0</v>
      </c>
      <c r="F10" s="115">
        <f t="shared" si="3"/>
        <v>0</v>
      </c>
      <c r="G10" s="114">
        <f t="shared" si="4"/>
        <v>0</v>
      </c>
      <c r="H10" s="114">
        <f t="shared" si="5"/>
        <v>0</v>
      </c>
      <c r="I10" s="38"/>
      <c r="J10" s="38"/>
      <c r="K10" s="114">
        <v>0</v>
      </c>
      <c r="L10" s="114">
        <f t="shared" si="6"/>
        <v>0</v>
      </c>
      <c r="M10" s="120">
        <f t="shared" ref="M10:M47" si="9">ROUND(C10/C$48*G$48,3)-ROUND(C10/C$48*G$48,0)</f>
        <v>0</v>
      </c>
      <c r="N10" s="305">
        <f>+海田!N10</f>
        <v>0</v>
      </c>
      <c r="O10" s="1119"/>
      <c r="P10" s="116" t="str">
        <f t="shared" si="7"/>
        <v>昭和61年度</v>
      </c>
      <c r="Q10" s="346">
        <v>0</v>
      </c>
      <c r="R10" s="346">
        <v>0</v>
      </c>
      <c r="S10" s="346">
        <v>0</v>
      </c>
      <c r="T10" s="346">
        <v>0</v>
      </c>
      <c r="U10" s="114"/>
      <c r="V10" s="121"/>
      <c r="W10" s="1119"/>
      <c r="X10" s="116" t="str">
        <f t="shared" si="8"/>
        <v>昭和61年度</v>
      </c>
      <c r="Y10" s="347">
        <v>0</v>
      </c>
      <c r="Z10" s="347">
        <v>0</v>
      </c>
      <c r="AA10" s="347">
        <v>0</v>
      </c>
      <c r="AB10" s="347">
        <v>0</v>
      </c>
      <c r="AC10" s="114"/>
    </row>
    <row r="11" spans="1:29">
      <c r="A11" s="1119"/>
      <c r="B11" s="116" t="s">
        <v>460</v>
      </c>
      <c r="C11" s="115">
        <f t="shared" si="0"/>
        <v>0</v>
      </c>
      <c r="D11" s="115">
        <f t="shared" si="1"/>
        <v>0</v>
      </c>
      <c r="E11" s="115">
        <f t="shared" si="2"/>
        <v>0</v>
      </c>
      <c r="F11" s="115">
        <f t="shared" si="3"/>
        <v>0</v>
      </c>
      <c r="G11" s="114">
        <f t="shared" si="4"/>
        <v>0</v>
      </c>
      <c r="H11" s="114">
        <f t="shared" si="5"/>
        <v>0</v>
      </c>
      <c r="I11" s="38"/>
      <c r="J11" s="38"/>
      <c r="K11" s="114">
        <v>0</v>
      </c>
      <c r="L11" s="114">
        <f t="shared" si="6"/>
        <v>0</v>
      </c>
      <c r="M11" s="120">
        <f t="shared" si="9"/>
        <v>0</v>
      </c>
      <c r="N11" s="305">
        <f>+海田!N11</f>
        <v>0</v>
      </c>
      <c r="O11" s="1119"/>
      <c r="P11" s="116" t="str">
        <f t="shared" si="7"/>
        <v>昭和62年度</v>
      </c>
      <c r="Q11" s="346">
        <v>0</v>
      </c>
      <c r="R11" s="346">
        <v>0</v>
      </c>
      <c r="S11" s="346">
        <v>0</v>
      </c>
      <c r="T11" s="346">
        <v>0</v>
      </c>
      <c r="U11" s="114"/>
      <c r="V11" s="121"/>
      <c r="W11" s="1119"/>
      <c r="X11" s="116" t="str">
        <f t="shared" si="8"/>
        <v>昭和62年度</v>
      </c>
      <c r="Y11" s="347">
        <v>0</v>
      </c>
      <c r="Z11" s="347">
        <v>0</v>
      </c>
      <c r="AA11" s="347">
        <v>0</v>
      </c>
      <c r="AB11" s="347">
        <v>0</v>
      </c>
      <c r="AC11" s="114"/>
    </row>
    <row r="12" spans="1:29">
      <c r="A12" s="1119"/>
      <c r="B12" s="116" t="s">
        <v>461</v>
      </c>
      <c r="C12" s="115">
        <f t="shared" si="0"/>
        <v>0</v>
      </c>
      <c r="D12" s="115">
        <f t="shared" si="1"/>
        <v>0</v>
      </c>
      <c r="E12" s="115">
        <f t="shared" si="2"/>
        <v>0</v>
      </c>
      <c r="F12" s="115">
        <f t="shared" si="3"/>
        <v>0</v>
      </c>
      <c r="G12" s="114">
        <f t="shared" si="4"/>
        <v>0</v>
      </c>
      <c r="H12" s="114">
        <f t="shared" si="5"/>
        <v>0</v>
      </c>
      <c r="I12" s="38"/>
      <c r="J12" s="38"/>
      <c r="K12" s="114">
        <v>0</v>
      </c>
      <c r="L12" s="114">
        <f t="shared" si="6"/>
        <v>0</v>
      </c>
      <c r="M12" s="120">
        <f t="shared" si="9"/>
        <v>0</v>
      </c>
      <c r="N12" s="305">
        <f>+海田!N12</f>
        <v>0</v>
      </c>
      <c r="O12" s="1119"/>
      <c r="P12" s="116" t="str">
        <f t="shared" si="7"/>
        <v>昭和63年度</v>
      </c>
      <c r="Q12" s="346">
        <v>0</v>
      </c>
      <c r="R12" s="346">
        <v>0</v>
      </c>
      <c r="S12" s="346">
        <v>0</v>
      </c>
      <c r="T12" s="346">
        <v>0</v>
      </c>
      <c r="U12" s="114"/>
      <c r="V12" s="121"/>
      <c r="W12" s="1119"/>
      <c r="X12" s="116" t="str">
        <f t="shared" si="8"/>
        <v>昭和63年度</v>
      </c>
      <c r="Y12" s="347">
        <v>0</v>
      </c>
      <c r="Z12" s="347">
        <v>0</v>
      </c>
      <c r="AA12" s="347">
        <v>0</v>
      </c>
      <c r="AB12" s="347">
        <v>0</v>
      </c>
      <c r="AC12" s="114"/>
    </row>
    <row r="13" spans="1:29">
      <c r="A13" s="1119"/>
      <c r="B13" s="117" t="s">
        <v>425</v>
      </c>
      <c r="C13" s="115">
        <f t="shared" si="0"/>
        <v>0</v>
      </c>
      <c r="D13" s="115">
        <f t="shared" si="1"/>
        <v>0</v>
      </c>
      <c r="E13" s="115">
        <f t="shared" si="2"/>
        <v>0</v>
      </c>
      <c r="F13" s="115">
        <f t="shared" si="3"/>
        <v>0</v>
      </c>
      <c r="G13" s="375">
        <f>ROUND(C13/C$48*G$48,0)</f>
        <v>0</v>
      </c>
      <c r="H13" s="114">
        <f t="shared" si="5"/>
        <v>0</v>
      </c>
      <c r="I13" s="108">
        <f>+VLOOKUP($B13,年度別調書!$A$4:$M$37,10,0)</f>
        <v>30622955900</v>
      </c>
      <c r="J13" s="108">
        <f>+VLOOKUP($B13,年度別調書!$A$4:$M$37,13,0)</f>
        <v>62903610340</v>
      </c>
      <c r="K13" s="114">
        <f>IFERROR(ROUND(H13*I13/J13,0),0)</f>
        <v>0</v>
      </c>
      <c r="L13" s="114">
        <f>H13-K13</f>
        <v>0</v>
      </c>
      <c r="M13" s="120">
        <f t="shared" si="9"/>
        <v>0</v>
      </c>
      <c r="N13" s="305">
        <f>+海田!N13</f>
        <v>3</v>
      </c>
      <c r="O13" s="1119"/>
      <c r="P13" s="116" t="str">
        <f t="shared" si="7"/>
        <v>平成元年度</v>
      </c>
      <c r="Q13" s="346">
        <v>0</v>
      </c>
      <c r="R13" s="346">
        <v>0</v>
      </c>
      <c r="S13" s="346">
        <v>0</v>
      </c>
      <c r="T13" s="346">
        <v>0</v>
      </c>
      <c r="U13" s="114"/>
      <c r="V13" s="121"/>
      <c r="W13" s="1119"/>
      <c r="X13" s="116" t="str">
        <f t="shared" si="8"/>
        <v>平成元年度</v>
      </c>
      <c r="Y13" s="347">
        <v>0</v>
      </c>
      <c r="Z13" s="347">
        <v>0</v>
      </c>
      <c r="AA13" s="347">
        <v>0</v>
      </c>
      <c r="AB13" s="347">
        <v>0</v>
      </c>
      <c r="AC13" s="114"/>
    </row>
    <row r="14" spans="1:29">
      <c r="A14" s="1119"/>
      <c r="B14" s="117" t="s">
        <v>426</v>
      </c>
      <c r="C14" s="115">
        <f t="shared" si="0"/>
        <v>0</v>
      </c>
      <c r="D14" s="115">
        <f t="shared" si="1"/>
        <v>0</v>
      </c>
      <c r="E14" s="115">
        <f t="shared" si="2"/>
        <v>0</v>
      </c>
      <c r="F14" s="115">
        <f t="shared" si="3"/>
        <v>0</v>
      </c>
      <c r="G14" s="114">
        <f t="shared" si="4"/>
        <v>0</v>
      </c>
      <c r="H14" s="114">
        <f t="shared" si="5"/>
        <v>0</v>
      </c>
      <c r="I14" s="108">
        <f>+VLOOKUP($B14,年度別調書!$A$4:$M$37,10,0)</f>
        <v>36785805618</v>
      </c>
      <c r="J14" s="108">
        <f>+VLOOKUP($B14,年度別調書!$A$4:$M$37,13,0)</f>
        <v>65207626364</v>
      </c>
      <c r="K14" s="114">
        <f t="shared" ref="K14:K47" si="10">IFERROR(ROUND(H14*I14/J14,0),0)</f>
        <v>0</v>
      </c>
      <c r="L14" s="114">
        <f>H14-K14</f>
        <v>0</v>
      </c>
      <c r="M14" s="120">
        <f t="shared" si="9"/>
        <v>0</v>
      </c>
      <c r="N14" s="305">
        <f>+海田!N14</f>
        <v>3</v>
      </c>
      <c r="O14" s="1119"/>
      <c r="P14" s="116" t="str">
        <f t="shared" si="7"/>
        <v>平成2年度</v>
      </c>
      <c r="Q14" s="346">
        <v>0</v>
      </c>
      <c r="R14" s="346">
        <v>0</v>
      </c>
      <c r="S14" s="346">
        <v>0</v>
      </c>
      <c r="T14" s="346">
        <v>0</v>
      </c>
      <c r="U14" s="114"/>
      <c r="V14" s="121"/>
      <c r="W14" s="1119"/>
      <c r="X14" s="116" t="str">
        <f t="shared" si="8"/>
        <v>平成2年度</v>
      </c>
      <c r="Y14" s="347">
        <v>0</v>
      </c>
      <c r="Z14" s="347">
        <v>0</v>
      </c>
      <c r="AA14" s="347">
        <v>0</v>
      </c>
      <c r="AB14" s="347">
        <v>0</v>
      </c>
      <c r="AC14" s="114"/>
    </row>
    <row r="15" spans="1:29">
      <c r="A15" s="1119"/>
      <c r="B15" s="117" t="s">
        <v>427</v>
      </c>
      <c r="C15" s="115">
        <f t="shared" si="0"/>
        <v>0</v>
      </c>
      <c r="D15" s="115">
        <f t="shared" si="1"/>
        <v>0</v>
      </c>
      <c r="E15" s="115">
        <f t="shared" si="2"/>
        <v>0</v>
      </c>
      <c r="F15" s="115">
        <f t="shared" si="3"/>
        <v>0</v>
      </c>
      <c r="G15" s="114">
        <f t="shared" si="4"/>
        <v>0</v>
      </c>
      <c r="H15" s="114">
        <f t="shared" si="5"/>
        <v>0</v>
      </c>
      <c r="I15" s="108">
        <f>+VLOOKUP($B15,年度別調書!$A$4:$M$37,10,0)</f>
        <v>42048127236</v>
      </c>
      <c r="J15" s="108">
        <f>+VLOOKUP($B15,年度別調書!$A$4:$M$37,13,0)</f>
        <v>72538415314</v>
      </c>
      <c r="K15" s="114">
        <f t="shared" si="10"/>
        <v>0</v>
      </c>
      <c r="L15" s="114">
        <f>H15-K15</f>
        <v>0</v>
      </c>
      <c r="M15" s="120">
        <f t="shared" si="9"/>
        <v>0</v>
      </c>
      <c r="N15" s="305">
        <f>+海田!N15</f>
        <v>3</v>
      </c>
      <c r="O15" s="1119"/>
      <c r="P15" s="116" t="str">
        <f t="shared" si="7"/>
        <v>平成3年度</v>
      </c>
      <c r="Q15" s="346">
        <v>0</v>
      </c>
      <c r="R15" s="346">
        <v>0</v>
      </c>
      <c r="S15" s="346">
        <v>0</v>
      </c>
      <c r="T15" s="346">
        <v>0</v>
      </c>
      <c r="U15" s="114"/>
      <c r="V15" s="121"/>
      <c r="W15" s="1119"/>
      <c r="X15" s="116" t="str">
        <f t="shared" si="8"/>
        <v>平成3年度</v>
      </c>
      <c r="Y15" s="441">
        <v>0</v>
      </c>
      <c r="Z15" s="441">
        <v>0</v>
      </c>
      <c r="AA15" s="441">
        <v>0</v>
      </c>
      <c r="AB15" s="441">
        <v>0</v>
      </c>
      <c r="AC15" s="114"/>
    </row>
    <row r="16" spans="1:29">
      <c r="A16" s="1119"/>
      <c r="B16" s="117" t="s">
        <v>428</v>
      </c>
      <c r="C16" s="115">
        <f t="shared" si="0"/>
        <v>396649</v>
      </c>
      <c r="D16" s="115">
        <f t="shared" si="1"/>
        <v>10891</v>
      </c>
      <c r="E16" s="115">
        <f t="shared" si="2"/>
        <v>407540</v>
      </c>
      <c r="F16" s="115">
        <f t="shared" si="3"/>
        <v>31738</v>
      </c>
      <c r="G16" s="114">
        <f t="shared" si="4"/>
        <v>34256</v>
      </c>
      <c r="H16" s="114">
        <f t="shared" si="5"/>
        <v>362393</v>
      </c>
      <c r="I16" s="108">
        <f>+VLOOKUP($B16,年度別調書!$A$4:$M$37,10,0)</f>
        <v>49320557603</v>
      </c>
      <c r="J16" s="108">
        <f>+VLOOKUP($B16,年度別調書!$A$4:$M$37,13,0)</f>
        <v>82028053042</v>
      </c>
      <c r="K16" s="114">
        <f t="shared" si="10"/>
        <v>217894</v>
      </c>
      <c r="L16" s="114">
        <f>H16-K16</f>
        <v>144499</v>
      </c>
      <c r="M16" s="120">
        <f t="shared" si="9"/>
        <v>-0.4040000000022701</v>
      </c>
      <c r="N16" s="305">
        <f>+海田!N16</f>
        <v>3</v>
      </c>
      <c r="O16" s="1119"/>
      <c r="P16" s="116" t="str">
        <f t="shared" si="7"/>
        <v>平成4年度</v>
      </c>
      <c r="Q16" s="346">
        <v>196531</v>
      </c>
      <c r="R16" s="346">
        <v>7239</v>
      </c>
      <c r="S16" s="346">
        <v>203770</v>
      </c>
      <c r="T16" s="346">
        <v>15869</v>
      </c>
      <c r="U16" s="114"/>
      <c r="V16" s="121"/>
      <c r="W16" s="1119"/>
      <c r="X16" s="116" t="str">
        <f t="shared" si="8"/>
        <v>平成4年度</v>
      </c>
      <c r="Y16" s="347">
        <v>200118</v>
      </c>
      <c r="Z16" s="347">
        <v>3652</v>
      </c>
      <c r="AA16" s="347">
        <v>203770</v>
      </c>
      <c r="AB16" s="347">
        <v>15869</v>
      </c>
      <c r="AC16" s="114"/>
    </row>
    <row r="17" spans="1:29">
      <c r="A17" s="1119"/>
      <c r="B17" s="117" t="s">
        <v>429</v>
      </c>
      <c r="C17" s="115">
        <f t="shared" si="0"/>
        <v>626517</v>
      </c>
      <c r="D17" s="115">
        <f t="shared" si="1"/>
        <v>32743</v>
      </c>
      <c r="E17" s="115">
        <f t="shared" si="2"/>
        <v>659260</v>
      </c>
      <c r="F17" s="115">
        <f t="shared" si="3"/>
        <v>30910</v>
      </c>
      <c r="G17" s="114">
        <f t="shared" si="4"/>
        <v>54108</v>
      </c>
      <c r="H17" s="114">
        <f t="shared" si="5"/>
        <v>572409</v>
      </c>
      <c r="I17" s="108">
        <f>+VLOOKUP($B17,年度別調書!$A$4:$M$37,10,0)</f>
        <v>54853236126</v>
      </c>
      <c r="J17" s="108">
        <f>+VLOOKUP($B17,年度別調書!$A$4:$M$37,13,0)</f>
        <v>94393962571</v>
      </c>
      <c r="K17" s="114">
        <f t="shared" si="10"/>
        <v>332632</v>
      </c>
      <c r="L17" s="114">
        <f t="shared" ref="L17:L47" si="11">H17-K17</f>
        <v>239777</v>
      </c>
      <c r="M17" s="120">
        <f t="shared" si="9"/>
        <v>-0.43099999999685679</v>
      </c>
      <c r="N17" s="305">
        <f>+海田!N17</f>
        <v>3</v>
      </c>
      <c r="O17" s="1119"/>
      <c r="P17" s="116" t="str">
        <f t="shared" si="7"/>
        <v>平成5年度</v>
      </c>
      <c r="Q17" s="346">
        <v>309823</v>
      </c>
      <c r="R17" s="346">
        <v>19807</v>
      </c>
      <c r="S17" s="346">
        <v>329630</v>
      </c>
      <c r="T17" s="346">
        <v>15455</v>
      </c>
      <c r="U17" s="114"/>
      <c r="V17" s="121"/>
      <c r="W17" s="1119"/>
      <c r="X17" s="116" t="str">
        <f t="shared" si="8"/>
        <v>平成5年度</v>
      </c>
      <c r="Y17" s="347">
        <v>316694</v>
      </c>
      <c r="Z17" s="347">
        <v>12936</v>
      </c>
      <c r="AA17" s="347">
        <v>329630</v>
      </c>
      <c r="AB17" s="347">
        <v>15455</v>
      </c>
      <c r="AC17" s="114"/>
    </row>
    <row r="18" spans="1:29">
      <c r="A18" s="1119"/>
      <c r="B18" s="117" t="s">
        <v>430</v>
      </c>
      <c r="C18" s="115">
        <f t="shared" si="0"/>
        <v>489651</v>
      </c>
      <c r="D18" s="115">
        <f t="shared" si="1"/>
        <v>38607</v>
      </c>
      <c r="E18" s="115">
        <f t="shared" si="2"/>
        <v>528258</v>
      </c>
      <c r="F18" s="115">
        <f t="shared" si="3"/>
        <v>15078</v>
      </c>
      <c r="G18" s="114">
        <f t="shared" si="4"/>
        <v>42287</v>
      </c>
      <c r="H18" s="114">
        <f t="shared" si="5"/>
        <v>447364</v>
      </c>
      <c r="I18" s="108">
        <f>+VLOOKUP($B18,年度別調書!$A$4:$M$37,10,0)</f>
        <v>52459905451</v>
      </c>
      <c r="J18" s="108">
        <f>+VLOOKUP($B18,年度別調書!$A$4:$M$37,13,0)</f>
        <v>92179213936</v>
      </c>
      <c r="K18" s="114">
        <f t="shared" si="10"/>
        <v>254598</v>
      </c>
      <c r="L18" s="114">
        <f t="shared" si="11"/>
        <v>192766</v>
      </c>
      <c r="M18" s="120">
        <f t="shared" si="9"/>
        <v>0.48000000000320142</v>
      </c>
      <c r="N18" s="305">
        <f>+海田!N18</f>
        <v>3</v>
      </c>
      <c r="O18" s="1119"/>
      <c r="P18" s="116" t="str">
        <f t="shared" si="7"/>
        <v>平成6年度</v>
      </c>
      <c r="Q18" s="346">
        <v>242434</v>
      </c>
      <c r="R18" s="346">
        <v>21695</v>
      </c>
      <c r="S18" s="346">
        <v>264129</v>
      </c>
      <c r="T18" s="346">
        <v>7539</v>
      </c>
      <c r="U18" s="114"/>
      <c r="V18" s="121"/>
      <c r="W18" s="1119"/>
      <c r="X18" s="116" t="str">
        <f t="shared" si="8"/>
        <v>平成6年度</v>
      </c>
      <c r="Y18" s="347">
        <v>247217</v>
      </c>
      <c r="Z18" s="347">
        <v>16912</v>
      </c>
      <c r="AA18" s="347">
        <v>264129</v>
      </c>
      <c r="AB18" s="347">
        <v>7539</v>
      </c>
      <c r="AC18" s="114"/>
    </row>
    <row r="19" spans="1:29">
      <c r="A19" s="1119"/>
      <c r="B19" s="117" t="s">
        <v>431</v>
      </c>
      <c r="C19" s="115">
        <f t="shared" si="0"/>
        <v>0</v>
      </c>
      <c r="D19" s="115">
        <f t="shared" si="1"/>
        <v>0</v>
      </c>
      <c r="E19" s="115">
        <f t="shared" si="2"/>
        <v>0</v>
      </c>
      <c r="F19" s="115">
        <f t="shared" si="3"/>
        <v>0</v>
      </c>
      <c r="G19" s="114">
        <f t="shared" si="4"/>
        <v>0</v>
      </c>
      <c r="H19" s="114">
        <f t="shared" si="5"/>
        <v>0</v>
      </c>
      <c r="I19" s="108">
        <f>+VLOOKUP($B19,年度別調書!$A$4:$M$37,10,0)</f>
        <v>58579778590</v>
      </c>
      <c r="J19" s="108">
        <f>+VLOOKUP($B19,年度別調書!$A$4:$M$37,13,0)</f>
        <v>98916143476</v>
      </c>
      <c r="K19" s="114">
        <f t="shared" si="10"/>
        <v>0</v>
      </c>
      <c r="L19" s="114">
        <f t="shared" si="11"/>
        <v>0</v>
      </c>
      <c r="M19" s="120">
        <f t="shared" si="9"/>
        <v>0</v>
      </c>
      <c r="N19" s="305">
        <f>+海田!N19</f>
        <v>3</v>
      </c>
      <c r="O19" s="1119"/>
      <c r="P19" s="116" t="str">
        <f t="shared" si="7"/>
        <v>平成7年度</v>
      </c>
      <c r="Q19" s="346">
        <v>0</v>
      </c>
      <c r="R19" s="346">
        <v>0</v>
      </c>
      <c r="S19" s="346">
        <v>0</v>
      </c>
      <c r="T19" s="346">
        <v>0</v>
      </c>
      <c r="U19" s="114"/>
      <c r="V19" s="121"/>
      <c r="W19" s="1119"/>
      <c r="X19" s="116" t="str">
        <f t="shared" si="8"/>
        <v>平成7年度</v>
      </c>
      <c r="Y19" s="441">
        <v>0</v>
      </c>
      <c r="Z19" s="441">
        <v>0</v>
      </c>
      <c r="AA19" s="441">
        <v>0</v>
      </c>
      <c r="AB19" s="441">
        <v>0</v>
      </c>
      <c r="AC19" s="114"/>
    </row>
    <row r="20" spans="1:29">
      <c r="A20" s="1119"/>
      <c r="B20" s="117" t="s">
        <v>432</v>
      </c>
      <c r="C20" s="115">
        <f t="shared" si="0"/>
        <v>0</v>
      </c>
      <c r="D20" s="115">
        <f t="shared" si="1"/>
        <v>0</v>
      </c>
      <c r="E20" s="115">
        <f t="shared" si="2"/>
        <v>0</v>
      </c>
      <c r="F20" s="115">
        <f t="shared" si="3"/>
        <v>0</v>
      </c>
      <c r="G20" s="114">
        <f t="shared" si="4"/>
        <v>0</v>
      </c>
      <c r="H20" s="114">
        <f t="shared" si="5"/>
        <v>0</v>
      </c>
      <c r="I20" s="108">
        <f>+VLOOKUP($B20,年度別調書!$A$4:$M$37,10,0)</f>
        <v>59855732510</v>
      </c>
      <c r="J20" s="108">
        <f>+VLOOKUP($B20,年度別調書!$A$4:$M$37,13,0)</f>
        <v>105086070753</v>
      </c>
      <c r="K20" s="114">
        <f t="shared" si="10"/>
        <v>0</v>
      </c>
      <c r="L20" s="114">
        <f t="shared" si="11"/>
        <v>0</v>
      </c>
      <c r="M20" s="120">
        <f t="shared" si="9"/>
        <v>0</v>
      </c>
      <c r="N20" s="305">
        <f>+海田!N20</f>
        <v>3</v>
      </c>
      <c r="O20" s="1119"/>
      <c r="P20" s="116" t="str">
        <f t="shared" si="7"/>
        <v>平成8年度</v>
      </c>
      <c r="Q20" s="346">
        <v>0</v>
      </c>
      <c r="R20" s="346">
        <v>0</v>
      </c>
      <c r="S20" s="346">
        <v>0</v>
      </c>
      <c r="T20" s="346">
        <v>0</v>
      </c>
      <c r="U20" s="114"/>
      <c r="V20" s="121"/>
      <c r="W20" s="1119"/>
      <c r="X20" s="116" t="str">
        <f t="shared" si="8"/>
        <v>平成8年度</v>
      </c>
      <c r="Y20" s="441">
        <v>0</v>
      </c>
      <c r="Z20" s="441">
        <v>0</v>
      </c>
      <c r="AA20" s="441">
        <v>0</v>
      </c>
      <c r="AB20" s="441">
        <v>0</v>
      </c>
      <c r="AC20" s="114"/>
    </row>
    <row r="21" spans="1:29">
      <c r="A21" s="1119"/>
      <c r="B21" s="117" t="s">
        <v>433</v>
      </c>
      <c r="C21" s="115">
        <f t="shared" si="0"/>
        <v>0</v>
      </c>
      <c r="D21" s="115">
        <f t="shared" si="1"/>
        <v>0</v>
      </c>
      <c r="E21" s="115">
        <f t="shared" si="2"/>
        <v>0</v>
      </c>
      <c r="F21" s="115">
        <f t="shared" si="3"/>
        <v>0</v>
      </c>
      <c r="G21" s="114">
        <f t="shared" si="4"/>
        <v>0</v>
      </c>
      <c r="H21" s="114">
        <f t="shared" si="5"/>
        <v>0</v>
      </c>
      <c r="I21" s="108">
        <f>+VLOOKUP($B21,年度別調書!$A$4:$M$37,10,0)</f>
        <v>65491097789</v>
      </c>
      <c r="J21" s="108">
        <f>+VLOOKUP($B21,年度別調書!$A$4:$M$37,13,0)</f>
        <v>112544371375</v>
      </c>
      <c r="K21" s="114">
        <f t="shared" si="10"/>
        <v>0</v>
      </c>
      <c r="L21" s="114">
        <f t="shared" si="11"/>
        <v>0</v>
      </c>
      <c r="M21" s="120">
        <f t="shared" si="9"/>
        <v>0</v>
      </c>
      <c r="N21" s="305">
        <f>+海田!N21</f>
        <v>5</v>
      </c>
      <c r="O21" s="1119"/>
      <c r="P21" s="116" t="str">
        <f t="shared" si="7"/>
        <v>平成9年度</v>
      </c>
      <c r="Q21" s="346">
        <v>0</v>
      </c>
      <c r="R21" s="346">
        <v>0</v>
      </c>
      <c r="S21" s="346">
        <v>0</v>
      </c>
      <c r="T21" s="346">
        <v>0</v>
      </c>
      <c r="U21" s="114"/>
      <c r="V21" s="121"/>
      <c r="W21" s="1119"/>
      <c r="X21" s="116" t="str">
        <f t="shared" si="8"/>
        <v>平成9年度</v>
      </c>
      <c r="Y21" s="441">
        <v>0</v>
      </c>
      <c r="Z21" s="441">
        <v>0</v>
      </c>
      <c r="AA21" s="441">
        <v>0</v>
      </c>
      <c r="AB21" s="441">
        <v>0</v>
      </c>
      <c r="AC21" s="114"/>
    </row>
    <row r="22" spans="1:29">
      <c r="A22" s="1119"/>
      <c r="B22" s="117" t="s">
        <v>434</v>
      </c>
      <c r="C22" s="115">
        <f t="shared" si="0"/>
        <v>0</v>
      </c>
      <c r="D22" s="115">
        <f t="shared" si="1"/>
        <v>0</v>
      </c>
      <c r="E22" s="115">
        <f t="shared" si="2"/>
        <v>0</v>
      </c>
      <c r="F22" s="115">
        <f t="shared" si="3"/>
        <v>0</v>
      </c>
      <c r="G22" s="114">
        <f t="shared" si="4"/>
        <v>0</v>
      </c>
      <c r="H22" s="114">
        <f t="shared" si="5"/>
        <v>0</v>
      </c>
      <c r="I22" s="108">
        <f>+VLOOKUP($B22,年度別調書!$A$4:$M$37,10,0)</f>
        <v>66701247191</v>
      </c>
      <c r="J22" s="108">
        <f>+VLOOKUP($B22,年度別調書!$A$4:$M$37,13,0)</f>
        <v>118194473653</v>
      </c>
      <c r="K22" s="114">
        <f t="shared" si="10"/>
        <v>0</v>
      </c>
      <c r="L22" s="114">
        <f t="shared" si="11"/>
        <v>0</v>
      </c>
      <c r="M22" s="120">
        <f t="shared" si="9"/>
        <v>0</v>
      </c>
      <c r="N22" s="305">
        <f>+海田!N22</f>
        <v>5</v>
      </c>
      <c r="O22" s="1119"/>
      <c r="P22" s="116" t="str">
        <f t="shared" si="7"/>
        <v>平成10年度</v>
      </c>
      <c r="Q22" s="346">
        <v>0</v>
      </c>
      <c r="R22" s="346">
        <v>0</v>
      </c>
      <c r="S22" s="346">
        <v>0</v>
      </c>
      <c r="T22" s="346">
        <v>0</v>
      </c>
      <c r="U22" s="114"/>
      <c r="V22" s="121"/>
      <c r="W22" s="1119"/>
      <c r="X22" s="116" t="str">
        <f t="shared" si="8"/>
        <v>平成10年度</v>
      </c>
      <c r="Y22" s="441">
        <v>0</v>
      </c>
      <c r="Z22" s="441">
        <v>0</v>
      </c>
      <c r="AA22" s="441">
        <v>0</v>
      </c>
      <c r="AB22" s="441">
        <v>0</v>
      </c>
      <c r="AC22" s="114"/>
    </row>
    <row r="23" spans="1:29">
      <c r="A23" s="1119"/>
      <c r="B23" s="117" t="s">
        <v>435</v>
      </c>
      <c r="C23" s="115">
        <f t="shared" si="0"/>
        <v>45699</v>
      </c>
      <c r="D23" s="115">
        <f t="shared" si="1"/>
        <v>4571</v>
      </c>
      <c r="E23" s="115">
        <f t="shared" si="2"/>
        <v>50270</v>
      </c>
      <c r="F23" s="115">
        <f t="shared" si="3"/>
        <v>5502</v>
      </c>
      <c r="G23" s="114">
        <f t="shared" si="4"/>
        <v>3947</v>
      </c>
      <c r="H23" s="114">
        <f t="shared" si="5"/>
        <v>41752</v>
      </c>
      <c r="I23" s="108">
        <f>+VLOOKUP($B23,年度別調書!$A$4:$M$37,10,0)</f>
        <v>58274420372</v>
      </c>
      <c r="J23" s="108">
        <f>+VLOOKUP($B23,年度別調書!$A$4:$M$37,13,0)</f>
        <v>110790062218</v>
      </c>
      <c r="K23" s="114">
        <f t="shared" si="10"/>
        <v>21961</v>
      </c>
      <c r="L23" s="114">
        <f t="shared" si="11"/>
        <v>19791</v>
      </c>
      <c r="M23" s="120">
        <f t="shared" si="9"/>
        <v>-0.32000000000016371</v>
      </c>
      <c r="N23" s="305">
        <f>+海田!N23</f>
        <v>5</v>
      </c>
      <c r="O23" s="1119"/>
      <c r="P23" s="116" t="str">
        <f t="shared" si="7"/>
        <v>平成11年度</v>
      </c>
      <c r="Q23" s="346">
        <v>22738</v>
      </c>
      <c r="R23" s="346">
        <v>2397</v>
      </c>
      <c r="S23" s="346">
        <v>25135</v>
      </c>
      <c r="T23" s="346">
        <v>2751</v>
      </c>
      <c r="U23" s="114"/>
      <c r="V23" s="121"/>
      <c r="W23" s="1119"/>
      <c r="X23" s="116" t="str">
        <f t="shared" si="8"/>
        <v>平成11年度</v>
      </c>
      <c r="Y23" s="347">
        <v>22961</v>
      </c>
      <c r="Z23" s="347">
        <v>2174</v>
      </c>
      <c r="AA23" s="347">
        <v>25135</v>
      </c>
      <c r="AB23" s="347">
        <v>2751</v>
      </c>
      <c r="AC23" s="114"/>
    </row>
    <row r="24" spans="1:29">
      <c r="A24" s="1119"/>
      <c r="B24" s="117" t="s">
        <v>436</v>
      </c>
      <c r="C24" s="115">
        <f t="shared" si="0"/>
        <v>218603</v>
      </c>
      <c r="D24" s="115">
        <f t="shared" si="1"/>
        <v>24463</v>
      </c>
      <c r="E24" s="115">
        <f t="shared" si="2"/>
        <v>243066</v>
      </c>
      <c r="F24" s="115">
        <f t="shared" si="3"/>
        <v>27962</v>
      </c>
      <c r="G24" s="114">
        <f t="shared" si="4"/>
        <v>18879</v>
      </c>
      <c r="H24" s="114">
        <f t="shared" si="5"/>
        <v>199724</v>
      </c>
      <c r="I24" s="108">
        <f>+VLOOKUP($B24,年度別調書!$A$4:$M$37,10,0)</f>
        <v>48353931386</v>
      </c>
      <c r="J24" s="108">
        <f>+VLOOKUP($B24,年度別調書!$A$4:$M$37,13,0)</f>
        <v>104173607652</v>
      </c>
      <c r="K24" s="114">
        <f t="shared" si="10"/>
        <v>92705</v>
      </c>
      <c r="L24" s="114">
        <f t="shared" si="11"/>
        <v>107019</v>
      </c>
      <c r="M24" s="120">
        <f t="shared" si="9"/>
        <v>9.9999999998544808E-2</v>
      </c>
      <c r="N24" s="305">
        <f>+海田!N24</f>
        <v>5</v>
      </c>
      <c r="O24" s="1119"/>
      <c r="P24" s="116" t="str">
        <f t="shared" si="7"/>
        <v>平成12年度</v>
      </c>
      <c r="Q24" s="346">
        <v>108818</v>
      </c>
      <c r="R24" s="346">
        <v>12715</v>
      </c>
      <c r="S24" s="346">
        <v>121533</v>
      </c>
      <c r="T24" s="346">
        <v>13981</v>
      </c>
      <c r="U24" s="114"/>
      <c r="V24" s="121"/>
      <c r="W24" s="1119"/>
      <c r="X24" s="116" t="str">
        <f t="shared" si="8"/>
        <v>平成12年度</v>
      </c>
      <c r="Y24" s="347">
        <v>109785</v>
      </c>
      <c r="Z24" s="347">
        <v>11748</v>
      </c>
      <c r="AA24" s="347">
        <v>121533</v>
      </c>
      <c r="AB24" s="347">
        <v>13981</v>
      </c>
      <c r="AC24" s="114"/>
    </row>
    <row r="25" spans="1:29">
      <c r="A25" s="1119"/>
      <c r="B25" s="117" t="s">
        <v>437</v>
      </c>
      <c r="C25" s="115">
        <f t="shared" si="0"/>
        <v>681954</v>
      </c>
      <c r="D25" s="115">
        <f t="shared" si="1"/>
        <v>99190</v>
      </c>
      <c r="E25" s="115">
        <f t="shared" si="2"/>
        <v>781144</v>
      </c>
      <c r="F25" s="115">
        <f t="shared" si="3"/>
        <v>91932</v>
      </c>
      <c r="G25" s="375">
        <f>ROUND(C25/C$48*G$48,0)</f>
        <v>58895</v>
      </c>
      <c r="H25" s="114">
        <f t="shared" si="5"/>
        <v>623059</v>
      </c>
      <c r="I25" s="108">
        <f>+VLOOKUP($B25,年度別調書!$A$4:$M$37,10,0)</f>
        <v>42742028940</v>
      </c>
      <c r="J25" s="108">
        <f>+VLOOKUP($B25,年度別調書!$A$4:$M$37,13,0)</f>
        <v>101075943440</v>
      </c>
      <c r="K25" s="114">
        <f t="shared" si="10"/>
        <v>263473</v>
      </c>
      <c r="L25" s="114">
        <f t="shared" si="11"/>
        <v>359586</v>
      </c>
      <c r="M25" s="120">
        <f t="shared" si="9"/>
        <v>0.2470000000030268</v>
      </c>
      <c r="N25" s="305">
        <f>+海田!N25</f>
        <v>5</v>
      </c>
      <c r="O25" s="1119"/>
      <c r="P25" s="116" t="str">
        <f t="shared" si="7"/>
        <v>平成13年度</v>
      </c>
      <c r="Q25" s="346">
        <v>339314</v>
      </c>
      <c r="R25" s="346">
        <v>51258</v>
      </c>
      <c r="S25" s="346">
        <v>390572</v>
      </c>
      <c r="T25" s="346">
        <v>45966</v>
      </c>
      <c r="U25" s="114"/>
      <c r="V25" s="121"/>
      <c r="W25" s="1119"/>
      <c r="X25" s="116" t="str">
        <f t="shared" si="8"/>
        <v>平成13年度</v>
      </c>
      <c r="Y25" s="347">
        <v>342640</v>
      </c>
      <c r="Z25" s="347">
        <v>47932</v>
      </c>
      <c r="AA25" s="347">
        <v>390572</v>
      </c>
      <c r="AB25" s="347">
        <v>45966</v>
      </c>
      <c r="AC25" s="114"/>
    </row>
    <row r="26" spans="1:29">
      <c r="A26" s="1119"/>
      <c r="B26" s="117" t="s">
        <v>438</v>
      </c>
      <c r="C26" s="115">
        <f t="shared" si="0"/>
        <v>577988</v>
      </c>
      <c r="D26" s="115">
        <f t="shared" si="1"/>
        <v>105070</v>
      </c>
      <c r="E26" s="115">
        <f t="shared" si="2"/>
        <v>683058</v>
      </c>
      <c r="F26" s="115">
        <f t="shared" si="3"/>
        <v>77098</v>
      </c>
      <c r="G26" s="444">
        <f>ROUND(C26/C$48*G$48,0)+1</f>
        <v>49917</v>
      </c>
      <c r="H26" s="114">
        <f t="shared" si="5"/>
        <v>528071</v>
      </c>
      <c r="I26" s="108">
        <f>+VLOOKUP($B26,年度別調書!$A$4:$M$37,10,0)</f>
        <v>38694694218</v>
      </c>
      <c r="J26" s="108">
        <f>+VLOOKUP($B26,年度別調書!$A$4:$M$37,13,0)</f>
        <v>98151426478</v>
      </c>
      <c r="K26" s="114">
        <f t="shared" si="10"/>
        <v>208184</v>
      </c>
      <c r="L26" s="114">
        <f t="shared" si="11"/>
        <v>319887</v>
      </c>
      <c r="M26" s="120">
        <f t="shared" si="9"/>
        <v>0.48399999999674037</v>
      </c>
      <c r="N26" s="305">
        <f>+海田!N26</f>
        <v>5</v>
      </c>
      <c r="O26" s="1119"/>
      <c r="P26" s="116" t="str">
        <f t="shared" si="7"/>
        <v>平成14年度</v>
      </c>
      <c r="Q26" s="346">
        <v>287766</v>
      </c>
      <c r="R26" s="346">
        <v>53763</v>
      </c>
      <c r="S26" s="346">
        <v>341529</v>
      </c>
      <c r="T26" s="346">
        <v>38549</v>
      </c>
      <c r="U26" s="114"/>
      <c r="V26" s="121"/>
      <c r="W26" s="1119"/>
      <c r="X26" s="116" t="str">
        <f t="shared" si="8"/>
        <v>平成14年度</v>
      </c>
      <c r="Y26" s="347">
        <v>290222</v>
      </c>
      <c r="Z26" s="347">
        <v>51307</v>
      </c>
      <c r="AA26" s="347">
        <v>341529</v>
      </c>
      <c r="AB26" s="347">
        <v>38549</v>
      </c>
      <c r="AC26" s="114"/>
    </row>
    <row r="27" spans="1:29">
      <c r="A27" s="1119"/>
      <c r="B27" s="117" t="s">
        <v>439</v>
      </c>
      <c r="C27" s="115">
        <f t="shared" si="0"/>
        <v>52632</v>
      </c>
      <c r="D27" s="115">
        <f t="shared" si="1"/>
        <v>12944</v>
      </c>
      <c r="E27" s="115">
        <f t="shared" si="2"/>
        <v>65576</v>
      </c>
      <c r="F27" s="115">
        <f t="shared" si="3"/>
        <v>7360</v>
      </c>
      <c r="G27" s="114">
        <f t="shared" si="4"/>
        <v>4545</v>
      </c>
      <c r="H27" s="114">
        <f t="shared" si="5"/>
        <v>48087</v>
      </c>
      <c r="I27" s="108">
        <f>+VLOOKUP($B27,年度別調書!$A$4:$M$37,10,0)</f>
        <v>37621895854</v>
      </c>
      <c r="J27" s="108">
        <f>+VLOOKUP($B27,年度別調書!$A$4:$M$37,13,0)</f>
        <v>100825076572</v>
      </c>
      <c r="K27" s="114">
        <f t="shared" si="10"/>
        <v>17943</v>
      </c>
      <c r="L27" s="114">
        <f t="shared" si="11"/>
        <v>30144</v>
      </c>
      <c r="M27" s="120">
        <f t="shared" si="9"/>
        <v>0.43099999999958527</v>
      </c>
      <c r="N27" s="305">
        <f>+海田!N27</f>
        <v>5</v>
      </c>
      <c r="O27" s="1119"/>
      <c r="P27" s="116" t="str">
        <f t="shared" si="7"/>
        <v>平成15年度</v>
      </c>
      <c r="Q27" s="346">
        <v>26181</v>
      </c>
      <c r="R27" s="346">
        <v>6607</v>
      </c>
      <c r="S27" s="346">
        <v>32788</v>
      </c>
      <c r="T27" s="346">
        <v>3680</v>
      </c>
      <c r="U27" s="114"/>
      <c r="V27" s="121"/>
      <c r="W27" s="1119"/>
      <c r="X27" s="116" t="str">
        <f t="shared" si="8"/>
        <v>平成15年度</v>
      </c>
      <c r="Y27" s="347">
        <v>26451</v>
      </c>
      <c r="Z27" s="347">
        <v>6337</v>
      </c>
      <c r="AA27" s="347">
        <v>32788</v>
      </c>
      <c r="AB27" s="347">
        <v>3680</v>
      </c>
      <c r="AC27" s="114"/>
    </row>
    <row r="28" spans="1:29">
      <c r="A28" s="1119"/>
      <c r="B28" s="117" t="s">
        <v>440</v>
      </c>
      <c r="C28" s="115">
        <f t="shared" si="0"/>
        <v>376974</v>
      </c>
      <c r="D28" s="115">
        <f t="shared" si="1"/>
        <v>102776</v>
      </c>
      <c r="E28" s="115">
        <f t="shared" si="2"/>
        <v>479750</v>
      </c>
      <c r="F28" s="115">
        <f t="shared" si="3"/>
        <v>55480</v>
      </c>
      <c r="G28" s="375">
        <f>ROUND(C28/C$48*G$48,0)</f>
        <v>32556</v>
      </c>
      <c r="H28" s="114">
        <f t="shared" si="5"/>
        <v>344418</v>
      </c>
      <c r="I28" s="108">
        <f>+VLOOKUP($B28,年度別調書!$A$4:$M$37,10,0)</f>
        <v>29085465357</v>
      </c>
      <c r="J28" s="108">
        <f>+VLOOKUP($B28,年度別調書!$A$4:$M$37,13,0)</f>
        <v>101305165124</v>
      </c>
      <c r="K28" s="114">
        <f t="shared" si="10"/>
        <v>98885</v>
      </c>
      <c r="L28" s="114">
        <f t="shared" si="11"/>
        <v>245533</v>
      </c>
      <c r="M28" s="120">
        <f t="shared" si="9"/>
        <v>0.41400000000066939</v>
      </c>
      <c r="N28" s="305">
        <f>+海田!N28</f>
        <v>5</v>
      </c>
      <c r="O28" s="1119"/>
      <c r="P28" s="116" t="str">
        <f t="shared" si="7"/>
        <v>平成16年度</v>
      </c>
      <c r="Q28" s="346">
        <v>187507</v>
      </c>
      <c r="R28" s="346">
        <v>52368</v>
      </c>
      <c r="S28" s="346">
        <v>239875</v>
      </c>
      <c r="T28" s="346">
        <v>27740</v>
      </c>
      <c r="U28" s="114"/>
      <c r="V28" s="121"/>
      <c r="W28" s="1119"/>
      <c r="X28" s="116" t="str">
        <f t="shared" si="8"/>
        <v>平成16年度</v>
      </c>
      <c r="Y28" s="347">
        <v>189467</v>
      </c>
      <c r="Z28" s="347">
        <v>50408</v>
      </c>
      <c r="AA28" s="347">
        <v>239875</v>
      </c>
      <c r="AB28" s="347">
        <v>27740</v>
      </c>
      <c r="AC28" s="114"/>
    </row>
    <row r="29" spans="1:29">
      <c r="A29" s="1119"/>
      <c r="B29" s="117" t="s">
        <v>441</v>
      </c>
      <c r="C29" s="115">
        <f t="shared" si="0"/>
        <v>0</v>
      </c>
      <c r="D29" s="115">
        <f t="shared" si="1"/>
        <v>0</v>
      </c>
      <c r="E29" s="115">
        <f t="shared" si="2"/>
        <v>0</v>
      </c>
      <c r="F29" s="115">
        <f t="shared" si="3"/>
        <v>0</v>
      </c>
      <c r="G29" s="114">
        <f t="shared" si="4"/>
        <v>0</v>
      </c>
      <c r="H29" s="114">
        <f t="shared" si="5"/>
        <v>0</v>
      </c>
      <c r="I29" s="108">
        <f>+VLOOKUP($B29,年度別調書!$A$4:$M$37,10,0)</f>
        <v>25082997134</v>
      </c>
      <c r="J29" s="108">
        <f>+VLOOKUP($B29,年度別調書!$A$4:$M$37,13,0)</f>
        <v>96528725584</v>
      </c>
      <c r="K29" s="114">
        <f t="shared" si="10"/>
        <v>0</v>
      </c>
      <c r="L29" s="114">
        <f t="shared" si="11"/>
        <v>0</v>
      </c>
      <c r="M29" s="120">
        <f t="shared" si="9"/>
        <v>0</v>
      </c>
      <c r="N29" s="305">
        <f>+海田!N29</f>
        <v>5</v>
      </c>
      <c r="O29" s="1119"/>
      <c r="P29" s="116" t="str">
        <f t="shared" si="7"/>
        <v>平成17年度</v>
      </c>
      <c r="Q29" s="346">
        <v>0</v>
      </c>
      <c r="R29" s="346">
        <v>0</v>
      </c>
      <c r="S29" s="346">
        <v>0</v>
      </c>
      <c r="T29" s="346">
        <v>0</v>
      </c>
      <c r="U29" s="114"/>
      <c r="V29" s="121"/>
      <c r="W29" s="1119"/>
      <c r="X29" s="116" t="str">
        <f t="shared" si="8"/>
        <v>平成17年度</v>
      </c>
      <c r="Y29" s="347">
        <v>0</v>
      </c>
      <c r="Z29" s="347">
        <v>0</v>
      </c>
      <c r="AA29" s="347">
        <v>0</v>
      </c>
      <c r="AB29" s="347">
        <v>0</v>
      </c>
      <c r="AC29" s="114"/>
    </row>
    <row r="30" spans="1:29">
      <c r="A30" s="1119"/>
      <c r="B30" s="117" t="s">
        <v>442</v>
      </c>
      <c r="C30" s="115">
        <f t="shared" si="0"/>
        <v>0</v>
      </c>
      <c r="D30" s="115">
        <f t="shared" si="1"/>
        <v>0</v>
      </c>
      <c r="E30" s="115">
        <f t="shared" si="2"/>
        <v>0</v>
      </c>
      <c r="F30" s="115">
        <f t="shared" si="3"/>
        <v>0</v>
      </c>
      <c r="G30" s="114">
        <f t="shared" si="4"/>
        <v>0</v>
      </c>
      <c r="H30" s="114">
        <f t="shared" si="5"/>
        <v>0</v>
      </c>
      <c r="I30" s="108">
        <f>+VLOOKUP($B30,年度別調書!$A$4:$M$37,10,0)</f>
        <v>21657707574</v>
      </c>
      <c r="J30" s="108">
        <f>+VLOOKUP($B30,年度別調書!$A$4:$M$37,13,0)</f>
        <v>84768578867</v>
      </c>
      <c r="K30" s="114">
        <f t="shared" si="10"/>
        <v>0</v>
      </c>
      <c r="L30" s="114">
        <f t="shared" si="11"/>
        <v>0</v>
      </c>
      <c r="M30" s="120">
        <f t="shared" si="9"/>
        <v>0</v>
      </c>
      <c r="N30" s="305">
        <f>+海田!N30</f>
        <v>5</v>
      </c>
      <c r="O30" s="1119"/>
      <c r="P30" s="116" t="str">
        <f t="shared" si="7"/>
        <v>平成18年度</v>
      </c>
      <c r="Q30" s="346">
        <v>0</v>
      </c>
      <c r="R30" s="346">
        <v>0</v>
      </c>
      <c r="S30" s="346">
        <v>0</v>
      </c>
      <c r="T30" s="346">
        <v>0</v>
      </c>
      <c r="U30" s="114"/>
      <c r="V30" s="121"/>
      <c r="W30" s="1119"/>
      <c r="X30" s="116" t="str">
        <f t="shared" si="8"/>
        <v>平成18年度</v>
      </c>
      <c r="Y30" s="347">
        <v>0</v>
      </c>
      <c r="Z30" s="347">
        <v>0</v>
      </c>
      <c r="AA30" s="347">
        <v>0</v>
      </c>
      <c r="AB30" s="347">
        <v>0</v>
      </c>
      <c r="AC30" s="114"/>
    </row>
    <row r="31" spans="1:29">
      <c r="A31" s="1119"/>
      <c r="B31" s="117" t="s">
        <v>443</v>
      </c>
      <c r="C31" s="115">
        <f t="shared" si="0"/>
        <v>0</v>
      </c>
      <c r="D31" s="115">
        <f t="shared" si="1"/>
        <v>0</v>
      </c>
      <c r="E31" s="115">
        <f t="shared" si="2"/>
        <v>0</v>
      </c>
      <c r="F31" s="115">
        <f t="shared" si="3"/>
        <v>0</v>
      </c>
      <c r="G31" s="114">
        <f t="shared" si="4"/>
        <v>0</v>
      </c>
      <c r="H31" s="114">
        <f t="shared" si="5"/>
        <v>0</v>
      </c>
      <c r="I31" s="108">
        <f>+VLOOKUP($B31,年度別調書!$A$4:$M$37,10,0)</f>
        <v>25422571996</v>
      </c>
      <c r="J31" s="108">
        <f>+VLOOKUP($B31,年度別調書!$A$4:$M$37,13,0)</f>
        <v>105576318079</v>
      </c>
      <c r="K31" s="114">
        <f t="shared" si="10"/>
        <v>0</v>
      </c>
      <c r="L31" s="114">
        <f t="shared" si="11"/>
        <v>0</v>
      </c>
      <c r="M31" s="120">
        <f t="shared" si="9"/>
        <v>0</v>
      </c>
      <c r="N31" s="305">
        <f>+海田!N31</f>
        <v>5</v>
      </c>
      <c r="O31" s="1119"/>
      <c r="P31" s="116" t="str">
        <f t="shared" si="7"/>
        <v>平成19年度</v>
      </c>
      <c r="Q31" s="346">
        <v>0</v>
      </c>
      <c r="R31" s="346">
        <v>0</v>
      </c>
      <c r="S31" s="346">
        <v>0</v>
      </c>
      <c r="T31" s="346">
        <v>0</v>
      </c>
      <c r="U31" s="114"/>
      <c r="V31" s="121"/>
      <c r="W31" s="1119"/>
      <c r="X31" s="116" t="str">
        <f t="shared" si="8"/>
        <v>平成19年度</v>
      </c>
      <c r="Y31" s="347">
        <v>0</v>
      </c>
      <c r="Z31" s="347">
        <v>0</v>
      </c>
      <c r="AA31" s="347">
        <v>0</v>
      </c>
      <c r="AB31" s="347">
        <v>0</v>
      </c>
      <c r="AC31" s="114"/>
    </row>
    <row r="32" spans="1:29">
      <c r="A32" s="1119"/>
      <c r="B32" s="117" t="s">
        <v>444</v>
      </c>
      <c r="C32" s="115">
        <f t="shared" si="0"/>
        <v>0</v>
      </c>
      <c r="D32" s="115">
        <f t="shared" si="1"/>
        <v>0</v>
      </c>
      <c r="E32" s="115">
        <f t="shared" si="2"/>
        <v>0</v>
      </c>
      <c r="F32" s="115">
        <f t="shared" si="3"/>
        <v>0</v>
      </c>
      <c r="G32" s="114">
        <f t="shared" si="4"/>
        <v>0</v>
      </c>
      <c r="H32" s="114">
        <f t="shared" si="5"/>
        <v>0</v>
      </c>
      <c r="I32" s="108">
        <f>+VLOOKUP($B32,年度別調書!$A$4:$M$37,10,0)</f>
        <v>24693835462</v>
      </c>
      <c r="J32" s="108">
        <f>+VLOOKUP($B32,年度別調書!$A$4:$M$37,13,0)</f>
        <v>110401232854</v>
      </c>
      <c r="K32" s="114">
        <f t="shared" si="10"/>
        <v>0</v>
      </c>
      <c r="L32" s="114">
        <f t="shared" si="11"/>
        <v>0</v>
      </c>
      <c r="M32" s="120">
        <f t="shared" si="9"/>
        <v>0</v>
      </c>
      <c r="N32" s="305">
        <f>+海田!N32</f>
        <v>5</v>
      </c>
      <c r="O32" s="1119"/>
      <c r="P32" s="116" t="str">
        <f t="shared" si="7"/>
        <v>平成20年度</v>
      </c>
      <c r="Q32" s="346">
        <v>0</v>
      </c>
      <c r="R32" s="346">
        <v>0</v>
      </c>
      <c r="S32" s="346">
        <v>0</v>
      </c>
      <c r="T32" s="346">
        <v>0</v>
      </c>
      <c r="U32" s="114"/>
      <c r="V32" s="121"/>
      <c r="W32" s="1119"/>
      <c r="X32" s="116" t="str">
        <f t="shared" si="8"/>
        <v>平成20年度</v>
      </c>
      <c r="Y32" s="347">
        <v>0</v>
      </c>
      <c r="Z32" s="347">
        <v>0</v>
      </c>
      <c r="AA32" s="347">
        <v>0</v>
      </c>
      <c r="AB32" s="347">
        <v>0</v>
      </c>
      <c r="AC32" s="114"/>
    </row>
    <row r="33" spans="1:29">
      <c r="A33" s="1119"/>
      <c r="B33" s="117" t="s">
        <v>445</v>
      </c>
      <c r="C33" s="115">
        <f t="shared" si="0"/>
        <v>0</v>
      </c>
      <c r="D33" s="115">
        <f t="shared" si="1"/>
        <v>0</v>
      </c>
      <c r="E33" s="115">
        <f t="shared" si="2"/>
        <v>0</v>
      </c>
      <c r="F33" s="115">
        <f t="shared" si="3"/>
        <v>0</v>
      </c>
      <c r="G33" s="114">
        <f t="shared" si="4"/>
        <v>0</v>
      </c>
      <c r="H33" s="114">
        <f t="shared" si="5"/>
        <v>0</v>
      </c>
      <c r="I33" s="108">
        <f>+VLOOKUP($B33,年度別調書!$A$4:$M$37,10,0)</f>
        <v>22324372880</v>
      </c>
      <c r="J33" s="108">
        <f>+VLOOKUP($B33,年度別調書!$A$4:$M$37,13,0)</f>
        <v>88097108350</v>
      </c>
      <c r="K33" s="114">
        <f t="shared" si="10"/>
        <v>0</v>
      </c>
      <c r="L33" s="114">
        <f t="shared" si="11"/>
        <v>0</v>
      </c>
      <c r="M33" s="120">
        <f t="shared" si="9"/>
        <v>0</v>
      </c>
      <c r="N33" s="305">
        <f>+海田!N33</f>
        <v>5</v>
      </c>
      <c r="O33" s="1119"/>
      <c r="P33" s="116" t="str">
        <f t="shared" si="7"/>
        <v>平成21年度</v>
      </c>
      <c r="Q33" s="346">
        <v>0</v>
      </c>
      <c r="R33" s="346">
        <v>0</v>
      </c>
      <c r="S33" s="346">
        <v>0</v>
      </c>
      <c r="T33" s="346">
        <v>0</v>
      </c>
      <c r="U33" s="114"/>
      <c r="V33" s="121"/>
      <c r="W33" s="1119"/>
      <c r="X33" s="116" t="str">
        <f t="shared" si="8"/>
        <v>平成21年度</v>
      </c>
      <c r="Y33" s="153">
        <v>0</v>
      </c>
      <c r="Z33" s="153">
        <v>0</v>
      </c>
      <c r="AA33" s="153">
        <v>0</v>
      </c>
      <c r="AB33" s="153">
        <v>0</v>
      </c>
      <c r="AC33" s="114"/>
    </row>
    <row r="34" spans="1:29">
      <c r="A34" s="1119"/>
      <c r="B34" s="117" t="s">
        <v>446</v>
      </c>
      <c r="C34" s="115">
        <f t="shared" si="0"/>
        <v>0</v>
      </c>
      <c r="D34" s="115">
        <f t="shared" si="1"/>
        <v>0</v>
      </c>
      <c r="E34" s="115">
        <f t="shared" si="2"/>
        <v>0</v>
      </c>
      <c r="F34" s="115">
        <f t="shared" si="3"/>
        <v>0</v>
      </c>
      <c r="G34" s="114">
        <f t="shared" si="4"/>
        <v>0</v>
      </c>
      <c r="H34" s="114">
        <f t="shared" si="5"/>
        <v>0</v>
      </c>
      <c r="I34" s="108">
        <f>+VLOOKUP($B34,年度別調書!$A$4:$M$37,10,0)</f>
        <v>26326163485</v>
      </c>
      <c r="J34" s="108">
        <f>+VLOOKUP($B34,年度別調書!$A$4:$M$37,13,0)</f>
        <v>102723057143</v>
      </c>
      <c r="K34" s="114">
        <f t="shared" si="10"/>
        <v>0</v>
      </c>
      <c r="L34" s="114">
        <f t="shared" si="11"/>
        <v>0</v>
      </c>
      <c r="M34" s="120">
        <f t="shared" si="9"/>
        <v>0</v>
      </c>
      <c r="N34" s="305">
        <f>+海田!N34</f>
        <v>5</v>
      </c>
      <c r="O34" s="1119"/>
      <c r="P34" s="116" t="str">
        <f t="shared" si="7"/>
        <v>平成22年度</v>
      </c>
      <c r="Q34" s="346">
        <v>0</v>
      </c>
      <c r="R34" s="346">
        <v>0</v>
      </c>
      <c r="S34" s="346">
        <v>0</v>
      </c>
      <c r="T34" s="346">
        <v>0</v>
      </c>
      <c r="U34" s="114"/>
      <c r="V34" s="121"/>
      <c r="W34" s="1119"/>
      <c r="X34" s="116" t="str">
        <f t="shared" si="8"/>
        <v>平成22年度</v>
      </c>
      <c r="Y34" s="153">
        <v>0</v>
      </c>
      <c r="Z34" s="153">
        <v>0</v>
      </c>
      <c r="AA34" s="153">
        <v>0</v>
      </c>
      <c r="AB34" s="153">
        <v>0</v>
      </c>
      <c r="AC34" s="114"/>
    </row>
    <row r="35" spans="1:29">
      <c r="A35" s="1119"/>
      <c r="B35" s="117" t="s">
        <v>447</v>
      </c>
      <c r="C35" s="115">
        <f t="shared" si="0"/>
        <v>0</v>
      </c>
      <c r="D35" s="115">
        <f t="shared" si="1"/>
        <v>0</v>
      </c>
      <c r="E35" s="115">
        <f t="shared" si="2"/>
        <v>0</v>
      </c>
      <c r="F35" s="115">
        <f t="shared" si="3"/>
        <v>0</v>
      </c>
      <c r="G35" s="114">
        <f t="shared" si="4"/>
        <v>0</v>
      </c>
      <c r="H35" s="114">
        <f t="shared" si="5"/>
        <v>0</v>
      </c>
      <c r="I35" s="108">
        <f>+VLOOKUP($B35,年度別調書!$A$4:$M$37,10,0)</f>
        <v>26883440277</v>
      </c>
      <c r="J35" s="108">
        <f>+VLOOKUP($B35,年度別調書!$A$4:$M$37,13,0)</f>
        <v>99758377045</v>
      </c>
      <c r="K35" s="114">
        <f t="shared" si="10"/>
        <v>0</v>
      </c>
      <c r="L35" s="114">
        <f t="shared" si="11"/>
        <v>0</v>
      </c>
      <c r="M35" s="120">
        <f t="shared" si="9"/>
        <v>0</v>
      </c>
      <c r="N35" s="305">
        <f>+海田!N35</f>
        <v>5</v>
      </c>
      <c r="O35" s="1119"/>
      <c r="P35" s="116" t="str">
        <f t="shared" si="7"/>
        <v>平成23年度</v>
      </c>
      <c r="Q35" s="346">
        <v>0</v>
      </c>
      <c r="R35" s="346">
        <v>0</v>
      </c>
      <c r="S35" s="346">
        <v>0</v>
      </c>
      <c r="T35" s="346">
        <v>0</v>
      </c>
      <c r="U35" s="114"/>
      <c r="V35" s="121"/>
      <c r="W35" s="1119"/>
      <c r="X35" s="116" t="str">
        <f t="shared" si="8"/>
        <v>平成23年度</v>
      </c>
      <c r="Y35" s="153">
        <v>0</v>
      </c>
      <c r="Z35" s="153">
        <v>0</v>
      </c>
      <c r="AA35" s="153">
        <v>0</v>
      </c>
      <c r="AB35" s="153">
        <v>0</v>
      </c>
      <c r="AC35" s="114"/>
    </row>
    <row r="36" spans="1:29">
      <c r="A36" s="1119"/>
      <c r="B36" s="117" t="s">
        <v>448</v>
      </c>
      <c r="C36" s="115">
        <f t="shared" si="0"/>
        <v>0</v>
      </c>
      <c r="D36" s="115">
        <f t="shared" si="1"/>
        <v>0</v>
      </c>
      <c r="E36" s="115">
        <f t="shared" si="2"/>
        <v>0</v>
      </c>
      <c r="F36" s="115">
        <f t="shared" si="3"/>
        <v>0</v>
      </c>
      <c r="G36" s="114">
        <f t="shared" si="4"/>
        <v>0</v>
      </c>
      <c r="H36" s="114">
        <f t="shared" si="5"/>
        <v>0</v>
      </c>
      <c r="I36" s="108">
        <f>+VLOOKUP($B36,年度別調書!$A$4:$M$37,10,0)</f>
        <v>20821234544</v>
      </c>
      <c r="J36" s="108">
        <f>+VLOOKUP($B36,年度別調書!$A$4:$M$37,13,0)</f>
        <v>101115908424</v>
      </c>
      <c r="K36" s="114">
        <f t="shared" si="10"/>
        <v>0</v>
      </c>
      <c r="L36" s="114">
        <f t="shared" si="11"/>
        <v>0</v>
      </c>
      <c r="M36" s="120">
        <f t="shared" si="9"/>
        <v>0</v>
      </c>
      <c r="N36" s="305">
        <f>+海田!N36</f>
        <v>5</v>
      </c>
      <c r="O36" s="1119"/>
      <c r="P36" s="116" t="str">
        <f t="shared" si="7"/>
        <v>平成24年度</v>
      </c>
      <c r="Q36" s="346">
        <v>0</v>
      </c>
      <c r="R36" s="346">
        <v>0</v>
      </c>
      <c r="S36" s="346">
        <v>0</v>
      </c>
      <c r="T36" s="346">
        <v>0</v>
      </c>
      <c r="U36" s="114"/>
      <c r="V36" s="121"/>
      <c r="W36" s="1119"/>
      <c r="X36" s="116" t="str">
        <f t="shared" si="8"/>
        <v>平成24年度</v>
      </c>
      <c r="Y36" s="153">
        <v>0</v>
      </c>
      <c r="Z36" s="153">
        <v>0</v>
      </c>
      <c r="AA36" s="153">
        <v>0</v>
      </c>
      <c r="AB36" s="153">
        <v>0</v>
      </c>
      <c r="AC36" s="114"/>
    </row>
    <row r="37" spans="1:29">
      <c r="A37" s="1119"/>
      <c r="B37" s="117" t="s">
        <v>449</v>
      </c>
      <c r="C37" s="115">
        <f t="shared" si="0"/>
        <v>0</v>
      </c>
      <c r="D37" s="115">
        <f t="shared" si="1"/>
        <v>0</v>
      </c>
      <c r="E37" s="115">
        <f t="shared" si="2"/>
        <v>0</v>
      </c>
      <c r="F37" s="115">
        <f t="shared" si="3"/>
        <v>0</v>
      </c>
      <c r="G37" s="114">
        <f t="shared" si="4"/>
        <v>0</v>
      </c>
      <c r="H37" s="114">
        <f t="shared" si="5"/>
        <v>0</v>
      </c>
      <c r="I37" s="108">
        <f>+VLOOKUP($B37,年度別調書!$A$4:$M$37,10,0)</f>
        <v>22169870622</v>
      </c>
      <c r="J37" s="108">
        <f>+VLOOKUP($B37,年度別調書!$A$4:$M$37,13,0)</f>
        <v>87897420767</v>
      </c>
      <c r="K37" s="114">
        <f t="shared" si="10"/>
        <v>0</v>
      </c>
      <c r="L37" s="114">
        <f t="shared" si="11"/>
        <v>0</v>
      </c>
      <c r="M37" s="120">
        <f t="shared" si="9"/>
        <v>0</v>
      </c>
      <c r="N37" s="305">
        <f>+海田!N37</f>
        <v>5</v>
      </c>
      <c r="O37" s="1119"/>
      <c r="P37" s="116" t="str">
        <f t="shared" si="7"/>
        <v>平成25年度</v>
      </c>
      <c r="Q37" s="346">
        <v>0</v>
      </c>
      <c r="R37" s="346">
        <v>0</v>
      </c>
      <c r="S37" s="346">
        <v>0</v>
      </c>
      <c r="T37" s="346">
        <v>0</v>
      </c>
      <c r="U37" s="114"/>
      <c r="V37" s="121"/>
      <c r="W37" s="1119"/>
      <c r="X37" s="116" t="str">
        <f t="shared" si="8"/>
        <v>平成25年度</v>
      </c>
      <c r="Y37" s="153">
        <v>0</v>
      </c>
      <c r="Z37" s="153">
        <v>0</v>
      </c>
      <c r="AA37" s="153">
        <v>0</v>
      </c>
      <c r="AB37" s="153">
        <v>0</v>
      </c>
      <c r="AC37" s="114"/>
    </row>
    <row r="38" spans="1:29">
      <c r="A38" s="1119"/>
      <c r="B38" s="117" t="s">
        <v>450</v>
      </c>
      <c r="C38" s="115">
        <f t="shared" si="0"/>
        <v>0</v>
      </c>
      <c r="D38" s="115">
        <f t="shared" si="1"/>
        <v>0</v>
      </c>
      <c r="E38" s="115">
        <f t="shared" si="2"/>
        <v>0</v>
      </c>
      <c r="F38" s="115">
        <f t="shared" si="3"/>
        <v>0</v>
      </c>
      <c r="G38" s="114">
        <f t="shared" si="4"/>
        <v>0</v>
      </c>
      <c r="H38" s="114">
        <f t="shared" si="5"/>
        <v>0</v>
      </c>
      <c r="I38" s="108">
        <f>+VLOOKUP($B38,年度別調書!$A$4:$M$37,10,0)</f>
        <v>20924492616</v>
      </c>
      <c r="J38" s="108">
        <f>+VLOOKUP($B38,年度別調書!$A$4:$M$37,13,0)</f>
        <v>99556890040</v>
      </c>
      <c r="K38" s="114">
        <f t="shared" si="10"/>
        <v>0</v>
      </c>
      <c r="L38" s="114">
        <f t="shared" si="11"/>
        <v>0</v>
      </c>
      <c r="M38" s="120">
        <f t="shared" si="9"/>
        <v>0</v>
      </c>
      <c r="N38" s="305">
        <f>+海田!N38</f>
        <v>8</v>
      </c>
      <c r="O38" s="1119"/>
      <c r="P38" s="116" t="str">
        <f t="shared" si="7"/>
        <v>平成26年度</v>
      </c>
      <c r="Q38" s="346">
        <v>0</v>
      </c>
      <c r="R38" s="346">
        <v>0</v>
      </c>
      <c r="S38" s="346">
        <v>0</v>
      </c>
      <c r="T38" s="346">
        <v>0</v>
      </c>
      <c r="U38" s="114"/>
      <c r="V38" s="121"/>
      <c r="W38" s="1119"/>
      <c r="X38" s="116" t="str">
        <f t="shared" si="8"/>
        <v>平成26年度</v>
      </c>
      <c r="Y38" s="153">
        <v>0</v>
      </c>
      <c r="Z38" s="153">
        <v>0</v>
      </c>
      <c r="AA38" s="153">
        <v>0</v>
      </c>
      <c r="AB38" s="153">
        <v>0</v>
      </c>
      <c r="AC38" s="114"/>
    </row>
    <row r="39" spans="1:29">
      <c r="A39" s="1119"/>
      <c r="B39" s="117" t="s">
        <v>451</v>
      </c>
      <c r="C39" s="115">
        <f t="shared" si="0"/>
        <v>0</v>
      </c>
      <c r="D39" s="115">
        <f t="shared" si="1"/>
        <v>0</v>
      </c>
      <c r="E39" s="115">
        <f t="shared" si="2"/>
        <v>0</v>
      </c>
      <c r="F39" s="115">
        <f t="shared" si="3"/>
        <v>0</v>
      </c>
      <c r="G39" s="114">
        <f t="shared" si="4"/>
        <v>0</v>
      </c>
      <c r="H39" s="114">
        <f t="shared" si="5"/>
        <v>0</v>
      </c>
      <c r="I39" s="108">
        <f>+VLOOKUP($B39,年度別調書!$A$4:$M$37,10,0)</f>
        <v>21176145645</v>
      </c>
      <c r="J39" s="108">
        <f>+VLOOKUP($B39,年度別調書!$A$4:$M$37,13,0)</f>
        <v>104805589178</v>
      </c>
      <c r="K39" s="114">
        <f t="shared" si="10"/>
        <v>0</v>
      </c>
      <c r="L39" s="114">
        <f t="shared" si="11"/>
        <v>0</v>
      </c>
      <c r="M39" s="120">
        <f t="shared" si="9"/>
        <v>0</v>
      </c>
      <c r="N39" s="305">
        <f>+海田!N39</f>
        <v>8</v>
      </c>
      <c r="O39" s="1119"/>
      <c r="P39" s="116" t="str">
        <f t="shared" si="7"/>
        <v>平成27年度</v>
      </c>
      <c r="Q39" s="346">
        <v>0</v>
      </c>
      <c r="R39" s="346">
        <v>0</v>
      </c>
      <c r="S39" s="346">
        <v>0</v>
      </c>
      <c r="T39" s="346">
        <v>0</v>
      </c>
      <c r="U39" s="114"/>
      <c r="V39" s="121"/>
      <c r="W39" s="1119"/>
      <c r="X39" s="116" t="str">
        <f t="shared" si="8"/>
        <v>平成27年度</v>
      </c>
      <c r="Y39" s="153">
        <v>0</v>
      </c>
      <c r="Z39" s="153">
        <v>0</v>
      </c>
      <c r="AA39" s="153">
        <v>0</v>
      </c>
      <c r="AB39" s="153">
        <v>0</v>
      </c>
      <c r="AC39" s="114"/>
    </row>
    <row r="40" spans="1:29">
      <c r="A40" s="1119"/>
      <c r="B40" s="117" t="s">
        <v>452</v>
      </c>
      <c r="C40" s="115">
        <f t="shared" si="0"/>
        <v>0</v>
      </c>
      <c r="D40" s="115">
        <f t="shared" si="1"/>
        <v>0</v>
      </c>
      <c r="E40" s="115">
        <f t="shared" si="2"/>
        <v>0</v>
      </c>
      <c r="F40" s="115">
        <f t="shared" si="3"/>
        <v>0</v>
      </c>
      <c r="G40" s="114">
        <f t="shared" si="4"/>
        <v>0</v>
      </c>
      <c r="H40" s="114">
        <f t="shared" si="5"/>
        <v>0</v>
      </c>
      <c r="I40" s="108">
        <f>+VLOOKUP($B40,年度別調書!$A$4:$M$37,10,0)</f>
        <v>23487276785</v>
      </c>
      <c r="J40" s="108">
        <f>+VLOOKUP($B40,年度別調書!$A$4:$M$37,13,0)</f>
        <v>105396818589</v>
      </c>
      <c r="K40" s="114">
        <f t="shared" si="10"/>
        <v>0</v>
      </c>
      <c r="L40" s="114">
        <f t="shared" si="11"/>
        <v>0</v>
      </c>
      <c r="M40" s="120">
        <f t="shared" si="9"/>
        <v>0</v>
      </c>
      <c r="N40" s="305">
        <f>+海田!N40</f>
        <v>8</v>
      </c>
      <c r="O40" s="1119"/>
      <c r="P40" s="116" t="str">
        <f t="shared" si="7"/>
        <v>平成28年度</v>
      </c>
      <c r="Q40" s="346">
        <v>0</v>
      </c>
      <c r="R40" s="346">
        <v>0</v>
      </c>
      <c r="S40" s="346">
        <v>0</v>
      </c>
      <c r="T40" s="346">
        <v>0</v>
      </c>
      <c r="U40" s="114"/>
      <c r="V40" s="121"/>
      <c r="W40" s="1119"/>
      <c r="X40" s="116" t="str">
        <f t="shared" si="8"/>
        <v>平成28年度</v>
      </c>
      <c r="Y40" s="153">
        <v>0</v>
      </c>
      <c r="Z40" s="153">
        <v>0</v>
      </c>
      <c r="AA40" s="153">
        <v>0</v>
      </c>
      <c r="AB40" s="153">
        <v>0</v>
      </c>
      <c r="AC40" s="114"/>
    </row>
    <row r="41" spans="1:29">
      <c r="A41" s="1119"/>
      <c r="B41" s="117" t="s">
        <v>453</v>
      </c>
      <c r="C41" s="115">
        <f t="shared" si="0"/>
        <v>0</v>
      </c>
      <c r="D41" s="115">
        <f t="shared" si="1"/>
        <v>0</v>
      </c>
      <c r="E41" s="115">
        <f t="shared" si="2"/>
        <v>0</v>
      </c>
      <c r="F41" s="115">
        <f t="shared" si="3"/>
        <v>0</v>
      </c>
      <c r="G41" s="114">
        <f t="shared" si="4"/>
        <v>0</v>
      </c>
      <c r="H41" s="114">
        <f t="shared" si="5"/>
        <v>0</v>
      </c>
      <c r="I41" s="108">
        <f>+VLOOKUP($B41,年度別調書!$A$4:$M$37,10,0)</f>
        <v>19481573724</v>
      </c>
      <c r="J41" s="108">
        <f>+VLOOKUP($B41,年度別調書!$A$4:$M$37,13,0)</f>
        <v>99607043975</v>
      </c>
      <c r="K41" s="114">
        <f t="shared" si="10"/>
        <v>0</v>
      </c>
      <c r="L41" s="114">
        <f t="shared" si="11"/>
        <v>0</v>
      </c>
      <c r="M41" s="120">
        <f t="shared" si="9"/>
        <v>0</v>
      </c>
      <c r="N41" s="305">
        <f>+海田!N41</f>
        <v>8</v>
      </c>
      <c r="O41" s="1119"/>
      <c r="P41" s="116" t="str">
        <f t="shared" si="7"/>
        <v>平成29年度</v>
      </c>
      <c r="Q41" s="153">
        <v>0</v>
      </c>
      <c r="R41" s="153">
        <v>0</v>
      </c>
      <c r="S41" s="153">
        <v>0</v>
      </c>
      <c r="T41" s="153">
        <v>0</v>
      </c>
      <c r="U41" s="114"/>
      <c r="V41" s="121"/>
      <c r="W41" s="1119"/>
      <c r="X41" s="116" t="str">
        <f t="shared" si="8"/>
        <v>平成29年度</v>
      </c>
      <c r="Y41" s="153">
        <v>0</v>
      </c>
      <c r="Z41" s="153">
        <v>0</v>
      </c>
      <c r="AA41" s="153">
        <v>0</v>
      </c>
      <c r="AB41" s="153">
        <v>0</v>
      </c>
      <c r="AC41" s="114"/>
    </row>
    <row r="42" spans="1:29">
      <c r="A42" s="1119"/>
      <c r="B42" s="117" t="s">
        <v>454</v>
      </c>
      <c r="C42" s="115">
        <f t="shared" si="0"/>
        <v>0</v>
      </c>
      <c r="D42" s="115">
        <f t="shared" si="1"/>
        <v>0</v>
      </c>
      <c r="E42" s="115">
        <f t="shared" si="2"/>
        <v>0</v>
      </c>
      <c r="F42" s="115">
        <f t="shared" si="3"/>
        <v>0</v>
      </c>
      <c r="G42" s="114">
        <f t="shared" si="4"/>
        <v>0</v>
      </c>
      <c r="H42" s="114">
        <f t="shared" si="5"/>
        <v>0</v>
      </c>
      <c r="I42" s="108">
        <f>+VLOOKUP($B42,年度別調書!$A$4:$M$37,10,0)</f>
        <v>19871916207</v>
      </c>
      <c r="J42" s="108">
        <f>+VLOOKUP($B42,年度別調書!$A$4:$M$37,13,0)</f>
        <v>98551757388</v>
      </c>
      <c r="K42" s="114">
        <f t="shared" si="10"/>
        <v>0</v>
      </c>
      <c r="L42" s="114">
        <f t="shared" si="11"/>
        <v>0</v>
      </c>
      <c r="M42" s="120">
        <f t="shared" si="9"/>
        <v>0</v>
      </c>
      <c r="N42" s="305">
        <f>+海田!N42</f>
        <v>8</v>
      </c>
      <c r="O42" s="1119"/>
      <c r="P42" s="116" t="str">
        <f t="shared" si="7"/>
        <v>平成30年度</v>
      </c>
      <c r="Q42" s="153">
        <v>0</v>
      </c>
      <c r="R42" s="153">
        <v>0</v>
      </c>
      <c r="S42" s="153">
        <v>0</v>
      </c>
      <c r="T42" s="153">
        <v>0</v>
      </c>
      <c r="U42" s="114"/>
      <c r="V42" s="121"/>
      <c r="W42" s="1119"/>
      <c r="X42" s="116" t="str">
        <f t="shared" si="8"/>
        <v>平成30年度</v>
      </c>
      <c r="Y42" s="153">
        <v>0</v>
      </c>
      <c r="Z42" s="153">
        <v>0</v>
      </c>
      <c r="AA42" s="153">
        <v>0</v>
      </c>
      <c r="AB42" s="153">
        <v>0</v>
      </c>
      <c r="AC42" s="114"/>
    </row>
    <row r="43" spans="1:29">
      <c r="A43" s="1119"/>
      <c r="B43" s="1108" t="s">
        <v>499</v>
      </c>
      <c r="C43" s="115">
        <f>+Q43</f>
        <v>0</v>
      </c>
      <c r="D43" s="115">
        <f>+R43</f>
        <v>0</v>
      </c>
      <c r="E43" s="115">
        <f>+S43</f>
        <v>0</v>
      </c>
      <c r="F43" s="115">
        <f>+T43</f>
        <v>0</v>
      </c>
      <c r="G43" s="114">
        <f t="shared" si="4"/>
        <v>0</v>
      </c>
      <c r="H43" s="114">
        <f t="shared" si="5"/>
        <v>0</v>
      </c>
      <c r="I43" s="108">
        <f>+VLOOKUP($B43,年度別調書!$A$4:$M$37,10,0)</f>
        <v>21889958229</v>
      </c>
      <c r="J43" s="108">
        <f>+VLOOKUP($B43,年度別調書!$A$4:$M$37,13,0)</f>
        <v>101214576030</v>
      </c>
      <c r="K43" s="114">
        <f t="shared" si="10"/>
        <v>0</v>
      </c>
      <c r="L43" s="114">
        <f t="shared" si="11"/>
        <v>0</v>
      </c>
      <c r="M43" s="120">
        <f t="shared" si="9"/>
        <v>0</v>
      </c>
      <c r="N43" s="305">
        <f>+海田!N43</f>
        <v>8</v>
      </c>
      <c r="O43" s="1119"/>
      <c r="P43" s="1124" t="str">
        <f t="shared" si="7"/>
        <v>令和元年度</v>
      </c>
      <c r="Q43" s="1126">
        <v>0</v>
      </c>
      <c r="R43" s="1126">
        <v>0</v>
      </c>
      <c r="S43" s="1126">
        <v>0</v>
      </c>
      <c r="T43" s="1126">
        <v>0</v>
      </c>
      <c r="U43" s="1128"/>
      <c r="V43" s="121"/>
      <c r="W43" s="1119"/>
      <c r="X43" s="1124" t="str">
        <f t="shared" si="8"/>
        <v>令和元年度</v>
      </c>
      <c r="Y43" s="1126">
        <v>0</v>
      </c>
      <c r="Z43" s="1126">
        <v>0</v>
      </c>
      <c r="AA43" s="1126">
        <v>0</v>
      </c>
      <c r="AB43" s="1126">
        <v>0</v>
      </c>
      <c r="AC43" s="1128"/>
    </row>
    <row r="44" spans="1:29">
      <c r="A44" s="1119"/>
      <c r="B44" s="1109"/>
      <c r="C44" s="115">
        <f>+Y43</f>
        <v>0</v>
      </c>
      <c r="D44" s="115">
        <f>+Z43</f>
        <v>0</v>
      </c>
      <c r="E44" s="115">
        <f>+AA43</f>
        <v>0</v>
      </c>
      <c r="F44" s="115">
        <f>+AB43</f>
        <v>0</v>
      </c>
      <c r="G44" s="114">
        <f t="shared" ref="G44" si="12">ROUND(C44/C$48*G$48,0)</f>
        <v>0</v>
      </c>
      <c r="H44" s="114">
        <f t="shared" ref="H44" si="13">C44-G44</f>
        <v>0</v>
      </c>
      <c r="I44" s="108">
        <f>+VLOOKUP($B43,年度別調書!$A$4:$M$37,10,0)</f>
        <v>21889958229</v>
      </c>
      <c r="J44" s="108">
        <f>+VLOOKUP($B43,年度別調書!$A$4:$M$37,13,0)</f>
        <v>101214576030</v>
      </c>
      <c r="K44" s="114">
        <f t="shared" ref="K44" si="14">IFERROR(ROUND(H44*I44/J44,0),0)</f>
        <v>0</v>
      </c>
      <c r="L44" s="114">
        <f t="shared" ref="L44" si="15">H44-K44</f>
        <v>0</v>
      </c>
      <c r="M44" s="120">
        <f t="shared" ref="M44" si="16">ROUND(C44/C$48*G$48,3)-ROUND(C44/C$48*G$48,0)</f>
        <v>0</v>
      </c>
      <c r="N44" s="305">
        <f>+海田!N44</f>
        <v>10</v>
      </c>
      <c r="O44" s="1119"/>
      <c r="P44" s="1125"/>
      <c r="Q44" s="1127"/>
      <c r="R44" s="1127"/>
      <c r="S44" s="1127"/>
      <c r="T44" s="1127"/>
      <c r="U44" s="1129"/>
      <c r="V44" s="121"/>
      <c r="W44" s="1119"/>
      <c r="X44" s="1125"/>
      <c r="Y44" s="1127"/>
      <c r="Z44" s="1127"/>
      <c r="AA44" s="1127"/>
      <c r="AB44" s="1127"/>
      <c r="AC44" s="1129"/>
    </row>
    <row r="45" spans="1:29">
      <c r="A45" s="1119"/>
      <c r="B45" s="117" t="s">
        <v>494</v>
      </c>
      <c r="C45" s="115">
        <f t="shared" si="0"/>
        <v>0</v>
      </c>
      <c r="D45" s="115">
        <f t="shared" si="1"/>
        <v>0</v>
      </c>
      <c r="E45" s="115">
        <f t="shared" si="2"/>
        <v>0</v>
      </c>
      <c r="F45" s="115">
        <f t="shared" si="3"/>
        <v>0</v>
      </c>
      <c r="G45" s="114">
        <f t="shared" si="4"/>
        <v>0</v>
      </c>
      <c r="H45" s="114">
        <f t="shared" si="5"/>
        <v>0</v>
      </c>
      <c r="I45" s="108">
        <f>+VLOOKUP($B45,年度別調書!$A$4:$M$37,10,0)</f>
        <v>25568719436</v>
      </c>
      <c r="J45" s="108">
        <f>+VLOOKUP($B45,年度別調書!$A$4:$M$37,13,0)</f>
        <v>105092548853</v>
      </c>
      <c r="K45" s="114">
        <f t="shared" si="10"/>
        <v>0</v>
      </c>
      <c r="L45" s="114">
        <f t="shared" si="11"/>
        <v>0</v>
      </c>
      <c r="M45" s="120">
        <f t="shared" si="9"/>
        <v>0</v>
      </c>
      <c r="N45" s="305">
        <f>+海田!N45</f>
        <v>10</v>
      </c>
      <c r="O45" s="1119"/>
      <c r="P45" s="116" t="str">
        <f t="shared" si="7"/>
        <v>令和2年度</v>
      </c>
      <c r="Q45" s="153">
        <v>0</v>
      </c>
      <c r="R45" s="153">
        <v>0</v>
      </c>
      <c r="S45" s="153">
        <v>0</v>
      </c>
      <c r="T45" s="153">
        <v>0</v>
      </c>
      <c r="U45" s="114"/>
      <c r="V45" s="121"/>
      <c r="W45" s="1119"/>
      <c r="X45" s="116" t="str">
        <f t="shared" si="8"/>
        <v>令和2年度</v>
      </c>
      <c r="Y45" s="153">
        <v>0</v>
      </c>
      <c r="Z45" s="153">
        <v>0</v>
      </c>
      <c r="AA45" s="153">
        <v>0</v>
      </c>
      <c r="AB45" s="153">
        <v>0</v>
      </c>
      <c r="AC45" s="114"/>
    </row>
    <row r="46" spans="1:29">
      <c r="A46" s="1119"/>
      <c r="B46" s="117" t="s">
        <v>495</v>
      </c>
      <c r="C46" s="115">
        <f t="shared" si="0"/>
        <v>0</v>
      </c>
      <c r="D46" s="115">
        <f t="shared" si="1"/>
        <v>0</v>
      </c>
      <c r="E46" s="115">
        <f t="shared" si="2"/>
        <v>0</v>
      </c>
      <c r="F46" s="115">
        <f t="shared" si="3"/>
        <v>0</v>
      </c>
      <c r="G46" s="114">
        <f t="shared" si="4"/>
        <v>0</v>
      </c>
      <c r="H46" s="114">
        <f t="shared" si="5"/>
        <v>0</v>
      </c>
      <c r="I46" s="108">
        <f>+VLOOKUP($B46,年度別調書!$A$4:$M$37,10,0)</f>
        <v>25732995336</v>
      </c>
      <c r="J46" s="108">
        <f>+VLOOKUP($B46,年度別調書!$A$4:$M$37,13,0)</f>
        <v>106246537477</v>
      </c>
      <c r="K46" s="114">
        <f t="shared" si="10"/>
        <v>0</v>
      </c>
      <c r="L46" s="114">
        <f t="shared" si="11"/>
        <v>0</v>
      </c>
      <c r="M46" s="120">
        <f t="shared" si="9"/>
        <v>0</v>
      </c>
      <c r="N46" s="305">
        <f>+海田!N46</f>
        <v>10</v>
      </c>
      <c r="O46" s="1119"/>
      <c r="P46" s="116" t="str">
        <f t="shared" si="7"/>
        <v>令和3年度</v>
      </c>
      <c r="Q46" s="153">
        <v>0</v>
      </c>
      <c r="R46" s="153">
        <v>0</v>
      </c>
      <c r="S46" s="153">
        <v>0</v>
      </c>
      <c r="T46" s="153">
        <v>0</v>
      </c>
      <c r="U46" s="114"/>
      <c r="V46" s="121"/>
      <c r="W46" s="1119"/>
      <c r="X46" s="116" t="str">
        <f t="shared" si="8"/>
        <v>令和3年度</v>
      </c>
      <c r="Y46" s="153">
        <v>0</v>
      </c>
      <c r="Z46" s="153">
        <v>0</v>
      </c>
      <c r="AA46" s="153">
        <v>0</v>
      </c>
      <c r="AB46" s="153">
        <v>0</v>
      </c>
      <c r="AC46" s="114"/>
    </row>
    <row r="47" spans="1:29">
      <c r="A47" s="1119"/>
      <c r="B47" s="117" t="s">
        <v>496</v>
      </c>
      <c r="C47" s="115">
        <f t="shared" si="0"/>
        <v>0</v>
      </c>
      <c r="D47" s="115">
        <f t="shared" si="1"/>
        <v>0</v>
      </c>
      <c r="E47" s="115">
        <f t="shared" si="2"/>
        <v>0</v>
      </c>
      <c r="F47" s="115">
        <f t="shared" si="3"/>
        <v>0</v>
      </c>
      <c r="G47" s="114">
        <f t="shared" si="4"/>
        <v>0</v>
      </c>
      <c r="H47" s="114">
        <f t="shared" si="5"/>
        <v>0</v>
      </c>
      <c r="I47" s="108">
        <f>+VLOOKUP($B47,年度別調書!$A$4:$M$37,10,0)</f>
        <v>22974897869</v>
      </c>
      <c r="J47" s="108">
        <f>+VLOOKUP($B47,年度別調書!$A$4:$M$37,13,0)</f>
        <v>102361733085</v>
      </c>
      <c r="K47" s="114">
        <f t="shared" si="10"/>
        <v>0</v>
      </c>
      <c r="L47" s="114">
        <f t="shared" si="11"/>
        <v>0</v>
      </c>
      <c r="M47" s="120">
        <f t="shared" si="9"/>
        <v>0</v>
      </c>
      <c r="N47" s="305">
        <f>+海田!N47</f>
        <v>10</v>
      </c>
      <c r="O47" s="1119"/>
      <c r="P47" s="116" t="str">
        <f t="shared" si="7"/>
        <v>令和4年度</v>
      </c>
      <c r="Q47" s="153">
        <v>0</v>
      </c>
      <c r="R47" s="153">
        <v>0</v>
      </c>
      <c r="S47" s="153">
        <v>0</v>
      </c>
      <c r="T47" s="153">
        <v>0</v>
      </c>
      <c r="U47" s="114"/>
      <c r="V47" s="121"/>
      <c r="W47" s="1119"/>
      <c r="X47" s="116" t="str">
        <f t="shared" si="8"/>
        <v>令和4年度</v>
      </c>
      <c r="Y47" s="153">
        <v>0</v>
      </c>
      <c r="Z47" s="153">
        <v>0</v>
      </c>
      <c r="AA47" s="153">
        <v>0</v>
      </c>
      <c r="AB47" s="153">
        <v>0</v>
      </c>
      <c r="AC47" s="114"/>
    </row>
    <row r="48" spans="1:29">
      <c r="A48" s="1120"/>
      <c r="B48" s="118" t="s">
        <v>94</v>
      </c>
      <c r="C48" s="119">
        <f>SUM(C6:C47)</f>
        <v>3466667</v>
      </c>
      <c r="D48" s="119">
        <f>SUM(D6:D47)</f>
        <v>431255</v>
      </c>
      <c r="E48" s="119">
        <f>SUM(E6:E47)</f>
        <v>3897922</v>
      </c>
      <c r="F48" s="119">
        <f>SUM(F6:F47)</f>
        <v>343060</v>
      </c>
      <c r="G48" s="104">
        <f>+U48+AC48</f>
        <v>299390</v>
      </c>
      <c r="H48" s="119">
        <f>SUM(H6:H47)</f>
        <v>3167277</v>
      </c>
      <c r="I48" s="38"/>
      <c r="J48" s="38"/>
      <c r="K48" s="119">
        <f>SUM(K6:K47)</f>
        <v>1508275</v>
      </c>
      <c r="L48" s="119">
        <f>SUM(L6:L47)</f>
        <v>1659002</v>
      </c>
      <c r="M48" s="119"/>
      <c r="N48" s="305">
        <f>+海田!N48</f>
        <v>0</v>
      </c>
      <c r="O48" s="1120"/>
      <c r="P48" s="118" t="s">
        <v>94</v>
      </c>
      <c r="Q48" s="119">
        <f>SUM(Q6:Q47)</f>
        <v>1721112</v>
      </c>
      <c r="R48" s="119">
        <f>SUM(R6:R47)</f>
        <v>227849</v>
      </c>
      <c r="S48" s="119">
        <f>SUM(S6:S47)</f>
        <v>1948961</v>
      </c>
      <c r="T48" s="119">
        <f>SUM(T6:T47)</f>
        <v>171530</v>
      </c>
      <c r="U48" s="233">
        <v>148795</v>
      </c>
      <c r="V48" s="112"/>
      <c r="W48" s="1120"/>
      <c r="X48" s="118" t="s">
        <v>94</v>
      </c>
      <c r="Y48" s="119">
        <f>SUM(Y6:Y47)</f>
        <v>1745555</v>
      </c>
      <c r="Z48" s="119">
        <f>SUM(Z6:Z47)</f>
        <v>203406</v>
      </c>
      <c r="AA48" s="119">
        <f>SUM(AA6:AA47)</f>
        <v>1948961</v>
      </c>
      <c r="AB48" s="119">
        <f>SUM(AB6:AB47)</f>
        <v>171530</v>
      </c>
      <c r="AC48" s="233">
        <v>150595</v>
      </c>
    </row>
    <row r="49" spans="7:29">
      <c r="G49" s="107">
        <f>G48-SUM(G6:G47)</f>
        <v>0</v>
      </c>
      <c r="K49" s="72"/>
      <c r="O49" s="23"/>
      <c r="U49" s="107"/>
      <c r="AC49" s="107"/>
    </row>
    <row r="50" spans="7:29">
      <c r="J50" s="306" t="s">
        <v>404</v>
      </c>
      <c r="K50" s="307" t="s">
        <v>403</v>
      </c>
    </row>
    <row r="51" spans="7:29">
      <c r="J51" s="307">
        <v>3</v>
      </c>
      <c r="K51" s="308">
        <f>+SUMIFS($K$4:$K$48,$N$4:$N$48,$J51)</f>
        <v>805124</v>
      </c>
    </row>
    <row r="52" spans="7:29">
      <c r="J52" s="307">
        <v>5</v>
      </c>
      <c r="K52" s="308">
        <f>+SUMIFS($K$4:$K$48,$N$4:$N$48,$J52)</f>
        <v>703151</v>
      </c>
    </row>
    <row r="53" spans="7:29">
      <c r="J53" s="307">
        <v>8</v>
      </c>
      <c r="K53" s="308">
        <f>+SUMIFS($K$4:$K$48,$N$4:$N$48,$J53)</f>
        <v>0</v>
      </c>
    </row>
    <row r="54" spans="7:29">
      <c r="J54" s="307">
        <v>10</v>
      </c>
      <c r="K54" s="308">
        <f>+SUMIFS($K$4:$K$48,$N$4:$N$48,$J54)</f>
        <v>0</v>
      </c>
    </row>
    <row r="55" spans="7:29">
      <c r="J55" s="306" t="s">
        <v>405</v>
      </c>
      <c r="K55" s="309">
        <f>SUM(K51:K54)</f>
        <v>1508275</v>
      </c>
    </row>
    <row r="56" spans="7:29">
      <c r="J56" s="306" t="s">
        <v>406</v>
      </c>
      <c r="K56" s="309">
        <f>+K48-K55</f>
        <v>0</v>
      </c>
    </row>
  </sheetData>
  <mergeCells count="38">
    <mergeCell ref="S43:S44"/>
    <mergeCell ref="R43:R44"/>
    <mergeCell ref="Q43:Q44"/>
    <mergeCell ref="P43:P44"/>
    <mergeCell ref="B43:B44"/>
    <mergeCell ref="AC43:AC44"/>
    <mergeCell ref="AB43:AB44"/>
    <mergeCell ref="AA43:AA44"/>
    <mergeCell ref="Z43:Z44"/>
    <mergeCell ref="Y43:Y44"/>
    <mergeCell ref="C4:E4"/>
    <mergeCell ref="F4:F5"/>
    <mergeCell ref="G4:G5"/>
    <mergeCell ref="A6:A48"/>
    <mergeCell ref="O6:O48"/>
    <mergeCell ref="A4:A5"/>
    <mergeCell ref="B4:B5"/>
    <mergeCell ref="W6:W48"/>
    <mergeCell ref="M4:M5"/>
    <mergeCell ref="AB4:AB5"/>
    <mergeCell ref="H4:H5"/>
    <mergeCell ref="T4:T5"/>
    <mergeCell ref="U4:U5"/>
    <mergeCell ref="I4:I5"/>
    <mergeCell ref="J4:J5"/>
    <mergeCell ref="K4:K5"/>
    <mergeCell ref="L4:L5"/>
    <mergeCell ref="O4:O5"/>
    <mergeCell ref="P4:P5"/>
    <mergeCell ref="N4:N5"/>
    <mergeCell ref="X43:X44"/>
    <mergeCell ref="U43:U44"/>
    <mergeCell ref="T43:T44"/>
    <mergeCell ref="AC4:AC5"/>
    <mergeCell ref="W4:W5"/>
    <mergeCell ref="X4:X5"/>
    <mergeCell ref="Y4:AA4"/>
    <mergeCell ref="Q4:S4"/>
  </mergeCells>
  <phoneticPr fontId="2"/>
  <pageMargins left="0.78740157480314965" right="0.78740157480314965" top="0.62992125984251968" bottom="0.82677165354330717" header="0.31496062992125984" footer="0.35433070866141736"/>
  <pageSetup paperSize="9" scale="83" fitToWidth="2" orientation="landscape" r:id="rId1"/>
  <headerFooter alignWithMargins="0"/>
  <colBreaks count="1" manualBreakCount="1">
    <brk id="14" max="47" man="1"/>
  </colBreaks>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66FF33"/>
  </sheetPr>
  <dimension ref="A2:AC56"/>
  <sheetViews>
    <sheetView zoomScale="85" zoomScaleNormal="85" zoomScaleSheetLayoutView="85" workbookViewId="0">
      <pane xSplit="2" ySplit="5" topLeftCell="C6" activePane="bottomRight" state="frozen"/>
      <selection sqref="A1:XFD1048576"/>
      <selection pane="topRight" sqref="A1:XFD1048576"/>
      <selection pane="bottomLeft" sqref="A1:XFD1048576"/>
      <selection pane="bottomRight" activeCell="E47" sqref="E47"/>
    </sheetView>
  </sheetViews>
  <sheetFormatPr defaultRowHeight="13.5"/>
  <cols>
    <col min="1" max="1" width="2.625" customWidth="1"/>
    <col min="2" max="2" width="11.625" bestFit="1" customWidth="1"/>
    <col min="3" max="5" width="13.125" customWidth="1"/>
    <col min="6" max="7" width="11.625" customWidth="1"/>
    <col min="8" max="8" width="13.125" customWidth="1"/>
    <col min="9" max="10" width="13.75" customWidth="1"/>
    <col min="11" max="12" width="13.125" customWidth="1"/>
    <col min="13" max="13" width="7.625" customWidth="1"/>
    <col min="14" max="14" width="3.125" customWidth="1"/>
    <col min="15" max="15" width="2.625" customWidth="1"/>
    <col min="16" max="21" width="11.625" customWidth="1"/>
    <col min="22" max="22" width="3.125" customWidth="1"/>
    <col min="23" max="23" width="2.625" customWidth="1"/>
    <col min="24" max="24" width="11.625" bestFit="1" customWidth="1"/>
    <col min="25" max="29" width="11.625" customWidth="1"/>
    <col min="30" max="30" width="3.125" customWidth="1"/>
  </cols>
  <sheetData>
    <row r="2" spans="1:29">
      <c r="A2" t="str">
        <f>+"令和"&amp;MID(総括表!A2,3,1)&amp;"年度決算　廿日市市"</f>
        <v>令和５年度決算　廿日市市</v>
      </c>
      <c r="O2" t="str">
        <f>+A2</f>
        <v>令和５年度決算　廿日市市</v>
      </c>
      <c r="T2" s="87"/>
      <c r="U2" s="87"/>
    </row>
    <row r="4" spans="1:29" ht="13.5" customHeight="1">
      <c r="A4" s="1104" t="s">
        <v>48</v>
      </c>
      <c r="B4" s="1104" t="s">
        <v>331</v>
      </c>
      <c r="C4" s="1121" t="s">
        <v>90</v>
      </c>
      <c r="D4" s="1121"/>
      <c r="E4" s="1121"/>
      <c r="F4" s="1107" t="s">
        <v>92</v>
      </c>
      <c r="G4" s="1107" t="s">
        <v>95</v>
      </c>
      <c r="H4" s="1107" t="s">
        <v>141</v>
      </c>
      <c r="I4" s="1096" t="s">
        <v>65</v>
      </c>
      <c r="J4" s="1096" t="s">
        <v>67</v>
      </c>
      <c r="K4" s="1098" t="s">
        <v>91</v>
      </c>
      <c r="L4" s="1100" t="s">
        <v>17</v>
      </c>
      <c r="M4" s="1100" t="s">
        <v>424</v>
      </c>
      <c r="N4" s="1122" t="s">
        <v>402</v>
      </c>
      <c r="O4" s="1104" t="s">
        <v>48</v>
      </c>
      <c r="P4" s="1104" t="s">
        <v>93</v>
      </c>
      <c r="Q4" s="1121" t="s">
        <v>90</v>
      </c>
      <c r="R4" s="1121"/>
      <c r="S4" s="1121"/>
      <c r="T4" s="1107" t="s">
        <v>92</v>
      </c>
      <c r="U4" s="1107" t="s">
        <v>95</v>
      </c>
      <c r="W4" s="1104" t="s">
        <v>48</v>
      </c>
      <c r="X4" s="1104" t="s">
        <v>93</v>
      </c>
      <c r="Y4" s="1121" t="s">
        <v>90</v>
      </c>
      <c r="Z4" s="1121"/>
      <c r="AA4" s="1121"/>
      <c r="AB4" s="1107" t="s">
        <v>92</v>
      </c>
      <c r="AC4" s="1107" t="s">
        <v>95</v>
      </c>
    </row>
    <row r="5" spans="1:29" ht="13.5" customHeight="1">
      <c r="A5" s="1105"/>
      <c r="B5" s="1106"/>
      <c r="C5" s="26" t="s">
        <v>89</v>
      </c>
      <c r="D5" s="26" t="s">
        <v>328</v>
      </c>
      <c r="E5" s="26" t="s">
        <v>87</v>
      </c>
      <c r="F5" s="1099"/>
      <c r="G5" s="1117"/>
      <c r="H5" s="1099"/>
      <c r="I5" s="1097"/>
      <c r="J5" s="1097"/>
      <c r="K5" s="1099"/>
      <c r="L5" s="1101"/>
      <c r="M5" s="1101"/>
      <c r="N5" s="1123"/>
      <c r="O5" s="1105"/>
      <c r="P5" s="1106"/>
      <c r="Q5" s="26" t="s">
        <v>89</v>
      </c>
      <c r="R5" s="26" t="s">
        <v>328</v>
      </c>
      <c r="S5" s="26" t="s">
        <v>87</v>
      </c>
      <c r="T5" s="1099"/>
      <c r="U5" s="1117"/>
      <c r="V5" s="113"/>
      <c r="W5" s="1105"/>
      <c r="X5" s="1106"/>
      <c r="Y5" s="26" t="s">
        <v>89</v>
      </c>
      <c r="Z5" s="26" t="s">
        <v>328</v>
      </c>
      <c r="AA5" s="26" t="s">
        <v>87</v>
      </c>
      <c r="AB5" s="1099"/>
      <c r="AC5" s="1117"/>
    </row>
    <row r="6" spans="1:29" ht="13.5" customHeight="1">
      <c r="A6" s="1118" t="s">
        <v>330</v>
      </c>
      <c r="B6" s="116" t="s">
        <v>455</v>
      </c>
      <c r="C6" s="115">
        <f t="shared" ref="C6:C47" si="0">+Q6+Y6</f>
        <v>0</v>
      </c>
      <c r="D6" s="115">
        <f t="shared" ref="D6:D47" si="1">+R6+Z6</f>
        <v>0</v>
      </c>
      <c r="E6" s="115">
        <f t="shared" ref="E6:E47" si="2">+S6+AA6</f>
        <v>0</v>
      </c>
      <c r="F6" s="115">
        <f t="shared" ref="F6:F47" si="3">+T6+AB6</f>
        <v>0</v>
      </c>
      <c r="G6" s="114">
        <f t="shared" ref="G6:G47" si="4">ROUND(C6/C$48*G$48,0)</f>
        <v>0</v>
      </c>
      <c r="H6" s="114">
        <f t="shared" ref="H6:H47" si="5">C6-G6</f>
        <v>0</v>
      </c>
      <c r="I6" s="38"/>
      <c r="J6" s="38"/>
      <c r="K6" s="114">
        <v>0</v>
      </c>
      <c r="L6" s="114">
        <f t="shared" ref="L6:L12" si="6">H6-K6</f>
        <v>0</v>
      </c>
      <c r="M6" s="120">
        <f>ROUND(C6/C$48*G$48,3)-ROUND(C6/C$48*G$48,0)</f>
        <v>0</v>
      </c>
      <c r="N6" s="305">
        <f>+海田!N6</f>
        <v>0</v>
      </c>
      <c r="O6" s="1118" t="s">
        <v>110</v>
      </c>
      <c r="P6" s="116" t="str">
        <f>+B6</f>
        <v>昭和57年度</v>
      </c>
      <c r="Q6" s="348">
        <v>0</v>
      </c>
      <c r="R6" s="348">
        <v>0</v>
      </c>
      <c r="S6" s="348">
        <v>0</v>
      </c>
      <c r="T6" s="348">
        <v>0</v>
      </c>
      <c r="U6" s="114"/>
      <c r="V6" s="120"/>
      <c r="W6" s="1118" t="s">
        <v>462</v>
      </c>
      <c r="X6" s="116" t="str">
        <f>+B6</f>
        <v>昭和57年度</v>
      </c>
      <c r="Y6" s="349">
        <v>0</v>
      </c>
      <c r="Z6" s="349">
        <v>0</v>
      </c>
      <c r="AA6" s="349">
        <v>0</v>
      </c>
      <c r="AB6" s="349">
        <v>0</v>
      </c>
      <c r="AC6" s="114"/>
    </row>
    <row r="7" spans="1:29">
      <c r="A7" s="1119"/>
      <c r="B7" s="116" t="s">
        <v>456</v>
      </c>
      <c r="C7" s="115">
        <f t="shared" si="0"/>
        <v>0</v>
      </c>
      <c r="D7" s="115">
        <f t="shared" si="1"/>
        <v>0</v>
      </c>
      <c r="E7" s="115">
        <f t="shared" si="2"/>
        <v>0</v>
      </c>
      <c r="F7" s="115">
        <f t="shared" si="3"/>
        <v>0</v>
      </c>
      <c r="G7" s="114">
        <f t="shared" si="4"/>
        <v>0</v>
      </c>
      <c r="H7" s="114">
        <f t="shared" si="5"/>
        <v>0</v>
      </c>
      <c r="I7" s="38"/>
      <c r="J7" s="38"/>
      <c r="K7" s="114">
        <v>0</v>
      </c>
      <c r="L7" s="114">
        <f t="shared" si="6"/>
        <v>0</v>
      </c>
      <c r="M7" s="120">
        <f>ROUND(C7/C$48*G$48,3)-ROUND(C7/C$48*G$48,0)</f>
        <v>0</v>
      </c>
      <c r="N7" s="305">
        <f>+海田!N7</f>
        <v>0</v>
      </c>
      <c r="O7" s="1119"/>
      <c r="P7" s="116" t="str">
        <f t="shared" ref="P7:P47" si="7">+B7</f>
        <v>昭和58年度</v>
      </c>
      <c r="Q7" s="348">
        <v>0</v>
      </c>
      <c r="R7" s="348">
        <v>0</v>
      </c>
      <c r="S7" s="348">
        <v>0</v>
      </c>
      <c r="T7" s="348">
        <v>0</v>
      </c>
      <c r="U7" s="114"/>
      <c r="V7" s="121"/>
      <c r="W7" s="1119"/>
      <c r="X7" s="116" t="str">
        <f t="shared" ref="X7:X47" si="8">+B7</f>
        <v>昭和58年度</v>
      </c>
      <c r="Y7" s="349">
        <v>0</v>
      </c>
      <c r="Z7" s="349">
        <v>0</v>
      </c>
      <c r="AA7" s="349">
        <v>0</v>
      </c>
      <c r="AB7" s="349">
        <v>0</v>
      </c>
      <c r="AC7" s="114"/>
    </row>
    <row r="8" spans="1:29">
      <c r="A8" s="1119"/>
      <c r="B8" s="116" t="s">
        <v>457</v>
      </c>
      <c r="C8" s="115">
        <f t="shared" si="0"/>
        <v>0</v>
      </c>
      <c r="D8" s="115">
        <f t="shared" si="1"/>
        <v>0</v>
      </c>
      <c r="E8" s="115">
        <f t="shared" si="2"/>
        <v>0</v>
      </c>
      <c r="F8" s="115">
        <f t="shared" si="3"/>
        <v>0</v>
      </c>
      <c r="G8" s="114">
        <f t="shared" si="4"/>
        <v>0</v>
      </c>
      <c r="H8" s="114">
        <f t="shared" si="5"/>
        <v>0</v>
      </c>
      <c r="I8" s="38"/>
      <c r="J8" s="38"/>
      <c r="K8" s="114">
        <v>0</v>
      </c>
      <c r="L8" s="114">
        <f t="shared" si="6"/>
        <v>0</v>
      </c>
      <c r="M8" s="120">
        <f>ROUND(C8/C$48*G$48,3)-ROUND(C8/C$48*G$48,0)</f>
        <v>0</v>
      </c>
      <c r="N8" s="305">
        <f>+海田!N8</f>
        <v>0</v>
      </c>
      <c r="O8" s="1119"/>
      <c r="P8" s="116" t="str">
        <f t="shared" si="7"/>
        <v>昭和59年度</v>
      </c>
      <c r="Q8" s="348">
        <v>0</v>
      </c>
      <c r="R8" s="348">
        <v>0</v>
      </c>
      <c r="S8" s="348">
        <v>0</v>
      </c>
      <c r="T8" s="348">
        <v>0</v>
      </c>
      <c r="U8" s="114"/>
      <c r="V8" s="121"/>
      <c r="W8" s="1119"/>
      <c r="X8" s="116" t="str">
        <f t="shared" si="8"/>
        <v>昭和59年度</v>
      </c>
      <c r="Y8" s="349">
        <v>0</v>
      </c>
      <c r="Z8" s="349">
        <v>0</v>
      </c>
      <c r="AA8" s="349">
        <v>0</v>
      </c>
      <c r="AB8" s="349">
        <v>0</v>
      </c>
      <c r="AC8" s="114"/>
    </row>
    <row r="9" spans="1:29">
      <c r="A9" s="1119"/>
      <c r="B9" s="116" t="s">
        <v>458</v>
      </c>
      <c r="C9" s="115">
        <f t="shared" si="0"/>
        <v>0</v>
      </c>
      <c r="D9" s="115">
        <f t="shared" si="1"/>
        <v>0</v>
      </c>
      <c r="E9" s="115">
        <f t="shared" si="2"/>
        <v>0</v>
      </c>
      <c r="F9" s="115">
        <f t="shared" si="3"/>
        <v>0</v>
      </c>
      <c r="G9" s="114">
        <f t="shared" si="4"/>
        <v>0</v>
      </c>
      <c r="H9" s="114">
        <f t="shared" si="5"/>
        <v>0</v>
      </c>
      <c r="I9" s="38"/>
      <c r="J9" s="38"/>
      <c r="K9" s="114">
        <v>0</v>
      </c>
      <c r="L9" s="114">
        <f t="shared" si="6"/>
        <v>0</v>
      </c>
      <c r="M9" s="120">
        <f>ROUND(C9/C$48*G$48,3)-ROUND(C9/C$48*G$48,0)</f>
        <v>0</v>
      </c>
      <c r="N9" s="305">
        <f>+海田!N9</f>
        <v>0</v>
      </c>
      <c r="O9" s="1119"/>
      <c r="P9" s="116" t="str">
        <f t="shared" si="7"/>
        <v>昭和60年度</v>
      </c>
      <c r="Q9" s="348">
        <v>0</v>
      </c>
      <c r="R9" s="348">
        <v>0</v>
      </c>
      <c r="S9" s="348">
        <v>0</v>
      </c>
      <c r="T9" s="348">
        <v>0</v>
      </c>
      <c r="U9" s="114"/>
      <c r="V9" s="121"/>
      <c r="W9" s="1119"/>
      <c r="X9" s="116" t="str">
        <f t="shared" si="8"/>
        <v>昭和60年度</v>
      </c>
      <c r="Y9" s="349">
        <v>0</v>
      </c>
      <c r="Z9" s="349">
        <v>0</v>
      </c>
      <c r="AA9" s="349">
        <v>0</v>
      </c>
      <c r="AB9" s="349">
        <v>0</v>
      </c>
      <c r="AC9" s="114"/>
    </row>
    <row r="10" spans="1:29">
      <c r="A10" s="1119"/>
      <c r="B10" s="116" t="s">
        <v>459</v>
      </c>
      <c r="C10" s="115">
        <f t="shared" si="0"/>
        <v>0</v>
      </c>
      <c r="D10" s="115">
        <f t="shared" si="1"/>
        <v>0</v>
      </c>
      <c r="E10" s="115">
        <f t="shared" si="2"/>
        <v>0</v>
      </c>
      <c r="F10" s="115">
        <f t="shared" si="3"/>
        <v>0</v>
      </c>
      <c r="G10" s="114">
        <f t="shared" si="4"/>
        <v>0</v>
      </c>
      <c r="H10" s="114">
        <f t="shared" si="5"/>
        <v>0</v>
      </c>
      <c r="I10" s="38"/>
      <c r="J10" s="38"/>
      <c r="K10" s="114">
        <v>0</v>
      </c>
      <c r="L10" s="114">
        <f t="shared" si="6"/>
        <v>0</v>
      </c>
      <c r="M10" s="120">
        <f t="shared" ref="M10:M47" si="9">ROUND(C10/C$48*G$48,3)-ROUND(C10/C$48*G$48,0)</f>
        <v>0</v>
      </c>
      <c r="N10" s="305">
        <f>+海田!N10</f>
        <v>0</v>
      </c>
      <c r="O10" s="1119"/>
      <c r="P10" s="116" t="str">
        <f t="shared" si="7"/>
        <v>昭和61年度</v>
      </c>
      <c r="Q10" s="348">
        <v>0</v>
      </c>
      <c r="R10" s="348">
        <v>0</v>
      </c>
      <c r="S10" s="348">
        <v>0</v>
      </c>
      <c r="T10" s="348">
        <v>0</v>
      </c>
      <c r="U10" s="114"/>
      <c r="V10" s="121"/>
      <c r="W10" s="1119"/>
      <c r="X10" s="116" t="str">
        <f t="shared" si="8"/>
        <v>昭和61年度</v>
      </c>
      <c r="Y10" s="349">
        <v>0</v>
      </c>
      <c r="Z10" s="349">
        <v>0</v>
      </c>
      <c r="AA10" s="349">
        <v>0</v>
      </c>
      <c r="AB10" s="349">
        <v>0</v>
      </c>
      <c r="AC10" s="114"/>
    </row>
    <row r="11" spans="1:29">
      <c r="A11" s="1119"/>
      <c r="B11" s="116" t="s">
        <v>460</v>
      </c>
      <c r="C11" s="115">
        <f t="shared" si="0"/>
        <v>0</v>
      </c>
      <c r="D11" s="115">
        <f t="shared" si="1"/>
        <v>0</v>
      </c>
      <c r="E11" s="115">
        <f t="shared" si="2"/>
        <v>0</v>
      </c>
      <c r="F11" s="115">
        <f t="shared" si="3"/>
        <v>0</v>
      </c>
      <c r="G11" s="114">
        <f t="shared" si="4"/>
        <v>0</v>
      </c>
      <c r="H11" s="114">
        <f t="shared" si="5"/>
        <v>0</v>
      </c>
      <c r="I11" s="38"/>
      <c r="J11" s="38"/>
      <c r="K11" s="114">
        <v>0</v>
      </c>
      <c r="L11" s="114">
        <f t="shared" si="6"/>
        <v>0</v>
      </c>
      <c r="M11" s="120">
        <f t="shared" si="9"/>
        <v>0</v>
      </c>
      <c r="N11" s="305">
        <f>+海田!N11</f>
        <v>0</v>
      </c>
      <c r="O11" s="1119"/>
      <c r="P11" s="116" t="str">
        <f t="shared" si="7"/>
        <v>昭和62年度</v>
      </c>
      <c r="Q11" s="348">
        <v>0</v>
      </c>
      <c r="R11" s="348">
        <v>0</v>
      </c>
      <c r="S11" s="348">
        <v>0</v>
      </c>
      <c r="T11" s="348">
        <v>0</v>
      </c>
      <c r="U11" s="114"/>
      <c r="V11" s="121"/>
      <c r="W11" s="1119"/>
      <c r="X11" s="116" t="str">
        <f t="shared" si="8"/>
        <v>昭和62年度</v>
      </c>
      <c r="Y11" s="349">
        <v>0</v>
      </c>
      <c r="Z11" s="349">
        <v>0</v>
      </c>
      <c r="AA11" s="349">
        <v>0</v>
      </c>
      <c r="AB11" s="349">
        <v>0</v>
      </c>
      <c r="AC11" s="114"/>
    </row>
    <row r="12" spans="1:29">
      <c r="A12" s="1119"/>
      <c r="B12" s="116" t="s">
        <v>461</v>
      </c>
      <c r="C12" s="115">
        <f t="shared" si="0"/>
        <v>0</v>
      </c>
      <c r="D12" s="115">
        <f t="shared" si="1"/>
        <v>0</v>
      </c>
      <c r="E12" s="115">
        <f t="shared" si="2"/>
        <v>0</v>
      </c>
      <c r="F12" s="115">
        <f t="shared" si="3"/>
        <v>0</v>
      </c>
      <c r="G12" s="114">
        <f t="shared" si="4"/>
        <v>0</v>
      </c>
      <c r="H12" s="114">
        <f t="shared" si="5"/>
        <v>0</v>
      </c>
      <c r="I12" s="38"/>
      <c r="J12" s="38"/>
      <c r="K12" s="114">
        <v>0</v>
      </c>
      <c r="L12" s="114">
        <f t="shared" si="6"/>
        <v>0</v>
      </c>
      <c r="M12" s="120">
        <f t="shared" si="9"/>
        <v>0</v>
      </c>
      <c r="N12" s="305">
        <f>+海田!N12</f>
        <v>0</v>
      </c>
      <c r="O12" s="1119"/>
      <c r="P12" s="116" t="str">
        <f t="shared" si="7"/>
        <v>昭和63年度</v>
      </c>
      <c r="Q12" s="348">
        <v>0</v>
      </c>
      <c r="R12" s="348">
        <v>0</v>
      </c>
      <c r="S12" s="348">
        <v>0</v>
      </c>
      <c r="T12" s="348">
        <v>0</v>
      </c>
      <c r="U12" s="114"/>
      <c r="V12" s="121"/>
      <c r="W12" s="1119"/>
      <c r="X12" s="116" t="str">
        <f t="shared" si="8"/>
        <v>昭和63年度</v>
      </c>
      <c r="Y12" s="349">
        <v>0</v>
      </c>
      <c r="Z12" s="349">
        <v>0</v>
      </c>
      <c r="AA12" s="349">
        <v>0</v>
      </c>
      <c r="AB12" s="349">
        <v>0</v>
      </c>
      <c r="AC12" s="114"/>
    </row>
    <row r="13" spans="1:29">
      <c r="A13" s="1119"/>
      <c r="B13" s="117" t="s">
        <v>425</v>
      </c>
      <c r="C13" s="115">
        <f t="shared" si="0"/>
        <v>0</v>
      </c>
      <c r="D13" s="115">
        <f t="shared" si="1"/>
        <v>0</v>
      </c>
      <c r="E13" s="115">
        <f t="shared" si="2"/>
        <v>0</v>
      </c>
      <c r="F13" s="115">
        <f t="shared" si="3"/>
        <v>0</v>
      </c>
      <c r="G13" s="114">
        <f t="shared" si="4"/>
        <v>0</v>
      </c>
      <c r="H13" s="114">
        <f t="shared" si="5"/>
        <v>0</v>
      </c>
      <c r="I13" s="108">
        <f>+VLOOKUP($B13,年度別調書!$A$4:$M$37,10,0)</f>
        <v>30622955900</v>
      </c>
      <c r="J13" s="108">
        <f>+VLOOKUP($B13,年度別調書!$A$4:$M$37,13,0)</f>
        <v>62903610340</v>
      </c>
      <c r="K13" s="114">
        <f>IFERROR(ROUND(H13*I13/J13,0),0)</f>
        <v>0</v>
      </c>
      <c r="L13" s="114">
        <f>H13-K13</f>
        <v>0</v>
      </c>
      <c r="M13" s="120">
        <f t="shared" si="9"/>
        <v>0</v>
      </c>
      <c r="N13" s="305">
        <f>+海田!N13</f>
        <v>3</v>
      </c>
      <c r="O13" s="1119"/>
      <c r="P13" s="116" t="str">
        <f t="shared" si="7"/>
        <v>平成元年度</v>
      </c>
      <c r="Q13" s="348">
        <v>0</v>
      </c>
      <c r="R13" s="348">
        <v>0</v>
      </c>
      <c r="S13" s="348">
        <v>0</v>
      </c>
      <c r="T13" s="348">
        <v>0</v>
      </c>
      <c r="U13" s="114"/>
      <c r="V13" s="121"/>
      <c r="W13" s="1119"/>
      <c r="X13" s="116" t="str">
        <f t="shared" si="8"/>
        <v>平成元年度</v>
      </c>
      <c r="Y13" s="349">
        <v>0</v>
      </c>
      <c r="Z13" s="349">
        <v>0</v>
      </c>
      <c r="AA13" s="349">
        <v>0</v>
      </c>
      <c r="AB13" s="349">
        <v>0</v>
      </c>
      <c r="AC13" s="114"/>
    </row>
    <row r="14" spans="1:29">
      <c r="A14" s="1119"/>
      <c r="B14" s="117" t="s">
        <v>426</v>
      </c>
      <c r="C14" s="115">
        <f t="shared" si="0"/>
        <v>0</v>
      </c>
      <c r="D14" s="115">
        <f t="shared" si="1"/>
        <v>0</v>
      </c>
      <c r="E14" s="115">
        <f t="shared" si="2"/>
        <v>0</v>
      </c>
      <c r="F14" s="115">
        <f t="shared" si="3"/>
        <v>0</v>
      </c>
      <c r="G14" s="114">
        <f t="shared" si="4"/>
        <v>0</v>
      </c>
      <c r="H14" s="114">
        <f t="shared" si="5"/>
        <v>0</v>
      </c>
      <c r="I14" s="108">
        <f>+VLOOKUP($B14,年度別調書!$A$4:$M$37,10,0)</f>
        <v>36785805618</v>
      </c>
      <c r="J14" s="108">
        <f>+VLOOKUP($B14,年度別調書!$A$4:$M$37,13,0)</f>
        <v>65207626364</v>
      </c>
      <c r="K14" s="114">
        <f t="shared" ref="K14:K47" si="10">IFERROR(ROUND(H14*I14/J14,0),0)</f>
        <v>0</v>
      </c>
      <c r="L14" s="114">
        <f>H14-K14</f>
        <v>0</v>
      </c>
      <c r="M14" s="120">
        <f t="shared" si="9"/>
        <v>0</v>
      </c>
      <c r="N14" s="305">
        <f>+海田!N14</f>
        <v>3</v>
      </c>
      <c r="O14" s="1119"/>
      <c r="P14" s="116" t="str">
        <f t="shared" si="7"/>
        <v>平成2年度</v>
      </c>
      <c r="Q14" s="348">
        <v>0</v>
      </c>
      <c r="R14" s="348">
        <v>0</v>
      </c>
      <c r="S14" s="348">
        <v>0</v>
      </c>
      <c r="T14" s="348">
        <v>0</v>
      </c>
      <c r="U14" s="114"/>
      <c r="V14" s="121"/>
      <c r="W14" s="1119"/>
      <c r="X14" s="116" t="str">
        <f t="shared" si="8"/>
        <v>平成2年度</v>
      </c>
      <c r="Y14" s="349">
        <v>0</v>
      </c>
      <c r="Z14" s="349">
        <v>0</v>
      </c>
      <c r="AA14" s="349">
        <v>0</v>
      </c>
      <c r="AB14" s="349">
        <v>0</v>
      </c>
      <c r="AC14" s="114"/>
    </row>
    <row r="15" spans="1:29">
      <c r="A15" s="1119"/>
      <c r="B15" s="117" t="s">
        <v>427</v>
      </c>
      <c r="C15" s="115">
        <f t="shared" si="0"/>
        <v>0</v>
      </c>
      <c r="D15" s="115">
        <f t="shared" si="1"/>
        <v>0</v>
      </c>
      <c r="E15" s="115">
        <f t="shared" si="2"/>
        <v>0</v>
      </c>
      <c r="F15" s="115">
        <f t="shared" si="3"/>
        <v>0</v>
      </c>
      <c r="G15" s="114">
        <f t="shared" si="4"/>
        <v>0</v>
      </c>
      <c r="H15" s="114">
        <f t="shared" si="5"/>
        <v>0</v>
      </c>
      <c r="I15" s="108">
        <f>+VLOOKUP($B15,年度別調書!$A$4:$M$37,10,0)</f>
        <v>42048127236</v>
      </c>
      <c r="J15" s="108">
        <f>+VLOOKUP($B15,年度別調書!$A$4:$M$37,13,0)</f>
        <v>72538415314</v>
      </c>
      <c r="K15" s="114">
        <f t="shared" si="10"/>
        <v>0</v>
      </c>
      <c r="L15" s="114">
        <f>H15-K15</f>
        <v>0</v>
      </c>
      <c r="M15" s="120">
        <f t="shared" si="9"/>
        <v>0</v>
      </c>
      <c r="N15" s="305">
        <f>+海田!N15</f>
        <v>3</v>
      </c>
      <c r="O15" s="1119"/>
      <c r="P15" s="116" t="str">
        <f t="shared" si="7"/>
        <v>平成3年度</v>
      </c>
      <c r="Q15" s="348">
        <v>0</v>
      </c>
      <c r="R15" s="348">
        <v>0</v>
      </c>
      <c r="S15" s="348">
        <v>0</v>
      </c>
      <c r="T15" s="348">
        <v>0</v>
      </c>
      <c r="U15" s="114"/>
      <c r="V15" s="121"/>
      <c r="W15" s="1119"/>
      <c r="X15" s="116" t="str">
        <f t="shared" si="8"/>
        <v>平成3年度</v>
      </c>
      <c r="Y15" s="349">
        <v>0</v>
      </c>
      <c r="Z15" s="349">
        <v>0</v>
      </c>
      <c r="AA15" s="349">
        <v>0</v>
      </c>
      <c r="AB15" s="349">
        <v>0</v>
      </c>
      <c r="AC15" s="114"/>
    </row>
    <row r="16" spans="1:29">
      <c r="A16" s="1119"/>
      <c r="B16" s="117" t="s">
        <v>428</v>
      </c>
      <c r="C16" s="115">
        <f t="shared" si="0"/>
        <v>0</v>
      </c>
      <c r="D16" s="115">
        <f t="shared" si="1"/>
        <v>0</v>
      </c>
      <c r="E16" s="115">
        <f t="shared" si="2"/>
        <v>0</v>
      </c>
      <c r="F16" s="115">
        <f t="shared" si="3"/>
        <v>0</v>
      </c>
      <c r="G16" s="114">
        <f t="shared" si="4"/>
        <v>0</v>
      </c>
      <c r="H16" s="114">
        <f t="shared" si="5"/>
        <v>0</v>
      </c>
      <c r="I16" s="108">
        <f>+VLOOKUP($B16,年度別調書!$A$4:$M$37,10,0)</f>
        <v>49320557603</v>
      </c>
      <c r="J16" s="108">
        <f>+VLOOKUP($B16,年度別調書!$A$4:$M$37,13,0)</f>
        <v>82028053042</v>
      </c>
      <c r="K16" s="114">
        <f t="shared" si="10"/>
        <v>0</v>
      </c>
      <c r="L16" s="114">
        <f>H16-K16</f>
        <v>0</v>
      </c>
      <c r="M16" s="120">
        <f t="shared" si="9"/>
        <v>0</v>
      </c>
      <c r="N16" s="305">
        <f>+海田!N16</f>
        <v>3</v>
      </c>
      <c r="O16" s="1119"/>
      <c r="P16" s="116" t="str">
        <f t="shared" si="7"/>
        <v>平成4年度</v>
      </c>
      <c r="Q16" s="348">
        <v>0</v>
      </c>
      <c r="R16" s="348">
        <v>0</v>
      </c>
      <c r="S16" s="348">
        <v>0</v>
      </c>
      <c r="T16" s="348">
        <v>0</v>
      </c>
      <c r="U16" s="114"/>
      <c r="V16" s="121"/>
      <c r="W16" s="1119"/>
      <c r="X16" s="116" t="str">
        <f t="shared" si="8"/>
        <v>平成4年度</v>
      </c>
      <c r="Y16" s="349">
        <v>0</v>
      </c>
      <c r="Z16" s="349">
        <v>0</v>
      </c>
      <c r="AA16" s="349">
        <v>0</v>
      </c>
      <c r="AB16" s="349">
        <v>0</v>
      </c>
      <c r="AC16" s="114"/>
    </row>
    <row r="17" spans="1:29">
      <c r="A17" s="1119"/>
      <c r="B17" s="117" t="s">
        <v>429</v>
      </c>
      <c r="C17" s="115">
        <f t="shared" si="0"/>
        <v>673163</v>
      </c>
      <c r="D17" s="115">
        <f t="shared" si="1"/>
        <v>35183</v>
      </c>
      <c r="E17" s="115">
        <f t="shared" si="2"/>
        <v>708346</v>
      </c>
      <c r="F17" s="115">
        <f t="shared" si="3"/>
        <v>33212</v>
      </c>
      <c r="G17" s="375">
        <f>ROUND(C17/C$48*G$48,0)</f>
        <v>68925</v>
      </c>
      <c r="H17" s="114">
        <f t="shared" si="5"/>
        <v>604238</v>
      </c>
      <c r="I17" s="108">
        <f>+VLOOKUP($B17,年度別調書!$A$4:$M$37,10,0)</f>
        <v>54853236126</v>
      </c>
      <c r="J17" s="108">
        <f>+VLOOKUP($B17,年度別調書!$A$4:$M$37,13,0)</f>
        <v>94393962571</v>
      </c>
      <c r="K17" s="114">
        <f t="shared" si="10"/>
        <v>351128</v>
      </c>
      <c r="L17" s="114">
        <f t="shared" ref="L17:L47" si="11">H17-K17</f>
        <v>253110</v>
      </c>
      <c r="M17" s="120">
        <f t="shared" si="9"/>
        <v>9.900000000197906E-2</v>
      </c>
      <c r="N17" s="305">
        <f>+海田!N17</f>
        <v>3</v>
      </c>
      <c r="O17" s="1119"/>
      <c r="P17" s="116" t="str">
        <f t="shared" si="7"/>
        <v>平成5年度</v>
      </c>
      <c r="Q17" s="348">
        <v>332890</v>
      </c>
      <c r="R17" s="348">
        <v>21283</v>
      </c>
      <c r="S17" s="348">
        <v>354173</v>
      </c>
      <c r="T17" s="348">
        <v>16606</v>
      </c>
      <c r="U17" s="114"/>
      <c r="V17" s="121"/>
      <c r="W17" s="1119"/>
      <c r="X17" s="116" t="str">
        <f t="shared" si="8"/>
        <v>平成5年度</v>
      </c>
      <c r="Y17" s="349">
        <v>340273</v>
      </c>
      <c r="Z17" s="349">
        <v>13900</v>
      </c>
      <c r="AA17" s="349">
        <v>354173</v>
      </c>
      <c r="AB17" s="349">
        <v>16606</v>
      </c>
      <c r="AC17" s="114"/>
    </row>
    <row r="18" spans="1:29">
      <c r="A18" s="1119"/>
      <c r="B18" s="117" t="s">
        <v>430</v>
      </c>
      <c r="C18" s="115">
        <f t="shared" si="0"/>
        <v>1331270</v>
      </c>
      <c r="D18" s="115">
        <f t="shared" si="1"/>
        <v>104968</v>
      </c>
      <c r="E18" s="115">
        <f t="shared" si="2"/>
        <v>1436238</v>
      </c>
      <c r="F18" s="115">
        <f t="shared" si="3"/>
        <v>40994</v>
      </c>
      <c r="G18" s="114">
        <f t="shared" si="4"/>
        <v>136309</v>
      </c>
      <c r="H18" s="114">
        <f t="shared" si="5"/>
        <v>1194961</v>
      </c>
      <c r="I18" s="108">
        <f>+VLOOKUP($B18,年度別調書!$A$4:$M$37,10,0)</f>
        <v>52459905451</v>
      </c>
      <c r="J18" s="108">
        <f>+VLOOKUP($B18,年度別調書!$A$4:$M$37,13,0)</f>
        <v>92179213936</v>
      </c>
      <c r="K18" s="114">
        <f t="shared" si="10"/>
        <v>680062</v>
      </c>
      <c r="L18" s="114">
        <f t="shared" si="11"/>
        <v>514899</v>
      </c>
      <c r="M18" s="120">
        <f t="shared" si="9"/>
        <v>-0.3839999999909196</v>
      </c>
      <c r="N18" s="305">
        <f>+海田!N18</f>
        <v>3</v>
      </c>
      <c r="O18" s="1119"/>
      <c r="P18" s="116" t="str">
        <f t="shared" si="7"/>
        <v>平成6年度</v>
      </c>
      <c r="Q18" s="348">
        <v>659132</v>
      </c>
      <c r="R18" s="348">
        <v>58987</v>
      </c>
      <c r="S18" s="348">
        <v>718119</v>
      </c>
      <c r="T18" s="348">
        <v>20497</v>
      </c>
      <c r="U18" s="114"/>
      <c r="V18" s="121"/>
      <c r="W18" s="1119"/>
      <c r="X18" s="116" t="str">
        <f t="shared" si="8"/>
        <v>平成6年度</v>
      </c>
      <c r="Y18" s="349">
        <v>672138</v>
      </c>
      <c r="Z18" s="349">
        <v>45981</v>
      </c>
      <c r="AA18" s="349">
        <v>718119</v>
      </c>
      <c r="AB18" s="349">
        <v>20497</v>
      </c>
      <c r="AC18" s="114"/>
    </row>
    <row r="19" spans="1:29">
      <c r="A19" s="1119"/>
      <c r="B19" s="117" t="s">
        <v>431</v>
      </c>
      <c r="C19" s="115">
        <f t="shared" si="0"/>
        <v>2179034</v>
      </c>
      <c r="D19" s="115">
        <f t="shared" si="1"/>
        <v>115008</v>
      </c>
      <c r="E19" s="115">
        <f t="shared" si="2"/>
        <v>2294042</v>
      </c>
      <c r="F19" s="115">
        <f t="shared" si="3"/>
        <v>120794</v>
      </c>
      <c r="G19" s="375">
        <f>ROUND(C19/C$48*G$48,0)</f>
        <v>223111</v>
      </c>
      <c r="H19" s="114">
        <f t="shared" si="5"/>
        <v>1955923</v>
      </c>
      <c r="I19" s="108">
        <f>+VLOOKUP($B19,年度別調書!$A$4:$M$37,10,0)</f>
        <v>58579778590</v>
      </c>
      <c r="J19" s="108">
        <f>+VLOOKUP($B19,年度別調書!$A$4:$M$37,13,0)</f>
        <v>98916143476</v>
      </c>
      <c r="K19" s="114">
        <f t="shared" si="10"/>
        <v>1158330</v>
      </c>
      <c r="L19" s="114">
        <f t="shared" si="11"/>
        <v>797593</v>
      </c>
      <c r="M19" s="120">
        <f t="shared" si="9"/>
        <v>9.5999999990453944E-2</v>
      </c>
      <c r="N19" s="305">
        <f>+海田!N19</f>
        <v>3</v>
      </c>
      <c r="O19" s="1119"/>
      <c r="P19" s="116" t="str">
        <f t="shared" si="7"/>
        <v>平成7年度</v>
      </c>
      <c r="Q19" s="348">
        <v>1080780</v>
      </c>
      <c r="R19" s="348">
        <v>66241</v>
      </c>
      <c r="S19" s="348">
        <v>1147021</v>
      </c>
      <c r="T19" s="348">
        <v>60397</v>
      </c>
      <c r="U19" s="114"/>
      <c r="V19" s="121"/>
      <c r="W19" s="1119"/>
      <c r="X19" s="116" t="str">
        <f t="shared" si="8"/>
        <v>平成7年度</v>
      </c>
      <c r="Y19" s="349">
        <v>1098254</v>
      </c>
      <c r="Z19" s="349">
        <v>48767</v>
      </c>
      <c r="AA19" s="349">
        <v>1147021</v>
      </c>
      <c r="AB19" s="349">
        <v>60397</v>
      </c>
      <c r="AC19" s="114"/>
    </row>
    <row r="20" spans="1:29">
      <c r="A20" s="1119"/>
      <c r="B20" s="117" t="s">
        <v>432</v>
      </c>
      <c r="C20" s="115">
        <f t="shared" si="0"/>
        <v>4466077</v>
      </c>
      <c r="D20" s="115">
        <f t="shared" si="1"/>
        <v>351925</v>
      </c>
      <c r="E20" s="115">
        <f t="shared" si="2"/>
        <v>4818002</v>
      </c>
      <c r="F20" s="115">
        <f t="shared" si="3"/>
        <v>556798</v>
      </c>
      <c r="G20" s="375">
        <f t="shared" si="4"/>
        <v>457281</v>
      </c>
      <c r="H20" s="114">
        <f t="shared" si="5"/>
        <v>4008796</v>
      </c>
      <c r="I20" s="108">
        <f>+VLOOKUP($B20,年度別調書!$A$4:$M$37,10,0)</f>
        <v>59855732510</v>
      </c>
      <c r="J20" s="108">
        <f>+VLOOKUP($B20,年度別調書!$A$4:$M$37,13,0)</f>
        <v>105086070753</v>
      </c>
      <c r="K20" s="114">
        <f t="shared" si="10"/>
        <v>2283361</v>
      </c>
      <c r="L20" s="114">
        <f t="shared" si="11"/>
        <v>1725435</v>
      </c>
      <c r="M20" s="120">
        <f t="shared" si="9"/>
        <v>0.22399999998742715</v>
      </c>
      <c r="N20" s="305">
        <f>+海田!N20</f>
        <v>3</v>
      </c>
      <c r="O20" s="1119"/>
      <c r="P20" s="116" t="str">
        <f t="shared" si="7"/>
        <v>平成8年度</v>
      </c>
      <c r="Q20" s="348">
        <v>2218088</v>
      </c>
      <c r="R20" s="348">
        <v>190913</v>
      </c>
      <c r="S20" s="348">
        <v>2409001</v>
      </c>
      <c r="T20" s="348">
        <v>278399</v>
      </c>
      <c r="U20" s="114"/>
      <c r="V20" s="121"/>
      <c r="W20" s="1119"/>
      <c r="X20" s="116" t="str">
        <f t="shared" si="8"/>
        <v>平成8年度</v>
      </c>
      <c r="Y20" s="349">
        <v>2247989</v>
      </c>
      <c r="Z20" s="349">
        <v>161012</v>
      </c>
      <c r="AA20" s="349">
        <v>2409001</v>
      </c>
      <c r="AB20" s="349">
        <v>278399</v>
      </c>
      <c r="AC20" s="114"/>
    </row>
    <row r="21" spans="1:29">
      <c r="A21" s="1119"/>
      <c r="B21" s="117" t="s">
        <v>433</v>
      </c>
      <c r="C21" s="115">
        <f t="shared" si="0"/>
        <v>2091411</v>
      </c>
      <c r="D21" s="115">
        <f t="shared" si="1"/>
        <v>188991</v>
      </c>
      <c r="E21" s="115">
        <f t="shared" si="2"/>
        <v>2280402</v>
      </c>
      <c r="F21" s="115">
        <f t="shared" si="3"/>
        <v>243094</v>
      </c>
      <c r="G21" s="375">
        <f t="shared" si="4"/>
        <v>214139</v>
      </c>
      <c r="H21" s="114">
        <f t="shared" si="5"/>
        <v>1877272</v>
      </c>
      <c r="I21" s="108">
        <f>+VLOOKUP($B21,年度別調書!$A$4:$M$37,10,0)</f>
        <v>65491097789</v>
      </c>
      <c r="J21" s="108">
        <f>+VLOOKUP($B21,年度別調書!$A$4:$M$37,13,0)</f>
        <v>112544371375</v>
      </c>
      <c r="K21" s="114">
        <f t="shared" si="10"/>
        <v>1092410</v>
      </c>
      <c r="L21" s="114">
        <f t="shared" si="11"/>
        <v>784862</v>
      </c>
      <c r="M21" s="120">
        <f t="shared" si="9"/>
        <v>0.38500000000931323</v>
      </c>
      <c r="N21" s="305">
        <f>+海田!N21</f>
        <v>5</v>
      </c>
      <c r="O21" s="1119"/>
      <c r="P21" s="116" t="str">
        <f t="shared" si="7"/>
        <v>平成9年度</v>
      </c>
      <c r="Q21" s="348">
        <v>1040272</v>
      </c>
      <c r="R21" s="348">
        <v>99929</v>
      </c>
      <c r="S21" s="348">
        <v>1140201</v>
      </c>
      <c r="T21" s="348">
        <v>121547</v>
      </c>
      <c r="U21" s="114"/>
      <c r="V21" s="121"/>
      <c r="W21" s="1119"/>
      <c r="X21" s="116" t="str">
        <f t="shared" si="8"/>
        <v>平成9年度</v>
      </c>
      <c r="Y21" s="349">
        <v>1051139</v>
      </c>
      <c r="Z21" s="349">
        <v>89062</v>
      </c>
      <c r="AA21" s="349">
        <v>1140201</v>
      </c>
      <c r="AB21" s="349">
        <v>121547</v>
      </c>
      <c r="AC21" s="114"/>
    </row>
    <row r="22" spans="1:29">
      <c r="A22" s="1119"/>
      <c r="B22" s="117" t="s">
        <v>434</v>
      </c>
      <c r="C22" s="115">
        <f t="shared" si="0"/>
        <v>4497931</v>
      </c>
      <c r="D22" s="115">
        <f t="shared" si="1"/>
        <v>517831</v>
      </c>
      <c r="E22" s="115">
        <f t="shared" si="2"/>
        <v>5015762</v>
      </c>
      <c r="F22" s="115">
        <f t="shared" si="3"/>
        <v>549022</v>
      </c>
      <c r="G22" s="375">
        <f t="shared" si="4"/>
        <v>460543</v>
      </c>
      <c r="H22" s="114">
        <f t="shared" si="5"/>
        <v>4037388</v>
      </c>
      <c r="I22" s="108">
        <f>+VLOOKUP($B22,年度別調書!$A$4:$M$37,10,0)</f>
        <v>66701247191</v>
      </c>
      <c r="J22" s="108">
        <f>+VLOOKUP($B22,年度別調書!$A$4:$M$37,13,0)</f>
        <v>118194473653</v>
      </c>
      <c r="K22" s="114">
        <f t="shared" si="10"/>
        <v>2278438</v>
      </c>
      <c r="L22" s="114">
        <f t="shared" si="11"/>
        <v>1758950</v>
      </c>
      <c r="M22" s="120">
        <f t="shared" si="9"/>
        <v>-0.24800000002142042</v>
      </c>
      <c r="N22" s="305">
        <f>+海田!N22</f>
        <v>5</v>
      </c>
      <c r="O22" s="1119"/>
      <c r="P22" s="116" t="str">
        <f t="shared" si="7"/>
        <v>平成10年度</v>
      </c>
      <c r="Q22" s="348">
        <v>2237367</v>
      </c>
      <c r="R22" s="348">
        <v>270514</v>
      </c>
      <c r="S22" s="348">
        <v>2507881</v>
      </c>
      <c r="T22" s="348">
        <v>274511</v>
      </c>
      <c r="U22" s="114"/>
      <c r="V22" s="121"/>
      <c r="W22" s="1119"/>
      <c r="X22" s="116" t="str">
        <f t="shared" si="8"/>
        <v>平成10年度</v>
      </c>
      <c r="Y22" s="349">
        <v>2260564</v>
      </c>
      <c r="Z22" s="349">
        <v>247317</v>
      </c>
      <c r="AA22" s="349">
        <v>2507881</v>
      </c>
      <c r="AB22" s="349">
        <v>274511</v>
      </c>
      <c r="AC22" s="114"/>
    </row>
    <row r="23" spans="1:29">
      <c r="A23" s="1119"/>
      <c r="B23" s="117" t="s">
        <v>435</v>
      </c>
      <c r="C23" s="115">
        <f t="shared" si="0"/>
        <v>6143259</v>
      </c>
      <c r="D23" s="115">
        <f t="shared" si="1"/>
        <v>614559</v>
      </c>
      <c r="E23" s="115">
        <f t="shared" si="2"/>
        <v>6757818</v>
      </c>
      <c r="F23" s="115">
        <f t="shared" si="3"/>
        <v>739682</v>
      </c>
      <c r="G23" s="375">
        <f t="shared" si="4"/>
        <v>629008</v>
      </c>
      <c r="H23" s="114">
        <f t="shared" si="5"/>
        <v>5514251</v>
      </c>
      <c r="I23" s="108">
        <f>+VLOOKUP($B23,年度別調書!$A$4:$M$37,10,0)</f>
        <v>58274420372</v>
      </c>
      <c r="J23" s="108">
        <f>+VLOOKUP($B23,年度別調書!$A$4:$M$37,13,0)</f>
        <v>110790062218</v>
      </c>
      <c r="K23" s="114">
        <f t="shared" si="10"/>
        <v>2900439</v>
      </c>
      <c r="L23" s="114">
        <f t="shared" si="11"/>
        <v>2613812</v>
      </c>
      <c r="M23" s="120">
        <f t="shared" si="9"/>
        <v>-0.26199999998789281</v>
      </c>
      <c r="N23" s="305">
        <f>+海田!N23</f>
        <v>5</v>
      </c>
      <c r="O23" s="1119"/>
      <c r="P23" s="116" t="str">
        <f t="shared" si="7"/>
        <v>平成11年度</v>
      </c>
      <c r="Q23" s="348">
        <v>3056646</v>
      </c>
      <c r="R23" s="348">
        <v>322263</v>
      </c>
      <c r="S23" s="348">
        <v>3378909</v>
      </c>
      <c r="T23" s="348">
        <v>369841</v>
      </c>
      <c r="U23" s="114"/>
      <c r="V23" s="121"/>
      <c r="W23" s="1119"/>
      <c r="X23" s="116" t="str">
        <f t="shared" si="8"/>
        <v>平成11年度</v>
      </c>
      <c r="Y23" s="349">
        <v>3086613</v>
      </c>
      <c r="Z23" s="349">
        <v>292296</v>
      </c>
      <c r="AA23" s="349">
        <v>3378909</v>
      </c>
      <c r="AB23" s="349">
        <v>369841</v>
      </c>
      <c r="AC23" s="114"/>
    </row>
    <row r="24" spans="1:29">
      <c r="A24" s="1119"/>
      <c r="B24" s="117" t="s">
        <v>436</v>
      </c>
      <c r="C24" s="115">
        <f>+Q24+Y24</f>
        <v>3862736</v>
      </c>
      <c r="D24" s="115">
        <f t="shared" si="1"/>
        <v>432266</v>
      </c>
      <c r="E24" s="115">
        <f t="shared" si="2"/>
        <v>4295002</v>
      </c>
      <c r="F24" s="115">
        <f t="shared" si="3"/>
        <v>494090</v>
      </c>
      <c r="G24" s="375">
        <f>ROUND(C24/C$48*G$48,0)</f>
        <v>395505</v>
      </c>
      <c r="H24" s="114">
        <f t="shared" si="5"/>
        <v>3467231</v>
      </c>
      <c r="I24" s="108">
        <f>+VLOOKUP($B24,年度別調書!$A$4:$M$37,10,0)</f>
        <v>48353931386</v>
      </c>
      <c r="J24" s="108">
        <f>+VLOOKUP($B24,年度別調書!$A$4:$M$37,13,0)</f>
        <v>104173607652</v>
      </c>
      <c r="K24" s="114">
        <f t="shared" si="10"/>
        <v>1609374</v>
      </c>
      <c r="L24" s="114">
        <f t="shared" si="11"/>
        <v>1857857</v>
      </c>
      <c r="M24" s="120">
        <f t="shared" si="9"/>
        <v>0.19300000002840534</v>
      </c>
      <c r="N24" s="305">
        <f>+海田!N24</f>
        <v>5</v>
      </c>
      <c r="O24" s="1119"/>
      <c r="P24" s="116" t="str">
        <f t="shared" si="7"/>
        <v>平成12年度</v>
      </c>
      <c r="Q24" s="348">
        <v>1922821</v>
      </c>
      <c r="R24" s="348">
        <v>224680</v>
      </c>
      <c r="S24" s="348">
        <v>2147501</v>
      </c>
      <c r="T24" s="348">
        <v>247045</v>
      </c>
      <c r="U24" s="114"/>
      <c r="V24" s="121"/>
      <c r="W24" s="1119"/>
      <c r="X24" s="116" t="str">
        <f t="shared" si="8"/>
        <v>平成12年度</v>
      </c>
      <c r="Y24" s="349">
        <v>1939915</v>
      </c>
      <c r="Z24" s="349">
        <v>207586</v>
      </c>
      <c r="AA24" s="349">
        <v>2147501</v>
      </c>
      <c r="AB24" s="349">
        <v>247045</v>
      </c>
      <c r="AC24" s="114"/>
    </row>
    <row r="25" spans="1:29">
      <c r="A25" s="1119"/>
      <c r="B25" s="117" t="s">
        <v>437</v>
      </c>
      <c r="C25" s="115">
        <f t="shared" si="0"/>
        <v>462665</v>
      </c>
      <c r="D25" s="115">
        <f t="shared" si="1"/>
        <v>67293</v>
      </c>
      <c r="E25" s="115">
        <f t="shared" si="2"/>
        <v>529958</v>
      </c>
      <c r="F25" s="115">
        <f t="shared" si="3"/>
        <v>62370</v>
      </c>
      <c r="G25" s="375">
        <f>ROUND(C25/C$48*G$48,0)</f>
        <v>47372</v>
      </c>
      <c r="H25" s="114">
        <f t="shared" si="5"/>
        <v>415293</v>
      </c>
      <c r="I25" s="108">
        <f>+VLOOKUP($B25,年度別調書!$A$4:$M$37,10,0)</f>
        <v>42742028940</v>
      </c>
      <c r="J25" s="108">
        <f>+VLOOKUP($B25,年度別調書!$A$4:$M$37,13,0)</f>
        <v>101075943440</v>
      </c>
      <c r="K25" s="114">
        <f t="shared" si="10"/>
        <v>175615</v>
      </c>
      <c r="L25" s="114">
        <f t="shared" si="11"/>
        <v>239678</v>
      </c>
      <c r="M25" s="120">
        <f t="shared" si="9"/>
        <v>0.22800000000279397</v>
      </c>
      <c r="N25" s="305">
        <f>+海田!N25</f>
        <v>5</v>
      </c>
      <c r="O25" s="1119"/>
      <c r="P25" s="116" t="str">
        <f t="shared" si="7"/>
        <v>平成13年度</v>
      </c>
      <c r="Q25" s="348">
        <v>230204</v>
      </c>
      <c r="R25" s="348">
        <v>34775</v>
      </c>
      <c r="S25" s="348">
        <v>264979</v>
      </c>
      <c r="T25" s="348">
        <v>31185</v>
      </c>
      <c r="U25" s="114"/>
      <c r="V25" s="121"/>
      <c r="W25" s="1119"/>
      <c r="X25" s="116" t="str">
        <f t="shared" si="8"/>
        <v>平成13年度</v>
      </c>
      <c r="Y25" s="349">
        <v>232461</v>
      </c>
      <c r="Z25" s="349">
        <v>32518</v>
      </c>
      <c r="AA25" s="349">
        <v>264979</v>
      </c>
      <c r="AB25" s="349">
        <v>31185</v>
      </c>
      <c r="AC25" s="114"/>
    </row>
    <row r="26" spans="1:29">
      <c r="A26" s="1119"/>
      <c r="B26" s="117" t="s">
        <v>438</v>
      </c>
      <c r="C26" s="115">
        <f t="shared" si="0"/>
        <v>0</v>
      </c>
      <c r="D26" s="115">
        <f t="shared" si="1"/>
        <v>0</v>
      </c>
      <c r="E26" s="115">
        <f t="shared" si="2"/>
        <v>0</v>
      </c>
      <c r="F26" s="115">
        <f t="shared" si="3"/>
        <v>0</v>
      </c>
      <c r="G26" s="375">
        <f t="shared" si="4"/>
        <v>0</v>
      </c>
      <c r="H26" s="114">
        <f t="shared" si="5"/>
        <v>0</v>
      </c>
      <c r="I26" s="108">
        <f>+VLOOKUP($B26,年度別調書!$A$4:$M$37,10,0)</f>
        <v>38694694218</v>
      </c>
      <c r="J26" s="108">
        <f>+VLOOKUP($B26,年度別調書!$A$4:$M$37,13,0)</f>
        <v>98151426478</v>
      </c>
      <c r="K26" s="114">
        <f t="shared" si="10"/>
        <v>0</v>
      </c>
      <c r="L26" s="114">
        <f t="shared" si="11"/>
        <v>0</v>
      </c>
      <c r="M26" s="120">
        <f t="shared" si="9"/>
        <v>0</v>
      </c>
      <c r="N26" s="305">
        <f>+海田!N26</f>
        <v>5</v>
      </c>
      <c r="O26" s="1119"/>
      <c r="P26" s="116" t="str">
        <f t="shared" si="7"/>
        <v>平成14年度</v>
      </c>
      <c r="Q26" s="348">
        <v>0</v>
      </c>
      <c r="R26" s="441">
        <v>0</v>
      </c>
      <c r="S26" s="441">
        <v>0</v>
      </c>
      <c r="T26" s="441">
        <v>0</v>
      </c>
      <c r="U26" s="114"/>
      <c r="V26" s="121"/>
      <c r="W26" s="1119"/>
      <c r="X26" s="116" t="str">
        <f t="shared" si="8"/>
        <v>平成14年度</v>
      </c>
      <c r="Y26" s="441">
        <v>0</v>
      </c>
      <c r="Z26" s="441">
        <v>0</v>
      </c>
      <c r="AA26" s="441">
        <v>0</v>
      </c>
      <c r="AB26" s="441">
        <v>0</v>
      </c>
      <c r="AC26" s="114"/>
    </row>
    <row r="27" spans="1:29">
      <c r="A27" s="1119"/>
      <c r="B27" s="117" t="s">
        <v>439</v>
      </c>
      <c r="C27" s="115">
        <f t="shared" si="0"/>
        <v>0</v>
      </c>
      <c r="D27" s="115">
        <f t="shared" si="1"/>
        <v>0</v>
      </c>
      <c r="E27" s="115">
        <f t="shared" si="2"/>
        <v>0</v>
      </c>
      <c r="F27" s="115">
        <f t="shared" si="3"/>
        <v>0</v>
      </c>
      <c r="G27" s="375">
        <f t="shared" si="4"/>
        <v>0</v>
      </c>
      <c r="H27" s="114">
        <f t="shared" si="5"/>
        <v>0</v>
      </c>
      <c r="I27" s="108">
        <f>+VLOOKUP($B27,年度別調書!$A$4:$M$37,10,0)</f>
        <v>37621895854</v>
      </c>
      <c r="J27" s="108">
        <f>+VLOOKUP($B27,年度別調書!$A$4:$M$37,13,0)</f>
        <v>100825076572</v>
      </c>
      <c r="K27" s="114">
        <f t="shared" si="10"/>
        <v>0</v>
      </c>
      <c r="L27" s="114">
        <f t="shared" si="11"/>
        <v>0</v>
      </c>
      <c r="M27" s="120">
        <f t="shared" si="9"/>
        <v>0</v>
      </c>
      <c r="N27" s="305">
        <f>+海田!N27</f>
        <v>5</v>
      </c>
      <c r="O27" s="1119"/>
      <c r="P27" s="116" t="str">
        <f t="shared" si="7"/>
        <v>平成15年度</v>
      </c>
      <c r="Q27" s="441">
        <v>0</v>
      </c>
      <c r="R27" s="441">
        <v>0</v>
      </c>
      <c r="S27" s="441">
        <v>0</v>
      </c>
      <c r="T27" s="441">
        <v>0</v>
      </c>
      <c r="U27" s="114"/>
      <c r="V27" s="121"/>
      <c r="W27" s="1119"/>
      <c r="X27" s="116" t="str">
        <f t="shared" si="8"/>
        <v>平成15年度</v>
      </c>
      <c r="Y27" s="441">
        <v>0</v>
      </c>
      <c r="Z27" s="441">
        <v>0</v>
      </c>
      <c r="AA27" s="441">
        <v>0</v>
      </c>
      <c r="AB27" s="441">
        <v>0</v>
      </c>
      <c r="AC27" s="114"/>
    </row>
    <row r="28" spans="1:29">
      <c r="A28" s="1119"/>
      <c r="B28" s="117" t="s">
        <v>440</v>
      </c>
      <c r="C28" s="115">
        <f t="shared" si="0"/>
        <v>0</v>
      </c>
      <c r="D28" s="115">
        <f t="shared" si="1"/>
        <v>0</v>
      </c>
      <c r="E28" s="115">
        <f t="shared" si="2"/>
        <v>0</v>
      </c>
      <c r="F28" s="115">
        <f t="shared" si="3"/>
        <v>0</v>
      </c>
      <c r="G28" s="375">
        <f t="shared" si="4"/>
        <v>0</v>
      </c>
      <c r="H28" s="114">
        <f t="shared" si="5"/>
        <v>0</v>
      </c>
      <c r="I28" s="108">
        <f>+VLOOKUP($B28,年度別調書!$A$4:$M$37,10,0)</f>
        <v>29085465357</v>
      </c>
      <c r="J28" s="108">
        <f>+VLOOKUP($B28,年度別調書!$A$4:$M$37,13,0)</f>
        <v>101305165124</v>
      </c>
      <c r="K28" s="114">
        <f t="shared" si="10"/>
        <v>0</v>
      </c>
      <c r="L28" s="114">
        <f t="shared" si="11"/>
        <v>0</v>
      </c>
      <c r="M28" s="120">
        <f t="shared" si="9"/>
        <v>0</v>
      </c>
      <c r="N28" s="305">
        <f>+海田!N28</f>
        <v>5</v>
      </c>
      <c r="O28" s="1119"/>
      <c r="P28" s="116" t="str">
        <f t="shared" si="7"/>
        <v>平成16年度</v>
      </c>
      <c r="Q28" s="441">
        <v>0</v>
      </c>
      <c r="R28" s="441">
        <v>0</v>
      </c>
      <c r="S28" s="441">
        <v>0</v>
      </c>
      <c r="T28" s="441">
        <v>0</v>
      </c>
      <c r="U28" s="114"/>
      <c r="V28" s="121"/>
      <c r="W28" s="1119"/>
      <c r="X28" s="116" t="str">
        <f t="shared" si="8"/>
        <v>平成16年度</v>
      </c>
      <c r="Y28" s="441">
        <v>0</v>
      </c>
      <c r="Z28" s="441">
        <v>0</v>
      </c>
      <c r="AA28" s="441">
        <v>0</v>
      </c>
      <c r="AB28" s="441">
        <v>0</v>
      </c>
      <c r="AC28" s="114"/>
    </row>
    <row r="29" spans="1:29">
      <c r="A29" s="1119"/>
      <c r="B29" s="117" t="s">
        <v>441</v>
      </c>
      <c r="C29" s="115">
        <f t="shared" si="0"/>
        <v>143759</v>
      </c>
      <c r="D29" s="115">
        <f t="shared" si="1"/>
        <v>43029</v>
      </c>
      <c r="E29" s="115">
        <f t="shared" si="2"/>
        <v>186788</v>
      </c>
      <c r="F29" s="115">
        <f t="shared" si="3"/>
        <v>22380</v>
      </c>
      <c r="G29" s="375">
        <f>ROUND(C29/C$48*G$48,0)</f>
        <v>14719</v>
      </c>
      <c r="H29" s="114">
        <f t="shared" si="5"/>
        <v>129040</v>
      </c>
      <c r="I29" s="108">
        <f>+VLOOKUP($B29,年度別調書!$A$4:$M$37,10,0)</f>
        <v>25082997134</v>
      </c>
      <c r="J29" s="108">
        <f>+VLOOKUP($B29,年度別調書!$A$4:$M$37,13,0)</f>
        <v>96528725584</v>
      </c>
      <c r="K29" s="114">
        <f t="shared" si="10"/>
        <v>33531</v>
      </c>
      <c r="L29" s="114">
        <f t="shared" si="11"/>
        <v>95509</v>
      </c>
      <c r="M29" s="120">
        <f t="shared" si="9"/>
        <v>0.47099999999954889</v>
      </c>
      <c r="N29" s="305">
        <f>+海田!N29</f>
        <v>5</v>
      </c>
      <c r="O29" s="1119"/>
      <c r="P29" s="116" t="str">
        <f t="shared" si="7"/>
        <v>平成17年度</v>
      </c>
      <c r="Q29" s="348">
        <v>71507</v>
      </c>
      <c r="R29" s="348">
        <v>21887</v>
      </c>
      <c r="S29" s="348">
        <v>93394</v>
      </c>
      <c r="T29" s="348">
        <v>11190</v>
      </c>
      <c r="U29" s="114"/>
      <c r="V29" s="121"/>
      <c r="W29" s="1119"/>
      <c r="X29" s="116" t="str">
        <f t="shared" si="8"/>
        <v>平成17年度</v>
      </c>
      <c r="Y29" s="349">
        <v>72252</v>
      </c>
      <c r="Z29" s="349">
        <v>21142</v>
      </c>
      <c r="AA29" s="349">
        <v>93394</v>
      </c>
      <c r="AB29" s="349">
        <v>11190</v>
      </c>
      <c r="AC29" s="114"/>
    </row>
    <row r="30" spans="1:29">
      <c r="A30" s="1119"/>
      <c r="B30" s="117" t="s">
        <v>442</v>
      </c>
      <c r="C30" s="115">
        <f t="shared" si="0"/>
        <v>502704</v>
      </c>
      <c r="D30" s="115">
        <f t="shared" si="1"/>
        <v>167304</v>
      </c>
      <c r="E30" s="115">
        <f>+S30+AA30</f>
        <v>670008</v>
      </c>
      <c r="F30" s="115">
        <f t="shared" si="3"/>
        <v>75192</v>
      </c>
      <c r="G30" s="375">
        <f>ROUND(C30/C$48*G$48,0)</f>
        <v>51472</v>
      </c>
      <c r="H30" s="114">
        <f>C30-G30</f>
        <v>451232</v>
      </c>
      <c r="I30" s="108">
        <f>+VLOOKUP($B30,年度別調書!$A$4:$M$37,10,0)</f>
        <v>21657707574</v>
      </c>
      <c r="J30" s="108">
        <f>+VLOOKUP($B30,年度別調書!$A$4:$M$37,13,0)</f>
        <v>84768578867</v>
      </c>
      <c r="K30" s="114">
        <f t="shared" si="10"/>
        <v>115286</v>
      </c>
      <c r="L30" s="114">
        <f t="shared" si="11"/>
        <v>335946</v>
      </c>
      <c r="M30" s="120">
        <f t="shared" si="9"/>
        <v>-0.18299999999726424</v>
      </c>
      <c r="N30" s="305">
        <f>+海田!N30</f>
        <v>5</v>
      </c>
      <c r="O30" s="1119"/>
      <c r="P30" s="116" t="str">
        <f t="shared" si="7"/>
        <v>平成18年度</v>
      </c>
      <c r="Q30" s="348">
        <v>250033</v>
      </c>
      <c r="R30" s="348">
        <v>84971</v>
      </c>
      <c r="S30" s="348">
        <v>335004</v>
      </c>
      <c r="T30" s="348">
        <v>37596</v>
      </c>
      <c r="U30" s="114"/>
      <c r="V30" s="121"/>
      <c r="W30" s="1119"/>
      <c r="X30" s="116" t="str">
        <f t="shared" si="8"/>
        <v>平成18年度</v>
      </c>
      <c r="Y30" s="349">
        <v>252671</v>
      </c>
      <c r="Z30" s="349">
        <v>82333</v>
      </c>
      <c r="AA30" s="349">
        <v>335004</v>
      </c>
      <c r="AB30" s="349">
        <v>37596</v>
      </c>
      <c r="AC30" s="114"/>
    </row>
    <row r="31" spans="1:29">
      <c r="A31" s="1119"/>
      <c r="B31" s="117" t="s">
        <v>443</v>
      </c>
      <c r="C31" s="115">
        <f t="shared" si="0"/>
        <v>458386</v>
      </c>
      <c r="D31" s="115">
        <f t="shared" si="1"/>
        <v>150408</v>
      </c>
      <c r="E31" s="115">
        <f t="shared" si="2"/>
        <v>608794</v>
      </c>
      <c r="F31" s="115">
        <f t="shared" si="3"/>
        <v>68322</v>
      </c>
      <c r="G31" s="375">
        <f>ROUND(C31/C$48*G$48,0)</f>
        <v>46934</v>
      </c>
      <c r="H31" s="114">
        <f t="shared" si="5"/>
        <v>411452</v>
      </c>
      <c r="I31" s="108">
        <f>+VLOOKUP($B31,年度別調書!$A$4:$M$37,10,0)</f>
        <v>25422571996</v>
      </c>
      <c r="J31" s="108">
        <f>+VLOOKUP($B31,年度別調書!$A$4:$M$37,13,0)</f>
        <v>105576318079</v>
      </c>
      <c r="K31" s="114">
        <f t="shared" si="10"/>
        <v>99077</v>
      </c>
      <c r="L31" s="114">
        <f t="shared" si="11"/>
        <v>312375</v>
      </c>
      <c r="M31" s="120">
        <f t="shared" si="9"/>
        <v>0.10100000000238651</v>
      </c>
      <c r="N31" s="305">
        <f>+海田!N31</f>
        <v>5</v>
      </c>
      <c r="O31" s="1119"/>
      <c r="P31" s="116" t="str">
        <f t="shared" si="7"/>
        <v>平成19年度</v>
      </c>
      <c r="Q31" s="348">
        <v>228051</v>
      </c>
      <c r="R31" s="348">
        <v>76346</v>
      </c>
      <c r="S31" s="348">
        <v>304397</v>
      </c>
      <c r="T31" s="348">
        <v>34161</v>
      </c>
      <c r="U31" s="114"/>
      <c r="V31" s="121"/>
      <c r="W31" s="1119"/>
      <c r="X31" s="116" t="str">
        <f t="shared" si="8"/>
        <v>平成19年度</v>
      </c>
      <c r="Y31" s="349">
        <v>230335</v>
      </c>
      <c r="Z31" s="349">
        <v>74062</v>
      </c>
      <c r="AA31" s="349">
        <v>304397</v>
      </c>
      <c r="AB31" s="349">
        <v>34161</v>
      </c>
      <c r="AC31" s="114"/>
    </row>
    <row r="32" spans="1:29">
      <c r="A32" s="1119"/>
      <c r="B32" s="117" t="s">
        <v>444</v>
      </c>
      <c r="C32" s="115">
        <f t="shared" si="0"/>
        <v>0</v>
      </c>
      <c r="D32" s="115">
        <f t="shared" si="1"/>
        <v>0</v>
      </c>
      <c r="E32" s="115">
        <f t="shared" si="2"/>
        <v>0</v>
      </c>
      <c r="F32" s="115">
        <f t="shared" si="3"/>
        <v>0</v>
      </c>
      <c r="G32" s="114">
        <f t="shared" si="4"/>
        <v>0</v>
      </c>
      <c r="H32" s="114">
        <f t="shared" si="5"/>
        <v>0</v>
      </c>
      <c r="I32" s="108">
        <f>+VLOOKUP($B32,年度別調書!$A$4:$M$37,10,0)</f>
        <v>24693835462</v>
      </c>
      <c r="J32" s="108">
        <f>+VLOOKUP($B32,年度別調書!$A$4:$M$37,13,0)</f>
        <v>110401232854</v>
      </c>
      <c r="K32" s="114">
        <f t="shared" si="10"/>
        <v>0</v>
      </c>
      <c r="L32" s="114">
        <f t="shared" si="11"/>
        <v>0</v>
      </c>
      <c r="M32" s="120">
        <f t="shared" si="9"/>
        <v>0</v>
      </c>
      <c r="N32" s="305">
        <f>+海田!N32</f>
        <v>5</v>
      </c>
      <c r="O32" s="1119"/>
      <c r="P32" s="116" t="str">
        <f t="shared" si="7"/>
        <v>平成20年度</v>
      </c>
      <c r="Q32" s="441">
        <v>0</v>
      </c>
      <c r="R32" s="441">
        <v>0</v>
      </c>
      <c r="S32" s="441">
        <v>0</v>
      </c>
      <c r="T32" s="441">
        <v>0</v>
      </c>
      <c r="U32" s="114"/>
      <c r="V32" s="121"/>
      <c r="W32" s="1119"/>
      <c r="X32" s="116" t="str">
        <f t="shared" si="8"/>
        <v>平成20年度</v>
      </c>
      <c r="Y32" s="441">
        <v>0</v>
      </c>
      <c r="Z32" s="441">
        <v>0</v>
      </c>
      <c r="AA32" s="441">
        <v>0</v>
      </c>
      <c r="AB32" s="441">
        <v>0</v>
      </c>
      <c r="AC32" s="114"/>
    </row>
    <row r="33" spans="1:29">
      <c r="A33" s="1119"/>
      <c r="B33" s="117" t="s">
        <v>445</v>
      </c>
      <c r="C33" s="115">
        <f t="shared" si="0"/>
        <v>0</v>
      </c>
      <c r="D33" s="115">
        <f t="shared" si="1"/>
        <v>0</v>
      </c>
      <c r="E33" s="115">
        <f t="shared" si="2"/>
        <v>0</v>
      </c>
      <c r="F33" s="115">
        <f t="shared" si="3"/>
        <v>0</v>
      </c>
      <c r="G33" s="114">
        <f t="shared" si="4"/>
        <v>0</v>
      </c>
      <c r="H33" s="114">
        <f t="shared" si="5"/>
        <v>0</v>
      </c>
      <c r="I33" s="108">
        <f>+VLOOKUP($B33,年度別調書!$A$4:$M$37,10,0)</f>
        <v>22324372880</v>
      </c>
      <c r="J33" s="108">
        <f>+VLOOKUP($B33,年度別調書!$A$4:$M$37,13,0)</f>
        <v>88097108350</v>
      </c>
      <c r="K33" s="114">
        <f t="shared" si="10"/>
        <v>0</v>
      </c>
      <c r="L33" s="114">
        <f t="shared" si="11"/>
        <v>0</v>
      </c>
      <c r="M33" s="120">
        <f t="shared" si="9"/>
        <v>0</v>
      </c>
      <c r="N33" s="305">
        <f>+海田!N33</f>
        <v>5</v>
      </c>
      <c r="O33" s="1119"/>
      <c r="P33" s="116" t="str">
        <f t="shared" si="7"/>
        <v>平成21年度</v>
      </c>
      <c r="Q33" s="441">
        <v>0</v>
      </c>
      <c r="R33" s="441">
        <v>0</v>
      </c>
      <c r="S33" s="441">
        <v>0</v>
      </c>
      <c r="T33" s="441">
        <v>0</v>
      </c>
      <c r="U33" s="114"/>
      <c r="V33" s="121"/>
      <c r="W33" s="1119"/>
      <c r="X33" s="116" t="str">
        <f t="shared" si="8"/>
        <v>平成21年度</v>
      </c>
      <c r="Y33" s="441">
        <v>0</v>
      </c>
      <c r="Z33" s="441">
        <v>0</v>
      </c>
      <c r="AA33" s="441">
        <v>0</v>
      </c>
      <c r="AB33" s="441">
        <v>0</v>
      </c>
      <c r="AC33" s="114"/>
    </row>
    <row r="34" spans="1:29">
      <c r="A34" s="1119"/>
      <c r="B34" s="117" t="s">
        <v>446</v>
      </c>
      <c r="C34" s="115">
        <f t="shared" si="0"/>
        <v>0</v>
      </c>
      <c r="D34" s="115">
        <f t="shared" si="1"/>
        <v>0</v>
      </c>
      <c r="E34" s="115">
        <f t="shared" si="2"/>
        <v>0</v>
      </c>
      <c r="F34" s="115">
        <f t="shared" si="3"/>
        <v>0</v>
      </c>
      <c r="G34" s="114">
        <f>ROUND(C34/C$48*G$48,0)</f>
        <v>0</v>
      </c>
      <c r="H34" s="114">
        <f t="shared" si="5"/>
        <v>0</v>
      </c>
      <c r="I34" s="108">
        <f>+VLOOKUP($B34,年度別調書!$A$4:$M$37,10,0)</f>
        <v>26326163485</v>
      </c>
      <c r="J34" s="108">
        <f>+VLOOKUP($B34,年度別調書!$A$4:$M$37,13,0)</f>
        <v>102723057143</v>
      </c>
      <c r="K34" s="114">
        <f t="shared" si="10"/>
        <v>0</v>
      </c>
      <c r="L34" s="114">
        <f t="shared" si="11"/>
        <v>0</v>
      </c>
      <c r="M34" s="120">
        <f t="shared" si="9"/>
        <v>0</v>
      </c>
      <c r="N34" s="305">
        <f>+海田!N34</f>
        <v>5</v>
      </c>
      <c r="O34" s="1119"/>
      <c r="P34" s="116" t="str">
        <f t="shared" si="7"/>
        <v>平成22年度</v>
      </c>
      <c r="Q34" s="441">
        <v>0</v>
      </c>
      <c r="R34" s="441">
        <v>0</v>
      </c>
      <c r="S34" s="441">
        <v>0</v>
      </c>
      <c r="T34" s="441">
        <v>0</v>
      </c>
      <c r="U34" s="114"/>
      <c r="V34" s="121"/>
      <c r="W34" s="1119"/>
      <c r="X34" s="116" t="str">
        <f t="shared" si="8"/>
        <v>平成22年度</v>
      </c>
      <c r="Y34" s="441">
        <v>0</v>
      </c>
      <c r="Z34" s="441">
        <v>0</v>
      </c>
      <c r="AA34" s="441">
        <v>0</v>
      </c>
      <c r="AB34" s="441">
        <v>0</v>
      </c>
      <c r="AC34" s="114"/>
    </row>
    <row r="35" spans="1:29">
      <c r="A35" s="1119"/>
      <c r="B35" s="117" t="s">
        <v>447</v>
      </c>
      <c r="C35" s="115">
        <f t="shared" si="0"/>
        <v>0</v>
      </c>
      <c r="D35" s="115">
        <f t="shared" si="1"/>
        <v>0</v>
      </c>
      <c r="E35" s="115">
        <f t="shared" si="2"/>
        <v>0</v>
      </c>
      <c r="F35" s="115">
        <f t="shared" si="3"/>
        <v>0</v>
      </c>
      <c r="G35" s="114">
        <f t="shared" si="4"/>
        <v>0</v>
      </c>
      <c r="H35" s="114">
        <f t="shared" si="5"/>
        <v>0</v>
      </c>
      <c r="I35" s="108">
        <f>+VLOOKUP($B35,年度別調書!$A$4:$M$37,10,0)</f>
        <v>26883440277</v>
      </c>
      <c r="J35" s="108">
        <f>+VLOOKUP($B35,年度別調書!$A$4:$M$37,13,0)</f>
        <v>99758377045</v>
      </c>
      <c r="K35" s="114">
        <f t="shared" si="10"/>
        <v>0</v>
      </c>
      <c r="L35" s="114">
        <f t="shared" si="11"/>
        <v>0</v>
      </c>
      <c r="M35" s="120">
        <f t="shared" si="9"/>
        <v>0</v>
      </c>
      <c r="N35" s="305">
        <f>+海田!N35</f>
        <v>5</v>
      </c>
      <c r="O35" s="1119"/>
      <c r="P35" s="116" t="str">
        <f t="shared" si="7"/>
        <v>平成23年度</v>
      </c>
      <c r="Q35" s="441">
        <v>0</v>
      </c>
      <c r="R35" s="441">
        <v>0</v>
      </c>
      <c r="S35" s="441">
        <v>0</v>
      </c>
      <c r="T35" s="441">
        <v>0</v>
      </c>
      <c r="U35" s="114"/>
      <c r="V35" s="121"/>
      <c r="W35" s="1119"/>
      <c r="X35" s="116" t="str">
        <f t="shared" si="8"/>
        <v>平成23年度</v>
      </c>
      <c r="Y35" s="441">
        <v>0</v>
      </c>
      <c r="Z35" s="441">
        <v>0</v>
      </c>
      <c r="AA35" s="441">
        <v>0</v>
      </c>
      <c r="AB35" s="441">
        <v>0</v>
      </c>
      <c r="AC35" s="114"/>
    </row>
    <row r="36" spans="1:29">
      <c r="A36" s="1119"/>
      <c r="B36" s="117" t="s">
        <v>448</v>
      </c>
      <c r="C36" s="115">
        <f t="shared" si="0"/>
        <v>0</v>
      </c>
      <c r="D36" s="115">
        <f t="shared" si="1"/>
        <v>0</v>
      </c>
      <c r="E36" s="115">
        <f t="shared" si="2"/>
        <v>0</v>
      </c>
      <c r="F36" s="115">
        <f t="shared" si="3"/>
        <v>0</v>
      </c>
      <c r="G36" s="114">
        <f t="shared" si="4"/>
        <v>0</v>
      </c>
      <c r="H36" s="114">
        <f t="shared" si="5"/>
        <v>0</v>
      </c>
      <c r="I36" s="108">
        <f>+VLOOKUP($B36,年度別調書!$A$4:$M$37,10,0)</f>
        <v>20821234544</v>
      </c>
      <c r="J36" s="108">
        <f>+VLOOKUP($B36,年度別調書!$A$4:$M$37,13,0)</f>
        <v>101115908424</v>
      </c>
      <c r="K36" s="114">
        <f t="shared" si="10"/>
        <v>0</v>
      </c>
      <c r="L36" s="114">
        <f t="shared" si="11"/>
        <v>0</v>
      </c>
      <c r="M36" s="120">
        <f t="shared" si="9"/>
        <v>0</v>
      </c>
      <c r="N36" s="305">
        <f>+海田!N36</f>
        <v>5</v>
      </c>
      <c r="O36" s="1119"/>
      <c r="P36" s="116" t="str">
        <f t="shared" si="7"/>
        <v>平成24年度</v>
      </c>
      <c r="Q36" s="441">
        <v>0</v>
      </c>
      <c r="R36" s="441">
        <v>0</v>
      </c>
      <c r="S36" s="441">
        <v>0</v>
      </c>
      <c r="T36" s="441">
        <v>0</v>
      </c>
      <c r="U36" s="114"/>
      <c r="V36" s="121"/>
      <c r="W36" s="1119"/>
      <c r="X36" s="116" t="str">
        <f t="shared" si="8"/>
        <v>平成24年度</v>
      </c>
      <c r="Y36" s="441">
        <v>0</v>
      </c>
      <c r="Z36" s="441">
        <v>0</v>
      </c>
      <c r="AA36" s="441">
        <v>0</v>
      </c>
      <c r="AB36" s="441">
        <v>0</v>
      </c>
      <c r="AC36" s="114"/>
    </row>
    <row r="37" spans="1:29">
      <c r="A37" s="1119"/>
      <c r="B37" s="117" t="s">
        <v>449</v>
      </c>
      <c r="C37" s="115">
        <f t="shared" si="0"/>
        <v>0</v>
      </c>
      <c r="D37" s="115">
        <f t="shared" si="1"/>
        <v>0</v>
      </c>
      <c r="E37" s="115">
        <f t="shared" si="2"/>
        <v>0</v>
      </c>
      <c r="F37" s="115">
        <f t="shared" si="3"/>
        <v>0</v>
      </c>
      <c r="G37" s="114">
        <f t="shared" si="4"/>
        <v>0</v>
      </c>
      <c r="H37" s="114">
        <f t="shared" si="5"/>
        <v>0</v>
      </c>
      <c r="I37" s="108">
        <f>+VLOOKUP($B37,年度別調書!$A$4:$M$37,10,0)</f>
        <v>22169870622</v>
      </c>
      <c r="J37" s="108">
        <f>+VLOOKUP($B37,年度別調書!$A$4:$M$37,13,0)</f>
        <v>87897420767</v>
      </c>
      <c r="K37" s="114">
        <f t="shared" si="10"/>
        <v>0</v>
      </c>
      <c r="L37" s="114">
        <f t="shared" si="11"/>
        <v>0</v>
      </c>
      <c r="M37" s="120">
        <f t="shared" si="9"/>
        <v>0</v>
      </c>
      <c r="N37" s="305">
        <f>+海田!N37</f>
        <v>5</v>
      </c>
      <c r="O37" s="1119"/>
      <c r="P37" s="116" t="str">
        <f t="shared" si="7"/>
        <v>平成25年度</v>
      </c>
      <c r="Q37" s="441">
        <v>0</v>
      </c>
      <c r="R37" s="441">
        <v>0</v>
      </c>
      <c r="S37" s="441">
        <v>0</v>
      </c>
      <c r="T37" s="441">
        <v>0</v>
      </c>
      <c r="U37" s="114"/>
      <c r="V37" s="121"/>
      <c r="W37" s="1119"/>
      <c r="X37" s="116" t="str">
        <f t="shared" si="8"/>
        <v>平成25年度</v>
      </c>
      <c r="Y37" s="441">
        <v>0</v>
      </c>
      <c r="Z37" s="441">
        <v>0</v>
      </c>
      <c r="AA37" s="441">
        <v>0</v>
      </c>
      <c r="AB37" s="441">
        <v>0</v>
      </c>
      <c r="AC37" s="114"/>
    </row>
    <row r="38" spans="1:29">
      <c r="A38" s="1119"/>
      <c r="B38" s="117" t="s">
        <v>450</v>
      </c>
      <c r="C38" s="115">
        <f t="shared" si="0"/>
        <v>59383</v>
      </c>
      <c r="D38" s="115">
        <f t="shared" si="1"/>
        <v>9091</v>
      </c>
      <c r="E38" s="115">
        <f t="shared" si="2"/>
        <v>68474</v>
      </c>
      <c r="F38" s="115">
        <f t="shared" si="3"/>
        <v>7684</v>
      </c>
      <c r="G38" s="114">
        <f t="shared" si="4"/>
        <v>6080</v>
      </c>
      <c r="H38" s="114">
        <f t="shared" si="5"/>
        <v>53303</v>
      </c>
      <c r="I38" s="108">
        <f>+VLOOKUP($B38,年度別調書!$A$4:$M$37,10,0)</f>
        <v>20924492616</v>
      </c>
      <c r="J38" s="108">
        <f>+VLOOKUP($B38,年度別調書!$A$4:$M$37,13,0)</f>
        <v>99556890040</v>
      </c>
      <c r="K38" s="114">
        <f t="shared" si="10"/>
        <v>11203</v>
      </c>
      <c r="L38" s="114">
        <f t="shared" si="11"/>
        <v>42100</v>
      </c>
      <c r="M38" s="120">
        <f t="shared" si="9"/>
        <v>0.22000000000025466</v>
      </c>
      <c r="N38" s="305">
        <f>+海田!N38</f>
        <v>8</v>
      </c>
      <c r="O38" s="1119"/>
      <c r="P38" s="116" t="str">
        <f t="shared" si="7"/>
        <v>平成26年度</v>
      </c>
      <c r="Q38" s="348">
        <v>29645</v>
      </c>
      <c r="R38" s="348">
        <v>4592</v>
      </c>
      <c r="S38" s="348">
        <v>34237</v>
      </c>
      <c r="T38" s="348">
        <v>3842</v>
      </c>
      <c r="U38" s="114"/>
      <c r="V38" s="121"/>
      <c r="W38" s="1119"/>
      <c r="X38" s="116" t="str">
        <f t="shared" si="8"/>
        <v>平成26年度</v>
      </c>
      <c r="Y38" s="350">
        <v>29738</v>
      </c>
      <c r="Z38" s="350">
        <v>4499</v>
      </c>
      <c r="AA38" s="350">
        <v>34237</v>
      </c>
      <c r="AB38" s="350">
        <v>3842</v>
      </c>
      <c r="AC38" s="114"/>
    </row>
    <row r="39" spans="1:29">
      <c r="A39" s="1119"/>
      <c r="B39" s="117" t="s">
        <v>451</v>
      </c>
      <c r="C39" s="115">
        <f t="shared" si="0"/>
        <v>49914</v>
      </c>
      <c r="D39" s="115">
        <f t="shared" si="1"/>
        <v>7284</v>
      </c>
      <c r="E39" s="115">
        <f t="shared" si="2"/>
        <v>57198</v>
      </c>
      <c r="F39" s="115">
        <f t="shared" si="3"/>
        <v>6420</v>
      </c>
      <c r="G39" s="114">
        <f t="shared" si="4"/>
        <v>5111</v>
      </c>
      <c r="H39" s="114">
        <f t="shared" si="5"/>
        <v>44803</v>
      </c>
      <c r="I39" s="108">
        <f>+VLOOKUP($B39,年度別調書!$A$4:$M$37,10,0)</f>
        <v>21176145645</v>
      </c>
      <c r="J39" s="108">
        <f>+VLOOKUP($B39,年度別調書!$A$4:$M$37,13,0)</f>
        <v>104805589178</v>
      </c>
      <c r="K39" s="114">
        <f t="shared" si="10"/>
        <v>9053</v>
      </c>
      <c r="L39" s="114">
        <f t="shared" si="11"/>
        <v>35750</v>
      </c>
      <c r="M39" s="120">
        <f t="shared" si="9"/>
        <v>-0.31000000000040018</v>
      </c>
      <c r="N39" s="305">
        <f>+海田!N39</f>
        <v>8</v>
      </c>
      <c r="O39" s="1119"/>
      <c r="P39" s="116" t="str">
        <f t="shared" si="7"/>
        <v>平成27年度</v>
      </c>
      <c r="Q39" s="348">
        <v>24921</v>
      </c>
      <c r="R39" s="348">
        <v>3678</v>
      </c>
      <c r="S39" s="348">
        <v>28599</v>
      </c>
      <c r="T39" s="348">
        <v>3210</v>
      </c>
      <c r="U39" s="114"/>
      <c r="V39" s="121"/>
      <c r="W39" s="1119"/>
      <c r="X39" s="116" t="str">
        <f t="shared" si="8"/>
        <v>平成27年度</v>
      </c>
      <c r="Y39" s="350">
        <v>24993</v>
      </c>
      <c r="Z39" s="350">
        <v>3606</v>
      </c>
      <c r="AA39" s="350">
        <v>28599</v>
      </c>
      <c r="AB39" s="350">
        <v>3210</v>
      </c>
      <c r="AC39" s="114"/>
    </row>
    <row r="40" spans="1:29">
      <c r="A40" s="1119"/>
      <c r="B40" s="117" t="s">
        <v>452</v>
      </c>
      <c r="C40" s="115">
        <f>+Q40+Y40</f>
        <v>3170887</v>
      </c>
      <c r="D40" s="115">
        <f t="shared" si="1"/>
        <v>416052</v>
      </c>
      <c r="E40" s="115">
        <f t="shared" si="2"/>
        <v>3586939</v>
      </c>
      <c r="F40" s="115">
        <f t="shared" si="3"/>
        <v>403590</v>
      </c>
      <c r="G40" s="114">
        <f>ROUND(C40/C$48*G$48,0)</f>
        <v>324667</v>
      </c>
      <c r="H40" s="114">
        <f>C40-G40</f>
        <v>2846220</v>
      </c>
      <c r="I40" s="108">
        <f>+VLOOKUP($B40,年度別調書!$A$4:$M$37,10,0)</f>
        <v>23487276785</v>
      </c>
      <c r="J40" s="108">
        <f>+VLOOKUP($B40,年度別調書!$A$4:$M$37,13,0)</f>
        <v>105396818589</v>
      </c>
      <c r="K40" s="114">
        <f t="shared" si="10"/>
        <v>634269</v>
      </c>
      <c r="L40" s="114">
        <f t="shared" si="11"/>
        <v>2211951</v>
      </c>
      <c r="M40" s="120">
        <f t="shared" si="9"/>
        <v>-0.16399999998975545</v>
      </c>
      <c r="N40" s="305">
        <f>+海田!N40</f>
        <v>8</v>
      </c>
      <c r="O40" s="1119"/>
      <c r="P40" s="116" t="str">
        <f t="shared" si="7"/>
        <v>平成28年度</v>
      </c>
      <c r="Q40" s="153">
        <v>1583562</v>
      </c>
      <c r="R40" s="153">
        <v>210145</v>
      </c>
      <c r="S40" s="153">
        <v>1793707</v>
      </c>
      <c r="T40" s="153">
        <v>201822</v>
      </c>
      <c r="U40" s="114"/>
      <c r="V40" s="121"/>
      <c r="W40" s="1119"/>
      <c r="X40" s="116" t="str">
        <f t="shared" si="8"/>
        <v>平成28年度</v>
      </c>
      <c r="Y40" s="153">
        <v>1587325</v>
      </c>
      <c r="Z40" s="153">
        <v>205907</v>
      </c>
      <c r="AA40" s="153">
        <v>1793232</v>
      </c>
      <c r="AB40" s="153">
        <v>201768</v>
      </c>
      <c r="AC40" s="114"/>
    </row>
    <row r="41" spans="1:29">
      <c r="A41" s="1119"/>
      <c r="B41" s="117" t="s">
        <v>453</v>
      </c>
      <c r="C41" s="115">
        <f t="shared" si="0"/>
        <v>11061</v>
      </c>
      <c r="D41" s="115">
        <f t="shared" si="1"/>
        <v>7945</v>
      </c>
      <c r="E41" s="115">
        <f t="shared" si="2"/>
        <v>19006</v>
      </c>
      <c r="F41" s="115">
        <f t="shared" si="3"/>
        <v>2133</v>
      </c>
      <c r="G41" s="114">
        <f t="shared" si="4"/>
        <v>1133</v>
      </c>
      <c r="H41" s="114">
        <f t="shared" si="5"/>
        <v>9928</v>
      </c>
      <c r="I41" s="108">
        <f>+VLOOKUP($B41,年度別調書!$A$4:$M$37,10,0)</f>
        <v>19481573724</v>
      </c>
      <c r="J41" s="108">
        <f>+VLOOKUP($B41,年度別調書!$A$4:$M$37,13,0)</f>
        <v>99607043975</v>
      </c>
      <c r="K41" s="114">
        <f t="shared" si="10"/>
        <v>1942</v>
      </c>
      <c r="L41" s="114">
        <f t="shared" si="11"/>
        <v>7986</v>
      </c>
      <c r="M41" s="120">
        <f t="shared" si="9"/>
        <v>-0.46499999999991815</v>
      </c>
      <c r="N41" s="305">
        <f>+海田!N41</f>
        <v>8</v>
      </c>
      <c r="O41" s="1119"/>
      <c r="P41" s="116" t="str">
        <f t="shared" si="7"/>
        <v>平成29年度</v>
      </c>
      <c r="Q41" s="153">
        <v>5522</v>
      </c>
      <c r="R41" s="153">
        <v>3986</v>
      </c>
      <c r="S41" s="153">
        <v>9508</v>
      </c>
      <c r="T41" s="153">
        <v>1067</v>
      </c>
      <c r="U41" s="114"/>
      <c r="V41" s="121"/>
      <c r="W41" s="1119"/>
      <c r="X41" s="116" t="str">
        <f t="shared" si="8"/>
        <v>平成29年度</v>
      </c>
      <c r="Y41" s="441">
        <v>5539</v>
      </c>
      <c r="Z41" s="153">
        <v>3959</v>
      </c>
      <c r="AA41" s="153">
        <v>9498</v>
      </c>
      <c r="AB41" s="153">
        <v>1066</v>
      </c>
      <c r="AC41" s="114"/>
    </row>
    <row r="42" spans="1:29">
      <c r="A42" s="1119"/>
      <c r="B42" s="117" t="s">
        <v>454</v>
      </c>
      <c r="C42" s="115">
        <f t="shared" si="0"/>
        <v>0</v>
      </c>
      <c r="D42" s="115">
        <f t="shared" si="1"/>
        <v>18490</v>
      </c>
      <c r="E42" s="115">
        <f t="shared" si="2"/>
        <v>18490</v>
      </c>
      <c r="F42" s="115">
        <f t="shared" si="3"/>
        <v>2075</v>
      </c>
      <c r="G42" s="114">
        <f t="shared" si="4"/>
        <v>0</v>
      </c>
      <c r="H42" s="114">
        <f t="shared" si="5"/>
        <v>0</v>
      </c>
      <c r="I42" s="108">
        <f>+VLOOKUP($B42,年度別調書!$A$4:$M$37,10,0)</f>
        <v>19871916207</v>
      </c>
      <c r="J42" s="108">
        <f>+VLOOKUP($B42,年度別調書!$A$4:$M$37,13,0)</f>
        <v>98551757388</v>
      </c>
      <c r="K42" s="114">
        <f t="shared" si="10"/>
        <v>0</v>
      </c>
      <c r="L42" s="114">
        <f t="shared" si="11"/>
        <v>0</v>
      </c>
      <c r="M42" s="120">
        <f t="shared" si="9"/>
        <v>0</v>
      </c>
      <c r="N42" s="305">
        <f>+海田!N42</f>
        <v>8</v>
      </c>
      <c r="O42" s="1119"/>
      <c r="P42" s="116" t="str">
        <f t="shared" si="7"/>
        <v>平成30年度</v>
      </c>
      <c r="Q42" s="153">
        <v>0</v>
      </c>
      <c r="R42" s="153">
        <v>9247</v>
      </c>
      <c r="S42" s="153">
        <v>9247</v>
      </c>
      <c r="T42" s="153">
        <v>1038</v>
      </c>
      <c r="U42" s="114"/>
      <c r="V42" s="121"/>
      <c r="W42" s="1119"/>
      <c r="X42" s="116" t="str">
        <f t="shared" si="8"/>
        <v>平成30年度</v>
      </c>
      <c r="Y42" s="441">
        <v>0</v>
      </c>
      <c r="Z42" s="153">
        <v>9243</v>
      </c>
      <c r="AA42" s="153">
        <v>9243</v>
      </c>
      <c r="AB42" s="153">
        <v>1037</v>
      </c>
      <c r="AC42" s="114"/>
    </row>
    <row r="43" spans="1:29">
      <c r="A43" s="1119"/>
      <c r="B43" s="1108" t="s">
        <v>499</v>
      </c>
      <c r="C43" s="115">
        <f>+Q43</f>
        <v>0</v>
      </c>
      <c r="D43" s="115">
        <f>+R43</f>
        <v>32</v>
      </c>
      <c r="E43" s="115">
        <f>+S43</f>
        <v>32</v>
      </c>
      <c r="F43" s="115">
        <f>+T43</f>
        <v>4</v>
      </c>
      <c r="G43" s="114">
        <f t="shared" si="4"/>
        <v>0</v>
      </c>
      <c r="H43" s="114">
        <f t="shared" si="5"/>
        <v>0</v>
      </c>
      <c r="I43" s="108">
        <f>+VLOOKUP($B43,年度別調書!$A$4:$M$37,10,0)</f>
        <v>21889958229</v>
      </c>
      <c r="J43" s="108">
        <f>+VLOOKUP($B43,年度別調書!$A$4:$M$37,13,0)</f>
        <v>101214576030</v>
      </c>
      <c r="K43" s="114">
        <f t="shared" si="10"/>
        <v>0</v>
      </c>
      <c r="L43" s="114">
        <f t="shared" si="11"/>
        <v>0</v>
      </c>
      <c r="M43" s="120">
        <f t="shared" si="9"/>
        <v>0</v>
      </c>
      <c r="N43" s="305">
        <f>+海田!N43</f>
        <v>8</v>
      </c>
      <c r="O43" s="1119"/>
      <c r="P43" s="1124" t="str">
        <f t="shared" si="7"/>
        <v>令和元年度</v>
      </c>
      <c r="Q43" s="1126">
        <v>0</v>
      </c>
      <c r="R43" s="1126">
        <v>32</v>
      </c>
      <c r="S43" s="1126">
        <v>32</v>
      </c>
      <c r="T43" s="1126">
        <v>4</v>
      </c>
      <c r="U43" s="1128"/>
      <c r="V43" s="121"/>
      <c r="W43" s="1119"/>
      <c r="X43" s="1124" t="str">
        <f t="shared" si="8"/>
        <v>令和元年度</v>
      </c>
      <c r="Y43" s="1126">
        <v>0</v>
      </c>
      <c r="Z43" s="1126">
        <v>32</v>
      </c>
      <c r="AA43" s="1126">
        <v>32</v>
      </c>
      <c r="AB43" s="1126">
        <v>4</v>
      </c>
      <c r="AC43" s="1128"/>
    </row>
    <row r="44" spans="1:29">
      <c r="A44" s="1119"/>
      <c r="B44" s="1109"/>
      <c r="C44" s="115">
        <f>+Y43</f>
        <v>0</v>
      </c>
      <c r="D44" s="115">
        <f>+Z43</f>
        <v>32</v>
      </c>
      <c r="E44" s="115">
        <f>+AA43</f>
        <v>32</v>
      </c>
      <c r="F44" s="115">
        <f>+AB43</f>
        <v>4</v>
      </c>
      <c r="G44" s="114">
        <f t="shared" ref="G44" si="12">ROUND(C44/C$48*G$48,0)</f>
        <v>0</v>
      </c>
      <c r="H44" s="114">
        <f t="shared" ref="H44" si="13">C44-G44</f>
        <v>0</v>
      </c>
      <c r="I44" s="108">
        <f>+VLOOKUP($B43,年度別調書!$A$4:$M$37,10,0)</f>
        <v>21889958229</v>
      </c>
      <c r="J44" s="108">
        <f>+VLOOKUP($B43,年度別調書!$A$4:$M$37,13,0)</f>
        <v>101214576030</v>
      </c>
      <c r="K44" s="114">
        <f t="shared" ref="K44" si="14">IFERROR(ROUND(H44*I44/J44,0),0)</f>
        <v>0</v>
      </c>
      <c r="L44" s="114">
        <f t="shared" ref="L44" si="15">H44-K44</f>
        <v>0</v>
      </c>
      <c r="M44" s="120">
        <f t="shared" ref="M44" si="16">ROUND(C44/C$48*G$48,3)-ROUND(C44/C$48*G$48,0)</f>
        <v>0</v>
      </c>
      <c r="N44" s="305">
        <f>+海田!N44</f>
        <v>10</v>
      </c>
      <c r="O44" s="1119"/>
      <c r="P44" s="1125"/>
      <c r="Q44" s="1127"/>
      <c r="R44" s="1127"/>
      <c r="S44" s="1127"/>
      <c r="T44" s="1127"/>
      <c r="U44" s="1129"/>
      <c r="V44" s="121"/>
      <c r="W44" s="1119"/>
      <c r="X44" s="1125"/>
      <c r="Y44" s="1127"/>
      <c r="Z44" s="1127"/>
      <c r="AA44" s="1127"/>
      <c r="AB44" s="1127"/>
      <c r="AC44" s="1129"/>
    </row>
    <row r="45" spans="1:29">
      <c r="A45" s="1119"/>
      <c r="B45" s="117" t="s">
        <v>494</v>
      </c>
      <c r="C45" s="115">
        <f t="shared" si="0"/>
        <v>0</v>
      </c>
      <c r="D45" s="115">
        <f t="shared" si="1"/>
        <v>3444</v>
      </c>
      <c r="E45" s="115">
        <f t="shared" si="2"/>
        <v>3444</v>
      </c>
      <c r="F45" s="115">
        <f t="shared" si="3"/>
        <v>386</v>
      </c>
      <c r="G45" s="114">
        <f t="shared" si="4"/>
        <v>0</v>
      </c>
      <c r="H45" s="114">
        <f t="shared" si="5"/>
        <v>0</v>
      </c>
      <c r="I45" s="108">
        <f>+VLOOKUP($B45,年度別調書!$A$4:$M$37,10,0)</f>
        <v>25568719436</v>
      </c>
      <c r="J45" s="108">
        <f>+VLOOKUP($B45,年度別調書!$A$4:$M$37,13,0)</f>
        <v>105092548853</v>
      </c>
      <c r="K45" s="114">
        <f t="shared" si="10"/>
        <v>0</v>
      </c>
      <c r="L45" s="114">
        <f t="shared" si="11"/>
        <v>0</v>
      </c>
      <c r="M45" s="120">
        <f t="shared" si="9"/>
        <v>0</v>
      </c>
      <c r="N45" s="305">
        <f>+海田!N45</f>
        <v>10</v>
      </c>
      <c r="O45" s="1119"/>
      <c r="P45" s="116" t="str">
        <f t="shared" si="7"/>
        <v>令和2年度</v>
      </c>
      <c r="Q45" s="153">
        <v>0</v>
      </c>
      <c r="R45" s="153">
        <v>1722</v>
      </c>
      <c r="S45" s="153">
        <v>1722</v>
      </c>
      <c r="T45" s="153">
        <v>193</v>
      </c>
      <c r="U45" s="114"/>
      <c r="V45" s="121"/>
      <c r="W45" s="1119"/>
      <c r="X45" s="116" t="str">
        <f t="shared" si="8"/>
        <v>令和2年度</v>
      </c>
      <c r="Y45" s="153">
        <v>0</v>
      </c>
      <c r="Z45" s="153">
        <v>1722</v>
      </c>
      <c r="AA45" s="153">
        <v>1722</v>
      </c>
      <c r="AB45" s="153">
        <v>193</v>
      </c>
      <c r="AC45" s="114"/>
    </row>
    <row r="46" spans="1:29">
      <c r="A46" s="1119"/>
      <c r="B46" s="117" t="s">
        <v>495</v>
      </c>
      <c r="C46" s="115">
        <f t="shared" si="0"/>
        <v>0</v>
      </c>
      <c r="D46" s="115">
        <f t="shared" si="1"/>
        <v>119</v>
      </c>
      <c r="E46" s="115">
        <f t="shared" si="2"/>
        <v>119</v>
      </c>
      <c r="F46" s="115">
        <f t="shared" si="3"/>
        <v>13</v>
      </c>
      <c r="G46" s="114">
        <f t="shared" si="4"/>
        <v>0</v>
      </c>
      <c r="H46" s="114">
        <f t="shared" si="5"/>
        <v>0</v>
      </c>
      <c r="I46" s="108">
        <f>+VLOOKUP($B46,年度別調書!$A$4:$M$37,10,0)</f>
        <v>25732995336</v>
      </c>
      <c r="J46" s="108">
        <f>+VLOOKUP($B46,年度別調書!$A$4:$M$37,13,0)</f>
        <v>106246537477</v>
      </c>
      <c r="K46" s="114">
        <f t="shared" si="10"/>
        <v>0</v>
      </c>
      <c r="L46" s="114">
        <f t="shared" si="11"/>
        <v>0</v>
      </c>
      <c r="M46" s="120">
        <f t="shared" si="9"/>
        <v>0</v>
      </c>
      <c r="N46" s="305">
        <f>+海田!N46</f>
        <v>10</v>
      </c>
      <c r="O46" s="1119"/>
      <c r="P46" s="116" t="str">
        <f t="shared" si="7"/>
        <v>令和3年度</v>
      </c>
      <c r="Q46" s="153">
        <v>0</v>
      </c>
      <c r="R46" s="153">
        <v>55</v>
      </c>
      <c r="S46" s="153">
        <v>55</v>
      </c>
      <c r="T46" s="153">
        <v>6</v>
      </c>
      <c r="U46" s="114"/>
      <c r="V46" s="121"/>
      <c r="W46" s="1119"/>
      <c r="X46" s="116" t="str">
        <f t="shared" si="8"/>
        <v>令和3年度</v>
      </c>
      <c r="Y46" s="153">
        <v>0</v>
      </c>
      <c r="Z46" s="153">
        <v>64</v>
      </c>
      <c r="AA46" s="153">
        <v>64</v>
      </c>
      <c r="AB46" s="153">
        <v>7</v>
      </c>
      <c r="AC46" s="114"/>
    </row>
    <row r="47" spans="1:29">
      <c r="A47" s="1119"/>
      <c r="B47" s="117" t="s">
        <v>496</v>
      </c>
      <c r="C47" s="115">
        <f t="shared" si="0"/>
        <v>0</v>
      </c>
      <c r="D47" s="115">
        <f t="shared" si="1"/>
        <v>0</v>
      </c>
      <c r="E47" s="115">
        <f t="shared" si="2"/>
        <v>0</v>
      </c>
      <c r="F47" s="115">
        <f t="shared" si="3"/>
        <v>0</v>
      </c>
      <c r="G47" s="114">
        <f t="shared" si="4"/>
        <v>0</v>
      </c>
      <c r="H47" s="114">
        <f t="shared" si="5"/>
        <v>0</v>
      </c>
      <c r="I47" s="108">
        <f>+VLOOKUP($B47,年度別調書!$A$4:$M$37,10,0)</f>
        <v>22974897869</v>
      </c>
      <c r="J47" s="108">
        <f>+VLOOKUP($B47,年度別調書!$A$4:$M$37,13,0)</f>
        <v>102361733085</v>
      </c>
      <c r="K47" s="114">
        <f t="shared" si="10"/>
        <v>0</v>
      </c>
      <c r="L47" s="114">
        <f t="shared" si="11"/>
        <v>0</v>
      </c>
      <c r="M47" s="120">
        <f t="shared" si="9"/>
        <v>0</v>
      </c>
      <c r="N47" s="305">
        <f>+海田!N47</f>
        <v>10</v>
      </c>
      <c r="O47" s="1119"/>
      <c r="P47" s="116" t="str">
        <f t="shared" si="7"/>
        <v>令和4年度</v>
      </c>
      <c r="Q47" s="153">
        <v>0</v>
      </c>
      <c r="R47" s="153">
        <v>0</v>
      </c>
      <c r="S47" s="153">
        <v>0</v>
      </c>
      <c r="T47" s="153">
        <v>0</v>
      </c>
      <c r="U47" s="114"/>
      <c r="V47" s="121"/>
      <c r="W47" s="1119"/>
      <c r="X47" s="116" t="str">
        <f t="shared" si="8"/>
        <v>令和4年度</v>
      </c>
      <c r="Y47" s="153">
        <v>0</v>
      </c>
      <c r="Z47" s="153">
        <v>0</v>
      </c>
      <c r="AA47" s="153">
        <v>0</v>
      </c>
      <c r="AB47" s="153">
        <v>0</v>
      </c>
      <c r="AC47" s="114"/>
    </row>
    <row r="48" spans="1:29">
      <c r="A48" s="1120"/>
      <c r="B48" s="118" t="s">
        <v>94</v>
      </c>
      <c r="C48" s="119">
        <f>SUM(C6:C47)</f>
        <v>30103640</v>
      </c>
      <c r="D48" s="119">
        <f>SUM(D6:D47)</f>
        <v>3251254</v>
      </c>
      <c r="E48" s="119">
        <f>SUM(E6:E47)</f>
        <v>33354894</v>
      </c>
      <c r="F48" s="119">
        <f>SUM(F6:F47)</f>
        <v>3428259</v>
      </c>
      <c r="G48" s="104">
        <f>+U48+AC48</f>
        <v>3082309</v>
      </c>
      <c r="H48" s="119">
        <f>SUM(H6:H47)</f>
        <v>27021331</v>
      </c>
      <c r="I48" s="38"/>
      <c r="J48" s="38"/>
      <c r="K48" s="119">
        <f>SUM(K6:K47)</f>
        <v>13433518</v>
      </c>
      <c r="L48" s="119">
        <f>SUM(L6:L47)</f>
        <v>13587813</v>
      </c>
      <c r="M48" s="119"/>
      <c r="N48" s="305">
        <f>+海田!N48</f>
        <v>0</v>
      </c>
      <c r="O48" s="1120"/>
      <c r="P48" s="118" t="s">
        <v>94</v>
      </c>
      <c r="Q48" s="119">
        <f>SUM(Q6:Q47)</f>
        <v>14971441</v>
      </c>
      <c r="R48" s="119">
        <f>SUM(R6:R47)</f>
        <v>1706246</v>
      </c>
      <c r="S48" s="119">
        <f>SUM(S6:S47)</f>
        <v>16677687</v>
      </c>
      <c r="T48" s="119">
        <f>SUM(T6:T47)</f>
        <v>1714157</v>
      </c>
      <c r="U48" s="233">
        <v>1533460</v>
      </c>
      <c r="V48" s="112"/>
      <c r="W48" s="1120"/>
      <c r="X48" s="118" t="s">
        <v>94</v>
      </c>
      <c r="Y48" s="119">
        <f>SUM(Y6:Y47)</f>
        <v>15132199</v>
      </c>
      <c r="Z48" s="119">
        <f>SUM(Z6:Z47)</f>
        <v>1545008</v>
      </c>
      <c r="AA48" s="119">
        <f>SUM(AA6:AA47)</f>
        <v>16677207</v>
      </c>
      <c r="AB48" s="119">
        <f>SUM(AB6:AB47)</f>
        <v>1714102</v>
      </c>
      <c r="AC48" s="233">
        <v>1548849</v>
      </c>
    </row>
    <row r="49" spans="7:29">
      <c r="G49" s="107">
        <f>G48-SUM(G6:G47)</f>
        <v>0</v>
      </c>
      <c r="K49" s="72"/>
      <c r="O49" s="23"/>
      <c r="U49" s="107"/>
      <c r="AC49" s="107"/>
    </row>
    <row r="50" spans="7:29">
      <c r="J50" s="306" t="s">
        <v>404</v>
      </c>
      <c r="K50" s="307" t="s">
        <v>403</v>
      </c>
    </row>
    <row r="51" spans="7:29">
      <c r="J51" s="307">
        <v>3</v>
      </c>
      <c r="K51" s="308">
        <f>+SUMIFS($K$4:$K$48,$N$4:$N$48,$J51)</f>
        <v>4472881</v>
      </c>
    </row>
    <row r="52" spans="7:29">
      <c r="J52" s="307">
        <v>5</v>
      </c>
      <c r="K52" s="308">
        <f>+SUMIFS($K$4:$K$48,$N$4:$N$48,$J52)</f>
        <v>8304170</v>
      </c>
    </row>
    <row r="53" spans="7:29">
      <c r="J53" s="307">
        <v>8</v>
      </c>
      <c r="K53" s="308">
        <f>+SUMIFS($K$4:$K$48,$N$4:$N$48,$J53)</f>
        <v>656467</v>
      </c>
    </row>
    <row r="54" spans="7:29">
      <c r="J54" s="307">
        <v>10</v>
      </c>
      <c r="K54" s="308">
        <f>+SUMIFS($K$4:$K$48,$N$4:$N$48,$J54)</f>
        <v>0</v>
      </c>
    </row>
    <row r="55" spans="7:29">
      <c r="J55" s="306" t="s">
        <v>405</v>
      </c>
      <c r="K55" s="309">
        <f>SUM(K51:K54)</f>
        <v>13433518</v>
      </c>
    </row>
    <row r="56" spans="7:29">
      <c r="J56" s="306" t="s">
        <v>406</v>
      </c>
      <c r="K56" s="309">
        <f>+K48-K55</f>
        <v>0</v>
      </c>
    </row>
  </sheetData>
  <mergeCells count="38">
    <mergeCell ref="Q43:Q44"/>
    <mergeCell ref="P43:P44"/>
    <mergeCell ref="B43:B44"/>
    <mergeCell ref="X43:X44"/>
    <mergeCell ref="U43:U44"/>
    <mergeCell ref="T43:T44"/>
    <mergeCell ref="S43:S44"/>
    <mergeCell ref="R43:R44"/>
    <mergeCell ref="AC43:AC44"/>
    <mergeCell ref="AB43:AB44"/>
    <mergeCell ref="AA43:AA44"/>
    <mergeCell ref="Z43:Z44"/>
    <mergeCell ref="Y43:Y44"/>
    <mergeCell ref="L4:L5"/>
    <mergeCell ref="M4:M5"/>
    <mergeCell ref="O4:O5"/>
    <mergeCell ref="A4:A5"/>
    <mergeCell ref="B4:B5"/>
    <mergeCell ref="C4:E4"/>
    <mergeCell ref="F4:F5"/>
    <mergeCell ref="G4:G5"/>
    <mergeCell ref="N4:N5"/>
    <mergeCell ref="Y4:AA4"/>
    <mergeCell ref="AB4:AB5"/>
    <mergeCell ref="AC4:AC5"/>
    <mergeCell ref="A6:A48"/>
    <mergeCell ref="O6:O48"/>
    <mergeCell ref="W6:W48"/>
    <mergeCell ref="P4:P5"/>
    <mergeCell ref="Q4:S4"/>
    <mergeCell ref="T4:T5"/>
    <mergeCell ref="U4:U5"/>
    <mergeCell ref="H4:H5"/>
    <mergeCell ref="W4:W5"/>
    <mergeCell ref="X4:X5"/>
    <mergeCell ref="I4:I5"/>
    <mergeCell ref="J4:J5"/>
    <mergeCell ref="K4:K5"/>
  </mergeCells>
  <phoneticPr fontId="2"/>
  <pageMargins left="0.78740157480314965" right="0.78740157480314965" top="0.62992125984251968" bottom="0.82677165354330717" header="0.31496062992125984" footer="0.35433070866141736"/>
  <pageSetup paperSize="9" scale="83" fitToWidth="2" orientation="landscape" r:id="rId1"/>
  <headerFooter alignWithMargins="0"/>
  <colBreaks count="1" manualBreakCount="1">
    <brk id="14" max="47" man="1"/>
  </colBreaks>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rgb="FF66FF33"/>
  </sheetPr>
  <dimension ref="A1:O98"/>
  <sheetViews>
    <sheetView zoomScaleNormal="100" zoomScaleSheetLayoutView="90" workbookViewId="0">
      <pane xSplit="1" ySplit="3" topLeftCell="B25" activePane="bottomRight" state="frozen"/>
      <selection sqref="A1:XFD1048576"/>
      <selection pane="topRight" sqref="A1:XFD1048576"/>
      <selection pane="bottomLeft" sqref="A1:XFD1048576"/>
      <selection pane="bottomRight" activeCell="H40" sqref="C40:H40"/>
    </sheetView>
  </sheetViews>
  <sheetFormatPr defaultRowHeight="13.5"/>
  <cols>
    <col min="1" max="12" width="12.625" customWidth="1"/>
    <col min="13" max="13" width="13.625" customWidth="1"/>
    <col min="14" max="14" width="12.625" customWidth="1"/>
  </cols>
  <sheetData>
    <row r="1" spans="1:14">
      <c r="A1" s="23"/>
      <c r="B1" s="23"/>
      <c r="C1" s="23"/>
      <c r="D1" s="23"/>
      <c r="E1" s="23"/>
    </row>
    <row r="2" spans="1:14" ht="20.100000000000001" customHeight="1">
      <c r="A2" s="1104" t="s">
        <v>41</v>
      </c>
      <c r="B2" s="27"/>
      <c r="C2" s="1132" t="s">
        <v>85</v>
      </c>
      <c r="D2" s="1132"/>
      <c r="E2" s="30"/>
      <c r="F2" s="28"/>
      <c r="G2" s="1133" t="s">
        <v>86</v>
      </c>
      <c r="H2" s="1133"/>
      <c r="I2" s="29"/>
      <c r="J2" s="28"/>
      <c r="K2" s="1133" t="s">
        <v>88</v>
      </c>
      <c r="L2" s="1133"/>
      <c r="M2" s="29"/>
      <c r="N2" s="1130" t="s">
        <v>81</v>
      </c>
    </row>
    <row r="3" spans="1:14" ht="20.100000000000001" customHeight="1">
      <c r="A3" s="1106"/>
      <c r="B3" s="34" t="s">
        <v>66</v>
      </c>
      <c r="C3" s="33" t="s">
        <v>82</v>
      </c>
      <c r="D3" s="33" t="s">
        <v>83</v>
      </c>
      <c r="E3" s="35" t="s">
        <v>84</v>
      </c>
      <c r="F3" s="34" t="s">
        <v>66</v>
      </c>
      <c r="G3" s="33" t="s">
        <v>82</v>
      </c>
      <c r="H3" s="33" t="s">
        <v>83</v>
      </c>
      <c r="I3" s="35" t="s">
        <v>84</v>
      </c>
      <c r="J3" s="32" t="s">
        <v>66</v>
      </c>
      <c r="K3" s="33" t="s">
        <v>82</v>
      </c>
      <c r="L3" s="33" t="s">
        <v>83</v>
      </c>
      <c r="M3" s="31" t="s">
        <v>84</v>
      </c>
      <c r="N3" s="1131"/>
    </row>
    <row r="4" spans="1:14" ht="20.100000000000001" customHeight="1">
      <c r="A4" s="117" t="s">
        <v>425</v>
      </c>
      <c r="B4" s="270">
        <v>6638585275</v>
      </c>
      <c r="C4" s="271">
        <v>10574729590</v>
      </c>
      <c r="D4" s="271">
        <v>6518666458</v>
      </c>
      <c r="E4" s="78">
        <f>SUM(B4:D4)</f>
        <v>23731981323</v>
      </c>
      <c r="F4" s="270">
        <v>23984370625</v>
      </c>
      <c r="G4" s="271">
        <v>1228439250</v>
      </c>
      <c r="H4" s="271">
        <v>13958819142</v>
      </c>
      <c r="I4" s="78">
        <f>SUM(F4:H4)</f>
        <v>39171629017</v>
      </c>
      <c r="J4" s="79">
        <f>B4+F4</f>
        <v>30622955900</v>
      </c>
      <c r="K4" s="80">
        <f>C4+G4</f>
        <v>11803168840</v>
      </c>
      <c r="L4" s="80">
        <f>D4+H4</f>
        <v>20477485600</v>
      </c>
      <c r="M4" s="36">
        <f>SUM(J4:L4)</f>
        <v>62903610340</v>
      </c>
      <c r="N4" s="37">
        <f>ROUND(J4/M4,5)</f>
        <v>0.48681999999999997</v>
      </c>
    </row>
    <row r="5" spans="1:14" ht="20.100000000000001" customHeight="1">
      <c r="A5" s="117" t="s">
        <v>426</v>
      </c>
      <c r="B5" s="270">
        <v>6403463162</v>
      </c>
      <c r="C5" s="271">
        <v>12958792633</v>
      </c>
      <c r="D5" s="271">
        <v>7298770586</v>
      </c>
      <c r="E5" s="78">
        <f t="shared" ref="E5:E13" si="0">SUM(B5:D5)</f>
        <v>26661026381</v>
      </c>
      <c r="F5" s="270">
        <v>30382342456</v>
      </c>
      <c r="G5" s="271">
        <v>1337020167</v>
      </c>
      <c r="H5" s="271">
        <v>6827237360</v>
      </c>
      <c r="I5" s="78">
        <f t="shared" ref="I5:I13" si="1">SUM(F5:H5)</f>
        <v>38546599983</v>
      </c>
      <c r="J5" s="79">
        <f t="shared" ref="J5:J13" si="2">B5+F5</f>
        <v>36785805618</v>
      </c>
      <c r="K5" s="80">
        <f t="shared" ref="K5:K13" si="3">C5+G5</f>
        <v>14295812800</v>
      </c>
      <c r="L5" s="80">
        <f t="shared" ref="L5:L13" si="4">D5+H5</f>
        <v>14126007946</v>
      </c>
      <c r="M5" s="36">
        <f t="shared" ref="M5:M13" si="5">SUM(J5:L5)</f>
        <v>65207626364</v>
      </c>
      <c r="N5" s="37">
        <f>ROUND(J5/M5,5)</f>
        <v>0.56413000000000002</v>
      </c>
    </row>
    <row r="6" spans="1:14" ht="20.100000000000001" customHeight="1">
      <c r="A6" s="117" t="s">
        <v>427</v>
      </c>
      <c r="B6" s="270">
        <v>7812527889</v>
      </c>
      <c r="C6" s="271">
        <v>14204408305</v>
      </c>
      <c r="D6" s="271">
        <v>7783294580</v>
      </c>
      <c r="E6" s="78">
        <f t="shared" si="0"/>
        <v>29800230774</v>
      </c>
      <c r="F6" s="270">
        <v>34235599347</v>
      </c>
      <c r="G6" s="271">
        <v>1845675735</v>
      </c>
      <c r="H6" s="271">
        <v>6656909458</v>
      </c>
      <c r="I6" s="78">
        <f t="shared" si="1"/>
        <v>42738184540</v>
      </c>
      <c r="J6" s="79">
        <f t="shared" si="2"/>
        <v>42048127236</v>
      </c>
      <c r="K6" s="80">
        <f t="shared" si="3"/>
        <v>16050084040</v>
      </c>
      <c r="L6" s="80">
        <f t="shared" si="4"/>
        <v>14440204038</v>
      </c>
      <c r="M6" s="36">
        <f t="shared" si="5"/>
        <v>72538415314</v>
      </c>
      <c r="N6" s="37">
        <f t="shared" ref="N6:N13" si="6">ROUND(J6/M6,5)</f>
        <v>0.57967000000000002</v>
      </c>
    </row>
    <row r="7" spans="1:14" ht="20.100000000000001" customHeight="1">
      <c r="A7" s="117" t="s">
        <v>428</v>
      </c>
      <c r="B7" s="270">
        <v>8434098941</v>
      </c>
      <c r="C7" s="271">
        <v>15065133280</v>
      </c>
      <c r="D7" s="271">
        <v>8082608376</v>
      </c>
      <c r="E7" s="78">
        <f t="shared" si="0"/>
        <v>31581840597</v>
      </c>
      <c r="F7" s="270">
        <v>40886458662</v>
      </c>
      <c r="G7" s="271">
        <v>1839055667</v>
      </c>
      <c r="H7" s="271">
        <v>7720698116</v>
      </c>
      <c r="I7" s="78">
        <f t="shared" si="1"/>
        <v>50446212445</v>
      </c>
      <c r="J7" s="79">
        <f t="shared" si="2"/>
        <v>49320557603</v>
      </c>
      <c r="K7" s="80">
        <f t="shared" si="3"/>
        <v>16904188947</v>
      </c>
      <c r="L7" s="80">
        <f t="shared" si="4"/>
        <v>15803306492</v>
      </c>
      <c r="M7" s="81">
        <f t="shared" si="5"/>
        <v>82028053042</v>
      </c>
      <c r="N7" s="37">
        <f t="shared" si="6"/>
        <v>0.60126000000000002</v>
      </c>
    </row>
    <row r="8" spans="1:14" ht="20.100000000000001" customHeight="1">
      <c r="A8" s="117" t="s">
        <v>429</v>
      </c>
      <c r="B8" s="270">
        <v>8086078175</v>
      </c>
      <c r="C8" s="271">
        <v>16243780470</v>
      </c>
      <c r="D8" s="271">
        <v>8575652485</v>
      </c>
      <c r="E8" s="78">
        <f t="shared" si="0"/>
        <v>32905511130</v>
      </c>
      <c r="F8" s="270">
        <v>46767157951</v>
      </c>
      <c r="G8" s="271">
        <v>2854358144</v>
      </c>
      <c r="H8" s="271">
        <v>11866935346</v>
      </c>
      <c r="I8" s="78">
        <f t="shared" si="1"/>
        <v>61488451441</v>
      </c>
      <c r="J8" s="79">
        <f t="shared" si="2"/>
        <v>54853236126</v>
      </c>
      <c r="K8" s="80">
        <f t="shared" si="3"/>
        <v>19098138614</v>
      </c>
      <c r="L8" s="80">
        <f t="shared" si="4"/>
        <v>20442587831</v>
      </c>
      <c r="M8" s="81">
        <f t="shared" si="5"/>
        <v>94393962571</v>
      </c>
      <c r="N8" s="37">
        <f t="shared" si="6"/>
        <v>0.58111000000000002</v>
      </c>
    </row>
    <row r="9" spans="1:14" ht="20.100000000000001" customHeight="1">
      <c r="A9" s="117" t="s">
        <v>430</v>
      </c>
      <c r="B9" s="270">
        <v>7946348657</v>
      </c>
      <c r="C9" s="271">
        <v>16788556844</v>
      </c>
      <c r="D9" s="271">
        <v>9253794488</v>
      </c>
      <c r="E9" s="78">
        <f t="shared" si="0"/>
        <v>33988699989</v>
      </c>
      <c r="F9" s="270">
        <v>44513556794</v>
      </c>
      <c r="G9" s="271">
        <v>2113094390</v>
      </c>
      <c r="H9" s="271">
        <v>11563862763</v>
      </c>
      <c r="I9" s="78">
        <f t="shared" si="1"/>
        <v>58190513947</v>
      </c>
      <c r="J9" s="79">
        <f t="shared" si="2"/>
        <v>52459905451</v>
      </c>
      <c r="K9" s="80">
        <f t="shared" si="3"/>
        <v>18901651234</v>
      </c>
      <c r="L9" s="80">
        <f t="shared" si="4"/>
        <v>20817657251</v>
      </c>
      <c r="M9" s="81">
        <f t="shared" si="5"/>
        <v>92179213936</v>
      </c>
      <c r="N9" s="37">
        <f t="shared" si="6"/>
        <v>0.56911</v>
      </c>
    </row>
    <row r="10" spans="1:14" ht="20.100000000000001" customHeight="1">
      <c r="A10" s="117" t="s">
        <v>431</v>
      </c>
      <c r="B10" s="270">
        <v>8326264681</v>
      </c>
      <c r="C10" s="271">
        <v>17860310884</v>
      </c>
      <c r="D10" s="271">
        <v>9862655702</v>
      </c>
      <c r="E10" s="78">
        <f t="shared" si="0"/>
        <v>36049231267</v>
      </c>
      <c r="F10" s="270">
        <v>50253513909</v>
      </c>
      <c r="G10" s="271">
        <v>1106253695</v>
      </c>
      <c r="H10" s="271">
        <v>11507144605</v>
      </c>
      <c r="I10" s="78">
        <f t="shared" si="1"/>
        <v>62866912209</v>
      </c>
      <c r="J10" s="79">
        <f t="shared" si="2"/>
        <v>58579778590</v>
      </c>
      <c r="K10" s="80">
        <f t="shared" si="3"/>
        <v>18966564579</v>
      </c>
      <c r="L10" s="80">
        <f t="shared" si="4"/>
        <v>21369800307</v>
      </c>
      <c r="M10" s="81">
        <f t="shared" si="5"/>
        <v>98916143476</v>
      </c>
      <c r="N10" s="37">
        <f t="shared" si="6"/>
        <v>0.59221999999999997</v>
      </c>
    </row>
    <row r="11" spans="1:14" ht="20.100000000000001" customHeight="1">
      <c r="A11" s="117" t="s">
        <v>432</v>
      </c>
      <c r="B11" s="270">
        <v>8021766260</v>
      </c>
      <c r="C11" s="271">
        <v>18240244702</v>
      </c>
      <c r="D11" s="271">
        <v>10520009874</v>
      </c>
      <c r="E11" s="78">
        <f t="shared" si="0"/>
        <v>36782020836</v>
      </c>
      <c r="F11" s="270">
        <v>51833966250</v>
      </c>
      <c r="G11" s="271">
        <v>2799760859</v>
      </c>
      <c r="H11" s="271">
        <v>13670322808</v>
      </c>
      <c r="I11" s="78">
        <f t="shared" si="1"/>
        <v>68304049917</v>
      </c>
      <c r="J11" s="79">
        <f t="shared" si="2"/>
        <v>59855732510</v>
      </c>
      <c r="K11" s="80">
        <f t="shared" si="3"/>
        <v>21040005561</v>
      </c>
      <c r="L11" s="80">
        <f t="shared" si="4"/>
        <v>24190332682</v>
      </c>
      <c r="M11" s="81">
        <f t="shared" si="5"/>
        <v>105086070753</v>
      </c>
      <c r="N11" s="37">
        <f t="shared" si="6"/>
        <v>0.56959000000000004</v>
      </c>
    </row>
    <row r="12" spans="1:14" ht="20.100000000000001" customHeight="1">
      <c r="A12" s="117" t="s">
        <v>433</v>
      </c>
      <c r="B12" s="270">
        <v>8482299126</v>
      </c>
      <c r="C12" s="271">
        <v>18816255593</v>
      </c>
      <c r="D12" s="271">
        <v>11078580135</v>
      </c>
      <c r="E12" s="78">
        <f t="shared" si="0"/>
        <v>38377134854</v>
      </c>
      <c r="F12" s="270">
        <v>57008798663</v>
      </c>
      <c r="G12" s="271">
        <v>1908240142</v>
      </c>
      <c r="H12" s="271">
        <v>15250197716</v>
      </c>
      <c r="I12" s="78">
        <f t="shared" si="1"/>
        <v>74167236521</v>
      </c>
      <c r="J12" s="79">
        <f t="shared" si="2"/>
        <v>65491097789</v>
      </c>
      <c r="K12" s="80">
        <f t="shared" si="3"/>
        <v>20724495735</v>
      </c>
      <c r="L12" s="80">
        <f t="shared" si="4"/>
        <v>26328777851</v>
      </c>
      <c r="M12" s="81">
        <f t="shared" si="5"/>
        <v>112544371375</v>
      </c>
      <c r="N12" s="37">
        <f t="shared" si="6"/>
        <v>0.58191000000000004</v>
      </c>
    </row>
    <row r="13" spans="1:14" ht="20.100000000000001" customHeight="1">
      <c r="A13" s="117" t="s">
        <v>434</v>
      </c>
      <c r="B13" s="270">
        <v>8513945841</v>
      </c>
      <c r="C13" s="271">
        <v>19139404817</v>
      </c>
      <c r="D13" s="271">
        <v>11758371498</v>
      </c>
      <c r="E13" s="78">
        <f t="shared" si="0"/>
        <v>39411722156</v>
      </c>
      <c r="F13" s="270">
        <v>58187301350</v>
      </c>
      <c r="G13" s="271">
        <v>4095079093</v>
      </c>
      <c r="H13" s="271">
        <v>16500371054</v>
      </c>
      <c r="I13" s="78">
        <f t="shared" si="1"/>
        <v>78782751497</v>
      </c>
      <c r="J13" s="79">
        <f t="shared" si="2"/>
        <v>66701247191</v>
      </c>
      <c r="K13" s="80">
        <f t="shared" si="3"/>
        <v>23234483910</v>
      </c>
      <c r="L13" s="80">
        <f t="shared" si="4"/>
        <v>28258742552</v>
      </c>
      <c r="M13" s="81">
        <f t="shared" si="5"/>
        <v>118194473653</v>
      </c>
      <c r="N13" s="37">
        <f t="shared" si="6"/>
        <v>0.56433</v>
      </c>
    </row>
    <row r="14" spans="1:14" ht="19.5" customHeight="1">
      <c r="A14" s="117" t="s">
        <v>435</v>
      </c>
      <c r="B14" s="270">
        <v>8587386343</v>
      </c>
      <c r="C14" s="271">
        <v>19356965458</v>
      </c>
      <c r="D14" s="271">
        <v>12810557993</v>
      </c>
      <c r="E14" s="78">
        <f t="shared" ref="E14:E20" si="7">SUM(B14:D14)</f>
        <v>40754909794</v>
      </c>
      <c r="F14" s="270">
        <v>49687034029</v>
      </c>
      <c r="G14" s="271">
        <v>2277303465</v>
      </c>
      <c r="H14" s="271">
        <v>18070814930</v>
      </c>
      <c r="I14" s="78">
        <f t="shared" ref="I14:I20" si="8">SUM(F14:H14)</f>
        <v>70035152424</v>
      </c>
      <c r="J14" s="79">
        <f t="shared" ref="J14:L16" si="9">B14+F14</f>
        <v>58274420372</v>
      </c>
      <c r="K14" s="80">
        <f t="shared" si="9"/>
        <v>21634268923</v>
      </c>
      <c r="L14" s="80">
        <f t="shared" si="9"/>
        <v>30881372923</v>
      </c>
      <c r="M14" s="81">
        <f t="shared" ref="M14:M20" si="10">SUM(J14:L14)</f>
        <v>110790062218</v>
      </c>
      <c r="N14" s="37">
        <f t="shared" ref="N14:N20" si="11">ROUND(J14/M14,5)</f>
        <v>0.52598999999999996</v>
      </c>
    </row>
    <row r="15" spans="1:14" ht="19.5" customHeight="1">
      <c r="A15" s="117" t="s">
        <v>436</v>
      </c>
      <c r="B15" s="270">
        <v>8003528492</v>
      </c>
      <c r="C15" s="271">
        <v>20335043030</v>
      </c>
      <c r="D15" s="271">
        <v>13616766355</v>
      </c>
      <c r="E15" s="78">
        <f t="shared" si="7"/>
        <v>41955337877</v>
      </c>
      <c r="F15" s="270">
        <v>40350402894</v>
      </c>
      <c r="G15" s="271">
        <v>2613187479</v>
      </c>
      <c r="H15" s="271">
        <v>19254679402</v>
      </c>
      <c r="I15" s="78">
        <f t="shared" si="8"/>
        <v>62218269775</v>
      </c>
      <c r="J15" s="79">
        <f>B15+F15</f>
        <v>48353931386</v>
      </c>
      <c r="K15" s="80">
        <f>C15+G15</f>
        <v>22948230509</v>
      </c>
      <c r="L15" s="80">
        <f>D15+H15</f>
        <v>32871445757</v>
      </c>
      <c r="M15" s="81">
        <f t="shared" si="10"/>
        <v>104173607652</v>
      </c>
      <c r="N15" s="37">
        <f t="shared" si="11"/>
        <v>0.46417000000000003</v>
      </c>
    </row>
    <row r="16" spans="1:14" ht="19.5" customHeight="1">
      <c r="A16" s="117" t="s">
        <v>437</v>
      </c>
      <c r="B16" s="270">
        <v>7977522499</v>
      </c>
      <c r="C16" s="271">
        <v>20678904963</v>
      </c>
      <c r="D16" s="271">
        <v>14573357905</v>
      </c>
      <c r="E16" s="78">
        <f t="shared" si="7"/>
        <v>43229785367</v>
      </c>
      <c r="F16" s="270">
        <v>34764506441</v>
      </c>
      <c r="G16" s="271">
        <v>2704862668</v>
      </c>
      <c r="H16" s="271">
        <v>20376788964</v>
      </c>
      <c r="I16" s="78">
        <f t="shared" si="8"/>
        <v>57846158073</v>
      </c>
      <c r="J16" s="79">
        <f t="shared" si="9"/>
        <v>42742028940</v>
      </c>
      <c r="K16" s="80">
        <f t="shared" si="9"/>
        <v>23383767631</v>
      </c>
      <c r="L16" s="80">
        <f t="shared" si="9"/>
        <v>34950146869</v>
      </c>
      <c r="M16" s="81">
        <f t="shared" si="10"/>
        <v>101075943440</v>
      </c>
      <c r="N16" s="37">
        <f t="shared" si="11"/>
        <v>0.42287000000000002</v>
      </c>
    </row>
    <row r="17" spans="1:15" ht="19.5" customHeight="1">
      <c r="A17" s="117" t="s">
        <v>438</v>
      </c>
      <c r="B17" s="270">
        <v>7771762820</v>
      </c>
      <c r="C17" s="271">
        <v>20501209143</v>
      </c>
      <c r="D17" s="271">
        <v>15187347293</v>
      </c>
      <c r="E17" s="78">
        <f t="shared" si="7"/>
        <v>43460319256</v>
      </c>
      <c r="F17" s="270">
        <v>30922931398</v>
      </c>
      <c r="G17" s="271">
        <v>1294922419</v>
      </c>
      <c r="H17" s="271">
        <v>22473253405</v>
      </c>
      <c r="I17" s="78">
        <f t="shared" si="8"/>
        <v>54691107222</v>
      </c>
      <c r="J17" s="79">
        <f t="shared" ref="J17:L20" si="12">B17+F17</f>
        <v>38694694218</v>
      </c>
      <c r="K17" s="80">
        <f t="shared" si="12"/>
        <v>21796131562</v>
      </c>
      <c r="L17" s="80">
        <f t="shared" si="12"/>
        <v>37660600698</v>
      </c>
      <c r="M17" s="81">
        <f t="shared" si="10"/>
        <v>98151426478</v>
      </c>
      <c r="N17" s="37">
        <f t="shared" si="11"/>
        <v>0.39423000000000002</v>
      </c>
    </row>
    <row r="18" spans="1:15" ht="19.5" customHeight="1">
      <c r="A18" s="117" t="s">
        <v>439</v>
      </c>
      <c r="B18" s="270">
        <v>7573415142</v>
      </c>
      <c r="C18" s="271">
        <v>20214083392</v>
      </c>
      <c r="D18" s="271">
        <v>15744781166</v>
      </c>
      <c r="E18" s="78">
        <f t="shared" si="7"/>
        <v>43532279700</v>
      </c>
      <c r="F18" s="270">
        <v>30048480712</v>
      </c>
      <c r="G18" s="271">
        <v>779160315</v>
      </c>
      <c r="H18" s="271">
        <v>26465155845</v>
      </c>
      <c r="I18" s="78">
        <f t="shared" si="8"/>
        <v>57292796872</v>
      </c>
      <c r="J18" s="79">
        <f t="shared" si="12"/>
        <v>37621895854</v>
      </c>
      <c r="K18" s="80">
        <f t="shared" si="12"/>
        <v>20993243707</v>
      </c>
      <c r="L18" s="80">
        <f t="shared" si="12"/>
        <v>42209937011</v>
      </c>
      <c r="M18" s="81">
        <f t="shared" si="10"/>
        <v>100825076572</v>
      </c>
      <c r="N18" s="37">
        <f t="shared" si="11"/>
        <v>0.37314000000000003</v>
      </c>
    </row>
    <row r="19" spans="1:15" ht="19.5" customHeight="1">
      <c r="A19" s="117" t="s">
        <v>440</v>
      </c>
      <c r="B19" s="270">
        <v>7572337729</v>
      </c>
      <c r="C19" s="271">
        <v>19249668805</v>
      </c>
      <c r="D19" s="271">
        <v>16012794882</v>
      </c>
      <c r="E19" s="78">
        <f>SUM(B19:D19)</f>
        <v>42834801416</v>
      </c>
      <c r="F19" s="270">
        <v>21513127628</v>
      </c>
      <c r="G19" s="271">
        <v>581437229</v>
      </c>
      <c r="H19" s="271">
        <v>36375798851</v>
      </c>
      <c r="I19" s="78">
        <f>SUM(F19:H19)</f>
        <v>58470363708</v>
      </c>
      <c r="J19" s="79">
        <f>B19+F19</f>
        <v>29085465357</v>
      </c>
      <c r="K19" s="80">
        <f>C19+G19</f>
        <v>19831106034</v>
      </c>
      <c r="L19" s="80">
        <f>D19+H19</f>
        <v>52388593733</v>
      </c>
      <c r="M19" s="81">
        <f>SUM(J19:L19)</f>
        <v>101305165124</v>
      </c>
      <c r="N19" s="37">
        <f>ROUND(J19/M19,5)</f>
        <v>0.28710999999999998</v>
      </c>
    </row>
    <row r="20" spans="1:15" ht="19.5" customHeight="1">
      <c r="A20" s="117" t="s">
        <v>441</v>
      </c>
      <c r="B20" s="270">
        <v>7117674987</v>
      </c>
      <c r="C20" s="271">
        <v>18502570644</v>
      </c>
      <c r="D20" s="271">
        <v>16455894926</v>
      </c>
      <c r="E20" s="78">
        <f t="shared" si="7"/>
        <v>42076140557</v>
      </c>
      <c r="F20" s="270">
        <v>17965322147</v>
      </c>
      <c r="G20" s="271">
        <v>260410517</v>
      </c>
      <c r="H20" s="271">
        <v>36226852363</v>
      </c>
      <c r="I20" s="78">
        <f t="shared" si="8"/>
        <v>54452585027</v>
      </c>
      <c r="J20" s="79">
        <f t="shared" si="12"/>
        <v>25082997134</v>
      </c>
      <c r="K20" s="80">
        <f t="shared" si="12"/>
        <v>18762981161</v>
      </c>
      <c r="L20" s="80">
        <f t="shared" si="12"/>
        <v>52682747289</v>
      </c>
      <c r="M20" s="81">
        <f t="shared" si="10"/>
        <v>96528725584</v>
      </c>
      <c r="N20" s="37">
        <f t="shared" si="11"/>
        <v>0.25985000000000003</v>
      </c>
    </row>
    <row r="21" spans="1:15" ht="19.5" customHeight="1">
      <c r="A21" s="117" t="s">
        <v>442</v>
      </c>
      <c r="B21" s="270">
        <v>6689492991</v>
      </c>
      <c r="C21" s="271">
        <v>17712922546</v>
      </c>
      <c r="D21" s="271">
        <v>16422506480</v>
      </c>
      <c r="E21" s="78">
        <f t="shared" ref="E21:E26" si="13">SUM(B21:D21)</f>
        <v>40824922017</v>
      </c>
      <c r="F21" s="270">
        <v>14968214583</v>
      </c>
      <c r="G21" s="271">
        <v>983325995</v>
      </c>
      <c r="H21" s="271">
        <v>27992116272</v>
      </c>
      <c r="I21" s="78">
        <f t="shared" ref="I21:I26" si="14">SUM(F21:H21)</f>
        <v>43943656850</v>
      </c>
      <c r="J21" s="79">
        <f t="shared" ref="J21:L22" si="15">B21+F21</f>
        <v>21657707574</v>
      </c>
      <c r="K21" s="80">
        <f t="shared" si="15"/>
        <v>18696248541</v>
      </c>
      <c r="L21" s="80">
        <f t="shared" si="15"/>
        <v>44414622752</v>
      </c>
      <c r="M21" s="81">
        <f t="shared" ref="M21:M26" si="16">SUM(J21:L21)</f>
        <v>84768578867</v>
      </c>
      <c r="N21" s="37">
        <f t="shared" ref="N21:N26" si="17">ROUND(J21/M21,5)</f>
        <v>0.25548999999999999</v>
      </c>
    </row>
    <row r="22" spans="1:15" ht="19.5" customHeight="1">
      <c r="A22" s="117" t="s">
        <v>443</v>
      </c>
      <c r="B22" s="270">
        <v>6524933674</v>
      </c>
      <c r="C22" s="271">
        <v>17067019471</v>
      </c>
      <c r="D22" s="271">
        <v>16430463028</v>
      </c>
      <c r="E22" s="78">
        <f t="shared" si="13"/>
        <v>40022416173</v>
      </c>
      <c r="F22" s="270">
        <v>18897638322</v>
      </c>
      <c r="G22" s="271">
        <v>3752542042</v>
      </c>
      <c r="H22" s="271">
        <v>42903721542</v>
      </c>
      <c r="I22" s="78">
        <f t="shared" si="14"/>
        <v>65553901906</v>
      </c>
      <c r="J22" s="79">
        <f t="shared" si="15"/>
        <v>25422571996</v>
      </c>
      <c r="K22" s="80">
        <f t="shared" si="15"/>
        <v>20819561513</v>
      </c>
      <c r="L22" s="80">
        <f t="shared" si="15"/>
        <v>59334184570</v>
      </c>
      <c r="M22" s="81">
        <f t="shared" si="16"/>
        <v>105576318079</v>
      </c>
      <c r="N22" s="37">
        <f t="shared" si="17"/>
        <v>0.24079999999999999</v>
      </c>
    </row>
    <row r="23" spans="1:15" ht="19.5" customHeight="1">
      <c r="A23" s="117" t="s">
        <v>444</v>
      </c>
      <c r="B23" s="270">
        <v>6868439956</v>
      </c>
      <c r="C23" s="271">
        <v>15595713532</v>
      </c>
      <c r="D23" s="271">
        <v>17045198968</v>
      </c>
      <c r="E23" s="78">
        <f t="shared" si="13"/>
        <v>39509352456</v>
      </c>
      <c r="F23" s="270">
        <v>17825395506</v>
      </c>
      <c r="G23" s="271">
        <v>2414127859</v>
      </c>
      <c r="H23" s="271">
        <v>50652357033</v>
      </c>
      <c r="I23" s="78">
        <f t="shared" si="14"/>
        <v>70891880398</v>
      </c>
      <c r="J23" s="79">
        <f t="shared" ref="J23:L24" si="18">B23+F23</f>
        <v>24693835462</v>
      </c>
      <c r="K23" s="80">
        <f t="shared" si="18"/>
        <v>18009841391</v>
      </c>
      <c r="L23" s="80">
        <f t="shared" si="18"/>
        <v>67697556001</v>
      </c>
      <c r="M23" s="81">
        <f t="shared" si="16"/>
        <v>110401232854</v>
      </c>
      <c r="N23" s="37">
        <f t="shared" si="17"/>
        <v>0.22367000000000001</v>
      </c>
    </row>
    <row r="24" spans="1:15" ht="19.5" customHeight="1">
      <c r="A24" s="117" t="s">
        <v>445</v>
      </c>
      <c r="B24" s="270">
        <v>6894436649</v>
      </c>
      <c r="C24" s="271">
        <v>14216013334</v>
      </c>
      <c r="D24" s="271">
        <v>17141070815</v>
      </c>
      <c r="E24" s="78">
        <f t="shared" si="13"/>
        <v>38251520798</v>
      </c>
      <c r="F24" s="270">
        <v>15429936231</v>
      </c>
      <c r="G24" s="271">
        <v>968394665</v>
      </c>
      <c r="H24" s="271">
        <v>33447256656</v>
      </c>
      <c r="I24" s="78">
        <f t="shared" si="14"/>
        <v>49845587552</v>
      </c>
      <c r="J24" s="79">
        <f t="shared" si="18"/>
        <v>22324372880</v>
      </c>
      <c r="K24" s="80">
        <f t="shared" si="18"/>
        <v>15184407999</v>
      </c>
      <c r="L24" s="80">
        <f t="shared" si="18"/>
        <v>50588327471</v>
      </c>
      <c r="M24" s="81">
        <f t="shared" si="16"/>
        <v>88097108350</v>
      </c>
      <c r="N24" s="37">
        <f t="shared" si="17"/>
        <v>0.25341000000000002</v>
      </c>
      <c r="O24" t="s">
        <v>310</v>
      </c>
    </row>
    <row r="25" spans="1:15" ht="19.5" customHeight="1">
      <c r="A25" s="117" t="s">
        <v>446</v>
      </c>
      <c r="B25" s="270">
        <v>6759860353</v>
      </c>
      <c r="C25" s="271">
        <v>13658696637</v>
      </c>
      <c r="D25" s="271">
        <v>17705768744</v>
      </c>
      <c r="E25" s="78">
        <f t="shared" si="13"/>
        <v>38124325734</v>
      </c>
      <c r="F25" s="270">
        <v>19566303132</v>
      </c>
      <c r="G25" s="271">
        <v>300279386</v>
      </c>
      <c r="H25" s="271">
        <v>44732148891</v>
      </c>
      <c r="I25" s="78">
        <f t="shared" si="14"/>
        <v>64598731409</v>
      </c>
      <c r="J25" s="79">
        <f t="shared" ref="J25:L26" si="19">B25+F25</f>
        <v>26326163485</v>
      </c>
      <c r="K25" s="80">
        <f t="shared" si="19"/>
        <v>13958976023</v>
      </c>
      <c r="L25" s="80">
        <f t="shared" si="19"/>
        <v>62437917635</v>
      </c>
      <c r="M25" s="81">
        <f t="shared" si="16"/>
        <v>102723057143</v>
      </c>
      <c r="N25" s="37">
        <f t="shared" si="17"/>
        <v>0.25628000000000001</v>
      </c>
    </row>
    <row r="26" spans="1:15" ht="19.5" customHeight="1">
      <c r="A26" s="117" t="s">
        <v>447</v>
      </c>
      <c r="B26" s="270">
        <v>7166401906</v>
      </c>
      <c r="C26" s="271">
        <v>12699860108</v>
      </c>
      <c r="D26" s="271">
        <v>17657302282</v>
      </c>
      <c r="E26" s="78">
        <f t="shared" si="13"/>
        <v>37523564296</v>
      </c>
      <c r="F26" s="270">
        <v>19717038371</v>
      </c>
      <c r="G26" s="271">
        <v>456886518</v>
      </c>
      <c r="H26" s="271">
        <v>42060887860</v>
      </c>
      <c r="I26" s="78">
        <f t="shared" si="14"/>
        <v>62234812749</v>
      </c>
      <c r="J26" s="79">
        <f t="shared" si="19"/>
        <v>26883440277</v>
      </c>
      <c r="K26" s="80">
        <f t="shared" si="19"/>
        <v>13156746626</v>
      </c>
      <c r="L26" s="80">
        <f t="shared" si="19"/>
        <v>59718190142</v>
      </c>
      <c r="M26" s="81">
        <f t="shared" si="16"/>
        <v>99758377045</v>
      </c>
      <c r="N26" s="37">
        <f t="shared" si="17"/>
        <v>0.26949000000000001</v>
      </c>
    </row>
    <row r="27" spans="1:15" ht="19.5" customHeight="1">
      <c r="A27" s="117" t="s">
        <v>448</v>
      </c>
      <c r="B27" s="270">
        <v>6887259886</v>
      </c>
      <c r="C27" s="271">
        <v>11839132984</v>
      </c>
      <c r="D27" s="271">
        <v>18167483572</v>
      </c>
      <c r="E27" s="78">
        <f t="shared" ref="E27:E34" si="20">SUM(B27:D27)</f>
        <v>36893876442</v>
      </c>
      <c r="F27" s="270">
        <v>13933974658</v>
      </c>
      <c r="G27" s="271">
        <v>395800992</v>
      </c>
      <c r="H27" s="271">
        <v>49892256332</v>
      </c>
      <c r="I27" s="78">
        <f t="shared" ref="I27:I34" si="21">SUM(F27:H27)</f>
        <v>64222031982</v>
      </c>
      <c r="J27" s="79">
        <f t="shared" ref="J27:L28" si="22">B27+F27</f>
        <v>20821234544</v>
      </c>
      <c r="K27" s="80">
        <f t="shared" si="22"/>
        <v>12234933976</v>
      </c>
      <c r="L27" s="80">
        <f t="shared" si="22"/>
        <v>68059739904</v>
      </c>
      <c r="M27" s="81">
        <f t="shared" ref="M27:M34" si="23">SUM(J27:L27)</f>
        <v>101115908424</v>
      </c>
      <c r="N27" s="37">
        <f t="shared" ref="N27:N34" si="24">ROUND(J27/M27,5)</f>
        <v>0.20591000000000001</v>
      </c>
    </row>
    <row r="28" spans="1:15" ht="19.5" customHeight="1">
      <c r="A28" s="117" t="s">
        <v>449</v>
      </c>
      <c r="B28" s="270">
        <v>6976860328</v>
      </c>
      <c r="C28" s="271">
        <v>10707772818</v>
      </c>
      <c r="D28" s="271">
        <f>17994183596+344000000</f>
        <v>18338183596</v>
      </c>
      <c r="E28" s="78">
        <f t="shared" si="20"/>
        <v>36022816742</v>
      </c>
      <c r="F28" s="270">
        <v>15193010294</v>
      </c>
      <c r="G28" s="271">
        <v>263334678</v>
      </c>
      <c r="H28" s="271">
        <v>36418259053</v>
      </c>
      <c r="I28" s="78">
        <f t="shared" si="21"/>
        <v>51874604025</v>
      </c>
      <c r="J28" s="79">
        <f t="shared" si="22"/>
        <v>22169870622</v>
      </c>
      <c r="K28" s="80">
        <f t="shared" si="22"/>
        <v>10971107496</v>
      </c>
      <c r="L28" s="80">
        <f t="shared" si="22"/>
        <v>54756442649</v>
      </c>
      <c r="M28" s="81">
        <f t="shared" si="23"/>
        <v>87897420767</v>
      </c>
      <c r="N28" s="37">
        <f t="shared" si="24"/>
        <v>0.25222</v>
      </c>
    </row>
    <row r="29" spans="1:15" ht="19.5" customHeight="1">
      <c r="A29" s="117" t="s">
        <v>450</v>
      </c>
      <c r="B29" s="270">
        <v>7405711100</v>
      </c>
      <c r="C29" s="271">
        <v>10206700741</v>
      </c>
      <c r="D29" s="271">
        <v>28528174739</v>
      </c>
      <c r="E29" s="78">
        <f t="shared" si="20"/>
        <v>46140586580</v>
      </c>
      <c r="F29" s="270">
        <v>13518781516</v>
      </c>
      <c r="G29" s="271">
        <v>255809374</v>
      </c>
      <c r="H29" s="271">
        <v>39641712570</v>
      </c>
      <c r="I29" s="78">
        <f t="shared" si="21"/>
        <v>53416303460</v>
      </c>
      <c r="J29" s="79">
        <f t="shared" ref="J29:L33" si="25">B29+F29</f>
        <v>20924492616</v>
      </c>
      <c r="K29" s="80">
        <f t="shared" si="25"/>
        <v>10462510115</v>
      </c>
      <c r="L29" s="80">
        <f t="shared" si="25"/>
        <v>68169887309</v>
      </c>
      <c r="M29" s="81">
        <f t="shared" si="23"/>
        <v>99556890040</v>
      </c>
      <c r="N29" s="37">
        <f t="shared" si="24"/>
        <v>0.21018000000000001</v>
      </c>
    </row>
    <row r="30" spans="1:15" ht="19.5" customHeight="1">
      <c r="A30" s="117" t="s">
        <v>451</v>
      </c>
      <c r="B30" s="270">
        <v>7502403938</v>
      </c>
      <c r="C30" s="271">
        <v>9568413341</v>
      </c>
      <c r="D30" s="271">
        <v>28428432413</v>
      </c>
      <c r="E30" s="78">
        <f t="shared" si="20"/>
        <v>45499249692</v>
      </c>
      <c r="F30" s="270">
        <v>13673741707</v>
      </c>
      <c r="G30" s="271">
        <v>250692846</v>
      </c>
      <c r="H30" s="271">
        <v>45381904933</v>
      </c>
      <c r="I30" s="78">
        <f t="shared" si="21"/>
        <v>59306339486</v>
      </c>
      <c r="J30" s="79">
        <f t="shared" si="25"/>
        <v>21176145645</v>
      </c>
      <c r="K30" s="80">
        <f t="shared" si="25"/>
        <v>9819106187</v>
      </c>
      <c r="L30" s="80">
        <f t="shared" si="25"/>
        <v>73810337346</v>
      </c>
      <c r="M30" s="81">
        <f t="shared" si="23"/>
        <v>104805589178</v>
      </c>
      <c r="N30" s="37">
        <f t="shared" si="24"/>
        <v>0.20205000000000001</v>
      </c>
    </row>
    <row r="31" spans="1:15" ht="19.5" customHeight="1">
      <c r="A31" s="117" t="s">
        <v>452</v>
      </c>
      <c r="B31" s="270">
        <v>7471788417</v>
      </c>
      <c r="C31" s="271">
        <v>8873947471</v>
      </c>
      <c r="D31" s="271">
        <v>28082028870</v>
      </c>
      <c r="E31" s="78">
        <f t="shared" si="20"/>
        <v>44427764758</v>
      </c>
      <c r="F31" s="270">
        <v>16015488368</v>
      </c>
      <c r="G31" s="271">
        <v>476090427</v>
      </c>
      <c r="H31" s="271">
        <v>44477475036</v>
      </c>
      <c r="I31" s="78">
        <f t="shared" si="21"/>
        <v>60969053831</v>
      </c>
      <c r="J31" s="79">
        <f t="shared" si="25"/>
        <v>23487276785</v>
      </c>
      <c r="K31" s="80">
        <f t="shared" si="25"/>
        <v>9350037898</v>
      </c>
      <c r="L31" s="80">
        <f t="shared" si="25"/>
        <v>72559503906</v>
      </c>
      <c r="M31" s="81">
        <f t="shared" si="23"/>
        <v>105396818589</v>
      </c>
      <c r="N31" s="37">
        <f t="shared" si="24"/>
        <v>0.22284999999999999</v>
      </c>
    </row>
    <row r="32" spans="1:15" ht="19.5" customHeight="1">
      <c r="A32" s="117" t="s">
        <v>453</v>
      </c>
      <c r="B32" s="270">
        <v>7288319684</v>
      </c>
      <c r="C32" s="271">
        <v>8236741525</v>
      </c>
      <c r="D32" s="271">
        <v>28327916779</v>
      </c>
      <c r="E32" s="78">
        <f t="shared" si="20"/>
        <v>43852977988</v>
      </c>
      <c r="F32" s="270">
        <v>12193254040</v>
      </c>
      <c r="G32" s="271">
        <v>172881326</v>
      </c>
      <c r="H32" s="271">
        <v>43387930621</v>
      </c>
      <c r="I32" s="78">
        <f t="shared" si="21"/>
        <v>55754065987</v>
      </c>
      <c r="J32" s="79">
        <f t="shared" si="25"/>
        <v>19481573724</v>
      </c>
      <c r="K32" s="80">
        <f t="shared" si="25"/>
        <v>8409622851</v>
      </c>
      <c r="L32" s="80">
        <f t="shared" si="25"/>
        <v>71715847400</v>
      </c>
      <c r="M32" s="81">
        <f t="shared" si="23"/>
        <v>99607043975</v>
      </c>
      <c r="N32" s="37">
        <f t="shared" si="24"/>
        <v>0.19558</v>
      </c>
    </row>
    <row r="33" spans="1:14" ht="19.5" customHeight="1">
      <c r="A33" s="117" t="s">
        <v>454</v>
      </c>
      <c r="B33" s="270">
        <v>7672207507</v>
      </c>
      <c r="C33" s="271">
        <v>7488450411</v>
      </c>
      <c r="D33" s="271">
        <v>28561064104</v>
      </c>
      <c r="E33" s="78">
        <f t="shared" si="20"/>
        <v>43721722022</v>
      </c>
      <c r="F33" s="270">
        <v>12199708700</v>
      </c>
      <c r="G33" s="271">
        <v>163488246</v>
      </c>
      <c r="H33" s="271">
        <v>42466838420</v>
      </c>
      <c r="I33" s="78">
        <f t="shared" si="21"/>
        <v>54830035366</v>
      </c>
      <c r="J33" s="79">
        <f t="shared" si="25"/>
        <v>19871916207</v>
      </c>
      <c r="K33" s="80">
        <f t="shared" si="25"/>
        <v>7651938657</v>
      </c>
      <c r="L33" s="80">
        <f t="shared" si="25"/>
        <v>71027902524</v>
      </c>
      <c r="M33" s="81">
        <f t="shared" si="23"/>
        <v>98551757388</v>
      </c>
      <c r="N33" s="37">
        <f t="shared" si="24"/>
        <v>0.20164000000000001</v>
      </c>
    </row>
    <row r="34" spans="1:14" ht="19.5" customHeight="1">
      <c r="A34" s="117" t="s">
        <v>497</v>
      </c>
      <c r="B34" s="270">
        <v>7409681627</v>
      </c>
      <c r="C34" s="271">
        <v>6779150888</v>
      </c>
      <c r="D34" s="271">
        <v>28905116988</v>
      </c>
      <c r="E34" s="78">
        <f t="shared" si="20"/>
        <v>43093949503</v>
      </c>
      <c r="F34" s="270">
        <v>14480276602</v>
      </c>
      <c r="G34" s="271">
        <v>138443253</v>
      </c>
      <c r="H34" s="271">
        <v>43501906672</v>
      </c>
      <c r="I34" s="78">
        <f t="shared" si="21"/>
        <v>58120626527</v>
      </c>
      <c r="J34" s="79">
        <f>B34+F34</f>
        <v>21889958229</v>
      </c>
      <c r="K34" s="80">
        <f>C34+G34</f>
        <v>6917594141</v>
      </c>
      <c r="L34" s="80">
        <f>D34+H34</f>
        <v>72407023660</v>
      </c>
      <c r="M34" s="81">
        <f t="shared" si="23"/>
        <v>101214576030</v>
      </c>
      <c r="N34" s="37">
        <f t="shared" si="24"/>
        <v>0.21626999999999999</v>
      </c>
    </row>
    <row r="35" spans="1:14" ht="19.5" customHeight="1">
      <c r="A35" s="117" t="s">
        <v>494</v>
      </c>
      <c r="B35" s="270">
        <v>7423029134</v>
      </c>
      <c r="C35" s="271">
        <v>6070030913</v>
      </c>
      <c r="D35" s="271">
        <v>28661715861</v>
      </c>
      <c r="E35" s="78">
        <f t="shared" ref="E35:E41" si="26">SUM(B35:D35)</f>
        <v>42154775908</v>
      </c>
      <c r="F35" s="270">
        <v>18145690302</v>
      </c>
      <c r="G35" s="271">
        <v>157634080</v>
      </c>
      <c r="H35" s="271">
        <v>44634448563</v>
      </c>
      <c r="I35" s="78">
        <f t="shared" ref="I35:I41" si="27">SUM(F35:H35)</f>
        <v>62937772945</v>
      </c>
      <c r="J35" s="79">
        <f t="shared" ref="J35:J41" si="28">B35+F35</f>
        <v>25568719436</v>
      </c>
      <c r="K35" s="80">
        <f t="shared" ref="K35:K41" si="29">C35+G35</f>
        <v>6227664993</v>
      </c>
      <c r="L35" s="80">
        <f t="shared" ref="L35:L41" si="30">D35+H35</f>
        <v>73296164424</v>
      </c>
      <c r="M35" s="81">
        <f t="shared" ref="M35:M41" si="31">SUM(J35:L35)</f>
        <v>105092548853</v>
      </c>
      <c r="N35" s="37">
        <f t="shared" ref="N35:N41" si="32">ROUND(J35/M35,5)</f>
        <v>0.24329999999999999</v>
      </c>
    </row>
    <row r="36" spans="1:14" ht="19.5" customHeight="1">
      <c r="A36" s="117" t="s">
        <v>495</v>
      </c>
      <c r="B36" s="270">
        <v>7687242613</v>
      </c>
      <c r="C36" s="271">
        <v>5356593326</v>
      </c>
      <c r="D36" s="271">
        <v>29385463133</v>
      </c>
      <c r="E36" s="78">
        <f t="shared" si="26"/>
        <v>42429299072</v>
      </c>
      <c r="F36" s="270">
        <v>18045752723</v>
      </c>
      <c r="G36" s="271">
        <v>145494597</v>
      </c>
      <c r="H36" s="271">
        <v>45625991085</v>
      </c>
      <c r="I36" s="78">
        <f t="shared" si="27"/>
        <v>63817238405</v>
      </c>
      <c r="J36" s="79">
        <f t="shared" si="28"/>
        <v>25732995336</v>
      </c>
      <c r="K36" s="80">
        <f t="shared" si="29"/>
        <v>5502087923</v>
      </c>
      <c r="L36" s="80">
        <f t="shared" si="30"/>
        <v>75011454218</v>
      </c>
      <c r="M36" s="81">
        <f t="shared" si="31"/>
        <v>106246537477</v>
      </c>
      <c r="N36" s="37">
        <f t="shared" si="32"/>
        <v>0.2422</v>
      </c>
    </row>
    <row r="37" spans="1:14" ht="19.5" customHeight="1">
      <c r="A37" s="117" t="s">
        <v>496</v>
      </c>
      <c r="B37" s="270">
        <v>8731704068</v>
      </c>
      <c r="C37" s="271">
        <v>4740173996</v>
      </c>
      <c r="D37" s="271">
        <v>29180395722</v>
      </c>
      <c r="E37" s="78">
        <f>SUM(B37:D37)</f>
        <v>42652273786</v>
      </c>
      <c r="F37" s="270">
        <v>14243193801</v>
      </c>
      <c r="G37" s="271">
        <v>156372634</v>
      </c>
      <c r="H37" s="271">
        <v>45309892864</v>
      </c>
      <c r="I37" s="78">
        <f>SUM(F37:H37)</f>
        <v>59709459299</v>
      </c>
      <c r="J37" s="79">
        <f t="shared" si="28"/>
        <v>22974897869</v>
      </c>
      <c r="K37" s="80">
        <f t="shared" si="29"/>
        <v>4896546630</v>
      </c>
      <c r="L37" s="80">
        <f t="shared" si="30"/>
        <v>74490288586</v>
      </c>
      <c r="M37" s="81">
        <f t="shared" si="31"/>
        <v>102361733085</v>
      </c>
      <c r="N37" s="37">
        <f t="shared" si="32"/>
        <v>0.22445000000000001</v>
      </c>
    </row>
    <row r="38" spans="1:14" ht="19.5" customHeight="1">
      <c r="A38" s="109"/>
      <c r="B38" s="122"/>
      <c r="C38" s="123"/>
      <c r="D38" s="123"/>
      <c r="E38" s="78">
        <f t="shared" si="26"/>
        <v>0</v>
      </c>
      <c r="F38" s="122"/>
      <c r="G38" s="123"/>
      <c r="H38" s="123"/>
      <c r="I38" s="78">
        <f t="shared" si="27"/>
        <v>0</v>
      </c>
      <c r="J38" s="79">
        <f t="shared" si="28"/>
        <v>0</v>
      </c>
      <c r="K38" s="80">
        <f t="shared" si="29"/>
        <v>0</v>
      </c>
      <c r="L38" s="80">
        <f t="shared" si="30"/>
        <v>0</v>
      </c>
      <c r="M38" s="81">
        <f t="shared" si="31"/>
        <v>0</v>
      </c>
      <c r="N38" s="37" t="str">
        <f>IF(M38=0,"",ROUND(J38/M38,5))</f>
        <v/>
      </c>
    </row>
    <row r="39" spans="1:14" ht="19.5" customHeight="1">
      <c r="A39" s="109"/>
      <c r="B39" s="122"/>
      <c r="C39" s="123"/>
      <c r="D39" s="123"/>
      <c r="E39" s="78">
        <f t="shared" si="26"/>
        <v>0</v>
      </c>
      <c r="F39" s="122"/>
      <c r="G39" s="123"/>
      <c r="H39" s="123"/>
      <c r="I39" s="78">
        <f t="shared" si="27"/>
        <v>0</v>
      </c>
      <c r="J39" s="79">
        <f t="shared" si="28"/>
        <v>0</v>
      </c>
      <c r="K39" s="80">
        <f t="shared" si="29"/>
        <v>0</v>
      </c>
      <c r="L39" s="80">
        <f t="shared" si="30"/>
        <v>0</v>
      </c>
      <c r="M39" s="81">
        <f t="shared" si="31"/>
        <v>0</v>
      </c>
      <c r="N39" s="37" t="str">
        <f>IF(M39=0,"",ROUND(J39/M39,5))</f>
        <v/>
      </c>
    </row>
    <row r="40" spans="1:14" ht="19.5" customHeight="1">
      <c r="A40" s="109"/>
      <c r="B40" s="122"/>
      <c r="C40" s="123"/>
      <c r="D40" s="123"/>
      <c r="E40" s="78">
        <f t="shared" si="26"/>
        <v>0</v>
      </c>
      <c r="F40" s="122"/>
      <c r="G40" s="123"/>
      <c r="H40" s="123"/>
      <c r="I40" s="78">
        <f t="shared" si="27"/>
        <v>0</v>
      </c>
      <c r="J40" s="79">
        <f t="shared" si="28"/>
        <v>0</v>
      </c>
      <c r="K40" s="80">
        <f t="shared" si="29"/>
        <v>0</v>
      </c>
      <c r="L40" s="80">
        <f t="shared" si="30"/>
        <v>0</v>
      </c>
      <c r="M40" s="81">
        <f t="shared" si="31"/>
        <v>0</v>
      </c>
      <c r="N40" s="37" t="str">
        <f>IF(M40=0,"",ROUND(J40/M40,5))</f>
        <v/>
      </c>
    </row>
    <row r="41" spans="1:14" ht="19.5" customHeight="1">
      <c r="A41" s="109"/>
      <c r="B41" s="122"/>
      <c r="C41" s="123"/>
      <c r="D41" s="123"/>
      <c r="E41" s="78">
        <f t="shared" si="26"/>
        <v>0</v>
      </c>
      <c r="F41" s="122"/>
      <c r="G41" s="123"/>
      <c r="H41" s="123"/>
      <c r="I41" s="78">
        <f t="shared" si="27"/>
        <v>0</v>
      </c>
      <c r="J41" s="79">
        <f t="shared" si="28"/>
        <v>0</v>
      </c>
      <c r="K41" s="80">
        <f t="shared" si="29"/>
        <v>0</v>
      </c>
      <c r="L41" s="80">
        <f t="shared" si="30"/>
        <v>0</v>
      </c>
      <c r="M41" s="81">
        <f t="shared" si="31"/>
        <v>0</v>
      </c>
      <c r="N41" s="37" t="str">
        <f>IF(M41=0,"",ROUND(J41/M41,5))</f>
        <v/>
      </c>
    </row>
    <row r="42" spans="1:14" ht="19.5" customHeight="1">
      <c r="A42" s="109"/>
      <c r="B42" s="122"/>
      <c r="C42" s="123"/>
      <c r="D42" s="123"/>
      <c r="E42" s="78">
        <f t="shared" ref="E42:E98" si="33">SUM(B42:D42)</f>
        <v>0</v>
      </c>
      <c r="F42" s="122"/>
      <c r="G42" s="123"/>
      <c r="H42" s="123"/>
      <c r="I42" s="78">
        <f t="shared" ref="I42:I98" si="34">SUM(F42:H42)</f>
        <v>0</v>
      </c>
      <c r="J42" s="79">
        <f t="shared" ref="J42:J98" si="35">B42+F42</f>
        <v>0</v>
      </c>
      <c r="K42" s="80">
        <f t="shared" ref="K42:K98" si="36">C42+G42</f>
        <v>0</v>
      </c>
      <c r="L42" s="80">
        <f t="shared" ref="L42:L98" si="37">D42+H42</f>
        <v>0</v>
      </c>
      <c r="M42" s="81">
        <f t="shared" ref="M42:M98" si="38">SUM(J42:L42)</f>
        <v>0</v>
      </c>
      <c r="N42" s="37" t="str">
        <f>IF(M42=0,"",ROUND(J42/M42,5))</f>
        <v/>
      </c>
    </row>
    <row r="43" spans="1:14" ht="19.5" customHeight="1">
      <c r="A43" s="109"/>
      <c r="B43" s="122"/>
      <c r="C43" s="123"/>
      <c r="D43" s="123"/>
      <c r="E43" s="78">
        <f t="shared" si="33"/>
        <v>0</v>
      </c>
      <c r="F43" s="122"/>
      <c r="G43" s="123"/>
      <c r="H43" s="123"/>
      <c r="I43" s="78">
        <f t="shared" si="34"/>
        <v>0</v>
      </c>
      <c r="J43" s="79">
        <f t="shared" si="35"/>
        <v>0</v>
      </c>
      <c r="K43" s="80">
        <f t="shared" si="36"/>
        <v>0</v>
      </c>
      <c r="L43" s="80">
        <f t="shared" si="37"/>
        <v>0</v>
      </c>
      <c r="M43" s="81">
        <f t="shared" si="38"/>
        <v>0</v>
      </c>
      <c r="N43" s="37" t="str">
        <f>IF(M43=0,"",ROUND(J43/M43,5))</f>
        <v/>
      </c>
    </row>
    <row r="44" spans="1:14" ht="19.5" customHeight="1">
      <c r="A44" s="109"/>
      <c r="B44" s="122"/>
      <c r="C44" s="123"/>
      <c r="D44" s="123"/>
      <c r="E44" s="78">
        <f t="shared" si="33"/>
        <v>0</v>
      </c>
      <c r="F44" s="122"/>
      <c r="G44" s="123"/>
      <c r="H44" s="123"/>
      <c r="I44" s="78">
        <f t="shared" si="34"/>
        <v>0</v>
      </c>
      <c r="J44" s="79">
        <f t="shared" si="35"/>
        <v>0</v>
      </c>
      <c r="K44" s="80">
        <f t="shared" si="36"/>
        <v>0</v>
      </c>
      <c r="L44" s="80">
        <f t="shared" si="37"/>
        <v>0</v>
      </c>
      <c r="M44" s="81">
        <f t="shared" si="38"/>
        <v>0</v>
      </c>
      <c r="N44" s="37" t="str">
        <f>IF(M44=0,"",ROUND(J44/M44,5))</f>
        <v/>
      </c>
    </row>
    <row r="45" spans="1:14" ht="19.5" customHeight="1">
      <c r="A45" s="109"/>
      <c r="B45" s="122"/>
      <c r="C45" s="123"/>
      <c r="D45" s="123"/>
      <c r="E45" s="78">
        <f t="shared" si="33"/>
        <v>0</v>
      </c>
      <c r="F45" s="122"/>
      <c r="G45" s="123"/>
      <c r="H45" s="123"/>
      <c r="I45" s="78">
        <f t="shared" si="34"/>
        <v>0</v>
      </c>
      <c r="J45" s="79">
        <f t="shared" si="35"/>
        <v>0</v>
      </c>
      <c r="K45" s="80">
        <f t="shared" si="36"/>
        <v>0</v>
      </c>
      <c r="L45" s="80">
        <f t="shared" si="37"/>
        <v>0</v>
      </c>
      <c r="M45" s="81">
        <f t="shared" si="38"/>
        <v>0</v>
      </c>
      <c r="N45" s="37" t="str">
        <f>IF(M45=0,"",ROUND(J45/M45,5))</f>
        <v/>
      </c>
    </row>
    <row r="46" spans="1:14" ht="19.5" customHeight="1">
      <c r="A46" s="109"/>
      <c r="B46" s="122"/>
      <c r="C46" s="123"/>
      <c r="D46" s="123"/>
      <c r="E46" s="78">
        <f t="shared" si="33"/>
        <v>0</v>
      </c>
      <c r="F46" s="122"/>
      <c r="G46" s="123"/>
      <c r="H46" s="123"/>
      <c r="I46" s="78">
        <f t="shared" si="34"/>
        <v>0</v>
      </c>
      <c r="J46" s="79">
        <f t="shared" si="35"/>
        <v>0</v>
      </c>
      <c r="K46" s="80">
        <f t="shared" si="36"/>
        <v>0</v>
      </c>
      <c r="L46" s="80">
        <f t="shared" si="37"/>
        <v>0</v>
      </c>
      <c r="M46" s="81">
        <f t="shared" si="38"/>
        <v>0</v>
      </c>
      <c r="N46" s="37" t="str">
        <f>IF(M46=0,"",ROUND(J46/M46,5))</f>
        <v/>
      </c>
    </row>
    <row r="47" spans="1:14" ht="19.5" customHeight="1">
      <c r="A47" s="109"/>
      <c r="B47" s="122"/>
      <c r="C47" s="123"/>
      <c r="D47" s="123"/>
      <c r="E47" s="78">
        <f t="shared" si="33"/>
        <v>0</v>
      </c>
      <c r="F47" s="122"/>
      <c r="G47" s="123"/>
      <c r="H47" s="123"/>
      <c r="I47" s="78">
        <f t="shared" si="34"/>
        <v>0</v>
      </c>
      <c r="J47" s="79">
        <f t="shared" si="35"/>
        <v>0</v>
      </c>
      <c r="K47" s="80">
        <f t="shared" si="36"/>
        <v>0</v>
      </c>
      <c r="L47" s="80">
        <f t="shared" si="37"/>
        <v>0</v>
      </c>
      <c r="M47" s="81">
        <f t="shared" si="38"/>
        <v>0</v>
      </c>
      <c r="N47" s="37" t="str">
        <f>IF(M47=0,"",ROUND(J47/M47,5))</f>
        <v/>
      </c>
    </row>
    <row r="48" spans="1:14" ht="19.5" customHeight="1">
      <c r="A48" s="109"/>
      <c r="B48" s="122"/>
      <c r="C48" s="123"/>
      <c r="D48" s="123"/>
      <c r="E48" s="78">
        <f t="shared" si="33"/>
        <v>0</v>
      </c>
      <c r="F48" s="122"/>
      <c r="G48" s="123"/>
      <c r="H48" s="123"/>
      <c r="I48" s="78">
        <f t="shared" si="34"/>
        <v>0</v>
      </c>
      <c r="J48" s="79">
        <f t="shared" si="35"/>
        <v>0</v>
      </c>
      <c r="K48" s="80">
        <f t="shared" si="36"/>
        <v>0</v>
      </c>
      <c r="L48" s="80">
        <f t="shared" si="37"/>
        <v>0</v>
      </c>
      <c r="M48" s="81">
        <f t="shared" si="38"/>
        <v>0</v>
      </c>
      <c r="N48" s="37" t="str">
        <f>IF(M48=0,"",ROUND(J48/M48,5))</f>
        <v/>
      </c>
    </row>
    <row r="49" spans="1:14" ht="19.5" customHeight="1">
      <c r="A49" s="109"/>
      <c r="B49" s="122"/>
      <c r="C49" s="123"/>
      <c r="D49" s="123"/>
      <c r="E49" s="78">
        <f t="shared" si="33"/>
        <v>0</v>
      </c>
      <c r="F49" s="122"/>
      <c r="G49" s="123"/>
      <c r="H49" s="123"/>
      <c r="I49" s="78">
        <f t="shared" si="34"/>
        <v>0</v>
      </c>
      <c r="J49" s="79">
        <f t="shared" si="35"/>
        <v>0</v>
      </c>
      <c r="K49" s="80">
        <f t="shared" si="36"/>
        <v>0</v>
      </c>
      <c r="L49" s="80">
        <f t="shared" si="37"/>
        <v>0</v>
      </c>
      <c r="M49" s="81">
        <f t="shared" si="38"/>
        <v>0</v>
      </c>
      <c r="N49" s="37" t="str">
        <f>IF(M49=0,"",ROUND(J49/M49,5))</f>
        <v/>
      </c>
    </row>
    <row r="50" spans="1:14" ht="19.5" customHeight="1">
      <c r="A50" s="109"/>
      <c r="B50" s="122"/>
      <c r="C50" s="123"/>
      <c r="D50" s="123"/>
      <c r="E50" s="78">
        <f t="shared" si="33"/>
        <v>0</v>
      </c>
      <c r="F50" s="122"/>
      <c r="G50" s="123"/>
      <c r="H50" s="123"/>
      <c r="I50" s="78">
        <f t="shared" si="34"/>
        <v>0</v>
      </c>
      <c r="J50" s="79">
        <f t="shared" si="35"/>
        <v>0</v>
      </c>
      <c r="K50" s="80">
        <f t="shared" si="36"/>
        <v>0</v>
      </c>
      <c r="L50" s="80">
        <f t="shared" si="37"/>
        <v>0</v>
      </c>
      <c r="M50" s="81">
        <f t="shared" si="38"/>
        <v>0</v>
      </c>
      <c r="N50" s="37" t="str">
        <f>IF(M50=0,"",ROUND(J50/M50,5))</f>
        <v/>
      </c>
    </row>
    <row r="51" spans="1:14" ht="19.5" customHeight="1">
      <c r="A51" s="109"/>
      <c r="B51" s="122"/>
      <c r="C51" s="123"/>
      <c r="D51" s="123"/>
      <c r="E51" s="78">
        <f t="shared" si="33"/>
        <v>0</v>
      </c>
      <c r="F51" s="122"/>
      <c r="G51" s="123"/>
      <c r="H51" s="123"/>
      <c r="I51" s="78">
        <f t="shared" si="34"/>
        <v>0</v>
      </c>
      <c r="J51" s="79">
        <f t="shared" si="35"/>
        <v>0</v>
      </c>
      <c r="K51" s="80">
        <f t="shared" si="36"/>
        <v>0</v>
      </c>
      <c r="L51" s="80">
        <f t="shared" si="37"/>
        <v>0</v>
      </c>
      <c r="M51" s="81">
        <f t="shared" si="38"/>
        <v>0</v>
      </c>
      <c r="N51" s="37" t="str">
        <f>IF(M51=0,"",ROUND(J51/M51,5))</f>
        <v/>
      </c>
    </row>
    <row r="52" spans="1:14" ht="19.5" customHeight="1">
      <c r="A52" s="109"/>
      <c r="B52" s="122"/>
      <c r="C52" s="123"/>
      <c r="D52" s="123"/>
      <c r="E52" s="78">
        <f t="shared" si="33"/>
        <v>0</v>
      </c>
      <c r="F52" s="122"/>
      <c r="G52" s="123"/>
      <c r="H52" s="123"/>
      <c r="I52" s="78">
        <f t="shared" si="34"/>
        <v>0</v>
      </c>
      <c r="J52" s="79">
        <f t="shared" si="35"/>
        <v>0</v>
      </c>
      <c r="K52" s="80">
        <f t="shared" si="36"/>
        <v>0</v>
      </c>
      <c r="L52" s="80">
        <f t="shared" si="37"/>
        <v>0</v>
      </c>
      <c r="M52" s="81">
        <f t="shared" si="38"/>
        <v>0</v>
      </c>
      <c r="N52" s="37" t="str">
        <f>IF(M52=0,"",ROUND(J52/M52,5))</f>
        <v/>
      </c>
    </row>
    <row r="53" spans="1:14" ht="19.5" customHeight="1">
      <c r="A53" s="109"/>
      <c r="B53" s="122"/>
      <c r="C53" s="123"/>
      <c r="D53" s="123"/>
      <c r="E53" s="78">
        <f t="shared" si="33"/>
        <v>0</v>
      </c>
      <c r="F53" s="122"/>
      <c r="G53" s="123"/>
      <c r="H53" s="123"/>
      <c r="I53" s="78">
        <f t="shared" si="34"/>
        <v>0</v>
      </c>
      <c r="J53" s="79">
        <f t="shared" si="35"/>
        <v>0</v>
      </c>
      <c r="K53" s="80">
        <f t="shared" si="36"/>
        <v>0</v>
      </c>
      <c r="L53" s="80">
        <f t="shared" si="37"/>
        <v>0</v>
      </c>
      <c r="M53" s="81">
        <f t="shared" si="38"/>
        <v>0</v>
      </c>
      <c r="N53" s="37" t="str">
        <f>IF(M53=0,"",ROUND(J53/M53,5))</f>
        <v/>
      </c>
    </row>
    <row r="54" spans="1:14" ht="19.5" customHeight="1">
      <c r="A54" s="109"/>
      <c r="B54" s="122"/>
      <c r="C54" s="123"/>
      <c r="D54" s="123"/>
      <c r="E54" s="78">
        <f t="shared" si="33"/>
        <v>0</v>
      </c>
      <c r="F54" s="122"/>
      <c r="G54" s="123"/>
      <c r="H54" s="123"/>
      <c r="I54" s="78">
        <f t="shared" si="34"/>
        <v>0</v>
      </c>
      <c r="J54" s="79">
        <f t="shared" si="35"/>
        <v>0</v>
      </c>
      <c r="K54" s="80">
        <f t="shared" si="36"/>
        <v>0</v>
      </c>
      <c r="L54" s="80">
        <f t="shared" si="37"/>
        <v>0</v>
      </c>
      <c r="M54" s="81">
        <f t="shared" si="38"/>
        <v>0</v>
      </c>
      <c r="N54" s="37" t="str">
        <f>IF(M54=0,"",ROUND(J54/M54,5))</f>
        <v/>
      </c>
    </row>
    <row r="55" spans="1:14" ht="19.5" customHeight="1">
      <c r="A55" s="109"/>
      <c r="B55" s="122"/>
      <c r="C55" s="123"/>
      <c r="D55" s="123"/>
      <c r="E55" s="78">
        <f t="shared" si="33"/>
        <v>0</v>
      </c>
      <c r="F55" s="122"/>
      <c r="G55" s="123"/>
      <c r="H55" s="123"/>
      <c r="I55" s="78">
        <f t="shared" si="34"/>
        <v>0</v>
      </c>
      <c r="J55" s="79">
        <f t="shared" si="35"/>
        <v>0</v>
      </c>
      <c r="K55" s="80">
        <f t="shared" si="36"/>
        <v>0</v>
      </c>
      <c r="L55" s="80">
        <f t="shared" si="37"/>
        <v>0</v>
      </c>
      <c r="M55" s="81">
        <f t="shared" si="38"/>
        <v>0</v>
      </c>
      <c r="N55" s="37" t="str">
        <f>IF(M55=0,"",ROUND(J55/M55,5))</f>
        <v/>
      </c>
    </row>
    <row r="56" spans="1:14" ht="19.5" customHeight="1">
      <c r="A56" s="109"/>
      <c r="B56" s="122"/>
      <c r="C56" s="123"/>
      <c r="D56" s="123"/>
      <c r="E56" s="78">
        <f t="shared" si="33"/>
        <v>0</v>
      </c>
      <c r="F56" s="122"/>
      <c r="G56" s="123"/>
      <c r="H56" s="123"/>
      <c r="I56" s="78">
        <f t="shared" si="34"/>
        <v>0</v>
      </c>
      <c r="J56" s="79">
        <f t="shared" si="35"/>
        <v>0</v>
      </c>
      <c r="K56" s="80">
        <f t="shared" si="36"/>
        <v>0</v>
      </c>
      <c r="L56" s="80">
        <f t="shared" si="37"/>
        <v>0</v>
      </c>
      <c r="M56" s="81">
        <f t="shared" si="38"/>
        <v>0</v>
      </c>
      <c r="N56" s="37" t="str">
        <f>IF(M56=0,"",ROUND(J56/M56,5))</f>
        <v/>
      </c>
    </row>
    <row r="57" spans="1:14" ht="19.5" customHeight="1">
      <c r="A57" s="109"/>
      <c r="B57" s="122"/>
      <c r="C57" s="123"/>
      <c r="D57" s="123"/>
      <c r="E57" s="78">
        <f t="shared" si="33"/>
        <v>0</v>
      </c>
      <c r="F57" s="122"/>
      <c r="G57" s="123"/>
      <c r="H57" s="123"/>
      <c r="I57" s="78">
        <f t="shared" si="34"/>
        <v>0</v>
      </c>
      <c r="J57" s="79">
        <f t="shared" si="35"/>
        <v>0</v>
      </c>
      <c r="K57" s="80">
        <f t="shared" si="36"/>
        <v>0</v>
      </c>
      <c r="L57" s="80">
        <f t="shared" si="37"/>
        <v>0</v>
      </c>
      <c r="M57" s="81">
        <f t="shared" si="38"/>
        <v>0</v>
      </c>
      <c r="N57" s="37" t="str">
        <f>IF(M57=0,"",ROUND(J57/M57,5))</f>
        <v/>
      </c>
    </row>
    <row r="58" spans="1:14" ht="19.5" customHeight="1">
      <c r="A58" s="109"/>
      <c r="B58" s="122"/>
      <c r="C58" s="123"/>
      <c r="D58" s="123"/>
      <c r="E58" s="78">
        <f t="shared" si="33"/>
        <v>0</v>
      </c>
      <c r="F58" s="122"/>
      <c r="G58" s="123"/>
      <c r="H58" s="123"/>
      <c r="I58" s="78">
        <f t="shared" si="34"/>
        <v>0</v>
      </c>
      <c r="J58" s="79">
        <f t="shared" si="35"/>
        <v>0</v>
      </c>
      <c r="K58" s="80">
        <f t="shared" si="36"/>
        <v>0</v>
      </c>
      <c r="L58" s="80">
        <f t="shared" si="37"/>
        <v>0</v>
      </c>
      <c r="M58" s="81">
        <f t="shared" si="38"/>
        <v>0</v>
      </c>
      <c r="N58" s="37" t="str">
        <f>IF(M58=0,"",ROUND(J58/M58,5))</f>
        <v/>
      </c>
    </row>
    <row r="59" spans="1:14" ht="19.5" customHeight="1">
      <c r="A59" s="109"/>
      <c r="B59" s="122"/>
      <c r="C59" s="123"/>
      <c r="D59" s="123"/>
      <c r="E59" s="78">
        <f t="shared" si="33"/>
        <v>0</v>
      </c>
      <c r="F59" s="122"/>
      <c r="G59" s="123"/>
      <c r="H59" s="123"/>
      <c r="I59" s="78">
        <f t="shared" si="34"/>
        <v>0</v>
      </c>
      <c r="J59" s="79">
        <f t="shared" si="35"/>
        <v>0</v>
      </c>
      <c r="K59" s="80">
        <f t="shared" si="36"/>
        <v>0</v>
      </c>
      <c r="L59" s="80">
        <f t="shared" si="37"/>
        <v>0</v>
      </c>
      <c r="M59" s="81">
        <f t="shared" si="38"/>
        <v>0</v>
      </c>
      <c r="N59" s="37" t="str">
        <f>IF(M59=0,"",ROUND(J59/M59,5))</f>
        <v/>
      </c>
    </row>
    <row r="60" spans="1:14" ht="19.5" customHeight="1">
      <c r="A60" s="109"/>
      <c r="B60" s="122"/>
      <c r="C60" s="123"/>
      <c r="D60" s="123"/>
      <c r="E60" s="78">
        <f t="shared" si="33"/>
        <v>0</v>
      </c>
      <c r="F60" s="122"/>
      <c r="G60" s="123"/>
      <c r="H60" s="123"/>
      <c r="I60" s="78">
        <f t="shared" si="34"/>
        <v>0</v>
      </c>
      <c r="J60" s="79">
        <f t="shared" si="35"/>
        <v>0</v>
      </c>
      <c r="K60" s="80">
        <f t="shared" si="36"/>
        <v>0</v>
      </c>
      <c r="L60" s="80">
        <f t="shared" si="37"/>
        <v>0</v>
      </c>
      <c r="M60" s="81">
        <f t="shared" si="38"/>
        <v>0</v>
      </c>
      <c r="N60" s="37" t="str">
        <f>IF(M60=0,"",ROUND(J60/M60,5))</f>
        <v/>
      </c>
    </row>
    <row r="61" spans="1:14" ht="19.5" customHeight="1">
      <c r="A61" s="109"/>
      <c r="B61" s="122"/>
      <c r="C61" s="123"/>
      <c r="D61" s="123"/>
      <c r="E61" s="78">
        <f t="shared" si="33"/>
        <v>0</v>
      </c>
      <c r="F61" s="122"/>
      <c r="G61" s="123"/>
      <c r="H61" s="123"/>
      <c r="I61" s="78">
        <f t="shared" si="34"/>
        <v>0</v>
      </c>
      <c r="J61" s="79">
        <f t="shared" si="35"/>
        <v>0</v>
      </c>
      <c r="K61" s="80">
        <f t="shared" si="36"/>
        <v>0</v>
      </c>
      <c r="L61" s="80">
        <f t="shared" si="37"/>
        <v>0</v>
      </c>
      <c r="M61" s="81">
        <f t="shared" si="38"/>
        <v>0</v>
      </c>
      <c r="N61" s="37" t="str">
        <f>IF(M61=0,"",ROUND(J61/M61,5))</f>
        <v/>
      </c>
    </row>
    <row r="62" spans="1:14" ht="19.5" customHeight="1">
      <c r="A62" s="109"/>
      <c r="B62" s="122"/>
      <c r="C62" s="123"/>
      <c r="D62" s="123"/>
      <c r="E62" s="78">
        <f t="shared" si="33"/>
        <v>0</v>
      </c>
      <c r="F62" s="122"/>
      <c r="G62" s="123"/>
      <c r="H62" s="123"/>
      <c r="I62" s="78">
        <f t="shared" si="34"/>
        <v>0</v>
      </c>
      <c r="J62" s="79">
        <f t="shared" si="35"/>
        <v>0</v>
      </c>
      <c r="K62" s="80">
        <f t="shared" si="36"/>
        <v>0</v>
      </c>
      <c r="L62" s="80">
        <f t="shared" si="37"/>
        <v>0</v>
      </c>
      <c r="M62" s="81">
        <f t="shared" si="38"/>
        <v>0</v>
      </c>
      <c r="N62" s="37" t="str">
        <f>IF(M62=0,"",ROUND(J62/M62,5))</f>
        <v/>
      </c>
    </row>
    <row r="63" spans="1:14" ht="19.5" customHeight="1">
      <c r="A63" s="109"/>
      <c r="B63" s="122"/>
      <c r="C63" s="123"/>
      <c r="D63" s="123"/>
      <c r="E63" s="78">
        <f t="shared" si="33"/>
        <v>0</v>
      </c>
      <c r="F63" s="122"/>
      <c r="G63" s="123"/>
      <c r="H63" s="123"/>
      <c r="I63" s="78">
        <f t="shared" si="34"/>
        <v>0</v>
      </c>
      <c r="J63" s="79">
        <f t="shared" si="35"/>
        <v>0</v>
      </c>
      <c r="K63" s="80">
        <f t="shared" si="36"/>
        <v>0</v>
      </c>
      <c r="L63" s="80">
        <f t="shared" si="37"/>
        <v>0</v>
      </c>
      <c r="M63" s="81">
        <f t="shared" si="38"/>
        <v>0</v>
      </c>
      <c r="N63" s="37" t="str">
        <f>IF(M63=0,"",ROUND(J63/M63,5))</f>
        <v/>
      </c>
    </row>
    <row r="64" spans="1:14" ht="19.5" customHeight="1">
      <c r="A64" s="109"/>
      <c r="B64" s="122"/>
      <c r="C64" s="123"/>
      <c r="D64" s="123"/>
      <c r="E64" s="78">
        <f t="shared" si="33"/>
        <v>0</v>
      </c>
      <c r="F64" s="122"/>
      <c r="G64" s="123"/>
      <c r="H64" s="123"/>
      <c r="I64" s="78">
        <f t="shared" si="34"/>
        <v>0</v>
      </c>
      <c r="J64" s="79">
        <f t="shared" si="35"/>
        <v>0</v>
      </c>
      <c r="K64" s="80">
        <f t="shared" si="36"/>
        <v>0</v>
      </c>
      <c r="L64" s="80">
        <f t="shared" si="37"/>
        <v>0</v>
      </c>
      <c r="M64" s="81">
        <f t="shared" si="38"/>
        <v>0</v>
      </c>
      <c r="N64" s="37" t="str">
        <f>IF(M64=0,"",ROUND(J64/M64,5))</f>
        <v/>
      </c>
    </row>
    <row r="65" spans="1:14" ht="19.5" customHeight="1">
      <c r="A65" s="109"/>
      <c r="B65" s="122"/>
      <c r="C65" s="123"/>
      <c r="D65" s="123"/>
      <c r="E65" s="78">
        <f t="shared" si="33"/>
        <v>0</v>
      </c>
      <c r="F65" s="122"/>
      <c r="G65" s="123"/>
      <c r="H65" s="123"/>
      <c r="I65" s="78">
        <f t="shared" si="34"/>
        <v>0</v>
      </c>
      <c r="J65" s="79">
        <f t="shared" si="35"/>
        <v>0</v>
      </c>
      <c r="K65" s="80">
        <f t="shared" si="36"/>
        <v>0</v>
      </c>
      <c r="L65" s="80">
        <f t="shared" si="37"/>
        <v>0</v>
      </c>
      <c r="M65" s="81">
        <f t="shared" si="38"/>
        <v>0</v>
      </c>
      <c r="N65" s="37" t="str">
        <f>IF(M65=0,"",ROUND(J65/M65,5))</f>
        <v/>
      </c>
    </row>
    <row r="66" spans="1:14" ht="19.5" customHeight="1">
      <c r="A66" s="109"/>
      <c r="B66" s="122"/>
      <c r="C66" s="123"/>
      <c r="D66" s="123"/>
      <c r="E66" s="78">
        <f t="shared" si="33"/>
        <v>0</v>
      </c>
      <c r="F66" s="122"/>
      <c r="G66" s="123"/>
      <c r="H66" s="123"/>
      <c r="I66" s="78">
        <f t="shared" si="34"/>
        <v>0</v>
      </c>
      <c r="J66" s="79">
        <f t="shared" si="35"/>
        <v>0</v>
      </c>
      <c r="K66" s="80">
        <f t="shared" si="36"/>
        <v>0</v>
      </c>
      <c r="L66" s="80">
        <f t="shared" si="37"/>
        <v>0</v>
      </c>
      <c r="M66" s="81">
        <f t="shared" si="38"/>
        <v>0</v>
      </c>
      <c r="N66" s="37" t="str">
        <f>IF(M66=0,"",ROUND(J66/M66,5))</f>
        <v/>
      </c>
    </row>
    <row r="67" spans="1:14" ht="19.5" customHeight="1">
      <c r="A67" s="109"/>
      <c r="B67" s="122"/>
      <c r="C67" s="123"/>
      <c r="D67" s="123"/>
      <c r="E67" s="78">
        <f t="shared" si="33"/>
        <v>0</v>
      </c>
      <c r="F67" s="122"/>
      <c r="G67" s="123"/>
      <c r="H67" s="123"/>
      <c r="I67" s="78">
        <f t="shared" si="34"/>
        <v>0</v>
      </c>
      <c r="J67" s="79">
        <f t="shared" si="35"/>
        <v>0</v>
      </c>
      <c r="K67" s="80">
        <f t="shared" si="36"/>
        <v>0</v>
      </c>
      <c r="L67" s="80">
        <f t="shared" si="37"/>
        <v>0</v>
      </c>
      <c r="M67" s="81">
        <f t="shared" si="38"/>
        <v>0</v>
      </c>
      <c r="N67" s="37" t="str">
        <f>IF(M67=0,"",ROUND(J67/M67,5))</f>
        <v/>
      </c>
    </row>
    <row r="68" spans="1:14" ht="19.5" customHeight="1">
      <c r="A68" s="109"/>
      <c r="B68" s="122"/>
      <c r="C68" s="123"/>
      <c r="D68" s="123"/>
      <c r="E68" s="78">
        <f t="shared" si="33"/>
        <v>0</v>
      </c>
      <c r="F68" s="122"/>
      <c r="G68" s="123"/>
      <c r="H68" s="123"/>
      <c r="I68" s="78">
        <f t="shared" si="34"/>
        <v>0</v>
      </c>
      <c r="J68" s="79">
        <f t="shared" si="35"/>
        <v>0</v>
      </c>
      <c r="K68" s="80">
        <f t="shared" si="36"/>
        <v>0</v>
      </c>
      <c r="L68" s="80">
        <f t="shared" si="37"/>
        <v>0</v>
      </c>
      <c r="M68" s="81">
        <f t="shared" si="38"/>
        <v>0</v>
      </c>
      <c r="N68" s="37" t="str">
        <f>IF(M68=0,"",ROUND(J68/M68,5))</f>
        <v/>
      </c>
    </row>
    <row r="69" spans="1:14" ht="19.5" customHeight="1">
      <c r="A69" s="109"/>
      <c r="B69" s="122"/>
      <c r="C69" s="123"/>
      <c r="D69" s="123"/>
      <c r="E69" s="78">
        <f t="shared" si="33"/>
        <v>0</v>
      </c>
      <c r="F69" s="122"/>
      <c r="G69" s="123"/>
      <c r="H69" s="123"/>
      <c r="I69" s="78">
        <f t="shared" si="34"/>
        <v>0</v>
      </c>
      <c r="J69" s="79">
        <f t="shared" si="35"/>
        <v>0</v>
      </c>
      <c r="K69" s="80">
        <f t="shared" si="36"/>
        <v>0</v>
      </c>
      <c r="L69" s="80">
        <f t="shared" si="37"/>
        <v>0</v>
      </c>
      <c r="M69" s="81">
        <f t="shared" si="38"/>
        <v>0</v>
      </c>
      <c r="N69" s="37" t="str">
        <f>IF(M69=0,"",ROUND(J69/M69,5))</f>
        <v/>
      </c>
    </row>
    <row r="70" spans="1:14" ht="19.5" customHeight="1">
      <c r="A70" s="109"/>
      <c r="B70" s="122"/>
      <c r="C70" s="123"/>
      <c r="D70" s="123"/>
      <c r="E70" s="78">
        <f t="shared" si="33"/>
        <v>0</v>
      </c>
      <c r="F70" s="122"/>
      <c r="G70" s="123"/>
      <c r="H70" s="123"/>
      <c r="I70" s="78">
        <f t="shared" si="34"/>
        <v>0</v>
      </c>
      <c r="J70" s="79">
        <f t="shared" si="35"/>
        <v>0</v>
      </c>
      <c r="K70" s="80">
        <f t="shared" si="36"/>
        <v>0</v>
      </c>
      <c r="L70" s="80">
        <f t="shared" si="37"/>
        <v>0</v>
      </c>
      <c r="M70" s="81">
        <f t="shared" si="38"/>
        <v>0</v>
      </c>
      <c r="N70" s="37" t="str">
        <f>IF(M70=0,"",ROUND(J70/M70,5))</f>
        <v/>
      </c>
    </row>
    <row r="71" spans="1:14" ht="19.5" customHeight="1">
      <c r="A71" s="109"/>
      <c r="B71" s="122"/>
      <c r="C71" s="123"/>
      <c r="D71" s="123"/>
      <c r="E71" s="78">
        <f t="shared" si="33"/>
        <v>0</v>
      </c>
      <c r="F71" s="122"/>
      <c r="G71" s="123"/>
      <c r="H71" s="123"/>
      <c r="I71" s="78">
        <f t="shared" si="34"/>
        <v>0</v>
      </c>
      <c r="J71" s="79">
        <f t="shared" si="35"/>
        <v>0</v>
      </c>
      <c r="K71" s="80">
        <f t="shared" si="36"/>
        <v>0</v>
      </c>
      <c r="L71" s="80">
        <f t="shared" si="37"/>
        <v>0</v>
      </c>
      <c r="M71" s="81">
        <f t="shared" si="38"/>
        <v>0</v>
      </c>
      <c r="N71" s="37" t="str">
        <f>IF(M71=0,"",ROUND(J71/M71,5))</f>
        <v/>
      </c>
    </row>
    <row r="72" spans="1:14" ht="19.5" customHeight="1">
      <c r="A72" s="109"/>
      <c r="B72" s="122"/>
      <c r="C72" s="123"/>
      <c r="D72" s="123"/>
      <c r="E72" s="78">
        <f t="shared" si="33"/>
        <v>0</v>
      </c>
      <c r="F72" s="122"/>
      <c r="G72" s="123"/>
      <c r="H72" s="123"/>
      <c r="I72" s="78">
        <f t="shared" si="34"/>
        <v>0</v>
      </c>
      <c r="J72" s="79">
        <f t="shared" si="35"/>
        <v>0</v>
      </c>
      <c r="K72" s="80">
        <f t="shared" si="36"/>
        <v>0</v>
      </c>
      <c r="L72" s="80">
        <f t="shared" si="37"/>
        <v>0</v>
      </c>
      <c r="M72" s="81">
        <f t="shared" si="38"/>
        <v>0</v>
      </c>
      <c r="N72" s="37" t="str">
        <f>IF(M72=0,"",ROUND(J72/M72,5))</f>
        <v/>
      </c>
    </row>
    <row r="73" spans="1:14" ht="19.5" customHeight="1">
      <c r="A73" s="109"/>
      <c r="B73" s="122"/>
      <c r="C73" s="123"/>
      <c r="D73" s="123"/>
      <c r="E73" s="78">
        <f t="shared" si="33"/>
        <v>0</v>
      </c>
      <c r="F73" s="122"/>
      <c r="G73" s="123"/>
      <c r="H73" s="123"/>
      <c r="I73" s="78">
        <f t="shared" si="34"/>
        <v>0</v>
      </c>
      <c r="J73" s="79">
        <f t="shared" si="35"/>
        <v>0</v>
      </c>
      <c r="K73" s="80">
        <f t="shared" si="36"/>
        <v>0</v>
      </c>
      <c r="L73" s="80">
        <f t="shared" si="37"/>
        <v>0</v>
      </c>
      <c r="M73" s="81">
        <f t="shared" si="38"/>
        <v>0</v>
      </c>
      <c r="N73" s="37" t="str">
        <f>IF(M73=0,"",ROUND(J73/M73,5))</f>
        <v/>
      </c>
    </row>
    <row r="74" spans="1:14" ht="19.5" customHeight="1">
      <c r="A74" s="109"/>
      <c r="B74" s="122"/>
      <c r="C74" s="123"/>
      <c r="D74" s="123"/>
      <c r="E74" s="78">
        <f t="shared" si="33"/>
        <v>0</v>
      </c>
      <c r="F74" s="122"/>
      <c r="G74" s="123"/>
      <c r="H74" s="123"/>
      <c r="I74" s="78">
        <f t="shared" si="34"/>
        <v>0</v>
      </c>
      <c r="J74" s="79">
        <f t="shared" si="35"/>
        <v>0</v>
      </c>
      <c r="K74" s="80">
        <f t="shared" si="36"/>
        <v>0</v>
      </c>
      <c r="L74" s="80">
        <f t="shared" si="37"/>
        <v>0</v>
      </c>
      <c r="M74" s="81">
        <f t="shared" si="38"/>
        <v>0</v>
      </c>
      <c r="N74" s="37" t="str">
        <f>IF(M74=0,"",ROUND(J74/M74,5))</f>
        <v/>
      </c>
    </row>
    <row r="75" spans="1:14" ht="19.5" customHeight="1">
      <c r="A75" s="109"/>
      <c r="B75" s="122"/>
      <c r="C75" s="123"/>
      <c r="D75" s="123"/>
      <c r="E75" s="78">
        <f t="shared" si="33"/>
        <v>0</v>
      </c>
      <c r="F75" s="122"/>
      <c r="G75" s="123"/>
      <c r="H75" s="123"/>
      <c r="I75" s="78">
        <f t="shared" si="34"/>
        <v>0</v>
      </c>
      <c r="J75" s="79">
        <f t="shared" si="35"/>
        <v>0</v>
      </c>
      <c r="K75" s="80">
        <f t="shared" si="36"/>
        <v>0</v>
      </c>
      <c r="L75" s="80">
        <f t="shared" si="37"/>
        <v>0</v>
      </c>
      <c r="M75" s="81">
        <f t="shared" si="38"/>
        <v>0</v>
      </c>
      <c r="N75" s="37" t="str">
        <f>IF(M75=0,"",ROUND(J75/M75,5))</f>
        <v/>
      </c>
    </row>
    <row r="76" spans="1:14" ht="19.5" customHeight="1">
      <c r="A76" s="109"/>
      <c r="B76" s="122"/>
      <c r="C76" s="123"/>
      <c r="D76" s="123"/>
      <c r="E76" s="78">
        <f t="shared" si="33"/>
        <v>0</v>
      </c>
      <c r="F76" s="122"/>
      <c r="G76" s="123"/>
      <c r="H76" s="123"/>
      <c r="I76" s="78">
        <f t="shared" si="34"/>
        <v>0</v>
      </c>
      <c r="J76" s="79">
        <f t="shared" si="35"/>
        <v>0</v>
      </c>
      <c r="K76" s="80">
        <f t="shared" si="36"/>
        <v>0</v>
      </c>
      <c r="L76" s="80">
        <f t="shared" si="37"/>
        <v>0</v>
      </c>
      <c r="M76" s="81">
        <f t="shared" si="38"/>
        <v>0</v>
      </c>
      <c r="N76" s="37" t="str">
        <f>IF(M76=0,"",ROUND(J76/M76,5))</f>
        <v/>
      </c>
    </row>
    <row r="77" spans="1:14" ht="19.5" customHeight="1">
      <c r="A77" s="109"/>
      <c r="B77" s="122"/>
      <c r="C77" s="123"/>
      <c r="D77" s="123"/>
      <c r="E77" s="78">
        <f t="shared" si="33"/>
        <v>0</v>
      </c>
      <c r="F77" s="122"/>
      <c r="G77" s="123"/>
      <c r="H77" s="123"/>
      <c r="I77" s="78">
        <f t="shared" si="34"/>
        <v>0</v>
      </c>
      <c r="J77" s="79">
        <f t="shared" si="35"/>
        <v>0</v>
      </c>
      <c r="K77" s="80">
        <f t="shared" si="36"/>
        <v>0</v>
      </c>
      <c r="L77" s="80">
        <f t="shared" si="37"/>
        <v>0</v>
      </c>
      <c r="M77" s="81">
        <f t="shared" si="38"/>
        <v>0</v>
      </c>
      <c r="N77" s="37" t="str">
        <f>IF(M77=0,"",ROUND(J77/M77,5))</f>
        <v/>
      </c>
    </row>
    <row r="78" spans="1:14" ht="19.5" customHeight="1">
      <c r="A78" s="109"/>
      <c r="B78" s="122"/>
      <c r="C78" s="123"/>
      <c r="D78" s="123"/>
      <c r="E78" s="78">
        <f t="shared" si="33"/>
        <v>0</v>
      </c>
      <c r="F78" s="122"/>
      <c r="G78" s="123"/>
      <c r="H78" s="123"/>
      <c r="I78" s="78">
        <f t="shared" si="34"/>
        <v>0</v>
      </c>
      <c r="J78" s="79">
        <f t="shared" si="35"/>
        <v>0</v>
      </c>
      <c r="K78" s="80">
        <f t="shared" si="36"/>
        <v>0</v>
      </c>
      <c r="L78" s="80">
        <f t="shared" si="37"/>
        <v>0</v>
      </c>
      <c r="M78" s="81">
        <f t="shared" si="38"/>
        <v>0</v>
      </c>
      <c r="N78" s="37" t="str">
        <f>IF(M78=0,"",ROUND(J78/M78,5))</f>
        <v/>
      </c>
    </row>
    <row r="79" spans="1:14" ht="19.5" customHeight="1">
      <c r="A79" s="109"/>
      <c r="B79" s="122"/>
      <c r="C79" s="123"/>
      <c r="D79" s="123"/>
      <c r="E79" s="78">
        <f t="shared" si="33"/>
        <v>0</v>
      </c>
      <c r="F79" s="122"/>
      <c r="G79" s="123"/>
      <c r="H79" s="123"/>
      <c r="I79" s="78">
        <f t="shared" si="34"/>
        <v>0</v>
      </c>
      <c r="J79" s="79">
        <f t="shared" si="35"/>
        <v>0</v>
      </c>
      <c r="K79" s="80">
        <f t="shared" si="36"/>
        <v>0</v>
      </c>
      <c r="L79" s="80">
        <f t="shared" si="37"/>
        <v>0</v>
      </c>
      <c r="M79" s="81">
        <f t="shared" si="38"/>
        <v>0</v>
      </c>
      <c r="N79" s="37" t="str">
        <f>IF(M79=0,"",ROUND(J79/M79,5))</f>
        <v/>
      </c>
    </row>
    <row r="80" spans="1:14" ht="19.5" customHeight="1">
      <c r="A80" s="109"/>
      <c r="B80" s="122"/>
      <c r="C80" s="123"/>
      <c r="D80" s="123"/>
      <c r="E80" s="78">
        <f t="shared" si="33"/>
        <v>0</v>
      </c>
      <c r="F80" s="122"/>
      <c r="G80" s="123"/>
      <c r="H80" s="123"/>
      <c r="I80" s="78">
        <f t="shared" si="34"/>
        <v>0</v>
      </c>
      <c r="J80" s="79">
        <f t="shared" si="35"/>
        <v>0</v>
      </c>
      <c r="K80" s="80">
        <f t="shared" si="36"/>
        <v>0</v>
      </c>
      <c r="L80" s="80">
        <f t="shared" si="37"/>
        <v>0</v>
      </c>
      <c r="M80" s="81">
        <f t="shared" si="38"/>
        <v>0</v>
      </c>
      <c r="N80" s="37" t="str">
        <f>IF(M80=0,"",ROUND(J80/M80,5))</f>
        <v/>
      </c>
    </row>
    <row r="81" spans="1:14" ht="19.5" customHeight="1">
      <c r="A81" s="109"/>
      <c r="B81" s="122"/>
      <c r="C81" s="123"/>
      <c r="D81" s="123"/>
      <c r="E81" s="78">
        <f t="shared" si="33"/>
        <v>0</v>
      </c>
      <c r="F81" s="122"/>
      <c r="G81" s="123"/>
      <c r="H81" s="123"/>
      <c r="I81" s="78">
        <f t="shared" si="34"/>
        <v>0</v>
      </c>
      <c r="J81" s="79">
        <f t="shared" si="35"/>
        <v>0</v>
      </c>
      <c r="K81" s="80">
        <f t="shared" si="36"/>
        <v>0</v>
      </c>
      <c r="L81" s="80">
        <f t="shared" si="37"/>
        <v>0</v>
      </c>
      <c r="M81" s="81">
        <f t="shared" si="38"/>
        <v>0</v>
      </c>
      <c r="N81" s="37" t="str">
        <f>IF(M81=0,"",ROUND(J81/M81,5))</f>
        <v/>
      </c>
    </row>
    <row r="82" spans="1:14" ht="19.5" customHeight="1">
      <c r="A82" s="109"/>
      <c r="B82" s="122"/>
      <c r="C82" s="123"/>
      <c r="D82" s="123"/>
      <c r="E82" s="78">
        <f t="shared" si="33"/>
        <v>0</v>
      </c>
      <c r="F82" s="122"/>
      <c r="G82" s="123"/>
      <c r="H82" s="123"/>
      <c r="I82" s="78">
        <f t="shared" si="34"/>
        <v>0</v>
      </c>
      <c r="J82" s="79">
        <f t="shared" si="35"/>
        <v>0</v>
      </c>
      <c r="K82" s="80">
        <f t="shared" si="36"/>
        <v>0</v>
      </c>
      <c r="L82" s="80">
        <f t="shared" si="37"/>
        <v>0</v>
      </c>
      <c r="M82" s="81">
        <f t="shared" si="38"/>
        <v>0</v>
      </c>
      <c r="N82" s="37" t="str">
        <f>IF(M82=0,"",ROUND(J82/M82,5))</f>
        <v/>
      </c>
    </row>
    <row r="83" spans="1:14" ht="19.5" customHeight="1">
      <c r="A83" s="109"/>
      <c r="B83" s="122"/>
      <c r="C83" s="123"/>
      <c r="D83" s="123"/>
      <c r="E83" s="78">
        <f t="shared" si="33"/>
        <v>0</v>
      </c>
      <c r="F83" s="122"/>
      <c r="G83" s="123"/>
      <c r="H83" s="123"/>
      <c r="I83" s="78">
        <f t="shared" si="34"/>
        <v>0</v>
      </c>
      <c r="J83" s="79">
        <f t="shared" si="35"/>
        <v>0</v>
      </c>
      <c r="K83" s="80">
        <f t="shared" si="36"/>
        <v>0</v>
      </c>
      <c r="L83" s="80">
        <f t="shared" si="37"/>
        <v>0</v>
      </c>
      <c r="M83" s="81">
        <f t="shared" si="38"/>
        <v>0</v>
      </c>
      <c r="N83" s="37" t="str">
        <f>IF(M83=0,"",ROUND(J83/M83,5))</f>
        <v/>
      </c>
    </row>
    <row r="84" spans="1:14" ht="19.5" customHeight="1">
      <c r="A84" s="109"/>
      <c r="B84" s="122"/>
      <c r="C84" s="123"/>
      <c r="D84" s="123"/>
      <c r="E84" s="78">
        <f t="shared" si="33"/>
        <v>0</v>
      </c>
      <c r="F84" s="122"/>
      <c r="G84" s="123"/>
      <c r="H84" s="123"/>
      <c r="I84" s="78">
        <f t="shared" si="34"/>
        <v>0</v>
      </c>
      <c r="J84" s="79">
        <f t="shared" si="35"/>
        <v>0</v>
      </c>
      <c r="K84" s="80">
        <f t="shared" si="36"/>
        <v>0</v>
      </c>
      <c r="L84" s="80">
        <f t="shared" si="37"/>
        <v>0</v>
      </c>
      <c r="M84" s="81">
        <f t="shared" si="38"/>
        <v>0</v>
      </c>
      <c r="N84" s="37" t="str">
        <f>IF(M84=0,"",ROUND(J84/M84,5))</f>
        <v/>
      </c>
    </row>
    <row r="85" spans="1:14" ht="19.5" customHeight="1">
      <c r="A85" s="109"/>
      <c r="B85" s="122"/>
      <c r="C85" s="123"/>
      <c r="D85" s="123"/>
      <c r="E85" s="78">
        <f t="shared" si="33"/>
        <v>0</v>
      </c>
      <c r="F85" s="122"/>
      <c r="G85" s="123"/>
      <c r="H85" s="123"/>
      <c r="I85" s="78">
        <f t="shared" si="34"/>
        <v>0</v>
      </c>
      <c r="J85" s="79">
        <f t="shared" si="35"/>
        <v>0</v>
      </c>
      <c r="K85" s="80">
        <f t="shared" si="36"/>
        <v>0</v>
      </c>
      <c r="L85" s="80">
        <f t="shared" si="37"/>
        <v>0</v>
      </c>
      <c r="M85" s="81">
        <f t="shared" si="38"/>
        <v>0</v>
      </c>
      <c r="N85" s="37" t="str">
        <f>IF(M85=0,"",ROUND(J85/M85,5))</f>
        <v/>
      </c>
    </row>
    <row r="86" spans="1:14" ht="19.5" customHeight="1">
      <c r="A86" s="109"/>
      <c r="B86" s="122"/>
      <c r="C86" s="123"/>
      <c r="D86" s="123"/>
      <c r="E86" s="78">
        <f t="shared" si="33"/>
        <v>0</v>
      </c>
      <c r="F86" s="122"/>
      <c r="G86" s="123"/>
      <c r="H86" s="123"/>
      <c r="I86" s="78">
        <f t="shared" si="34"/>
        <v>0</v>
      </c>
      <c r="J86" s="79">
        <f t="shared" si="35"/>
        <v>0</v>
      </c>
      <c r="K86" s="80">
        <f t="shared" si="36"/>
        <v>0</v>
      </c>
      <c r="L86" s="80">
        <f t="shared" si="37"/>
        <v>0</v>
      </c>
      <c r="M86" s="81">
        <f t="shared" si="38"/>
        <v>0</v>
      </c>
      <c r="N86" s="37" t="str">
        <f>IF(M86=0,"",ROUND(J86/M86,5))</f>
        <v/>
      </c>
    </row>
    <row r="87" spans="1:14" ht="19.5" customHeight="1">
      <c r="A87" s="109"/>
      <c r="B87" s="122"/>
      <c r="C87" s="123"/>
      <c r="D87" s="123"/>
      <c r="E87" s="78">
        <f t="shared" si="33"/>
        <v>0</v>
      </c>
      <c r="F87" s="122"/>
      <c r="G87" s="123"/>
      <c r="H87" s="123"/>
      <c r="I87" s="78">
        <f t="shared" si="34"/>
        <v>0</v>
      </c>
      <c r="J87" s="79">
        <f t="shared" si="35"/>
        <v>0</v>
      </c>
      <c r="K87" s="80">
        <f t="shared" si="36"/>
        <v>0</v>
      </c>
      <c r="L87" s="80">
        <f t="shared" si="37"/>
        <v>0</v>
      </c>
      <c r="M87" s="81">
        <f t="shared" si="38"/>
        <v>0</v>
      </c>
      <c r="N87" s="37" t="str">
        <f>IF(M87=0,"",ROUND(J87/M87,5))</f>
        <v/>
      </c>
    </row>
    <row r="88" spans="1:14" ht="19.5" customHeight="1">
      <c r="A88" s="109"/>
      <c r="B88" s="122"/>
      <c r="C88" s="123"/>
      <c r="D88" s="123"/>
      <c r="E88" s="78">
        <f t="shared" si="33"/>
        <v>0</v>
      </c>
      <c r="F88" s="122"/>
      <c r="G88" s="123"/>
      <c r="H88" s="123"/>
      <c r="I88" s="78">
        <f t="shared" si="34"/>
        <v>0</v>
      </c>
      <c r="J88" s="79">
        <f t="shared" si="35"/>
        <v>0</v>
      </c>
      <c r="K88" s="80">
        <f t="shared" si="36"/>
        <v>0</v>
      </c>
      <c r="L88" s="80">
        <f t="shared" si="37"/>
        <v>0</v>
      </c>
      <c r="M88" s="81">
        <f t="shared" si="38"/>
        <v>0</v>
      </c>
      <c r="N88" s="37" t="str">
        <f>IF(M88=0,"",ROUND(J88/M88,5))</f>
        <v/>
      </c>
    </row>
    <row r="89" spans="1:14" ht="19.5" customHeight="1">
      <c r="A89" s="109"/>
      <c r="B89" s="122"/>
      <c r="C89" s="123"/>
      <c r="D89" s="123"/>
      <c r="E89" s="78">
        <f t="shared" si="33"/>
        <v>0</v>
      </c>
      <c r="F89" s="122"/>
      <c r="G89" s="123"/>
      <c r="H89" s="123"/>
      <c r="I89" s="78">
        <f t="shared" si="34"/>
        <v>0</v>
      </c>
      <c r="J89" s="79">
        <f t="shared" si="35"/>
        <v>0</v>
      </c>
      <c r="K89" s="80">
        <f t="shared" si="36"/>
        <v>0</v>
      </c>
      <c r="L89" s="80">
        <f t="shared" si="37"/>
        <v>0</v>
      </c>
      <c r="M89" s="81">
        <f t="shared" si="38"/>
        <v>0</v>
      </c>
      <c r="N89" s="37" t="str">
        <f>IF(M89=0,"",ROUND(J89/M89,5))</f>
        <v/>
      </c>
    </row>
    <row r="90" spans="1:14" ht="19.5" customHeight="1">
      <c r="A90" s="109"/>
      <c r="B90" s="122"/>
      <c r="C90" s="123"/>
      <c r="D90" s="123"/>
      <c r="E90" s="78">
        <f t="shared" si="33"/>
        <v>0</v>
      </c>
      <c r="F90" s="122"/>
      <c r="G90" s="123"/>
      <c r="H90" s="123"/>
      <c r="I90" s="78">
        <f t="shared" si="34"/>
        <v>0</v>
      </c>
      <c r="J90" s="79">
        <f t="shared" si="35"/>
        <v>0</v>
      </c>
      <c r="K90" s="80">
        <f t="shared" si="36"/>
        <v>0</v>
      </c>
      <c r="L90" s="80">
        <f t="shared" si="37"/>
        <v>0</v>
      </c>
      <c r="M90" s="81">
        <f t="shared" si="38"/>
        <v>0</v>
      </c>
      <c r="N90" s="37" t="str">
        <f>IF(M90=0,"",ROUND(J90/M90,5))</f>
        <v/>
      </c>
    </row>
    <row r="91" spans="1:14" ht="19.5" customHeight="1">
      <c r="A91" s="109"/>
      <c r="B91" s="122"/>
      <c r="C91" s="123"/>
      <c r="D91" s="123"/>
      <c r="E91" s="78">
        <f t="shared" si="33"/>
        <v>0</v>
      </c>
      <c r="F91" s="122"/>
      <c r="G91" s="123"/>
      <c r="H91" s="123"/>
      <c r="I91" s="78">
        <f t="shared" si="34"/>
        <v>0</v>
      </c>
      <c r="J91" s="79">
        <f t="shared" si="35"/>
        <v>0</v>
      </c>
      <c r="K91" s="80">
        <f t="shared" si="36"/>
        <v>0</v>
      </c>
      <c r="L91" s="80">
        <f t="shared" si="37"/>
        <v>0</v>
      </c>
      <c r="M91" s="81">
        <f t="shared" si="38"/>
        <v>0</v>
      </c>
      <c r="N91" s="37" t="str">
        <f>IF(M91=0,"",ROUND(J91/M91,5))</f>
        <v/>
      </c>
    </row>
    <row r="92" spans="1:14" ht="19.5" customHeight="1">
      <c r="A92" s="109"/>
      <c r="B92" s="122"/>
      <c r="C92" s="123"/>
      <c r="D92" s="123"/>
      <c r="E92" s="78">
        <f t="shared" si="33"/>
        <v>0</v>
      </c>
      <c r="F92" s="122"/>
      <c r="G92" s="123"/>
      <c r="H92" s="123"/>
      <c r="I92" s="78">
        <f t="shared" si="34"/>
        <v>0</v>
      </c>
      <c r="J92" s="79">
        <f t="shared" si="35"/>
        <v>0</v>
      </c>
      <c r="K92" s="80">
        <f t="shared" si="36"/>
        <v>0</v>
      </c>
      <c r="L92" s="80">
        <f t="shared" si="37"/>
        <v>0</v>
      </c>
      <c r="M92" s="81">
        <f t="shared" si="38"/>
        <v>0</v>
      </c>
      <c r="N92" s="37" t="str">
        <f>IF(M92=0,"",ROUND(J92/M92,5))</f>
        <v/>
      </c>
    </row>
    <row r="93" spans="1:14" ht="19.5" customHeight="1">
      <c r="A93" s="109"/>
      <c r="B93" s="122"/>
      <c r="C93" s="123"/>
      <c r="D93" s="123"/>
      <c r="E93" s="78">
        <f t="shared" si="33"/>
        <v>0</v>
      </c>
      <c r="F93" s="122"/>
      <c r="G93" s="123"/>
      <c r="H93" s="123"/>
      <c r="I93" s="78">
        <f t="shared" si="34"/>
        <v>0</v>
      </c>
      <c r="J93" s="79">
        <f t="shared" si="35"/>
        <v>0</v>
      </c>
      <c r="K93" s="80">
        <f t="shared" si="36"/>
        <v>0</v>
      </c>
      <c r="L93" s="80">
        <f t="shared" si="37"/>
        <v>0</v>
      </c>
      <c r="M93" s="81">
        <f t="shared" si="38"/>
        <v>0</v>
      </c>
      <c r="N93" s="37" t="str">
        <f>IF(M93=0,"",ROUND(J93/M93,5))</f>
        <v/>
      </c>
    </row>
    <row r="94" spans="1:14" ht="19.5" customHeight="1">
      <c r="A94" s="109"/>
      <c r="B94" s="122"/>
      <c r="C94" s="123"/>
      <c r="D94" s="123"/>
      <c r="E94" s="78">
        <f t="shared" si="33"/>
        <v>0</v>
      </c>
      <c r="F94" s="122"/>
      <c r="G94" s="123"/>
      <c r="H94" s="123"/>
      <c r="I94" s="78">
        <f t="shared" si="34"/>
        <v>0</v>
      </c>
      <c r="J94" s="79">
        <f t="shared" si="35"/>
        <v>0</v>
      </c>
      <c r="K94" s="80">
        <f t="shared" si="36"/>
        <v>0</v>
      </c>
      <c r="L94" s="80">
        <f t="shared" si="37"/>
        <v>0</v>
      </c>
      <c r="M94" s="81">
        <f t="shared" si="38"/>
        <v>0</v>
      </c>
      <c r="N94" s="37" t="str">
        <f>IF(M94=0,"",ROUND(J94/M94,5))</f>
        <v/>
      </c>
    </row>
    <row r="95" spans="1:14" ht="19.5" customHeight="1">
      <c r="A95" s="109"/>
      <c r="B95" s="122"/>
      <c r="C95" s="123"/>
      <c r="D95" s="123"/>
      <c r="E95" s="78">
        <f t="shared" si="33"/>
        <v>0</v>
      </c>
      <c r="F95" s="122"/>
      <c r="G95" s="123"/>
      <c r="H95" s="123"/>
      <c r="I95" s="78">
        <f t="shared" si="34"/>
        <v>0</v>
      </c>
      <c r="J95" s="79">
        <f t="shared" si="35"/>
        <v>0</v>
      </c>
      <c r="K95" s="80">
        <f t="shared" si="36"/>
        <v>0</v>
      </c>
      <c r="L95" s="80">
        <f t="shared" si="37"/>
        <v>0</v>
      </c>
      <c r="M95" s="81">
        <f t="shared" si="38"/>
        <v>0</v>
      </c>
      <c r="N95" s="37" t="str">
        <f>IF(M95=0,"",ROUND(J95/M95,5))</f>
        <v/>
      </c>
    </row>
    <row r="96" spans="1:14" ht="19.5" customHeight="1">
      <c r="A96" s="109"/>
      <c r="B96" s="122"/>
      <c r="C96" s="123"/>
      <c r="D96" s="123"/>
      <c r="E96" s="78">
        <f t="shared" si="33"/>
        <v>0</v>
      </c>
      <c r="F96" s="122"/>
      <c r="G96" s="123"/>
      <c r="H96" s="123"/>
      <c r="I96" s="78">
        <f t="shared" si="34"/>
        <v>0</v>
      </c>
      <c r="J96" s="79">
        <f t="shared" si="35"/>
        <v>0</v>
      </c>
      <c r="K96" s="80">
        <f t="shared" si="36"/>
        <v>0</v>
      </c>
      <c r="L96" s="80">
        <f t="shared" si="37"/>
        <v>0</v>
      </c>
      <c r="M96" s="81">
        <f t="shared" si="38"/>
        <v>0</v>
      </c>
      <c r="N96" s="37" t="str">
        <f>IF(M96=0,"",ROUND(J96/M96,5))</f>
        <v/>
      </c>
    </row>
    <row r="97" spans="1:14" ht="19.5" customHeight="1">
      <c r="A97" s="109"/>
      <c r="B97" s="122"/>
      <c r="C97" s="123"/>
      <c r="D97" s="123"/>
      <c r="E97" s="78">
        <f t="shared" si="33"/>
        <v>0</v>
      </c>
      <c r="F97" s="122"/>
      <c r="G97" s="123"/>
      <c r="H97" s="123"/>
      <c r="I97" s="78">
        <f t="shared" si="34"/>
        <v>0</v>
      </c>
      <c r="J97" s="79">
        <f t="shared" si="35"/>
        <v>0</v>
      </c>
      <c r="K97" s="80">
        <f t="shared" si="36"/>
        <v>0</v>
      </c>
      <c r="L97" s="80">
        <f t="shared" si="37"/>
        <v>0</v>
      </c>
      <c r="M97" s="81">
        <f t="shared" si="38"/>
        <v>0</v>
      </c>
      <c r="N97" s="37" t="str">
        <f>IF(M97=0,"",ROUND(J97/M97,5))</f>
        <v/>
      </c>
    </row>
    <row r="98" spans="1:14" ht="19.5" customHeight="1">
      <c r="A98" s="109"/>
      <c r="B98" s="122"/>
      <c r="C98" s="123"/>
      <c r="D98" s="123"/>
      <c r="E98" s="78">
        <f t="shared" si="33"/>
        <v>0</v>
      </c>
      <c r="F98" s="122"/>
      <c r="G98" s="123"/>
      <c r="H98" s="123"/>
      <c r="I98" s="78">
        <f t="shared" si="34"/>
        <v>0</v>
      </c>
      <c r="J98" s="79">
        <f t="shared" si="35"/>
        <v>0</v>
      </c>
      <c r="K98" s="80">
        <f t="shared" si="36"/>
        <v>0</v>
      </c>
      <c r="L98" s="80">
        <f t="shared" si="37"/>
        <v>0</v>
      </c>
      <c r="M98" s="81">
        <f t="shared" si="38"/>
        <v>0</v>
      </c>
      <c r="N98" s="37" t="str">
        <f>IF(M98=0,"",ROUND(J98/M98,5))</f>
        <v/>
      </c>
    </row>
  </sheetData>
  <mergeCells count="5">
    <mergeCell ref="A2:A3"/>
    <mergeCell ref="N2:N3"/>
    <mergeCell ref="C2:D2"/>
    <mergeCell ref="G2:H2"/>
    <mergeCell ref="K2:L2"/>
  </mergeCells>
  <phoneticPr fontId="2"/>
  <printOptions horizontalCentered="1"/>
  <pageMargins left="0" right="0" top="0.98425196850393704" bottom="0.98425196850393704" header="0.51181102362204722" footer="0.51181102362204722"/>
  <pageSetup paperSize="9" scale="80" orientation="landscape" r:id="rId1"/>
  <headerFooter alignWithMargins="0">
    <oddHeader>&amp;C&amp;"ＭＳ ゴシック,太字"&amp;12年度別課税支出割合</oddHeader>
    <oddFooter>&amp;L&amp;F　&amp;A&amp;R&amp;D &amp;T</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20</vt:i4>
      </vt:variant>
    </vt:vector>
  </HeadingPairs>
  <TitlesOfParts>
    <vt:vector size="44" baseType="lpstr">
      <vt:lpstr>税務署提出用</vt:lpstr>
      <vt:lpstr>総括表</vt:lpstr>
      <vt:lpstr>3条一般会計</vt:lpstr>
      <vt:lpstr>3条補助金</vt:lpstr>
      <vt:lpstr>3条他会計</vt:lpstr>
      <vt:lpstr>3条その他</vt:lpstr>
      <vt:lpstr>3条災害補助</vt:lpstr>
      <vt:lpstr>4条補助（公）</vt:lpstr>
      <vt:lpstr>4条補助（特）</vt:lpstr>
      <vt:lpstr>4条補助（農）</vt:lpstr>
      <vt:lpstr>4条補助（浄）</vt:lpstr>
      <vt:lpstr>受益（公）</vt:lpstr>
      <vt:lpstr>受益（区域外）</vt:lpstr>
      <vt:lpstr>4条その他</vt:lpstr>
      <vt:lpstr>4条工事負担金</vt:lpstr>
      <vt:lpstr>工事負担金（所属別内訳）</vt:lpstr>
      <vt:lpstr>工事負担金（元金償還分)</vt:lpstr>
      <vt:lpstr>西風</vt:lpstr>
      <vt:lpstr>海田</vt:lpstr>
      <vt:lpstr>府中青崎</vt:lpstr>
      <vt:lpstr>府中大須</vt:lpstr>
      <vt:lpstr>大須（共通）</vt:lpstr>
      <vt:lpstr>廿日市</vt:lpstr>
      <vt:lpstr>年度別調書</vt:lpstr>
      <vt:lpstr>'3条その他'!Print_Area</vt:lpstr>
      <vt:lpstr>'3条一般会計'!Print_Area</vt:lpstr>
      <vt:lpstr>'3条他会計'!Print_Area</vt:lpstr>
      <vt:lpstr>'3条補助金'!Print_Area</vt:lpstr>
      <vt:lpstr>'4条工事負担金'!Print_Area</vt:lpstr>
      <vt:lpstr>'4条補助（公）'!Print_Area</vt:lpstr>
      <vt:lpstr>'4条補助（浄）'!Print_Area</vt:lpstr>
      <vt:lpstr>'4条補助（特）'!Print_Area</vt:lpstr>
      <vt:lpstr>海田!Print_Area</vt:lpstr>
      <vt:lpstr>'工事負担金（元金償還分)'!Print_Area</vt:lpstr>
      <vt:lpstr>'工事負担金（所属別内訳）'!Print_Area</vt:lpstr>
      <vt:lpstr>'受益（区域外）'!Print_Area</vt:lpstr>
      <vt:lpstr>'受益（公）'!Print_Area</vt:lpstr>
      <vt:lpstr>総括表!Print_Area</vt:lpstr>
      <vt:lpstr>'大須（共通）'!Print_Area</vt:lpstr>
      <vt:lpstr>廿日市!Print_Area</vt:lpstr>
      <vt:lpstr>年度別調書!Print_Area</vt:lpstr>
      <vt:lpstr>府中青崎!Print_Area</vt:lpstr>
      <vt:lpstr>府中大須!Print_Area</vt:lpstr>
      <vt:lpstr>総括表!Print_Titles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Kouno</dc:creator>
  <cp:lastModifiedBy>安達 謙介</cp:lastModifiedBy>
  <cp:lastPrinted>2024-05-16T08:49:25Z</cp:lastPrinted>
  <dcterms:created xsi:type="dcterms:W3CDTF">2000-05-16T00:48:41Z</dcterms:created>
  <dcterms:modified xsi:type="dcterms:W3CDTF">2024-06-19T07:52:49Z</dcterms:modified>
</cp:coreProperties>
</file>