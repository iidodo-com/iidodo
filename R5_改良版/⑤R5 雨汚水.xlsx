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I:\経理係フォルダ\☆決算事務\０５年度決算\06 R5決算 消費税計算\02 繰入金計算\令和５年度決算用\"/>
    </mc:Choice>
  </mc:AlternateContent>
  <bookViews>
    <workbookView xWindow="19950" yWindow="825" windowWidth="17220" windowHeight="7770" tabRatio="768"/>
  </bookViews>
  <sheets>
    <sheet name="雨汚水" sheetId="1" r:id="rId1"/>
    <sheet name="雨汚収入" sheetId="2" r:id="rId2"/>
    <sheet name="雨汚支出" sheetId="3" r:id="rId3"/>
    <sheet name="補助補給" sheetId="4" r:id="rId4"/>
    <sheet name="3条税込み" sheetId="5" r:id="rId5"/>
    <sheet name="3条税抜き" sheetId="6" r:id="rId6"/>
    <sheet name="3条税抜き (消費税雑支出加算)" sheetId="7" r:id="rId7"/>
    <sheet name="収入税込" sheetId="8" r:id="rId8"/>
    <sheet name="収入税抜き" sheetId="9" r:id="rId9"/>
    <sheet name="収入税抜き (消費税雑収入加算）)" sheetId="10" r:id="rId10"/>
    <sheet name="雨汚水(共通按分後)" sheetId="11" r:id="rId11"/>
    <sheet name="3条税込み(共通按分後)" sheetId="12" r:id="rId12"/>
    <sheet name="3条税抜き(共通按分後)" sheetId="13" r:id="rId13"/>
    <sheet name="3条税抜き (消費税雑支出加算)(共通按分後)" sheetId="14" r:id="rId14"/>
    <sheet name="雨汚水(共通按分後) (確認用)" sheetId="15" r:id="rId15"/>
  </sheets>
  <externalReferences>
    <externalReference r:id="rId16"/>
    <externalReference r:id="rId17"/>
    <externalReference r:id="rId18"/>
  </externalReferences>
  <definedNames>
    <definedName name="_xlnm._FilterDatabase" localSheetId="2" hidden="1">雨汚支出!$A$12:$BU$118</definedName>
    <definedName name="_xlnm._FilterDatabase" localSheetId="1" hidden="1">雨汚収入!$A$69:$BT$902</definedName>
    <definedName name="_xlnm._FilterDatabase" localSheetId="3" hidden="1">補助補給!$A$15:$AT$244</definedName>
    <definedName name="_xlnm.Print_Area" localSheetId="4">'3条税込み'!$A$1:$K$44</definedName>
    <definedName name="_xlnm.Print_Area" localSheetId="11">'3条税込み(共通按分後)'!$A$1:$K$44</definedName>
    <definedName name="_xlnm.Print_Area" localSheetId="5">'3条税抜き'!$A$1:$K$44</definedName>
    <definedName name="_xlnm.Print_Area" localSheetId="6">'3条税抜き (消費税雑支出加算)'!$A$1:$K$44</definedName>
    <definedName name="_xlnm.Print_Area" localSheetId="13">'3条税抜き (消費税雑支出加算)(共通按分後)'!$A$1:$K$44</definedName>
    <definedName name="_xlnm.Print_Area" localSheetId="12">'3条税抜き(共通按分後)'!$A$1:$K$44</definedName>
    <definedName name="_xlnm.Print_Area" localSheetId="1">雨汚収入!$P$1:$BO$67</definedName>
    <definedName name="_xlnm.Print_Area" localSheetId="0">雨汚水!$A$1:$AL$140</definedName>
    <definedName name="_xlnm.Print_Area" localSheetId="7">収入税込!$A$1:$W$47</definedName>
    <definedName name="_xlnm.Print_Area" localSheetId="8">収入税抜き!$A$1:$K$47</definedName>
    <definedName name="_xlnm.Print_Area" localSheetId="9">'収入税抜き (消費税雑収入加算）)'!$A$1:$K$47</definedName>
    <definedName name="_xlnm.Print_Titles" localSheetId="4">'3条税込み'!$A:$C</definedName>
    <definedName name="_xlnm.Print_Titles" localSheetId="11">'3条税込み(共通按分後)'!$A:$C</definedName>
    <definedName name="_xlnm.Print_Titles" localSheetId="5">'3条税抜き'!$A:$C</definedName>
    <definedName name="_xlnm.Print_Titles" localSheetId="6">'3条税抜き (消費税雑支出加算)'!$A:$C</definedName>
    <definedName name="_xlnm.Print_Titles" localSheetId="13">'3条税抜き (消費税雑支出加算)(共通按分後)'!$A:$C</definedName>
    <definedName name="_xlnm.Print_Titles" localSheetId="12">'3条税抜き(共通按分後)'!$A:$C</definedName>
  </definedNames>
  <calcPr calcId="162913" fullCalcOnLoad="1"/>
</workbook>
</file>

<file path=xl/calcChain.xml><?xml version="1.0" encoding="utf-8"?>
<calcChain xmlns="http://schemas.openxmlformats.org/spreadsheetml/2006/main">
  <c r="BK824" i="2" l="1"/>
  <c r="BJ824" i="2"/>
  <c r="BL824" i="2" s="1"/>
  <c r="BH824" i="2"/>
  <c r="BG824" i="2"/>
  <c r="BF824" i="2"/>
  <c r="BK823" i="2"/>
  <c r="BJ823" i="2"/>
  <c r="BH823" i="2"/>
  <c r="BG823" i="2"/>
  <c r="BF823" i="2"/>
  <c r="BL823" i="2" l="1"/>
  <c r="BI823" i="2"/>
  <c r="BI824" i="2"/>
  <c r="BM824" i="2" s="1"/>
  <c r="BM823" i="2"/>
  <c r="AO59" i="1" l="1"/>
  <c r="AO66" i="1"/>
  <c r="AO67" i="1"/>
  <c r="AO71" i="1"/>
  <c r="AO72" i="1"/>
  <c r="AO74" i="1"/>
  <c r="AO78" i="1"/>
  <c r="AO84" i="1"/>
  <c r="AO85" i="1"/>
  <c r="AO87" i="1"/>
  <c r="AO90" i="1"/>
  <c r="AO91" i="1"/>
  <c r="AO92" i="1"/>
  <c r="AO93" i="1"/>
  <c r="AO94" i="1"/>
  <c r="AO95" i="1"/>
  <c r="AO96" i="1"/>
  <c r="AR59" i="1"/>
  <c r="AR66" i="1"/>
  <c r="AR67" i="1"/>
  <c r="AR71" i="1"/>
  <c r="AR72" i="1"/>
  <c r="AR74" i="1"/>
  <c r="AR78" i="1"/>
  <c r="AR84" i="1"/>
  <c r="AR87" i="1"/>
  <c r="AR90" i="1"/>
  <c r="AR91" i="1"/>
  <c r="AR92" i="1"/>
  <c r="AR93" i="1"/>
  <c r="AR94" i="1"/>
  <c r="AR95" i="1"/>
  <c r="AR96" i="1"/>
  <c r="AR16" i="1"/>
  <c r="AR17" i="1"/>
  <c r="AR18" i="1"/>
  <c r="AR19" i="1"/>
  <c r="AR21" i="1"/>
  <c r="AR22" i="1"/>
  <c r="AR23" i="1"/>
  <c r="AR24" i="1"/>
  <c r="AR26" i="1"/>
  <c r="AR27" i="1"/>
  <c r="AR28" i="1"/>
  <c r="AR29" i="1"/>
  <c r="AR30" i="1"/>
  <c r="AR31" i="1"/>
  <c r="AR32" i="1"/>
  <c r="AR33" i="1"/>
  <c r="AR34" i="1"/>
  <c r="AR36" i="1"/>
  <c r="AR37" i="1"/>
  <c r="AR40" i="1"/>
  <c r="AR41" i="1"/>
  <c r="AR42" i="1"/>
  <c r="AR43" i="1"/>
  <c r="AR44" i="1"/>
  <c r="AR45" i="1"/>
  <c r="AR46" i="1"/>
  <c r="AR47" i="1"/>
  <c r="AR48" i="1"/>
  <c r="AR49" i="1"/>
  <c r="AR50" i="1"/>
  <c r="AR85" i="1" l="1"/>
  <c r="AH26" i="1" l="1"/>
  <c r="AJ77" i="11" l="1"/>
  <c r="AJ77" i="1"/>
  <c r="Y67" i="2" l="1"/>
  <c r="AV67" i="2"/>
  <c r="AW67" i="2"/>
  <c r="AX67" i="2"/>
  <c r="AY67" i="2"/>
  <c r="AZ67" i="2"/>
  <c r="BA67" i="2"/>
  <c r="BB67" i="2"/>
  <c r="BC67" i="2"/>
  <c r="BD67" i="2"/>
  <c r="BE67" i="2"/>
  <c r="BK797" i="2" l="1"/>
  <c r="BK814" i="2"/>
  <c r="BK772" i="2"/>
  <c r="BK554" i="2"/>
  <c r="BK558" i="2"/>
  <c r="BK566" i="2"/>
  <c r="BK644" i="2"/>
  <c r="BF656" i="2"/>
  <c r="BF561" i="2"/>
  <c r="BF560" i="2"/>
  <c r="BF677" i="2"/>
  <c r="BK367" i="2"/>
  <c r="BF364" i="2"/>
  <c r="BH87" i="2"/>
  <c r="BH75" i="2"/>
  <c r="BK71" i="2"/>
  <c r="BK73" i="2"/>
  <c r="BK822" i="2"/>
  <c r="BJ822" i="2"/>
  <c r="BH822" i="2"/>
  <c r="BG822" i="2"/>
  <c r="BF822" i="2"/>
  <c r="BK821" i="2"/>
  <c r="BJ821" i="2"/>
  <c r="BH821" i="2"/>
  <c r="BG821" i="2"/>
  <c r="BF821" i="2"/>
  <c r="BK820" i="2"/>
  <c r="BJ820" i="2"/>
  <c r="BH820" i="2"/>
  <c r="BG820" i="2"/>
  <c r="BF820" i="2"/>
  <c r="BK819" i="2"/>
  <c r="BJ819" i="2"/>
  <c r="BH819" i="2"/>
  <c r="BG819" i="2"/>
  <c r="BF819" i="2"/>
  <c r="BK818" i="2"/>
  <c r="BJ818" i="2"/>
  <c r="BH818" i="2"/>
  <c r="BG818" i="2"/>
  <c r="BF818" i="2"/>
  <c r="BK817" i="2"/>
  <c r="BJ817" i="2"/>
  <c r="BH817" i="2"/>
  <c r="BG817" i="2"/>
  <c r="BF817" i="2"/>
  <c r="BK816" i="2"/>
  <c r="BJ816" i="2"/>
  <c r="BH816" i="2"/>
  <c r="BG816" i="2"/>
  <c r="BF816" i="2"/>
  <c r="BK815" i="2"/>
  <c r="BJ815" i="2"/>
  <c r="BH815" i="2"/>
  <c r="BG815" i="2"/>
  <c r="BF815" i="2"/>
  <c r="BJ814" i="2"/>
  <c r="BH814" i="2"/>
  <c r="BG814" i="2"/>
  <c r="BF814" i="2"/>
  <c r="BK813" i="2"/>
  <c r="BJ813" i="2"/>
  <c r="BH813" i="2"/>
  <c r="BG813" i="2"/>
  <c r="BF813" i="2"/>
  <c r="BK812" i="2"/>
  <c r="BJ812" i="2"/>
  <c r="BH812" i="2"/>
  <c r="BG812" i="2"/>
  <c r="BF812" i="2"/>
  <c r="BK811" i="2"/>
  <c r="BJ811" i="2"/>
  <c r="BH811" i="2"/>
  <c r="BG811" i="2"/>
  <c r="BF811" i="2"/>
  <c r="BK810" i="2"/>
  <c r="BJ810" i="2"/>
  <c r="BH810" i="2"/>
  <c r="BG810" i="2"/>
  <c r="BF810" i="2"/>
  <c r="BK809" i="2"/>
  <c r="BJ809" i="2"/>
  <c r="BH809" i="2"/>
  <c r="BG809" i="2"/>
  <c r="BF809" i="2"/>
  <c r="BK808" i="2"/>
  <c r="BJ808" i="2"/>
  <c r="BH808" i="2"/>
  <c r="BG808" i="2"/>
  <c r="BF808" i="2"/>
  <c r="BK807" i="2"/>
  <c r="BJ807" i="2"/>
  <c r="BH807" i="2"/>
  <c r="BG807" i="2"/>
  <c r="BF807" i="2"/>
  <c r="BK806" i="2"/>
  <c r="BJ806" i="2"/>
  <c r="BH806" i="2"/>
  <c r="BG806" i="2"/>
  <c r="BF806" i="2"/>
  <c r="BK805" i="2"/>
  <c r="BJ805" i="2"/>
  <c r="BH805" i="2"/>
  <c r="BG805" i="2"/>
  <c r="BF805" i="2"/>
  <c r="BK804" i="2"/>
  <c r="BJ804" i="2"/>
  <c r="BH804" i="2"/>
  <c r="BG804" i="2"/>
  <c r="BF804" i="2"/>
  <c r="BK803" i="2"/>
  <c r="BJ803" i="2"/>
  <c r="BH803" i="2"/>
  <c r="BG803" i="2"/>
  <c r="BF803" i="2"/>
  <c r="BK802" i="2"/>
  <c r="BJ802" i="2"/>
  <c r="BH802" i="2"/>
  <c r="BG802" i="2"/>
  <c r="BF802" i="2"/>
  <c r="BK801" i="2"/>
  <c r="BJ801" i="2"/>
  <c r="BH801" i="2"/>
  <c r="BG801" i="2"/>
  <c r="BF801" i="2"/>
  <c r="BK800" i="2"/>
  <c r="BJ800" i="2"/>
  <c r="BH800" i="2"/>
  <c r="BG800" i="2"/>
  <c r="BF800" i="2"/>
  <c r="BK799" i="2"/>
  <c r="BJ799" i="2"/>
  <c r="BH799" i="2"/>
  <c r="BG799" i="2"/>
  <c r="BF799" i="2"/>
  <c r="BK798" i="2"/>
  <c r="BJ798" i="2"/>
  <c r="BH798" i="2"/>
  <c r="BG798" i="2"/>
  <c r="BF798" i="2"/>
  <c r="BJ797" i="2"/>
  <c r="BH797" i="2"/>
  <c r="BG797" i="2"/>
  <c r="BF797" i="2"/>
  <c r="BK796" i="2"/>
  <c r="BJ796" i="2"/>
  <c r="BH796" i="2"/>
  <c r="BG796" i="2"/>
  <c r="BF796" i="2"/>
  <c r="BK795" i="2"/>
  <c r="BJ795" i="2"/>
  <c r="BH795" i="2"/>
  <c r="BG795" i="2"/>
  <c r="BF795" i="2"/>
  <c r="BK794" i="2"/>
  <c r="BJ794" i="2"/>
  <c r="BH794" i="2"/>
  <c r="BG794" i="2"/>
  <c r="BF794" i="2"/>
  <c r="BK793" i="2"/>
  <c r="BJ793" i="2"/>
  <c r="BH793" i="2"/>
  <c r="BG793" i="2"/>
  <c r="BF793" i="2"/>
  <c r="BK792" i="2"/>
  <c r="BJ792" i="2"/>
  <c r="BH792" i="2"/>
  <c r="BG792" i="2"/>
  <c r="BF792" i="2"/>
  <c r="BK791" i="2"/>
  <c r="BJ791" i="2"/>
  <c r="BH791" i="2"/>
  <c r="BG791" i="2"/>
  <c r="BF791" i="2"/>
  <c r="BK790" i="2"/>
  <c r="BJ790" i="2"/>
  <c r="BH790" i="2"/>
  <c r="BG790" i="2"/>
  <c r="BF790" i="2"/>
  <c r="BK789" i="2"/>
  <c r="BJ789" i="2"/>
  <c r="BH789" i="2"/>
  <c r="BG789" i="2"/>
  <c r="BF789" i="2"/>
  <c r="BK788" i="2"/>
  <c r="BJ788" i="2"/>
  <c r="BH788" i="2"/>
  <c r="BG788" i="2"/>
  <c r="BF788" i="2"/>
  <c r="BK787" i="2"/>
  <c r="BJ787" i="2"/>
  <c r="BH787" i="2"/>
  <c r="BG787" i="2"/>
  <c r="BF787" i="2"/>
  <c r="BK786" i="2"/>
  <c r="BJ786" i="2"/>
  <c r="BH786" i="2"/>
  <c r="BG786" i="2"/>
  <c r="BF786" i="2"/>
  <c r="BK785" i="2"/>
  <c r="BJ785" i="2"/>
  <c r="BH785" i="2"/>
  <c r="BG785" i="2"/>
  <c r="BF785" i="2"/>
  <c r="BK784" i="2"/>
  <c r="BJ784" i="2"/>
  <c r="BH784" i="2"/>
  <c r="BG784" i="2"/>
  <c r="BF784" i="2"/>
  <c r="BK783" i="2"/>
  <c r="BJ783" i="2"/>
  <c r="BH783" i="2"/>
  <c r="BG783" i="2"/>
  <c r="BF783" i="2"/>
  <c r="BK782" i="2"/>
  <c r="BJ782" i="2"/>
  <c r="BH782" i="2"/>
  <c r="BG782" i="2"/>
  <c r="BF782" i="2"/>
  <c r="BK781" i="2"/>
  <c r="BJ781" i="2"/>
  <c r="BH781" i="2"/>
  <c r="BG781" i="2"/>
  <c r="BF781" i="2"/>
  <c r="BK780" i="2"/>
  <c r="BJ780" i="2"/>
  <c r="BH780" i="2"/>
  <c r="BG780" i="2"/>
  <c r="BF780" i="2"/>
  <c r="BK779" i="2"/>
  <c r="BJ779" i="2"/>
  <c r="BH779" i="2"/>
  <c r="BG779" i="2"/>
  <c r="BF779" i="2"/>
  <c r="BK778" i="2"/>
  <c r="BJ778" i="2"/>
  <c r="BH778" i="2"/>
  <c r="BG778" i="2"/>
  <c r="BF778" i="2"/>
  <c r="BK777" i="2"/>
  <c r="BJ777" i="2"/>
  <c r="BH777" i="2"/>
  <c r="BG777" i="2"/>
  <c r="BF777" i="2"/>
  <c r="BK776" i="2"/>
  <c r="BJ776" i="2"/>
  <c r="BH776" i="2"/>
  <c r="BG776" i="2"/>
  <c r="BF776" i="2"/>
  <c r="BK775" i="2"/>
  <c r="BJ775" i="2"/>
  <c r="BH775" i="2"/>
  <c r="BG775" i="2"/>
  <c r="BF775" i="2"/>
  <c r="BK774" i="2"/>
  <c r="BJ774" i="2"/>
  <c r="BH774" i="2"/>
  <c r="BG774" i="2"/>
  <c r="BF774" i="2"/>
  <c r="BK773" i="2"/>
  <c r="BJ773" i="2"/>
  <c r="BH773" i="2"/>
  <c r="BG773" i="2"/>
  <c r="BF773" i="2"/>
  <c r="BJ772" i="2"/>
  <c r="BH772" i="2"/>
  <c r="BG772" i="2"/>
  <c r="BF772" i="2"/>
  <c r="BK771" i="2"/>
  <c r="BJ771" i="2"/>
  <c r="BH771" i="2"/>
  <c r="BG771" i="2"/>
  <c r="BF771" i="2"/>
  <c r="BK770" i="2"/>
  <c r="BJ770" i="2"/>
  <c r="BH770" i="2"/>
  <c r="BG770" i="2"/>
  <c r="BF770" i="2"/>
  <c r="BK769" i="2"/>
  <c r="BJ769" i="2"/>
  <c r="BH769" i="2"/>
  <c r="BG769" i="2"/>
  <c r="BF769" i="2"/>
  <c r="BK768" i="2"/>
  <c r="BJ768" i="2"/>
  <c r="BH768" i="2"/>
  <c r="BG768" i="2"/>
  <c r="BF768" i="2"/>
  <c r="BK767" i="2"/>
  <c r="BJ767" i="2"/>
  <c r="BH767" i="2"/>
  <c r="BG767" i="2"/>
  <c r="BF767" i="2"/>
  <c r="BK766" i="2"/>
  <c r="BJ766" i="2"/>
  <c r="BH766" i="2"/>
  <c r="BG766" i="2"/>
  <c r="BF766" i="2"/>
  <c r="BK765" i="2"/>
  <c r="BJ765" i="2"/>
  <c r="BH765" i="2"/>
  <c r="BG765" i="2"/>
  <c r="BF765" i="2"/>
  <c r="BK764" i="2"/>
  <c r="BJ764" i="2"/>
  <c r="BH764" i="2"/>
  <c r="BG764" i="2"/>
  <c r="BF764" i="2"/>
  <c r="BK763" i="2"/>
  <c r="BJ763" i="2"/>
  <c r="BH763" i="2"/>
  <c r="BG763" i="2"/>
  <c r="BF763" i="2"/>
  <c r="BK762" i="2"/>
  <c r="BJ762" i="2"/>
  <c r="BH762" i="2"/>
  <c r="BG762" i="2"/>
  <c r="BF762" i="2"/>
  <c r="BK761" i="2"/>
  <c r="BJ761" i="2"/>
  <c r="BH761" i="2"/>
  <c r="BG761" i="2"/>
  <c r="BF761" i="2"/>
  <c r="BK760" i="2"/>
  <c r="BJ760" i="2"/>
  <c r="BH760" i="2"/>
  <c r="BG760" i="2"/>
  <c r="BF760" i="2"/>
  <c r="BK759" i="2"/>
  <c r="BJ759" i="2"/>
  <c r="BH759" i="2"/>
  <c r="BG759" i="2"/>
  <c r="BF759" i="2"/>
  <c r="BK758" i="2"/>
  <c r="BJ758" i="2"/>
  <c r="BH758" i="2"/>
  <c r="BG758" i="2"/>
  <c r="BF758" i="2"/>
  <c r="BK757" i="2"/>
  <c r="BJ757" i="2"/>
  <c r="BH757" i="2"/>
  <c r="BG757" i="2"/>
  <c r="BF757" i="2"/>
  <c r="BK756" i="2"/>
  <c r="BJ756" i="2"/>
  <c r="BH756" i="2"/>
  <c r="BG756" i="2"/>
  <c r="BF756" i="2"/>
  <c r="BK755" i="2"/>
  <c r="BJ755" i="2"/>
  <c r="BH755" i="2"/>
  <c r="BG755" i="2"/>
  <c r="BF755" i="2"/>
  <c r="BK754" i="2"/>
  <c r="BJ754" i="2"/>
  <c r="BH754" i="2"/>
  <c r="BG754" i="2"/>
  <c r="BF754" i="2"/>
  <c r="BK753" i="2"/>
  <c r="BJ753" i="2"/>
  <c r="BH753" i="2"/>
  <c r="BG753" i="2"/>
  <c r="BF753" i="2"/>
  <c r="BK752" i="2"/>
  <c r="BJ752" i="2"/>
  <c r="BH752" i="2"/>
  <c r="BG752" i="2"/>
  <c r="BF752" i="2"/>
  <c r="BK751" i="2"/>
  <c r="BJ751" i="2"/>
  <c r="BH751" i="2"/>
  <c r="BG751" i="2"/>
  <c r="BF751" i="2"/>
  <c r="BK750" i="2"/>
  <c r="BJ750" i="2"/>
  <c r="BH750" i="2"/>
  <c r="BG750" i="2"/>
  <c r="BF750" i="2"/>
  <c r="BK749" i="2"/>
  <c r="BJ749" i="2"/>
  <c r="BH749" i="2"/>
  <c r="BG749" i="2"/>
  <c r="BF749" i="2"/>
  <c r="BK748" i="2"/>
  <c r="BJ748" i="2"/>
  <c r="BH748" i="2"/>
  <c r="BG748" i="2"/>
  <c r="BF748" i="2"/>
  <c r="BK747" i="2"/>
  <c r="BJ747" i="2"/>
  <c r="BH747" i="2"/>
  <c r="BG747" i="2"/>
  <c r="BF747" i="2"/>
  <c r="BK746" i="2"/>
  <c r="BJ746" i="2"/>
  <c r="BH746" i="2"/>
  <c r="BG746" i="2"/>
  <c r="BF746" i="2"/>
  <c r="BK745" i="2"/>
  <c r="BJ745" i="2"/>
  <c r="BH745" i="2"/>
  <c r="BG745" i="2"/>
  <c r="BF745" i="2"/>
  <c r="BK744" i="2"/>
  <c r="BJ744" i="2"/>
  <c r="BH744" i="2"/>
  <c r="BG744" i="2"/>
  <c r="BF744" i="2"/>
  <c r="BK743" i="2"/>
  <c r="BJ743" i="2"/>
  <c r="BH743" i="2"/>
  <c r="BG743" i="2"/>
  <c r="BF743" i="2"/>
  <c r="BK742" i="2"/>
  <c r="BJ742" i="2"/>
  <c r="BH742" i="2"/>
  <c r="BG742" i="2"/>
  <c r="BF742" i="2"/>
  <c r="BK741" i="2"/>
  <c r="BJ741" i="2"/>
  <c r="BH741" i="2"/>
  <c r="BG741" i="2"/>
  <c r="BF741" i="2"/>
  <c r="BK740" i="2"/>
  <c r="BJ740" i="2"/>
  <c r="BH740" i="2"/>
  <c r="BG740" i="2"/>
  <c r="BF740" i="2"/>
  <c r="BK739" i="2"/>
  <c r="BJ739" i="2"/>
  <c r="BH739" i="2"/>
  <c r="BG739" i="2"/>
  <c r="BF739" i="2"/>
  <c r="BK738" i="2"/>
  <c r="BJ738" i="2"/>
  <c r="BH738" i="2"/>
  <c r="BG738" i="2"/>
  <c r="BF738" i="2"/>
  <c r="BK737" i="2"/>
  <c r="BJ737" i="2"/>
  <c r="BH737" i="2"/>
  <c r="BG737" i="2"/>
  <c r="BF737" i="2"/>
  <c r="BK736" i="2"/>
  <c r="BJ736" i="2"/>
  <c r="BH736" i="2"/>
  <c r="BG736" i="2"/>
  <c r="BF736" i="2"/>
  <c r="BK735" i="2"/>
  <c r="BJ735" i="2"/>
  <c r="BH735" i="2"/>
  <c r="BG735" i="2"/>
  <c r="BF735" i="2"/>
  <c r="BK734" i="2"/>
  <c r="BJ734" i="2"/>
  <c r="BH734" i="2"/>
  <c r="BG734" i="2"/>
  <c r="BF734" i="2"/>
  <c r="BK733" i="2"/>
  <c r="BJ733" i="2"/>
  <c r="BH733" i="2"/>
  <c r="BG733" i="2"/>
  <c r="BF733" i="2"/>
  <c r="BK732" i="2"/>
  <c r="BJ732" i="2"/>
  <c r="BH732" i="2"/>
  <c r="BG732" i="2"/>
  <c r="BF732" i="2"/>
  <c r="BK731" i="2"/>
  <c r="BJ731" i="2"/>
  <c r="BH731" i="2"/>
  <c r="BG731" i="2"/>
  <c r="BF731" i="2"/>
  <c r="BK730" i="2"/>
  <c r="BJ730" i="2"/>
  <c r="BH730" i="2"/>
  <c r="BG730" i="2"/>
  <c r="BF730" i="2"/>
  <c r="BK729" i="2"/>
  <c r="BJ729" i="2"/>
  <c r="BH729" i="2"/>
  <c r="BG729" i="2"/>
  <c r="BF729" i="2"/>
  <c r="BK728" i="2"/>
  <c r="BJ728" i="2"/>
  <c r="BH728" i="2"/>
  <c r="BG728" i="2"/>
  <c r="BF728" i="2"/>
  <c r="BK727" i="2"/>
  <c r="BJ727" i="2"/>
  <c r="BH727" i="2"/>
  <c r="BG727" i="2"/>
  <c r="BF727" i="2"/>
  <c r="BK726" i="2"/>
  <c r="BJ726" i="2"/>
  <c r="BH726" i="2"/>
  <c r="BG726" i="2"/>
  <c r="BF726" i="2"/>
  <c r="BK725" i="2"/>
  <c r="BJ725" i="2"/>
  <c r="BH725" i="2"/>
  <c r="BG725" i="2"/>
  <c r="BF725" i="2"/>
  <c r="BK724" i="2"/>
  <c r="BJ724" i="2"/>
  <c r="BH724" i="2"/>
  <c r="BG724" i="2"/>
  <c r="BF724" i="2"/>
  <c r="BK723" i="2"/>
  <c r="BJ723" i="2"/>
  <c r="BH723" i="2"/>
  <c r="BG723" i="2"/>
  <c r="BF723" i="2"/>
  <c r="BK722" i="2"/>
  <c r="BJ722" i="2"/>
  <c r="BH722" i="2"/>
  <c r="BG722" i="2"/>
  <c r="BF722" i="2"/>
  <c r="BK721" i="2"/>
  <c r="BJ721" i="2"/>
  <c r="BH721" i="2"/>
  <c r="BG721" i="2"/>
  <c r="BF721" i="2"/>
  <c r="BK720" i="2"/>
  <c r="BJ720" i="2"/>
  <c r="BH720" i="2"/>
  <c r="BG720" i="2"/>
  <c r="BF720" i="2"/>
  <c r="BK719" i="2"/>
  <c r="BJ719" i="2"/>
  <c r="BH719" i="2"/>
  <c r="BG719" i="2"/>
  <c r="BF719" i="2"/>
  <c r="BK718" i="2"/>
  <c r="BJ718" i="2"/>
  <c r="BH718" i="2"/>
  <c r="BG718" i="2"/>
  <c r="BF718" i="2"/>
  <c r="BK717" i="2"/>
  <c r="BJ717" i="2"/>
  <c r="BH717" i="2"/>
  <c r="BG717" i="2"/>
  <c r="BF717" i="2"/>
  <c r="BK716" i="2"/>
  <c r="BJ716" i="2"/>
  <c r="BH716" i="2"/>
  <c r="BG716" i="2"/>
  <c r="BF716" i="2"/>
  <c r="BK715" i="2"/>
  <c r="BJ715" i="2"/>
  <c r="BH715" i="2"/>
  <c r="BG715" i="2"/>
  <c r="BF715" i="2"/>
  <c r="BK714" i="2"/>
  <c r="BJ714" i="2"/>
  <c r="BH714" i="2"/>
  <c r="BG714" i="2"/>
  <c r="BF714" i="2"/>
  <c r="BK713" i="2"/>
  <c r="BJ713" i="2"/>
  <c r="BH713" i="2"/>
  <c r="BG713" i="2"/>
  <c r="BF713" i="2"/>
  <c r="BK712" i="2"/>
  <c r="BJ712" i="2"/>
  <c r="BH712" i="2"/>
  <c r="BG712" i="2"/>
  <c r="BF712" i="2"/>
  <c r="BK711" i="2"/>
  <c r="BJ711" i="2"/>
  <c r="BH711" i="2"/>
  <c r="BG711" i="2"/>
  <c r="BF711" i="2"/>
  <c r="BK710" i="2"/>
  <c r="BJ710" i="2"/>
  <c r="BH710" i="2"/>
  <c r="BG710" i="2"/>
  <c r="BF710" i="2"/>
  <c r="BK709" i="2"/>
  <c r="BJ709" i="2"/>
  <c r="BH709" i="2"/>
  <c r="BG709" i="2"/>
  <c r="BF709" i="2"/>
  <c r="BK708" i="2"/>
  <c r="BJ708" i="2"/>
  <c r="BH708" i="2"/>
  <c r="BG708" i="2"/>
  <c r="BF708" i="2"/>
  <c r="BK707" i="2"/>
  <c r="BJ707" i="2"/>
  <c r="BH707" i="2"/>
  <c r="BG707" i="2"/>
  <c r="BF707" i="2"/>
  <c r="BK706" i="2"/>
  <c r="BJ706" i="2"/>
  <c r="BH706" i="2"/>
  <c r="BG706" i="2"/>
  <c r="BF706" i="2"/>
  <c r="BK705" i="2"/>
  <c r="BJ705" i="2"/>
  <c r="BH705" i="2"/>
  <c r="BG705" i="2"/>
  <c r="BF705" i="2"/>
  <c r="BK704" i="2"/>
  <c r="BJ704" i="2"/>
  <c r="BH704" i="2"/>
  <c r="BG704" i="2"/>
  <c r="BF704" i="2"/>
  <c r="BK703" i="2"/>
  <c r="BJ703" i="2"/>
  <c r="BH703" i="2"/>
  <c r="BG703" i="2"/>
  <c r="BF703" i="2"/>
  <c r="BK702" i="2"/>
  <c r="BJ702" i="2"/>
  <c r="BH702" i="2"/>
  <c r="BG702" i="2"/>
  <c r="BF702" i="2"/>
  <c r="BK701" i="2"/>
  <c r="BJ701" i="2"/>
  <c r="BH701" i="2"/>
  <c r="BG701" i="2"/>
  <c r="BF701" i="2"/>
  <c r="BK700" i="2"/>
  <c r="BJ700" i="2"/>
  <c r="BH700" i="2"/>
  <c r="BG700" i="2"/>
  <c r="BF700" i="2"/>
  <c r="BK699" i="2"/>
  <c r="BJ699" i="2"/>
  <c r="BH699" i="2"/>
  <c r="BG699" i="2"/>
  <c r="BF699" i="2"/>
  <c r="BK698" i="2"/>
  <c r="BJ698" i="2"/>
  <c r="BH698" i="2"/>
  <c r="BG698" i="2"/>
  <c r="BF698" i="2"/>
  <c r="BK697" i="2"/>
  <c r="BJ697" i="2"/>
  <c r="BH697" i="2"/>
  <c r="BG697" i="2"/>
  <c r="BF697" i="2"/>
  <c r="BK696" i="2"/>
  <c r="BJ696" i="2"/>
  <c r="BH696" i="2"/>
  <c r="BG696" i="2"/>
  <c r="BF696" i="2"/>
  <c r="BK695" i="2"/>
  <c r="BJ695" i="2"/>
  <c r="BH695" i="2"/>
  <c r="BG695" i="2"/>
  <c r="BF695" i="2"/>
  <c r="BK694" i="2"/>
  <c r="BJ694" i="2"/>
  <c r="BH694" i="2"/>
  <c r="BG694" i="2"/>
  <c r="BF694" i="2"/>
  <c r="BK693" i="2"/>
  <c r="BJ693" i="2"/>
  <c r="BH693" i="2"/>
  <c r="BG693" i="2"/>
  <c r="BF693" i="2"/>
  <c r="BK692" i="2"/>
  <c r="BJ692" i="2"/>
  <c r="BH692" i="2"/>
  <c r="BG692" i="2"/>
  <c r="BF692" i="2"/>
  <c r="BK691" i="2"/>
  <c r="BJ691" i="2"/>
  <c r="BH691" i="2"/>
  <c r="BG691" i="2"/>
  <c r="BF691" i="2"/>
  <c r="BK690" i="2"/>
  <c r="BJ690" i="2"/>
  <c r="BH690" i="2"/>
  <c r="BG690" i="2"/>
  <c r="BF690" i="2"/>
  <c r="BK689" i="2"/>
  <c r="BJ689" i="2"/>
  <c r="BH689" i="2"/>
  <c r="BG689" i="2"/>
  <c r="BF689" i="2"/>
  <c r="BK688" i="2"/>
  <c r="BJ688" i="2"/>
  <c r="BH688" i="2"/>
  <c r="BG688" i="2"/>
  <c r="BF688" i="2"/>
  <c r="BK687" i="2"/>
  <c r="BJ687" i="2"/>
  <c r="BH687" i="2"/>
  <c r="BG687" i="2"/>
  <c r="BF687" i="2"/>
  <c r="BK686" i="2"/>
  <c r="BJ686" i="2"/>
  <c r="BH686" i="2"/>
  <c r="BG686" i="2"/>
  <c r="BF686" i="2"/>
  <c r="BK685" i="2"/>
  <c r="BJ685" i="2"/>
  <c r="BH685" i="2"/>
  <c r="BG685" i="2"/>
  <c r="BF685" i="2"/>
  <c r="BK684" i="2"/>
  <c r="BJ684" i="2"/>
  <c r="BH684" i="2"/>
  <c r="BG684" i="2"/>
  <c r="BF684" i="2"/>
  <c r="BK683" i="2"/>
  <c r="BJ683" i="2"/>
  <c r="BH683" i="2"/>
  <c r="BG683" i="2"/>
  <c r="BF683" i="2"/>
  <c r="BK682" i="2"/>
  <c r="BJ682" i="2"/>
  <c r="BH682" i="2"/>
  <c r="BG682" i="2"/>
  <c r="BF682" i="2"/>
  <c r="BK681" i="2"/>
  <c r="BJ681" i="2"/>
  <c r="BH681" i="2"/>
  <c r="BG681" i="2"/>
  <c r="BF681" i="2"/>
  <c r="BK680" i="2"/>
  <c r="BJ680" i="2"/>
  <c r="BH680" i="2"/>
  <c r="BG680" i="2"/>
  <c r="BF680" i="2"/>
  <c r="BK679" i="2"/>
  <c r="BJ679" i="2"/>
  <c r="BH679" i="2"/>
  <c r="BG679" i="2"/>
  <c r="BF679" i="2"/>
  <c r="BK678" i="2"/>
  <c r="BJ678" i="2"/>
  <c r="BH678" i="2"/>
  <c r="BG678" i="2"/>
  <c r="BF678" i="2"/>
  <c r="BK677" i="2"/>
  <c r="BJ677" i="2"/>
  <c r="BH677" i="2"/>
  <c r="BG677" i="2"/>
  <c r="BK676" i="2"/>
  <c r="BJ676" i="2"/>
  <c r="BH676" i="2"/>
  <c r="BG676" i="2"/>
  <c r="BF676" i="2"/>
  <c r="BK675" i="2"/>
  <c r="BJ675" i="2"/>
  <c r="BH675" i="2"/>
  <c r="BG675" i="2"/>
  <c r="BF675" i="2"/>
  <c r="BK674" i="2"/>
  <c r="BJ674" i="2"/>
  <c r="BH674" i="2"/>
  <c r="BG674" i="2"/>
  <c r="BF674" i="2"/>
  <c r="BK673" i="2"/>
  <c r="BJ673" i="2"/>
  <c r="BH673" i="2"/>
  <c r="BG673" i="2"/>
  <c r="BF673" i="2"/>
  <c r="BK672" i="2"/>
  <c r="BJ672" i="2"/>
  <c r="BH672" i="2"/>
  <c r="BG672" i="2"/>
  <c r="BF672" i="2"/>
  <c r="BK671" i="2"/>
  <c r="BJ671" i="2"/>
  <c r="BH671" i="2"/>
  <c r="BG671" i="2"/>
  <c r="BF671" i="2"/>
  <c r="BK670" i="2"/>
  <c r="BJ670" i="2"/>
  <c r="BH670" i="2"/>
  <c r="BG670" i="2"/>
  <c r="BF670" i="2"/>
  <c r="BK669" i="2"/>
  <c r="BJ669" i="2"/>
  <c r="BH669" i="2"/>
  <c r="BG669" i="2"/>
  <c r="BF669" i="2"/>
  <c r="BK668" i="2"/>
  <c r="BJ668" i="2"/>
  <c r="BH668" i="2"/>
  <c r="BG668" i="2"/>
  <c r="BF668" i="2"/>
  <c r="BK667" i="2"/>
  <c r="BJ667" i="2"/>
  <c r="BH667" i="2"/>
  <c r="BG667" i="2"/>
  <c r="BF667" i="2"/>
  <c r="BK666" i="2"/>
  <c r="BJ666" i="2"/>
  <c r="BH666" i="2"/>
  <c r="BG666" i="2"/>
  <c r="BF666" i="2"/>
  <c r="BK665" i="2"/>
  <c r="BJ665" i="2"/>
  <c r="BH665" i="2"/>
  <c r="BG665" i="2"/>
  <c r="BF665" i="2"/>
  <c r="BK664" i="2"/>
  <c r="BJ664" i="2"/>
  <c r="BH664" i="2"/>
  <c r="BG664" i="2"/>
  <c r="BF664" i="2"/>
  <c r="BK663" i="2"/>
  <c r="BJ663" i="2"/>
  <c r="BH663" i="2"/>
  <c r="BG663" i="2"/>
  <c r="BF663" i="2"/>
  <c r="BK662" i="2"/>
  <c r="BJ662" i="2"/>
  <c r="BH662" i="2"/>
  <c r="BG662" i="2"/>
  <c r="BF662" i="2"/>
  <c r="BK661" i="2"/>
  <c r="BJ661" i="2"/>
  <c r="BH661" i="2"/>
  <c r="BG661" i="2"/>
  <c r="BF661" i="2"/>
  <c r="BK660" i="2"/>
  <c r="BJ660" i="2"/>
  <c r="BH660" i="2"/>
  <c r="BG660" i="2"/>
  <c r="BF660" i="2"/>
  <c r="BK659" i="2"/>
  <c r="BJ659" i="2"/>
  <c r="BH659" i="2"/>
  <c r="BG659" i="2"/>
  <c r="BF659" i="2"/>
  <c r="BK658" i="2"/>
  <c r="BJ658" i="2"/>
  <c r="BH658" i="2"/>
  <c r="BG658" i="2"/>
  <c r="BF658" i="2"/>
  <c r="BK657" i="2"/>
  <c r="BJ657" i="2"/>
  <c r="BH657" i="2"/>
  <c r="BG657" i="2"/>
  <c r="BF657" i="2"/>
  <c r="BK656" i="2"/>
  <c r="BJ656" i="2"/>
  <c r="BH656" i="2"/>
  <c r="BG656" i="2"/>
  <c r="BK655" i="2"/>
  <c r="BJ655" i="2"/>
  <c r="BH655" i="2"/>
  <c r="BG655" i="2"/>
  <c r="BF655" i="2"/>
  <c r="BK654" i="2"/>
  <c r="BJ654" i="2"/>
  <c r="BH654" i="2"/>
  <c r="BG654" i="2"/>
  <c r="BF654" i="2"/>
  <c r="BK653" i="2"/>
  <c r="BJ653" i="2"/>
  <c r="BH653" i="2"/>
  <c r="BG653" i="2"/>
  <c r="BF653" i="2"/>
  <c r="BK652" i="2"/>
  <c r="BJ652" i="2"/>
  <c r="BH652" i="2"/>
  <c r="BG652" i="2"/>
  <c r="BF652" i="2"/>
  <c r="BK651" i="2"/>
  <c r="BJ651" i="2"/>
  <c r="BH651" i="2"/>
  <c r="BG651" i="2"/>
  <c r="BF651" i="2"/>
  <c r="BK650" i="2"/>
  <c r="BJ650" i="2"/>
  <c r="BH650" i="2"/>
  <c r="BG650" i="2"/>
  <c r="BF650" i="2"/>
  <c r="BK649" i="2"/>
  <c r="BJ649" i="2"/>
  <c r="BH649" i="2"/>
  <c r="BG649" i="2"/>
  <c r="BF649" i="2"/>
  <c r="BK648" i="2"/>
  <c r="BJ648" i="2"/>
  <c r="BH648" i="2"/>
  <c r="BG648" i="2"/>
  <c r="BF648" i="2"/>
  <c r="BK647" i="2"/>
  <c r="BJ647" i="2"/>
  <c r="BH647" i="2"/>
  <c r="BG647" i="2"/>
  <c r="BF647" i="2"/>
  <c r="BK646" i="2"/>
  <c r="BJ646" i="2"/>
  <c r="BH646" i="2"/>
  <c r="BG646" i="2"/>
  <c r="BF646" i="2"/>
  <c r="BK645" i="2"/>
  <c r="BJ645" i="2"/>
  <c r="BH645" i="2"/>
  <c r="BG645" i="2"/>
  <c r="BF645" i="2"/>
  <c r="BJ644" i="2"/>
  <c r="BH644" i="2"/>
  <c r="BG644" i="2"/>
  <c r="BF644" i="2"/>
  <c r="BK643" i="2"/>
  <c r="BJ643" i="2"/>
  <c r="BH643" i="2"/>
  <c r="BG643" i="2"/>
  <c r="BF643" i="2"/>
  <c r="BK642" i="2"/>
  <c r="BJ642" i="2"/>
  <c r="BH642" i="2"/>
  <c r="BG642" i="2"/>
  <c r="BF642" i="2"/>
  <c r="BK641" i="2"/>
  <c r="BJ641" i="2"/>
  <c r="BH641" i="2"/>
  <c r="BG641" i="2"/>
  <c r="BF641" i="2"/>
  <c r="BK640" i="2"/>
  <c r="BJ640" i="2"/>
  <c r="BH640" i="2"/>
  <c r="BG640" i="2"/>
  <c r="BF640" i="2"/>
  <c r="BK639" i="2"/>
  <c r="BJ639" i="2"/>
  <c r="BH639" i="2"/>
  <c r="BG639" i="2"/>
  <c r="BF639" i="2"/>
  <c r="BK638" i="2"/>
  <c r="BJ638" i="2"/>
  <c r="BH638" i="2"/>
  <c r="BG638" i="2"/>
  <c r="BF638" i="2"/>
  <c r="BK637" i="2"/>
  <c r="BJ637" i="2"/>
  <c r="BH637" i="2"/>
  <c r="BG637" i="2"/>
  <c r="BF637" i="2"/>
  <c r="BK636" i="2"/>
  <c r="BJ636" i="2"/>
  <c r="BH636" i="2"/>
  <c r="BG636" i="2"/>
  <c r="BF636" i="2"/>
  <c r="BK635" i="2"/>
  <c r="BJ635" i="2"/>
  <c r="BH635" i="2"/>
  <c r="BG635" i="2"/>
  <c r="BF635" i="2"/>
  <c r="BK634" i="2"/>
  <c r="BJ634" i="2"/>
  <c r="BH634" i="2"/>
  <c r="BG634" i="2"/>
  <c r="BF634" i="2"/>
  <c r="BK633" i="2"/>
  <c r="BJ633" i="2"/>
  <c r="BH633" i="2"/>
  <c r="BG633" i="2"/>
  <c r="BF633" i="2"/>
  <c r="BK632" i="2"/>
  <c r="BJ632" i="2"/>
  <c r="BH632" i="2"/>
  <c r="BG632" i="2"/>
  <c r="BF632" i="2"/>
  <c r="BK631" i="2"/>
  <c r="BJ631" i="2"/>
  <c r="BH631" i="2"/>
  <c r="BG631" i="2"/>
  <c r="BF631" i="2"/>
  <c r="BK630" i="2"/>
  <c r="BJ630" i="2"/>
  <c r="BH630" i="2"/>
  <c r="BG630" i="2"/>
  <c r="BF630" i="2"/>
  <c r="BK629" i="2"/>
  <c r="BJ629" i="2"/>
  <c r="BH629" i="2"/>
  <c r="BG629" i="2"/>
  <c r="BF629" i="2"/>
  <c r="BK628" i="2"/>
  <c r="BJ628" i="2"/>
  <c r="BH628" i="2"/>
  <c r="BG628" i="2"/>
  <c r="BF628" i="2"/>
  <c r="BK627" i="2"/>
  <c r="BJ627" i="2"/>
  <c r="BH627" i="2"/>
  <c r="BG627" i="2"/>
  <c r="BF627" i="2"/>
  <c r="BK626" i="2"/>
  <c r="BJ626" i="2"/>
  <c r="BH626" i="2"/>
  <c r="BG626" i="2"/>
  <c r="BF626" i="2"/>
  <c r="BK625" i="2"/>
  <c r="BJ625" i="2"/>
  <c r="BH625" i="2"/>
  <c r="BG625" i="2"/>
  <c r="BF625" i="2"/>
  <c r="BK624" i="2"/>
  <c r="BJ624" i="2"/>
  <c r="BH624" i="2"/>
  <c r="BG624" i="2"/>
  <c r="BF624" i="2"/>
  <c r="BK623" i="2"/>
  <c r="BJ623" i="2"/>
  <c r="BH623" i="2"/>
  <c r="BG623" i="2"/>
  <c r="BF623" i="2"/>
  <c r="BK622" i="2"/>
  <c r="BJ622" i="2"/>
  <c r="BH622" i="2"/>
  <c r="BG622" i="2"/>
  <c r="BF622" i="2"/>
  <c r="BK621" i="2"/>
  <c r="BJ621" i="2"/>
  <c r="BH621" i="2"/>
  <c r="BG621" i="2"/>
  <c r="BF621" i="2"/>
  <c r="BK620" i="2"/>
  <c r="BJ620" i="2"/>
  <c r="BH620" i="2"/>
  <c r="BG620" i="2"/>
  <c r="BF620" i="2"/>
  <c r="BK619" i="2"/>
  <c r="BJ619" i="2"/>
  <c r="BH619" i="2"/>
  <c r="BG619" i="2"/>
  <c r="BF619" i="2"/>
  <c r="BK618" i="2"/>
  <c r="BJ618" i="2"/>
  <c r="BH618" i="2"/>
  <c r="BG618" i="2"/>
  <c r="BF618" i="2"/>
  <c r="BK617" i="2"/>
  <c r="BJ617" i="2"/>
  <c r="BH617" i="2"/>
  <c r="BG617" i="2"/>
  <c r="BF617" i="2"/>
  <c r="BK616" i="2"/>
  <c r="BJ616" i="2"/>
  <c r="BH616" i="2"/>
  <c r="BG616" i="2"/>
  <c r="BF616" i="2"/>
  <c r="BK615" i="2"/>
  <c r="BJ615" i="2"/>
  <c r="BH615" i="2"/>
  <c r="BG615" i="2"/>
  <c r="BF615" i="2"/>
  <c r="BK614" i="2"/>
  <c r="BJ614" i="2"/>
  <c r="BH614" i="2"/>
  <c r="BG614" i="2"/>
  <c r="BF614" i="2"/>
  <c r="BK613" i="2"/>
  <c r="BJ613" i="2"/>
  <c r="BH613" i="2"/>
  <c r="BG613" i="2"/>
  <c r="BF613" i="2"/>
  <c r="BK612" i="2"/>
  <c r="BJ612" i="2"/>
  <c r="BH612" i="2"/>
  <c r="BG612" i="2"/>
  <c r="BF612" i="2"/>
  <c r="BK611" i="2"/>
  <c r="BJ611" i="2"/>
  <c r="BH611" i="2"/>
  <c r="BG611" i="2"/>
  <c r="BF611" i="2"/>
  <c r="BK610" i="2"/>
  <c r="BJ610" i="2"/>
  <c r="BH610" i="2"/>
  <c r="BG610" i="2"/>
  <c r="BF610" i="2"/>
  <c r="BK609" i="2"/>
  <c r="BJ609" i="2"/>
  <c r="BH609" i="2"/>
  <c r="BG609" i="2"/>
  <c r="BF609" i="2"/>
  <c r="BK608" i="2"/>
  <c r="BJ608" i="2"/>
  <c r="BH608" i="2"/>
  <c r="BG608" i="2"/>
  <c r="BF608" i="2"/>
  <c r="BK607" i="2"/>
  <c r="BJ607" i="2"/>
  <c r="BH607" i="2"/>
  <c r="BG607" i="2"/>
  <c r="BF607" i="2"/>
  <c r="BK606" i="2"/>
  <c r="BJ606" i="2"/>
  <c r="BH606" i="2"/>
  <c r="BG606" i="2"/>
  <c r="BF606" i="2"/>
  <c r="BK605" i="2"/>
  <c r="BJ605" i="2"/>
  <c r="BH605" i="2"/>
  <c r="BG605" i="2"/>
  <c r="BF605" i="2"/>
  <c r="BK604" i="2"/>
  <c r="BJ604" i="2"/>
  <c r="BH604" i="2"/>
  <c r="BG604" i="2"/>
  <c r="BF604" i="2"/>
  <c r="BK603" i="2"/>
  <c r="BJ603" i="2"/>
  <c r="BH603" i="2"/>
  <c r="BG603" i="2"/>
  <c r="BF603" i="2"/>
  <c r="BK602" i="2"/>
  <c r="BJ602" i="2"/>
  <c r="BH602" i="2"/>
  <c r="BG602" i="2"/>
  <c r="BF602" i="2"/>
  <c r="BK601" i="2"/>
  <c r="BJ601" i="2"/>
  <c r="BH601" i="2"/>
  <c r="BG601" i="2"/>
  <c r="BF601" i="2"/>
  <c r="BK600" i="2"/>
  <c r="BJ600" i="2"/>
  <c r="BH600" i="2"/>
  <c r="BG600" i="2"/>
  <c r="BF600" i="2"/>
  <c r="BK599" i="2"/>
  <c r="BJ599" i="2"/>
  <c r="BH599" i="2"/>
  <c r="BG599" i="2"/>
  <c r="BF599" i="2"/>
  <c r="BK598" i="2"/>
  <c r="BJ598" i="2"/>
  <c r="BH598" i="2"/>
  <c r="BG598" i="2"/>
  <c r="BF598" i="2"/>
  <c r="BK597" i="2"/>
  <c r="BJ597" i="2"/>
  <c r="BH597" i="2"/>
  <c r="BG597" i="2"/>
  <c r="BF597" i="2"/>
  <c r="BK596" i="2"/>
  <c r="BJ596" i="2"/>
  <c r="BH596" i="2"/>
  <c r="BG596" i="2"/>
  <c r="BF596" i="2"/>
  <c r="BK595" i="2"/>
  <c r="BJ595" i="2"/>
  <c r="BH595" i="2"/>
  <c r="BG595" i="2"/>
  <c r="BF595" i="2"/>
  <c r="BK594" i="2"/>
  <c r="BJ594" i="2"/>
  <c r="BH594" i="2"/>
  <c r="BG594" i="2"/>
  <c r="BF594" i="2"/>
  <c r="BK593" i="2"/>
  <c r="BJ593" i="2"/>
  <c r="BH593" i="2"/>
  <c r="BG593" i="2"/>
  <c r="BF593" i="2"/>
  <c r="BK592" i="2"/>
  <c r="BJ592" i="2"/>
  <c r="BH592" i="2"/>
  <c r="BG592" i="2"/>
  <c r="BF592" i="2"/>
  <c r="BK591" i="2"/>
  <c r="BJ591" i="2"/>
  <c r="BH591" i="2"/>
  <c r="BG591" i="2"/>
  <c r="BF591" i="2"/>
  <c r="BK590" i="2"/>
  <c r="BJ590" i="2"/>
  <c r="BH590" i="2"/>
  <c r="BG590" i="2"/>
  <c r="BF590" i="2"/>
  <c r="BK589" i="2"/>
  <c r="BJ589" i="2"/>
  <c r="BH589" i="2"/>
  <c r="BG589" i="2"/>
  <c r="BF589" i="2"/>
  <c r="BK588" i="2"/>
  <c r="BJ588" i="2"/>
  <c r="BH588" i="2"/>
  <c r="BG588" i="2"/>
  <c r="BF588" i="2"/>
  <c r="BK587" i="2"/>
  <c r="BJ587" i="2"/>
  <c r="BH587" i="2"/>
  <c r="BG587" i="2"/>
  <c r="BF587" i="2"/>
  <c r="BK586" i="2"/>
  <c r="BJ586" i="2"/>
  <c r="BH586" i="2"/>
  <c r="BG586" i="2"/>
  <c r="BF586" i="2"/>
  <c r="BK585" i="2"/>
  <c r="BJ585" i="2"/>
  <c r="BH585" i="2"/>
  <c r="BG585" i="2"/>
  <c r="BF585" i="2"/>
  <c r="BK584" i="2"/>
  <c r="BJ584" i="2"/>
  <c r="BH584" i="2"/>
  <c r="BG584" i="2"/>
  <c r="BF584" i="2"/>
  <c r="BK583" i="2"/>
  <c r="BJ583" i="2"/>
  <c r="BH583" i="2"/>
  <c r="BG583" i="2"/>
  <c r="BF583" i="2"/>
  <c r="BK582" i="2"/>
  <c r="BJ582" i="2"/>
  <c r="BH582" i="2"/>
  <c r="BG582" i="2"/>
  <c r="BF582" i="2"/>
  <c r="BK581" i="2"/>
  <c r="BJ581" i="2"/>
  <c r="BH581" i="2"/>
  <c r="BG581" i="2"/>
  <c r="BF581" i="2"/>
  <c r="BK580" i="2"/>
  <c r="BJ580" i="2"/>
  <c r="BH580" i="2"/>
  <c r="BG580" i="2"/>
  <c r="BF580" i="2"/>
  <c r="BK579" i="2"/>
  <c r="BJ579" i="2"/>
  <c r="BH579" i="2"/>
  <c r="BG579" i="2"/>
  <c r="BF579" i="2"/>
  <c r="BK578" i="2"/>
  <c r="BJ578" i="2"/>
  <c r="BH578" i="2"/>
  <c r="BG578" i="2"/>
  <c r="BF578" i="2"/>
  <c r="BK577" i="2"/>
  <c r="BJ577" i="2"/>
  <c r="BH577" i="2"/>
  <c r="BG577" i="2"/>
  <c r="BF577" i="2"/>
  <c r="BK576" i="2"/>
  <c r="BJ576" i="2"/>
  <c r="BH576" i="2"/>
  <c r="BG576" i="2"/>
  <c r="BF576" i="2"/>
  <c r="BK575" i="2"/>
  <c r="BJ575" i="2"/>
  <c r="BH575" i="2"/>
  <c r="BG575" i="2"/>
  <c r="BF575" i="2"/>
  <c r="BK574" i="2"/>
  <c r="BJ574" i="2"/>
  <c r="BH574" i="2"/>
  <c r="BG574" i="2"/>
  <c r="BF574" i="2"/>
  <c r="BK573" i="2"/>
  <c r="BJ573" i="2"/>
  <c r="BH573" i="2"/>
  <c r="BG573" i="2"/>
  <c r="BF573" i="2"/>
  <c r="BK572" i="2"/>
  <c r="BJ572" i="2"/>
  <c r="BH572" i="2"/>
  <c r="BG572" i="2"/>
  <c r="BF572" i="2"/>
  <c r="BK571" i="2"/>
  <c r="BJ571" i="2"/>
  <c r="BH571" i="2"/>
  <c r="BG571" i="2"/>
  <c r="BF571" i="2"/>
  <c r="BK570" i="2"/>
  <c r="BJ570" i="2"/>
  <c r="BH570" i="2"/>
  <c r="BG570" i="2"/>
  <c r="BF570" i="2"/>
  <c r="BK569" i="2"/>
  <c r="BJ569" i="2"/>
  <c r="BH569" i="2"/>
  <c r="BG569" i="2"/>
  <c r="BF569" i="2"/>
  <c r="BK568" i="2"/>
  <c r="BJ568" i="2"/>
  <c r="BH568" i="2"/>
  <c r="BG568" i="2"/>
  <c r="BF568" i="2"/>
  <c r="BK567" i="2"/>
  <c r="BJ567" i="2"/>
  <c r="BH567" i="2"/>
  <c r="BG567" i="2"/>
  <c r="BF567" i="2"/>
  <c r="BJ566" i="2"/>
  <c r="BH566" i="2"/>
  <c r="BG566" i="2"/>
  <c r="BF566" i="2"/>
  <c r="BK565" i="2"/>
  <c r="BJ565" i="2"/>
  <c r="BH565" i="2"/>
  <c r="BG565" i="2"/>
  <c r="BF565" i="2"/>
  <c r="BK564" i="2"/>
  <c r="BJ564" i="2"/>
  <c r="BH564" i="2"/>
  <c r="BG564" i="2"/>
  <c r="BF564" i="2"/>
  <c r="BK563" i="2"/>
  <c r="BJ563" i="2"/>
  <c r="BH563" i="2"/>
  <c r="BG563" i="2"/>
  <c r="BF563" i="2"/>
  <c r="BK562" i="2"/>
  <c r="BJ562" i="2"/>
  <c r="BH562" i="2"/>
  <c r="BG562" i="2"/>
  <c r="BF562" i="2"/>
  <c r="BK561" i="2"/>
  <c r="BJ561" i="2"/>
  <c r="BH561" i="2"/>
  <c r="BG561" i="2"/>
  <c r="BK560" i="2"/>
  <c r="BJ560" i="2"/>
  <c r="BH560" i="2"/>
  <c r="BG560" i="2"/>
  <c r="BK559" i="2"/>
  <c r="BJ559" i="2"/>
  <c r="BH559" i="2"/>
  <c r="BG559" i="2"/>
  <c r="BF559" i="2"/>
  <c r="BJ558" i="2"/>
  <c r="BH558" i="2"/>
  <c r="BG558" i="2"/>
  <c r="BF558" i="2"/>
  <c r="BK557" i="2"/>
  <c r="BJ557" i="2"/>
  <c r="BH557" i="2"/>
  <c r="BG557" i="2"/>
  <c r="BF557" i="2"/>
  <c r="BK556" i="2"/>
  <c r="BJ556" i="2"/>
  <c r="BH556" i="2"/>
  <c r="BG556" i="2"/>
  <c r="BF556" i="2"/>
  <c r="BK555" i="2"/>
  <c r="BJ555" i="2"/>
  <c r="BH555" i="2"/>
  <c r="BG555" i="2"/>
  <c r="BF555" i="2"/>
  <c r="BJ554" i="2"/>
  <c r="BH554" i="2"/>
  <c r="BG554" i="2"/>
  <c r="BF554" i="2"/>
  <c r="BK553" i="2"/>
  <c r="BJ553" i="2"/>
  <c r="BH553" i="2"/>
  <c r="BG553" i="2"/>
  <c r="BF553" i="2"/>
  <c r="BK552" i="2"/>
  <c r="BJ552" i="2"/>
  <c r="BH552" i="2"/>
  <c r="BG552" i="2"/>
  <c r="BF552" i="2"/>
  <c r="BK551" i="2"/>
  <c r="BJ551" i="2"/>
  <c r="BH551" i="2"/>
  <c r="BG551" i="2"/>
  <c r="BF551" i="2"/>
  <c r="BK550" i="2"/>
  <c r="BJ550" i="2"/>
  <c r="BH550" i="2"/>
  <c r="BG550" i="2"/>
  <c r="BF550" i="2"/>
  <c r="BK549" i="2"/>
  <c r="BJ549" i="2"/>
  <c r="BH549" i="2"/>
  <c r="BG549" i="2"/>
  <c r="BF549" i="2"/>
  <c r="BK548" i="2"/>
  <c r="BJ548" i="2"/>
  <c r="BH548" i="2"/>
  <c r="BG548" i="2"/>
  <c r="BF548" i="2"/>
  <c r="BK547" i="2"/>
  <c r="BJ547" i="2"/>
  <c r="BH547" i="2"/>
  <c r="BG547" i="2"/>
  <c r="BF547" i="2"/>
  <c r="BK546" i="2"/>
  <c r="BJ546" i="2"/>
  <c r="BH546" i="2"/>
  <c r="BG546" i="2"/>
  <c r="BF546" i="2"/>
  <c r="BK545" i="2"/>
  <c r="BJ545" i="2"/>
  <c r="BH545" i="2"/>
  <c r="BG545" i="2"/>
  <c r="BF545" i="2"/>
  <c r="BK544" i="2"/>
  <c r="BJ544" i="2"/>
  <c r="BH544" i="2"/>
  <c r="BG544" i="2"/>
  <c r="BF544" i="2"/>
  <c r="BK543" i="2"/>
  <c r="BJ543" i="2"/>
  <c r="BH543" i="2"/>
  <c r="BG543" i="2"/>
  <c r="BF543" i="2"/>
  <c r="BK542" i="2"/>
  <c r="BJ542" i="2"/>
  <c r="BH542" i="2"/>
  <c r="BG542" i="2"/>
  <c r="BF542" i="2"/>
  <c r="BK541" i="2"/>
  <c r="BJ541" i="2"/>
  <c r="BH541" i="2"/>
  <c r="BG541" i="2"/>
  <c r="BF541" i="2"/>
  <c r="BK540" i="2"/>
  <c r="BJ540" i="2"/>
  <c r="BH540" i="2"/>
  <c r="BG540" i="2"/>
  <c r="BF540" i="2"/>
  <c r="BK539" i="2"/>
  <c r="BJ539" i="2"/>
  <c r="BH539" i="2"/>
  <c r="BG539" i="2"/>
  <c r="BF539" i="2"/>
  <c r="BK538" i="2"/>
  <c r="BJ538" i="2"/>
  <c r="BH538" i="2"/>
  <c r="BG538" i="2"/>
  <c r="BF538" i="2"/>
  <c r="BK537" i="2"/>
  <c r="BJ537" i="2"/>
  <c r="BH537" i="2"/>
  <c r="BG537" i="2"/>
  <c r="BF537" i="2"/>
  <c r="BK536" i="2"/>
  <c r="BJ536" i="2"/>
  <c r="BH536" i="2"/>
  <c r="BG536" i="2"/>
  <c r="BF536" i="2"/>
  <c r="BK535" i="2"/>
  <c r="BJ535" i="2"/>
  <c r="BH535" i="2"/>
  <c r="BG535" i="2"/>
  <c r="BF535" i="2"/>
  <c r="BK534" i="2"/>
  <c r="BJ534" i="2"/>
  <c r="BH534" i="2"/>
  <c r="BG534" i="2"/>
  <c r="BF534" i="2"/>
  <c r="BK533" i="2"/>
  <c r="BJ533" i="2"/>
  <c r="BH533" i="2"/>
  <c r="BG533" i="2"/>
  <c r="BF533" i="2"/>
  <c r="BK532" i="2"/>
  <c r="BJ532" i="2"/>
  <c r="BH532" i="2"/>
  <c r="BG532" i="2"/>
  <c r="BF532" i="2"/>
  <c r="BK531" i="2"/>
  <c r="BJ531" i="2"/>
  <c r="BH531" i="2"/>
  <c r="BG531" i="2"/>
  <c r="BF531" i="2"/>
  <c r="BK530" i="2"/>
  <c r="BJ530" i="2"/>
  <c r="BH530" i="2"/>
  <c r="BG530" i="2"/>
  <c r="BF530" i="2"/>
  <c r="BK529" i="2"/>
  <c r="BJ529" i="2"/>
  <c r="BH529" i="2"/>
  <c r="BG529" i="2"/>
  <c r="BF529" i="2"/>
  <c r="BK528" i="2"/>
  <c r="BJ528" i="2"/>
  <c r="BH528" i="2"/>
  <c r="BG528" i="2"/>
  <c r="BF528" i="2"/>
  <c r="BK527" i="2"/>
  <c r="BJ527" i="2"/>
  <c r="BH527" i="2"/>
  <c r="BG527" i="2"/>
  <c r="BF527" i="2"/>
  <c r="BK526" i="2"/>
  <c r="BJ526" i="2"/>
  <c r="BH526" i="2"/>
  <c r="BG526" i="2"/>
  <c r="BF526" i="2"/>
  <c r="BK525" i="2"/>
  <c r="BJ525" i="2"/>
  <c r="BH525" i="2"/>
  <c r="BG525" i="2"/>
  <c r="BF525" i="2"/>
  <c r="BK524" i="2"/>
  <c r="BJ524" i="2"/>
  <c r="BH524" i="2"/>
  <c r="BG524" i="2"/>
  <c r="BF524" i="2"/>
  <c r="BK523" i="2"/>
  <c r="BJ523" i="2"/>
  <c r="BH523" i="2"/>
  <c r="BG523" i="2"/>
  <c r="BF523" i="2"/>
  <c r="BK522" i="2"/>
  <c r="BJ522" i="2"/>
  <c r="BH522" i="2"/>
  <c r="BG522" i="2"/>
  <c r="BF522" i="2"/>
  <c r="BK521" i="2"/>
  <c r="BJ521" i="2"/>
  <c r="BH521" i="2"/>
  <c r="BG521" i="2"/>
  <c r="BF521" i="2"/>
  <c r="BK520" i="2"/>
  <c r="BJ520" i="2"/>
  <c r="BH520" i="2"/>
  <c r="BG520" i="2"/>
  <c r="BF520" i="2"/>
  <c r="BK519" i="2"/>
  <c r="BJ519" i="2"/>
  <c r="BH519" i="2"/>
  <c r="BG519" i="2"/>
  <c r="BF519" i="2"/>
  <c r="BK518" i="2"/>
  <c r="BJ518" i="2"/>
  <c r="BH518" i="2"/>
  <c r="BG518" i="2"/>
  <c r="BF518" i="2"/>
  <c r="BK517" i="2"/>
  <c r="BJ517" i="2"/>
  <c r="BH517" i="2"/>
  <c r="BG517" i="2"/>
  <c r="BF517" i="2"/>
  <c r="BK516" i="2"/>
  <c r="BJ516" i="2"/>
  <c r="BH516" i="2"/>
  <c r="BG516" i="2"/>
  <c r="BF516" i="2"/>
  <c r="BK515" i="2"/>
  <c r="BJ515" i="2"/>
  <c r="BH515" i="2"/>
  <c r="BG515" i="2"/>
  <c r="BF515" i="2"/>
  <c r="BK514" i="2"/>
  <c r="BJ514" i="2"/>
  <c r="BH514" i="2"/>
  <c r="BG514" i="2"/>
  <c r="BF514" i="2"/>
  <c r="BK513" i="2"/>
  <c r="BJ513" i="2"/>
  <c r="BH513" i="2"/>
  <c r="BG513" i="2"/>
  <c r="BF513" i="2"/>
  <c r="BK512" i="2"/>
  <c r="BJ512" i="2"/>
  <c r="BH512" i="2"/>
  <c r="BG512" i="2"/>
  <c r="BF512" i="2"/>
  <c r="BK511" i="2"/>
  <c r="BJ511" i="2"/>
  <c r="BH511" i="2"/>
  <c r="BG511" i="2"/>
  <c r="BF511" i="2"/>
  <c r="BK510" i="2"/>
  <c r="BJ510" i="2"/>
  <c r="BH510" i="2"/>
  <c r="BG510" i="2"/>
  <c r="BF510" i="2"/>
  <c r="BK509" i="2"/>
  <c r="BJ509" i="2"/>
  <c r="BH509" i="2"/>
  <c r="BG509" i="2"/>
  <c r="BF509" i="2"/>
  <c r="BK508" i="2"/>
  <c r="BJ508" i="2"/>
  <c r="BH508" i="2"/>
  <c r="BG508" i="2"/>
  <c r="BF508" i="2"/>
  <c r="BK507" i="2"/>
  <c r="BJ507" i="2"/>
  <c r="BH507" i="2"/>
  <c r="BG507" i="2"/>
  <c r="BF507" i="2"/>
  <c r="BK506" i="2"/>
  <c r="BJ506" i="2"/>
  <c r="BH506" i="2"/>
  <c r="BG506" i="2"/>
  <c r="BF506" i="2"/>
  <c r="BK505" i="2"/>
  <c r="BJ505" i="2"/>
  <c r="BH505" i="2"/>
  <c r="BG505" i="2"/>
  <c r="BF505" i="2"/>
  <c r="BK504" i="2"/>
  <c r="BJ504" i="2"/>
  <c r="BH504" i="2"/>
  <c r="BG504" i="2"/>
  <c r="BF504" i="2"/>
  <c r="BK503" i="2"/>
  <c r="BJ503" i="2"/>
  <c r="BH503" i="2"/>
  <c r="BG503" i="2"/>
  <c r="BF503" i="2"/>
  <c r="BK502" i="2"/>
  <c r="BJ502" i="2"/>
  <c r="BH502" i="2"/>
  <c r="BG502" i="2"/>
  <c r="BF502" i="2"/>
  <c r="BK501" i="2"/>
  <c r="BJ501" i="2"/>
  <c r="BH501" i="2"/>
  <c r="BG501" i="2"/>
  <c r="BF501" i="2"/>
  <c r="BK500" i="2"/>
  <c r="BJ500" i="2"/>
  <c r="BH500" i="2"/>
  <c r="BG500" i="2"/>
  <c r="BF500" i="2"/>
  <c r="BK499" i="2"/>
  <c r="BJ499" i="2"/>
  <c r="BH499" i="2"/>
  <c r="BG499" i="2"/>
  <c r="BF499" i="2"/>
  <c r="BK498" i="2"/>
  <c r="BJ498" i="2"/>
  <c r="BH498" i="2"/>
  <c r="BG498" i="2"/>
  <c r="BF498" i="2"/>
  <c r="BK497" i="2"/>
  <c r="BJ497" i="2"/>
  <c r="BH497" i="2"/>
  <c r="BG497" i="2"/>
  <c r="BF497" i="2"/>
  <c r="BK496" i="2"/>
  <c r="BJ496" i="2"/>
  <c r="BH496" i="2"/>
  <c r="BG496" i="2"/>
  <c r="BF496" i="2"/>
  <c r="BK495" i="2"/>
  <c r="BJ495" i="2"/>
  <c r="BH495" i="2"/>
  <c r="BG495" i="2"/>
  <c r="BF495" i="2"/>
  <c r="BK494" i="2"/>
  <c r="BJ494" i="2"/>
  <c r="BH494" i="2"/>
  <c r="BG494" i="2"/>
  <c r="BF494" i="2"/>
  <c r="BK493" i="2"/>
  <c r="BJ493" i="2"/>
  <c r="BH493" i="2"/>
  <c r="BG493" i="2"/>
  <c r="BF493" i="2"/>
  <c r="BK492" i="2"/>
  <c r="BJ492" i="2"/>
  <c r="BH492" i="2"/>
  <c r="BG492" i="2"/>
  <c r="BF492" i="2"/>
  <c r="BK491" i="2"/>
  <c r="BJ491" i="2"/>
  <c r="BH491" i="2"/>
  <c r="BG491" i="2"/>
  <c r="BF491" i="2"/>
  <c r="BK490" i="2"/>
  <c r="BJ490" i="2"/>
  <c r="BH490" i="2"/>
  <c r="BG490" i="2"/>
  <c r="BF490" i="2"/>
  <c r="BK489" i="2"/>
  <c r="BJ489" i="2"/>
  <c r="BH489" i="2"/>
  <c r="BG489" i="2"/>
  <c r="BF489" i="2"/>
  <c r="BK488" i="2"/>
  <c r="BJ488" i="2"/>
  <c r="BH488" i="2"/>
  <c r="BG488" i="2"/>
  <c r="BF488" i="2"/>
  <c r="BK487" i="2"/>
  <c r="BJ487" i="2"/>
  <c r="BH487" i="2"/>
  <c r="BG487" i="2"/>
  <c r="BF487" i="2"/>
  <c r="BK486" i="2"/>
  <c r="BJ486" i="2"/>
  <c r="BH486" i="2"/>
  <c r="BG486" i="2"/>
  <c r="BF486" i="2"/>
  <c r="BK485" i="2"/>
  <c r="BJ485" i="2"/>
  <c r="BH485" i="2"/>
  <c r="BG485" i="2"/>
  <c r="BF485" i="2"/>
  <c r="BK484" i="2"/>
  <c r="BJ484" i="2"/>
  <c r="BH484" i="2"/>
  <c r="BG484" i="2"/>
  <c r="BF484" i="2"/>
  <c r="BK483" i="2"/>
  <c r="BJ483" i="2"/>
  <c r="BH483" i="2"/>
  <c r="BG483" i="2"/>
  <c r="BF483" i="2"/>
  <c r="BK482" i="2"/>
  <c r="BJ482" i="2"/>
  <c r="BH482" i="2"/>
  <c r="BG482" i="2"/>
  <c r="BF482" i="2"/>
  <c r="BK481" i="2"/>
  <c r="BJ481" i="2"/>
  <c r="BH481" i="2"/>
  <c r="BG481" i="2"/>
  <c r="BF481" i="2"/>
  <c r="BK480" i="2"/>
  <c r="BJ480" i="2"/>
  <c r="BH480" i="2"/>
  <c r="BG480" i="2"/>
  <c r="BF480" i="2"/>
  <c r="BK479" i="2"/>
  <c r="BJ479" i="2"/>
  <c r="BH479" i="2"/>
  <c r="BG479" i="2"/>
  <c r="BF479" i="2"/>
  <c r="BK478" i="2"/>
  <c r="BJ478" i="2"/>
  <c r="BH478" i="2"/>
  <c r="BG478" i="2"/>
  <c r="BF478" i="2"/>
  <c r="BK477" i="2"/>
  <c r="BJ477" i="2"/>
  <c r="BH477" i="2"/>
  <c r="BG477" i="2"/>
  <c r="BF477" i="2"/>
  <c r="BK476" i="2"/>
  <c r="BJ476" i="2"/>
  <c r="BH476" i="2"/>
  <c r="BG476" i="2"/>
  <c r="BF476" i="2"/>
  <c r="BK475" i="2"/>
  <c r="BJ475" i="2"/>
  <c r="BH475" i="2"/>
  <c r="BG475" i="2"/>
  <c r="BF475" i="2"/>
  <c r="BK474" i="2"/>
  <c r="BJ474" i="2"/>
  <c r="BH474" i="2"/>
  <c r="BG474" i="2"/>
  <c r="BF474" i="2"/>
  <c r="BK473" i="2"/>
  <c r="BJ473" i="2"/>
  <c r="BH473" i="2"/>
  <c r="BG473" i="2"/>
  <c r="BF473" i="2"/>
  <c r="BK472" i="2"/>
  <c r="BJ472" i="2"/>
  <c r="BH472" i="2"/>
  <c r="BG472" i="2"/>
  <c r="BF472" i="2"/>
  <c r="BK471" i="2"/>
  <c r="BJ471" i="2"/>
  <c r="BH471" i="2"/>
  <c r="BG471" i="2"/>
  <c r="BF471" i="2"/>
  <c r="BK470" i="2"/>
  <c r="BJ470" i="2"/>
  <c r="BH470" i="2"/>
  <c r="BG470" i="2"/>
  <c r="BF470" i="2"/>
  <c r="BK469" i="2"/>
  <c r="BJ469" i="2"/>
  <c r="BH469" i="2"/>
  <c r="BG469" i="2"/>
  <c r="BF469" i="2"/>
  <c r="BK468" i="2"/>
  <c r="BJ468" i="2"/>
  <c r="BH468" i="2"/>
  <c r="BG468" i="2"/>
  <c r="BF468" i="2"/>
  <c r="BK467" i="2"/>
  <c r="BJ467" i="2"/>
  <c r="BH467" i="2"/>
  <c r="BG467" i="2"/>
  <c r="BF467" i="2"/>
  <c r="BK466" i="2"/>
  <c r="BJ466" i="2"/>
  <c r="BH466" i="2"/>
  <c r="BG466" i="2"/>
  <c r="BF466" i="2"/>
  <c r="BK465" i="2"/>
  <c r="BJ465" i="2"/>
  <c r="BH465" i="2"/>
  <c r="BG465" i="2"/>
  <c r="BF465" i="2"/>
  <c r="BK464" i="2"/>
  <c r="BJ464" i="2"/>
  <c r="BH464" i="2"/>
  <c r="BG464" i="2"/>
  <c r="BF464" i="2"/>
  <c r="BK463" i="2"/>
  <c r="BJ463" i="2"/>
  <c r="BH463" i="2"/>
  <c r="BG463" i="2"/>
  <c r="BF463" i="2"/>
  <c r="BK462" i="2"/>
  <c r="BJ462" i="2"/>
  <c r="BH462" i="2"/>
  <c r="BG462" i="2"/>
  <c r="BF462" i="2"/>
  <c r="BK461" i="2"/>
  <c r="BJ461" i="2"/>
  <c r="BH461" i="2"/>
  <c r="BG461" i="2"/>
  <c r="BF461" i="2"/>
  <c r="BK460" i="2"/>
  <c r="BJ460" i="2"/>
  <c r="BH460" i="2"/>
  <c r="BG460" i="2"/>
  <c r="BF460" i="2"/>
  <c r="BK459" i="2"/>
  <c r="BJ459" i="2"/>
  <c r="BH459" i="2"/>
  <c r="BG459" i="2"/>
  <c r="BF459" i="2"/>
  <c r="BK458" i="2"/>
  <c r="BJ458" i="2"/>
  <c r="BH458" i="2"/>
  <c r="BG458" i="2"/>
  <c r="BF458" i="2"/>
  <c r="BK457" i="2"/>
  <c r="BJ457" i="2"/>
  <c r="BH457" i="2"/>
  <c r="BG457" i="2"/>
  <c r="BF457" i="2"/>
  <c r="BK456" i="2"/>
  <c r="BJ456" i="2"/>
  <c r="BH456" i="2"/>
  <c r="BG456" i="2"/>
  <c r="BF456" i="2"/>
  <c r="BK455" i="2"/>
  <c r="BJ455" i="2"/>
  <c r="BH455" i="2"/>
  <c r="BG455" i="2"/>
  <c r="BF455" i="2"/>
  <c r="BK454" i="2"/>
  <c r="BJ454" i="2"/>
  <c r="BH454" i="2"/>
  <c r="BG454" i="2"/>
  <c r="BF454" i="2"/>
  <c r="BK453" i="2"/>
  <c r="BJ453" i="2"/>
  <c r="BH453" i="2"/>
  <c r="BG453" i="2"/>
  <c r="BF453" i="2"/>
  <c r="BK452" i="2"/>
  <c r="BJ452" i="2"/>
  <c r="BH452" i="2"/>
  <c r="BG452" i="2"/>
  <c r="BF452" i="2"/>
  <c r="BK451" i="2"/>
  <c r="BJ451" i="2"/>
  <c r="BH451" i="2"/>
  <c r="BG451" i="2"/>
  <c r="BF451" i="2"/>
  <c r="BK450" i="2"/>
  <c r="BJ450" i="2"/>
  <c r="BH450" i="2"/>
  <c r="BG450" i="2"/>
  <c r="BF450" i="2"/>
  <c r="BK449" i="2"/>
  <c r="BJ449" i="2"/>
  <c r="BH449" i="2"/>
  <c r="BG449" i="2"/>
  <c r="BF449" i="2"/>
  <c r="BK448" i="2"/>
  <c r="BJ448" i="2"/>
  <c r="BH448" i="2"/>
  <c r="BG448" i="2"/>
  <c r="BF448" i="2"/>
  <c r="BK447" i="2"/>
  <c r="BJ447" i="2"/>
  <c r="BH447" i="2"/>
  <c r="BG447" i="2"/>
  <c r="BF447" i="2"/>
  <c r="BK446" i="2"/>
  <c r="BJ446" i="2"/>
  <c r="BH446" i="2"/>
  <c r="BG446" i="2"/>
  <c r="BF446" i="2"/>
  <c r="BK445" i="2"/>
  <c r="BJ445" i="2"/>
  <c r="BH445" i="2"/>
  <c r="BG445" i="2"/>
  <c r="BF445" i="2"/>
  <c r="BK444" i="2"/>
  <c r="BJ444" i="2"/>
  <c r="BH444" i="2"/>
  <c r="BG444" i="2"/>
  <c r="BF444" i="2"/>
  <c r="BK443" i="2"/>
  <c r="BJ443" i="2"/>
  <c r="BH443" i="2"/>
  <c r="BG443" i="2"/>
  <c r="BF443" i="2"/>
  <c r="BK442" i="2"/>
  <c r="BJ442" i="2"/>
  <c r="BH442" i="2"/>
  <c r="BG442" i="2"/>
  <c r="BF442" i="2"/>
  <c r="BK441" i="2"/>
  <c r="BJ441" i="2"/>
  <c r="BH441" i="2"/>
  <c r="BG441" i="2"/>
  <c r="BF441" i="2"/>
  <c r="BK440" i="2"/>
  <c r="BJ440" i="2"/>
  <c r="BH440" i="2"/>
  <c r="BG440" i="2"/>
  <c r="BF440" i="2"/>
  <c r="BK439" i="2"/>
  <c r="BJ439" i="2"/>
  <c r="BH439" i="2"/>
  <c r="BG439" i="2"/>
  <c r="BF439" i="2"/>
  <c r="BK438" i="2"/>
  <c r="BJ438" i="2"/>
  <c r="BH438" i="2"/>
  <c r="BG438" i="2"/>
  <c r="BF438" i="2"/>
  <c r="BK437" i="2"/>
  <c r="BJ437" i="2"/>
  <c r="BH437" i="2"/>
  <c r="BG437" i="2"/>
  <c r="BF437" i="2"/>
  <c r="BK436" i="2"/>
  <c r="BJ436" i="2"/>
  <c r="BH436" i="2"/>
  <c r="BG436" i="2"/>
  <c r="BF436" i="2"/>
  <c r="BK435" i="2"/>
  <c r="BJ435" i="2"/>
  <c r="BH435" i="2"/>
  <c r="BG435" i="2"/>
  <c r="BF435" i="2"/>
  <c r="BK434" i="2"/>
  <c r="BJ434" i="2"/>
  <c r="BH434" i="2"/>
  <c r="BG434" i="2"/>
  <c r="BF434" i="2"/>
  <c r="BK433" i="2"/>
  <c r="BJ433" i="2"/>
  <c r="BH433" i="2"/>
  <c r="BG433" i="2"/>
  <c r="BF433" i="2"/>
  <c r="BK432" i="2"/>
  <c r="BJ432" i="2"/>
  <c r="BH432" i="2"/>
  <c r="BG432" i="2"/>
  <c r="BF432" i="2"/>
  <c r="BK431" i="2"/>
  <c r="BJ431" i="2"/>
  <c r="BH431" i="2"/>
  <c r="BG431" i="2"/>
  <c r="BF431" i="2"/>
  <c r="BK430" i="2"/>
  <c r="BJ430" i="2"/>
  <c r="BH430" i="2"/>
  <c r="BG430" i="2"/>
  <c r="BF430" i="2"/>
  <c r="BK429" i="2"/>
  <c r="BJ429" i="2"/>
  <c r="BH429" i="2"/>
  <c r="BG429" i="2"/>
  <c r="BF429" i="2"/>
  <c r="BK428" i="2"/>
  <c r="BJ428" i="2"/>
  <c r="BH428" i="2"/>
  <c r="BG428" i="2"/>
  <c r="BF428" i="2"/>
  <c r="BK427" i="2"/>
  <c r="BJ427" i="2"/>
  <c r="BH427" i="2"/>
  <c r="BG427" i="2"/>
  <c r="BF427" i="2"/>
  <c r="BK426" i="2"/>
  <c r="BJ426" i="2"/>
  <c r="BH426" i="2"/>
  <c r="BG426" i="2"/>
  <c r="BF426" i="2"/>
  <c r="BK425" i="2"/>
  <c r="BJ425" i="2"/>
  <c r="BH425" i="2"/>
  <c r="BG425" i="2"/>
  <c r="BF425" i="2"/>
  <c r="BK424" i="2"/>
  <c r="BJ424" i="2"/>
  <c r="BH424" i="2"/>
  <c r="BG424" i="2"/>
  <c r="BF424" i="2"/>
  <c r="BK423" i="2"/>
  <c r="BJ423" i="2"/>
  <c r="BH423" i="2"/>
  <c r="BG423" i="2"/>
  <c r="BF423" i="2"/>
  <c r="BK422" i="2"/>
  <c r="BJ422" i="2"/>
  <c r="BH422" i="2"/>
  <c r="BG422" i="2"/>
  <c r="BF422" i="2"/>
  <c r="BK421" i="2"/>
  <c r="BJ421" i="2"/>
  <c r="BH421" i="2"/>
  <c r="BG421" i="2"/>
  <c r="BF421" i="2"/>
  <c r="BK420" i="2"/>
  <c r="BJ420" i="2"/>
  <c r="BH420" i="2"/>
  <c r="BG420" i="2"/>
  <c r="BF420" i="2"/>
  <c r="BK419" i="2"/>
  <c r="BJ419" i="2"/>
  <c r="BH419" i="2"/>
  <c r="BG419" i="2"/>
  <c r="BF419" i="2"/>
  <c r="BK418" i="2"/>
  <c r="BJ418" i="2"/>
  <c r="BH418" i="2"/>
  <c r="BG418" i="2"/>
  <c r="BF418" i="2"/>
  <c r="BK417" i="2"/>
  <c r="BJ417" i="2"/>
  <c r="BH417" i="2"/>
  <c r="BG417" i="2"/>
  <c r="BF417" i="2"/>
  <c r="BK416" i="2"/>
  <c r="BJ416" i="2"/>
  <c r="BH416" i="2"/>
  <c r="BG416" i="2"/>
  <c r="BF416" i="2"/>
  <c r="BK415" i="2"/>
  <c r="BJ415" i="2"/>
  <c r="BH415" i="2"/>
  <c r="BG415" i="2"/>
  <c r="BF415" i="2"/>
  <c r="BK414" i="2"/>
  <c r="BJ414" i="2"/>
  <c r="BH414" i="2"/>
  <c r="BG414" i="2"/>
  <c r="BF414" i="2"/>
  <c r="BK413" i="2"/>
  <c r="BJ413" i="2"/>
  <c r="BH413" i="2"/>
  <c r="BG413" i="2"/>
  <c r="BF413" i="2"/>
  <c r="BK412" i="2"/>
  <c r="BJ412" i="2"/>
  <c r="BH412" i="2"/>
  <c r="BG412" i="2"/>
  <c r="BF412" i="2"/>
  <c r="BK411" i="2"/>
  <c r="BJ411" i="2"/>
  <c r="BH411" i="2"/>
  <c r="BG411" i="2"/>
  <c r="BF411" i="2"/>
  <c r="BK410" i="2"/>
  <c r="BJ410" i="2"/>
  <c r="BH410" i="2"/>
  <c r="BG410" i="2"/>
  <c r="BF410" i="2"/>
  <c r="BK409" i="2"/>
  <c r="BJ409" i="2"/>
  <c r="BH409" i="2"/>
  <c r="BG409" i="2"/>
  <c r="BF409" i="2"/>
  <c r="BK408" i="2"/>
  <c r="BJ408" i="2"/>
  <c r="BH408" i="2"/>
  <c r="BG408" i="2"/>
  <c r="BF408" i="2"/>
  <c r="BK407" i="2"/>
  <c r="BJ407" i="2"/>
  <c r="BH407" i="2"/>
  <c r="BG407" i="2"/>
  <c r="BF407" i="2"/>
  <c r="BK406" i="2"/>
  <c r="BJ406" i="2"/>
  <c r="BH406" i="2"/>
  <c r="BG406" i="2"/>
  <c r="BF406" i="2"/>
  <c r="BK405" i="2"/>
  <c r="BJ405" i="2"/>
  <c r="BH405" i="2"/>
  <c r="BG405" i="2"/>
  <c r="BF405" i="2"/>
  <c r="BK404" i="2"/>
  <c r="BJ404" i="2"/>
  <c r="BH404" i="2"/>
  <c r="BG404" i="2"/>
  <c r="BF404" i="2"/>
  <c r="BK403" i="2"/>
  <c r="BJ403" i="2"/>
  <c r="BH403" i="2"/>
  <c r="BG403" i="2"/>
  <c r="BF403" i="2"/>
  <c r="BK402" i="2"/>
  <c r="BJ402" i="2"/>
  <c r="BH402" i="2"/>
  <c r="BG402" i="2"/>
  <c r="BF402" i="2"/>
  <c r="BK401" i="2"/>
  <c r="BJ401" i="2"/>
  <c r="BH401" i="2"/>
  <c r="BG401" i="2"/>
  <c r="BF401" i="2"/>
  <c r="BK400" i="2"/>
  <c r="BJ400" i="2"/>
  <c r="BH400" i="2"/>
  <c r="BG400" i="2"/>
  <c r="BF400" i="2"/>
  <c r="BK399" i="2"/>
  <c r="BJ399" i="2"/>
  <c r="BH399" i="2"/>
  <c r="BG399" i="2"/>
  <c r="BF399" i="2"/>
  <c r="BK398" i="2"/>
  <c r="BJ398" i="2"/>
  <c r="BH398" i="2"/>
  <c r="BG398" i="2"/>
  <c r="BF398" i="2"/>
  <c r="BK397" i="2"/>
  <c r="BJ397" i="2"/>
  <c r="BH397" i="2"/>
  <c r="BG397" i="2"/>
  <c r="BF397" i="2"/>
  <c r="BK396" i="2"/>
  <c r="BJ396" i="2"/>
  <c r="BH396" i="2"/>
  <c r="BG396" i="2"/>
  <c r="BF396" i="2"/>
  <c r="BK395" i="2"/>
  <c r="BJ395" i="2"/>
  <c r="BH395" i="2"/>
  <c r="BG395" i="2"/>
  <c r="BF395" i="2"/>
  <c r="BK394" i="2"/>
  <c r="BJ394" i="2"/>
  <c r="BH394" i="2"/>
  <c r="BG394" i="2"/>
  <c r="BF394" i="2"/>
  <c r="BK393" i="2"/>
  <c r="BJ393" i="2"/>
  <c r="BH393" i="2"/>
  <c r="BG393" i="2"/>
  <c r="BF393" i="2"/>
  <c r="BK392" i="2"/>
  <c r="BJ392" i="2"/>
  <c r="BH392" i="2"/>
  <c r="BG392" i="2"/>
  <c r="BF392" i="2"/>
  <c r="BK391" i="2"/>
  <c r="BJ391" i="2"/>
  <c r="BH391" i="2"/>
  <c r="BG391" i="2"/>
  <c r="BF391" i="2"/>
  <c r="BK390" i="2"/>
  <c r="BJ390" i="2"/>
  <c r="BH390" i="2"/>
  <c r="BG390" i="2"/>
  <c r="BF390" i="2"/>
  <c r="BK389" i="2"/>
  <c r="BJ389" i="2"/>
  <c r="BH389" i="2"/>
  <c r="BG389" i="2"/>
  <c r="BF389" i="2"/>
  <c r="BK388" i="2"/>
  <c r="BJ388" i="2"/>
  <c r="BH388" i="2"/>
  <c r="BG388" i="2"/>
  <c r="BF388" i="2"/>
  <c r="BK387" i="2"/>
  <c r="BJ387" i="2"/>
  <c r="BH387" i="2"/>
  <c r="BG387" i="2"/>
  <c r="BF387" i="2"/>
  <c r="BK386" i="2"/>
  <c r="BJ386" i="2"/>
  <c r="BH386" i="2"/>
  <c r="BG386" i="2"/>
  <c r="BF386" i="2"/>
  <c r="BK385" i="2"/>
  <c r="BJ385" i="2"/>
  <c r="BH385" i="2"/>
  <c r="BG385" i="2"/>
  <c r="BF385" i="2"/>
  <c r="BK384" i="2"/>
  <c r="BJ384" i="2"/>
  <c r="BH384" i="2"/>
  <c r="BG384" i="2"/>
  <c r="BF384" i="2"/>
  <c r="BK383" i="2"/>
  <c r="BJ383" i="2"/>
  <c r="BH383" i="2"/>
  <c r="BG383" i="2"/>
  <c r="BF383" i="2"/>
  <c r="BK382" i="2"/>
  <c r="BJ382" i="2"/>
  <c r="BH382" i="2"/>
  <c r="BG382" i="2"/>
  <c r="BF382" i="2"/>
  <c r="BK381" i="2"/>
  <c r="BJ381" i="2"/>
  <c r="BH381" i="2"/>
  <c r="BG381" i="2"/>
  <c r="BF381" i="2"/>
  <c r="BK380" i="2"/>
  <c r="BJ380" i="2"/>
  <c r="BH380" i="2"/>
  <c r="BG380" i="2"/>
  <c r="BF380" i="2"/>
  <c r="BK379" i="2"/>
  <c r="BJ379" i="2"/>
  <c r="BH379" i="2"/>
  <c r="BG379" i="2"/>
  <c r="BF379" i="2"/>
  <c r="BK378" i="2"/>
  <c r="BJ378" i="2"/>
  <c r="BH378" i="2"/>
  <c r="BG378" i="2"/>
  <c r="BF378" i="2"/>
  <c r="BK377" i="2"/>
  <c r="BJ377" i="2"/>
  <c r="BH377" i="2"/>
  <c r="BG377" i="2"/>
  <c r="BF377" i="2"/>
  <c r="BK376" i="2"/>
  <c r="BJ376" i="2"/>
  <c r="BH376" i="2"/>
  <c r="BG376" i="2"/>
  <c r="BF376" i="2"/>
  <c r="BK375" i="2"/>
  <c r="BJ375" i="2"/>
  <c r="BH375" i="2"/>
  <c r="BG375" i="2"/>
  <c r="BF375" i="2"/>
  <c r="BK374" i="2"/>
  <c r="BJ374" i="2"/>
  <c r="BH374" i="2"/>
  <c r="BG374" i="2"/>
  <c r="BF374" i="2"/>
  <c r="BK373" i="2"/>
  <c r="BJ373" i="2"/>
  <c r="BH373" i="2"/>
  <c r="BG373" i="2"/>
  <c r="BF373" i="2"/>
  <c r="BK372" i="2"/>
  <c r="BJ372" i="2"/>
  <c r="BH372" i="2"/>
  <c r="BG372" i="2"/>
  <c r="BF372" i="2"/>
  <c r="BK371" i="2"/>
  <c r="BJ371" i="2"/>
  <c r="BH371" i="2"/>
  <c r="BG371" i="2"/>
  <c r="BF371" i="2"/>
  <c r="BK370" i="2"/>
  <c r="BJ370" i="2"/>
  <c r="BH370" i="2"/>
  <c r="BG370" i="2"/>
  <c r="BF370" i="2"/>
  <c r="BK369" i="2"/>
  <c r="BJ369" i="2"/>
  <c r="BH369" i="2"/>
  <c r="BG369" i="2"/>
  <c r="BF369" i="2"/>
  <c r="BK368" i="2"/>
  <c r="BJ368" i="2"/>
  <c r="BH368" i="2"/>
  <c r="BG368" i="2"/>
  <c r="BF368" i="2"/>
  <c r="BJ367" i="2"/>
  <c r="BH367" i="2"/>
  <c r="BG367" i="2"/>
  <c r="BF367" i="2"/>
  <c r="BK366" i="2"/>
  <c r="BJ366" i="2"/>
  <c r="BH366" i="2"/>
  <c r="BG366" i="2"/>
  <c r="BF366" i="2"/>
  <c r="BK365" i="2"/>
  <c r="BJ365" i="2"/>
  <c r="BH365" i="2"/>
  <c r="BG365" i="2"/>
  <c r="BF365" i="2"/>
  <c r="BK364" i="2"/>
  <c r="BJ364" i="2"/>
  <c r="BH364" i="2"/>
  <c r="BG364" i="2"/>
  <c r="BK363" i="2"/>
  <c r="BJ363" i="2"/>
  <c r="BH363" i="2"/>
  <c r="BG363" i="2"/>
  <c r="BF363" i="2"/>
  <c r="BK362" i="2"/>
  <c r="BJ362" i="2"/>
  <c r="BH362" i="2"/>
  <c r="BG362" i="2"/>
  <c r="BF362" i="2"/>
  <c r="BK361" i="2"/>
  <c r="BJ361" i="2"/>
  <c r="BH361" i="2"/>
  <c r="BG361" i="2"/>
  <c r="BF361" i="2"/>
  <c r="BK360" i="2"/>
  <c r="BJ360" i="2"/>
  <c r="BH360" i="2"/>
  <c r="BG360" i="2"/>
  <c r="BF360" i="2"/>
  <c r="BK359" i="2"/>
  <c r="BJ359" i="2"/>
  <c r="BH359" i="2"/>
  <c r="BG359" i="2"/>
  <c r="BF359" i="2"/>
  <c r="BK358" i="2"/>
  <c r="BJ358" i="2"/>
  <c r="BH358" i="2"/>
  <c r="BG358" i="2"/>
  <c r="BF358" i="2"/>
  <c r="BK357" i="2"/>
  <c r="BJ357" i="2"/>
  <c r="BH357" i="2"/>
  <c r="BG357" i="2"/>
  <c r="BF357" i="2"/>
  <c r="BK356" i="2"/>
  <c r="BJ356" i="2"/>
  <c r="BH356" i="2"/>
  <c r="BG356" i="2"/>
  <c r="BF356" i="2"/>
  <c r="BK355" i="2"/>
  <c r="BL355" i="2" s="1"/>
  <c r="BR355" i="2" s="1"/>
  <c r="BJ355" i="2"/>
  <c r="BH355" i="2"/>
  <c r="BG355" i="2"/>
  <c r="BF355" i="2"/>
  <c r="BK354" i="2"/>
  <c r="BJ354" i="2"/>
  <c r="BH354" i="2"/>
  <c r="BG354" i="2"/>
  <c r="BF354" i="2"/>
  <c r="BK353" i="2"/>
  <c r="BJ353" i="2"/>
  <c r="BH353" i="2"/>
  <c r="BG353" i="2"/>
  <c r="BF353" i="2"/>
  <c r="BK352" i="2"/>
  <c r="BJ352" i="2"/>
  <c r="BH352" i="2"/>
  <c r="BG352" i="2"/>
  <c r="BF352" i="2"/>
  <c r="BK351" i="2"/>
  <c r="BJ351" i="2"/>
  <c r="BH351" i="2"/>
  <c r="BG351" i="2"/>
  <c r="BF351" i="2"/>
  <c r="BK350" i="2"/>
  <c r="BJ350" i="2"/>
  <c r="BH350" i="2"/>
  <c r="BG350" i="2"/>
  <c r="BF350" i="2"/>
  <c r="BK349" i="2"/>
  <c r="BJ349" i="2"/>
  <c r="BH349" i="2"/>
  <c r="BG349" i="2"/>
  <c r="BF349" i="2"/>
  <c r="BK348" i="2"/>
  <c r="BJ348" i="2"/>
  <c r="BH348" i="2"/>
  <c r="BG348" i="2"/>
  <c r="BF348" i="2"/>
  <c r="BK347" i="2"/>
  <c r="BJ347" i="2"/>
  <c r="BH347" i="2"/>
  <c r="BG347" i="2"/>
  <c r="BF347" i="2"/>
  <c r="BK346" i="2"/>
  <c r="BJ346" i="2"/>
  <c r="BH346" i="2"/>
  <c r="BG346" i="2"/>
  <c r="BF346" i="2"/>
  <c r="BK345" i="2"/>
  <c r="BJ345" i="2"/>
  <c r="BH345" i="2"/>
  <c r="BG345" i="2"/>
  <c r="BF345" i="2"/>
  <c r="BK344" i="2"/>
  <c r="BJ344" i="2"/>
  <c r="BH344" i="2"/>
  <c r="BG344" i="2"/>
  <c r="BF344" i="2"/>
  <c r="BK343" i="2"/>
  <c r="BJ343" i="2"/>
  <c r="BH343" i="2"/>
  <c r="BG343" i="2"/>
  <c r="BF343" i="2"/>
  <c r="BK342" i="2"/>
  <c r="BJ342" i="2"/>
  <c r="BH342" i="2"/>
  <c r="BG342" i="2"/>
  <c r="BF342" i="2"/>
  <c r="BK341" i="2"/>
  <c r="BJ341" i="2"/>
  <c r="BH341" i="2"/>
  <c r="BG341" i="2"/>
  <c r="BF341" i="2"/>
  <c r="BK340" i="2"/>
  <c r="BJ340" i="2"/>
  <c r="BH340" i="2"/>
  <c r="BG340" i="2"/>
  <c r="BF340" i="2"/>
  <c r="BK339" i="2"/>
  <c r="BJ339" i="2"/>
  <c r="BH339" i="2"/>
  <c r="BG339" i="2"/>
  <c r="BF339" i="2"/>
  <c r="BK338" i="2"/>
  <c r="BJ338" i="2"/>
  <c r="BH338" i="2"/>
  <c r="BG338" i="2"/>
  <c r="BF338" i="2"/>
  <c r="BK337" i="2"/>
  <c r="BJ337" i="2"/>
  <c r="BH337" i="2"/>
  <c r="BG337" i="2"/>
  <c r="BF337" i="2"/>
  <c r="BK336" i="2"/>
  <c r="BJ336" i="2"/>
  <c r="BH336" i="2"/>
  <c r="BG336" i="2"/>
  <c r="BF336" i="2"/>
  <c r="BK335" i="2"/>
  <c r="BJ335" i="2"/>
  <c r="BH335" i="2"/>
  <c r="BG335" i="2"/>
  <c r="BF335" i="2"/>
  <c r="BK334" i="2"/>
  <c r="BJ334" i="2"/>
  <c r="BH334" i="2"/>
  <c r="BG334" i="2"/>
  <c r="BF334" i="2"/>
  <c r="BK333" i="2"/>
  <c r="BJ333" i="2"/>
  <c r="BH333" i="2"/>
  <c r="BG333" i="2"/>
  <c r="BF333" i="2"/>
  <c r="BK332" i="2"/>
  <c r="BJ332" i="2"/>
  <c r="BH332" i="2"/>
  <c r="BG332" i="2"/>
  <c r="BF332" i="2"/>
  <c r="BK331" i="2"/>
  <c r="BJ331" i="2"/>
  <c r="BH331" i="2"/>
  <c r="BG331" i="2"/>
  <c r="BF331" i="2"/>
  <c r="BK330" i="2"/>
  <c r="BJ330" i="2"/>
  <c r="BH330" i="2"/>
  <c r="BG330" i="2"/>
  <c r="BF330" i="2"/>
  <c r="BK329" i="2"/>
  <c r="BJ329" i="2"/>
  <c r="BH329" i="2"/>
  <c r="BG329" i="2"/>
  <c r="BF329" i="2"/>
  <c r="BK328" i="2"/>
  <c r="BJ328" i="2"/>
  <c r="BH328" i="2"/>
  <c r="BG328" i="2"/>
  <c r="BF328" i="2"/>
  <c r="BK327" i="2"/>
  <c r="BJ327" i="2"/>
  <c r="BH327" i="2"/>
  <c r="BG327" i="2"/>
  <c r="BF327" i="2"/>
  <c r="BK326" i="2"/>
  <c r="BJ326" i="2"/>
  <c r="BH326" i="2"/>
  <c r="BG326" i="2"/>
  <c r="BF326" i="2"/>
  <c r="BK325" i="2"/>
  <c r="BJ325" i="2"/>
  <c r="BH325" i="2"/>
  <c r="BG325" i="2"/>
  <c r="BF325" i="2"/>
  <c r="BK324" i="2"/>
  <c r="BJ324" i="2"/>
  <c r="BH324" i="2"/>
  <c r="BG324" i="2"/>
  <c r="BF324" i="2"/>
  <c r="BK323" i="2"/>
  <c r="BJ323" i="2"/>
  <c r="BH323" i="2"/>
  <c r="BG323" i="2"/>
  <c r="BF323" i="2"/>
  <c r="BK322" i="2"/>
  <c r="BJ322" i="2"/>
  <c r="BH322" i="2"/>
  <c r="BG322" i="2"/>
  <c r="BF322" i="2"/>
  <c r="BK321" i="2"/>
  <c r="BJ321" i="2"/>
  <c r="BH321" i="2"/>
  <c r="BG321" i="2"/>
  <c r="BF321" i="2"/>
  <c r="BK320" i="2"/>
  <c r="BJ320" i="2"/>
  <c r="BH320" i="2"/>
  <c r="BG320" i="2"/>
  <c r="BF320" i="2"/>
  <c r="BK319" i="2"/>
  <c r="BJ319" i="2"/>
  <c r="BH319" i="2"/>
  <c r="BG319" i="2"/>
  <c r="BF319" i="2"/>
  <c r="BK318" i="2"/>
  <c r="BJ318" i="2"/>
  <c r="BH318" i="2"/>
  <c r="BG318" i="2"/>
  <c r="BF318" i="2"/>
  <c r="BK317" i="2"/>
  <c r="BJ317" i="2"/>
  <c r="BH317" i="2"/>
  <c r="BG317" i="2"/>
  <c r="BF317" i="2"/>
  <c r="BK316" i="2"/>
  <c r="BJ316" i="2"/>
  <c r="BH316" i="2"/>
  <c r="BG316" i="2"/>
  <c r="BF316" i="2"/>
  <c r="BK315" i="2"/>
  <c r="BJ315" i="2"/>
  <c r="BH315" i="2"/>
  <c r="BG315" i="2"/>
  <c r="BF315" i="2"/>
  <c r="BK314" i="2"/>
  <c r="BJ314" i="2"/>
  <c r="BH314" i="2"/>
  <c r="BG314" i="2"/>
  <c r="BF314" i="2"/>
  <c r="BK313" i="2"/>
  <c r="BJ313" i="2"/>
  <c r="BH313" i="2"/>
  <c r="BG313" i="2"/>
  <c r="BF313" i="2"/>
  <c r="BK312" i="2"/>
  <c r="BJ312" i="2"/>
  <c r="BH312" i="2"/>
  <c r="BG312" i="2"/>
  <c r="BF312" i="2"/>
  <c r="BK311" i="2"/>
  <c r="BJ311" i="2"/>
  <c r="BH311" i="2"/>
  <c r="BG311" i="2"/>
  <c r="BF311" i="2"/>
  <c r="BK310" i="2"/>
  <c r="BJ310" i="2"/>
  <c r="BH310" i="2"/>
  <c r="BG310" i="2"/>
  <c r="BF310" i="2"/>
  <c r="BK309" i="2"/>
  <c r="BJ309" i="2"/>
  <c r="BH309" i="2"/>
  <c r="BG309" i="2"/>
  <c r="BF309" i="2"/>
  <c r="BK308" i="2"/>
  <c r="BJ308" i="2"/>
  <c r="BH308" i="2"/>
  <c r="BG308" i="2"/>
  <c r="BF308" i="2"/>
  <c r="BK307" i="2"/>
  <c r="BJ307" i="2"/>
  <c r="BH307" i="2"/>
  <c r="BG307" i="2"/>
  <c r="BF307" i="2"/>
  <c r="BK306" i="2"/>
  <c r="BJ306" i="2"/>
  <c r="BH306" i="2"/>
  <c r="BG306" i="2"/>
  <c r="BF306" i="2"/>
  <c r="BK305" i="2"/>
  <c r="BJ305" i="2"/>
  <c r="BH305" i="2"/>
  <c r="BG305" i="2"/>
  <c r="BF305" i="2"/>
  <c r="BK304" i="2"/>
  <c r="BJ304" i="2"/>
  <c r="BH304" i="2"/>
  <c r="BG304" i="2"/>
  <c r="BF304" i="2"/>
  <c r="BK303" i="2"/>
  <c r="BJ303" i="2"/>
  <c r="BH303" i="2"/>
  <c r="BG303" i="2"/>
  <c r="BF303" i="2"/>
  <c r="BK302" i="2"/>
  <c r="BJ302" i="2"/>
  <c r="BH302" i="2"/>
  <c r="BG302" i="2"/>
  <c r="BF302" i="2"/>
  <c r="BK301" i="2"/>
  <c r="BJ301" i="2"/>
  <c r="BH301" i="2"/>
  <c r="BG301" i="2"/>
  <c r="BF301" i="2"/>
  <c r="BK300" i="2"/>
  <c r="BJ300" i="2"/>
  <c r="BH300" i="2"/>
  <c r="BG300" i="2"/>
  <c r="BF300" i="2"/>
  <c r="BK299" i="2"/>
  <c r="BJ299" i="2"/>
  <c r="BH299" i="2"/>
  <c r="BG299" i="2"/>
  <c r="BF299" i="2"/>
  <c r="BK298" i="2"/>
  <c r="BJ298" i="2"/>
  <c r="BH298" i="2"/>
  <c r="BG298" i="2"/>
  <c r="BF298" i="2"/>
  <c r="BK297" i="2"/>
  <c r="BJ297" i="2"/>
  <c r="BH297" i="2"/>
  <c r="BG297" i="2"/>
  <c r="BF297" i="2"/>
  <c r="BK296" i="2"/>
  <c r="BJ296" i="2"/>
  <c r="BH296" i="2"/>
  <c r="BG296" i="2"/>
  <c r="BF296" i="2"/>
  <c r="BK295" i="2"/>
  <c r="BJ295" i="2"/>
  <c r="BH295" i="2"/>
  <c r="BG295" i="2"/>
  <c r="BF295" i="2"/>
  <c r="BK294" i="2"/>
  <c r="BJ294" i="2"/>
  <c r="BH294" i="2"/>
  <c r="BG294" i="2"/>
  <c r="BF294" i="2"/>
  <c r="BK293" i="2"/>
  <c r="BJ293" i="2"/>
  <c r="BH293" i="2"/>
  <c r="BG293" i="2"/>
  <c r="BF293" i="2"/>
  <c r="BK292" i="2"/>
  <c r="BJ292" i="2"/>
  <c r="BH292" i="2"/>
  <c r="BG292" i="2"/>
  <c r="BF292" i="2"/>
  <c r="BK291" i="2"/>
  <c r="BJ291" i="2"/>
  <c r="BH291" i="2"/>
  <c r="BG291" i="2"/>
  <c r="BF291" i="2"/>
  <c r="BK290" i="2"/>
  <c r="BJ290" i="2"/>
  <c r="BH290" i="2"/>
  <c r="BG290" i="2"/>
  <c r="BF290" i="2"/>
  <c r="BK289" i="2"/>
  <c r="BJ289" i="2"/>
  <c r="BH289" i="2"/>
  <c r="BG289" i="2"/>
  <c r="BF289" i="2"/>
  <c r="BK288" i="2"/>
  <c r="BJ288" i="2"/>
  <c r="BH288" i="2"/>
  <c r="BG288" i="2"/>
  <c r="BF288" i="2"/>
  <c r="BK287" i="2"/>
  <c r="BJ287" i="2"/>
  <c r="BH287" i="2"/>
  <c r="BG287" i="2"/>
  <c r="BF287" i="2"/>
  <c r="BK286" i="2"/>
  <c r="BJ286" i="2"/>
  <c r="BH286" i="2"/>
  <c r="BG286" i="2"/>
  <c r="BF286" i="2"/>
  <c r="BK285" i="2"/>
  <c r="BJ285" i="2"/>
  <c r="BH285" i="2"/>
  <c r="BG285" i="2"/>
  <c r="BF285" i="2"/>
  <c r="BK284" i="2"/>
  <c r="BJ284" i="2"/>
  <c r="BH284" i="2"/>
  <c r="BG284" i="2"/>
  <c r="BF284" i="2"/>
  <c r="BK283" i="2"/>
  <c r="BJ283" i="2"/>
  <c r="BH283" i="2"/>
  <c r="BG283" i="2"/>
  <c r="BF283" i="2"/>
  <c r="BK282" i="2"/>
  <c r="BJ282" i="2"/>
  <c r="BH282" i="2"/>
  <c r="BG282" i="2"/>
  <c r="BF282" i="2"/>
  <c r="BK281" i="2"/>
  <c r="BJ281" i="2"/>
  <c r="BH281" i="2"/>
  <c r="BG281" i="2"/>
  <c r="BF281" i="2"/>
  <c r="BK280" i="2"/>
  <c r="BJ280" i="2"/>
  <c r="BH280" i="2"/>
  <c r="BG280" i="2"/>
  <c r="BF280" i="2"/>
  <c r="BK279" i="2"/>
  <c r="BJ279" i="2"/>
  <c r="BH279" i="2"/>
  <c r="BG279" i="2"/>
  <c r="BF279" i="2"/>
  <c r="BK278" i="2"/>
  <c r="BJ278" i="2"/>
  <c r="BH278" i="2"/>
  <c r="BG278" i="2"/>
  <c r="BF278" i="2"/>
  <c r="BK277" i="2"/>
  <c r="BJ277" i="2"/>
  <c r="BH277" i="2"/>
  <c r="BG277" i="2"/>
  <c r="BF277" i="2"/>
  <c r="BK276" i="2"/>
  <c r="BJ276" i="2"/>
  <c r="BH276" i="2"/>
  <c r="BG276" i="2"/>
  <c r="BF276" i="2"/>
  <c r="BK275" i="2"/>
  <c r="BJ275" i="2"/>
  <c r="BH275" i="2"/>
  <c r="BG275" i="2"/>
  <c r="BF275" i="2"/>
  <c r="BK274" i="2"/>
  <c r="BJ274" i="2"/>
  <c r="BH274" i="2"/>
  <c r="BG274" i="2"/>
  <c r="BF274" i="2"/>
  <c r="BK273" i="2"/>
  <c r="BJ273" i="2"/>
  <c r="BH273" i="2"/>
  <c r="BG273" i="2"/>
  <c r="BF273" i="2"/>
  <c r="BK272" i="2"/>
  <c r="BJ272" i="2"/>
  <c r="BH272" i="2"/>
  <c r="BG272" i="2"/>
  <c r="BF272" i="2"/>
  <c r="BK271" i="2"/>
  <c r="BJ271" i="2"/>
  <c r="BH271" i="2"/>
  <c r="BG271" i="2"/>
  <c r="BF271" i="2"/>
  <c r="BK270" i="2"/>
  <c r="BJ270" i="2"/>
  <c r="BH270" i="2"/>
  <c r="BG270" i="2"/>
  <c r="BF270" i="2"/>
  <c r="BK269" i="2"/>
  <c r="BJ269" i="2"/>
  <c r="BH269" i="2"/>
  <c r="BG269" i="2"/>
  <c r="BF269" i="2"/>
  <c r="BK268" i="2"/>
  <c r="BJ268" i="2"/>
  <c r="BH268" i="2"/>
  <c r="BG268" i="2"/>
  <c r="BF268" i="2"/>
  <c r="BK267" i="2"/>
  <c r="BJ267" i="2"/>
  <c r="BH267" i="2"/>
  <c r="BG267" i="2"/>
  <c r="BF267" i="2"/>
  <c r="BK266" i="2"/>
  <c r="BJ266" i="2"/>
  <c r="BH266" i="2"/>
  <c r="BG266" i="2"/>
  <c r="BF266" i="2"/>
  <c r="BK265" i="2"/>
  <c r="BJ265" i="2"/>
  <c r="BH265" i="2"/>
  <c r="BG265" i="2"/>
  <c r="BF265" i="2"/>
  <c r="BK264" i="2"/>
  <c r="BJ264" i="2"/>
  <c r="BH264" i="2"/>
  <c r="BG264" i="2"/>
  <c r="BF264" i="2"/>
  <c r="BK263" i="2"/>
  <c r="BJ263" i="2"/>
  <c r="BH263" i="2"/>
  <c r="BG263" i="2"/>
  <c r="BF263" i="2"/>
  <c r="BK262" i="2"/>
  <c r="BJ262" i="2"/>
  <c r="BH262" i="2"/>
  <c r="BG262" i="2"/>
  <c r="BF262" i="2"/>
  <c r="BK261" i="2"/>
  <c r="BJ261" i="2"/>
  <c r="BH261" i="2"/>
  <c r="BG261" i="2"/>
  <c r="BF261" i="2"/>
  <c r="BK260" i="2"/>
  <c r="BJ260" i="2"/>
  <c r="BH260" i="2"/>
  <c r="BG260" i="2"/>
  <c r="BF260" i="2"/>
  <c r="BK259" i="2"/>
  <c r="BJ259" i="2"/>
  <c r="BH259" i="2"/>
  <c r="BG259" i="2"/>
  <c r="BF259" i="2"/>
  <c r="BK258" i="2"/>
  <c r="BJ258" i="2"/>
  <c r="BH258" i="2"/>
  <c r="BG258" i="2"/>
  <c r="BF258" i="2"/>
  <c r="BK257" i="2"/>
  <c r="BJ257" i="2"/>
  <c r="BH257" i="2"/>
  <c r="BG257" i="2"/>
  <c r="BF257" i="2"/>
  <c r="BK256" i="2"/>
  <c r="BJ256" i="2"/>
  <c r="BH256" i="2"/>
  <c r="BG256" i="2"/>
  <c r="BF256" i="2"/>
  <c r="BK255" i="2"/>
  <c r="BJ255" i="2"/>
  <c r="BH255" i="2"/>
  <c r="BG255" i="2"/>
  <c r="BF255" i="2"/>
  <c r="BK254" i="2"/>
  <c r="BJ254" i="2"/>
  <c r="BH254" i="2"/>
  <c r="BG254" i="2"/>
  <c r="BF254" i="2"/>
  <c r="BK253" i="2"/>
  <c r="BJ253" i="2"/>
  <c r="BH253" i="2"/>
  <c r="BG253" i="2"/>
  <c r="BF253" i="2"/>
  <c r="BK252" i="2"/>
  <c r="BJ252" i="2"/>
  <c r="BH252" i="2"/>
  <c r="BG252" i="2"/>
  <c r="BF252" i="2"/>
  <c r="BK251" i="2"/>
  <c r="BJ251" i="2"/>
  <c r="BH251" i="2"/>
  <c r="BG251" i="2"/>
  <c r="BF251" i="2"/>
  <c r="BK250" i="2"/>
  <c r="BJ250" i="2"/>
  <c r="BH250" i="2"/>
  <c r="BG250" i="2"/>
  <c r="BF250" i="2"/>
  <c r="BK249" i="2"/>
  <c r="BJ249" i="2"/>
  <c r="BH249" i="2"/>
  <c r="BG249" i="2"/>
  <c r="BF249" i="2"/>
  <c r="BK248" i="2"/>
  <c r="BJ248" i="2"/>
  <c r="BH248" i="2"/>
  <c r="BG248" i="2"/>
  <c r="BF248" i="2"/>
  <c r="BK247" i="2"/>
  <c r="BJ247" i="2"/>
  <c r="BH247" i="2"/>
  <c r="BG247" i="2"/>
  <c r="BF247" i="2"/>
  <c r="BK246" i="2"/>
  <c r="BJ246" i="2"/>
  <c r="BH246" i="2"/>
  <c r="BG246" i="2"/>
  <c r="BF246" i="2"/>
  <c r="BK245" i="2"/>
  <c r="BJ245" i="2"/>
  <c r="BH245" i="2"/>
  <c r="BG245" i="2"/>
  <c r="BF245" i="2"/>
  <c r="BK244" i="2"/>
  <c r="BJ244" i="2"/>
  <c r="BH244" i="2"/>
  <c r="BG244" i="2"/>
  <c r="BF244" i="2"/>
  <c r="BK243" i="2"/>
  <c r="BJ243" i="2"/>
  <c r="BH243" i="2"/>
  <c r="BG243" i="2"/>
  <c r="BF243" i="2"/>
  <c r="BK242" i="2"/>
  <c r="BJ242" i="2"/>
  <c r="BH242" i="2"/>
  <c r="BG242" i="2"/>
  <c r="BF242" i="2"/>
  <c r="BK241" i="2"/>
  <c r="BJ241" i="2"/>
  <c r="BH241" i="2"/>
  <c r="BG241" i="2"/>
  <c r="BF241" i="2"/>
  <c r="BK240" i="2"/>
  <c r="BJ240" i="2"/>
  <c r="BH240" i="2"/>
  <c r="BG240" i="2"/>
  <c r="BF240" i="2"/>
  <c r="BK239" i="2"/>
  <c r="BJ239" i="2"/>
  <c r="BH239" i="2"/>
  <c r="BG239" i="2"/>
  <c r="BF239" i="2"/>
  <c r="BK238" i="2"/>
  <c r="BJ238" i="2"/>
  <c r="BH238" i="2"/>
  <c r="BG238" i="2"/>
  <c r="BF238" i="2"/>
  <c r="BK237" i="2"/>
  <c r="BJ237" i="2"/>
  <c r="BH237" i="2"/>
  <c r="BG237" i="2"/>
  <c r="BF237" i="2"/>
  <c r="BK236" i="2"/>
  <c r="BJ236" i="2"/>
  <c r="BH236" i="2"/>
  <c r="BG236" i="2"/>
  <c r="BF236" i="2"/>
  <c r="BK235" i="2"/>
  <c r="BJ235" i="2"/>
  <c r="BH235" i="2"/>
  <c r="BG235" i="2"/>
  <c r="BF235" i="2"/>
  <c r="BK234" i="2"/>
  <c r="BJ234" i="2"/>
  <c r="BH234" i="2"/>
  <c r="BG234" i="2"/>
  <c r="BF234" i="2"/>
  <c r="BK233" i="2"/>
  <c r="BJ233" i="2"/>
  <c r="BH233" i="2"/>
  <c r="BG233" i="2"/>
  <c r="BF233" i="2"/>
  <c r="BK232" i="2"/>
  <c r="BJ232" i="2"/>
  <c r="BH232" i="2"/>
  <c r="BG232" i="2"/>
  <c r="BF232" i="2"/>
  <c r="BK231" i="2"/>
  <c r="BJ231" i="2"/>
  <c r="BH231" i="2"/>
  <c r="BG231" i="2"/>
  <c r="BF231" i="2"/>
  <c r="BK230" i="2"/>
  <c r="BJ230" i="2"/>
  <c r="BH230" i="2"/>
  <c r="BG230" i="2"/>
  <c r="BF230" i="2"/>
  <c r="BK229" i="2"/>
  <c r="BJ229" i="2"/>
  <c r="BH229" i="2"/>
  <c r="BG229" i="2"/>
  <c r="BF229" i="2"/>
  <c r="BK228" i="2"/>
  <c r="BJ228" i="2"/>
  <c r="BH228" i="2"/>
  <c r="BG228" i="2"/>
  <c r="BF228" i="2"/>
  <c r="BK227" i="2"/>
  <c r="BJ227" i="2"/>
  <c r="BH227" i="2"/>
  <c r="BG227" i="2"/>
  <c r="BF227" i="2"/>
  <c r="BK226" i="2"/>
  <c r="BJ226" i="2"/>
  <c r="BH226" i="2"/>
  <c r="BG226" i="2"/>
  <c r="BF226" i="2"/>
  <c r="BK225" i="2"/>
  <c r="BJ225" i="2"/>
  <c r="BH225" i="2"/>
  <c r="BG225" i="2"/>
  <c r="BF225" i="2"/>
  <c r="BK224" i="2"/>
  <c r="BJ224" i="2"/>
  <c r="BH224" i="2"/>
  <c r="BG224" i="2"/>
  <c r="BF224" i="2"/>
  <c r="BK223" i="2"/>
  <c r="BJ223" i="2"/>
  <c r="BH223" i="2"/>
  <c r="BG223" i="2"/>
  <c r="BF223" i="2"/>
  <c r="BK222" i="2"/>
  <c r="BJ222" i="2"/>
  <c r="BH222" i="2"/>
  <c r="BG222" i="2"/>
  <c r="BF222" i="2"/>
  <c r="BK221" i="2"/>
  <c r="BJ221" i="2"/>
  <c r="BH221" i="2"/>
  <c r="BG221" i="2"/>
  <c r="BF221" i="2"/>
  <c r="BK220" i="2"/>
  <c r="BJ220" i="2"/>
  <c r="BH220" i="2"/>
  <c r="BG220" i="2"/>
  <c r="BF220" i="2"/>
  <c r="BK219" i="2"/>
  <c r="BJ219" i="2"/>
  <c r="BH219" i="2"/>
  <c r="BG219" i="2"/>
  <c r="BF219" i="2"/>
  <c r="BK218" i="2"/>
  <c r="BJ218" i="2"/>
  <c r="BH218" i="2"/>
  <c r="BG218" i="2"/>
  <c r="BF218" i="2"/>
  <c r="BK217" i="2"/>
  <c r="BJ217" i="2"/>
  <c r="BH217" i="2"/>
  <c r="BG217" i="2"/>
  <c r="BF217" i="2"/>
  <c r="BK216" i="2"/>
  <c r="BJ216" i="2"/>
  <c r="BH216" i="2"/>
  <c r="BG216" i="2"/>
  <c r="BF216" i="2"/>
  <c r="BK215" i="2"/>
  <c r="BJ215" i="2"/>
  <c r="BH215" i="2"/>
  <c r="BG215" i="2"/>
  <c r="BF215" i="2"/>
  <c r="BK214" i="2"/>
  <c r="BJ214" i="2"/>
  <c r="BH214" i="2"/>
  <c r="BG214" i="2"/>
  <c r="BF214" i="2"/>
  <c r="BK213" i="2"/>
  <c r="BJ213" i="2"/>
  <c r="BH213" i="2"/>
  <c r="BG213" i="2"/>
  <c r="BF213" i="2"/>
  <c r="BK212" i="2"/>
  <c r="BJ212" i="2"/>
  <c r="BH212" i="2"/>
  <c r="BG212" i="2"/>
  <c r="BF212" i="2"/>
  <c r="BK211" i="2"/>
  <c r="BJ211" i="2"/>
  <c r="BH211" i="2"/>
  <c r="BG211" i="2"/>
  <c r="BF211" i="2"/>
  <c r="BK210" i="2"/>
  <c r="BJ210" i="2"/>
  <c r="BH210" i="2"/>
  <c r="BG210" i="2"/>
  <c r="BF210" i="2"/>
  <c r="BK209" i="2"/>
  <c r="BJ209" i="2"/>
  <c r="BH209" i="2"/>
  <c r="BG209" i="2"/>
  <c r="BF209" i="2"/>
  <c r="BK208" i="2"/>
  <c r="BJ208" i="2"/>
  <c r="BH208" i="2"/>
  <c r="BG208" i="2"/>
  <c r="BF208" i="2"/>
  <c r="BK207" i="2"/>
  <c r="BJ207" i="2"/>
  <c r="BH207" i="2"/>
  <c r="BG207" i="2"/>
  <c r="BF207" i="2"/>
  <c r="BK206" i="2"/>
  <c r="BJ206" i="2"/>
  <c r="BH206" i="2"/>
  <c r="BG206" i="2"/>
  <c r="BF206" i="2"/>
  <c r="BK205" i="2"/>
  <c r="BJ205" i="2"/>
  <c r="BH205" i="2"/>
  <c r="BG205" i="2"/>
  <c r="BF205" i="2"/>
  <c r="BK204" i="2"/>
  <c r="BJ204" i="2"/>
  <c r="BH204" i="2"/>
  <c r="BG204" i="2"/>
  <c r="BF204" i="2"/>
  <c r="BK203" i="2"/>
  <c r="BJ203" i="2"/>
  <c r="BH203" i="2"/>
  <c r="BG203" i="2"/>
  <c r="BF203" i="2"/>
  <c r="BK202" i="2"/>
  <c r="BJ202" i="2"/>
  <c r="BH202" i="2"/>
  <c r="BG202" i="2"/>
  <c r="BF202" i="2"/>
  <c r="BK201" i="2"/>
  <c r="BJ201" i="2"/>
  <c r="BH201" i="2"/>
  <c r="BG201" i="2"/>
  <c r="BF201" i="2"/>
  <c r="BK200" i="2"/>
  <c r="BJ200" i="2"/>
  <c r="BH200" i="2"/>
  <c r="BG200" i="2"/>
  <c r="BF200" i="2"/>
  <c r="BK199" i="2"/>
  <c r="BJ199" i="2"/>
  <c r="BH199" i="2"/>
  <c r="BG199" i="2"/>
  <c r="BF199" i="2"/>
  <c r="BK198" i="2"/>
  <c r="BJ198" i="2"/>
  <c r="BH198" i="2"/>
  <c r="BG198" i="2"/>
  <c r="BF198" i="2"/>
  <c r="BK197" i="2"/>
  <c r="BJ197" i="2"/>
  <c r="BH197" i="2"/>
  <c r="BG197" i="2"/>
  <c r="BF197" i="2"/>
  <c r="BK196" i="2"/>
  <c r="BJ196" i="2"/>
  <c r="BH196" i="2"/>
  <c r="BG196" i="2"/>
  <c r="BF196" i="2"/>
  <c r="BK195" i="2"/>
  <c r="BJ195" i="2"/>
  <c r="BH195" i="2"/>
  <c r="BG195" i="2"/>
  <c r="BF195" i="2"/>
  <c r="BK194" i="2"/>
  <c r="BJ194" i="2"/>
  <c r="BH194" i="2"/>
  <c r="BG194" i="2"/>
  <c r="BF194" i="2"/>
  <c r="BK193" i="2"/>
  <c r="BJ193" i="2"/>
  <c r="BH193" i="2"/>
  <c r="BG193" i="2"/>
  <c r="BF193" i="2"/>
  <c r="BK192" i="2"/>
  <c r="BJ192" i="2"/>
  <c r="BH192" i="2"/>
  <c r="BG192" i="2"/>
  <c r="BF192" i="2"/>
  <c r="BK191" i="2"/>
  <c r="BJ191" i="2"/>
  <c r="BH191" i="2"/>
  <c r="BG191" i="2"/>
  <c r="BF191" i="2"/>
  <c r="BK190" i="2"/>
  <c r="BJ190" i="2"/>
  <c r="BH190" i="2"/>
  <c r="BG190" i="2"/>
  <c r="BF190" i="2"/>
  <c r="BK189" i="2"/>
  <c r="BJ189" i="2"/>
  <c r="BH189" i="2"/>
  <c r="BG189" i="2"/>
  <c r="BF189" i="2"/>
  <c r="BK188" i="2"/>
  <c r="BJ188" i="2"/>
  <c r="BH188" i="2"/>
  <c r="BG188" i="2"/>
  <c r="BF188" i="2"/>
  <c r="BK187" i="2"/>
  <c r="BJ187" i="2"/>
  <c r="BH187" i="2"/>
  <c r="BG187" i="2"/>
  <c r="BF187" i="2"/>
  <c r="BK186" i="2"/>
  <c r="BJ186" i="2"/>
  <c r="BH186" i="2"/>
  <c r="BG186" i="2"/>
  <c r="BF186" i="2"/>
  <c r="BK185" i="2"/>
  <c r="BJ185" i="2"/>
  <c r="BH185" i="2"/>
  <c r="BG185" i="2"/>
  <c r="BF185" i="2"/>
  <c r="BK184" i="2"/>
  <c r="BJ184" i="2"/>
  <c r="BH184" i="2"/>
  <c r="BG184" i="2"/>
  <c r="BF184" i="2"/>
  <c r="BK183" i="2"/>
  <c r="BJ183" i="2"/>
  <c r="BH183" i="2"/>
  <c r="BG183" i="2"/>
  <c r="BF183" i="2"/>
  <c r="BK182" i="2"/>
  <c r="BJ182" i="2"/>
  <c r="BH182" i="2"/>
  <c r="BG182" i="2"/>
  <c r="BF182" i="2"/>
  <c r="BK181" i="2"/>
  <c r="BJ181" i="2"/>
  <c r="BH181" i="2"/>
  <c r="BG181" i="2"/>
  <c r="BF181" i="2"/>
  <c r="BK180" i="2"/>
  <c r="BJ180" i="2"/>
  <c r="BH180" i="2"/>
  <c r="BG180" i="2"/>
  <c r="BF180" i="2"/>
  <c r="BK179" i="2"/>
  <c r="BJ179" i="2"/>
  <c r="BH179" i="2"/>
  <c r="BG179" i="2"/>
  <c r="BF179" i="2"/>
  <c r="BK178" i="2"/>
  <c r="BJ178" i="2"/>
  <c r="BH178" i="2"/>
  <c r="BG178" i="2"/>
  <c r="BF178" i="2"/>
  <c r="BK177" i="2"/>
  <c r="BJ177" i="2"/>
  <c r="BH177" i="2"/>
  <c r="BG177" i="2"/>
  <c r="BF177" i="2"/>
  <c r="BK176" i="2"/>
  <c r="BJ176" i="2"/>
  <c r="BH176" i="2"/>
  <c r="BG176" i="2"/>
  <c r="BF176" i="2"/>
  <c r="BK175" i="2"/>
  <c r="BJ175" i="2"/>
  <c r="BH175" i="2"/>
  <c r="BG175" i="2"/>
  <c r="BF175" i="2"/>
  <c r="BK174" i="2"/>
  <c r="BJ174" i="2"/>
  <c r="BH174" i="2"/>
  <c r="BG174" i="2"/>
  <c r="BF174" i="2"/>
  <c r="BK173" i="2"/>
  <c r="BJ173" i="2"/>
  <c r="BH173" i="2"/>
  <c r="BG173" i="2"/>
  <c r="BF173" i="2"/>
  <c r="BK172" i="2"/>
  <c r="BJ172" i="2"/>
  <c r="BH172" i="2"/>
  <c r="BG172" i="2"/>
  <c r="BF172" i="2"/>
  <c r="BK171" i="2"/>
  <c r="BJ171" i="2"/>
  <c r="BH171" i="2"/>
  <c r="BG171" i="2"/>
  <c r="BF171" i="2"/>
  <c r="BK170" i="2"/>
  <c r="BJ170" i="2"/>
  <c r="BH170" i="2"/>
  <c r="BG170" i="2"/>
  <c r="BF170" i="2"/>
  <c r="BK169" i="2"/>
  <c r="BJ169" i="2"/>
  <c r="BH169" i="2"/>
  <c r="BG169" i="2"/>
  <c r="BF169" i="2"/>
  <c r="BK168" i="2"/>
  <c r="BJ168" i="2"/>
  <c r="BH168" i="2"/>
  <c r="BG168" i="2"/>
  <c r="BF168" i="2"/>
  <c r="BK167" i="2"/>
  <c r="BJ167" i="2"/>
  <c r="BH167" i="2"/>
  <c r="BG167" i="2"/>
  <c r="BF167" i="2"/>
  <c r="BK166" i="2"/>
  <c r="BJ166" i="2"/>
  <c r="BH166" i="2"/>
  <c r="BG166" i="2"/>
  <c r="BF166" i="2"/>
  <c r="BK165" i="2"/>
  <c r="BJ165" i="2"/>
  <c r="BH165" i="2"/>
  <c r="BG165" i="2"/>
  <c r="BF165" i="2"/>
  <c r="BK164" i="2"/>
  <c r="BJ164" i="2"/>
  <c r="BH164" i="2"/>
  <c r="BG164" i="2"/>
  <c r="BF164" i="2"/>
  <c r="BK163" i="2"/>
  <c r="BJ163" i="2"/>
  <c r="BH163" i="2"/>
  <c r="BG163" i="2"/>
  <c r="BF163" i="2"/>
  <c r="BK162" i="2"/>
  <c r="BJ162" i="2"/>
  <c r="BH162" i="2"/>
  <c r="BG162" i="2"/>
  <c r="BF162" i="2"/>
  <c r="BK161" i="2"/>
  <c r="BJ161" i="2"/>
  <c r="BH161" i="2"/>
  <c r="BG161" i="2"/>
  <c r="BF161" i="2"/>
  <c r="BK160" i="2"/>
  <c r="BJ160" i="2"/>
  <c r="BH160" i="2"/>
  <c r="BG160" i="2"/>
  <c r="BF160" i="2"/>
  <c r="BK159" i="2"/>
  <c r="BJ159" i="2"/>
  <c r="BH159" i="2"/>
  <c r="BG159" i="2"/>
  <c r="BF159" i="2"/>
  <c r="BK158" i="2"/>
  <c r="BJ158" i="2"/>
  <c r="BH158" i="2"/>
  <c r="BG158" i="2"/>
  <c r="BF158" i="2"/>
  <c r="BK157" i="2"/>
  <c r="BJ157" i="2"/>
  <c r="BH157" i="2"/>
  <c r="BG157" i="2"/>
  <c r="BF157" i="2"/>
  <c r="BK156" i="2"/>
  <c r="BJ156" i="2"/>
  <c r="BH156" i="2"/>
  <c r="BG156" i="2"/>
  <c r="BF156" i="2"/>
  <c r="BK155" i="2"/>
  <c r="BJ155" i="2"/>
  <c r="BH155" i="2"/>
  <c r="BG155" i="2"/>
  <c r="BF155" i="2"/>
  <c r="BK154" i="2"/>
  <c r="BJ154" i="2"/>
  <c r="BH154" i="2"/>
  <c r="BG154" i="2"/>
  <c r="BF154" i="2"/>
  <c r="BK153" i="2"/>
  <c r="BJ153" i="2"/>
  <c r="BH153" i="2"/>
  <c r="BG153" i="2"/>
  <c r="BF153" i="2"/>
  <c r="BK152" i="2"/>
  <c r="BJ152" i="2"/>
  <c r="BH152" i="2"/>
  <c r="BG152" i="2"/>
  <c r="BF152" i="2"/>
  <c r="BK151" i="2"/>
  <c r="BJ151" i="2"/>
  <c r="BH151" i="2"/>
  <c r="BG151" i="2"/>
  <c r="BF151" i="2"/>
  <c r="BK150" i="2"/>
  <c r="BJ150" i="2"/>
  <c r="BH150" i="2"/>
  <c r="BG150" i="2"/>
  <c r="BF150" i="2"/>
  <c r="BK149" i="2"/>
  <c r="BJ149" i="2"/>
  <c r="BH149" i="2"/>
  <c r="BG149" i="2"/>
  <c r="BF149" i="2"/>
  <c r="BK148" i="2"/>
  <c r="BJ148" i="2"/>
  <c r="BH148" i="2"/>
  <c r="BG148" i="2"/>
  <c r="BF148" i="2"/>
  <c r="BK147" i="2"/>
  <c r="BJ147" i="2"/>
  <c r="BH147" i="2"/>
  <c r="BG147" i="2"/>
  <c r="BF147" i="2"/>
  <c r="BK146" i="2"/>
  <c r="BJ146" i="2"/>
  <c r="BH146" i="2"/>
  <c r="BG146" i="2"/>
  <c r="BF146" i="2"/>
  <c r="BK145" i="2"/>
  <c r="BJ145" i="2"/>
  <c r="BH145" i="2"/>
  <c r="BG145" i="2"/>
  <c r="BF145" i="2"/>
  <c r="BK144" i="2"/>
  <c r="BJ144" i="2"/>
  <c r="BH144" i="2"/>
  <c r="BG144" i="2"/>
  <c r="BF144" i="2"/>
  <c r="BK143" i="2"/>
  <c r="BJ143" i="2"/>
  <c r="BH143" i="2"/>
  <c r="BG143" i="2"/>
  <c r="BF143" i="2"/>
  <c r="BK142" i="2"/>
  <c r="BJ142" i="2"/>
  <c r="BH142" i="2"/>
  <c r="BG142" i="2"/>
  <c r="BF142" i="2"/>
  <c r="BK141" i="2"/>
  <c r="BJ141" i="2"/>
  <c r="BH141" i="2"/>
  <c r="BG141" i="2"/>
  <c r="BF141" i="2"/>
  <c r="BK140" i="2"/>
  <c r="BJ140" i="2"/>
  <c r="BH140" i="2"/>
  <c r="BG140" i="2"/>
  <c r="BF140" i="2"/>
  <c r="BK139" i="2"/>
  <c r="BJ139" i="2"/>
  <c r="BH139" i="2"/>
  <c r="BG139" i="2"/>
  <c r="BF139" i="2"/>
  <c r="BK138" i="2"/>
  <c r="BJ138" i="2"/>
  <c r="BH138" i="2"/>
  <c r="BG138" i="2"/>
  <c r="BF138" i="2"/>
  <c r="BK137" i="2"/>
  <c r="BJ137" i="2"/>
  <c r="BH137" i="2"/>
  <c r="BG137" i="2"/>
  <c r="BF137" i="2"/>
  <c r="BK136" i="2"/>
  <c r="BJ136" i="2"/>
  <c r="BH136" i="2"/>
  <c r="BG136" i="2"/>
  <c r="BF136" i="2"/>
  <c r="BK135" i="2"/>
  <c r="BJ135" i="2"/>
  <c r="BH135" i="2"/>
  <c r="BG135" i="2"/>
  <c r="BF135" i="2"/>
  <c r="BK134" i="2"/>
  <c r="BJ134" i="2"/>
  <c r="BH134" i="2"/>
  <c r="BG134" i="2"/>
  <c r="BF134" i="2"/>
  <c r="BK133" i="2"/>
  <c r="BJ133" i="2"/>
  <c r="BH133" i="2"/>
  <c r="BG133" i="2"/>
  <c r="BF133" i="2"/>
  <c r="BK132" i="2"/>
  <c r="BJ132" i="2"/>
  <c r="BH132" i="2"/>
  <c r="BG132" i="2"/>
  <c r="BF132" i="2"/>
  <c r="BK131" i="2"/>
  <c r="BJ131" i="2"/>
  <c r="BH131" i="2"/>
  <c r="BG131" i="2"/>
  <c r="BF131" i="2"/>
  <c r="BK130" i="2"/>
  <c r="BJ130" i="2"/>
  <c r="BH130" i="2"/>
  <c r="BG130" i="2"/>
  <c r="BF130" i="2"/>
  <c r="BK129" i="2"/>
  <c r="BJ129" i="2"/>
  <c r="BH129" i="2"/>
  <c r="BG129" i="2"/>
  <c r="BF129" i="2"/>
  <c r="BK128" i="2"/>
  <c r="BJ128" i="2"/>
  <c r="BH128" i="2"/>
  <c r="BG128" i="2"/>
  <c r="BF128" i="2"/>
  <c r="BK127" i="2"/>
  <c r="BJ127" i="2"/>
  <c r="BH127" i="2"/>
  <c r="BG127" i="2"/>
  <c r="BF127" i="2"/>
  <c r="BK126" i="2"/>
  <c r="BJ126" i="2"/>
  <c r="BH126" i="2"/>
  <c r="BG126" i="2"/>
  <c r="BF126" i="2"/>
  <c r="BK125" i="2"/>
  <c r="BJ125" i="2"/>
  <c r="BH125" i="2"/>
  <c r="BG125" i="2"/>
  <c r="BF125" i="2"/>
  <c r="BK124" i="2"/>
  <c r="BJ124" i="2"/>
  <c r="BH124" i="2"/>
  <c r="BG124" i="2"/>
  <c r="BF124" i="2"/>
  <c r="BK123" i="2"/>
  <c r="BJ123" i="2"/>
  <c r="BH123" i="2"/>
  <c r="BG123" i="2"/>
  <c r="BF123" i="2"/>
  <c r="BK122" i="2"/>
  <c r="BJ122" i="2"/>
  <c r="BH122" i="2"/>
  <c r="BG122" i="2"/>
  <c r="BF122" i="2"/>
  <c r="BK121" i="2"/>
  <c r="BJ121" i="2"/>
  <c r="BH121" i="2"/>
  <c r="BG121" i="2"/>
  <c r="BF121" i="2"/>
  <c r="BK120" i="2"/>
  <c r="BJ120" i="2"/>
  <c r="BH120" i="2"/>
  <c r="BG120" i="2"/>
  <c r="BF120" i="2"/>
  <c r="BK119" i="2"/>
  <c r="BJ119" i="2"/>
  <c r="BH119" i="2"/>
  <c r="BG119" i="2"/>
  <c r="BF119" i="2"/>
  <c r="BK118" i="2"/>
  <c r="BJ118" i="2"/>
  <c r="BH118" i="2"/>
  <c r="BG118" i="2"/>
  <c r="BF118" i="2"/>
  <c r="BK117" i="2"/>
  <c r="BJ117" i="2"/>
  <c r="BH117" i="2"/>
  <c r="BG117" i="2"/>
  <c r="BF117" i="2"/>
  <c r="BK116" i="2"/>
  <c r="BJ116" i="2"/>
  <c r="BH116" i="2"/>
  <c r="BG116" i="2"/>
  <c r="BF116" i="2"/>
  <c r="BK115" i="2"/>
  <c r="BJ115" i="2"/>
  <c r="BH115" i="2"/>
  <c r="BG115" i="2"/>
  <c r="BF115" i="2"/>
  <c r="BK114" i="2"/>
  <c r="BJ114" i="2"/>
  <c r="BH114" i="2"/>
  <c r="BG114" i="2"/>
  <c r="BF114" i="2"/>
  <c r="BK113" i="2"/>
  <c r="BJ113" i="2"/>
  <c r="BH113" i="2"/>
  <c r="BG113" i="2"/>
  <c r="BF113" i="2"/>
  <c r="BK112" i="2"/>
  <c r="BJ112" i="2"/>
  <c r="BH112" i="2"/>
  <c r="BG112" i="2"/>
  <c r="BF112" i="2"/>
  <c r="BK111" i="2"/>
  <c r="BJ111" i="2"/>
  <c r="BH111" i="2"/>
  <c r="BG111" i="2"/>
  <c r="BF111" i="2"/>
  <c r="BK110" i="2"/>
  <c r="BJ110" i="2"/>
  <c r="BH110" i="2"/>
  <c r="BG110" i="2"/>
  <c r="BF110" i="2"/>
  <c r="BK109" i="2"/>
  <c r="BJ109" i="2"/>
  <c r="BH109" i="2"/>
  <c r="BG109" i="2"/>
  <c r="BF109" i="2"/>
  <c r="BK108" i="2"/>
  <c r="BJ108" i="2"/>
  <c r="BH108" i="2"/>
  <c r="BG108" i="2"/>
  <c r="BF108" i="2"/>
  <c r="BK107" i="2"/>
  <c r="BJ107" i="2"/>
  <c r="BH107" i="2"/>
  <c r="BG107" i="2"/>
  <c r="BF107" i="2"/>
  <c r="BK106" i="2"/>
  <c r="BJ106" i="2"/>
  <c r="BH106" i="2"/>
  <c r="BG106" i="2"/>
  <c r="BF106" i="2"/>
  <c r="BK105" i="2"/>
  <c r="BJ105" i="2"/>
  <c r="BH105" i="2"/>
  <c r="BG105" i="2"/>
  <c r="BF105" i="2"/>
  <c r="BK104" i="2"/>
  <c r="BJ104" i="2"/>
  <c r="BH104" i="2"/>
  <c r="BG104" i="2"/>
  <c r="BF104" i="2"/>
  <c r="BK103" i="2"/>
  <c r="BJ103" i="2"/>
  <c r="BH103" i="2"/>
  <c r="BG103" i="2"/>
  <c r="BF103" i="2"/>
  <c r="BK102" i="2"/>
  <c r="BJ102" i="2"/>
  <c r="BH102" i="2"/>
  <c r="BG102" i="2"/>
  <c r="BF102" i="2"/>
  <c r="BK101" i="2"/>
  <c r="BJ101" i="2"/>
  <c r="BH101" i="2"/>
  <c r="BG101" i="2"/>
  <c r="BF101" i="2"/>
  <c r="BK100" i="2"/>
  <c r="BJ100" i="2"/>
  <c r="BH100" i="2"/>
  <c r="BG100" i="2"/>
  <c r="BF100" i="2"/>
  <c r="BK99" i="2"/>
  <c r="BJ99" i="2"/>
  <c r="BH99" i="2"/>
  <c r="BG99" i="2"/>
  <c r="BF99" i="2"/>
  <c r="BK98" i="2"/>
  <c r="BJ98" i="2"/>
  <c r="BH98" i="2"/>
  <c r="BG98" i="2"/>
  <c r="BF98" i="2"/>
  <c r="BK97" i="2"/>
  <c r="BJ97" i="2"/>
  <c r="BH97" i="2"/>
  <c r="BG97" i="2"/>
  <c r="BF97" i="2"/>
  <c r="BK96" i="2"/>
  <c r="BJ96" i="2"/>
  <c r="BH96" i="2"/>
  <c r="BG96" i="2"/>
  <c r="BF96" i="2"/>
  <c r="BK95" i="2"/>
  <c r="BJ95" i="2"/>
  <c r="BH95" i="2"/>
  <c r="BG95" i="2"/>
  <c r="BF95" i="2"/>
  <c r="BK94" i="2"/>
  <c r="BJ94" i="2"/>
  <c r="BH94" i="2"/>
  <c r="BG94" i="2"/>
  <c r="BF94" i="2"/>
  <c r="BK93" i="2"/>
  <c r="BJ93" i="2"/>
  <c r="BH93" i="2"/>
  <c r="BG93" i="2"/>
  <c r="BF93" i="2"/>
  <c r="BK92" i="2"/>
  <c r="BJ92" i="2"/>
  <c r="BH92" i="2"/>
  <c r="BG92" i="2"/>
  <c r="BF92" i="2"/>
  <c r="BK91" i="2"/>
  <c r="BJ91" i="2"/>
  <c r="BH91" i="2"/>
  <c r="BG91" i="2"/>
  <c r="BF91" i="2"/>
  <c r="BK90" i="2"/>
  <c r="BJ90" i="2"/>
  <c r="BH90" i="2"/>
  <c r="BG90" i="2"/>
  <c r="BF90" i="2"/>
  <c r="BK89" i="2"/>
  <c r="BJ89" i="2"/>
  <c r="BH89" i="2"/>
  <c r="BG89" i="2"/>
  <c r="BF89" i="2"/>
  <c r="BK88" i="2"/>
  <c r="BJ88" i="2"/>
  <c r="BH88" i="2"/>
  <c r="BG88" i="2"/>
  <c r="BF88" i="2"/>
  <c r="BK87" i="2"/>
  <c r="BJ87" i="2"/>
  <c r="BG87" i="2"/>
  <c r="BF87" i="2"/>
  <c r="BK86" i="2"/>
  <c r="BJ86" i="2"/>
  <c r="BH86" i="2"/>
  <c r="BG86" i="2"/>
  <c r="BF86" i="2"/>
  <c r="BK85" i="2"/>
  <c r="BJ85" i="2"/>
  <c r="BH85" i="2"/>
  <c r="BG85" i="2"/>
  <c r="BF85" i="2"/>
  <c r="BK84" i="2"/>
  <c r="BJ84" i="2"/>
  <c r="BH84" i="2"/>
  <c r="BG84" i="2"/>
  <c r="BF84" i="2"/>
  <c r="BK83" i="2"/>
  <c r="BJ83" i="2"/>
  <c r="BH83" i="2"/>
  <c r="BG83" i="2"/>
  <c r="BF83" i="2"/>
  <c r="BK82" i="2"/>
  <c r="BJ82" i="2"/>
  <c r="BH82" i="2"/>
  <c r="BG82" i="2"/>
  <c r="BF82" i="2"/>
  <c r="BK81" i="2"/>
  <c r="BJ81" i="2"/>
  <c r="BH81" i="2"/>
  <c r="BG81" i="2"/>
  <c r="BF81" i="2"/>
  <c r="BK80" i="2"/>
  <c r="BJ80" i="2"/>
  <c r="BH80" i="2"/>
  <c r="BG80" i="2"/>
  <c r="BF80" i="2"/>
  <c r="BK79" i="2"/>
  <c r="BJ79" i="2"/>
  <c r="BH79" i="2"/>
  <c r="BG79" i="2"/>
  <c r="BF79" i="2"/>
  <c r="BK78" i="2"/>
  <c r="BJ78" i="2"/>
  <c r="BH78" i="2"/>
  <c r="BG78" i="2"/>
  <c r="BF78" i="2"/>
  <c r="BK77" i="2"/>
  <c r="BJ77" i="2"/>
  <c r="BH77" i="2"/>
  <c r="BG77" i="2"/>
  <c r="BF77" i="2"/>
  <c r="BK76" i="2"/>
  <c r="BJ76" i="2"/>
  <c r="BH76" i="2"/>
  <c r="BG76" i="2"/>
  <c r="BF76" i="2"/>
  <c r="BK75" i="2"/>
  <c r="BJ75" i="2"/>
  <c r="BG75" i="2"/>
  <c r="BF75" i="2"/>
  <c r="BK74" i="2"/>
  <c r="BJ74" i="2"/>
  <c r="BH74" i="2"/>
  <c r="BG74" i="2"/>
  <c r="BF74" i="2"/>
  <c r="BJ73" i="2"/>
  <c r="BH73" i="2"/>
  <c r="BG73" i="2"/>
  <c r="BF73" i="2"/>
  <c r="BK72" i="2"/>
  <c r="BJ72" i="2"/>
  <c r="BH72" i="2"/>
  <c r="BG72" i="2"/>
  <c r="BF72" i="2"/>
  <c r="BJ71" i="2"/>
  <c r="BH71" i="2"/>
  <c r="BG71" i="2"/>
  <c r="BF71" i="2"/>
  <c r="BL822" i="2" l="1"/>
  <c r="BR822" i="2" s="1"/>
  <c r="BL814" i="2"/>
  <c r="BR814" i="2" s="1"/>
  <c r="BL87" i="2"/>
  <c r="BR87" i="2" s="1"/>
  <c r="BL115" i="2"/>
  <c r="BR115" i="2" s="1"/>
  <c r="BL363" i="2"/>
  <c r="BR363" i="2" s="1"/>
  <c r="BL802" i="2"/>
  <c r="BR802" i="2" s="1"/>
  <c r="BL806" i="2"/>
  <c r="BR806" i="2" s="1"/>
  <c r="BL816" i="2"/>
  <c r="BR816" i="2" s="1"/>
  <c r="BL820" i="2"/>
  <c r="BR820" i="2" s="1"/>
  <c r="BL788" i="2"/>
  <c r="BR788" i="2" s="1"/>
  <c r="BL89" i="2"/>
  <c r="BR89" i="2" s="1"/>
  <c r="BL93" i="2"/>
  <c r="BR93" i="2" s="1"/>
  <c r="BL138" i="2"/>
  <c r="BR138" i="2" s="1"/>
  <c r="BL146" i="2"/>
  <c r="BR146" i="2" s="1"/>
  <c r="BL306" i="2"/>
  <c r="BR306" i="2" s="1"/>
  <c r="BL314" i="2"/>
  <c r="BR314" i="2" s="1"/>
  <c r="BL330" i="2"/>
  <c r="BR330" i="2" s="1"/>
  <c r="BL338" i="2"/>
  <c r="BR338" i="2" s="1"/>
  <c r="BL354" i="2"/>
  <c r="BR354" i="2" s="1"/>
  <c r="BL416" i="2"/>
  <c r="BR416" i="2" s="1"/>
  <c r="BL440" i="2"/>
  <c r="BR440" i="2" s="1"/>
  <c r="BL448" i="2"/>
  <c r="BR448" i="2" s="1"/>
  <c r="BL456" i="2"/>
  <c r="BR456" i="2" s="1"/>
  <c r="BL536" i="2"/>
  <c r="BR536" i="2" s="1"/>
  <c r="BI787" i="2"/>
  <c r="BQ787" i="2" s="1"/>
  <c r="BL71" i="2"/>
  <c r="BR71" i="2" s="1"/>
  <c r="BL97" i="2"/>
  <c r="BR97" i="2" s="1"/>
  <c r="BL109" i="2"/>
  <c r="BR109" i="2" s="1"/>
  <c r="BL113" i="2"/>
  <c r="BR113" i="2" s="1"/>
  <c r="BL157" i="2"/>
  <c r="BR157" i="2" s="1"/>
  <c r="BL201" i="2"/>
  <c r="BR201" i="2" s="1"/>
  <c r="BL213" i="2"/>
  <c r="BR213" i="2" s="1"/>
  <c r="BL217" i="2"/>
  <c r="BR217" i="2" s="1"/>
  <c r="BL237" i="2"/>
  <c r="BR237" i="2" s="1"/>
  <c r="BL241" i="2"/>
  <c r="BR241" i="2" s="1"/>
  <c r="BL261" i="2"/>
  <c r="BR261" i="2" s="1"/>
  <c r="BL265" i="2"/>
  <c r="BR265" i="2" s="1"/>
  <c r="BL269" i="2"/>
  <c r="BR269" i="2" s="1"/>
  <c r="BL273" i="2"/>
  <c r="BR273" i="2" s="1"/>
  <c r="BL305" i="2"/>
  <c r="BR305" i="2" s="1"/>
  <c r="BI356" i="2"/>
  <c r="BQ356" i="2" s="1"/>
  <c r="BL357" i="2"/>
  <c r="BR357" i="2" s="1"/>
  <c r="BL365" i="2"/>
  <c r="BR365" i="2" s="1"/>
  <c r="BL369" i="2"/>
  <c r="BR369" i="2" s="1"/>
  <c r="BL373" i="2"/>
  <c r="BR373" i="2" s="1"/>
  <c r="BL154" i="2"/>
  <c r="BR154" i="2" s="1"/>
  <c r="BL155" i="2"/>
  <c r="BR155" i="2" s="1"/>
  <c r="BL279" i="2"/>
  <c r="BR279" i="2" s="1"/>
  <c r="BL283" i="2"/>
  <c r="BR283" i="2" s="1"/>
  <c r="BL287" i="2"/>
  <c r="BR287" i="2" s="1"/>
  <c r="BL303" i="2"/>
  <c r="BR303" i="2" s="1"/>
  <c r="BI420" i="2"/>
  <c r="BQ420" i="2" s="1"/>
  <c r="BL421" i="2"/>
  <c r="BR421" i="2" s="1"/>
  <c r="BL433" i="2"/>
  <c r="BR433" i="2" s="1"/>
  <c r="BI436" i="2"/>
  <c r="BQ436" i="2" s="1"/>
  <c r="BL437" i="2"/>
  <c r="BR437" i="2" s="1"/>
  <c r="BL441" i="2"/>
  <c r="BR441" i="2" s="1"/>
  <c r="BL449" i="2"/>
  <c r="BR449" i="2" s="1"/>
  <c r="BL453" i="2"/>
  <c r="BR453" i="2" s="1"/>
  <c r="BL457" i="2"/>
  <c r="BR457" i="2" s="1"/>
  <c r="BL461" i="2"/>
  <c r="BR461" i="2" s="1"/>
  <c r="BL270" i="2"/>
  <c r="BR270" i="2" s="1"/>
  <c r="BL274" i="2"/>
  <c r="BR274" i="2" s="1"/>
  <c r="BI278" i="2"/>
  <c r="BQ278" i="2" s="1"/>
  <c r="BL278" i="2"/>
  <c r="BR278" i="2" s="1"/>
  <c r="BI282" i="2"/>
  <c r="BL282" i="2"/>
  <c r="BR282" i="2" s="1"/>
  <c r="BI286" i="2"/>
  <c r="BQ286" i="2" s="1"/>
  <c r="BI290" i="2"/>
  <c r="BQ290" i="2" s="1"/>
  <c r="BI294" i="2"/>
  <c r="BQ294" i="2" s="1"/>
  <c r="BL294" i="2"/>
  <c r="BR294" i="2" s="1"/>
  <c r="BI298" i="2"/>
  <c r="BQ298" i="2" s="1"/>
  <c r="BL298" i="2"/>
  <c r="BR298" i="2" s="1"/>
  <c r="BI302" i="2"/>
  <c r="BQ302" i="2" s="1"/>
  <c r="BL302" i="2"/>
  <c r="BR302" i="2" s="1"/>
  <c r="BL145" i="2"/>
  <c r="BR145" i="2" s="1"/>
  <c r="BL73" i="2"/>
  <c r="BR73" i="2" s="1"/>
  <c r="BL74" i="2"/>
  <c r="BR74" i="2" s="1"/>
  <c r="BL88" i="2"/>
  <c r="BR88" i="2" s="1"/>
  <c r="BL96" i="2"/>
  <c r="BR96" i="2" s="1"/>
  <c r="BL104" i="2"/>
  <c r="BR104" i="2" s="1"/>
  <c r="BL120" i="2"/>
  <c r="BR120" i="2" s="1"/>
  <c r="BL124" i="2"/>
  <c r="BR124" i="2" s="1"/>
  <c r="BL128" i="2"/>
  <c r="BR128" i="2" s="1"/>
  <c r="BL136" i="2"/>
  <c r="BR136" i="2" s="1"/>
  <c r="BL140" i="2"/>
  <c r="BR140" i="2" s="1"/>
  <c r="BL144" i="2"/>
  <c r="BR144" i="2" s="1"/>
  <c r="BL387" i="2"/>
  <c r="BR387" i="2" s="1"/>
  <c r="BL395" i="2"/>
  <c r="BR395" i="2" s="1"/>
  <c r="BL399" i="2"/>
  <c r="BR399" i="2" s="1"/>
  <c r="BL411" i="2"/>
  <c r="BR411" i="2" s="1"/>
  <c r="BL415" i="2"/>
  <c r="BR415" i="2" s="1"/>
  <c r="BL646" i="2"/>
  <c r="BR646" i="2" s="1"/>
  <c r="BL650" i="2"/>
  <c r="BR650" i="2" s="1"/>
  <c r="BL117" i="2"/>
  <c r="BR117" i="2" s="1"/>
  <c r="BI148" i="2"/>
  <c r="BQ148" i="2" s="1"/>
  <c r="BL149" i="2"/>
  <c r="BR149" i="2" s="1"/>
  <c r="BL156" i="2"/>
  <c r="BR156" i="2" s="1"/>
  <c r="BL164" i="2"/>
  <c r="BR164" i="2" s="1"/>
  <c r="BL180" i="2"/>
  <c r="BR180" i="2" s="1"/>
  <c r="BL188" i="2"/>
  <c r="BR188" i="2" s="1"/>
  <c r="BL212" i="2"/>
  <c r="BR212" i="2" s="1"/>
  <c r="BL220" i="2"/>
  <c r="BR220" i="2" s="1"/>
  <c r="BL228" i="2"/>
  <c r="BR228" i="2" s="1"/>
  <c r="BL252" i="2"/>
  <c r="BR252" i="2" s="1"/>
  <c r="BL260" i="2"/>
  <c r="BR260" i="2" s="1"/>
  <c r="BL276" i="2"/>
  <c r="BR276" i="2" s="1"/>
  <c r="BL284" i="2"/>
  <c r="BR284" i="2" s="1"/>
  <c r="BI287" i="2"/>
  <c r="BQ287" i="2" s="1"/>
  <c r="BL288" i="2"/>
  <c r="BR288" i="2" s="1"/>
  <c r="BI291" i="2"/>
  <c r="BQ291" i="2" s="1"/>
  <c r="BI295" i="2"/>
  <c r="BQ295" i="2" s="1"/>
  <c r="BI299" i="2"/>
  <c r="BQ299" i="2" s="1"/>
  <c r="BL307" i="2"/>
  <c r="BR307" i="2" s="1"/>
  <c r="BL315" i="2"/>
  <c r="BR315" i="2" s="1"/>
  <c r="BL323" i="2"/>
  <c r="BR323" i="2" s="1"/>
  <c r="BL331" i="2"/>
  <c r="BR331" i="2" s="1"/>
  <c r="BL335" i="2"/>
  <c r="BR335" i="2" s="1"/>
  <c r="BL347" i="2"/>
  <c r="BR347" i="2" s="1"/>
  <c r="BL351" i="2"/>
  <c r="BR351" i="2" s="1"/>
  <c r="BL362" i="2"/>
  <c r="BR362" i="2" s="1"/>
  <c r="BL393" i="2"/>
  <c r="BR393" i="2" s="1"/>
  <c r="BL394" i="2"/>
  <c r="BR394" i="2" s="1"/>
  <c r="BL402" i="2"/>
  <c r="BR402" i="2" s="1"/>
  <c r="BL417" i="2"/>
  <c r="BR417" i="2" s="1"/>
  <c r="BL425" i="2"/>
  <c r="BR425" i="2" s="1"/>
  <c r="BL432" i="2"/>
  <c r="BR432" i="2" s="1"/>
  <c r="BL465" i="2"/>
  <c r="BR465" i="2" s="1"/>
  <c r="BL469" i="2"/>
  <c r="BR469" i="2" s="1"/>
  <c r="BL473" i="2"/>
  <c r="BR473" i="2" s="1"/>
  <c r="BL477" i="2"/>
  <c r="BR477" i="2" s="1"/>
  <c r="BL481" i="2"/>
  <c r="BR481" i="2" s="1"/>
  <c r="BL485" i="2"/>
  <c r="BR485" i="2" s="1"/>
  <c r="BL489" i="2"/>
  <c r="BR489" i="2" s="1"/>
  <c r="BL505" i="2"/>
  <c r="BR505" i="2" s="1"/>
  <c r="BL785" i="2"/>
  <c r="BR785" i="2" s="1"/>
  <c r="BI76" i="2"/>
  <c r="BQ76" i="2" s="1"/>
  <c r="BL77" i="2"/>
  <c r="BR77" i="2" s="1"/>
  <c r="BL81" i="2"/>
  <c r="BR81" i="2" s="1"/>
  <c r="BI84" i="2"/>
  <c r="BQ84" i="2" s="1"/>
  <c r="BL85" i="2"/>
  <c r="BR85" i="2" s="1"/>
  <c r="BI156" i="2"/>
  <c r="BQ156" i="2" s="1"/>
  <c r="BI200" i="2"/>
  <c r="BQ200" i="2" s="1"/>
  <c r="BI414" i="2"/>
  <c r="BQ414" i="2" s="1"/>
  <c r="BL418" i="2"/>
  <c r="BR418" i="2" s="1"/>
  <c r="BL434" i="2"/>
  <c r="BR434" i="2" s="1"/>
  <c r="BI805" i="2"/>
  <c r="BQ805" i="2" s="1"/>
  <c r="BL82" i="2"/>
  <c r="BR82" i="2" s="1"/>
  <c r="BI142" i="2"/>
  <c r="BQ142" i="2" s="1"/>
  <c r="BL143" i="2"/>
  <c r="BR143" i="2" s="1"/>
  <c r="BL147" i="2"/>
  <c r="BR147" i="2" s="1"/>
  <c r="BL182" i="2"/>
  <c r="BR182" i="2" s="1"/>
  <c r="BL190" i="2"/>
  <c r="BR190" i="2" s="1"/>
  <c r="BL198" i="2"/>
  <c r="BR198" i="2" s="1"/>
  <c r="BI316" i="2"/>
  <c r="BQ316" i="2" s="1"/>
  <c r="BL317" i="2"/>
  <c r="BR317" i="2" s="1"/>
  <c r="BL321" i="2"/>
  <c r="BR321" i="2" s="1"/>
  <c r="BI332" i="2"/>
  <c r="BQ332" i="2" s="1"/>
  <c r="BL333" i="2"/>
  <c r="BR333" i="2" s="1"/>
  <c r="BL337" i="2"/>
  <c r="BR337" i="2" s="1"/>
  <c r="BL341" i="2"/>
  <c r="BR341" i="2" s="1"/>
  <c r="BL360" i="2"/>
  <c r="BL364" i="2"/>
  <c r="BR364" i="2" s="1"/>
  <c r="BL380" i="2"/>
  <c r="BR380" i="2" s="1"/>
  <c r="BL412" i="2"/>
  <c r="BR412" i="2" s="1"/>
  <c r="BL427" i="2"/>
  <c r="BR427" i="2" s="1"/>
  <c r="BL431" i="2"/>
  <c r="BR431" i="2" s="1"/>
  <c r="BL458" i="2"/>
  <c r="BR458" i="2" s="1"/>
  <c r="BL462" i="2"/>
  <c r="BR462" i="2" s="1"/>
  <c r="BL466" i="2"/>
  <c r="BR466" i="2" s="1"/>
  <c r="BL470" i="2"/>
  <c r="BR470" i="2" s="1"/>
  <c r="BL474" i="2"/>
  <c r="BR474" i="2" s="1"/>
  <c r="BL478" i="2"/>
  <c r="BR478" i="2" s="1"/>
  <c r="BL482" i="2"/>
  <c r="BR482" i="2" s="1"/>
  <c r="BL486" i="2"/>
  <c r="BR486" i="2" s="1"/>
  <c r="BL490" i="2"/>
  <c r="BR490" i="2" s="1"/>
  <c r="BL494" i="2"/>
  <c r="BR494" i="2" s="1"/>
  <c r="BL498" i="2"/>
  <c r="BR498" i="2" s="1"/>
  <c r="BL502" i="2"/>
  <c r="BR502" i="2" s="1"/>
  <c r="BL506" i="2"/>
  <c r="BR506" i="2" s="1"/>
  <c r="BL507" i="2"/>
  <c r="BR507" i="2" s="1"/>
  <c r="BL639" i="2"/>
  <c r="BR639" i="2" s="1"/>
  <c r="BL643" i="2"/>
  <c r="BR643" i="2" s="1"/>
  <c r="BL647" i="2"/>
  <c r="BR647" i="2" s="1"/>
  <c r="BL651" i="2"/>
  <c r="BR651" i="2" s="1"/>
  <c r="BL654" i="2"/>
  <c r="BR654" i="2" s="1"/>
  <c r="BL655" i="2"/>
  <c r="BR655" i="2" s="1"/>
  <c r="BL658" i="2"/>
  <c r="BR658" i="2" s="1"/>
  <c r="BL659" i="2"/>
  <c r="BR659" i="2" s="1"/>
  <c r="BL662" i="2"/>
  <c r="BR662" i="2" s="1"/>
  <c r="BL667" i="2"/>
  <c r="BR667" i="2" s="1"/>
  <c r="BL671" i="2"/>
  <c r="BR671" i="2" s="1"/>
  <c r="BL675" i="2"/>
  <c r="BR675" i="2" s="1"/>
  <c r="BL679" i="2"/>
  <c r="BR679" i="2" s="1"/>
  <c r="BL683" i="2"/>
  <c r="BR683" i="2" s="1"/>
  <c r="BL687" i="2"/>
  <c r="BR687" i="2" s="1"/>
  <c r="BL691" i="2"/>
  <c r="BR691" i="2" s="1"/>
  <c r="BL695" i="2"/>
  <c r="BR695" i="2" s="1"/>
  <c r="BL699" i="2"/>
  <c r="BR699" i="2" s="1"/>
  <c r="BL703" i="2"/>
  <c r="BR703" i="2" s="1"/>
  <c r="BL707" i="2"/>
  <c r="BR707" i="2" s="1"/>
  <c r="BL711" i="2"/>
  <c r="BR711" i="2" s="1"/>
  <c r="BL715" i="2"/>
  <c r="BR715" i="2" s="1"/>
  <c r="BL723" i="2"/>
  <c r="BR723" i="2" s="1"/>
  <c r="BL727" i="2"/>
  <c r="BR727" i="2" s="1"/>
  <c r="BL731" i="2"/>
  <c r="BR731" i="2" s="1"/>
  <c r="BL735" i="2"/>
  <c r="BR735" i="2" s="1"/>
  <c r="BL739" i="2"/>
  <c r="BR739" i="2" s="1"/>
  <c r="BL743" i="2"/>
  <c r="BR743" i="2" s="1"/>
  <c r="BL747" i="2"/>
  <c r="BR747" i="2" s="1"/>
  <c r="BL751" i="2"/>
  <c r="BR751" i="2" s="1"/>
  <c r="BL794" i="2"/>
  <c r="BR794" i="2" s="1"/>
  <c r="BL795" i="2"/>
  <c r="BR795" i="2" s="1"/>
  <c r="BL799" i="2"/>
  <c r="BR799" i="2" s="1"/>
  <c r="BL353" i="2"/>
  <c r="BR353" i="2" s="1"/>
  <c r="BL539" i="2"/>
  <c r="BR539" i="2" s="1"/>
  <c r="BL329" i="2"/>
  <c r="BR329" i="2" s="1"/>
  <c r="BI98" i="2"/>
  <c r="BQ98" i="2" s="1"/>
  <c r="BL99" i="2"/>
  <c r="BR99" i="2" s="1"/>
  <c r="BL107" i="2"/>
  <c r="BR107" i="2" s="1"/>
  <c r="BL111" i="2"/>
  <c r="BR111" i="2" s="1"/>
  <c r="BL123" i="2"/>
  <c r="BR123" i="2" s="1"/>
  <c r="BI126" i="2"/>
  <c r="BQ126" i="2" s="1"/>
  <c r="BL127" i="2"/>
  <c r="BR127" i="2" s="1"/>
  <c r="BL131" i="2"/>
  <c r="BR131" i="2" s="1"/>
  <c r="BL192" i="2"/>
  <c r="BR192" i="2" s="1"/>
  <c r="BL196" i="2"/>
  <c r="BR196" i="2" s="1"/>
  <c r="BL371" i="2"/>
  <c r="BR371" i="2" s="1"/>
  <c r="BL379" i="2"/>
  <c r="BR379" i="2" s="1"/>
  <c r="BI546" i="2"/>
  <c r="BQ546" i="2" s="1"/>
  <c r="BL551" i="2"/>
  <c r="BR551" i="2" s="1"/>
  <c r="BI108" i="2"/>
  <c r="BQ108" i="2" s="1"/>
  <c r="BL139" i="2"/>
  <c r="BR139" i="2" s="1"/>
  <c r="BI181" i="2"/>
  <c r="BQ181" i="2" s="1"/>
  <c r="BI240" i="2"/>
  <c r="BQ240" i="2" s="1"/>
  <c r="BI350" i="2"/>
  <c r="BQ350" i="2" s="1"/>
  <c r="BI372" i="2"/>
  <c r="BQ372" i="2" s="1"/>
  <c r="BL403" i="2"/>
  <c r="BR403" i="2" s="1"/>
  <c r="BL426" i="2"/>
  <c r="BR426" i="2" s="1"/>
  <c r="BI430" i="2"/>
  <c r="BI452" i="2"/>
  <c r="BQ452" i="2" s="1"/>
  <c r="BL524" i="2"/>
  <c r="BR524" i="2" s="1"/>
  <c r="BL528" i="2"/>
  <c r="BR528" i="2" s="1"/>
  <c r="BL532" i="2"/>
  <c r="BL648" i="2"/>
  <c r="BR648" i="2" s="1"/>
  <c r="BL652" i="2"/>
  <c r="BR652" i="2" s="1"/>
  <c r="BL656" i="2"/>
  <c r="BR656" i="2" s="1"/>
  <c r="BL660" i="2"/>
  <c r="BR660" i="2" s="1"/>
  <c r="BI678" i="2"/>
  <c r="BQ678" i="2" s="1"/>
  <c r="BI682" i="2"/>
  <c r="BQ682" i="2" s="1"/>
  <c r="BI686" i="2"/>
  <c r="BQ686" i="2" s="1"/>
  <c r="BI690" i="2"/>
  <c r="BI694" i="2"/>
  <c r="BQ694" i="2" s="1"/>
  <c r="BI698" i="2"/>
  <c r="BQ698" i="2" s="1"/>
  <c r="BI702" i="2"/>
  <c r="BQ702" i="2" s="1"/>
  <c r="BI706" i="2"/>
  <c r="BI710" i="2"/>
  <c r="BQ710" i="2" s="1"/>
  <c r="BI714" i="2"/>
  <c r="BQ714" i="2" s="1"/>
  <c r="BI718" i="2"/>
  <c r="BQ718" i="2" s="1"/>
  <c r="BI722" i="2"/>
  <c r="BQ722" i="2" s="1"/>
  <c r="BI726" i="2"/>
  <c r="BQ726" i="2" s="1"/>
  <c r="BI730" i="2"/>
  <c r="BQ730" i="2" s="1"/>
  <c r="BI734" i="2"/>
  <c r="BQ734" i="2" s="1"/>
  <c r="BI738" i="2"/>
  <c r="BQ738" i="2" s="1"/>
  <c r="BI742" i="2"/>
  <c r="BQ742" i="2" s="1"/>
  <c r="BI746" i="2"/>
  <c r="BQ746" i="2" s="1"/>
  <c r="BI750" i="2"/>
  <c r="BQ750" i="2" s="1"/>
  <c r="BI754" i="2"/>
  <c r="BQ754" i="2" s="1"/>
  <c r="BI758" i="2"/>
  <c r="BQ758" i="2" s="1"/>
  <c r="BI762" i="2"/>
  <c r="BQ762" i="2" s="1"/>
  <c r="BI766" i="2"/>
  <c r="BQ766" i="2" s="1"/>
  <c r="BI770" i="2"/>
  <c r="BQ770" i="2" s="1"/>
  <c r="BI774" i="2"/>
  <c r="BQ774" i="2" s="1"/>
  <c r="BI778" i="2"/>
  <c r="BQ778" i="2" s="1"/>
  <c r="BL784" i="2"/>
  <c r="BR784" i="2" s="1"/>
  <c r="BL804" i="2"/>
  <c r="BR804" i="2" s="1"/>
  <c r="BL812" i="2"/>
  <c r="BR812" i="2" s="1"/>
  <c r="BI542" i="2"/>
  <c r="BQ542" i="2" s="1"/>
  <c r="BL543" i="2"/>
  <c r="BR543" i="2" s="1"/>
  <c r="BL547" i="2"/>
  <c r="BR547" i="2" s="1"/>
  <c r="BI550" i="2"/>
  <c r="BQ550" i="2" s="1"/>
  <c r="BL232" i="2"/>
  <c r="BR232" i="2" s="1"/>
  <c r="BL236" i="2"/>
  <c r="BR236" i="2" s="1"/>
  <c r="BL75" i="2"/>
  <c r="BR75" i="2" s="1"/>
  <c r="BI90" i="2"/>
  <c r="BQ90" i="2" s="1"/>
  <c r="BL91" i="2"/>
  <c r="BR91" i="2" s="1"/>
  <c r="BL98" i="2"/>
  <c r="BR98" i="2" s="1"/>
  <c r="BL105" i="2"/>
  <c r="BR105" i="2" s="1"/>
  <c r="BL106" i="2"/>
  <c r="BR106" i="2" s="1"/>
  <c r="BL114" i="2"/>
  <c r="BR114" i="2" s="1"/>
  <c r="BL129" i="2"/>
  <c r="BR129" i="2" s="1"/>
  <c r="BL130" i="2"/>
  <c r="BR130" i="2" s="1"/>
  <c r="BI132" i="2"/>
  <c r="BQ132" i="2" s="1"/>
  <c r="BL133" i="2"/>
  <c r="BR133" i="2" s="1"/>
  <c r="BL141" i="2"/>
  <c r="BR141" i="2" s="1"/>
  <c r="BL170" i="2"/>
  <c r="BR170" i="2" s="1"/>
  <c r="BL174" i="2"/>
  <c r="BR174" i="2" s="1"/>
  <c r="BI178" i="2"/>
  <c r="BQ178" i="2" s="1"/>
  <c r="BL179" i="2"/>
  <c r="BR179" i="2" s="1"/>
  <c r="BL191" i="2"/>
  <c r="BR191" i="2" s="1"/>
  <c r="BL195" i="2"/>
  <c r="BR195" i="2" s="1"/>
  <c r="BL218" i="2"/>
  <c r="BR218" i="2" s="1"/>
  <c r="BL222" i="2"/>
  <c r="BR222" i="2" s="1"/>
  <c r="BL223" i="2"/>
  <c r="BR223" i="2" s="1"/>
  <c r="BI226" i="2"/>
  <c r="BQ226" i="2" s="1"/>
  <c r="BL227" i="2"/>
  <c r="BR227" i="2" s="1"/>
  <c r="BI308" i="2"/>
  <c r="BQ308" i="2" s="1"/>
  <c r="BL309" i="2"/>
  <c r="BR309" i="2" s="1"/>
  <c r="BL316" i="2"/>
  <c r="BR316" i="2" s="1"/>
  <c r="BL339" i="2"/>
  <c r="BR339" i="2" s="1"/>
  <c r="BL348" i="2"/>
  <c r="BR348" i="2" s="1"/>
  <c r="BI366" i="2"/>
  <c r="BQ366" i="2" s="1"/>
  <c r="BL367" i="2"/>
  <c r="BR367" i="2" s="1"/>
  <c r="BL370" i="2"/>
  <c r="BR370" i="2" s="1"/>
  <c r="BL378" i="2"/>
  <c r="BR378" i="2" s="1"/>
  <c r="BI380" i="2"/>
  <c r="BL381" i="2"/>
  <c r="BR381" i="2" s="1"/>
  <c r="BL385" i="2"/>
  <c r="BR385" i="2" s="1"/>
  <c r="BI396" i="2"/>
  <c r="BQ396" i="2" s="1"/>
  <c r="BL397" i="2"/>
  <c r="BR397" i="2" s="1"/>
  <c r="BL401" i="2"/>
  <c r="BR401" i="2" s="1"/>
  <c r="BL405" i="2"/>
  <c r="BR405" i="2" s="1"/>
  <c r="BL424" i="2"/>
  <c r="BR424" i="2" s="1"/>
  <c r="BL442" i="2"/>
  <c r="BR442" i="2" s="1"/>
  <c r="BL443" i="2"/>
  <c r="BR443" i="2" s="1"/>
  <c r="BI446" i="2"/>
  <c r="BQ446" i="2" s="1"/>
  <c r="BL447" i="2"/>
  <c r="BR447" i="2" s="1"/>
  <c r="BL450" i="2"/>
  <c r="BR450" i="2" s="1"/>
  <c r="BL538" i="2"/>
  <c r="BR538" i="2" s="1"/>
  <c r="BL561" i="2"/>
  <c r="BR561" i="2" s="1"/>
  <c r="BL565" i="2"/>
  <c r="BR565" i="2" s="1"/>
  <c r="BL569" i="2"/>
  <c r="BR569" i="2" s="1"/>
  <c r="BL573" i="2"/>
  <c r="BR573" i="2" s="1"/>
  <c r="BL577" i="2"/>
  <c r="BR577" i="2" s="1"/>
  <c r="BL581" i="2"/>
  <c r="BR581" i="2" s="1"/>
  <c r="BL585" i="2"/>
  <c r="BR585" i="2" s="1"/>
  <c r="BL589" i="2"/>
  <c r="BR589" i="2" s="1"/>
  <c r="BL593" i="2"/>
  <c r="BR593" i="2" s="1"/>
  <c r="BL597" i="2"/>
  <c r="BR597" i="2" s="1"/>
  <c r="BL601" i="2"/>
  <c r="BR601" i="2" s="1"/>
  <c r="BL605" i="2"/>
  <c r="BR605" i="2" s="1"/>
  <c r="BL609" i="2"/>
  <c r="BR609" i="2" s="1"/>
  <c r="BL613" i="2"/>
  <c r="BR613" i="2" s="1"/>
  <c r="BL617" i="2"/>
  <c r="BR617" i="2" s="1"/>
  <c r="BL621" i="2"/>
  <c r="BR621" i="2" s="1"/>
  <c r="BL625" i="2"/>
  <c r="BR625" i="2" s="1"/>
  <c r="BL629" i="2"/>
  <c r="BR629" i="2" s="1"/>
  <c r="BL633" i="2"/>
  <c r="BR633" i="2" s="1"/>
  <c r="BL637" i="2"/>
  <c r="BR637" i="2" s="1"/>
  <c r="BL638" i="2"/>
  <c r="BR638" i="2" s="1"/>
  <c r="BL786" i="2"/>
  <c r="BR786" i="2" s="1"/>
  <c r="BL790" i="2"/>
  <c r="BR790" i="2" s="1"/>
  <c r="BL801" i="2"/>
  <c r="BR801" i="2" s="1"/>
  <c r="BL313" i="2"/>
  <c r="BR313" i="2" s="1"/>
  <c r="BL430" i="2"/>
  <c r="BR430" i="2" s="1"/>
  <c r="BL446" i="2"/>
  <c r="BL452" i="2"/>
  <c r="BR452" i="2" s="1"/>
  <c r="BL491" i="2"/>
  <c r="BR491" i="2" s="1"/>
  <c r="BL499" i="2"/>
  <c r="BR499" i="2" s="1"/>
  <c r="BI116" i="2"/>
  <c r="BQ116" i="2" s="1"/>
  <c r="BL137" i="2"/>
  <c r="BR137" i="2" s="1"/>
  <c r="BI140" i="2"/>
  <c r="BQ140" i="2" s="1"/>
  <c r="BI168" i="2"/>
  <c r="BQ168" i="2" s="1"/>
  <c r="BL168" i="2"/>
  <c r="BR168" i="2" s="1"/>
  <c r="BL176" i="2"/>
  <c r="BR176" i="2" s="1"/>
  <c r="BI183" i="2"/>
  <c r="BQ183" i="2" s="1"/>
  <c r="BI194" i="2"/>
  <c r="BQ194" i="2" s="1"/>
  <c r="BL194" i="2"/>
  <c r="BR194" i="2" s="1"/>
  <c r="BI216" i="2"/>
  <c r="BQ216" i="2" s="1"/>
  <c r="BI264" i="2"/>
  <c r="BQ264" i="2" s="1"/>
  <c r="BL264" i="2"/>
  <c r="BR264" i="2" s="1"/>
  <c r="BL268" i="2"/>
  <c r="BR268" i="2" s="1"/>
  <c r="BI272" i="2"/>
  <c r="BQ272" i="2" s="1"/>
  <c r="BI334" i="2"/>
  <c r="BQ334" i="2" s="1"/>
  <c r="BI340" i="2"/>
  <c r="BQ340" i="2" s="1"/>
  <c r="BL361" i="2"/>
  <c r="BR361" i="2" s="1"/>
  <c r="BI364" i="2"/>
  <c r="BI398" i="2"/>
  <c r="BQ398" i="2" s="1"/>
  <c r="BI404" i="2"/>
  <c r="BQ404" i="2" s="1"/>
  <c r="BI460" i="2"/>
  <c r="BQ460" i="2" s="1"/>
  <c r="BL460" i="2"/>
  <c r="BR460" i="2" s="1"/>
  <c r="BI464" i="2"/>
  <c r="BQ464" i="2" s="1"/>
  <c r="BL464" i="2"/>
  <c r="BR464" i="2" s="1"/>
  <c r="BI468" i="2"/>
  <c r="BQ468" i="2" s="1"/>
  <c r="BL468" i="2"/>
  <c r="BR468" i="2" s="1"/>
  <c r="BI472" i="2"/>
  <c r="BQ472" i="2" s="1"/>
  <c r="BL472" i="2"/>
  <c r="BR472" i="2" s="1"/>
  <c r="BI476" i="2"/>
  <c r="BQ476" i="2" s="1"/>
  <c r="BL476" i="2"/>
  <c r="BR476" i="2" s="1"/>
  <c r="BI480" i="2"/>
  <c r="BQ480" i="2" s="1"/>
  <c r="BL480" i="2"/>
  <c r="BR480" i="2" s="1"/>
  <c r="BI484" i="2"/>
  <c r="BQ484" i="2" s="1"/>
  <c r="BL484" i="2"/>
  <c r="BR484" i="2" s="1"/>
  <c r="BI488" i="2"/>
  <c r="BQ488" i="2" s="1"/>
  <c r="BL488" i="2"/>
  <c r="BR488" i="2" s="1"/>
  <c r="BI492" i="2"/>
  <c r="BQ492" i="2" s="1"/>
  <c r="BL492" i="2"/>
  <c r="BR492" i="2" s="1"/>
  <c r="BI496" i="2"/>
  <c r="BQ496" i="2" s="1"/>
  <c r="BL496" i="2"/>
  <c r="BR496" i="2" s="1"/>
  <c r="BI500" i="2"/>
  <c r="BQ500" i="2" s="1"/>
  <c r="BL500" i="2"/>
  <c r="BR500" i="2" s="1"/>
  <c r="BI504" i="2"/>
  <c r="BQ504" i="2" s="1"/>
  <c r="BL504" i="2"/>
  <c r="BR504" i="2" s="1"/>
  <c r="BL508" i="2"/>
  <c r="BR508" i="2" s="1"/>
  <c r="BL512" i="2"/>
  <c r="BR512" i="2" s="1"/>
  <c r="BL516" i="2"/>
  <c r="BR516" i="2" s="1"/>
  <c r="BL520" i="2"/>
  <c r="BR520" i="2" s="1"/>
  <c r="BL95" i="2"/>
  <c r="BR95" i="2" s="1"/>
  <c r="BL153" i="2"/>
  <c r="BR153" i="2" s="1"/>
  <c r="BL160" i="2"/>
  <c r="BR160" i="2" s="1"/>
  <c r="BL186" i="2"/>
  <c r="BR186" i="2" s="1"/>
  <c r="BL200" i="2"/>
  <c r="BR200" i="2" s="1"/>
  <c r="BL208" i="2"/>
  <c r="BR208" i="2" s="1"/>
  <c r="BL226" i="2"/>
  <c r="BR226" i="2" s="1"/>
  <c r="BL240" i="2"/>
  <c r="BR240" i="2" s="1"/>
  <c r="BL256" i="2"/>
  <c r="BR256" i="2" s="1"/>
  <c r="BL377" i="2"/>
  <c r="BR377" i="2" s="1"/>
  <c r="BL414" i="2"/>
  <c r="BL420" i="2"/>
  <c r="BL436" i="2"/>
  <c r="BR436" i="2" s="1"/>
  <c r="BL495" i="2"/>
  <c r="BR495" i="2" s="1"/>
  <c r="BL503" i="2"/>
  <c r="BR503" i="2" s="1"/>
  <c r="BI74" i="2"/>
  <c r="BQ74" i="2" s="1"/>
  <c r="BI92" i="2"/>
  <c r="BQ92" i="2" s="1"/>
  <c r="BI110" i="2"/>
  <c r="BQ110" i="2" s="1"/>
  <c r="BL72" i="2"/>
  <c r="BR72" i="2" s="1"/>
  <c r="BL79" i="2"/>
  <c r="BR79" i="2" s="1"/>
  <c r="BL80" i="2"/>
  <c r="BR80" i="2" s="1"/>
  <c r="BI82" i="2"/>
  <c r="BQ82" i="2" s="1"/>
  <c r="BL83" i="2"/>
  <c r="BR83" i="2" s="1"/>
  <c r="BL90" i="2"/>
  <c r="BR90" i="2" s="1"/>
  <c r="BI100" i="2"/>
  <c r="BQ100" i="2" s="1"/>
  <c r="BL101" i="2"/>
  <c r="BR101" i="2" s="1"/>
  <c r="BL108" i="2"/>
  <c r="BR108" i="2" s="1"/>
  <c r="BL112" i="2"/>
  <c r="BR112" i="2" s="1"/>
  <c r="BL121" i="2"/>
  <c r="BR121" i="2" s="1"/>
  <c r="BL122" i="2"/>
  <c r="BR122" i="2" s="1"/>
  <c r="BI124" i="2"/>
  <c r="BQ124" i="2" s="1"/>
  <c r="BL125" i="2"/>
  <c r="BR125" i="2" s="1"/>
  <c r="BI158" i="2"/>
  <c r="BQ158" i="2" s="1"/>
  <c r="BL159" i="2"/>
  <c r="BR159" i="2" s="1"/>
  <c r="BI162" i="2"/>
  <c r="BQ162" i="2" s="1"/>
  <c r="BL162" i="2"/>
  <c r="BR162" i="2" s="1"/>
  <c r="BL163" i="2"/>
  <c r="BR163" i="2" s="1"/>
  <c r="BI165" i="2"/>
  <c r="BQ165" i="2" s="1"/>
  <c r="BL166" i="2"/>
  <c r="BR166" i="2" s="1"/>
  <c r="BL181" i="2"/>
  <c r="BR181" i="2" s="1"/>
  <c r="BI184" i="2"/>
  <c r="BQ184" i="2" s="1"/>
  <c r="BL202" i="2"/>
  <c r="BR202" i="2" s="1"/>
  <c r="BL206" i="2"/>
  <c r="BR206" i="2" s="1"/>
  <c r="BL207" i="2"/>
  <c r="BR207" i="2" s="1"/>
  <c r="BI210" i="2"/>
  <c r="BQ210" i="2" s="1"/>
  <c r="BL211" i="2"/>
  <c r="BR211" i="2" s="1"/>
  <c r="BL214" i="2"/>
  <c r="BR214" i="2" s="1"/>
  <c r="BL224" i="2"/>
  <c r="BR224" i="2" s="1"/>
  <c r="BL238" i="2"/>
  <c r="BR238" i="2" s="1"/>
  <c r="BL242" i="2"/>
  <c r="BR242" i="2" s="1"/>
  <c r="BI246" i="2"/>
  <c r="BQ246" i="2" s="1"/>
  <c r="BL246" i="2"/>
  <c r="BR246" i="2" s="1"/>
  <c r="BL247" i="2"/>
  <c r="BR247" i="2" s="1"/>
  <c r="BI250" i="2"/>
  <c r="BQ250" i="2" s="1"/>
  <c r="BL250" i="2"/>
  <c r="BR250" i="2" s="1"/>
  <c r="BL251" i="2"/>
  <c r="BR251" i="2" s="1"/>
  <c r="BI254" i="2"/>
  <c r="BQ254" i="2" s="1"/>
  <c r="BL255" i="2"/>
  <c r="BR255" i="2" s="1"/>
  <c r="BI258" i="2"/>
  <c r="BQ258" i="2" s="1"/>
  <c r="BL259" i="2"/>
  <c r="BR259" i="2" s="1"/>
  <c r="BL293" i="2"/>
  <c r="BR293" i="2" s="1"/>
  <c r="BL297" i="2"/>
  <c r="BR297" i="2" s="1"/>
  <c r="BL301" i="2"/>
  <c r="BR301" i="2" s="1"/>
  <c r="BI318" i="2"/>
  <c r="BQ318" i="2" s="1"/>
  <c r="BL319" i="2"/>
  <c r="BR319" i="2" s="1"/>
  <c r="BL322" i="2"/>
  <c r="BR322" i="2" s="1"/>
  <c r="BI324" i="2"/>
  <c r="BQ324" i="2" s="1"/>
  <c r="BL325" i="2"/>
  <c r="BR325" i="2" s="1"/>
  <c r="BL332" i="2"/>
  <c r="BR332" i="2" s="1"/>
  <c r="BL345" i="2"/>
  <c r="BR345" i="2" s="1"/>
  <c r="BL346" i="2"/>
  <c r="BR346" i="2" s="1"/>
  <c r="BI348" i="2"/>
  <c r="BQ348" i="2" s="1"/>
  <c r="BL349" i="2"/>
  <c r="BR349" i="2" s="1"/>
  <c r="BI382" i="2"/>
  <c r="BQ382" i="2" s="1"/>
  <c r="BL383" i="2"/>
  <c r="BR383" i="2" s="1"/>
  <c r="BL386" i="2"/>
  <c r="BI388" i="2"/>
  <c r="BQ388" i="2" s="1"/>
  <c r="BL389" i="2"/>
  <c r="BR389" i="2" s="1"/>
  <c r="BL396" i="2"/>
  <c r="BL409" i="2"/>
  <c r="BR409" i="2" s="1"/>
  <c r="BL410" i="2"/>
  <c r="BR410" i="2" s="1"/>
  <c r="BI412" i="2"/>
  <c r="BL413" i="2"/>
  <c r="BR413" i="2" s="1"/>
  <c r="BL419" i="2"/>
  <c r="BR419" i="2" s="1"/>
  <c r="BI422" i="2"/>
  <c r="BQ422" i="2" s="1"/>
  <c r="BL422" i="2"/>
  <c r="BR422" i="2" s="1"/>
  <c r="BL423" i="2"/>
  <c r="BR423" i="2" s="1"/>
  <c r="BI428" i="2"/>
  <c r="BL428" i="2"/>
  <c r="BR428" i="2" s="1"/>
  <c r="BL429" i="2"/>
  <c r="BR429" i="2" s="1"/>
  <c r="BL435" i="2"/>
  <c r="BR435" i="2" s="1"/>
  <c r="BI438" i="2"/>
  <c r="BL438" i="2"/>
  <c r="BR438" i="2" s="1"/>
  <c r="BL439" i="2"/>
  <c r="BR439" i="2" s="1"/>
  <c r="BI444" i="2"/>
  <c r="BQ444" i="2" s="1"/>
  <c r="BL444" i="2"/>
  <c r="BR444" i="2" s="1"/>
  <c r="BL445" i="2"/>
  <c r="BR445" i="2" s="1"/>
  <c r="BL451" i="2"/>
  <c r="BR451" i="2" s="1"/>
  <c r="BI454" i="2"/>
  <c r="BQ454" i="2" s="1"/>
  <c r="BL454" i="2"/>
  <c r="BR454" i="2" s="1"/>
  <c r="BL455" i="2"/>
  <c r="BR455" i="2" s="1"/>
  <c r="BI508" i="2"/>
  <c r="BQ508" i="2" s="1"/>
  <c r="BL509" i="2"/>
  <c r="BR509" i="2" s="1"/>
  <c r="BI512" i="2"/>
  <c r="BQ512" i="2" s="1"/>
  <c r="BL513" i="2"/>
  <c r="BR513" i="2" s="1"/>
  <c r="BI516" i="2"/>
  <c r="BQ516" i="2" s="1"/>
  <c r="BL517" i="2"/>
  <c r="BR517" i="2" s="1"/>
  <c r="BI520" i="2"/>
  <c r="BQ520" i="2" s="1"/>
  <c r="BL521" i="2"/>
  <c r="BR521" i="2" s="1"/>
  <c r="BI524" i="2"/>
  <c r="BL542" i="2"/>
  <c r="BL546" i="2"/>
  <c r="BL550" i="2"/>
  <c r="BR550" i="2" s="1"/>
  <c r="BL554" i="2"/>
  <c r="BR554" i="2" s="1"/>
  <c r="BI557" i="2"/>
  <c r="BQ557" i="2" s="1"/>
  <c r="BL558" i="2"/>
  <c r="BR558" i="2" s="1"/>
  <c r="BI561" i="2"/>
  <c r="BL562" i="2"/>
  <c r="BR562" i="2" s="1"/>
  <c r="BI565" i="2"/>
  <c r="BL566" i="2"/>
  <c r="BR566" i="2" s="1"/>
  <c r="BI569" i="2"/>
  <c r="BQ569" i="2" s="1"/>
  <c r="BL570" i="2"/>
  <c r="BR570" i="2" s="1"/>
  <c r="BI573" i="2"/>
  <c r="BQ573" i="2" s="1"/>
  <c r="BL574" i="2"/>
  <c r="BR574" i="2" s="1"/>
  <c r="BI577" i="2"/>
  <c r="BL578" i="2"/>
  <c r="BR578" i="2" s="1"/>
  <c r="BL582" i="2"/>
  <c r="BR582" i="2" s="1"/>
  <c r="BL586" i="2"/>
  <c r="BR586" i="2" s="1"/>
  <c r="BL590" i="2"/>
  <c r="BR590" i="2" s="1"/>
  <c r="BL594" i="2"/>
  <c r="BR594" i="2" s="1"/>
  <c r="BL598" i="2"/>
  <c r="BR598" i="2" s="1"/>
  <c r="BL602" i="2"/>
  <c r="BR602" i="2" s="1"/>
  <c r="BL606" i="2"/>
  <c r="BR606" i="2" s="1"/>
  <c r="BL610" i="2"/>
  <c r="BR610" i="2" s="1"/>
  <c r="BL678" i="2"/>
  <c r="BR678" i="2" s="1"/>
  <c r="BL682" i="2"/>
  <c r="BL686" i="2"/>
  <c r="BR686" i="2" s="1"/>
  <c r="BL690" i="2"/>
  <c r="BR690" i="2" s="1"/>
  <c r="BL694" i="2"/>
  <c r="BR694" i="2" s="1"/>
  <c r="BL698" i="2"/>
  <c r="BL702" i="2"/>
  <c r="BR702" i="2" s="1"/>
  <c r="BL706" i="2"/>
  <c r="BR706" i="2" s="1"/>
  <c r="BL710" i="2"/>
  <c r="BR710" i="2" s="1"/>
  <c r="BL714" i="2"/>
  <c r="BL718" i="2"/>
  <c r="BR718" i="2" s="1"/>
  <c r="BL721" i="2"/>
  <c r="BR721" i="2" s="1"/>
  <c r="BL722" i="2"/>
  <c r="BR722" i="2" s="1"/>
  <c r="BL726" i="2"/>
  <c r="BR726" i="2" s="1"/>
  <c r="BL730" i="2"/>
  <c r="BR730" i="2" s="1"/>
  <c r="BL734" i="2"/>
  <c r="BR734" i="2" s="1"/>
  <c r="BL738" i="2"/>
  <c r="BR738" i="2" s="1"/>
  <c r="BL742" i="2"/>
  <c r="BR742" i="2" s="1"/>
  <c r="BL746" i="2"/>
  <c r="BR746" i="2" s="1"/>
  <c r="BL750" i="2"/>
  <c r="BR750" i="2" s="1"/>
  <c r="BL754" i="2"/>
  <c r="BR754" i="2" s="1"/>
  <c r="BL757" i="2"/>
  <c r="BR757" i="2" s="1"/>
  <c r="BL758" i="2"/>
  <c r="BR758" i="2" s="1"/>
  <c r="BL761" i="2"/>
  <c r="BL762" i="2"/>
  <c r="BL765" i="2"/>
  <c r="BR765" i="2" s="1"/>
  <c r="BL766" i="2"/>
  <c r="BR766" i="2" s="1"/>
  <c r="BL769" i="2"/>
  <c r="BR769" i="2" s="1"/>
  <c r="BL770" i="2"/>
  <c r="BR770" i="2" s="1"/>
  <c r="BL773" i="2"/>
  <c r="BR773" i="2" s="1"/>
  <c r="BL774" i="2"/>
  <c r="BR774" i="2" s="1"/>
  <c r="BL777" i="2"/>
  <c r="BR777" i="2" s="1"/>
  <c r="BL778" i="2"/>
  <c r="BI781" i="2"/>
  <c r="BQ781" i="2" s="1"/>
  <c r="BL782" i="2"/>
  <c r="BR782" i="2" s="1"/>
  <c r="BL792" i="2"/>
  <c r="BR792" i="2" s="1"/>
  <c r="BL793" i="2"/>
  <c r="BR793" i="2" s="1"/>
  <c r="BI795" i="2"/>
  <c r="BL796" i="2"/>
  <c r="BR796" i="2" s="1"/>
  <c r="BL803" i="2"/>
  <c r="BR803" i="2" s="1"/>
  <c r="BL807" i="2"/>
  <c r="BR807" i="2" s="1"/>
  <c r="BI668" i="2"/>
  <c r="BQ668" i="2" s="1"/>
  <c r="BI672" i="2"/>
  <c r="BQ672" i="2" s="1"/>
  <c r="BI676" i="2"/>
  <c r="BQ676" i="2" s="1"/>
  <c r="BI680" i="2"/>
  <c r="BQ680" i="2" s="1"/>
  <c r="BI684" i="2"/>
  <c r="BQ684" i="2" s="1"/>
  <c r="BI688" i="2"/>
  <c r="BQ688" i="2" s="1"/>
  <c r="BI692" i="2"/>
  <c r="BQ692" i="2" s="1"/>
  <c r="BI696" i="2"/>
  <c r="BQ696" i="2" s="1"/>
  <c r="BI700" i="2"/>
  <c r="BQ700" i="2" s="1"/>
  <c r="BI704" i="2"/>
  <c r="BQ704" i="2" s="1"/>
  <c r="BI708" i="2"/>
  <c r="BQ708" i="2" s="1"/>
  <c r="BI712" i="2"/>
  <c r="BQ712" i="2" s="1"/>
  <c r="BI716" i="2"/>
  <c r="BQ716" i="2" s="1"/>
  <c r="BI720" i="2"/>
  <c r="BQ720" i="2" s="1"/>
  <c r="BI724" i="2"/>
  <c r="BQ724" i="2" s="1"/>
  <c r="BI728" i="2"/>
  <c r="BQ728" i="2" s="1"/>
  <c r="BI732" i="2"/>
  <c r="BQ732" i="2" s="1"/>
  <c r="BI736" i="2"/>
  <c r="BQ736" i="2" s="1"/>
  <c r="BI740" i="2"/>
  <c r="BQ740" i="2" s="1"/>
  <c r="BI744" i="2"/>
  <c r="BQ744" i="2" s="1"/>
  <c r="BI748" i="2"/>
  <c r="BQ748" i="2" s="1"/>
  <c r="BI752" i="2"/>
  <c r="BQ752" i="2" s="1"/>
  <c r="BI756" i="2"/>
  <c r="BQ756" i="2" s="1"/>
  <c r="BI760" i="2"/>
  <c r="BQ760" i="2" s="1"/>
  <c r="BI764" i="2"/>
  <c r="BQ764" i="2" s="1"/>
  <c r="BI768" i="2"/>
  <c r="BQ768" i="2" s="1"/>
  <c r="BI772" i="2"/>
  <c r="BQ772" i="2" s="1"/>
  <c r="BI776" i="2"/>
  <c r="BQ776" i="2" s="1"/>
  <c r="BI780" i="2"/>
  <c r="BQ780" i="2" s="1"/>
  <c r="BI789" i="2"/>
  <c r="BQ789" i="2" s="1"/>
  <c r="BI803" i="2"/>
  <c r="BI811" i="2"/>
  <c r="BQ811" i="2" s="1"/>
  <c r="BI815" i="2"/>
  <c r="BQ815" i="2" s="1"/>
  <c r="BI819" i="2"/>
  <c r="BQ819" i="2" s="1"/>
  <c r="BL525" i="2"/>
  <c r="BR525" i="2" s="1"/>
  <c r="BI528" i="2"/>
  <c r="BL529" i="2"/>
  <c r="BR529" i="2" s="1"/>
  <c r="BI532" i="2"/>
  <c r="BQ532" i="2" s="1"/>
  <c r="BL533" i="2"/>
  <c r="BR533" i="2" s="1"/>
  <c r="BI536" i="2"/>
  <c r="BI555" i="2"/>
  <c r="BL556" i="2"/>
  <c r="BR556" i="2" s="1"/>
  <c r="BI559" i="2"/>
  <c r="BQ559" i="2" s="1"/>
  <c r="BL560" i="2"/>
  <c r="BR560" i="2" s="1"/>
  <c r="BL564" i="2"/>
  <c r="BR564" i="2" s="1"/>
  <c r="BL568" i="2"/>
  <c r="BR568" i="2" s="1"/>
  <c r="BL572" i="2"/>
  <c r="BR572" i="2" s="1"/>
  <c r="BL576" i="2"/>
  <c r="BR576" i="2" s="1"/>
  <c r="BL580" i="2"/>
  <c r="BR580" i="2" s="1"/>
  <c r="BL584" i="2"/>
  <c r="BR584" i="2" s="1"/>
  <c r="BL588" i="2"/>
  <c r="BR588" i="2" s="1"/>
  <c r="BL592" i="2"/>
  <c r="BR592" i="2" s="1"/>
  <c r="BL596" i="2"/>
  <c r="BR596" i="2" s="1"/>
  <c r="BL600" i="2"/>
  <c r="BR600" i="2" s="1"/>
  <c r="BL604" i="2"/>
  <c r="BR604" i="2" s="1"/>
  <c r="BL608" i="2"/>
  <c r="BR608" i="2" s="1"/>
  <c r="BL612" i="2"/>
  <c r="BR612" i="2" s="1"/>
  <c r="BL616" i="2"/>
  <c r="BR616" i="2" s="1"/>
  <c r="BL620" i="2"/>
  <c r="BR620" i="2" s="1"/>
  <c r="BL624" i="2"/>
  <c r="BR624" i="2" s="1"/>
  <c r="BL628" i="2"/>
  <c r="BR628" i="2" s="1"/>
  <c r="BL632" i="2"/>
  <c r="BR632" i="2" s="1"/>
  <c r="BL636" i="2"/>
  <c r="BR636" i="2" s="1"/>
  <c r="BL640" i="2"/>
  <c r="BR640" i="2" s="1"/>
  <c r="BL644" i="2"/>
  <c r="BR644" i="2" s="1"/>
  <c r="BL664" i="2"/>
  <c r="BR664" i="2" s="1"/>
  <c r="BL668" i="2"/>
  <c r="BR668" i="2" s="1"/>
  <c r="BI669" i="2"/>
  <c r="BQ669" i="2" s="1"/>
  <c r="BL672" i="2"/>
  <c r="BR672" i="2" s="1"/>
  <c r="BI673" i="2"/>
  <c r="BQ673" i="2" s="1"/>
  <c r="BL676" i="2"/>
  <c r="BR676" i="2" s="1"/>
  <c r="BI677" i="2"/>
  <c r="BQ677" i="2" s="1"/>
  <c r="BL680" i="2"/>
  <c r="BR680" i="2" s="1"/>
  <c r="BL684" i="2"/>
  <c r="BR684" i="2" s="1"/>
  <c r="BL688" i="2"/>
  <c r="BR688" i="2" s="1"/>
  <c r="BL692" i="2"/>
  <c r="BR692" i="2" s="1"/>
  <c r="BL696" i="2"/>
  <c r="BR696" i="2" s="1"/>
  <c r="BL700" i="2"/>
  <c r="BR700" i="2" s="1"/>
  <c r="BL704" i="2"/>
  <c r="BR704" i="2" s="1"/>
  <c r="BL708" i="2"/>
  <c r="BR708" i="2" s="1"/>
  <c r="BL712" i="2"/>
  <c r="BR712" i="2" s="1"/>
  <c r="BL716" i="2"/>
  <c r="BR716" i="2" s="1"/>
  <c r="BL719" i="2"/>
  <c r="BR719" i="2" s="1"/>
  <c r="BL720" i="2"/>
  <c r="BR720" i="2" s="1"/>
  <c r="BL724" i="2"/>
  <c r="BR724" i="2" s="1"/>
  <c r="BL728" i="2"/>
  <c r="BR728" i="2" s="1"/>
  <c r="BL732" i="2"/>
  <c r="BR732" i="2" s="1"/>
  <c r="BL736" i="2"/>
  <c r="BR736" i="2" s="1"/>
  <c r="BL740" i="2"/>
  <c r="BR740" i="2" s="1"/>
  <c r="BL744" i="2"/>
  <c r="BR744" i="2" s="1"/>
  <c r="BL748" i="2"/>
  <c r="BR748" i="2" s="1"/>
  <c r="BL752" i="2"/>
  <c r="BR752" i="2" s="1"/>
  <c r="BL755" i="2"/>
  <c r="BR755" i="2" s="1"/>
  <c r="BL756" i="2"/>
  <c r="BR756" i="2" s="1"/>
  <c r="BL759" i="2"/>
  <c r="BR759" i="2" s="1"/>
  <c r="BL760" i="2"/>
  <c r="BR760" i="2" s="1"/>
  <c r="BL763" i="2"/>
  <c r="BR763" i="2" s="1"/>
  <c r="BL764" i="2"/>
  <c r="BR764" i="2" s="1"/>
  <c r="BL767" i="2"/>
  <c r="BR767" i="2" s="1"/>
  <c r="BL768" i="2"/>
  <c r="BR768" i="2" s="1"/>
  <c r="BL771" i="2"/>
  <c r="BR771" i="2" s="1"/>
  <c r="BL772" i="2"/>
  <c r="BR772" i="2" s="1"/>
  <c r="BL775" i="2"/>
  <c r="BR775" i="2" s="1"/>
  <c r="BL776" i="2"/>
  <c r="BR776" i="2" s="1"/>
  <c r="BL779" i="2"/>
  <c r="BR779" i="2" s="1"/>
  <c r="BL780" i="2"/>
  <c r="BR780" i="2" s="1"/>
  <c r="BL787" i="2"/>
  <c r="BL791" i="2"/>
  <c r="BR791" i="2" s="1"/>
  <c r="BI797" i="2"/>
  <c r="BQ797" i="2" s="1"/>
  <c r="BL798" i="2"/>
  <c r="BR798" i="2" s="1"/>
  <c r="BL808" i="2"/>
  <c r="BR808" i="2" s="1"/>
  <c r="BL809" i="2"/>
  <c r="BR809" i="2" s="1"/>
  <c r="BI812" i="2"/>
  <c r="BI816" i="2"/>
  <c r="BL817" i="2"/>
  <c r="BR817" i="2" s="1"/>
  <c r="BI820" i="2"/>
  <c r="BL184" i="2"/>
  <c r="BR184" i="2" s="1"/>
  <c r="BL216" i="2"/>
  <c r="BR216" i="2" s="1"/>
  <c r="BL291" i="2"/>
  <c r="BR291" i="2" s="1"/>
  <c r="BL299" i="2"/>
  <c r="BR299" i="2" s="1"/>
  <c r="BI539" i="2"/>
  <c r="BL540" i="2"/>
  <c r="BR540" i="2" s="1"/>
  <c r="BI543" i="2"/>
  <c r="BI547" i="2"/>
  <c r="BQ547" i="2" s="1"/>
  <c r="BL548" i="2"/>
  <c r="BR548" i="2" s="1"/>
  <c r="BI72" i="2"/>
  <c r="BQ72" i="2" s="1"/>
  <c r="BL78" i="2"/>
  <c r="BR78" i="2" s="1"/>
  <c r="BI80" i="2"/>
  <c r="BQ80" i="2" s="1"/>
  <c r="BL86" i="2"/>
  <c r="BR86" i="2" s="1"/>
  <c r="BI88" i="2"/>
  <c r="BQ88" i="2" s="1"/>
  <c r="BI102" i="2"/>
  <c r="BQ102" i="2" s="1"/>
  <c r="BL103" i="2"/>
  <c r="BR103" i="2" s="1"/>
  <c r="BI118" i="2"/>
  <c r="BQ118" i="2" s="1"/>
  <c r="BL119" i="2"/>
  <c r="BR119" i="2" s="1"/>
  <c r="BI134" i="2"/>
  <c r="BQ134" i="2" s="1"/>
  <c r="BL135" i="2"/>
  <c r="BR135" i="2" s="1"/>
  <c r="BI150" i="2"/>
  <c r="BQ150" i="2" s="1"/>
  <c r="BL151" i="2"/>
  <c r="BR151" i="2" s="1"/>
  <c r="BI167" i="2"/>
  <c r="BQ167" i="2" s="1"/>
  <c r="BL172" i="2"/>
  <c r="BR172" i="2" s="1"/>
  <c r="BL178" i="2"/>
  <c r="BR178" i="2" s="1"/>
  <c r="BL204" i="2"/>
  <c r="BR204" i="2" s="1"/>
  <c r="BL210" i="2"/>
  <c r="BR210" i="2" s="1"/>
  <c r="BL254" i="2"/>
  <c r="BR254" i="2" s="1"/>
  <c r="BL258" i="2"/>
  <c r="BR258" i="2" s="1"/>
  <c r="BL272" i="2"/>
  <c r="BR272" i="2" s="1"/>
  <c r="BI310" i="2"/>
  <c r="BQ310" i="2" s="1"/>
  <c r="BL311" i="2"/>
  <c r="BR311" i="2" s="1"/>
  <c r="BI326" i="2"/>
  <c r="BQ326" i="2" s="1"/>
  <c r="BL327" i="2"/>
  <c r="BR327" i="2" s="1"/>
  <c r="BI342" i="2"/>
  <c r="BQ342" i="2" s="1"/>
  <c r="BL343" i="2"/>
  <c r="BR343" i="2" s="1"/>
  <c r="BI358" i="2"/>
  <c r="BQ358" i="2" s="1"/>
  <c r="BL359" i="2"/>
  <c r="BR359" i="2" s="1"/>
  <c r="BI374" i="2"/>
  <c r="BQ374" i="2" s="1"/>
  <c r="BL375" i="2"/>
  <c r="BR375" i="2" s="1"/>
  <c r="BI390" i="2"/>
  <c r="BQ390" i="2" s="1"/>
  <c r="BL391" i="2"/>
  <c r="BR391" i="2" s="1"/>
  <c r="BI406" i="2"/>
  <c r="BQ406" i="2" s="1"/>
  <c r="BL407" i="2"/>
  <c r="BR407" i="2" s="1"/>
  <c r="BI418" i="2"/>
  <c r="BI426" i="2"/>
  <c r="BQ426" i="2" s="1"/>
  <c r="BI434" i="2"/>
  <c r="BQ434" i="2" s="1"/>
  <c r="BI442" i="2"/>
  <c r="BQ442" i="2" s="1"/>
  <c r="BI450" i="2"/>
  <c r="BQ450" i="2" s="1"/>
  <c r="BI509" i="2"/>
  <c r="BQ509" i="2" s="1"/>
  <c r="BL510" i="2"/>
  <c r="BR510" i="2" s="1"/>
  <c r="BI513" i="2"/>
  <c r="BL514" i="2"/>
  <c r="BR514" i="2" s="1"/>
  <c r="BI517" i="2"/>
  <c r="BQ517" i="2" s="1"/>
  <c r="BL518" i="2"/>
  <c r="BR518" i="2" s="1"/>
  <c r="BI521" i="2"/>
  <c r="BL522" i="2"/>
  <c r="BR522" i="2" s="1"/>
  <c r="BI525" i="2"/>
  <c r="BQ525" i="2" s="1"/>
  <c r="BL526" i="2"/>
  <c r="BR526" i="2" s="1"/>
  <c r="BI529" i="2"/>
  <c r="BQ529" i="2" s="1"/>
  <c r="BL530" i="2"/>
  <c r="BR530" i="2" s="1"/>
  <c r="BI533" i="2"/>
  <c r="BQ533" i="2" s="1"/>
  <c r="BL534" i="2"/>
  <c r="BR534" i="2" s="1"/>
  <c r="BL537" i="2"/>
  <c r="BR537" i="2" s="1"/>
  <c r="BL295" i="2"/>
  <c r="BR295" i="2" s="1"/>
  <c r="BL544" i="2"/>
  <c r="BR544" i="2" s="1"/>
  <c r="BI551" i="2"/>
  <c r="BL552" i="2"/>
  <c r="BR552" i="2" s="1"/>
  <c r="BL76" i="2"/>
  <c r="BR76" i="2" s="1"/>
  <c r="BI78" i="2"/>
  <c r="BQ78" i="2" s="1"/>
  <c r="BL84" i="2"/>
  <c r="BR84" i="2" s="1"/>
  <c r="BI86" i="2"/>
  <c r="BQ86" i="2" s="1"/>
  <c r="BL92" i="2"/>
  <c r="BR92" i="2" s="1"/>
  <c r="BI94" i="2"/>
  <c r="BQ94" i="2" s="1"/>
  <c r="BL100" i="2"/>
  <c r="BR100" i="2" s="1"/>
  <c r="BL116" i="2"/>
  <c r="BR116" i="2" s="1"/>
  <c r="BL132" i="2"/>
  <c r="BR132" i="2" s="1"/>
  <c r="BL148" i="2"/>
  <c r="BR148" i="2" s="1"/>
  <c r="BL165" i="2"/>
  <c r="BR165" i="2" s="1"/>
  <c r="BL197" i="2"/>
  <c r="BR197" i="2" s="1"/>
  <c r="BL229" i="2"/>
  <c r="BR229" i="2" s="1"/>
  <c r="BI232" i="2"/>
  <c r="BQ232" i="2" s="1"/>
  <c r="BL233" i="2"/>
  <c r="BR233" i="2" s="1"/>
  <c r="BL244" i="2"/>
  <c r="BR244" i="2" s="1"/>
  <c r="BL308" i="2"/>
  <c r="BR308" i="2" s="1"/>
  <c r="BL324" i="2"/>
  <c r="BR324" i="2" s="1"/>
  <c r="BL340" i="2"/>
  <c r="BR340" i="2" s="1"/>
  <c r="BL356" i="2"/>
  <c r="BL372" i="2"/>
  <c r="BL388" i="2"/>
  <c r="BR388" i="2" s="1"/>
  <c r="BL404" i="2"/>
  <c r="BR404" i="2" s="1"/>
  <c r="BI416" i="2"/>
  <c r="BI424" i="2"/>
  <c r="BQ424" i="2" s="1"/>
  <c r="BI432" i="2"/>
  <c r="BQ432" i="2" s="1"/>
  <c r="BI440" i="2"/>
  <c r="BI448" i="2"/>
  <c r="BI456" i="2"/>
  <c r="BI506" i="2"/>
  <c r="BQ506" i="2" s="1"/>
  <c r="BI106" i="2"/>
  <c r="BQ106" i="2" s="1"/>
  <c r="BI114" i="2"/>
  <c r="BQ114" i="2" s="1"/>
  <c r="BI122" i="2"/>
  <c r="BQ122" i="2" s="1"/>
  <c r="BI130" i="2"/>
  <c r="BQ130" i="2" s="1"/>
  <c r="BI138" i="2"/>
  <c r="BI146" i="2"/>
  <c r="BQ146" i="2" s="1"/>
  <c r="BL152" i="2"/>
  <c r="BR152" i="2" s="1"/>
  <c r="BI154" i="2"/>
  <c r="BQ154" i="2" s="1"/>
  <c r="BL173" i="2"/>
  <c r="BR173" i="2" s="1"/>
  <c r="BI175" i="2"/>
  <c r="BQ175" i="2" s="1"/>
  <c r="BL189" i="2"/>
  <c r="BR189" i="2" s="1"/>
  <c r="BL205" i="2"/>
  <c r="BR205" i="2" s="1"/>
  <c r="BL221" i="2"/>
  <c r="BR221" i="2" s="1"/>
  <c r="BI230" i="2"/>
  <c r="BQ230" i="2" s="1"/>
  <c r="BL230" i="2"/>
  <c r="BR230" i="2" s="1"/>
  <c r="BL231" i="2"/>
  <c r="BR231" i="2" s="1"/>
  <c r="BI234" i="2"/>
  <c r="BQ234" i="2" s="1"/>
  <c r="BL234" i="2"/>
  <c r="BR234" i="2" s="1"/>
  <c r="BL235" i="2"/>
  <c r="BR235" i="2" s="1"/>
  <c r="BL245" i="2"/>
  <c r="BR245" i="2" s="1"/>
  <c r="BI248" i="2"/>
  <c r="BQ248" i="2" s="1"/>
  <c r="BL248" i="2"/>
  <c r="BR248" i="2" s="1"/>
  <c r="BL249" i="2"/>
  <c r="BR249" i="2" s="1"/>
  <c r="BI262" i="2"/>
  <c r="BQ262" i="2" s="1"/>
  <c r="BL262" i="2"/>
  <c r="BR262" i="2" s="1"/>
  <c r="BL263" i="2"/>
  <c r="BR263" i="2" s="1"/>
  <c r="BI266" i="2"/>
  <c r="BQ266" i="2" s="1"/>
  <c r="BL266" i="2"/>
  <c r="BR266" i="2" s="1"/>
  <c r="BL267" i="2"/>
  <c r="BR267" i="2" s="1"/>
  <c r="BL277" i="2"/>
  <c r="BR277" i="2" s="1"/>
  <c r="BI280" i="2"/>
  <c r="BQ280" i="2" s="1"/>
  <c r="BL280" i="2"/>
  <c r="BR280" i="2" s="1"/>
  <c r="BL281" i="2"/>
  <c r="BR281" i="2" s="1"/>
  <c r="BL292" i="2"/>
  <c r="BR292" i="2" s="1"/>
  <c r="BL296" i="2"/>
  <c r="BR296" i="2" s="1"/>
  <c r="BL300" i="2"/>
  <c r="BR300" i="2" s="1"/>
  <c r="BL304" i="2"/>
  <c r="BR304" i="2" s="1"/>
  <c r="BI306" i="2"/>
  <c r="BQ306" i="2" s="1"/>
  <c r="BL312" i="2"/>
  <c r="BR312" i="2" s="1"/>
  <c r="BI314" i="2"/>
  <c r="BQ314" i="2" s="1"/>
  <c r="BL320" i="2"/>
  <c r="BR320" i="2" s="1"/>
  <c r="BI322" i="2"/>
  <c r="BQ322" i="2" s="1"/>
  <c r="BL328" i="2"/>
  <c r="BR328" i="2" s="1"/>
  <c r="BI330" i="2"/>
  <c r="BQ330" i="2" s="1"/>
  <c r="BL336" i="2"/>
  <c r="BR336" i="2" s="1"/>
  <c r="BI338" i="2"/>
  <c r="BL344" i="2"/>
  <c r="BI346" i="2"/>
  <c r="BQ346" i="2" s="1"/>
  <c r="BL352" i="2"/>
  <c r="BR352" i="2" s="1"/>
  <c r="BI354" i="2"/>
  <c r="BI362" i="2"/>
  <c r="BL368" i="2"/>
  <c r="BR368" i="2" s="1"/>
  <c r="BI370" i="2"/>
  <c r="BL376" i="2"/>
  <c r="BR376" i="2" s="1"/>
  <c r="BI378" i="2"/>
  <c r="BQ378" i="2" s="1"/>
  <c r="BL384" i="2"/>
  <c r="BR384" i="2" s="1"/>
  <c r="BI386" i="2"/>
  <c r="BQ386" i="2" s="1"/>
  <c r="BL392" i="2"/>
  <c r="BR392" i="2" s="1"/>
  <c r="BI394" i="2"/>
  <c r="BL400" i="2"/>
  <c r="BR400" i="2" s="1"/>
  <c r="BI402" i="2"/>
  <c r="BL408" i="2"/>
  <c r="BR408" i="2" s="1"/>
  <c r="BI410" i="2"/>
  <c r="BL493" i="2"/>
  <c r="BR493" i="2" s="1"/>
  <c r="BL497" i="2"/>
  <c r="BR497" i="2" s="1"/>
  <c r="BL501" i="2"/>
  <c r="BR501" i="2" s="1"/>
  <c r="BI510" i="2"/>
  <c r="BQ510" i="2" s="1"/>
  <c r="BL511" i="2"/>
  <c r="BR511" i="2" s="1"/>
  <c r="BI514" i="2"/>
  <c r="BQ514" i="2" s="1"/>
  <c r="BL515" i="2"/>
  <c r="BR515" i="2" s="1"/>
  <c r="BI518" i="2"/>
  <c r="BQ518" i="2" s="1"/>
  <c r="BL519" i="2"/>
  <c r="BR519" i="2" s="1"/>
  <c r="BI522" i="2"/>
  <c r="BQ522" i="2" s="1"/>
  <c r="BL523" i="2"/>
  <c r="BR523" i="2" s="1"/>
  <c r="BI526" i="2"/>
  <c r="BQ526" i="2" s="1"/>
  <c r="BL527" i="2"/>
  <c r="BR527" i="2" s="1"/>
  <c r="BI530" i="2"/>
  <c r="BQ530" i="2" s="1"/>
  <c r="BL531" i="2"/>
  <c r="BR531" i="2" s="1"/>
  <c r="BI534" i="2"/>
  <c r="BQ534" i="2" s="1"/>
  <c r="BL535" i="2"/>
  <c r="BR535" i="2" s="1"/>
  <c r="BI540" i="2"/>
  <c r="BQ540" i="2" s="1"/>
  <c r="BL541" i="2"/>
  <c r="BR541" i="2" s="1"/>
  <c r="BI544" i="2"/>
  <c r="BQ544" i="2" s="1"/>
  <c r="BL545" i="2"/>
  <c r="BR545" i="2" s="1"/>
  <c r="BI548" i="2"/>
  <c r="BQ548" i="2" s="1"/>
  <c r="BL549" i="2"/>
  <c r="BR549" i="2" s="1"/>
  <c r="BI552" i="2"/>
  <c r="BQ552" i="2" s="1"/>
  <c r="BL553" i="2"/>
  <c r="BR553" i="2" s="1"/>
  <c r="BI556" i="2"/>
  <c r="BL557" i="2"/>
  <c r="BR557" i="2" s="1"/>
  <c r="BI560" i="2"/>
  <c r="BQ560" i="2" s="1"/>
  <c r="BI564" i="2"/>
  <c r="BQ564" i="2" s="1"/>
  <c r="BI568" i="2"/>
  <c r="BI572" i="2"/>
  <c r="BI576" i="2"/>
  <c r="BQ576" i="2" s="1"/>
  <c r="BL94" i="2"/>
  <c r="BR94" i="2" s="1"/>
  <c r="BI96" i="2"/>
  <c r="BQ96" i="2" s="1"/>
  <c r="BL102" i="2"/>
  <c r="BR102" i="2" s="1"/>
  <c r="BI104" i="2"/>
  <c r="BQ104" i="2" s="1"/>
  <c r="BL110" i="2"/>
  <c r="BR110" i="2" s="1"/>
  <c r="BI112" i="2"/>
  <c r="BQ112" i="2" s="1"/>
  <c r="BL118" i="2"/>
  <c r="BR118" i="2" s="1"/>
  <c r="BI120" i="2"/>
  <c r="BQ120" i="2" s="1"/>
  <c r="BL126" i="2"/>
  <c r="BR126" i="2" s="1"/>
  <c r="BI128" i="2"/>
  <c r="BQ128" i="2" s="1"/>
  <c r="BL134" i="2"/>
  <c r="BR134" i="2" s="1"/>
  <c r="BI136" i="2"/>
  <c r="BQ136" i="2" s="1"/>
  <c r="BL142" i="2"/>
  <c r="BR142" i="2" s="1"/>
  <c r="BI144" i="2"/>
  <c r="BQ144" i="2" s="1"/>
  <c r="BL150" i="2"/>
  <c r="BR150" i="2" s="1"/>
  <c r="BI152" i="2"/>
  <c r="BQ152" i="2" s="1"/>
  <c r="BL158" i="2"/>
  <c r="BR158" i="2" s="1"/>
  <c r="BI160" i="2"/>
  <c r="BQ160" i="2" s="1"/>
  <c r="BI170" i="2"/>
  <c r="BQ170" i="2" s="1"/>
  <c r="BL171" i="2"/>
  <c r="BR171" i="2" s="1"/>
  <c r="BI173" i="2"/>
  <c r="BQ173" i="2" s="1"/>
  <c r="BI176" i="2"/>
  <c r="BQ176" i="2" s="1"/>
  <c r="BI186" i="2"/>
  <c r="BQ186" i="2" s="1"/>
  <c r="BL187" i="2"/>
  <c r="BR187" i="2" s="1"/>
  <c r="BI192" i="2"/>
  <c r="BQ192" i="2" s="1"/>
  <c r="BL193" i="2"/>
  <c r="BR193" i="2" s="1"/>
  <c r="BL199" i="2"/>
  <c r="BR199" i="2" s="1"/>
  <c r="BI202" i="2"/>
  <c r="BQ202" i="2" s="1"/>
  <c r="BL203" i="2"/>
  <c r="BR203" i="2" s="1"/>
  <c r="BI208" i="2"/>
  <c r="BQ208" i="2" s="1"/>
  <c r="BL209" i="2"/>
  <c r="BR209" i="2" s="1"/>
  <c r="BL215" i="2"/>
  <c r="BR215" i="2" s="1"/>
  <c r="BI218" i="2"/>
  <c r="BQ218" i="2" s="1"/>
  <c r="BL219" i="2"/>
  <c r="BR219" i="2" s="1"/>
  <c r="BI224" i="2"/>
  <c r="BQ224" i="2" s="1"/>
  <c r="BL225" i="2"/>
  <c r="BR225" i="2" s="1"/>
  <c r="BI238" i="2"/>
  <c r="BQ238" i="2" s="1"/>
  <c r="BL239" i="2"/>
  <c r="BR239" i="2" s="1"/>
  <c r="BI242" i="2"/>
  <c r="BL243" i="2"/>
  <c r="BR243" i="2" s="1"/>
  <c r="BL253" i="2"/>
  <c r="BR253" i="2" s="1"/>
  <c r="BI256" i="2"/>
  <c r="BQ256" i="2" s="1"/>
  <c r="BL257" i="2"/>
  <c r="BR257" i="2" s="1"/>
  <c r="BI270" i="2"/>
  <c r="BQ270" i="2" s="1"/>
  <c r="BL271" i="2"/>
  <c r="BR271" i="2" s="1"/>
  <c r="BI274" i="2"/>
  <c r="BQ274" i="2" s="1"/>
  <c r="BL275" i="2"/>
  <c r="BR275" i="2" s="1"/>
  <c r="BI285" i="2"/>
  <c r="BQ285" i="2" s="1"/>
  <c r="BL286" i="2"/>
  <c r="BR286" i="2" s="1"/>
  <c r="BI289" i="2"/>
  <c r="BQ289" i="2" s="1"/>
  <c r="BL290" i="2"/>
  <c r="BR290" i="2" s="1"/>
  <c r="BI293" i="2"/>
  <c r="BQ293" i="2" s="1"/>
  <c r="BI297" i="2"/>
  <c r="BQ297" i="2" s="1"/>
  <c r="BI301" i="2"/>
  <c r="BQ301" i="2" s="1"/>
  <c r="BI304" i="2"/>
  <c r="BQ304" i="2" s="1"/>
  <c r="BL310" i="2"/>
  <c r="BR310" i="2" s="1"/>
  <c r="BI312" i="2"/>
  <c r="BQ312" i="2" s="1"/>
  <c r="BL318" i="2"/>
  <c r="BR318" i="2" s="1"/>
  <c r="BI320" i="2"/>
  <c r="BQ320" i="2" s="1"/>
  <c r="BL326" i="2"/>
  <c r="BR326" i="2" s="1"/>
  <c r="BI328" i="2"/>
  <c r="BQ328" i="2" s="1"/>
  <c r="BL334" i="2"/>
  <c r="BI336" i="2"/>
  <c r="BL342" i="2"/>
  <c r="BR342" i="2" s="1"/>
  <c r="BI344" i="2"/>
  <c r="BQ344" i="2" s="1"/>
  <c r="BL350" i="2"/>
  <c r="BR350" i="2" s="1"/>
  <c r="BI352" i="2"/>
  <c r="BL358" i="2"/>
  <c r="BR358" i="2" s="1"/>
  <c r="BI360" i="2"/>
  <c r="BQ360" i="2" s="1"/>
  <c r="BL366" i="2"/>
  <c r="BR366" i="2" s="1"/>
  <c r="BI368" i="2"/>
  <c r="BL374" i="2"/>
  <c r="BR374" i="2" s="1"/>
  <c r="BI376" i="2"/>
  <c r="BQ376" i="2" s="1"/>
  <c r="BL382" i="2"/>
  <c r="BR382" i="2" s="1"/>
  <c r="BI384" i="2"/>
  <c r="BL390" i="2"/>
  <c r="BR390" i="2" s="1"/>
  <c r="BI392" i="2"/>
  <c r="BQ392" i="2" s="1"/>
  <c r="BL398" i="2"/>
  <c r="BI400" i="2"/>
  <c r="BL406" i="2"/>
  <c r="BR406" i="2" s="1"/>
  <c r="BI408" i="2"/>
  <c r="BQ408" i="2" s="1"/>
  <c r="BI458" i="2"/>
  <c r="BL459" i="2"/>
  <c r="BR459" i="2" s="1"/>
  <c r="BI462" i="2"/>
  <c r="BL463" i="2"/>
  <c r="BR463" i="2" s="1"/>
  <c r="BI466" i="2"/>
  <c r="BQ466" i="2" s="1"/>
  <c r="BL467" i="2"/>
  <c r="BR467" i="2" s="1"/>
  <c r="BI470" i="2"/>
  <c r="BL471" i="2"/>
  <c r="BR471" i="2" s="1"/>
  <c r="BI474" i="2"/>
  <c r="BL475" i="2"/>
  <c r="BR475" i="2" s="1"/>
  <c r="BI478" i="2"/>
  <c r="BL479" i="2"/>
  <c r="BR479" i="2" s="1"/>
  <c r="BI482" i="2"/>
  <c r="BQ482" i="2" s="1"/>
  <c r="BL483" i="2"/>
  <c r="BR483" i="2" s="1"/>
  <c r="BI486" i="2"/>
  <c r="BL487" i="2"/>
  <c r="BR487" i="2" s="1"/>
  <c r="BI490" i="2"/>
  <c r="BI494" i="2"/>
  <c r="BI498" i="2"/>
  <c r="BQ498" i="2" s="1"/>
  <c r="BI502" i="2"/>
  <c r="BQ502" i="2" s="1"/>
  <c r="BI511" i="2"/>
  <c r="BI515" i="2"/>
  <c r="BI519" i="2"/>
  <c r="BI523" i="2"/>
  <c r="BQ523" i="2" s="1"/>
  <c r="BI527" i="2"/>
  <c r="BI531" i="2"/>
  <c r="BI535" i="2"/>
  <c r="BI538" i="2"/>
  <c r="BQ538" i="2" s="1"/>
  <c r="BI541" i="2"/>
  <c r="BQ541" i="2" s="1"/>
  <c r="BI545" i="2"/>
  <c r="BI549" i="2"/>
  <c r="BQ549" i="2" s="1"/>
  <c r="BI553" i="2"/>
  <c r="BL614" i="2"/>
  <c r="BR614" i="2" s="1"/>
  <c r="BL618" i="2"/>
  <c r="BR618" i="2" s="1"/>
  <c r="BL622" i="2"/>
  <c r="BR622" i="2" s="1"/>
  <c r="BL626" i="2"/>
  <c r="BR626" i="2" s="1"/>
  <c r="BL630" i="2"/>
  <c r="BR630" i="2" s="1"/>
  <c r="BL634" i="2"/>
  <c r="BR634" i="2" s="1"/>
  <c r="BI554" i="2"/>
  <c r="BQ554" i="2" s="1"/>
  <c r="BL555" i="2"/>
  <c r="BR555" i="2" s="1"/>
  <c r="BI558" i="2"/>
  <c r="BQ558" i="2" s="1"/>
  <c r="BL559" i="2"/>
  <c r="BR559" i="2" s="1"/>
  <c r="BI562" i="2"/>
  <c r="BQ562" i="2" s="1"/>
  <c r="BL563" i="2"/>
  <c r="BR563" i="2" s="1"/>
  <c r="BI566" i="2"/>
  <c r="BQ566" i="2" s="1"/>
  <c r="BL567" i="2"/>
  <c r="BR567" i="2" s="1"/>
  <c r="BI570" i="2"/>
  <c r="BQ570" i="2" s="1"/>
  <c r="BL571" i="2"/>
  <c r="BR571" i="2" s="1"/>
  <c r="BI574" i="2"/>
  <c r="BQ574" i="2" s="1"/>
  <c r="BL575" i="2"/>
  <c r="BR575" i="2" s="1"/>
  <c r="BI578" i="2"/>
  <c r="BQ578" i="2" s="1"/>
  <c r="BL579" i="2"/>
  <c r="BR579" i="2" s="1"/>
  <c r="BL583" i="2"/>
  <c r="BR583" i="2" s="1"/>
  <c r="BL587" i="2"/>
  <c r="BR587" i="2" s="1"/>
  <c r="BL591" i="2"/>
  <c r="BR591" i="2" s="1"/>
  <c r="BL595" i="2"/>
  <c r="BR595" i="2" s="1"/>
  <c r="BL599" i="2"/>
  <c r="BR599" i="2" s="1"/>
  <c r="BL603" i="2"/>
  <c r="BR603" i="2" s="1"/>
  <c r="BL607" i="2"/>
  <c r="BR607" i="2" s="1"/>
  <c r="BL611" i="2"/>
  <c r="BR611" i="2" s="1"/>
  <c r="BL615" i="2"/>
  <c r="BR615" i="2" s="1"/>
  <c r="BL619" i="2"/>
  <c r="BR619" i="2" s="1"/>
  <c r="BL623" i="2"/>
  <c r="BR623" i="2" s="1"/>
  <c r="BL627" i="2"/>
  <c r="BR627" i="2" s="1"/>
  <c r="BL631" i="2"/>
  <c r="BR631" i="2" s="1"/>
  <c r="BL635" i="2"/>
  <c r="BR635" i="2" s="1"/>
  <c r="BL641" i="2"/>
  <c r="BR641" i="2" s="1"/>
  <c r="BL645" i="2"/>
  <c r="BR645" i="2" s="1"/>
  <c r="BL649" i="2"/>
  <c r="BR649" i="2" s="1"/>
  <c r="BL653" i="2"/>
  <c r="BR653" i="2" s="1"/>
  <c r="BL657" i="2"/>
  <c r="BR657" i="2" s="1"/>
  <c r="BL661" i="2"/>
  <c r="BR661" i="2" s="1"/>
  <c r="BL665" i="2"/>
  <c r="BR665" i="2" s="1"/>
  <c r="BI666" i="2"/>
  <c r="BQ666" i="2" s="1"/>
  <c r="BL669" i="2"/>
  <c r="BR669" i="2" s="1"/>
  <c r="BI670" i="2"/>
  <c r="BQ670" i="2" s="1"/>
  <c r="BL673" i="2"/>
  <c r="BI674" i="2"/>
  <c r="BQ674" i="2" s="1"/>
  <c r="BL677" i="2"/>
  <c r="BR677" i="2" s="1"/>
  <c r="BL681" i="2"/>
  <c r="BR681" i="2" s="1"/>
  <c r="BL685" i="2"/>
  <c r="BR685" i="2" s="1"/>
  <c r="BL689" i="2"/>
  <c r="BR689" i="2" s="1"/>
  <c r="BL693" i="2"/>
  <c r="BR693" i="2" s="1"/>
  <c r="BL697" i="2"/>
  <c r="BR697" i="2" s="1"/>
  <c r="BL701" i="2"/>
  <c r="BR701" i="2" s="1"/>
  <c r="BL705" i="2"/>
  <c r="BR705" i="2" s="1"/>
  <c r="BL709" i="2"/>
  <c r="BR709" i="2" s="1"/>
  <c r="BL713" i="2"/>
  <c r="BR713" i="2" s="1"/>
  <c r="BL717" i="2"/>
  <c r="BR717" i="2" s="1"/>
  <c r="BL725" i="2"/>
  <c r="BR725" i="2" s="1"/>
  <c r="BL729" i="2"/>
  <c r="BR729" i="2" s="1"/>
  <c r="BL733" i="2"/>
  <c r="BR733" i="2" s="1"/>
  <c r="BL737" i="2"/>
  <c r="BR737" i="2" s="1"/>
  <c r="BL741" i="2"/>
  <c r="BR741" i="2" s="1"/>
  <c r="BL745" i="2"/>
  <c r="BR745" i="2" s="1"/>
  <c r="BL749" i="2"/>
  <c r="BR749" i="2" s="1"/>
  <c r="BL753" i="2"/>
  <c r="BR753" i="2" s="1"/>
  <c r="BI563" i="2"/>
  <c r="BQ563" i="2" s="1"/>
  <c r="BI567" i="2"/>
  <c r="BQ567" i="2" s="1"/>
  <c r="BI571" i="2"/>
  <c r="BI575" i="2"/>
  <c r="BQ575" i="2" s="1"/>
  <c r="BL642" i="2"/>
  <c r="BR642" i="2" s="1"/>
  <c r="BL666" i="2"/>
  <c r="BR666" i="2" s="1"/>
  <c r="BI667" i="2"/>
  <c r="BQ667" i="2" s="1"/>
  <c r="BL670" i="2"/>
  <c r="BR670" i="2" s="1"/>
  <c r="BI671" i="2"/>
  <c r="BL674" i="2"/>
  <c r="BR674" i="2" s="1"/>
  <c r="BI675" i="2"/>
  <c r="BL800" i="2"/>
  <c r="BR800" i="2" s="1"/>
  <c r="BL663" i="2"/>
  <c r="BR663" i="2" s="1"/>
  <c r="BL813" i="2"/>
  <c r="BR813" i="2" s="1"/>
  <c r="BL821" i="2"/>
  <c r="BR821" i="2" s="1"/>
  <c r="BI679" i="2"/>
  <c r="BQ679" i="2" s="1"/>
  <c r="BI681" i="2"/>
  <c r="BQ681" i="2" s="1"/>
  <c r="BI683" i="2"/>
  <c r="BI685" i="2"/>
  <c r="BQ685" i="2" s="1"/>
  <c r="BI687" i="2"/>
  <c r="BI689" i="2"/>
  <c r="BQ689" i="2" s="1"/>
  <c r="BI691" i="2"/>
  <c r="BI693" i="2"/>
  <c r="BQ693" i="2" s="1"/>
  <c r="BI695" i="2"/>
  <c r="BQ695" i="2" s="1"/>
  <c r="BI697" i="2"/>
  <c r="BQ697" i="2" s="1"/>
  <c r="BI699" i="2"/>
  <c r="BI701" i="2"/>
  <c r="BQ701" i="2" s="1"/>
  <c r="BI703" i="2"/>
  <c r="BI705" i="2"/>
  <c r="BQ705" i="2" s="1"/>
  <c r="BI707" i="2"/>
  <c r="BI709" i="2"/>
  <c r="BQ709" i="2" s="1"/>
  <c r="BI711" i="2"/>
  <c r="BQ711" i="2" s="1"/>
  <c r="BI713" i="2"/>
  <c r="BQ713" i="2" s="1"/>
  <c r="BI715" i="2"/>
  <c r="BI717" i="2"/>
  <c r="BQ717" i="2" s="1"/>
  <c r="BI719" i="2"/>
  <c r="BQ719" i="2" s="1"/>
  <c r="BI721" i="2"/>
  <c r="BQ721" i="2" s="1"/>
  <c r="BI723" i="2"/>
  <c r="BI725" i="2"/>
  <c r="BQ725" i="2" s="1"/>
  <c r="BI727" i="2"/>
  <c r="BI729" i="2"/>
  <c r="BQ729" i="2" s="1"/>
  <c r="BI731" i="2"/>
  <c r="BQ731" i="2" s="1"/>
  <c r="BI733" i="2"/>
  <c r="BQ733" i="2" s="1"/>
  <c r="BI735" i="2"/>
  <c r="BQ735" i="2" s="1"/>
  <c r="BI737" i="2"/>
  <c r="BQ737" i="2" s="1"/>
  <c r="BI739" i="2"/>
  <c r="BI741" i="2"/>
  <c r="BQ741" i="2" s="1"/>
  <c r="BI743" i="2"/>
  <c r="BI745" i="2"/>
  <c r="BQ745" i="2" s="1"/>
  <c r="BI747" i="2"/>
  <c r="BQ747" i="2" s="1"/>
  <c r="BI749" i="2"/>
  <c r="BQ749" i="2" s="1"/>
  <c r="BI751" i="2"/>
  <c r="BQ751" i="2" s="1"/>
  <c r="BI753" i="2"/>
  <c r="BQ753" i="2" s="1"/>
  <c r="BI755" i="2"/>
  <c r="BQ755" i="2" s="1"/>
  <c r="BI757" i="2"/>
  <c r="BQ757" i="2" s="1"/>
  <c r="BI759" i="2"/>
  <c r="BQ759" i="2" s="1"/>
  <c r="BI761" i="2"/>
  <c r="BI763" i="2"/>
  <c r="BQ763" i="2" s="1"/>
  <c r="BI765" i="2"/>
  <c r="BQ765" i="2" s="1"/>
  <c r="BI767" i="2"/>
  <c r="BQ767" i="2" s="1"/>
  <c r="BI769" i="2"/>
  <c r="BQ769" i="2" s="1"/>
  <c r="BI771" i="2"/>
  <c r="BQ771" i="2" s="1"/>
  <c r="BI773" i="2"/>
  <c r="BQ773" i="2" s="1"/>
  <c r="BI775" i="2"/>
  <c r="BQ775" i="2" s="1"/>
  <c r="BI777" i="2"/>
  <c r="BQ777" i="2" s="1"/>
  <c r="BI779" i="2"/>
  <c r="BQ779" i="2" s="1"/>
  <c r="BL783" i="2"/>
  <c r="BR783" i="2" s="1"/>
  <c r="BI785" i="2"/>
  <c r="BI793" i="2"/>
  <c r="BQ793" i="2" s="1"/>
  <c r="BI801" i="2"/>
  <c r="BI809" i="2"/>
  <c r="BQ809" i="2" s="1"/>
  <c r="BI817" i="2"/>
  <c r="BL818" i="2"/>
  <c r="BR818" i="2" s="1"/>
  <c r="BI821" i="2"/>
  <c r="BQ821" i="2" s="1"/>
  <c r="BL781" i="2"/>
  <c r="BR781" i="2" s="1"/>
  <c r="BI783" i="2"/>
  <c r="BQ783" i="2" s="1"/>
  <c r="BL789" i="2"/>
  <c r="BR789" i="2" s="1"/>
  <c r="BI791" i="2"/>
  <c r="BQ791" i="2" s="1"/>
  <c r="BL797" i="2"/>
  <c r="BR797" i="2" s="1"/>
  <c r="BI799" i="2"/>
  <c r="BQ799" i="2" s="1"/>
  <c r="BL805" i="2"/>
  <c r="BR805" i="2" s="1"/>
  <c r="BI807" i="2"/>
  <c r="BQ807" i="2" s="1"/>
  <c r="BL815" i="2"/>
  <c r="BR815" i="2" s="1"/>
  <c r="BI818" i="2"/>
  <c r="BQ818" i="2" s="1"/>
  <c r="BL819" i="2"/>
  <c r="BI822" i="2"/>
  <c r="BL161" i="2"/>
  <c r="BR161" i="2" s="1"/>
  <c r="BI163" i="2"/>
  <c r="BQ163" i="2" s="1"/>
  <c r="BI166" i="2"/>
  <c r="BQ166" i="2" s="1"/>
  <c r="BL169" i="2"/>
  <c r="BR169" i="2" s="1"/>
  <c r="BI171" i="2"/>
  <c r="BQ171" i="2" s="1"/>
  <c r="BI174" i="2"/>
  <c r="BQ174" i="2" s="1"/>
  <c r="BL177" i="2"/>
  <c r="BR177" i="2" s="1"/>
  <c r="BI179" i="2"/>
  <c r="BQ179" i="2" s="1"/>
  <c r="BI182" i="2"/>
  <c r="BQ182" i="2" s="1"/>
  <c r="BL185" i="2"/>
  <c r="BR185" i="2" s="1"/>
  <c r="BI187" i="2"/>
  <c r="BQ187" i="2" s="1"/>
  <c r="BI190" i="2"/>
  <c r="BQ190" i="2" s="1"/>
  <c r="BI198" i="2"/>
  <c r="BQ198" i="2" s="1"/>
  <c r="BI206" i="2"/>
  <c r="BQ206" i="2" s="1"/>
  <c r="BI214" i="2"/>
  <c r="BQ214" i="2" s="1"/>
  <c r="BI222" i="2"/>
  <c r="BQ222" i="2" s="1"/>
  <c r="BI71" i="2"/>
  <c r="BQ71" i="2" s="1"/>
  <c r="BI73" i="2"/>
  <c r="BQ73" i="2" s="1"/>
  <c r="BI75" i="2"/>
  <c r="BQ75" i="2" s="1"/>
  <c r="BI77" i="2"/>
  <c r="BQ77" i="2" s="1"/>
  <c r="BI79" i="2"/>
  <c r="BQ79" i="2" s="1"/>
  <c r="BI81" i="2"/>
  <c r="BQ81" i="2" s="1"/>
  <c r="BI83" i="2"/>
  <c r="BQ83" i="2" s="1"/>
  <c r="BI85" i="2"/>
  <c r="BQ85" i="2" s="1"/>
  <c r="BI87" i="2"/>
  <c r="BQ87" i="2" s="1"/>
  <c r="BI89" i="2"/>
  <c r="BQ89" i="2" s="1"/>
  <c r="BI91" i="2"/>
  <c r="BQ91" i="2" s="1"/>
  <c r="BI93" i="2"/>
  <c r="BQ93" i="2" s="1"/>
  <c r="BI95" i="2"/>
  <c r="BQ95" i="2" s="1"/>
  <c r="BI97" i="2"/>
  <c r="BQ97" i="2" s="1"/>
  <c r="BI99" i="2"/>
  <c r="BQ99" i="2" s="1"/>
  <c r="BI101" i="2"/>
  <c r="BQ101" i="2" s="1"/>
  <c r="BI103" i="2"/>
  <c r="BQ103" i="2" s="1"/>
  <c r="BI105" i="2"/>
  <c r="BQ105" i="2" s="1"/>
  <c r="BI107" i="2"/>
  <c r="BQ107" i="2" s="1"/>
  <c r="BI109" i="2"/>
  <c r="BQ109" i="2" s="1"/>
  <c r="BI111" i="2"/>
  <c r="BQ111" i="2" s="1"/>
  <c r="BI113" i="2"/>
  <c r="BQ113" i="2" s="1"/>
  <c r="BI115" i="2"/>
  <c r="BQ115" i="2" s="1"/>
  <c r="BI117" i="2"/>
  <c r="BQ117" i="2" s="1"/>
  <c r="BI119" i="2"/>
  <c r="BQ119" i="2" s="1"/>
  <c r="BI121" i="2"/>
  <c r="BQ121" i="2" s="1"/>
  <c r="BI123" i="2"/>
  <c r="BQ123" i="2" s="1"/>
  <c r="BI125" i="2"/>
  <c r="BQ125" i="2" s="1"/>
  <c r="BI127" i="2"/>
  <c r="BQ127" i="2" s="1"/>
  <c r="BI129" i="2"/>
  <c r="BQ129" i="2" s="1"/>
  <c r="BI131" i="2"/>
  <c r="BQ131" i="2" s="1"/>
  <c r="BI133" i="2"/>
  <c r="BQ133" i="2" s="1"/>
  <c r="BI135" i="2"/>
  <c r="BQ135" i="2" s="1"/>
  <c r="BI137" i="2"/>
  <c r="BQ137" i="2" s="1"/>
  <c r="BI139" i="2"/>
  <c r="BQ139" i="2" s="1"/>
  <c r="BI141" i="2"/>
  <c r="BQ141" i="2" s="1"/>
  <c r="BI143" i="2"/>
  <c r="BQ143" i="2" s="1"/>
  <c r="BI145" i="2"/>
  <c r="BQ145" i="2" s="1"/>
  <c r="BI147" i="2"/>
  <c r="BQ147" i="2" s="1"/>
  <c r="BI149" i="2"/>
  <c r="BQ149" i="2" s="1"/>
  <c r="BI151" i="2"/>
  <c r="BQ151" i="2" s="1"/>
  <c r="BI153" i="2"/>
  <c r="BQ153" i="2" s="1"/>
  <c r="BI155" i="2"/>
  <c r="BQ155" i="2" s="1"/>
  <c r="BI157" i="2"/>
  <c r="BQ157" i="2" s="1"/>
  <c r="BI159" i="2"/>
  <c r="BQ159" i="2" s="1"/>
  <c r="BI161" i="2"/>
  <c r="BQ161" i="2" s="1"/>
  <c r="BI164" i="2"/>
  <c r="BQ164" i="2" s="1"/>
  <c r="BL167" i="2"/>
  <c r="BR167" i="2" s="1"/>
  <c r="BI169" i="2"/>
  <c r="BQ169" i="2" s="1"/>
  <c r="BI172" i="2"/>
  <c r="BQ172" i="2" s="1"/>
  <c r="BL175" i="2"/>
  <c r="BR175" i="2" s="1"/>
  <c r="BI177" i="2"/>
  <c r="BQ177" i="2" s="1"/>
  <c r="BI180" i="2"/>
  <c r="BQ180" i="2" s="1"/>
  <c r="BL183" i="2"/>
  <c r="BR183" i="2" s="1"/>
  <c r="BI185" i="2"/>
  <c r="BQ185" i="2" s="1"/>
  <c r="BI188" i="2"/>
  <c r="BQ188" i="2" s="1"/>
  <c r="BI196" i="2"/>
  <c r="BQ196" i="2" s="1"/>
  <c r="BI204" i="2"/>
  <c r="BQ204" i="2" s="1"/>
  <c r="BI212" i="2"/>
  <c r="BQ212" i="2" s="1"/>
  <c r="BI220" i="2"/>
  <c r="BQ220" i="2" s="1"/>
  <c r="BI228" i="2"/>
  <c r="BQ228" i="2" s="1"/>
  <c r="BI236" i="2"/>
  <c r="BQ236" i="2" s="1"/>
  <c r="BI244" i="2"/>
  <c r="BQ244" i="2" s="1"/>
  <c r="BI252" i="2"/>
  <c r="BQ252" i="2" s="1"/>
  <c r="BI260" i="2"/>
  <c r="BQ260" i="2" s="1"/>
  <c r="BI268" i="2"/>
  <c r="BQ268" i="2" s="1"/>
  <c r="BI276" i="2"/>
  <c r="BQ276" i="2" s="1"/>
  <c r="BI189" i="2"/>
  <c r="BQ189" i="2" s="1"/>
  <c r="BI191" i="2"/>
  <c r="BQ191" i="2" s="1"/>
  <c r="BI193" i="2"/>
  <c r="BQ193" i="2" s="1"/>
  <c r="BI195" i="2"/>
  <c r="BQ195" i="2" s="1"/>
  <c r="BI197" i="2"/>
  <c r="BQ197" i="2" s="1"/>
  <c r="BI199" i="2"/>
  <c r="BQ199" i="2" s="1"/>
  <c r="BI201" i="2"/>
  <c r="BQ201" i="2" s="1"/>
  <c r="BI203" i="2"/>
  <c r="BQ203" i="2" s="1"/>
  <c r="BI205" i="2"/>
  <c r="BQ205" i="2" s="1"/>
  <c r="BI207" i="2"/>
  <c r="BQ207" i="2" s="1"/>
  <c r="BI209" i="2"/>
  <c r="BQ209" i="2" s="1"/>
  <c r="BI211" i="2"/>
  <c r="BQ211" i="2" s="1"/>
  <c r="BI213" i="2"/>
  <c r="BQ213" i="2" s="1"/>
  <c r="BI215" i="2"/>
  <c r="BQ215" i="2" s="1"/>
  <c r="BI217" i="2"/>
  <c r="BQ217" i="2" s="1"/>
  <c r="BI219" i="2"/>
  <c r="BQ219" i="2" s="1"/>
  <c r="BI221" i="2"/>
  <c r="BQ221" i="2" s="1"/>
  <c r="BI223" i="2"/>
  <c r="BQ223" i="2" s="1"/>
  <c r="BI225" i="2"/>
  <c r="BQ225" i="2" s="1"/>
  <c r="BI227" i="2"/>
  <c r="BQ227" i="2" s="1"/>
  <c r="BI229" i="2"/>
  <c r="BQ229" i="2" s="1"/>
  <c r="BI231" i="2"/>
  <c r="BQ231" i="2" s="1"/>
  <c r="BI233" i="2"/>
  <c r="BQ233" i="2" s="1"/>
  <c r="BI235" i="2"/>
  <c r="BQ235" i="2" s="1"/>
  <c r="BI237" i="2"/>
  <c r="BQ237" i="2" s="1"/>
  <c r="BI239" i="2"/>
  <c r="BQ239" i="2" s="1"/>
  <c r="BI241" i="2"/>
  <c r="BQ241" i="2" s="1"/>
  <c r="BI243" i="2"/>
  <c r="BQ243" i="2" s="1"/>
  <c r="BI245" i="2"/>
  <c r="BQ245" i="2" s="1"/>
  <c r="BI247" i="2"/>
  <c r="BQ247" i="2" s="1"/>
  <c r="BI249" i="2"/>
  <c r="BQ249" i="2" s="1"/>
  <c r="BI251" i="2"/>
  <c r="BQ251" i="2" s="1"/>
  <c r="BI253" i="2"/>
  <c r="BQ253" i="2" s="1"/>
  <c r="BI255" i="2"/>
  <c r="BQ255" i="2" s="1"/>
  <c r="BI257" i="2"/>
  <c r="BQ257" i="2" s="1"/>
  <c r="BI259" i="2"/>
  <c r="BQ259" i="2" s="1"/>
  <c r="BI261" i="2"/>
  <c r="BQ261" i="2" s="1"/>
  <c r="BI263" i="2"/>
  <c r="BQ263" i="2" s="1"/>
  <c r="BI265" i="2"/>
  <c r="BQ265" i="2" s="1"/>
  <c r="BI267" i="2"/>
  <c r="BQ267" i="2" s="1"/>
  <c r="BI269" i="2"/>
  <c r="BQ269" i="2" s="1"/>
  <c r="BI271" i="2"/>
  <c r="BQ271" i="2" s="1"/>
  <c r="BI273" i="2"/>
  <c r="BQ273" i="2" s="1"/>
  <c r="BI275" i="2"/>
  <c r="BQ275" i="2" s="1"/>
  <c r="BI277" i="2"/>
  <c r="BQ277" i="2" s="1"/>
  <c r="BI279" i="2"/>
  <c r="BQ279" i="2" s="1"/>
  <c r="BI281" i="2"/>
  <c r="BQ281" i="2" s="1"/>
  <c r="BI283" i="2"/>
  <c r="BQ283" i="2" s="1"/>
  <c r="BI284" i="2"/>
  <c r="BQ284" i="2" s="1"/>
  <c r="BL285" i="2"/>
  <c r="BR285" i="2" s="1"/>
  <c r="BI288" i="2"/>
  <c r="BQ288" i="2" s="1"/>
  <c r="BL289" i="2"/>
  <c r="BR289" i="2" s="1"/>
  <c r="BI292" i="2"/>
  <c r="BQ292" i="2" s="1"/>
  <c r="BI296" i="2"/>
  <c r="BQ296" i="2" s="1"/>
  <c r="BI300" i="2"/>
  <c r="BQ300" i="2" s="1"/>
  <c r="BI303" i="2"/>
  <c r="BQ303" i="2" s="1"/>
  <c r="BI305" i="2"/>
  <c r="BQ305" i="2" s="1"/>
  <c r="BI307" i="2"/>
  <c r="BQ307" i="2" s="1"/>
  <c r="BI309" i="2"/>
  <c r="BQ309" i="2" s="1"/>
  <c r="BI311" i="2"/>
  <c r="BQ311" i="2" s="1"/>
  <c r="BI313" i="2"/>
  <c r="BQ313" i="2" s="1"/>
  <c r="BI315" i="2"/>
  <c r="BQ315" i="2" s="1"/>
  <c r="BI317" i="2"/>
  <c r="BQ317" i="2" s="1"/>
  <c r="BI319" i="2"/>
  <c r="BQ319" i="2" s="1"/>
  <c r="BI321" i="2"/>
  <c r="BQ321" i="2" s="1"/>
  <c r="BI323" i="2"/>
  <c r="BI325" i="2"/>
  <c r="BI327" i="2"/>
  <c r="BQ327" i="2" s="1"/>
  <c r="BI329" i="2"/>
  <c r="BQ329" i="2" s="1"/>
  <c r="BI331" i="2"/>
  <c r="BI333" i="2"/>
  <c r="BI335" i="2"/>
  <c r="BQ335" i="2" s="1"/>
  <c r="BI337" i="2"/>
  <c r="BI339" i="2"/>
  <c r="BI341" i="2"/>
  <c r="BI343" i="2"/>
  <c r="BQ343" i="2" s="1"/>
  <c r="BI345" i="2"/>
  <c r="BQ345" i="2" s="1"/>
  <c r="BI347" i="2"/>
  <c r="BQ347" i="2" s="1"/>
  <c r="BI349" i="2"/>
  <c r="BI351" i="2"/>
  <c r="BI353" i="2"/>
  <c r="BQ353" i="2" s="1"/>
  <c r="BI355" i="2"/>
  <c r="BI357" i="2"/>
  <c r="BI359" i="2"/>
  <c r="BQ359" i="2" s="1"/>
  <c r="BI361" i="2"/>
  <c r="BQ361" i="2" s="1"/>
  <c r="BI363" i="2"/>
  <c r="BI365" i="2"/>
  <c r="BI367" i="2"/>
  <c r="BQ367" i="2" s="1"/>
  <c r="BI369" i="2"/>
  <c r="BI371" i="2"/>
  <c r="BQ371" i="2" s="1"/>
  <c r="BI373" i="2"/>
  <c r="BI375" i="2"/>
  <c r="BQ375" i="2" s="1"/>
  <c r="BI377" i="2"/>
  <c r="BI379" i="2"/>
  <c r="BQ379" i="2" s="1"/>
  <c r="BI381" i="2"/>
  <c r="BI383" i="2"/>
  <c r="BQ383" i="2" s="1"/>
  <c r="BI385" i="2"/>
  <c r="BI387" i="2"/>
  <c r="BI389" i="2"/>
  <c r="BQ389" i="2" s="1"/>
  <c r="BI391" i="2"/>
  <c r="BQ391" i="2" s="1"/>
  <c r="BI393" i="2"/>
  <c r="BQ393" i="2" s="1"/>
  <c r="BI395" i="2"/>
  <c r="BI397" i="2"/>
  <c r="BQ397" i="2" s="1"/>
  <c r="BI399" i="2"/>
  <c r="BQ399" i="2" s="1"/>
  <c r="BI401" i="2"/>
  <c r="BQ401" i="2" s="1"/>
  <c r="BI403" i="2"/>
  <c r="BI405" i="2"/>
  <c r="BI407" i="2"/>
  <c r="BQ407" i="2" s="1"/>
  <c r="BI409" i="2"/>
  <c r="BQ409" i="2" s="1"/>
  <c r="BI411" i="2"/>
  <c r="BQ411" i="2" s="1"/>
  <c r="BI413" i="2"/>
  <c r="BQ413" i="2" s="1"/>
  <c r="BI415" i="2"/>
  <c r="BI417" i="2"/>
  <c r="BI419" i="2"/>
  <c r="BQ419" i="2" s="1"/>
  <c r="BI421" i="2"/>
  <c r="BI423" i="2"/>
  <c r="BQ423" i="2" s="1"/>
  <c r="BI425" i="2"/>
  <c r="BQ425" i="2" s="1"/>
  <c r="BI427" i="2"/>
  <c r="BQ427" i="2" s="1"/>
  <c r="BI429" i="2"/>
  <c r="BQ429" i="2" s="1"/>
  <c r="BI431" i="2"/>
  <c r="BQ431" i="2" s="1"/>
  <c r="BI433" i="2"/>
  <c r="BQ433" i="2" s="1"/>
  <c r="BI435" i="2"/>
  <c r="BQ435" i="2" s="1"/>
  <c r="BI437" i="2"/>
  <c r="BI439" i="2"/>
  <c r="BQ439" i="2" s="1"/>
  <c r="BI441" i="2"/>
  <c r="BI443" i="2"/>
  <c r="BQ443" i="2" s="1"/>
  <c r="BI445" i="2"/>
  <c r="BI447" i="2"/>
  <c r="BQ447" i="2" s="1"/>
  <c r="BI449" i="2"/>
  <c r="BQ449" i="2" s="1"/>
  <c r="BI451" i="2"/>
  <c r="BQ451" i="2" s="1"/>
  <c r="BI453" i="2"/>
  <c r="BI455" i="2"/>
  <c r="BM520" i="2"/>
  <c r="BI457" i="2"/>
  <c r="BI459" i="2"/>
  <c r="BQ459" i="2" s="1"/>
  <c r="BI461" i="2"/>
  <c r="BI463" i="2"/>
  <c r="BI465" i="2"/>
  <c r="BI467" i="2"/>
  <c r="BQ467" i="2" s="1"/>
  <c r="BI469" i="2"/>
  <c r="BI471" i="2"/>
  <c r="BI473" i="2"/>
  <c r="BQ473" i="2" s="1"/>
  <c r="BI475" i="2"/>
  <c r="BQ475" i="2" s="1"/>
  <c r="BI477" i="2"/>
  <c r="BQ477" i="2" s="1"/>
  <c r="BI479" i="2"/>
  <c r="BI481" i="2"/>
  <c r="BI483" i="2"/>
  <c r="BQ483" i="2" s="1"/>
  <c r="BI485" i="2"/>
  <c r="BI487" i="2"/>
  <c r="BI489" i="2"/>
  <c r="BQ489" i="2" s="1"/>
  <c r="BI491" i="2"/>
  <c r="BI493" i="2"/>
  <c r="BI495" i="2"/>
  <c r="BI497" i="2"/>
  <c r="BQ497" i="2" s="1"/>
  <c r="BI499" i="2"/>
  <c r="BQ499" i="2" s="1"/>
  <c r="BI501" i="2"/>
  <c r="BQ501" i="2" s="1"/>
  <c r="BI503" i="2"/>
  <c r="BQ503" i="2" s="1"/>
  <c r="BI505" i="2"/>
  <c r="BQ505" i="2" s="1"/>
  <c r="BI507" i="2"/>
  <c r="BI537" i="2"/>
  <c r="BQ537" i="2" s="1"/>
  <c r="BI580" i="2"/>
  <c r="BQ580" i="2" s="1"/>
  <c r="BI582" i="2"/>
  <c r="BQ582" i="2" s="1"/>
  <c r="BI584" i="2"/>
  <c r="BI586" i="2"/>
  <c r="BQ586" i="2" s="1"/>
  <c r="BI588" i="2"/>
  <c r="BI590" i="2"/>
  <c r="BQ590" i="2" s="1"/>
  <c r="BI592" i="2"/>
  <c r="BQ592" i="2" s="1"/>
  <c r="BI594" i="2"/>
  <c r="BQ594" i="2" s="1"/>
  <c r="BI596" i="2"/>
  <c r="BQ596" i="2" s="1"/>
  <c r="BI598" i="2"/>
  <c r="BQ598" i="2" s="1"/>
  <c r="BI600" i="2"/>
  <c r="BI602" i="2"/>
  <c r="BQ602" i="2" s="1"/>
  <c r="BI604" i="2"/>
  <c r="BI606" i="2"/>
  <c r="BQ606" i="2" s="1"/>
  <c r="BI608" i="2"/>
  <c r="BQ608" i="2" s="1"/>
  <c r="BI610" i="2"/>
  <c r="BQ610" i="2" s="1"/>
  <c r="BI612" i="2"/>
  <c r="BQ612" i="2" s="1"/>
  <c r="BI614" i="2"/>
  <c r="BQ614" i="2" s="1"/>
  <c r="BI616" i="2"/>
  <c r="BI618" i="2"/>
  <c r="BQ618" i="2" s="1"/>
  <c r="BI620" i="2"/>
  <c r="BI622" i="2"/>
  <c r="BQ622" i="2" s="1"/>
  <c r="BI624" i="2"/>
  <c r="BQ624" i="2" s="1"/>
  <c r="BI626" i="2"/>
  <c r="BQ626" i="2" s="1"/>
  <c r="BI628" i="2"/>
  <c r="BQ628" i="2" s="1"/>
  <c r="BI630" i="2"/>
  <c r="BQ630" i="2" s="1"/>
  <c r="BI632" i="2"/>
  <c r="BI634" i="2"/>
  <c r="BQ634" i="2" s="1"/>
  <c r="BI636" i="2"/>
  <c r="BI638" i="2"/>
  <c r="BI640" i="2"/>
  <c r="BQ640" i="2" s="1"/>
  <c r="BI642" i="2"/>
  <c r="BI644" i="2"/>
  <c r="BQ644" i="2" s="1"/>
  <c r="BI646" i="2"/>
  <c r="BI648" i="2"/>
  <c r="BQ648" i="2" s="1"/>
  <c r="BI650" i="2"/>
  <c r="BI652" i="2"/>
  <c r="BI654" i="2"/>
  <c r="BQ654" i="2" s="1"/>
  <c r="BI656" i="2"/>
  <c r="BQ656" i="2" s="1"/>
  <c r="BI658" i="2"/>
  <c r="BI660" i="2"/>
  <c r="BQ660" i="2" s="1"/>
  <c r="BI579" i="2"/>
  <c r="BI581" i="2"/>
  <c r="BQ581" i="2" s="1"/>
  <c r="BI583" i="2"/>
  <c r="BQ583" i="2" s="1"/>
  <c r="BI585" i="2"/>
  <c r="BQ585" i="2" s="1"/>
  <c r="BI587" i="2"/>
  <c r="BQ587" i="2" s="1"/>
  <c r="BI589" i="2"/>
  <c r="BQ589" i="2" s="1"/>
  <c r="BI591" i="2"/>
  <c r="BQ591" i="2" s="1"/>
  <c r="BI593" i="2"/>
  <c r="BI595" i="2"/>
  <c r="BI597" i="2"/>
  <c r="BQ597" i="2" s="1"/>
  <c r="BI599" i="2"/>
  <c r="BQ599" i="2" s="1"/>
  <c r="BI601" i="2"/>
  <c r="BQ601" i="2" s="1"/>
  <c r="BI603" i="2"/>
  <c r="BQ603" i="2" s="1"/>
  <c r="BI605" i="2"/>
  <c r="BQ605" i="2" s="1"/>
  <c r="BI607" i="2"/>
  <c r="BQ607" i="2" s="1"/>
  <c r="BI609" i="2"/>
  <c r="BI611" i="2"/>
  <c r="BI613" i="2"/>
  <c r="BQ613" i="2" s="1"/>
  <c r="BI615" i="2"/>
  <c r="BQ615" i="2" s="1"/>
  <c r="BI617" i="2"/>
  <c r="BQ617" i="2" s="1"/>
  <c r="BI619" i="2"/>
  <c r="BQ619" i="2" s="1"/>
  <c r="BI621" i="2"/>
  <c r="BQ621" i="2" s="1"/>
  <c r="BI623" i="2"/>
  <c r="BQ623" i="2" s="1"/>
  <c r="BI625" i="2"/>
  <c r="BI627" i="2"/>
  <c r="BI629" i="2"/>
  <c r="BQ629" i="2" s="1"/>
  <c r="BI631" i="2"/>
  <c r="BQ631" i="2" s="1"/>
  <c r="BI633" i="2"/>
  <c r="BQ633" i="2" s="1"/>
  <c r="BI635" i="2"/>
  <c r="BQ635" i="2" s="1"/>
  <c r="BI637" i="2"/>
  <c r="BQ637" i="2" s="1"/>
  <c r="BI639" i="2"/>
  <c r="BQ639" i="2" s="1"/>
  <c r="BI641" i="2"/>
  <c r="BQ641" i="2" s="1"/>
  <c r="BI643" i="2"/>
  <c r="BQ643" i="2" s="1"/>
  <c r="BI645" i="2"/>
  <c r="BI647" i="2"/>
  <c r="BI649" i="2"/>
  <c r="BQ649" i="2" s="1"/>
  <c r="BI651" i="2"/>
  <c r="BI653" i="2"/>
  <c r="BQ653" i="2" s="1"/>
  <c r="BI655" i="2"/>
  <c r="BQ655" i="2" s="1"/>
  <c r="BI657" i="2"/>
  <c r="BQ657" i="2" s="1"/>
  <c r="BI659" i="2"/>
  <c r="BI661" i="2"/>
  <c r="BI663" i="2"/>
  <c r="BI665" i="2"/>
  <c r="BQ665" i="2" s="1"/>
  <c r="BI662" i="2"/>
  <c r="BQ662" i="2" s="1"/>
  <c r="BI664" i="2"/>
  <c r="BL810" i="2"/>
  <c r="BR810" i="2" s="1"/>
  <c r="BI813" i="2"/>
  <c r="BQ813" i="2" s="1"/>
  <c r="BI782" i="2"/>
  <c r="BI784" i="2"/>
  <c r="BQ784" i="2" s="1"/>
  <c r="BI786" i="2"/>
  <c r="BI788" i="2"/>
  <c r="BI790" i="2"/>
  <c r="BQ790" i="2" s="1"/>
  <c r="BI792" i="2"/>
  <c r="BQ792" i="2" s="1"/>
  <c r="BI794" i="2"/>
  <c r="BI796" i="2"/>
  <c r="BQ796" i="2" s="1"/>
  <c r="BI798" i="2"/>
  <c r="BI800" i="2"/>
  <c r="BQ800" i="2" s="1"/>
  <c r="BI802" i="2"/>
  <c r="BI804" i="2"/>
  <c r="BQ804" i="2" s="1"/>
  <c r="BI806" i="2"/>
  <c r="BI808" i="2"/>
  <c r="BQ808" i="2" s="1"/>
  <c r="BI810" i="2"/>
  <c r="BL811" i="2"/>
  <c r="BR811" i="2" s="1"/>
  <c r="BI814" i="2"/>
  <c r="BR761" i="2" l="1"/>
  <c r="BQ761" i="2"/>
  <c r="BM452" i="2"/>
  <c r="BM316" i="2"/>
  <c r="BM340" i="2"/>
  <c r="BM165" i="2"/>
  <c r="BM516" i="2"/>
  <c r="BM98" i="2"/>
  <c r="BM140" i="2"/>
  <c r="BM730" i="2"/>
  <c r="BM298" i="2"/>
  <c r="BM789" i="2"/>
  <c r="BM264" i="2"/>
  <c r="BM671" i="2"/>
  <c r="BQ671" i="2"/>
  <c r="BM553" i="2"/>
  <c r="BQ553" i="2"/>
  <c r="BM816" i="2"/>
  <c r="BQ816" i="2"/>
  <c r="BM577" i="2"/>
  <c r="BQ577" i="2"/>
  <c r="BM561" i="2"/>
  <c r="BQ561" i="2"/>
  <c r="BM446" i="2"/>
  <c r="BR446" i="2"/>
  <c r="BM380" i="2"/>
  <c r="BQ380" i="2"/>
  <c r="BM706" i="2"/>
  <c r="BQ706" i="2"/>
  <c r="BM690" i="2"/>
  <c r="BQ690" i="2"/>
  <c r="BM532" i="2"/>
  <c r="BR532" i="2"/>
  <c r="BM430" i="2"/>
  <c r="BQ430" i="2"/>
  <c r="BM663" i="2"/>
  <c r="BQ663" i="2"/>
  <c r="BM658" i="2"/>
  <c r="BQ658" i="2"/>
  <c r="BM487" i="2"/>
  <c r="BQ487" i="2"/>
  <c r="BM471" i="2"/>
  <c r="BQ471" i="2"/>
  <c r="BM453" i="2"/>
  <c r="BQ453" i="2"/>
  <c r="BM421" i="2"/>
  <c r="BQ421" i="2"/>
  <c r="BM405" i="2"/>
  <c r="BQ405" i="2"/>
  <c r="BM373" i="2"/>
  <c r="BQ373" i="2"/>
  <c r="BM357" i="2"/>
  <c r="BQ357" i="2"/>
  <c r="BM341" i="2"/>
  <c r="BQ341" i="2"/>
  <c r="BM325" i="2"/>
  <c r="BQ325" i="2"/>
  <c r="BM819" i="2"/>
  <c r="BR819" i="2"/>
  <c r="BM814" i="2"/>
  <c r="BQ814" i="2"/>
  <c r="BM806" i="2"/>
  <c r="BQ806" i="2"/>
  <c r="BM798" i="2"/>
  <c r="BQ798" i="2"/>
  <c r="BM782" i="2"/>
  <c r="BQ782" i="2"/>
  <c r="BM664" i="2"/>
  <c r="BQ664" i="2"/>
  <c r="BM661" i="2"/>
  <c r="BQ661" i="2"/>
  <c r="BM645" i="2"/>
  <c r="BQ645" i="2"/>
  <c r="BM632" i="2"/>
  <c r="BQ632" i="2"/>
  <c r="BM616" i="2"/>
  <c r="BQ616" i="2"/>
  <c r="BM600" i="2"/>
  <c r="BQ600" i="2"/>
  <c r="BM584" i="2"/>
  <c r="BQ584" i="2"/>
  <c r="BM550" i="2"/>
  <c r="BM493" i="2"/>
  <c r="BQ493" i="2"/>
  <c r="BM485" i="2"/>
  <c r="BQ485" i="2"/>
  <c r="BM469" i="2"/>
  <c r="BQ469" i="2"/>
  <c r="BM461" i="2"/>
  <c r="BQ461" i="2"/>
  <c r="BM403" i="2"/>
  <c r="BQ403" i="2"/>
  <c r="BM395" i="2"/>
  <c r="BQ395" i="2"/>
  <c r="BM387" i="2"/>
  <c r="BQ387" i="2"/>
  <c r="BM363" i="2"/>
  <c r="BQ363" i="2"/>
  <c r="BM355" i="2"/>
  <c r="BQ355" i="2"/>
  <c r="BM339" i="2"/>
  <c r="BQ339" i="2"/>
  <c r="BM331" i="2"/>
  <c r="BQ331" i="2"/>
  <c r="BM323" i="2"/>
  <c r="BQ323" i="2"/>
  <c r="BM422" i="2"/>
  <c r="BM314" i="2"/>
  <c r="BM158" i="2"/>
  <c r="BM278" i="2"/>
  <c r="BM232" i="2"/>
  <c r="BM94" i="2"/>
  <c r="BM817" i="2"/>
  <c r="BQ817" i="2"/>
  <c r="BM785" i="2"/>
  <c r="BQ785" i="2"/>
  <c r="BM743" i="2"/>
  <c r="BQ743" i="2"/>
  <c r="BM727" i="2"/>
  <c r="BQ727" i="2"/>
  <c r="BM703" i="2"/>
  <c r="BQ703" i="2"/>
  <c r="BM687" i="2"/>
  <c r="BQ687" i="2"/>
  <c r="BM535" i="2"/>
  <c r="BQ535" i="2"/>
  <c r="BM519" i="2"/>
  <c r="BQ519" i="2"/>
  <c r="BM486" i="2"/>
  <c r="BQ486" i="2"/>
  <c r="BM478" i="2"/>
  <c r="BQ478" i="2"/>
  <c r="BM470" i="2"/>
  <c r="BQ470" i="2"/>
  <c r="BM462" i="2"/>
  <c r="BQ462" i="2"/>
  <c r="BM410" i="2"/>
  <c r="BQ410" i="2"/>
  <c r="BM394" i="2"/>
  <c r="BQ394" i="2"/>
  <c r="BM362" i="2"/>
  <c r="BQ362" i="2"/>
  <c r="BM344" i="2"/>
  <c r="BR344" i="2"/>
  <c r="BM456" i="2"/>
  <c r="BQ456" i="2"/>
  <c r="BM372" i="2"/>
  <c r="BR372" i="2"/>
  <c r="BM418" i="2"/>
  <c r="BQ418" i="2"/>
  <c r="BM539" i="2"/>
  <c r="BQ539" i="2"/>
  <c r="BM812" i="2"/>
  <c r="BQ812" i="2"/>
  <c r="BM555" i="2"/>
  <c r="BQ555" i="2"/>
  <c r="BM795" i="2"/>
  <c r="BQ795" i="2"/>
  <c r="BM714" i="2"/>
  <c r="BR714" i="2"/>
  <c r="BM698" i="2"/>
  <c r="BR698" i="2"/>
  <c r="BM682" i="2"/>
  <c r="BR682" i="2"/>
  <c r="BM546" i="2"/>
  <c r="BR546" i="2"/>
  <c r="BM438" i="2"/>
  <c r="BQ438" i="2"/>
  <c r="BM428" i="2"/>
  <c r="BQ428" i="2"/>
  <c r="BM386" i="2"/>
  <c r="BR386" i="2"/>
  <c r="BM420" i="2"/>
  <c r="BR420" i="2"/>
  <c r="BM647" i="2"/>
  <c r="BQ647" i="2"/>
  <c r="BM650" i="2"/>
  <c r="BQ650" i="2"/>
  <c r="BM642" i="2"/>
  <c r="BQ642" i="2"/>
  <c r="BM495" i="2"/>
  <c r="BQ495" i="2"/>
  <c r="BM479" i="2"/>
  <c r="BQ479" i="2"/>
  <c r="BM463" i="2"/>
  <c r="BQ463" i="2"/>
  <c r="BM445" i="2"/>
  <c r="BQ445" i="2"/>
  <c r="BM437" i="2"/>
  <c r="BQ437" i="2"/>
  <c r="BM381" i="2"/>
  <c r="BQ381" i="2"/>
  <c r="BM365" i="2"/>
  <c r="BQ365" i="2"/>
  <c r="BM349" i="2"/>
  <c r="BQ349" i="2"/>
  <c r="BM333" i="2"/>
  <c r="BQ333" i="2"/>
  <c r="BM788" i="2"/>
  <c r="BQ788" i="2"/>
  <c r="BM659" i="2"/>
  <c r="BQ659" i="2"/>
  <c r="BM651" i="2"/>
  <c r="BQ651" i="2"/>
  <c r="BM627" i="2"/>
  <c r="BQ627" i="2"/>
  <c r="BM611" i="2"/>
  <c r="BQ611" i="2"/>
  <c r="BM595" i="2"/>
  <c r="BQ595" i="2"/>
  <c r="BM579" i="2"/>
  <c r="BQ579" i="2"/>
  <c r="BM646" i="2"/>
  <c r="BQ646" i="2"/>
  <c r="BM638" i="2"/>
  <c r="BQ638" i="2"/>
  <c r="BM507" i="2"/>
  <c r="BQ507" i="2"/>
  <c r="BM491" i="2"/>
  <c r="BQ491" i="2"/>
  <c r="BM506" i="2"/>
  <c r="BM441" i="2"/>
  <c r="BQ441" i="2"/>
  <c r="BM417" i="2"/>
  <c r="BQ417" i="2"/>
  <c r="BM385" i="2"/>
  <c r="BQ385" i="2"/>
  <c r="BM377" i="2"/>
  <c r="BQ377" i="2"/>
  <c r="BM369" i="2"/>
  <c r="BQ369" i="2"/>
  <c r="BM337" i="2"/>
  <c r="BQ337" i="2"/>
  <c r="BM142" i="2"/>
  <c r="BM238" i="2"/>
  <c r="BM192" i="2"/>
  <c r="BM218" i="2"/>
  <c r="BM675" i="2"/>
  <c r="BQ675" i="2"/>
  <c r="BM571" i="2"/>
  <c r="BQ571" i="2"/>
  <c r="BM545" i="2"/>
  <c r="BQ545" i="2"/>
  <c r="BM531" i="2"/>
  <c r="BQ531" i="2"/>
  <c r="BM515" i="2"/>
  <c r="BQ515" i="2"/>
  <c r="BM494" i="2"/>
  <c r="BQ494" i="2"/>
  <c r="BM400" i="2"/>
  <c r="BQ400" i="2"/>
  <c r="BM384" i="2"/>
  <c r="BQ384" i="2"/>
  <c r="BM368" i="2"/>
  <c r="BQ368" i="2"/>
  <c r="BM352" i="2"/>
  <c r="BQ352" i="2"/>
  <c r="BM336" i="2"/>
  <c r="BQ336" i="2"/>
  <c r="BM242" i="2"/>
  <c r="BQ242" i="2"/>
  <c r="BM572" i="2"/>
  <c r="BQ572" i="2"/>
  <c r="BM354" i="2"/>
  <c r="BQ354" i="2"/>
  <c r="BM338" i="2"/>
  <c r="BQ338" i="2"/>
  <c r="BM448" i="2"/>
  <c r="BQ448" i="2"/>
  <c r="BM416" i="2"/>
  <c r="BQ416" i="2"/>
  <c r="BM356" i="2"/>
  <c r="BR356" i="2"/>
  <c r="BM521" i="2"/>
  <c r="BQ521" i="2"/>
  <c r="BM513" i="2"/>
  <c r="BQ513" i="2"/>
  <c r="BM820" i="2"/>
  <c r="BQ820" i="2"/>
  <c r="BM536" i="2"/>
  <c r="BQ536" i="2"/>
  <c r="BM528" i="2"/>
  <c r="BQ528" i="2"/>
  <c r="BM778" i="2"/>
  <c r="BR778" i="2"/>
  <c r="BM762" i="2"/>
  <c r="BR762" i="2"/>
  <c r="BM565" i="2"/>
  <c r="BQ565" i="2"/>
  <c r="BM542" i="2"/>
  <c r="BR542" i="2"/>
  <c r="BM396" i="2"/>
  <c r="BR396" i="2"/>
  <c r="BM414" i="2"/>
  <c r="BR414" i="2"/>
  <c r="BM810" i="2"/>
  <c r="BQ810" i="2"/>
  <c r="BM802" i="2"/>
  <c r="BQ802" i="2"/>
  <c r="BM794" i="2"/>
  <c r="BQ794" i="2"/>
  <c r="BM786" i="2"/>
  <c r="BQ786" i="2"/>
  <c r="BM625" i="2"/>
  <c r="BQ625" i="2"/>
  <c r="BM609" i="2"/>
  <c r="BQ609" i="2"/>
  <c r="BM593" i="2"/>
  <c r="BQ593" i="2"/>
  <c r="BM652" i="2"/>
  <c r="BQ652" i="2"/>
  <c r="BM636" i="2"/>
  <c r="BQ636" i="2"/>
  <c r="BM620" i="2"/>
  <c r="BQ620" i="2"/>
  <c r="BM604" i="2"/>
  <c r="BQ604" i="2"/>
  <c r="BM588" i="2"/>
  <c r="BQ588" i="2"/>
  <c r="BM481" i="2"/>
  <c r="BQ481" i="2"/>
  <c r="BM465" i="2"/>
  <c r="BQ465" i="2"/>
  <c r="BM457" i="2"/>
  <c r="BQ457" i="2"/>
  <c r="BM455" i="2"/>
  <c r="BQ455" i="2"/>
  <c r="BM415" i="2"/>
  <c r="BQ415" i="2"/>
  <c r="BM351" i="2"/>
  <c r="BQ351" i="2"/>
  <c r="BM330" i="2"/>
  <c r="BM100" i="2"/>
  <c r="BM286" i="2"/>
  <c r="BM148" i="2"/>
  <c r="BM822" i="2"/>
  <c r="BQ822" i="2"/>
  <c r="BM801" i="2"/>
  <c r="BQ801" i="2"/>
  <c r="BM739" i="2"/>
  <c r="BQ739" i="2"/>
  <c r="BM723" i="2"/>
  <c r="BQ723" i="2"/>
  <c r="BM715" i="2"/>
  <c r="BQ715" i="2"/>
  <c r="BM707" i="2"/>
  <c r="BQ707" i="2"/>
  <c r="BM699" i="2"/>
  <c r="BQ699" i="2"/>
  <c r="BM691" i="2"/>
  <c r="BQ691" i="2"/>
  <c r="BM683" i="2"/>
  <c r="BQ683" i="2"/>
  <c r="BM746" i="2"/>
  <c r="BM673" i="2"/>
  <c r="BR673" i="2"/>
  <c r="BM527" i="2"/>
  <c r="BQ527" i="2"/>
  <c r="BM511" i="2"/>
  <c r="BQ511" i="2"/>
  <c r="BM490" i="2"/>
  <c r="BQ490" i="2"/>
  <c r="BM474" i="2"/>
  <c r="BQ474" i="2"/>
  <c r="BM458" i="2"/>
  <c r="BQ458" i="2"/>
  <c r="BM398" i="2"/>
  <c r="BR398" i="2"/>
  <c r="BM334" i="2"/>
  <c r="BR334" i="2"/>
  <c r="BM568" i="2"/>
  <c r="BQ568" i="2"/>
  <c r="BM556" i="2"/>
  <c r="BQ556" i="2"/>
  <c r="BM402" i="2"/>
  <c r="BQ402" i="2"/>
  <c r="BM370" i="2"/>
  <c r="BQ370" i="2"/>
  <c r="BM138" i="2"/>
  <c r="BQ138" i="2"/>
  <c r="BM440" i="2"/>
  <c r="BQ440" i="2"/>
  <c r="BM551" i="2"/>
  <c r="BQ551" i="2"/>
  <c r="BM543" i="2"/>
  <c r="BQ543" i="2"/>
  <c r="BM787" i="2"/>
  <c r="BR787" i="2"/>
  <c r="BM803" i="2"/>
  <c r="BQ803" i="2"/>
  <c r="BM524" i="2"/>
  <c r="BQ524" i="2"/>
  <c r="BM412" i="2"/>
  <c r="BQ412" i="2"/>
  <c r="BM364" i="2"/>
  <c r="BQ364" i="2"/>
  <c r="BM360" i="2"/>
  <c r="BR360" i="2"/>
  <c r="BM282" i="2"/>
  <c r="BQ282" i="2"/>
  <c r="BM184" i="2"/>
  <c r="BM104" i="2"/>
  <c r="BM779" i="2"/>
  <c r="BM771" i="2"/>
  <c r="BM763" i="2"/>
  <c r="BM755" i="2"/>
  <c r="BM408" i="2"/>
  <c r="BM392" i="2"/>
  <c r="BM376" i="2"/>
  <c r="BM442" i="2"/>
  <c r="BM547" i="2"/>
  <c r="BM744" i="2"/>
  <c r="BM728" i="2"/>
  <c r="BM770" i="2"/>
  <c r="BM754" i="2"/>
  <c r="BM738" i="2"/>
  <c r="BM722" i="2"/>
  <c r="BM346" i="2"/>
  <c r="BM324" i="2"/>
  <c r="BM154" i="2"/>
  <c r="BM657" i="2"/>
  <c r="BM641" i="2"/>
  <c r="BM644" i="2"/>
  <c r="BM628" i="2"/>
  <c r="BM612" i="2"/>
  <c r="BM596" i="2"/>
  <c r="BM580" i="2"/>
  <c r="BM287" i="2"/>
  <c r="BM132" i="2"/>
  <c r="BM774" i="2"/>
  <c r="BM758" i="2"/>
  <c r="BM742" i="2"/>
  <c r="BM726" i="2"/>
  <c r="BM502" i="2"/>
  <c r="BM432" i="2"/>
  <c r="BM436" i="2"/>
  <c r="BM302" i="2"/>
  <c r="BM294" i="2"/>
  <c r="BM637" i="2"/>
  <c r="BM621" i="2"/>
  <c r="BM605" i="2"/>
  <c r="BM589" i="2"/>
  <c r="BM648" i="2"/>
  <c r="BM449" i="2"/>
  <c r="BM433" i="2"/>
  <c r="BM409" i="2"/>
  <c r="BM401" i="2"/>
  <c r="BM353" i="2"/>
  <c r="BM329" i="2"/>
  <c r="BM200" i="2"/>
  <c r="BM122" i="2"/>
  <c r="BM90" i="2"/>
  <c r="BM751" i="2"/>
  <c r="BM735" i="2"/>
  <c r="BM574" i="2"/>
  <c r="BM566" i="2"/>
  <c r="BM558" i="2"/>
  <c r="BM274" i="2"/>
  <c r="BM548" i="2"/>
  <c r="BM530" i="2"/>
  <c r="BM522" i="2"/>
  <c r="BM514" i="2"/>
  <c r="BM655" i="2"/>
  <c r="BM602" i="2"/>
  <c r="BM586" i="2"/>
  <c r="BM477" i="2"/>
  <c r="BM443" i="2"/>
  <c r="BM419" i="2"/>
  <c r="BM411" i="2"/>
  <c r="BM379" i="2"/>
  <c r="BM347" i="2"/>
  <c r="BM152" i="2"/>
  <c r="BM74" i="2"/>
  <c r="BM181" i="2"/>
  <c r="BM266" i="2"/>
  <c r="BM805" i="2"/>
  <c r="BM529" i="2"/>
  <c r="BM791" i="2"/>
  <c r="BM677" i="2"/>
  <c r="BM712" i="2"/>
  <c r="BM696" i="2"/>
  <c r="BM680" i="2"/>
  <c r="BM710" i="2"/>
  <c r="BM694" i="2"/>
  <c r="BM678" i="2"/>
  <c r="BM573" i="2"/>
  <c r="BM454" i="2"/>
  <c r="BM444" i="2"/>
  <c r="BM162" i="2"/>
  <c r="BM124" i="2"/>
  <c r="BM450" i="2"/>
  <c r="BM813" i="2"/>
  <c r="BM662" i="2"/>
  <c r="BM643" i="2"/>
  <c r="BM654" i="2"/>
  <c r="BM505" i="2"/>
  <c r="BM489" i="2"/>
  <c r="BM473" i="2"/>
  <c r="BM431" i="2"/>
  <c r="BM399" i="2"/>
  <c r="BM367" i="2"/>
  <c r="BM335" i="2"/>
  <c r="BM112" i="2"/>
  <c r="BM178" i="2"/>
  <c r="BM815" i="2"/>
  <c r="BM797" i="2"/>
  <c r="BM781" i="2"/>
  <c r="BM773" i="2"/>
  <c r="BM765" i="2"/>
  <c r="BM757" i="2"/>
  <c r="BM667" i="2"/>
  <c r="BM538" i="2"/>
  <c r="BM564" i="2"/>
  <c r="BM397" i="2"/>
  <c r="BM747" i="2"/>
  <c r="BM731" i="2"/>
  <c r="BM482" i="2"/>
  <c r="BM466" i="2"/>
  <c r="BM434" i="2"/>
  <c r="BM406" i="2"/>
  <c r="BM374" i="2"/>
  <c r="BM772" i="2"/>
  <c r="BM756" i="2"/>
  <c r="BM740" i="2"/>
  <c r="BM724" i="2"/>
  <c r="BM777" i="2"/>
  <c r="BM554" i="2"/>
  <c r="BM348" i="2"/>
  <c r="BM750" i="2"/>
  <c r="BM734" i="2"/>
  <c r="BM804" i="2"/>
  <c r="BM639" i="2"/>
  <c r="BM427" i="2"/>
  <c r="BM168" i="2"/>
  <c r="BM332" i="2"/>
  <c r="BM425" i="2"/>
  <c r="BM393" i="2"/>
  <c r="BM156" i="2"/>
  <c r="BM246" i="2"/>
  <c r="BM799" i="2"/>
  <c r="BM783" i="2"/>
  <c r="BM711" i="2"/>
  <c r="BM695" i="2"/>
  <c r="BM679" i="2"/>
  <c r="BM498" i="2"/>
  <c r="BM633" i="2"/>
  <c r="BM617" i="2"/>
  <c r="BM601" i="2"/>
  <c r="BM585" i="2"/>
  <c r="BM660" i="2"/>
  <c r="BM537" i="2"/>
  <c r="BM371" i="2"/>
  <c r="BM366" i="2"/>
  <c r="BM350" i="2"/>
  <c r="BM559" i="2"/>
  <c r="BM508" i="2"/>
  <c r="BM404" i="2"/>
  <c r="BM194" i="2"/>
  <c r="BM808" i="2"/>
  <c r="BM792" i="2"/>
  <c r="BM784" i="2"/>
  <c r="BM634" i="2"/>
  <c r="BM618" i="2"/>
  <c r="BM610" i="2"/>
  <c r="BM594" i="2"/>
  <c r="BM497" i="2"/>
  <c r="BM361" i="2"/>
  <c r="BM345" i="2"/>
  <c r="BM160" i="2"/>
  <c r="BM80" i="2"/>
  <c r="BM240" i="2"/>
  <c r="BM130" i="2"/>
  <c r="BM807" i="2"/>
  <c r="BM567" i="2"/>
  <c r="BM426" i="2"/>
  <c r="BM672" i="2"/>
  <c r="BM766" i="2"/>
  <c r="BM718" i="2"/>
  <c r="BM702" i="2"/>
  <c r="BM686" i="2"/>
  <c r="BM569" i="2"/>
  <c r="BM388" i="2"/>
  <c r="BM790" i="2"/>
  <c r="BM629" i="2"/>
  <c r="BM613" i="2"/>
  <c r="BM597" i="2"/>
  <c r="BM581" i="2"/>
  <c r="BM656" i="2"/>
  <c r="BM503" i="2"/>
  <c r="BM447" i="2"/>
  <c r="BM439" i="2"/>
  <c r="BM102" i="2"/>
  <c r="BM78" i="2"/>
  <c r="BM262" i="2"/>
  <c r="BM144" i="2"/>
  <c r="BM126" i="2"/>
  <c r="BM793" i="2"/>
  <c r="BM769" i="2"/>
  <c r="BM761" i="2"/>
  <c r="BM721" i="2"/>
  <c r="BM669" i="2"/>
  <c r="BM578" i="2"/>
  <c r="BM570" i="2"/>
  <c r="BM562" i="2"/>
  <c r="BM342" i="2"/>
  <c r="BM202" i="2"/>
  <c r="BM576" i="2"/>
  <c r="BM560" i="2"/>
  <c r="BM552" i="2"/>
  <c r="BM534" i="2"/>
  <c r="BM526" i="2"/>
  <c r="BM518" i="2"/>
  <c r="BM510" i="2"/>
  <c r="BM378" i="2"/>
  <c r="BM328" i="2"/>
  <c r="BM424" i="2"/>
  <c r="BM512" i="2"/>
  <c r="BM623" i="2"/>
  <c r="BM607" i="2"/>
  <c r="BM591" i="2"/>
  <c r="BM423" i="2"/>
  <c r="BM407" i="2"/>
  <c r="BM383" i="2"/>
  <c r="BM375" i="2"/>
  <c r="BM343" i="2"/>
  <c r="BM312" i="2"/>
  <c r="BM293" i="2"/>
  <c r="BM270" i="2"/>
  <c r="BM280" i="2"/>
  <c r="BM120" i="2"/>
  <c r="BM301" i="2"/>
  <c r="BM258" i="2"/>
  <c r="BM186" i="2"/>
  <c r="BM557" i="2"/>
  <c r="BM299" i="2"/>
  <c r="BM708" i="2"/>
  <c r="BM692" i="2"/>
  <c r="BM676" i="2"/>
  <c r="BM500" i="2"/>
  <c r="BM492" i="2"/>
  <c r="BM484" i="2"/>
  <c r="BM476" i="2"/>
  <c r="BM468" i="2"/>
  <c r="BM460" i="2"/>
  <c r="BM776" i="2"/>
  <c r="BM653" i="2"/>
  <c r="BM640" i="2"/>
  <c r="BM624" i="2"/>
  <c r="BM608" i="2"/>
  <c r="BM592" i="2"/>
  <c r="BM429" i="2"/>
  <c r="BM413" i="2"/>
  <c r="BM389" i="2"/>
  <c r="BM310" i="2"/>
  <c r="BM118" i="2"/>
  <c r="BM76" i="2"/>
  <c r="BM210" i="2"/>
  <c r="BM230" i="2"/>
  <c r="BM216" i="2"/>
  <c r="BM136" i="2"/>
  <c r="BM297" i="2"/>
  <c r="BM250" i="2"/>
  <c r="BM818" i="2"/>
  <c r="BM775" i="2"/>
  <c r="BM767" i="2"/>
  <c r="BM759" i="2"/>
  <c r="BM719" i="2"/>
  <c r="BM575" i="2"/>
  <c r="BM382" i="2"/>
  <c r="BM234" i="2"/>
  <c r="BM533" i="2"/>
  <c r="BM525" i="2"/>
  <c r="BM517" i="2"/>
  <c r="BM509" i="2"/>
  <c r="BM768" i="2"/>
  <c r="BM752" i="2"/>
  <c r="BM736" i="2"/>
  <c r="BM720" i="2"/>
  <c r="BM704" i="2"/>
  <c r="BM688" i="2"/>
  <c r="BM760" i="2"/>
  <c r="BM811" i="2"/>
  <c r="BM796" i="2"/>
  <c r="BM635" i="2"/>
  <c r="BM619" i="2"/>
  <c r="BM603" i="2"/>
  <c r="BM587" i="2"/>
  <c r="BM622" i="2"/>
  <c r="BM606" i="2"/>
  <c r="BM598" i="2"/>
  <c r="BM590" i="2"/>
  <c r="BM582" i="2"/>
  <c r="BM499" i="2"/>
  <c r="BM451" i="2"/>
  <c r="BM435" i="2"/>
  <c r="BM308" i="2"/>
  <c r="BM110" i="2"/>
  <c r="BM92" i="2"/>
  <c r="BM254" i="2"/>
  <c r="BM248" i="2"/>
  <c r="BM208" i="2"/>
  <c r="BM146" i="2"/>
  <c r="BM134" i="2"/>
  <c r="BM108" i="2"/>
  <c r="BM82" i="2"/>
  <c r="BM226" i="2"/>
  <c r="BM809" i="2"/>
  <c r="BM749" i="2"/>
  <c r="BM741" i="2"/>
  <c r="BM733" i="2"/>
  <c r="BM725" i="2"/>
  <c r="BM717" i="2"/>
  <c r="BM709" i="2"/>
  <c r="BM701" i="2"/>
  <c r="BM693" i="2"/>
  <c r="BM685" i="2"/>
  <c r="BM821" i="2"/>
  <c r="BM563" i="2"/>
  <c r="BM291" i="2"/>
  <c r="BM390" i="2"/>
  <c r="BM358" i="2"/>
  <c r="BM326" i="2"/>
  <c r="BM780" i="2"/>
  <c r="BM764" i="2"/>
  <c r="BM748" i="2"/>
  <c r="BM732" i="2"/>
  <c r="BM716" i="2"/>
  <c r="BM700" i="2"/>
  <c r="BM684" i="2"/>
  <c r="BM668" i="2"/>
  <c r="BM504" i="2"/>
  <c r="BM496" i="2"/>
  <c r="BM488" i="2"/>
  <c r="BM480" i="2"/>
  <c r="BM472" i="2"/>
  <c r="BM464" i="2"/>
  <c r="BM800" i="2"/>
  <c r="BM630" i="2"/>
  <c r="BM614" i="2"/>
  <c r="BM391" i="2"/>
  <c r="BM359" i="2"/>
  <c r="BM327" i="2"/>
  <c r="BM322" i="2"/>
  <c r="BM306" i="2"/>
  <c r="BM114" i="2"/>
  <c r="BM88" i="2"/>
  <c r="BM170" i="2"/>
  <c r="BM272" i="2"/>
  <c r="BM86" i="2"/>
  <c r="BM670" i="2"/>
  <c r="BM541" i="2"/>
  <c r="BM540" i="2"/>
  <c r="BM665" i="2"/>
  <c r="BM649" i="2"/>
  <c r="BM501" i="2"/>
  <c r="BM320" i="2"/>
  <c r="BM304" i="2"/>
  <c r="BM84" i="2"/>
  <c r="BM290" i="2"/>
  <c r="BM176" i="2"/>
  <c r="BM150" i="2"/>
  <c r="BM523" i="2"/>
  <c r="BM631" i="2"/>
  <c r="BM615" i="2"/>
  <c r="BM599" i="2"/>
  <c r="BM583" i="2"/>
  <c r="BM626" i="2"/>
  <c r="BM483" i="2"/>
  <c r="BM475" i="2"/>
  <c r="BM467" i="2"/>
  <c r="BM459" i="2"/>
  <c r="BM318" i="2"/>
  <c r="BM128" i="2"/>
  <c r="BM106" i="2"/>
  <c r="BM96" i="2"/>
  <c r="BM72" i="2"/>
  <c r="BM256" i="2"/>
  <c r="BM224" i="2"/>
  <c r="BM173" i="2"/>
  <c r="BM116" i="2"/>
  <c r="BM753" i="2"/>
  <c r="BM745" i="2"/>
  <c r="BM737" i="2"/>
  <c r="BM729" i="2"/>
  <c r="BM713" i="2"/>
  <c r="BM705" i="2"/>
  <c r="BM697" i="2"/>
  <c r="BM689" i="2"/>
  <c r="BM681" i="2"/>
  <c r="BM674" i="2"/>
  <c r="BM666" i="2"/>
  <c r="BM549" i="2"/>
  <c r="BM544" i="2"/>
  <c r="BM295" i="2"/>
  <c r="BM313" i="2"/>
  <c r="BM265" i="2"/>
  <c r="BM249" i="2"/>
  <c r="BM225" i="2"/>
  <c r="BM201" i="2"/>
  <c r="BM193" i="2"/>
  <c r="BM236" i="2"/>
  <c r="BM172" i="2"/>
  <c r="BM145" i="2"/>
  <c r="BM129" i="2"/>
  <c r="BM105" i="2"/>
  <c r="BM73" i="2"/>
  <c r="BM166" i="2"/>
  <c r="BM319" i="2"/>
  <c r="BM311" i="2"/>
  <c r="BM303" i="2"/>
  <c r="BM292" i="2"/>
  <c r="BM284" i="2"/>
  <c r="BM279" i="2"/>
  <c r="BM271" i="2"/>
  <c r="BM263" i="2"/>
  <c r="BM255" i="2"/>
  <c r="BM247" i="2"/>
  <c r="BM239" i="2"/>
  <c r="BM231" i="2"/>
  <c r="BM223" i="2"/>
  <c r="BM215" i="2"/>
  <c r="BM207" i="2"/>
  <c r="BM199" i="2"/>
  <c r="BM191" i="2"/>
  <c r="BM260" i="2"/>
  <c r="BM228" i="2"/>
  <c r="BM196" i="2"/>
  <c r="BM180" i="2"/>
  <c r="BM169" i="2"/>
  <c r="BM159" i="2"/>
  <c r="BM151" i="2"/>
  <c r="BM143" i="2"/>
  <c r="BM135" i="2"/>
  <c r="BM127" i="2"/>
  <c r="BM119" i="2"/>
  <c r="BM111" i="2"/>
  <c r="BM103" i="2"/>
  <c r="BM95" i="2"/>
  <c r="BM87" i="2"/>
  <c r="BM79" i="2"/>
  <c r="BM71" i="2"/>
  <c r="BM206" i="2"/>
  <c r="BM174" i="2"/>
  <c r="BM163" i="2"/>
  <c r="BM321" i="2"/>
  <c r="BM296" i="2"/>
  <c r="BM281" i="2"/>
  <c r="BM257" i="2"/>
  <c r="BM233" i="2"/>
  <c r="BM217" i="2"/>
  <c r="BM268" i="2"/>
  <c r="BM204" i="2"/>
  <c r="BM161" i="2"/>
  <c r="BM137" i="2"/>
  <c r="BM121" i="2"/>
  <c r="BM97" i="2"/>
  <c r="BM81" i="2"/>
  <c r="BM187" i="2"/>
  <c r="BM317" i="2"/>
  <c r="BM309" i="2"/>
  <c r="BM277" i="2"/>
  <c r="BM269" i="2"/>
  <c r="BM261" i="2"/>
  <c r="BM253" i="2"/>
  <c r="BM245" i="2"/>
  <c r="BM237" i="2"/>
  <c r="BM229" i="2"/>
  <c r="BM221" i="2"/>
  <c r="BM213" i="2"/>
  <c r="BM205" i="2"/>
  <c r="BM197" i="2"/>
  <c r="BM189" i="2"/>
  <c r="BM252" i="2"/>
  <c r="BM220" i="2"/>
  <c r="BM188" i="2"/>
  <c r="BM177" i="2"/>
  <c r="BM157" i="2"/>
  <c r="BM149" i="2"/>
  <c r="BM141" i="2"/>
  <c r="BM133" i="2"/>
  <c r="BM125" i="2"/>
  <c r="BM117" i="2"/>
  <c r="BM109" i="2"/>
  <c r="BM101" i="2"/>
  <c r="BM93" i="2"/>
  <c r="BM85" i="2"/>
  <c r="BM77" i="2"/>
  <c r="BM175" i="2"/>
  <c r="BM198" i="2"/>
  <c r="BM182" i="2"/>
  <c r="BM171" i="2"/>
  <c r="BM289" i="2"/>
  <c r="BM285" i="2"/>
  <c r="BM167" i="2"/>
  <c r="BM305" i="2"/>
  <c r="BM273" i="2"/>
  <c r="BM241" i="2"/>
  <c r="BM209" i="2"/>
  <c r="BM153" i="2"/>
  <c r="BM113" i="2"/>
  <c r="BM89" i="2"/>
  <c r="BM214" i="2"/>
  <c r="BM315" i="2"/>
  <c r="BM307" i="2"/>
  <c r="BM300" i="2"/>
  <c r="BM288" i="2"/>
  <c r="BM283" i="2"/>
  <c r="BM275" i="2"/>
  <c r="BM267" i="2"/>
  <c r="BM259" i="2"/>
  <c r="BM251" i="2"/>
  <c r="BM243" i="2"/>
  <c r="BM235" i="2"/>
  <c r="BM227" i="2"/>
  <c r="BM219" i="2"/>
  <c r="BM211" i="2"/>
  <c r="BM203" i="2"/>
  <c r="BM195" i="2"/>
  <c r="BM276" i="2"/>
  <c r="BM244" i="2"/>
  <c r="BM212" i="2"/>
  <c r="BM185" i="2"/>
  <c r="BM164" i="2"/>
  <c r="BM155" i="2"/>
  <c r="BM147" i="2"/>
  <c r="BM139" i="2"/>
  <c r="BM131" i="2"/>
  <c r="BM123" i="2"/>
  <c r="BM115" i="2"/>
  <c r="BM107" i="2"/>
  <c r="BM99" i="2"/>
  <c r="BM91" i="2"/>
  <c r="BM83" i="2"/>
  <c r="BM75" i="2"/>
  <c r="BM222" i="2"/>
  <c r="BM190" i="2"/>
  <c r="BM179" i="2"/>
  <c r="BM183" i="2"/>
  <c r="BK114" i="3" l="1"/>
  <c r="BK71" i="3"/>
  <c r="BK83" i="3"/>
  <c r="BK58" i="3"/>
  <c r="BK45" i="3"/>
  <c r="BK75" i="3"/>
  <c r="BK82" i="3"/>
  <c r="BK23" i="3"/>
  <c r="BT322" i="2" l="1"/>
  <c r="BS322" i="2"/>
  <c r="BT321" i="2"/>
  <c r="BS321" i="2"/>
  <c r="BT320" i="2"/>
  <c r="BS320" i="2"/>
  <c r="BT319" i="2"/>
  <c r="BS319" i="2"/>
  <c r="BT318" i="2"/>
  <c r="BS318" i="2"/>
  <c r="BT317" i="2"/>
  <c r="BS317" i="2"/>
  <c r="BT316" i="2"/>
  <c r="BS316" i="2"/>
  <c r="BT315" i="2"/>
  <c r="BS315" i="2"/>
  <c r="BT314" i="2"/>
  <c r="BS314" i="2"/>
  <c r="BT313" i="2"/>
  <c r="BS313" i="2"/>
  <c r="BT312" i="2"/>
  <c r="BS312" i="2"/>
  <c r="BT311" i="2"/>
  <c r="BS311" i="2"/>
  <c r="BT310" i="2"/>
  <c r="BS310" i="2"/>
  <c r="BT309" i="2"/>
  <c r="BS309" i="2"/>
  <c r="BT308" i="2"/>
  <c r="BS308" i="2"/>
  <c r="BT307" i="2"/>
  <c r="BS307" i="2"/>
  <c r="BT306" i="2"/>
  <c r="BS306" i="2"/>
  <c r="BT305" i="2"/>
  <c r="BS305" i="2"/>
  <c r="BT304" i="2"/>
  <c r="BS304" i="2"/>
  <c r="BT303" i="2"/>
  <c r="BS303" i="2"/>
  <c r="BT302" i="2"/>
  <c r="BS302" i="2"/>
  <c r="BT301" i="2"/>
  <c r="BS301" i="2"/>
  <c r="BT300" i="2"/>
  <c r="BS300" i="2"/>
  <c r="BT299" i="2"/>
  <c r="BS299" i="2"/>
  <c r="BT298" i="2"/>
  <c r="BS298" i="2"/>
  <c r="BT297" i="2"/>
  <c r="BS297" i="2"/>
  <c r="BT296" i="2"/>
  <c r="BS296" i="2"/>
  <c r="BT295" i="2"/>
  <c r="BS295" i="2"/>
  <c r="BT294" i="2"/>
  <c r="BS294" i="2"/>
  <c r="BT293" i="2"/>
  <c r="BS293" i="2"/>
  <c r="BT292" i="2"/>
  <c r="BS292" i="2"/>
  <c r="BT291" i="2"/>
  <c r="BS291" i="2"/>
  <c r="BT290" i="2"/>
  <c r="BS290" i="2"/>
  <c r="BT289" i="2"/>
  <c r="BS289" i="2"/>
  <c r="BT288" i="2"/>
  <c r="BS288" i="2"/>
  <c r="BT287" i="2"/>
  <c r="BS287" i="2"/>
  <c r="BT286" i="2"/>
  <c r="BS286" i="2"/>
  <c r="BT285" i="2"/>
  <c r="BS285" i="2"/>
  <c r="BT284" i="2"/>
  <c r="BS284" i="2"/>
  <c r="BT283" i="2"/>
  <c r="BS283" i="2"/>
  <c r="BT282" i="2"/>
  <c r="BS282" i="2"/>
  <c r="BT281" i="2"/>
  <c r="BS281" i="2"/>
  <c r="BT280" i="2"/>
  <c r="BS280" i="2"/>
  <c r="BT279" i="2"/>
  <c r="BS279" i="2"/>
  <c r="BT278" i="2"/>
  <c r="BS278" i="2"/>
  <c r="BT277" i="2"/>
  <c r="BS277" i="2"/>
  <c r="BT276" i="2"/>
  <c r="BS276" i="2"/>
  <c r="BT275" i="2"/>
  <c r="BS275" i="2"/>
  <c r="BT274" i="2"/>
  <c r="BS274" i="2"/>
  <c r="BT273" i="2"/>
  <c r="BS273" i="2"/>
  <c r="BT272" i="2"/>
  <c r="BS272" i="2"/>
  <c r="BT271" i="2"/>
  <c r="BS271" i="2"/>
  <c r="BT270" i="2"/>
  <c r="BS270" i="2"/>
  <c r="BT269" i="2"/>
  <c r="BS269" i="2"/>
  <c r="BT268" i="2"/>
  <c r="BS268" i="2"/>
  <c r="BT267" i="2"/>
  <c r="BS267" i="2"/>
  <c r="BT266" i="2"/>
  <c r="BS266" i="2"/>
  <c r="BT265" i="2"/>
  <c r="BS265" i="2"/>
  <c r="BT264" i="2"/>
  <c r="BS264" i="2"/>
  <c r="BT263" i="2"/>
  <c r="BS263" i="2"/>
  <c r="BT262" i="2"/>
  <c r="BS262" i="2"/>
  <c r="BT261" i="2"/>
  <c r="BS261" i="2"/>
  <c r="BT260" i="2"/>
  <c r="BS260" i="2"/>
  <c r="BT259" i="2"/>
  <c r="BS259" i="2"/>
  <c r="BT258" i="2"/>
  <c r="BS258" i="2"/>
  <c r="BT257" i="2"/>
  <c r="BS257" i="2"/>
  <c r="BT256" i="2"/>
  <c r="BS256" i="2"/>
  <c r="BT255" i="2"/>
  <c r="BS255" i="2"/>
  <c r="BT254" i="2"/>
  <c r="BS254" i="2"/>
  <c r="BT253" i="2"/>
  <c r="BS253" i="2"/>
  <c r="BT252" i="2"/>
  <c r="BS252" i="2"/>
  <c r="BT251" i="2"/>
  <c r="BS251" i="2"/>
  <c r="BT250" i="2"/>
  <c r="BS250" i="2"/>
  <c r="BT249" i="2"/>
  <c r="BS249" i="2"/>
  <c r="BT248" i="2"/>
  <c r="BS248" i="2"/>
  <c r="BT247" i="2"/>
  <c r="BS247" i="2"/>
  <c r="BT246" i="2"/>
  <c r="BS246" i="2"/>
  <c r="BT245" i="2"/>
  <c r="BS245" i="2"/>
  <c r="BT244" i="2"/>
  <c r="BS244" i="2"/>
  <c r="BT243" i="2"/>
  <c r="BS243" i="2"/>
  <c r="BT242" i="2"/>
  <c r="BS242" i="2"/>
  <c r="BT241" i="2"/>
  <c r="BS241" i="2"/>
  <c r="BT240" i="2"/>
  <c r="BS240" i="2"/>
  <c r="BT239" i="2"/>
  <c r="BS239" i="2"/>
  <c r="BT238" i="2"/>
  <c r="BS238" i="2"/>
  <c r="BT237" i="2"/>
  <c r="BS237" i="2"/>
  <c r="BT236" i="2"/>
  <c r="BS236" i="2"/>
  <c r="BT235" i="2"/>
  <c r="BS235" i="2"/>
  <c r="BT234" i="2"/>
  <c r="BS234" i="2"/>
  <c r="BT233" i="2"/>
  <c r="BS233" i="2"/>
  <c r="BT232" i="2"/>
  <c r="BS232" i="2"/>
  <c r="BT231" i="2"/>
  <c r="BS231" i="2"/>
  <c r="BT230" i="2"/>
  <c r="BS230" i="2"/>
  <c r="BT229" i="2"/>
  <c r="BS229" i="2"/>
  <c r="BT228" i="2"/>
  <c r="BS228" i="2"/>
  <c r="BT227" i="2"/>
  <c r="BS227" i="2"/>
  <c r="BT226" i="2"/>
  <c r="BS226" i="2"/>
  <c r="BT225" i="2"/>
  <c r="BS225" i="2"/>
  <c r="BT224" i="2"/>
  <c r="BS224" i="2"/>
  <c r="BT223" i="2"/>
  <c r="BS223" i="2"/>
  <c r="BT222" i="2"/>
  <c r="BS222" i="2"/>
  <c r="BT221" i="2"/>
  <c r="BS221" i="2"/>
  <c r="BT220" i="2"/>
  <c r="BS220" i="2"/>
  <c r="BT219" i="2"/>
  <c r="BS219" i="2"/>
  <c r="BT218" i="2"/>
  <c r="BS218" i="2"/>
  <c r="BT217" i="2"/>
  <c r="BS217" i="2"/>
  <c r="BT216" i="2"/>
  <c r="BS216" i="2"/>
  <c r="BT215" i="2"/>
  <c r="BS215" i="2"/>
  <c r="BT214" i="2"/>
  <c r="BS214" i="2"/>
  <c r="BT213" i="2"/>
  <c r="BS213" i="2"/>
  <c r="BT212" i="2"/>
  <c r="BS212" i="2"/>
  <c r="BT211" i="2"/>
  <c r="BS211" i="2"/>
  <c r="BT210" i="2"/>
  <c r="BS210" i="2"/>
  <c r="BT209" i="2"/>
  <c r="BS209" i="2"/>
  <c r="BT208" i="2"/>
  <c r="BS208" i="2"/>
  <c r="BT207" i="2"/>
  <c r="BS207" i="2"/>
  <c r="BT206" i="2"/>
  <c r="BS206" i="2"/>
  <c r="BT205" i="2"/>
  <c r="BS205" i="2"/>
  <c r="BT204" i="2"/>
  <c r="BS204" i="2"/>
  <c r="BT203" i="2"/>
  <c r="BS203" i="2"/>
  <c r="BT202" i="2"/>
  <c r="BS202" i="2"/>
  <c r="BT201" i="2"/>
  <c r="BS201" i="2"/>
  <c r="BT200" i="2"/>
  <c r="BS200" i="2"/>
  <c r="BT199" i="2"/>
  <c r="BS199" i="2"/>
  <c r="BT198" i="2"/>
  <c r="BS198" i="2"/>
  <c r="BT197" i="2"/>
  <c r="BS197" i="2"/>
  <c r="BT196" i="2"/>
  <c r="BS196" i="2"/>
  <c r="BT195" i="2"/>
  <c r="BS195" i="2"/>
  <c r="BT194" i="2"/>
  <c r="BS194" i="2"/>
  <c r="BT193" i="2"/>
  <c r="BS193" i="2"/>
  <c r="BT192" i="2"/>
  <c r="BS192" i="2"/>
  <c r="BT191" i="2"/>
  <c r="BS191" i="2"/>
  <c r="BT190" i="2"/>
  <c r="BS190" i="2"/>
  <c r="BT189" i="2"/>
  <c r="BS189" i="2"/>
  <c r="BT188" i="2"/>
  <c r="BS188" i="2"/>
  <c r="BT187" i="2"/>
  <c r="BS187" i="2"/>
  <c r="BT186" i="2"/>
  <c r="BS186" i="2"/>
  <c r="BT185" i="2"/>
  <c r="BS185" i="2"/>
  <c r="BT184" i="2"/>
  <c r="BS184" i="2"/>
  <c r="BT183" i="2"/>
  <c r="BS183" i="2"/>
  <c r="BT182" i="2"/>
  <c r="BS182" i="2"/>
  <c r="BT181" i="2"/>
  <c r="BS181" i="2"/>
  <c r="BT180" i="2"/>
  <c r="BS180" i="2"/>
  <c r="BT179" i="2"/>
  <c r="BS179" i="2"/>
  <c r="BT178" i="2"/>
  <c r="BS178" i="2"/>
  <c r="BT177" i="2"/>
  <c r="BS177" i="2"/>
  <c r="BT176" i="2"/>
  <c r="BS176" i="2"/>
  <c r="BT175" i="2"/>
  <c r="BS175" i="2"/>
  <c r="BT174" i="2"/>
  <c r="BS174" i="2"/>
  <c r="BT173" i="2"/>
  <c r="BS173" i="2"/>
  <c r="BT172" i="2"/>
  <c r="BS172" i="2"/>
  <c r="BT171" i="2"/>
  <c r="BS171" i="2"/>
  <c r="BT170" i="2"/>
  <c r="BS170" i="2"/>
  <c r="BT169" i="2"/>
  <c r="BS169" i="2"/>
  <c r="BT168" i="2"/>
  <c r="BS168" i="2"/>
  <c r="BT167" i="2"/>
  <c r="BS167" i="2"/>
  <c r="BT166" i="2"/>
  <c r="BS166" i="2"/>
  <c r="BT165" i="2"/>
  <c r="BS165" i="2"/>
  <c r="BT164" i="2"/>
  <c r="BS164" i="2"/>
  <c r="BT163" i="2"/>
  <c r="BS163" i="2"/>
  <c r="BT162" i="2"/>
  <c r="BS162" i="2"/>
  <c r="BT161" i="2"/>
  <c r="BS161" i="2"/>
  <c r="BT160" i="2"/>
  <c r="BS160" i="2"/>
  <c r="BT159" i="2"/>
  <c r="BS159" i="2"/>
  <c r="BT158" i="2"/>
  <c r="BS158" i="2"/>
  <c r="BT157" i="2"/>
  <c r="BS157" i="2"/>
  <c r="BT156" i="2"/>
  <c r="BS156" i="2"/>
  <c r="BT155" i="2"/>
  <c r="BS155" i="2"/>
  <c r="BT154" i="2"/>
  <c r="BS154" i="2"/>
  <c r="BT153" i="2"/>
  <c r="BS153" i="2"/>
  <c r="BT152" i="2"/>
  <c r="BS152" i="2"/>
  <c r="BT151" i="2"/>
  <c r="BS151" i="2"/>
  <c r="BT150" i="2"/>
  <c r="BS150" i="2"/>
  <c r="BT149" i="2"/>
  <c r="BS149" i="2"/>
  <c r="BT148" i="2"/>
  <c r="BS148" i="2"/>
  <c r="BT147" i="2"/>
  <c r="BS147" i="2"/>
  <c r="BT146" i="2"/>
  <c r="BS146" i="2"/>
  <c r="BT145" i="2"/>
  <c r="BS145" i="2"/>
  <c r="BT144" i="2"/>
  <c r="BS144" i="2"/>
  <c r="BT143" i="2"/>
  <c r="BS143" i="2"/>
  <c r="BT142" i="2"/>
  <c r="BS142" i="2"/>
  <c r="BT141" i="2"/>
  <c r="BS141" i="2"/>
  <c r="BT140" i="2"/>
  <c r="BS140" i="2"/>
  <c r="BT139" i="2"/>
  <c r="BS139" i="2"/>
  <c r="BT138" i="2"/>
  <c r="BS138" i="2"/>
  <c r="BT137" i="2"/>
  <c r="BS137" i="2"/>
  <c r="BT136" i="2"/>
  <c r="BS136" i="2"/>
  <c r="BT135" i="2"/>
  <c r="BS135" i="2"/>
  <c r="BT134" i="2"/>
  <c r="BS134" i="2"/>
  <c r="BT133" i="2"/>
  <c r="BS133" i="2"/>
  <c r="BT132" i="2"/>
  <c r="BS132" i="2"/>
  <c r="BT131" i="2"/>
  <c r="BS131" i="2"/>
  <c r="BT130" i="2"/>
  <c r="BS130" i="2"/>
  <c r="BT129" i="2"/>
  <c r="BS129" i="2"/>
  <c r="BT128" i="2"/>
  <c r="BS128" i="2"/>
  <c r="BT127" i="2"/>
  <c r="BS127" i="2"/>
  <c r="BT126" i="2"/>
  <c r="BS126" i="2"/>
  <c r="BT125" i="2"/>
  <c r="BS125" i="2"/>
  <c r="BT124" i="2"/>
  <c r="BS124" i="2"/>
  <c r="BT123" i="2"/>
  <c r="BS123" i="2"/>
  <c r="BT122" i="2"/>
  <c r="BS122" i="2"/>
  <c r="BT121" i="2"/>
  <c r="BS121" i="2"/>
  <c r="BT120" i="2"/>
  <c r="BS120" i="2"/>
  <c r="BT119" i="2"/>
  <c r="BS119" i="2"/>
  <c r="BT118" i="2"/>
  <c r="BS118" i="2"/>
  <c r="BT117" i="2"/>
  <c r="BS117" i="2"/>
  <c r="BT116" i="2"/>
  <c r="BS116" i="2"/>
  <c r="BT115" i="2"/>
  <c r="BS115" i="2"/>
  <c r="BT114" i="2"/>
  <c r="BS114" i="2"/>
  <c r="BT113" i="2"/>
  <c r="BS113" i="2"/>
  <c r="BT112" i="2"/>
  <c r="BS112" i="2"/>
  <c r="BT111" i="2"/>
  <c r="BS111" i="2"/>
  <c r="BT110" i="2"/>
  <c r="BS110" i="2"/>
  <c r="BT109" i="2"/>
  <c r="BS109" i="2"/>
  <c r="BT108" i="2"/>
  <c r="BS108" i="2"/>
  <c r="BT107" i="2"/>
  <c r="BS107" i="2"/>
  <c r="BT106" i="2"/>
  <c r="BS106" i="2"/>
  <c r="BT105" i="2"/>
  <c r="BS105" i="2"/>
  <c r="BT104" i="2"/>
  <c r="BS104" i="2"/>
  <c r="BT103" i="2"/>
  <c r="BS103" i="2"/>
  <c r="BT102" i="2"/>
  <c r="BS102" i="2"/>
  <c r="BT101" i="2"/>
  <c r="BS101" i="2"/>
  <c r="BT100" i="2"/>
  <c r="BS100" i="2"/>
  <c r="BT99" i="2"/>
  <c r="BS99" i="2"/>
  <c r="BT98" i="2"/>
  <c r="BS98" i="2"/>
  <c r="BT97" i="2"/>
  <c r="BS97" i="2"/>
  <c r="BT96" i="2"/>
  <c r="BS96" i="2"/>
  <c r="BT95" i="2"/>
  <c r="BS95" i="2"/>
  <c r="BT94" i="2"/>
  <c r="BS94" i="2"/>
  <c r="BT93" i="2"/>
  <c r="BS93" i="2"/>
  <c r="BT92" i="2"/>
  <c r="BS92" i="2"/>
  <c r="BT91" i="2"/>
  <c r="BS91" i="2"/>
  <c r="BT90" i="2"/>
  <c r="BS90" i="2"/>
  <c r="BT89" i="2"/>
  <c r="BS89" i="2"/>
  <c r="BT88" i="2"/>
  <c r="BS88" i="2"/>
  <c r="BT87" i="2"/>
  <c r="BS87" i="2"/>
  <c r="BT86" i="2"/>
  <c r="BS86" i="2"/>
  <c r="BT85" i="2"/>
  <c r="BS85" i="2"/>
  <c r="BT84" i="2"/>
  <c r="BS84" i="2"/>
  <c r="BT83" i="2"/>
  <c r="BS83" i="2"/>
  <c r="BT82" i="2"/>
  <c r="BS82" i="2"/>
  <c r="BT81" i="2"/>
  <c r="BS81" i="2"/>
  <c r="BT80" i="2"/>
  <c r="BS80" i="2"/>
  <c r="BT79" i="2"/>
  <c r="BS79" i="2"/>
  <c r="BT78" i="2"/>
  <c r="BS78" i="2"/>
  <c r="BT77" i="2"/>
  <c r="BS77" i="2"/>
  <c r="BT76" i="2"/>
  <c r="BS76" i="2"/>
  <c r="BT75" i="2"/>
  <c r="BS75" i="2"/>
  <c r="BT74" i="2"/>
  <c r="BS74" i="2"/>
  <c r="BT73" i="2"/>
  <c r="BS73" i="2"/>
  <c r="BT72" i="2"/>
  <c r="BS72" i="2"/>
  <c r="BT71" i="2"/>
  <c r="BS71" i="2"/>
  <c r="BF14" i="3"/>
  <c r="BG14" i="3"/>
  <c r="BP14" i="3" s="1"/>
  <c r="BH14" i="3"/>
  <c r="BQ14" i="3" s="1"/>
  <c r="BJ14" i="3"/>
  <c r="BK14" i="3"/>
  <c r="BT14" i="3" s="1"/>
  <c r="BF15" i="3"/>
  <c r="BO15" i="3" s="1"/>
  <c r="BG15" i="3"/>
  <c r="BP15" i="3" s="1"/>
  <c r="BH15" i="3"/>
  <c r="BQ15" i="3" s="1"/>
  <c r="BJ15" i="3"/>
  <c r="BK15" i="3"/>
  <c r="BT15" i="3" s="1"/>
  <c r="BF16" i="3"/>
  <c r="BO16" i="3" s="1"/>
  <c r="BG16" i="3"/>
  <c r="BP16" i="3" s="1"/>
  <c r="BH16" i="3"/>
  <c r="BQ16" i="3" s="1"/>
  <c r="BJ16" i="3"/>
  <c r="BK16" i="3"/>
  <c r="BT16" i="3" s="1"/>
  <c r="BF17" i="3"/>
  <c r="BG17" i="3"/>
  <c r="BP17" i="3" s="1"/>
  <c r="BH17" i="3"/>
  <c r="BQ17" i="3" s="1"/>
  <c r="BJ17" i="3"/>
  <c r="BK17" i="3"/>
  <c r="BT17" i="3" s="1"/>
  <c r="BF18" i="3"/>
  <c r="BO18" i="3" s="1"/>
  <c r="BG18" i="3"/>
  <c r="BP18" i="3" s="1"/>
  <c r="BH18" i="3"/>
  <c r="BQ18" i="3" s="1"/>
  <c r="BJ18" i="3"/>
  <c r="BK18" i="3"/>
  <c r="BT18" i="3" s="1"/>
  <c r="BF19" i="3"/>
  <c r="BO19" i="3" s="1"/>
  <c r="BG19" i="3"/>
  <c r="BP19" i="3" s="1"/>
  <c r="BH19" i="3"/>
  <c r="BQ19" i="3" s="1"/>
  <c r="BJ19" i="3"/>
  <c r="BS19" i="3" s="1"/>
  <c r="BK19" i="3"/>
  <c r="BT19" i="3" s="1"/>
  <c r="BF20" i="3"/>
  <c r="BG20" i="3"/>
  <c r="BP20" i="3" s="1"/>
  <c r="BH20" i="3"/>
  <c r="BQ20" i="3" s="1"/>
  <c r="BJ20" i="3"/>
  <c r="BS20" i="3" s="1"/>
  <c r="BK20" i="3"/>
  <c r="BT20" i="3" s="1"/>
  <c r="BF21" i="3"/>
  <c r="BO21" i="3" s="1"/>
  <c r="BG21" i="3"/>
  <c r="BP21" i="3" s="1"/>
  <c r="BH21" i="3"/>
  <c r="BQ21" i="3" s="1"/>
  <c r="BJ21" i="3"/>
  <c r="BK21" i="3"/>
  <c r="BT21" i="3" s="1"/>
  <c r="BF22" i="3"/>
  <c r="BG22" i="3"/>
  <c r="BP22" i="3" s="1"/>
  <c r="BH22" i="3"/>
  <c r="BQ22" i="3" s="1"/>
  <c r="BJ22" i="3"/>
  <c r="BK22" i="3"/>
  <c r="BT22" i="3" s="1"/>
  <c r="BF23" i="3"/>
  <c r="BO23" i="3" s="1"/>
  <c r="BG23" i="3"/>
  <c r="BP23" i="3" s="1"/>
  <c r="BH23" i="3"/>
  <c r="BQ23" i="3" s="1"/>
  <c r="BJ23" i="3"/>
  <c r="BS23" i="3" s="1"/>
  <c r="BT23" i="3"/>
  <c r="BF24" i="3"/>
  <c r="BO24" i="3" s="1"/>
  <c r="BG24" i="3"/>
  <c r="BP24" i="3" s="1"/>
  <c r="BH24" i="3"/>
  <c r="BQ24" i="3" s="1"/>
  <c r="BJ24" i="3"/>
  <c r="BK24" i="3"/>
  <c r="BT24" i="3" s="1"/>
  <c r="BF25" i="3"/>
  <c r="BG25" i="3"/>
  <c r="BP25" i="3" s="1"/>
  <c r="BH25" i="3"/>
  <c r="BQ25" i="3" s="1"/>
  <c r="BJ25" i="3"/>
  <c r="BK25" i="3"/>
  <c r="BT25" i="3" s="1"/>
  <c r="BF26" i="3"/>
  <c r="BO26" i="3" s="1"/>
  <c r="BG26" i="3"/>
  <c r="BH26" i="3"/>
  <c r="BQ26" i="3" s="1"/>
  <c r="BJ26" i="3"/>
  <c r="BS26" i="3" s="1"/>
  <c r="BK26" i="3"/>
  <c r="BT26" i="3" s="1"/>
  <c r="BF27" i="3"/>
  <c r="BO27" i="3" s="1"/>
  <c r="BG27" i="3"/>
  <c r="BP27" i="3" s="1"/>
  <c r="BH27" i="3"/>
  <c r="BQ27" i="3" s="1"/>
  <c r="BJ27" i="3"/>
  <c r="BS27" i="3" s="1"/>
  <c r="BK27" i="3"/>
  <c r="BT27" i="3" s="1"/>
  <c r="BF28" i="3"/>
  <c r="BO28" i="3" s="1"/>
  <c r="BG28" i="3"/>
  <c r="BH28" i="3"/>
  <c r="BQ28" i="3" s="1"/>
  <c r="BJ28" i="3"/>
  <c r="BS28" i="3" s="1"/>
  <c r="BK28" i="3"/>
  <c r="BT28" i="3" s="1"/>
  <c r="BF29" i="3"/>
  <c r="BO29" i="3" s="1"/>
  <c r="BG29" i="3"/>
  <c r="BP29" i="3" s="1"/>
  <c r="BH29" i="3"/>
  <c r="BQ29" i="3" s="1"/>
  <c r="BJ29" i="3"/>
  <c r="BK29" i="3"/>
  <c r="BT29" i="3" s="1"/>
  <c r="BF30" i="3"/>
  <c r="BG30" i="3"/>
  <c r="BP30" i="3" s="1"/>
  <c r="BH30" i="3"/>
  <c r="BQ30" i="3" s="1"/>
  <c r="BJ30" i="3"/>
  <c r="BS30" i="3" s="1"/>
  <c r="BK30" i="3"/>
  <c r="BT30" i="3" s="1"/>
  <c r="BF31" i="3"/>
  <c r="BG31" i="3"/>
  <c r="BP31" i="3" s="1"/>
  <c r="BH31" i="3"/>
  <c r="BQ31" i="3" s="1"/>
  <c r="BJ31" i="3"/>
  <c r="BK31" i="3"/>
  <c r="BT31" i="3" s="1"/>
  <c r="BF32" i="3"/>
  <c r="BO32" i="3" s="1"/>
  <c r="BG32" i="3"/>
  <c r="BP32" i="3" s="1"/>
  <c r="BH32" i="3"/>
  <c r="BQ32" i="3" s="1"/>
  <c r="BJ32" i="3"/>
  <c r="BK32" i="3"/>
  <c r="BT32" i="3" s="1"/>
  <c r="BF33" i="3"/>
  <c r="BO33" i="3" s="1"/>
  <c r="BG33" i="3"/>
  <c r="BP33" i="3" s="1"/>
  <c r="BH33" i="3"/>
  <c r="BQ33" i="3" s="1"/>
  <c r="BJ33" i="3"/>
  <c r="BK33" i="3"/>
  <c r="BT33" i="3" s="1"/>
  <c r="BF34" i="3"/>
  <c r="BO34" i="3" s="1"/>
  <c r="BG34" i="3"/>
  <c r="BP34" i="3" s="1"/>
  <c r="BH34" i="3"/>
  <c r="BQ34" i="3" s="1"/>
  <c r="BJ34" i="3"/>
  <c r="BK34" i="3"/>
  <c r="BT34" i="3" s="1"/>
  <c r="BF35" i="3"/>
  <c r="BO35" i="3" s="1"/>
  <c r="BG35" i="3"/>
  <c r="BP35" i="3" s="1"/>
  <c r="BH35" i="3"/>
  <c r="BQ35" i="3" s="1"/>
  <c r="BJ35" i="3"/>
  <c r="BS35" i="3" s="1"/>
  <c r="BK35" i="3"/>
  <c r="BT35" i="3" s="1"/>
  <c r="BF36" i="3"/>
  <c r="BG36" i="3"/>
  <c r="BP36" i="3" s="1"/>
  <c r="BH36" i="3"/>
  <c r="BQ36" i="3" s="1"/>
  <c r="BJ36" i="3"/>
  <c r="BS36" i="3" s="1"/>
  <c r="BK36" i="3"/>
  <c r="BT36" i="3" s="1"/>
  <c r="BF37" i="3"/>
  <c r="BO37" i="3" s="1"/>
  <c r="BG37" i="3"/>
  <c r="BP37" i="3" s="1"/>
  <c r="BH37" i="3"/>
  <c r="BQ37" i="3" s="1"/>
  <c r="BJ37" i="3"/>
  <c r="BK37" i="3"/>
  <c r="BT37" i="3" s="1"/>
  <c r="BF38" i="3"/>
  <c r="BG38" i="3"/>
  <c r="BP38" i="3" s="1"/>
  <c r="BH38" i="3"/>
  <c r="BQ38" i="3" s="1"/>
  <c r="BJ38" i="3"/>
  <c r="BK38" i="3"/>
  <c r="BT38" i="3" s="1"/>
  <c r="BF39" i="3"/>
  <c r="BO39" i="3" s="1"/>
  <c r="BG39" i="3"/>
  <c r="BP39" i="3" s="1"/>
  <c r="BH39" i="3"/>
  <c r="BQ39" i="3" s="1"/>
  <c r="BJ39" i="3"/>
  <c r="BK39" i="3"/>
  <c r="BT39" i="3" s="1"/>
  <c r="BF40" i="3"/>
  <c r="BG40" i="3"/>
  <c r="BP40" i="3" s="1"/>
  <c r="BH40" i="3"/>
  <c r="BQ40" i="3" s="1"/>
  <c r="BJ40" i="3"/>
  <c r="BK40" i="3"/>
  <c r="BT40" i="3" s="1"/>
  <c r="BF41" i="3"/>
  <c r="BG41" i="3"/>
  <c r="BP41" i="3" s="1"/>
  <c r="BH41" i="3"/>
  <c r="BQ41" i="3" s="1"/>
  <c r="BJ41" i="3"/>
  <c r="BK41" i="3"/>
  <c r="BT41" i="3" s="1"/>
  <c r="BF42" i="3"/>
  <c r="BO42" i="3" s="1"/>
  <c r="BG42" i="3"/>
  <c r="BP42" i="3" s="1"/>
  <c r="BH42" i="3"/>
  <c r="BQ42" i="3" s="1"/>
  <c r="BJ42" i="3"/>
  <c r="BS42" i="3" s="1"/>
  <c r="BK42" i="3"/>
  <c r="BT42" i="3" s="1"/>
  <c r="BF43" i="3"/>
  <c r="BG43" i="3"/>
  <c r="BP43" i="3" s="1"/>
  <c r="BH43" i="3"/>
  <c r="BQ43" i="3" s="1"/>
  <c r="BJ43" i="3"/>
  <c r="BK43" i="3"/>
  <c r="BT43" i="3" s="1"/>
  <c r="BF44" i="3"/>
  <c r="BO44" i="3" s="1"/>
  <c r="BG44" i="3"/>
  <c r="BP44" i="3" s="1"/>
  <c r="BH44" i="3"/>
  <c r="BQ44" i="3" s="1"/>
  <c r="BJ44" i="3"/>
  <c r="BS44" i="3" s="1"/>
  <c r="BK44" i="3"/>
  <c r="BT44" i="3" s="1"/>
  <c r="BF45" i="3"/>
  <c r="BG45" i="3"/>
  <c r="BP45" i="3" s="1"/>
  <c r="BH45" i="3"/>
  <c r="BQ45" i="3" s="1"/>
  <c r="BJ45" i="3"/>
  <c r="BT45" i="3"/>
  <c r="BF46" i="3"/>
  <c r="BG46" i="3"/>
  <c r="BP46" i="3" s="1"/>
  <c r="BH46" i="3"/>
  <c r="BQ46" i="3" s="1"/>
  <c r="BJ46" i="3"/>
  <c r="BS46" i="3" s="1"/>
  <c r="BK46" i="3"/>
  <c r="BT46" i="3" s="1"/>
  <c r="BF47" i="3"/>
  <c r="BO47" i="3" s="1"/>
  <c r="BG47" i="3"/>
  <c r="BP47" i="3" s="1"/>
  <c r="BH47" i="3"/>
  <c r="BQ47" i="3" s="1"/>
  <c r="BJ47" i="3"/>
  <c r="BK47" i="3"/>
  <c r="BT47" i="3" s="1"/>
  <c r="BF48" i="3"/>
  <c r="BO48" i="3" s="1"/>
  <c r="BG48" i="3"/>
  <c r="BP48" i="3" s="1"/>
  <c r="BH48" i="3"/>
  <c r="BQ48" i="3" s="1"/>
  <c r="BJ48" i="3"/>
  <c r="BK48" i="3"/>
  <c r="BT48" i="3" s="1"/>
  <c r="BF49" i="3"/>
  <c r="BO49" i="3" s="1"/>
  <c r="BG49" i="3"/>
  <c r="BP49" i="3" s="1"/>
  <c r="BH49" i="3"/>
  <c r="BQ49" i="3" s="1"/>
  <c r="BJ49" i="3"/>
  <c r="BK49" i="3"/>
  <c r="BT49" i="3" s="1"/>
  <c r="BF50" i="3"/>
  <c r="BO50" i="3" s="1"/>
  <c r="BG50" i="3"/>
  <c r="BP50" i="3" s="1"/>
  <c r="BH50" i="3"/>
  <c r="BQ50" i="3" s="1"/>
  <c r="BJ50" i="3"/>
  <c r="BS50" i="3" s="1"/>
  <c r="BK50" i="3"/>
  <c r="BT50" i="3" s="1"/>
  <c r="BF51" i="3"/>
  <c r="BO51" i="3" s="1"/>
  <c r="BG51" i="3"/>
  <c r="BH51" i="3"/>
  <c r="BQ51" i="3" s="1"/>
  <c r="BJ51" i="3"/>
  <c r="BS51" i="3" s="1"/>
  <c r="BK51" i="3"/>
  <c r="BT51" i="3" s="1"/>
  <c r="BF52" i="3"/>
  <c r="BO52" i="3" s="1"/>
  <c r="BG52" i="3"/>
  <c r="BP52" i="3" s="1"/>
  <c r="BH52" i="3"/>
  <c r="BQ52" i="3" s="1"/>
  <c r="BJ52" i="3"/>
  <c r="BS52" i="3" s="1"/>
  <c r="BK52" i="3"/>
  <c r="BT52" i="3" s="1"/>
  <c r="BF53" i="3"/>
  <c r="BO53" i="3" s="1"/>
  <c r="BG53" i="3"/>
  <c r="BH53" i="3"/>
  <c r="BQ53" i="3" s="1"/>
  <c r="BJ53" i="3"/>
  <c r="BK53" i="3"/>
  <c r="BT53" i="3" s="1"/>
  <c r="BF54" i="3"/>
  <c r="BG54" i="3"/>
  <c r="BP54" i="3" s="1"/>
  <c r="BH54" i="3"/>
  <c r="BQ54" i="3" s="1"/>
  <c r="BJ54" i="3"/>
  <c r="BK54" i="3"/>
  <c r="BT54" i="3" s="1"/>
  <c r="BF55" i="3"/>
  <c r="BG55" i="3"/>
  <c r="BP55" i="3" s="1"/>
  <c r="BH55" i="3"/>
  <c r="BQ55" i="3" s="1"/>
  <c r="BJ55" i="3"/>
  <c r="BS55" i="3" s="1"/>
  <c r="BK55" i="3"/>
  <c r="BT55" i="3" s="1"/>
  <c r="BF56" i="3"/>
  <c r="BO56" i="3" s="1"/>
  <c r="BG56" i="3"/>
  <c r="BH56" i="3"/>
  <c r="BQ56" i="3" s="1"/>
  <c r="BJ56" i="3"/>
  <c r="BK56" i="3"/>
  <c r="BT56" i="3" s="1"/>
  <c r="BF57" i="3"/>
  <c r="BG57" i="3"/>
  <c r="BP57" i="3" s="1"/>
  <c r="BH57" i="3"/>
  <c r="BQ57" i="3" s="1"/>
  <c r="BJ57" i="3"/>
  <c r="BK57" i="3"/>
  <c r="BT57" i="3" s="1"/>
  <c r="BF58" i="3"/>
  <c r="BO58" i="3" s="1"/>
  <c r="BG58" i="3"/>
  <c r="BP58" i="3" s="1"/>
  <c r="BH58" i="3"/>
  <c r="BQ58" i="3" s="1"/>
  <c r="BJ58" i="3"/>
  <c r="BS58" i="3" s="1"/>
  <c r="BT58" i="3"/>
  <c r="BF59" i="3"/>
  <c r="BG59" i="3"/>
  <c r="BP59" i="3" s="1"/>
  <c r="BH59" i="3"/>
  <c r="BQ59" i="3" s="1"/>
  <c r="BJ59" i="3"/>
  <c r="BK59" i="3"/>
  <c r="BT59" i="3" s="1"/>
  <c r="BF60" i="3"/>
  <c r="BO60" i="3" s="1"/>
  <c r="BG60" i="3"/>
  <c r="BP60" i="3" s="1"/>
  <c r="BH60" i="3"/>
  <c r="BQ60" i="3" s="1"/>
  <c r="BJ60" i="3"/>
  <c r="BK60" i="3"/>
  <c r="BT60" i="3" s="1"/>
  <c r="BF61" i="3"/>
  <c r="BO61" i="3" s="1"/>
  <c r="BG61" i="3"/>
  <c r="BP61" i="3" s="1"/>
  <c r="BH61" i="3"/>
  <c r="BQ61" i="3" s="1"/>
  <c r="BJ61" i="3"/>
  <c r="BK61" i="3"/>
  <c r="BT61" i="3" s="1"/>
  <c r="BF62" i="3"/>
  <c r="BO62" i="3" s="1"/>
  <c r="BG62" i="3"/>
  <c r="BP62" i="3" s="1"/>
  <c r="BH62" i="3"/>
  <c r="BQ62" i="3" s="1"/>
  <c r="BJ62" i="3"/>
  <c r="BK62" i="3"/>
  <c r="BT62" i="3" s="1"/>
  <c r="BF63" i="3"/>
  <c r="BO63" i="3" s="1"/>
  <c r="BG63" i="3"/>
  <c r="BP63" i="3" s="1"/>
  <c r="BH63" i="3"/>
  <c r="BQ63" i="3" s="1"/>
  <c r="BJ63" i="3"/>
  <c r="BK63" i="3"/>
  <c r="BT63" i="3" s="1"/>
  <c r="BF64" i="3"/>
  <c r="BG64" i="3"/>
  <c r="BP64" i="3" s="1"/>
  <c r="BH64" i="3"/>
  <c r="BQ64" i="3" s="1"/>
  <c r="BJ64" i="3"/>
  <c r="BK64" i="3"/>
  <c r="BT64" i="3" s="1"/>
  <c r="BF65" i="3"/>
  <c r="BO65" i="3" s="1"/>
  <c r="BG65" i="3"/>
  <c r="BP65" i="3" s="1"/>
  <c r="BH65" i="3"/>
  <c r="BQ65" i="3" s="1"/>
  <c r="BJ65" i="3"/>
  <c r="BS65" i="3" s="1"/>
  <c r="BK65" i="3"/>
  <c r="BT65" i="3" s="1"/>
  <c r="BF66" i="3"/>
  <c r="BG66" i="3"/>
  <c r="BP66" i="3" s="1"/>
  <c r="BH66" i="3"/>
  <c r="BQ66" i="3" s="1"/>
  <c r="BJ66" i="3"/>
  <c r="BK66" i="3"/>
  <c r="BT66" i="3" s="1"/>
  <c r="BF67" i="3"/>
  <c r="BO67" i="3" s="1"/>
  <c r="BG67" i="3"/>
  <c r="BP67" i="3" s="1"/>
  <c r="BH67" i="3"/>
  <c r="BQ67" i="3" s="1"/>
  <c r="BJ67" i="3"/>
  <c r="BK67" i="3"/>
  <c r="BT67" i="3" s="1"/>
  <c r="BF68" i="3"/>
  <c r="BG68" i="3"/>
  <c r="BP68" i="3" s="1"/>
  <c r="BH68" i="3"/>
  <c r="BQ68" i="3" s="1"/>
  <c r="BJ68" i="3"/>
  <c r="BS68" i="3" s="1"/>
  <c r="BK68" i="3"/>
  <c r="BT68" i="3" s="1"/>
  <c r="BF69" i="3"/>
  <c r="BO69" i="3" s="1"/>
  <c r="BG69" i="3"/>
  <c r="BP69" i="3" s="1"/>
  <c r="BH69" i="3"/>
  <c r="BQ69" i="3" s="1"/>
  <c r="BJ69" i="3"/>
  <c r="BK69" i="3"/>
  <c r="BT69" i="3" s="1"/>
  <c r="BF70" i="3"/>
  <c r="BO70" i="3" s="1"/>
  <c r="BG70" i="3"/>
  <c r="BP70" i="3" s="1"/>
  <c r="BH70" i="3"/>
  <c r="BQ70" i="3" s="1"/>
  <c r="BJ70" i="3"/>
  <c r="BS70" i="3" s="1"/>
  <c r="BK70" i="3"/>
  <c r="BT70" i="3" s="1"/>
  <c r="BF71" i="3"/>
  <c r="BO71" i="3" s="1"/>
  <c r="BG71" i="3"/>
  <c r="BH71" i="3"/>
  <c r="BQ71" i="3" s="1"/>
  <c r="BJ71" i="3"/>
  <c r="BT71" i="3"/>
  <c r="BF72" i="3"/>
  <c r="BO72" i="3" s="1"/>
  <c r="BG72" i="3"/>
  <c r="BP72" i="3" s="1"/>
  <c r="BH72" i="3"/>
  <c r="BQ72" i="3" s="1"/>
  <c r="BJ72" i="3"/>
  <c r="BS72" i="3" s="1"/>
  <c r="BK72" i="3"/>
  <c r="BT72" i="3" s="1"/>
  <c r="BF73" i="3"/>
  <c r="BO73" i="3" s="1"/>
  <c r="BG73" i="3"/>
  <c r="BP73" i="3" s="1"/>
  <c r="BH73" i="3"/>
  <c r="BQ73" i="3" s="1"/>
  <c r="BJ73" i="3"/>
  <c r="BK73" i="3"/>
  <c r="BT73" i="3" s="1"/>
  <c r="BF74" i="3"/>
  <c r="BG74" i="3"/>
  <c r="BP74" i="3" s="1"/>
  <c r="BH74" i="3"/>
  <c r="BQ74" i="3" s="1"/>
  <c r="BJ74" i="3"/>
  <c r="BS74" i="3" s="1"/>
  <c r="BK74" i="3"/>
  <c r="BT74" i="3" s="1"/>
  <c r="BF75" i="3"/>
  <c r="BO75" i="3" s="1"/>
  <c r="BG75" i="3"/>
  <c r="BH75" i="3"/>
  <c r="BQ75" i="3" s="1"/>
  <c r="BJ75" i="3"/>
  <c r="BT75" i="3"/>
  <c r="BF76" i="3"/>
  <c r="BO76" i="3" s="1"/>
  <c r="BG76" i="3"/>
  <c r="BH76" i="3"/>
  <c r="BQ76" i="3" s="1"/>
  <c r="BJ76" i="3"/>
  <c r="BS76" i="3" s="1"/>
  <c r="BK76" i="3"/>
  <c r="BT76" i="3" s="1"/>
  <c r="BF77" i="3"/>
  <c r="BG77" i="3"/>
  <c r="BP77" i="3" s="1"/>
  <c r="BH77" i="3"/>
  <c r="BQ77" i="3" s="1"/>
  <c r="BJ77" i="3"/>
  <c r="BK77" i="3"/>
  <c r="BT77" i="3" s="1"/>
  <c r="BF78" i="3"/>
  <c r="BO78" i="3" s="1"/>
  <c r="BG78" i="3"/>
  <c r="BP78" i="3" s="1"/>
  <c r="BH78" i="3"/>
  <c r="BQ78" i="3" s="1"/>
  <c r="BJ78" i="3"/>
  <c r="BS78" i="3" s="1"/>
  <c r="BK78" i="3"/>
  <c r="BT78" i="3" s="1"/>
  <c r="BF79" i="3"/>
  <c r="BO79" i="3" s="1"/>
  <c r="BG79" i="3"/>
  <c r="BH79" i="3"/>
  <c r="BQ79" i="3" s="1"/>
  <c r="BJ79" i="3"/>
  <c r="BK79" i="3"/>
  <c r="BT79" i="3" s="1"/>
  <c r="BF80" i="3"/>
  <c r="BO80" i="3" s="1"/>
  <c r="BG80" i="3"/>
  <c r="BH80" i="3"/>
  <c r="BQ80" i="3" s="1"/>
  <c r="BJ80" i="3"/>
  <c r="BS80" i="3" s="1"/>
  <c r="BK80" i="3"/>
  <c r="BT80" i="3" s="1"/>
  <c r="BF81" i="3"/>
  <c r="BO81" i="3" s="1"/>
  <c r="BG81" i="3"/>
  <c r="BP81" i="3" s="1"/>
  <c r="BH81" i="3"/>
  <c r="BQ81" i="3" s="1"/>
  <c r="BJ81" i="3"/>
  <c r="BK81" i="3"/>
  <c r="BT81" i="3" s="1"/>
  <c r="BF82" i="3"/>
  <c r="BO82" i="3" s="1"/>
  <c r="BG82" i="3"/>
  <c r="BP82" i="3" s="1"/>
  <c r="BH82" i="3"/>
  <c r="BQ82" i="3" s="1"/>
  <c r="BJ82" i="3"/>
  <c r="BS82" i="3" s="1"/>
  <c r="BT82" i="3"/>
  <c r="BF83" i="3"/>
  <c r="BO83" i="3" s="1"/>
  <c r="BG83" i="3"/>
  <c r="BH83" i="3"/>
  <c r="BQ83" i="3" s="1"/>
  <c r="BJ83" i="3"/>
  <c r="BS83" i="3" s="1"/>
  <c r="BT83" i="3"/>
  <c r="BF84" i="3"/>
  <c r="BO84" i="3" s="1"/>
  <c r="BG84" i="3"/>
  <c r="BP84" i="3" s="1"/>
  <c r="BH84" i="3"/>
  <c r="BQ84" i="3" s="1"/>
  <c r="BJ84" i="3"/>
  <c r="BS84" i="3" s="1"/>
  <c r="BK84" i="3"/>
  <c r="BT84" i="3" s="1"/>
  <c r="BF85" i="3"/>
  <c r="BG85" i="3"/>
  <c r="BP85" i="3" s="1"/>
  <c r="BH85" i="3"/>
  <c r="BQ85" i="3" s="1"/>
  <c r="BJ85" i="3"/>
  <c r="BK85" i="3"/>
  <c r="BT85" i="3" s="1"/>
  <c r="BF86" i="3"/>
  <c r="BO86" i="3" s="1"/>
  <c r="BG86" i="3"/>
  <c r="BP86" i="3" s="1"/>
  <c r="BH86" i="3"/>
  <c r="BQ86" i="3" s="1"/>
  <c r="BJ86" i="3"/>
  <c r="BS86" i="3" s="1"/>
  <c r="BK86" i="3"/>
  <c r="BT86" i="3" s="1"/>
  <c r="BF87" i="3"/>
  <c r="BG87" i="3"/>
  <c r="BP87" i="3" s="1"/>
  <c r="BH87" i="3"/>
  <c r="BQ87" i="3" s="1"/>
  <c r="BJ87" i="3"/>
  <c r="BK87" i="3"/>
  <c r="BT87" i="3" s="1"/>
  <c r="BF88" i="3"/>
  <c r="BO88" i="3" s="1"/>
  <c r="BG88" i="3"/>
  <c r="BH88" i="3"/>
  <c r="BQ88" i="3" s="1"/>
  <c r="BJ88" i="3"/>
  <c r="BS88" i="3" s="1"/>
  <c r="BK88" i="3"/>
  <c r="BT88" i="3" s="1"/>
  <c r="BF89" i="3"/>
  <c r="BG89" i="3"/>
  <c r="BP89" i="3" s="1"/>
  <c r="BH89" i="3"/>
  <c r="BQ89" i="3" s="1"/>
  <c r="BJ89" i="3"/>
  <c r="BK89" i="3"/>
  <c r="BT89" i="3" s="1"/>
  <c r="BF90" i="3"/>
  <c r="BG90" i="3"/>
  <c r="BP90" i="3" s="1"/>
  <c r="BH90" i="3"/>
  <c r="BQ90" i="3" s="1"/>
  <c r="BJ90" i="3"/>
  <c r="BS90" i="3" s="1"/>
  <c r="BK90" i="3"/>
  <c r="BT90" i="3" s="1"/>
  <c r="BF91" i="3"/>
  <c r="BG91" i="3"/>
  <c r="BP91" i="3" s="1"/>
  <c r="BH91" i="3"/>
  <c r="BQ91" i="3" s="1"/>
  <c r="BJ91" i="3"/>
  <c r="BK91" i="3"/>
  <c r="BT91" i="3" s="1"/>
  <c r="BF92" i="3"/>
  <c r="BO92" i="3" s="1"/>
  <c r="BG92" i="3"/>
  <c r="BH92" i="3"/>
  <c r="BQ92" i="3" s="1"/>
  <c r="BJ92" i="3"/>
  <c r="BS92" i="3" s="1"/>
  <c r="BK92" i="3"/>
  <c r="BT92" i="3" s="1"/>
  <c r="BF93" i="3"/>
  <c r="BG93" i="3"/>
  <c r="BP93" i="3" s="1"/>
  <c r="BH93" i="3"/>
  <c r="BQ93" i="3" s="1"/>
  <c r="BJ93" i="3"/>
  <c r="BK93" i="3"/>
  <c r="BT93" i="3" s="1"/>
  <c r="BF94" i="3"/>
  <c r="BO94" i="3" s="1"/>
  <c r="BG94" i="3"/>
  <c r="BP94" i="3" s="1"/>
  <c r="BH94" i="3"/>
  <c r="BQ94" i="3" s="1"/>
  <c r="BJ94" i="3"/>
  <c r="BS94" i="3" s="1"/>
  <c r="BK94" i="3"/>
  <c r="BT94" i="3" s="1"/>
  <c r="BF95" i="3"/>
  <c r="BG95" i="3"/>
  <c r="BP95" i="3" s="1"/>
  <c r="BH95" i="3"/>
  <c r="BQ95" i="3" s="1"/>
  <c r="BJ95" i="3"/>
  <c r="BK95" i="3"/>
  <c r="BT95" i="3" s="1"/>
  <c r="BF96" i="3"/>
  <c r="BO96" i="3" s="1"/>
  <c r="BG96" i="3"/>
  <c r="BH96" i="3"/>
  <c r="BQ96" i="3" s="1"/>
  <c r="BJ96" i="3"/>
  <c r="BS96" i="3" s="1"/>
  <c r="BK96" i="3"/>
  <c r="BT96" i="3" s="1"/>
  <c r="BF97" i="3"/>
  <c r="BG97" i="3"/>
  <c r="BP97" i="3" s="1"/>
  <c r="BH97" i="3"/>
  <c r="BQ97" i="3" s="1"/>
  <c r="BJ97" i="3"/>
  <c r="BK97" i="3"/>
  <c r="BT97" i="3" s="1"/>
  <c r="BF98" i="3"/>
  <c r="BO98" i="3" s="1"/>
  <c r="BG98" i="3"/>
  <c r="BP98" i="3" s="1"/>
  <c r="BH98" i="3"/>
  <c r="BQ98" i="3" s="1"/>
  <c r="BJ98" i="3"/>
  <c r="BS98" i="3" s="1"/>
  <c r="BK98" i="3"/>
  <c r="BT98" i="3" s="1"/>
  <c r="BF99" i="3"/>
  <c r="BG99" i="3"/>
  <c r="BP99" i="3" s="1"/>
  <c r="BH99" i="3"/>
  <c r="BQ99" i="3" s="1"/>
  <c r="BJ99" i="3"/>
  <c r="BK99" i="3"/>
  <c r="BT99" i="3" s="1"/>
  <c r="BF100" i="3"/>
  <c r="BG100" i="3"/>
  <c r="BP100" i="3" s="1"/>
  <c r="BH100" i="3"/>
  <c r="BQ100" i="3" s="1"/>
  <c r="BJ100" i="3"/>
  <c r="BK100" i="3"/>
  <c r="BT100" i="3" s="1"/>
  <c r="BF101" i="3"/>
  <c r="BG101" i="3"/>
  <c r="BP101" i="3" s="1"/>
  <c r="BH101" i="3"/>
  <c r="BQ101" i="3" s="1"/>
  <c r="BJ101" i="3"/>
  <c r="BK101" i="3"/>
  <c r="BT101" i="3" s="1"/>
  <c r="BF102" i="3"/>
  <c r="BG102" i="3"/>
  <c r="BP102" i="3" s="1"/>
  <c r="BH102" i="3"/>
  <c r="BQ102" i="3" s="1"/>
  <c r="BJ102" i="3"/>
  <c r="BS102" i="3" s="1"/>
  <c r="BK102" i="3"/>
  <c r="BT102" i="3" s="1"/>
  <c r="BF103" i="3"/>
  <c r="BG103" i="3"/>
  <c r="BP103" i="3" s="1"/>
  <c r="BH103" i="3"/>
  <c r="BQ103" i="3" s="1"/>
  <c r="BJ103" i="3"/>
  <c r="BK103" i="3"/>
  <c r="BT103" i="3" s="1"/>
  <c r="BF104" i="3"/>
  <c r="BO104" i="3" s="1"/>
  <c r="BG104" i="3"/>
  <c r="BP104" i="3" s="1"/>
  <c r="BH104" i="3"/>
  <c r="BQ104" i="3" s="1"/>
  <c r="BJ104" i="3"/>
  <c r="BK104" i="3"/>
  <c r="BT104" i="3" s="1"/>
  <c r="BF105" i="3"/>
  <c r="BG105" i="3"/>
  <c r="BP105" i="3" s="1"/>
  <c r="BH105" i="3"/>
  <c r="BQ105" i="3" s="1"/>
  <c r="BJ105" i="3"/>
  <c r="BK105" i="3"/>
  <c r="BT105" i="3" s="1"/>
  <c r="BF106" i="3"/>
  <c r="BG106" i="3"/>
  <c r="BP106" i="3" s="1"/>
  <c r="BH106" i="3"/>
  <c r="BQ106" i="3" s="1"/>
  <c r="BJ106" i="3"/>
  <c r="BS106" i="3" s="1"/>
  <c r="BK106" i="3"/>
  <c r="BT106" i="3" s="1"/>
  <c r="BF107" i="3"/>
  <c r="BG107" i="3"/>
  <c r="BP107" i="3" s="1"/>
  <c r="BH107" i="3"/>
  <c r="BQ107" i="3" s="1"/>
  <c r="BJ107" i="3"/>
  <c r="BK107" i="3"/>
  <c r="BT107" i="3" s="1"/>
  <c r="BF108" i="3"/>
  <c r="BO108" i="3" s="1"/>
  <c r="BG108" i="3"/>
  <c r="BP108" i="3" s="1"/>
  <c r="BH108" i="3"/>
  <c r="BQ108" i="3" s="1"/>
  <c r="BJ108" i="3"/>
  <c r="BK108" i="3"/>
  <c r="BT108" i="3" s="1"/>
  <c r="BF109" i="3"/>
  <c r="BG109" i="3"/>
  <c r="BP109" i="3" s="1"/>
  <c r="BH109" i="3"/>
  <c r="BQ109" i="3" s="1"/>
  <c r="BJ109" i="3"/>
  <c r="BK109" i="3"/>
  <c r="BT109" i="3" s="1"/>
  <c r="BF110" i="3"/>
  <c r="BG110" i="3"/>
  <c r="BP110" i="3" s="1"/>
  <c r="BH110" i="3"/>
  <c r="BQ110" i="3" s="1"/>
  <c r="BJ110" i="3"/>
  <c r="BK110" i="3"/>
  <c r="BT110" i="3" s="1"/>
  <c r="BF111" i="3"/>
  <c r="BG111" i="3"/>
  <c r="BP111" i="3" s="1"/>
  <c r="BH111" i="3"/>
  <c r="BQ111" i="3" s="1"/>
  <c r="BJ111" i="3"/>
  <c r="BK111" i="3"/>
  <c r="BT111" i="3" s="1"/>
  <c r="BF112" i="3"/>
  <c r="BO112" i="3" s="1"/>
  <c r="BG112" i="3"/>
  <c r="BP112" i="3" s="1"/>
  <c r="BH112" i="3"/>
  <c r="BQ112" i="3" s="1"/>
  <c r="BJ112" i="3"/>
  <c r="BK112" i="3"/>
  <c r="BT112" i="3" s="1"/>
  <c r="BF113" i="3"/>
  <c r="BG113" i="3"/>
  <c r="BP113" i="3" s="1"/>
  <c r="BH113" i="3"/>
  <c r="BQ113" i="3" s="1"/>
  <c r="BJ113" i="3"/>
  <c r="BK113" i="3"/>
  <c r="BT113" i="3" s="1"/>
  <c r="BF114" i="3"/>
  <c r="BG114" i="3"/>
  <c r="BP114" i="3" s="1"/>
  <c r="BH114" i="3"/>
  <c r="BQ114" i="3" s="1"/>
  <c r="BJ114" i="3"/>
  <c r="BT114" i="3"/>
  <c r="BF115" i="3"/>
  <c r="BG115" i="3"/>
  <c r="BP115" i="3" s="1"/>
  <c r="BH115" i="3"/>
  <c r="BQ115" i="3" s="1"/>
  <c r="BJ115" i="3"/>
  <c r="BK115" i="3"/>
  <c r="BT115" i="3" s="1"/>
  <c r="BF116" i="3"/>
  <c r="BG116" i="3"/>
  <c r="BP116" i="3" s="1"/>
  <c r="BH116" i="3"/>
  <c r="BQ116" i="3" s="1"/>
  <c r="BJ116" i="3"/>
  <c r="BK116" i="3"/>
  <c r="BT116" i="3" s="1"/>
  <c r="BF117" i="3"/>
  <c r="BG117" i="3"/>
  <c r="BP117" i="3" s="1"/>
  <c r="BH117" i="3"/>
  <c r="BQ117" i="3" s="1"/>
  <c r="BJ117" i="3"/>
  <c r="BK117" i="3"/>
  <c r="BT117" i="3" s="1"/>
  <c r="BF118" i="3"/>
  <c r="BG118" i="3"/>
  <c r="BP118" i="3" s="1"/>
  <c r="BH118" i="3"/>
  <c r="BQ118" i="3" s="1"/>
  <c r="BJ118" i="3"/>
  <c r="BK118" i="3"/>
  <c r="BT118" i="3" s="1"/>
  <c r="BL38" i="3" l="1"/>
  <c r="BU38" i="3" s="1"/>
  <c r="BI54" i="3"/>
  <c r="BR54" i="3" s="1"/>
  <c r="BI52" i="3"/>
  <c r="BR52" i="3" s="1"/>
  <c r="BI58" i="3"/>
  <c r="BR58" i="3" s="1"/>
  <c r="BI56" i="3"/>
  <c r="BI35" i="3"/>
  <c r="BR35" i="3" s="1"/>
  <c r="BI40" i="3"/>
  <c r="BR40" i="3" s="1"/>
  <c r="BI19" i="3"/>
  <c r="BR19" i="3" s="1"/>
  <c r="BL15" i="3"/>
  <c r="BU15" i="3" s="1"/>
  <c r="BO54" i="3"/>
  <c r="BI73" i="3"/>
  <c r="BR73" i="3" s="1"/>
  <c r="BI70" i="3"/>
  <c r="BR70" i="3" s="1"/>
  <c r="BL63" i="3"/>
  <c r="BU63" i="3" s="1"/>
  <c r="BI60" i="3"/>
  <c r="BR60" i="3" s="1"/>
  <c r="BI59" i="3"/>
  <c r="BR59" i="3" s="1"/>
  <c r="BL54" i="3"/>
  <c r="BU54" i="3" s="1"/>
  <c r="BL40" i="3"/>
  <c r="BU40" i="3" s="1"/>
  <c r="BI37" i="3"/>
  <c r="BR37" i="3" s="1"/>
  <c r="BI36" i="3"/>
  <c r="BR36" i="3" s="1"/>
  <c r="BL24" i="3"/>
  <c r="BU24" i="3" s="1"/>
  <c r="BI21" i="3"/>
  <c r="BR21" i="3" s="1"/>
  <c r="BI15" i="3"/>
  <c r="BR15" i="3" s="1"/>
  <c r="BO36" i="3"/>
  <c r="BP56" i="3"/>
  <c r="BO59" i="3"/>
  <c r="BL87" i="3"/>
  <c r="BU87" i="3" s="1"/>
  <c r="BL79" i="3"/>
  <c r="BU79" i="3" s="1"/>
  <c r="BL56" i="3"/>
  <c r="BU56" i="3" s="1"/>
  <c r="BL47" i="3"/>
  <c r="BL39" i="3"/>
  <c r="BU39" i="3" s="1"/>
  <c r="BI38" i="3"/>
  <c r="BR38" i="3" s="1"/>
  <c r="BI28" i="3"/>
  <c r="BR28" i="3" s="1"/>
  <c r="BI27" i="3"/>
  <c r="BR27" i="3" s="1"/>
  <c r="BI22" i="3"/>
  <c r="BR22" i="3" s="1"/>
  <c r="BO38" i="3"/>
  <c r="BS39" i="3"/>
  <c r="BS40" i="3"/>
  <c r="BS15" i="3"/>
  <c r="BI94" i="3"/>
  <c r="BR94" i="3" s="1"/>
  <c r="BI65" i="3"/>
  <c r="BR65" i="3" s="1"/>
  <c r="BI50" i="3"/>
  <c r="BI44" i="3"/>
  <c r="BR44" i="3" s="1"/>
  <c r="BI29" i="3"/>
  <c r="BR29" i="3" s="1"/>
  <c r="BO22" i="3"/>
  <c r="BP28" i="3"/>
  <c r="BS56" i="3"/>
  <c r="BO90" i="3"/>
  <c r="BI90" i="3"/>
  <c r="BR90" i="3" s="1"/>
  <c r="BO74" i="3"/>
  <c r="BI74" i="3"/>
  <c r="BR74" i="3" s="1"/>
  <c r="BL66" i="3"/>
  <c r="BU66" i="3" s="1"/>
  <c r="BS66" i="3"/>
  <c r="BP53" i="3"/>
  <c r="BI53" i="3"/>
  <c r="BO45" i="3"/>
  <c r="BI45" i="3"/>
  <c r="BO41" i="3"/>
  <c r="BI41" i="3"/>
  <c r="BO31" i="3"/>
  <c r="BI31" i="3"/>
  <c r="BR31" i="3" s="1"/>
  <c r="BL22" i="3"/>
  <c r="BU22" i="3" s="1"/>
  <c r="BS22" i="3"/>
  <c r="BL97" i="3"/>
  <c r="BU97" i="3" s="1"/>
  <c r="BS97" i="3"/>
  <c r="BI93" i="3"/>
  <c r="BO93" i="3"/>
  <c r="BI92" i="3"/>
  <c r="BR92" i="3" s="1"/>
  <c r="BP92" i="3"/>
  <c r="BO77" i="3"/>
  <c r="BI77" i="3"/>
  <c r="BI76" i="3"/>
  <c r="BR76" i="3" s="1"/>
  <c r="BP76" i="3"/>
  <c r="BO68" i="3"/>
  <c r="BI68" i="3"/>
  <c r="BR68" i="3" s="1"/>
  <c r="BL62" i="3"/>
  <c r="BU62" i="3" s="1"/>
  <c r="BS62" i="3"/>
  <c r="BI61" i="3"/>
  <c r="BL45" i="3"/>
  <c r="BU45" i="3" s="1"/>
  <c r="BS45" i="3"/>
  <c r="BL31" i="3"/>
  <c r="BS31" i="3"/>
  <c r="BL25" i="3"/>
  <c r="BU25" i="3" s="1"/>
  <c r="BS25" i="3"/>
  <c r="BS87" i="3"/>
  <c r="BL116" i="3"/>
  <c r="BU116" i="3" s="1"/>
  <c r="BS116" i="3"/>
  <c r="BI115" i="3"/>
  <c r="BO115" i="3"/>
  <c r="BL112" i="3"/>
  <c r="BU112" i="3" s="1"/>
  <c r="BS112" i="3"/>
  <c r="BI111" i="3"/>
  <c r="BO111" i="3"/>
  <c r="BL108" i="3"/>
  <c r="BU108" i="3" s="1"/>
  <c r="BS108" i="3"/>
  <c r="BI107" i="3"/>
  <c r="BO107" i="3"/>
  <c r="BL104" i="3"/>
  <c r="BU104" i="3" s="1"/>
  <c r="BS104" i="3"/>
  <c r="BI103" i="3"/>
  <c r="BO103" i="3"/>
  <c r="BL100" i="3"/>
  <c r="BU100" i="3" s="1"/>
  <c r="BS100" i="3"/>
  <c r="BI99" i="3"/>
  <c r="BO99" i="3"/>
  <c r="BL77" i="3"/>
  <c r="BU77" i="3" s="1"/>
  <c r="BS77" i="3"/>
  <c r="BO64" i="3"/>
  <c r="BI64" i="3"/>
  <c r="BL48" i="3"/>
  <c r="BU48" i="3" s="1"/>
  <c r="BS48" i="3"/>
  <c r="BO43" i="3"/>
  <c r="BI43" i="3"/>
  <c r="BR43" i="3" s="1"/>
  <c r="BP26" i="3"/>
  <c r="BI26" i="3"/>
  <c r="BI20" i="3"/>
  <c r="BO17" i="3"/>
  <c r="BI17" i="3"/>
  <c r="BI14" i="3"/>
  <c r="BO14" i="3"/>
  <c r="BI71" i="3"/>
  <c r="BP71" i="3"/>
  <c r="BO66" i="3"/>
  <c r="BI66" i="3"/>
  <c r="BI55" i="3"/>
  <c r="BR55" i="3" s="1"/>
  <c r="BO55" i="3"/>
  <c r="BI51" i="3"/>
  <c r="BR51" i="3" s="1"/>
  <c r="BP51" i="3"/>
  <c r="BL43" i="3"/>
  <c r="BS43" i="3"/>
  <c r="BL17" i="3"/>
  <c r="BU17" i="3" s="1"/>
  <c r="BS17" i="3"/>
  <c r="BS79" i="3"/>
  <c r="BL111" i="3"/>
  <c r="BU111" i="3" s="1"/>
  <c r="BI110" i="3"/>
  <c r="BR110" i="3" s="1"/>
  <c r="BL103" i="3"/>
  <c r="BU103" i="3" s="1"/>
  <c r="BI102" i="3"/>
  <c r="BR102" i="3" s="1"/>
  <c r="BO102" i="3"/>
  <c r="BL93" i="3"/>
  <c r="BU93" i="3" s="1"/>
  <c r="BS93" i="3"/>
  <c r="BI88" i="3"/>
  <c r="BR88" i="3" s="1"/>
  <c r="BL81" i="3"/>
  <c r="BU81" i="3" s="1"/>
  <c r="BS81" i="3"/>
  <c r="BI118" i="3"/>
  <c r="BR118" i="3" s="1"/>
  <c r="BL115" i="3"/>
  <c r="BU115" i="3" s="1"/>
  <c r="BS115" i="3"/>
  <c r="BI114" i="3"/>
  <c r="BR114" i="3" s="1"/>
  <c r="BL107" i="3"/>
  <c r="BU107" i="3" s="1"/>
  <c r="BS107" i="3"/>
  <c r="BI106" i="3"/>
  <c r="BR106" i="3" s="1"/>
  <c r="BO106" i="3"/>
  <c r="BL99" i="3"/>
  <c r="BU99" i="3" s="1"/>
  <c r="BI95" i="3"/>
  <c r="BO95" i="3"/>
  <c r="BI89" i="3"/>
  <c r="BO89" i="3"/>
  <c r="BL83" i="3"/>
  <c r="BU83" i="3" s="1"/>
  <c r="BI80" i="3"/>
  <c r="BR80" i="3" s="1"/>
  <c r="BP80" i="3"/>
  <c r="BI75" i="3"/>
  <c r="BL64" i="3"/>
  <c r="BU64" i="3" s="1"/>
  <c r="BS64" i="3"/>
  <c r="BL61" i="3"/>
  <c r="BU61" i="3" s="1"/>
  <c r="BL59" i="3"/>
  <c r="BO57" i="3"/>
  <c r="BI57" i="3"/>
  <c r="BL55" i="3"/>
  <c r="BL41" i="3"/>
  <c r="BU41" i="3" s="1"/>
  <c r="BS41" i="3"/>
  <c r="BL33" i="3"/>
  <c r="BU33" i="3" s="1"/>
  <c r="BS33" i="3"/>
  <c r="BI30" i="3"/>
  <c r="BL20" i="3"/>
  <c r="BU20" i="3" s="1"/>
  <c r="BL18" i="3"/>
  <c r="BU18" i="3" s="1"/>
  <c r="BI16" i="3"/>
  <c r="BL14" i="3"/>
  <c r="BU14" i="3" s="1"/>
  <c r="BO20" i="3"/>
  <c r="BS24" i="3"/>
  <c r="BP88" i="3"/>
  <c r="BL118" i="3"/>
  <c r="BU118" i="3" s="1"/>
  <c r="BS118" i="3"/>
  <c r="BI117" i="3"/>
  <c r="BO117" i="3"/>
  <c r="BL114" i="3"/>
  <c r="BU114" i="3" s="1"/>
  <c r="BI113" i="3"/>
  <c r="BO113" i="3"/>
  <c r="BL110" i="3"/>
  <c r="BU110" i="3" s="1"/>
  <c r="BS110" i="3"/>
  <c r="BI109" i="3"/>
  <c r="BO109" i="3"/>
  <c r="BL106" i="3"/>
  <c r="BU106" i="3" s="1"/>
  <c r="BI105" i="3"/>
  <c r="BO105" i="3"/>
  <c r="BL102" i="3"/>
  <c r="BU102" i="3" s="1"/>
  <c r="BI101" i="3"/>
  <c r="BO101" i="3"/>
  <c r="BL95" i="3"/>
  <c r="BU95" i="3" s="1"/>
  <c r="BI91" i="3"/>
  <c r="BO91" i="3"/>
  <c r="BL89" i="3"/>
  <c r="BU89" i="3" s="1"/>
  <c r="BS89" i="3"/>
  <c r="BI86" i="3"/>
  <c r="BR86" i="3" s="1"/>
  <c r="BI85" i="3"/>
  <c r="BO85" i="3"/>
  <c r="BI84" i="3"/>
  <c r="BR84" i="3" s="1"/>
  <c r="BI81" i="3"/>
  <c r="BI79" i="3"/>
  <c r="BI78" i="3"/>
  <c r="BR78" i="3" s="1"/>
  <c r="BL71" i="3"/>
  <c r="BU71" i="3" s="1"/>
  <c r="BS71" i="3"/>
  <c r="BL69" i="3"/>
  <c r="BU69" i="3" s="1"/>
  <c r="BL67" i="3"/>
  <c r="BS67" i="3"/>
  <c r="BL57" i="3"/>
  <c r="BU57" i="3" s="1"/>
  <c r="BS57" i="3"/>
  <c r="BL49" i="3"/>
  <c r="BU49" i="3" s="1"/>
  <c r="BS49" i="3"/>
  <c r="BI47" i="3"/>
  <c r="BR47" i="3" s="1"/>
  <c r="BI46" i="3"/>
  <c r="BL36" i="3"/>
  <c r="BU36" i="3" s="1"/>
  <c r="BL34" i="3"/>
  <c r="BU34" i="3" s="1"/>
  <c r="BI33" i="3"/>
  <c r="BI32" i="3"/>
  <c r="BL30" i="3"/>
  <c r="BU30" i="3" s="1"/>
  <c r="BI24" i="3"/>
  <c r="BI23" i="3"/>
  <c r="BR23" i="3" s="1"/>
  <c r="BI18" i="3"/>
  <c r="BL16" i="3"/>
  <c r="BU16" i="3" s="1"/>
  <c r="BS14" i="3"/>
  <c r="BS18" i="3"/>
  <c r="BO30" i="3"/>
  <c r="BS34" i="3"/>
  <c r="BO40" i="3"/>
  <c r="BO46" i="3"/>
  <c r="BS47" i="3"/>
  <c r="BS59" i="3"/>
  <c r="BS61" i="3"/>
  <c r="BS63" i="3"/>
  <c r="BS69" i="3"/>
  <c r="BO110" i="3"/>
  <c r="BS111" i="3"/>
  <c r="BO114" i="3"/>
  <c r="BL117" i="3"/>
  <c r="BU117" i="3" s="1"/>
  <c r="BS117" i="3"/>
  <c r="BI116" i="3"/>
  <c r="BR116" i="3" s="1"/>
  <c r="BO116" i="3"/>
  <c r="BL113" i="3"/>
  <c r="BU113" i="3" s="1"/>
  <c r="BS113" i="3"/>
  <c r="BI112" i="3"/>
  <c r="BR112" i="3" s="1"/>
  <c r="BL109" i="3"/>
  <c r="BU109" i="3" s="1"/>
  <c r="BS109" i="3"/>
  <c r="BI108" i="3"/>
  <c r="BR108" i="3" s="1"/>
  <c r="BL105" i="3"/>
  <c r="BU105" i="3" s="1"/>
  <c r="BS105" i="3"/>
  <c r="BI104" i="3"/>
  <c r="BR104" i="3" s="1"/>
  <c r="BL101" i="3"/>
  <c r="BU101" i="3" s="1"/>
  <c r="BS101" i="3"/>
  <c r="BI100" i="3"/>
  <c r="BR100" i="3" s="1"/>
  <c r="BO100" i="3"/>
  <c r="BI98" i="3"/>
  <c r="BR98" i="3" s="1"/>
  <c r="BI97" i="3"/>
  <c r="BO97" i="3"/>
  <c r="BI96" i="3"/>
  <c r="BR96" i="3" s="1"/>
  <c r="BP96" i="3"/>
  <c r="BL91" i="3"/>
  <c r="BU91" i="3" s="1"/>
  <c r="BS91" i="3"/>
  <c r="BI87" i="3"/>
  <c r="BO87" i="3"/>
  <c r="BL85" i="3"/>
  <c r="BU85" i="3" s="1"/>
  <c r="BS85" i="3"/>
  <c r="BI83" i="3"/>
  <c r="BP83" i="3"/>
  <c r="BI82" i="3"/>
  <c r="BR82" i="3" s="1"/>
  <c r="BL75" i="3"/>
  <c r="BU75" i="3" s="1"/>
  <c r="BS75" i="3"/>
  <c r="BL73" i="3"/>
  <c r="BU73" i="3" s="1"/>
  <c r="BS73" i="3"/>
  <c r="BI72" i="3"/>
  <c r="BR72" i="3" s="1"/>
  <c r="BI69" i="3"/>
  <c r="BI67" i="3"/>
  <c r="BR67" i="3" s="1"/>
  <c r="BL65" i="3"/>
  <c r="BU65" i="3" s="1"/>
  <c r="BI63" i="3"/>
  <c r="BR63" i="3" s="1"/>
  <c r="BI62" i="3"/>
  <c r="BL52" i="3"/>
  <c r="BU52" i="3" s="1"/>
  <c r="BL50" i="3"/>
  <c r="BU50" i="3" s="1"/>
  <c r="BI49" i="3"/>
  <c r="BI48" i="3"/>
  <c r="BL46" i="3"/>
  <c r="BU46" i="3" s="1"/>
  <c r="BI42" i="3"/>
  <c r="BI39" i="3"/>
  <c r="BR39" i="3" s="1"/>
  <c r="BI34" i="3"/>
  <c r="BL32" i="3"/>
  <c r="BU32" i="3" s="1"/>
  <c r="BL29" i="3"/>
  <c r="BU29" i="3" s="1"/>
  <c r="BS29" i="3"/>
  <c r="BL27" i="3"/>
  <c r="BO25" i="3"/>
  <c r="BI25" i="3"/>
  <c r="BL23" i="3"/>
  <c r="BS16" i="3"/>
  <c r="BS32" i="3"/>
  <c r="BS38" i="3"/>
  <c r="BS54" i="3"/>
  <c r="BP75" i="3"/>
  <c r="BP79" i="3"/>
  <c r="BS95" i="3"/>
  <c r="BS99" i="3"/>
  <c r="BS103" i="3"/>
  <c r="BS114" i="3"/>
  <c r="BO118" i="3"/>
  <c r="BL60" i="3"/>
  <c r="BU60" i="3" s="1"/>
  <c r="BS60" i="3"/>
  <c r="BL58" i="3"/>
  <c r="BU58" i="3" s="1"/>
  <c r="BL53" i="3"/>
  <c r="BU53" i="3" s="1"/>
  <c r="BL51" i="3"/>
  <c r="BL44" i="3"/>
  <c r="BU44" i="3" s="1"/>
  <c r="BL42" i="3"/>
  <c r="BU42" i="3" s="1"/>
  <c r="BL37" i="3"/>
  <c r="BU37" i="3" s="1"/>
  <c r="BL35" i="3"/>
  <c r="BL28" i="3"/>
  <c r="BU28" i="3" s="1"/>
  <c r="BL26" i="3"/>
  <c r="BU26" i="3" s="1"/>
  <c r="BL21" i="3"/>
  <c r="BU21" i="3" s="1"/>
  <c r="BL19" i="3"/>
  <c r="BS21" i="3"/>
  <c r="BS37" i="3"/>
  <c r="BS53" i="3"/>
  <c r="BL96" i="3"/>
  <c r="BU96" i="3" s="1"/>
  <c r="BL92" i="3"/>
  <c r="BU92" i="3" s="1"/>
  <c r="BL88" i="3"/>
  <c r="BL84" i="3"/>
  <c r="BL80" i="3"/>
  <c r="BU80" i="3" s="1"/>
  <c r="BL76" i="3"/>
  <c r="BU76" i="3" s="1"/>
  <c r="BL72" i="3"/>
  <c r="BU72" i="3" s="1"/>
  <c r="BL68" i="3"/>
  <c r="BL98" i="3"/>
  <c r="BL94" i="3"/>
  <c r="BL90" i="3"/>
  <c r="BU90" i="3" s="1"/>
  <c r="BL86" i="3"/>
  <c r="BL82" i="3"/>
  <c r="BU82" i="3" s="1"/>
  <c r="BL78" i="3"/>
  <c r="BL74" i="3"/>
  <c r="BL70" i="3"/>
  <c r="BM114" i="3" l="1"/>
  <c r="BM15" i="3"/>
  <c r="BM56" i="3"/>
  <c r="BR56" i="3"/>
  <c r="BM54" i="3"/>
  <c r="BM60" i="3"/>
  <c r="BM38" i="3"/>
  <c r="BM50" i="3"/>
  <c r="BM47" i="3"/>
  <c r="BM102" i="3"/>
  <c r="BM82" i="3"/>
  <c r="BU47" i="3"/>
  <c r="BM22" i="3"/>
  <c r="BM40" i="3"/>
  <c r="BM104" i="3"/>
  <c r="BR50" i="3"/>
  <c r="BM29" i="3"/>
  <c r="BM106" i="3"/>
  <c r="BM28" i="3"/>
  <c r="BM39" i="3"/>
  <c r="BM65" i="3"/>
  <c r="BM74" i="3"/>
  <c r="BU74" i="3"/>
  <c r="BM109" i="3"/>
  <c r="BR109" i="3"/>
  <c r="BM64" i="3"/>
  <c r="BR64" i="3"/>
  <c r="BM53" i="3"/>
  <c r="BR53" i="3"/>
  <c r="BM88" i="3"/>
  <c r="BU88" i="3"/>
  <c r="BM90" i="3"/>
  <c r="BM72" i="3"/>
  <c r="BM113" i="3"/>
  <c r="BR113" i="3"/>
  <c r="BM59" i="3"/>
  <c r="BU59" i="3"/>
  <c r="BM75" i="3"/>
  <c r="BR75" i="3"/>
  <c r="BM20" i="3"/>
  <c r="BR20" i="3"/>
  <c r="BM41" i="3"/>
  <c r="BR41" i="3"/>
  <c r="BM45" i="3"/>
  <c r="BR45" i="3"/>
  <c r="BM78" i="3"/>
  <c r="BU78" i="3"/>
  <c r="BM94" i="3"/>
  <c r="BU94" i="3"/>
  <c r="BM118" i="3"/>
  <c r="BM108" i="3"/>
  <c r="BM27" i="3"/>
  <c r="BU27" i="3"/>
  <c r="BM34" i="3"/>
  <c r="BR34" i="3"/>
  <c r="BM48" i="3"/>
  <c r="BR48" i="3"/>
  <c r="BM62" i="3"/>
  <c r="BR62" i="3"/>
  <c r="BR69" i="3"/>
  <c r="BM69" i="3"/>
  <c r="BM83" i="3"/>
  <c r="BR83" i="3"/>
  <c r="BM87" i="3"/>
  <c r="BR87" i="3"/>
  <c r="BM18" i="3"/>
  <c r="BR18" i="3"/>
  <c r="BM32" i="3"/>
  <c r="BR32" i="3"/>
  <c r="BM46" i="3"/>
  <c r="BR46" i="3"/>
  <c r="BM67" i="3"/>
  <c r="BU67" i="3"/>
  <c r="BM105" i="3"/>
  <c r="BR105" i="3"/>
  <c r="BM55" i="3"/>
  <c r="BU55" i="3"/>
  <c r="BM89" i="3"/>
  <c r="BR89" i="3"/>
  <c r="BM58" i="3"/>
  <c r="BM71" i="3"/>
  <c r="BR71" i="3"/>
  <c r="BM14" i="3"/>
  <c r="BR14" i="3"/>
  <c r="BM21" i="3"/>
  <c r="BM98" i="3"/>
  <c r="BU98" i="3"/>
  <c r="BM76" i="3"/>
  <c r="BM96" i="3"/>
  <c r="BM112" i="3"/>
  <c r="BM23" i="3"/>
  <c r="BU23" i="3"/>
  <c r="BM49" i="3"/>
  <c r="BR49" i="3"/>
  <c r="BM33" i="3"/>
  <c r="BR33" i="3"/>
  <c r="BM79" i="3"/>
  <c r="BR79" i="3"/>
  <c r="BM85" i="3"/>
  <c r="BR85" i="3"/>
  <c r="BM101" i="3"/>
  <c r="BR101" i="3"/>
  <c r="BM30" i="3"/>
  <c r="BR30" i="3"/>
  <c r="BR57" i="3"/>
  <c r="BM57" i="3"/>
  <c r="BM66" i="3"/>
  <c r="BR66" i="3"/>
  <c r="BM73" i="3"/>
  <c r="BM17" i="3"/>
  <c r="BR17" i="3"/>
  <c r="BM36" i="3"/>
  <c r="BM31" i="3"/>
  <c r="BU31" i="3"/>
  <c r="BR77" i="3"/>
  <c r="BM77" i="3"/>
  <c r="BM70" i="3"/>
  <c r="BU70" i="3"/>
  <c r="BM86" i="3"/>
  <c r="BU86" i="3"/>
  <c r="BM68" i="3"/>
  <c r="BU68" i="3"/>
  <c r="BM84" i="3"/>
  <c r="BU84" i="3"/>
  <c r="BM80" i="3"/>
  <c r="BM110" i="3"/>
  <c r="BM92" i="3"/>
  <c r="BM100" i="3"/>
  <c r="BM116" i="3"/>
  <c r="BM19" i="3"/>
  <c r="BU19" i="3"/>
  <c r="BM35" i="3"/>
  <c r="BU35" i="3"/>
  <c r="BM51" i="3"/>
  <c r="BU51" i="3"/>
  <c r="BR25" i="3"/>
  <c r="BM25" i="3"/>
  <c r="BM42" i="3"/>
  <c r="BR42" i="3"/>
  <c r="BM97" i="3"/>
  <c r="BR97" i="3"/>
  <c r="BM24" i="3"/>
  <c r="BR24" i="3"/>
  <c r="BM63" i="3"/>
  <c r="BM81" i="3"/>
  <c r="BR81" i="3"/>
  <c r="BM91" i="3"/>
  <c r="BR91" i="3"/>
  <c r="BM117" i="3"/>
  <c r="BR117" i="3"/>
  <c r="BM16" i="3"/>
  <c r="BR16" i="3"/>
  <c r="BM95" i="3"/>
  <c r="BR95" i="3"/>
  <c r="BM43" i="3"/>
  <c r="BU43" i="3"/>
  <c r="BM26" i="3"/>
  <c r="BR26" i="3"/>
  <c r="BM37" i="3"/>
  <c r="BM99" i="3"/>
  <c r="BR99" i="3"/>
  <c r="BM103" i="3"/>
  <c r="BR103" i="3"/>
  <c r="BM107" i="3"/>
  <c r="BR107" i="3"/>
  <c r="BM111" i="3"/>
  <c r="BR111" i="3"/>
  <c r="BM115" i="3"/>
  <c r="BR115" i="3"/>
  <c r="BR61" i="3"/>
  <c r="BM61" i="3"/>
  <c r="BM93" i="3"/>
  <c r="BR93" i="3"/>
  <c r="BM44" i="3"/>
  <c r="BM52" i="3"/>
  <c r="K10" i="1" l="1"/>
  <c r="J10" i="1"/>
  <c r="AM96" i="1" l="1"/>
  <c r="AM95" i="1"/>
  <c r="AM94" i="1"/>
  <c r="AM93" i="1"/>
  <c r="AM92" i="1"/>
  <c r="AM91" i="1"/>
  <c r="AM90" i="1"/>
  <c r="AM87" i="1"/>
  <c r="AM85" i="1"/>
  <c r="AM84" i="1"/>
  <c r="AM78" i="1"/>
  <c r="AM67" i="1"/>
  <c r="AM66" i="1"/>
  <c r="AM59" i="1"/>
  <c r="AM24" i="1" l="1"/>
  <c r="AO19" i="1" l="1"/>
  <c r="AO21" i="1"/>
  <c r="AO31" i="1"/>
  <c r="AO32" i="1"/>
  <c r="AO33" i="1"/>
  <c r="AO34" i="1"/>
  <c r="AO36" i="1"/>
  <c r="AO37" i="1"/>
  <c r="AO40" i="1"/>
  <c r="AO41" i="1"/>
  <c r="AO42" i="1"/>
  <c r="AO43" i="1"/>
  <c r="AO44" i="1"/>
  <c r="AO45" i="1"/>
  <c r="AO46" i="1"/>
  <c r="AO47" i="1"/>
  <c r="AO48" i="1"/>
  <c r="AO49" i="1"/>
  <c r="AO50" i="1"/>
  <c r="AO26" i="1"/>
  <c r="AO27" i="1"/>
  <c r="AM19" i="1"/>
  <c r="AM21" i="1"/>
  <c r="AM26" i="1"/>
  <c r="AM27" i="1"/>
  <c r="AM31" i="1"/>
  <c r="AM32" i="1"/>
  <c r="AM33" i="1"/>
  <c r="AM34" i="1"/>
  <c r="AM36" i="1"/>
  <c r="AM37" i="1"/>
  <c r="AM40" i="1"/>
  <c r="AM41" i="1"/>
  <c r="AM42" i="1"/>
  <c r="AM43" i="1"/>
  <c r="AM44" i="1"/>
  <c r="AM45" i="1"/>
  <c r="AO24" i="1" l="1"/>
  <c r="J85" i="1" l="1"/>
  <c r="K85" i="1" s="1"/>
  <c r="K34" i="1" l="1"/>
  <c r="K35" i="1" l="1"/>
  <c r="BN25" i="2" l="1"/>
  <c r="BN26" i="2"/>
  <c r="BN27" i="2"/>
  <c r="BN28" i="2"/>
  <c r="BN29" i="2"/>
  <c r="BN30" i="2"/>
  <c r="BN31" i="2"/>
  <c r="BN32" i="2"/>
  <c r="BN33" i="2"/>
  <c r="BN34" i="2"/>
  <c r="BN35" i="2"/>
  <c r="BN36" i="2"/>
  <c r="BN37" i="2"/>
  <c r="BN38" i="2"/>
  <c r="BN39" i="2"/>
  <c r="BN40" i="2"/>
  <c r="BN41" i="2"/>
  <c r="BN42" i="2"/>
  <c r="BO810" i="2" l="1"/>
  <c r="BO809" i="2"/>
  <c r="BO808" i="2"/>
  <c r="BO807" i="2"/>
  <c r="BO806" i="2"/>
  <c r="BO805" i="2"/>
  <c r="BO804" i="2"/>
  <c r="BO803" i="2"/>
  <c r="BO802" i="2"/>
  <c r="BO801" i="2"/>
  <c r="BO800" i="2"/>
  <c r="BO799" i="2"/>
  <c r="BO798" i="2"/>
  <c r="BO797" i="2"/>
  <c r="BO796" i="2"/>
  <c r="BO795" i="2"/>
  <c r="BO794" i="2"/>
  <c r="BO793" i="2"/>
  <c r="BO792" i="2"/>
  <c r="BO791" i="2"/>
  <c r="BO790" i="2"/>
  <c r="BO789" i="2"/>
  <c r="BO788" i="2"/>
  <c r="BO787" i="2"/>
  <c r="BO786" i="2"/>
  <c r="BO785" i="2"/>
  <c r="BO784" i="2"/>
  <c r="BO783" i="2"/>
  <c r="BO782" i="2"/>
  <c r="BO781" i="2"/>
  <c r="BO780" i="2"/>
  <c r="BO778" i="2"/>
  <c r="BO777" i="2"/>
  <c r="BO776" i="2"/>
  <c r="BO775" i="2"/>
  <c r="BO774" i="2"/>
  <c r="BO773" i="2"/>
  <c r="BO772" i="2"/>
  <c r="BO771" i="2"/>
  <c r="BO770" i="2"/>
  <c r="BO769" i="2"/>
  <c r="BO768" i="2"/>
  <c r="BO767" i="2"/>
  <c r="BO765" i="2"/>
  <c r="BO763" i="2"/>
  <c r="BK70" i="2"/>
  <c r="BJ70" i="2"/>
  <c r="BH70" i="2"/>
  <c r="BH67" i="2" s="1"/>
  <c r="BG70" i="2"/>
  <c r="BG67" i="2" s="1"/>
  <c r="BF70" i="2"/>
  <c r="BF67" i="2" s="1"/>
  <c r="BK13" i="3"/>
  <c r="BT13" i="3" s="1"/>
  <c r="BJ13" i="3"/>
  <c r="BS13" i="3" s="1"/>
  <c r="BH13" i="3"/>
  <c r="BQ13" i="3" s="1"/>
  <c r="BG13" i="3"/>
  <c r="BP13" i="3" s="1"/>
  <c r="BF13" i="3"/>
  <c r="BO13" i="3" s="1"/>
  <c r="BS70" i="2" l="1"/>
  <c r="BJ67" i="2"/>
  <c r="BT70" i="2"/>
  <c r="BK67" i="2"/>
  <c r="BL70" i="2"/>
  <c r="BI70" i="2"/>
  <c r="BI13" i="3"/>
  <c r="BR13" i="3" s="1"/>
  <c r="BL13" i="3"/>
  <c r="BU13" i="3" s="1"/>
  <c r="BQ70" i="2" l="1"/>
  <c r="BI67" i="2"/>
  <c r="BR70" i="2"/>
  <c r="BL67" i="2"/>
  <c r="BM13" i="3"/>
  <c r="BM70" i="2"/>
  <c r="BM67" i="2" s="1"/>
  <c r="Y3" i="3" l="1"/>
  <c r="Y10" i="3"/>
  <c r="Y8" i="3"/>
  <c r="Y7" i="3"/>
  <c r="Y6" i="3"/>
  <c r="Y5" i="3"/>
  <c r="Y4" i="3"/>
  <c r="AV11" i="2"/>
  <c r="BM38" i="2"/>
  <c r="BM36" i="2"/>
  <c r="BM35" i="2"/>
  <c r="BM34" i="2"/>
  <c r="BM33" i="2"/>
  <c r="BM32" i="2"/>
  <c r="BM31" i="2"/>
  <c r="BM30" i="2"/>
  <c r="BM29" i="2"/>
  <c r="BM28" i="2"/>
  <c r="BM27" i="2"/>
  <c r="BM26" i="2"/>
  <c r="BM25" i="2"/>
  <c r="BM16" i="2"/>
  <c r="BM13" i="2"/>
  <c r="BM12" i="2"/>
  <c r="BM10" i="2"/>
  <c r="BM8" i="2"/>
  <c r="BM3" i="2"/>
  <c r="BA42" i="2"/>
  <c r="AZ42" i="2"/>
  <c r="AX42" i="2"/>
  <c r="AW42" i="2"/>
  <c r="AV42" i="2"/>
  <c r="BA41" i="2"/>
  <c r="AZ41" i="2"/>
  <c r="AX41" i="2"/>
  <c r="AW41" i="2"/>
  <c r="AV41" i="2"/>
  <c r="BA40" i="2"/>
  <c r="AZ40" i="2"/>
  <c r="AX40" i="2"/>
  <c r="AW40" i="2"/>
  <c r="AV40" i="2"/>
  <c r="BA39" i="2"/>
  <c r="AZ39" i="2"/>
  <c r="AX39" i="2"/>
  <c r="AW39" i="2"/>
  <c r="AV39" i="2"/>
  <c r="BB38" i="2"/>
  <c r="BA38" i="2"/>
  <c r="AZ38" i="2"/>
  <c r="AY38" i="2"/>
  <c r="AX38" i="2"/>
  <c r="AW38" i="2"/>
  <c r="AV38" i="2"/>
  <c r="BA37" i="2"/>
  <c r="AZ37" i="2"/>
  <c r="AX37" i="2"/>
  <c r="AW37" i="2"/>
  <c r="AV37" i="2"/>
  <c r="BB36" i="2"/>
  <c r="BA36" i="2"/>
  <c r="AZ36" i="2"/>
  <c r="AY36" i="2"/>
  <c r="AX36" i="2"/>
  <c r="AW36" i="2"/>
  <c r="AV36" i="2"/>
  <c r="BB35" i="2"/>
  <c r="BA35" i="2"/>
  <c r="AZ35" i="2"/>
  <c r="AY35" i="2"/>
  <c r="AX35" i="2"/>
  <c r="AW35" i="2"/>
  <c r="AV35" i="2"/>
  <c r="BB34" i="2"/>
  <c r="BA34" i="2"/>
  <c r="AZ34" i="2"/>
  <c r="AY34" i="2"/>
  <c r="AX34" i="2"/>
  <c r="AW34" i="2"/>
  <c r="AV34" i="2"/>
  <c r="BB33" i="2"/>
  <c r="BA33" i="2"/>
  <c r="AZ33" i="2"/>
  <c r="AY33" i="2"/>
  <c r="AX33" i="2"/>
  <c r="AW33" i="2"/>
  <c r="AV33" i="2"/>
  <c r="BB32" i="2"/>
  <c r="BA32" i="2"/>
  <c r="AZ32" i="2"/>
  <c r="AY32" i="2"/>
  <c r="AX32" i="2"/>
  <c r="AW32" i="2"/>
  <c r="AV32" i="2"/>
  <c r="BB31" i="2"/>
  <c r="BA31" i="2"/>
  <c r="AZ31" i="2"/>
  <c r="AY31" i="2"/>
  <c r="AX31" i="2"/>
  <c r="AW31" i="2"/>
  <c r="AV31" i="2"/>
  <c r="BB30" i="2"/>
  <c r="BA30" i="2"/>
  <c r="AZ30" i="2"/>
  <c r="AY30" i="2"/>
  <c r="AX30" i="2"/>
  <c r="AW30" i="2"/>
  <c r="AV30" i="2"/>
  <c r="BB29" i="2"/>
  <c r="BA29" i="2"/>
  <c r="AZ29" i="2"/>
  <c r="AY29" i="2"/>
  <c r="AX29" i="2"/>
  <c r="AW29" i="2"/>
  <c r="AV29" i="2"/>
  <c r="BB28" i="2"/>
  <c r="BA28" i="2"/>
  <c r="AZ28" i="2"/>
  <c r="AY28" i="2"/>
  <c r="AX28" i="2"/>
  <c r="AW28" i="2"/>
  <c r="AV28" i="2"/>
  <c r="BB27" i="2"/>
  <c r="BA27" i="2"/>
  <c r="AZ27" i="2"/>
  <c r="AY27" i="2"/>
  <c r="AX27" i="2"/>
  <c r="AW27" i="2"/>
  <c r="AV27" i="2"/>
  <c r="BB26" i="2"/>
  <c r="BA26" i="2"/>
  <c r="AZ26" i="2"/>
  <c r="AY26" i="2"/>
  <c r="AX26" i="2"/>
  <c r="AW26" i="2"/>
  <c r="AV26" i="2"/>
  <c r="BB25" i="2"/>
  <c r="BA25" i="2"/>
  <c r="AZ25" i="2"/>
  <c r="AY25" i="2"/>
  <c r="AX25" i="2"/>
  <c r="AW25" i="2"/>
  <c r="AV25" i="2"/>
  <c r="BA20" i="2"/>
  <c r="AZ20" i="2"/>
  <c r="AX20" i="2"/>
  <c r="AW20" i="2"/>
  <c r="AV20" i="2"/>
  <c r="BA19" i="2"/>
  <c r="AZ19" i="2"/>
  <c r="AX19" i="2"/>
  <c r="AW19" i="2"/>
  <c r="AV19" i="2"/>
  <c r="BA18" i="2"/>
  <c r="AZ18" i="2"/>
  <c r="AX18" i="2"/>
  <c r="AW18" i="2"/>
  <c r="AV18" i="2"/>
  <c r="BA17" i="2"/>
  <c r="AZ17" i="2"/>
  <c r="AX17" i="2"/>
  <c r="AW17" i="2"/>
  <c r="AV17" i="2"/>
  <c r="BB16" i="2"/>
  <c r="BA16" i="2"/>
  <c r="AZ16" i="2"/>
  <c r="AY16" i="2"/>
  <c r="AX16" i="2"/>
  <c r="AW16" i="2"/>
  <c r="AV16" i="2"/>
  <c r="BA15" i="2"/>
  <c r="AZ15" i="2"/>
  <c r="AX15" i="2"/>
  <c r="AW15" i="2"/>
  <c r="AV15" i="2"/>
  <c r="BA14" i="2"/>
  <c r="AZ14" i="2"/>
  <c r="AX14" i="2"/>
  <c r="AW14" i="2"/>
  <c r="AV14" i="2"/>
  <c r="BB13" i="2"/>
  <c r="BA13" i="2"/>
  <c r="AZ13" i="2"/>
  <c r="AY13" i="2"/>
  <c r="AX13" i="2"/>
  <c r="AW13" i="2"/>
  <c r="AV13" i="2"/>
  <c r="BB12" i="2"/>
  <c r="BA12" i="2"/>
  <c r="AZ12" i="2"/>
  <c r="AY12" i="2"/>
  <c r="AX12" i="2"/>
  <c r="AW12" i="2"/>
  <c r="AV12" i="2"/>
  <c r="BA11" i="2"/>
  <c r="AZ11" i="2"/>
  <c r="AX11" i="2"/>
  <c r="AW11" i="2"/>
  <c r="BB10" i="2"/>
  <c r="BA10" i="2"/>
  <c r="AZ10" i="2"/>
  <c r="AY10" i="2"/>
  <c r="AX10" i="2"/>
  <c r="AW10" i="2"/>
  <c r="AV10" i="2"/>
  <c r="BA9" i="2"/>
  <c r="AZ9" i="2"/>
  <c r="AX9" i="2"/>
  <c r="AW9" i="2"/>
  <c r="AV9" i="2"/>
  <c r="BB8" i="2"/>
  <c r="BA8" i="2"/>
  <c r="AZ8" i="2"/>
  <c r="AY8" i="2"/>
  <c r="AX8" i="2"/>
  <c r="AW8" i="2"/>
  <c r="AV8" i="2"/>
  <c r="BA7" i="2"/>
  <c r="AZ7" i="2"/>
  <c r="AX7" i="2"/>
  <c r="AW7" i="2"/>
  <c r="AV7" i="2"/>
  <c r="BA6" i="2"/>
  <c r="AZ6" i="2"/>
  <c r="J63" i="1" s="1"/>
  <c r="AX6" i="2"/>
  <c r="AW6" i="2"/>
  <c r="AV6" i="2"/>
  <c r="BA5" i="2"/>
  <c r="AZ5" i="2"/>
  <c r="AX5" i="2"/>
  <c r="AW5" i="2"/>
  <c r="AV5" i="2"/>
  <c r="BA4" i="2"/>
  <c r="AZ4" i="2"/>
  <c r="J61" i="1" s="1"/>
  <c r="AX4" i="2"/>
  <c r="AW4" i="2"/>
  <c r="AV4" i="2"/>
  <c r="BB3" i="2"/>
  <c r="BA3" i="2"/>
  <c r="AZ3" i="2"/>
  <c r="AY3" i="2"/>
  <c r="AX3" i="2"/>
  <c r="AW3" i="2"/>
  <c r="AV3" i="2"/>
  <c r="BC38" i="2"/>
  <c r="BC36" i="2"/>
  <c r="BC35" i="2"/>
  <c r="BC34" i="2"/>
  <c r="BC33" i="2"/>
  <c r="BC32" i="2"/>
  <c r="BC31" i="2"/>
  <c r="BC30" i="2"/>
  <c r="BC29" i="2"/>
  <c r="BC28" i="2"/>
  <c r="BC27" i="2"/>
  <c r="BC26" i="2"/>
  <c r="BC25" i="2"/>
  <c r="BC16" i="2"/>
  <c r="BC13" i="2"/>
  <c r="BC12" i="2"/>
  <c r="BC10" i="2"/>
  <c r="BC8" i="2"/>
  <c r="BC3" i="2"/>
  <c r="Y42" i="2"/>
  <c r="Y41" i="2"/>
  <c r="Y40" i="2"/>
  <c r="Y39" i="2"/>
  <c r="Y38" i="2"/>
  <c r="Y37" i="2"/>
  <c r="Y36" i="2"/>
  <c r="Y35" i="2"/>
  <c r="Y34" i="2"/>
  <c r="Y33" i="2"/>
  <c r="Y32" i="2"/>
  <c r="Y31" i="2"/>
  <c r="Y30" i="2"/>
  <c r="Y29" i="2"/>
  <c r="Y28" i="2"/>
  <c r="Y27" i="2"/>
  <c r="Y26" i="2"/>
  <c r="Y25" i="2"/>
  <c r="Y20" i="2"/>
  <c r="Y19" i="2"/>
  <c r="Y18" i="2"/>
  <c r="Y17" i="2"/>
  <c r="Y16" i="2"/>
  <c r="Y15" i="2"/>
  <c r="Y14" i="2"/>
  <c r="Y13" i="2"/>
  <c r="Y12" i="2"/>
  <c r="Y11" i="2"/>
  <c r="Y10" i="2"/>
  <c r="Y9" i="2"/>
  <c r="Y8" i="2"/>
  <c r="Y7" i="2"/>
  <c r="Y6" i="2"/>
  <c r="Y5" i="2"/>
  <c r="Y4" i="2"/>
  <c r="Y3" i="2"/>
  <c r="BL38" i="2"/>
  <c r="BK38" i="2"/>
  <c r="BJ38" i="2"/>
  <c r="BI38" i="2"/>
  <c r="BH38" i="2"/>
  <c r="BG38" i="2"/>
  <c r="BF38" i="2"/>
  <c r="BL36" i="2"/>
  <c r="BK36" i="2"/>
  <c r="BJ36" i="2"/>
  <c r="BI36" i="2"/>
  <c r="BH36" i="2"/>
  <c r="BG36" i="2"/>
  <c r="BF36" i="2"/>
  <c r="BL35" i="2"/>
  <c r="BK35" i="2"/>
  <c r="BJ35" i="2"/>
  <c r="BI35" i="2"/>
  <c r="BH35" i="2"/>
  <c r="BG35" i="2"/>
  <c r="BF35" i="2"/>
  <c r="BL33" i="2"/>
  <c r="BK33" i="2"/>
  <c r="BJ33" i="2"/>
  <c r="BI33" i="2"/>
  <c r="BH33" i="2"/>
  <c r="BG33" i="2"/>
  <c r="BF33" i="2"/>
  <c r="BL32" i="2"/>
  <c r="BK32" i="2"/>
  <c r="BJ32" i="2"/>
  <c r="BI32" i="2"/>
  <c r="BH32" i="2"/>
  <c r="BG32" i="2"/>
  <c r="BF32" i="2"/>
  <c r="BL31" i="2"/>
  <c r="BK31" i="2"/>
  <c r="BJ31" i="2"/>
  <c r="BI31" i="2"/>
  <c r="BH31" i="2"/>
  <c r="BG31" i="2"/>
  <c r="BF31" i="2"/>
  <c r="BL30" i="2"/>
  <c r="BK30" i="2"/>
  <c r="BJ30" i="2"/>
  <c r="BI30" i="2"/>
  <c r="BH30" i="2"/>
  <c r="BG30" i="2"/>
  <c r="BF30" i="2"/>
  <c r="BL29" i="2"/>
  <c r="BK29" i="2"/>
  <c r="BJ29" i="2"/>
  <c r="BI29" i="2"/>
  <c r="BH29" i="2"/>
  <c r="BG29" i="2"/>
  <c r="BF29" i="2"/>
  <c r="BL28" i="2"/>
  <c r="BK28" i="2"/>
  <c r="BJ28" i="2"/>
  <c r="BI28" i="2"/>
  <c r="BH28" i="2"/>
  <c r="BG28" i="2"/>
  <c r="BF28" i="2"/>
  <c r="BL27" i="2"/>
  <c r="BK27" i="2"/>
  <c r="BJ27" i="2"/>
  <c r="BI27" i="2"/>
  <c r="BH27" i="2"/>
  <c r="BG27" i="2"/>
  <c r="BF27" i="2"/>
  <c r="BL26" i="2"/>
  <c r="BK26" i="2"/>
  <c r="BJ26" i="2"/>
  <c r="BI26" i="2"/>
  <c r="BH26" i="2"/>
  <c r="BG26" i="2"/>
  <c r="BF26" i="2"/>
  <c r="BL25" i="2"/>
  <c r="BK25" i="2"/>
  <c r="BJ25" i="2"/>
  <c r="BI25" i="2"/>
  <c r="BH25" i="2"/>
  <c r="BG25" i="2"/>
  <c r="BF25" i="2"/>
  <c r="BL16" i="2"/>
  <c r="BK16" i="2"/>
  <c r="BJ16" i="2"/>
  <c r="BI16" i="2"/>
  <c r="BH16" i="2"/>
  <c r="BG16" i="2"/>
  <c r="BF16" i="2"/>
  <c r="BL13" i="2"/>
  <c r="BK13" i="2"/>
  <c r="BJ13" i="2"/>
  <c r="BI13" i="2"/>
  <c r="BH13" i="2"/>
  <c r="BG13" i="2"/>
  <c r="BF13" i="2"/>
  <c r="BL10" i="2"/>
  <c r="BK10" i="2"/>
  <c r="BJ10" i="2"/>
  <c r="BI10" i="2"/>
  <c r="BH10" i="2"/>
  <c r="BG10" i="2"/>
  <c r="BF10" i="2"/>
  <c r="BL8" i="2"/>
  <c r="BK8" i="2"/>
  <c r="BJ8" i="2"/>
  <c r="BI8" i="2"/>
  <c r="BH8" i="2"/>
  <c r="BG8" i="2"/>
  <c r="BF8" i="2"/>
  <c r="BL3" i="2"/>
  <c r="BK3" i="2"/>
  <c r="BJ3" i="2"/>
  <c r="BI3" i="2"/>
  <c r="BH3" i="2"/>
  <c r="BG3" i="2"/>
  <c r="BF3" i="2"/>
  <c r="BK7" i="3" l="1"/>
  <c r="AY40" i="2" l="1"/>
  <c r="AY18" i="2"/>
  <c r="AY41" i="2"/>
  <c r="AY19" i="2"/>
  <c r="AY42" i="2"/>
  <c r="AY20" i="2"/>
  <c r="BB40" i="2" l="1"/>
  <c r="BB18" i="2"/>
  <c r="BB41" i="2"/>
  <c r="BB19" i="2"/>
  <c r="BB20" i="2"/>
  <c r="BB42" i="2"/>
  <c r="BF40" i="2"/>
  <c r="BF18" i="2"/>
  <c r="BK40" i="2"/>
  <c r="BK18" i="2"/>
  <c r="BG19" i="2"/>
  <c r="BG41" i="2"/>
  <c r="BG20" i="2"/>
  <c r="BG42" i="2"/>
  <c r="BG40" i="2"/>
  <c r="BG18" i="2"/>
  <c r="BH41" i="2"/>
  <c r="BH19" i="2"/>
  <c r="BH42" i="2"/>
  <c r="BH20" i="2"/>
  <c r="BH18" i="2"/>
  <c r="BH40" i="2"/>
  <c r="BJ19" i="2"/>
  <c r="BJ41" i="2"/>
  <c r="BJ20" i="2"/>
  <c r="BJ42" i="2"/>
  <c r="BJ40" i="2"/>
  <c r="BJ18" i="2"/>
  <c r="BF19" i="2"/>
  <c r="BF41" i="2"/>
  <c r="BK41" i="2"/>
  <c r="BK19" i="2"/>
  <c r="BF20" i="2"/>
  <c r="BF42" i="2"/>
  <c r="BK20" i="2"/>
  <c r="BK42" i="2"/>
  <c r="BC41" i="2" l="1"/>
  <c r="BC19" i="2"/>
  <c r="BC20" i="2"/>
  <c r="BC42" i="2"/>
  <c r="BM20" i="2"/>
  <c r="BM42" i="2"/>
  <c r="BC40" i="2"/>
  <c r="BC18" i="2"/>
  <c r="BI18" i="2"/>
  <c r="BI40" i="2"/>
  <c r="BL42" i="2"/>
  <c r="BL20" i="2"/>
  <c r="BL18" i="2"/>
  <c r="BL40" i="2"/>
  <c r="BI19" i="2"/>
  <c r="BI41" i="2"/>
  <c r="BL41" i="2"/>
  <c r="BL19" i="2"/>
  <c r="BI42" i="2"/>
  <c r="BI20" i="2"/>
  <c r="BM40" i="2" l="1"/>
  <c r="BM18" i="2"/>
  <c r="BM41" i="2"/>
  <c r="BM19" i="2"/>
  <c r="BM8" i="3" l="1"/>
  <c r="BL8" i="3"/>
  <c r="BK8" i="3"/>
  <c r="BJ8" i="3"/>
  <c r="BI8" i="3"/>
  <c r="BH8" i="3"/>
  <c r="BG8" i="3"/>
  <c r="BF8" i="3"/>
  <c r="BM6" i="3"/>
  <c r="BL6" i="3"/>
  <c r="BK6" i="3"/>
  <c r="BJ6" i="3"/>
  <c r="BI6" i="3"/>
  <c r="BH6" i="3"/>
  <c r="BG6" i="3"/>
  <c r="BF6" i="3"/>
  <c r="BM4" i="3"/>
  <c r="BL4" i="3"/>
  <c r="BK4" i="3"/>
  <c r="BJ4" i="3"/>
  <c r="BI4" i="3"/>
  <c r="BH4" i="3"/>
  <c r="BG4" i="3"/>
  <c r="BF4" i="3"/>
  <c r="BD8" i="3"/>
  <c r="BC8" i="3"/>
  <c r="BB8" i="3"/>
  <c r="BA8" i="3"/>
  <c r="AZ8" i="3"/>
  <c r="AY8" i="3"/>
  <c r="AX8" i="3"/>
  <c r="AW8" i="3"/>
  <c r="AV8" i="3"/>
  <c r="BA7" i="3"/>
  <c r="K29" i="1" s="1"/>
  <c r="AZ7" i="3"/>
  <c r="AX7" i="3"/>
  <c r="AW7" i="3"/>
  <c r="AV7" i="3"/>
  <c r="F29" i="1" s="1"/>
  <c r="BD6" i="3"/>
  <c r="BC6" i="3"/>
  <c r="BB6" i="3"/>
  <c r="BA6" i="3"/>
  <c r="AZ6" i="3"/>
  <c r="AY6" i="3"/>
  <c r="AX6" i="3"/>
  <c r="AW6" i="3"/>
  <c r="AV6" i="3"/>
  <c r="BA5" i="3"/>
  <c r="AZ5" i="3"/>
  <c r="AX5" i="3"/>
  <c r="AW5" i="3"/>
  <c r="AV5" i="3"/>
  <c r="BD4" i="3"/>
  <c r="BC4" i="3"/>
  <c r="BB4" i="3"/>
  <c r="BA4" i="3"/>
  <c r="AZ4" i="3"/>
  <c r="AY4" i="3"/>
  <c r="AX4" i="3"/>
  <c r="AW4" i="3"/>
  <c r="AV4" i="3"/>
  <c r="AV3" i="3"/>
  <c r="AW3" i="3"/>
  <c r="AX3" i="3"/>
  <c r="AZ3" i="3"/>
  <c r="BA3" i="3"/>
  <c r="H23" i="1" l="1"/>
  <c r="BF11" i="2"/>
  <c r="BF14" i="2"/>
  <c r="BF12" i="2" l="1"/>
  <c r="BF34" i="2"/>
  <c r="BF9" i="2"/>
  <c r="R12" i="1" l="1"/>
  <c r="H12" i="1"/>
  <c r="BG7" i="3" l="1"/>
  <c r="BK5" i="3"/>
  <c r="BF5" i="3"/>
  <c r="BG5" i="3" l="1"/>
  <c r="BH7" i="3"/>
  <c r="BH5" i="3"/>
  <c r="BJ7" i="3"/>
  <c r="BJ5" i="3"/>
  <c r="BF7" i="3"/>
  <c r="BL7" i="3" l="1"/>
  <c r="BI7" i="3"/>
  <c r="BI5" i="3"/>
  <c r="BL5" i="3"/>
  <c r="BK9" i="2"/>
  <c r="BJ9" i="2"/>
  <c r="BH9" i="2"/>
  <c r="BG9" i="2"/>
  <c r="BF37" i="2"/>
  <c r="BK4" i="2"/>
  <c r="BF6" i="2" l="1"/>
  <c r="BF5" i="2"/>
  <c r="BH7" i="2"/>
  <c r="BK6" i="2"/>
  <c r="BK14" i="2"/>
  <c r="BG14" i="2"/>
  <c r="BH14" i="2"/>
  <c r="BJ14" i="2"/>
  <c r="BH4" i="2"/>
  <c r="BJ5" i="2"/>
  <c r="BK5" i="2"/>
  <c r="BJ6" i="2"/>
  <c r="BG7" i="2"/>
  <c r="BK11" i="2"/>
  <c r="BK12" i="2"/>
  <c r="BK34" i="2"/>
  <c r="BK15" i="2"/>
  <c r="BG37" i="2"/>
  <c r="BG17" i="2"/>
  <c r="BG39" i="2"/>
  <c r="BF39" i="2"/>
  <c r="BF17" i="2"/>
  <c r="BG5" i="2"/>
  <c r="BF15" i="2"/>
  <c r="BG11" i="2"/>
  <c r="BG12" i="2"/>
  <c r="BG34" i="2"/>
  <c r="BG15" i="2"/>
  <c r="BH37" i="2"/>
  <c r="BH17" i="2"/>
  <c r="BH39" i="2"/>
  <c r="BH5" i="2"/>
  <c r="BG6" i="2"/>
  <c r="BJ7" i="2"/>
  <c r="BH11" i="2"/>
  <c r="BH34" i="2"/>
  <c r="BH12" i="2"/>
  <c r="BH15" i="2"/>
  <c r="BJ37" i="2"/>
  <c r="BJ39" i="2"/>
  <c r="BJ17" i="2"/>
  <c r="BH6" i="2"/>
  <c r="BF7" i="2"/>
  <c r="BK7" i="2"/>
  <c r="BJ11" i="2"/>
  <c r="BJ12" i="2"/>
  <c r="BJ34" i="2"/>
  <c r="BJ15" i="2"/>
  <c r="BK37" i="2"/>
  <c r="BK17" i="2"/>
  <c r="BK39" i="2"/>
  <c r="BM7" i="3"/>
  <c r="BM5" i="3"/>
  <c r="BI14" i="2"/>
  <c r="BL14" i="2"/>
  <c r="BL37" i="2" l="1"/>
  <c r="BI15" i="2"/>
  <c r="BI39" i="2"/>
  <c r="BI17" i="2"/>
  <c r="BL5" i="2"/>
  <c r="BI7" i="2"/>
  <c r="BI5" i="2"/>
  <c r="BI11" i="2"/>
  <c r="BI9" i="2"/>
  <c r="BL11" i="2"/>
  <c r="BI34" i="2"/>
  <c r="BI12" i="2"/>
  <c r="BI37" i="2"/>
  <c r="BL9" i="2"/>
  <c r="BL7" i="2"/>
  <c r="BL12" i="2"/>
  <c r="BL34" i="2"/>
  <c r="BI6" i="2"/>
  <c r="BL17" i="2"/>
  <c r="BL39" i="2"/>
  <c r="BL15" i="2"/>
  <c r="BL6" i="2"/>
  <c r="BM14" i="2"/>
  <c r="BM15" i="2" l="1"/>
  <c r="BM37" i="2"/>
  <c r="BM9" i="2"/>
  <c r="BM11" i="2"/>
  <c r="BM5" i="2"/>
  <c r="BM6" i="2"/>
  <c r="BM17" i="2"/>
  <c r="BM39" i="2"/>
  <c r="BM7" i="2"/>
  <c r="M96" i="15"/>
  <c r="L96" i="15"/>
  <c r="K96" i="15"/>
  <c r="J96" i="15"/>
  <c r="I96" i="15"/>
  <c r="H96" i="15"/>
  <c r="G96" i="15"/>
  <c r="F96" i="15"/>
  <c r="E96" i="15"/>
  <c r="K95" i="15"/>
  <c r="J95" i="15"/>
  <c r="H95" i="15"/>
  <c r="G95" i="15"/>
  <c r="F95" i="15"/>
  <c r="K94" i="15"/>
  <c r="J94" i="15"/>
  <c r="H94" i="15"/>
  <c r="G94" i="15"/>
  <c r="F94" i="15"/>
  <c r="E94" i="15"/>
  <c r="K93" i="15"/>
  <c r="J93" i="15"/>
  <c r="H93" i="15"/>
  <c r="G93" i="15"/>
  <c r="F93" i="15"/>
  <c r="E93" i="15"/>
  <c r="K92" i="15"/>
  <c r="J92" i="15"/>
  <c r="H92" i="15"/>
  <c r="G92" i="15"/>
  <c r="F92" i="15"/>
  <c r="E92" i="15"/>
  <c r="M91" i="15"/>
  <c r="L91" i="15"/>
  <c r="K91" i="15"/>
  <c r="J91" i="15"/>
  <c r="I91" i="15"/>
  <c r="H91" i="15"/>
  <c r="G91" i="15"/>
  <c r="F91" i="15"/>
  <c r="E91" i="15"/>
  <c r="K90" i="15"/>
  <c r="J90" i="15"/>
  <c r="H90" i="15"/>
  <c r="G90" i="15"/>
  <c r="F90" i="15"/>
  <c r="E90" i="15"/>
  <c r="J88" i="15"/>
  <c r="H88" i="15"/>
  <c r="G88" i="15"/>
  <c r="K87" i="15"/>
  <c r="J87" i="15"/>
  <c r="H87" i="15"/>
  <c r="G87" i="15"/>
  <c r="F87" i="15"/>
  <c r="E87" i="15"/>
  <c r="K86" i="15"/>
  <c r="J86" i="15"/>
  <c r="H86" i="15"/>
  <c r="E86" i="15"/>
  <c r="K85" i="15"/>
  <c r="J85" i="15"/>
  <c r="H85" i="15"/>
  <c r="G85" i="15"/>
  <c r="F85" i="15"/>
  <c r="M84" i="15"/>
  <c r="L84" i="15"/>
  <c r="K84" i="15"/>
  <c r="J84" i="15"/>
  <c r="I84" i="15"/>
  <c r="H84" i="15"/>
  <c r="G84" i="15"/>
  <c r="F84" i="15"/>
  <c r="E84" i="15"/>
  <c r="M78" i="15"/>
  <c r="L78" i="15"/>
  <c r="K78" i="15"/>
  <c r="J78" i="15"/>
  <c r="I78" i="15"/>
  <c r="H78" i="15"/>
  <c r="G78" i="15"/>
  <c r="F78" i="15"/>
  <c r="E78" i="15"/>
  <c r="K77" i="15"/>
  <c r="J77" i="15"/>
  <c r="H77" i="15"/>
  <c r="G77" i="15"/>
  <c r="F77" i="15"/>
  <c r="E77" i="15"/>
  <c r="K74" i="15"/>
  <c r="J74" i="15"/>
  <c r="H74" i="15"/>
  <c r="G74" i="15"/>
  <c r="F74" i="15"/>
  <c r="E74" i="15"/>
  <c r="L72" i="15"/>
  <c r="K72" i="15"/>
  <c r="J72" i="15"/>
  <c r="H72" i="15"/>
  <c r="G72" i="15"/>
  <c r="F72" i="15"/>
  <c r="E72" i="15"/>
  <c r="L71" i="15"/>
  <c r="K71" i="15"/>
  <c r="J71" i="15"/>
  <c r="H71" i="15"/>
  <c r="G71" i="15"/>
  <c r="F71" i="15"/>
  <c r="E71" i="15"/>
  <c r="M67" i="15"/>
  <c r="L67" i="15"/>
  <c r="K67" i="15"/>
  <c r="J67" i="15"/>
  <c r="I67" i="15"/>
  <c r="H67" i="15"/>
  <c r="G67" i="15"/>
  <c r="F67" i="15"/>
  <c r="E67" i="15"/>
  <c r="M66" i="15"/>
  <c r="L66" i="15"/>
  <c r="K66" i="15"/>
  <c r="J66" i="15"/>
  <c r="I66" i="15"/>
  <c r="H66" i="15"/>
  <c r="G66" i="15"/>
  <c r="F66" i="15"/>
  <c r="E66" i="15"/>
  <c r="M59" i="15"/>
  <c r="L59" i="15"/>
  <c r="K59" i="15"/>
  <c r="J59" i="15"/>
  <c r="I59" i="15"/>
  <c r="H59" i="15"/>
  <c r="G59" i="15"/>
  <c r="F59" i="15"/>
  <c r="E59" i="15"/>
  <c r="J58" i="15"/>
  <c r="H58" i="15"/>
  <c r="G58" i="15"/>
  <c r="F58" i="15"/>
  <c r="W96" i="15"/>
  <c r="V96" i="15"/>
  <c r="U96" i="15"/>
  <c r="T96" i="15"/>
  <c r="S96" i="15"/>
  <c r="R96" i="15"/>
  <c r="Q96" i="15"/>
  <c r="P96" i="15"/>
  <c r="O96" i="15"/>
  <c r="T95" i="15"/>
  <c r="R95" i="15"/>
  <c r="Q95" i="15"/>
  <c r="R94" i="15"/>
  <c r="R93" i="15"/>
  <c r="U92" i="15"/>
  <c r="T92" i="15"/>
  <c r="R92" i="15"/>
  <c r="Q92" i="15"/>
  <c r="P92" i="15"/>
  <c r="O92" i="15"/>
  <c r="W91" i="15"/>
  <c r="V91" i="15"/>
  <c r="U91" i="15"/>
  <c r="T91" i="15"/>
  <c r="S91" i="15"/>
  <c r="R91" i="15"/>
  <c r="Q91" i="15"/>
  <c r="P91" i="15"/>
  <c r="O91" i="15"/>
  <c r="U90" i="15"/>
  <c r="T90" i="15"/>
  <c r="R90" i="15"/>
  <c r="Q90" i="15"/>
  <c r="P90" i="15"/>
  <c r="O90" i="15"/>
  <c r="T88" i="15"/>
  <c r="R88" i="15"/>
  <c r="Q88" i="15"/>
  <c r="U87" i="15"/>
  <c r="T87" i="15"/>
  <c r="R87" i="15"/>
  <c r="Q87" i="15"/>
  <c r="P87" i="15"/>
  <c r="O87" i="15"/>
  <c r="W84" i="15"/>
  <c r="V84" i="15"/>
  <c r="U84" i="15"/>
  <c r="T84" i="15"/>
  <c r="S84" i="15"/>
  <c r="R84" i="15"/>
  <c r="Q84" i="15"/>
  <c r="P84" i="15"/>
  <c r="O84" i="15"/>
  <c r="W78" i="15"/>
  <c r="V78" i="15"/>
  <c r="U78" i="15"/>
  <c r="T78" i="15"/>
  <c r="S78" i="15"/>
  <c r="R78" i="15"/>
  <c r="Q78" i="15"/>
  <c r="P78" i="15"/>
  <c r="O78" i="15"/>
  <c r="U77" i="15"/>
  <c r="T77" i="15"/>
  <c r="R77" i="15"/>
  <c r="Q77" i="15"/>
  <c r="P77" i="15"/>
  <c r="O77" i="15"/>
  <c r="O74" i="15"/>
  <c r="O72" i="15"/>
  <c r="O71" i="15"/>
  <c r="W67" i="15"/>
  <c r="V67" i="15"/>
  <c r="U67" i="15"/>
  <c r="T67" i="15"/>
  <c r="S67" i="15"/>
  <c r="R67" i="15"/>
  <c r="Q67" i="15"/>
  <c r="P67" i="15"/>
  <c r="O67" i="15"/>
  <c r="W66" i="15"/>
  <c r="V66" i="15"/>
  <c r="U66" i="15"/>
  <c r="T66" i="15"/>
  <c r="S66" i="15"/>
  <c r="R66" i="15"/>
  <c r="Q66" i="15"/>
  <c r="P66" i="15"/>
  <c r="O66" i="15"/>
  <c r="W59" i="15"/>
  <c r="V59" i="15"/>
  <c r="U59" i="15"/>
  <c r="T59" i="15"/>
  <c r="S59" i="15"/>
  <c r="R59" i="15"/>
  <c r="Q59" i="15"/>
  <c r="P59" i="15"/>
  <c r="O59" i="15"/>
  <c r="AL96" i="15"/>
  <c r="AK96" i="15"/>
  <c r="AJ96" i="15"/>
  <c r="AI96" i="15"/>
  <c r="AH96" i="15"/>
  <c r="AG96" i="15"/>
  <c r="AF96" i="15"/>
  <c r="AE96" i="15"/>
  <c r="AD96" i="15"/>
  <c r="AL91" i="15"/>
  <c r="AK91" i="15"/>
  <c r="AJ91" i="15"/>
  <c r="AI91" i="15"/>
  <c r="AH91" i="15"/>
  <c r="AG91" i="15"/>
  <c r="AF91" i="15"/>
  <c r="AE91" i="15"/>
  <c r="AD91" i="15"/>
  <c r="AL84" i="15"/>
  <c r="AK84" i="15"/>
  <c r="AJ84" i="15"/>
  <c r="AI84" i="15"/>
  <c r="AH84" i="15"/>
  <c r="AG84" i="15"/>
  <c r="AF84" i="15"/>
  <c r="AE84" i="15"/>
  <c r="AD84" i="15"/>
  <c r="AL78" i="15"/>
  <c r="AK78" i="15"/>
  <c r="AJ78" i="15"/>
  <c r="AI78" i="15"/>
  <c r="AH78" i="15"/>
  <c r="AG78" i="15"/>
  <c r="AF78" i="15"/>
  <c r="AE78" i="15"/>
  <c r="AD78" i="15"/>
  <c r="AI77" i="15"/>
  <c r="AF77" i="15"/>
  <c r="AE77" i="15"/>
  <c r="AL67" i="15"/>
  <c r="AK67" i="15"/>
  <c r="AJ67" i="15"/>
  <c r="AI67" i="15"/>
  <c r="AH67" i="15"/>
  <c r="AG67" i="15"/>
  <c r="AF67" i="15"/>
  <c r="AE67" i="15"/>
  <c r="AD67" i="15"/>
  <c r="AL66" i="15"/>
  <c r="AK66" i="15"/>
  <c r="AJ66" i="15"/>
  <c r="AI66" i="15"/>
  <c r="AH66" i="15"/>
  <c r="AG66" i="15"/>
  <c r="AF66" i="15"/>
  <c r="AE66" i="15"/>
  <c r="AD66" i="15"/>
  <c r="AL59" i="15"/>
  <c r="AK59" i="15"/>
  <c r="AJ59" i="15"/>
  <c r="AI59" i="15"/>
  <c r="AH59" i="15"/>
  <c r="AG59" i="15"/>
  <c r="AF59" i="15"/>
  <c r="AE59" i="15"/>
  <c r="AD59" i="15"/>
  <c r="AL45" i="15"/>
  <c r="AK45" i="15"/>
  <c r="AJ45" i="15"/>
  <c r="AI45" i="15"/>
  <c r="AH45" i="15"/>
  <c r="AG45" i="15"/>
  <c r="AF45" i="15"/>
  <c r="AE45" i="15"/>
  <c r="AD45" i="15"/>
  <c r="AL40" i="15"/>
  <c r="AK40" i="15"/>
  <c r="AJ40" i="15"/>
  <c r="AI40" i="15"/>
  <c r="AH40" i="15"/>
  <c r="AG40" i="15"/>
  <c r="AF40" i="15"/>
  <c r="AE40" i="15"/>
  <c r="AD40" i="15"/>
  <c r="AL36" i="15"/>
  <c r="AK36" i="15"/>
  <c r="AJ36" i="15"/>
  <c r="AI36" i="15"/>
  <c r="AH36" i="15"/>
  <c r="AG36" i="15"/>
  <c r="AF36" i="15"/>
  <c r="AE36" i="15"/>
  <c r="AD36" i="15"/>
  <c r="AL33" i="15"/>
  <c r="AK33" i="15"/>
  <c r="AJ33" i="15"/>
  <c r="AI33" i="15"/>
  <c r="AH33" i="15"/>
  <c r="AG33" i="15"/>
  <c r="AF33" i="15"/>
  <c r="AE33" i="15"/>
  <c r="AD33" i="15"/>
  <c r="AL27" i="15"/>
  <c r="AK27" i="15"/>
  <c r="AJ27" i="15"/>
  <c r="AI27" i="15"/>
  <c r="AH27" i="15"/>
  <c r="AG27" i="15"/>
  <c r="AF27" i="15"/>
  <c r="AE27" i="15"/>
  <c r="AD27" i="15"/>
  <c r="AI26" i="15"/>
  <c r="AH26" i="15"/>
  <c r="AG26" i="15"/>
  <c r="AF26" i="15"/>
  <c r="AE26" i="15"/>
  <c r="AL21" i="15"/>
  <c r="AK21" i="15"/>
  <c r="AJ21" i="15"/>
  <c r="AI21" i="15"/>
  <c r="AH21" i="15"/>
  <c r="AG21" i="15"/>
  <c r="AF21" i="15"/>
  <c r="AE21" i="15"/>
  <c r="AD21" i="15"/>
  <c r="W45" i="15"/>
  <c r="V45" i="15"/>
  <c r="U45" i="15"/>
  <c r="T45" i="15"/>
  <c r="S45" i="15"/>
  <c r="R45" i="15"/>
  <c r="Q45" i="15"/>
  <c r="P45" i="15"/>
  <c r="O45" i="15"/>
  <c r="T44" i="15"/>
  <c r="R44" i="15"/>
  <c r="Q44" i="15"/>
  <c r="R43" i="15"/>
  <c r="R42" i="15"/>
  <c r="T41" i="15"/>
  <c r="R41" i="15"/>
  <c r="Q41" i="15"/>
  <c r="P41" i="15"/>
  <c r="O41" i="15"/>
  <c r="W40" i="15"/>
  <c r="V40" i="15"/>
  <c r="U40" i="15"/>
  <c r="T40" i="15"/>
  <c r="S40" i="15"/>
  <c r="R40" i="15"/>
  <c r="Q40" i="15"/>
  <c r="P40" i="15"/>
  <c r="O40" i="15"/>
  <c r="T39" i="15"/>
  <c r="R39" i="15"/>
  <c r="Q39" i="15"/>
  <c r="P39" i="15"/>
  <c r="O39" i="15"/>
  <c r="W36" i="15"/>
  <c r="V36" i="15"/>
  <c r="U36" i="15"/>
  <c r="T36" i="15"/>
  <c r="S36" i="15"/>
  <c r="R36" i="15"/>
  <c r="Q36" i="15"/>
  <c r="P36" i="15"/>
  <c r="O36" i="15"/>
  <c r="R35" i="15"/>
  <c r="W33" i="15"/>
  <c r="V33" i="15"/>
  <c r="U33" i="15"/>
  <c r="T33" i="15"/>
  <c r="S33" i="15"/>
  <c r="R33" i="15"/>
  <c r="Q33" i="15"/>
  <c r="P33" i="15"/>
  <c r="O33" i="15"/>
  <c r="T32" i="15"/>
  <c r="R32" i="15"/>
  <c r="Q32" i="15"/>
  <c r="P32" i="15"/>
  <c r="O32" i="15"/>
  <c r="T31" i="15"/>
  <c r="R31" i="15"/>
  <c r="Q31" i="15"/>
  <c r="P31" i="15"/>
  <c r="O31" i="15"/>
  <c r="R28" i="15"/>
  <c r="W27" i="15"/>
  <c r="V27" i="15"/>
  <c r="U27" i="15"/>
  <c r="T27" i="15"/>
  <c r="S27" i="15"/>
  <c r="R27" i="15"/>
  <c r="Q27" i="15"/>
  <c r="P27" i="15"/>
  <c r="O27" i="15"/>
  <c r="W26" i="15"/>
  <c r="V26" i="15"/>
  <c r="U26" i="15"/>
  <c r="T26" i="15"/>
  <c r="S26" i="15"/>
  <c r="R26" i="15"/>
  <c r="Q26" i="15"/>
  <c r="P26" i="15"/>
  <c r="O26" i="15"/>
  <c r="T25" i="15"/>
  <c r="R25" i="15"/>
  <c r="Q25" i="15"/>
  <c r="P25" i="15"/>
  <c r="O25" i="15"/>
  <c r="T24" i="15"/>
  <c r="Q24" i="15"/>
  <c r="P24" i="15"/>
  <c r="W21" i="15"/>
  <c r="V21" i="15"/>
  <c r="U21" i="15"/>
  <c r="T21" i="15"/>
  <c r="S21" i="15"/>
  <c r="R21" i="15"/>
  <c r="Q21" i="15"/>
  <c r="P21" i="15"/>
  <c r="O21" i="15"/>
  <c r="T19" i="15"/>
  <c r="R19" i="15"/>
  <c r="Q19" i="15"/>
  <c r="P19" i="15"/>
  <c r="T18" i="15"/>
  <c r="Q18" i="15"/>
  <c r="P18" i="15"/>
  <c r="T17" i="15"/>
  <c r="Q17" i="15"/>
  <c r="P17" i="15"/>
  <c r="T16" i="15"/>
  <c r="Q16" i="15"/>
  <c r="P16" i="15"/>
  <c r="T15" i="15"/>
  <c r="T14" i="15"/>
  <c r="Q14" i="15"/>
  <c r="P14" i="15"/>
  <c r="T13" i="15"/>
  <c r="Q13" i="15"/>
  <c r="P13" i="15"/>
  <c r="Q12" i="15"/>
  <c r="P12" i="15"/>
  <c r="AC137" i="15"/>
  <c r="AA137" i="15"/>
  <c r="Y137" i="15"/>
  <c r="AL136" i="15"/>
  <c r="AK136" i="15"/>
  <c r="AJ136" i="15"/>
  <c r="AI136" i="15"/>
  <c r="AH136" i="15"/>
  <c r="AG136" i="15"/>
  <c r="AF136" i="15"/>
  <c r="AE136" i="15"/>
  <c r="AD136" i="15"/>
  <c r="AC136" i="15"/>
  <c r="AB136" i="15"/>
  <c r="AA136" i="15"/>
  <c r="Z136" i="15"/>
  <c r="Y136" i="15"/>
  <c r="Y135" i="15"/>
  <c r="AC134" i="15"/>
  <c r="Z134" i="15"/>
  <c r="Y134" i="15"/>
  <c r="AC133" i="15"/>
  <c r="AA133" i="15"/>
  <c r="Y133" i="15"/>
  <c r="AL132" i="15"/>
  <c r="AK132" i="15"/>
  <c r="AJ132" i="15"/>
  <c r="AI132" i="15"/>
  <c r="AH132" i="15"/>
  <c r="AG132" i="15"/>
  <c r="AF132" i="15"/>
  <c r="AE132" i="15"/>
  <c r="AD132" i="15"/>
  <c r="AC132" i="15"/>
  <c r="AB132" i="15"/>
  <c r="AA132" i="15"/>
  <c r="Z132" i="15"/>
  <c r="Y132" i="15"/>
  <c r="Y131" i="15"/>
  <c r="AL129" i="15"/>
  <c r="AK129" i="15"/>
  <c r="AJ129" i="15"/>
  <c r="AI129" i="15"/>
  <c r="AH129" i="15"/>
  <c r="AG129" i="15"/>
  <c r="AF129" i="15"/>
  <c r="AE129" i="15"/>
  <c r="AD129" i="15"/>
  <c r="AC129" i="15"/>
  <c r="AB129" i="15"/>
  <c r="AA129" i="15"/>
  <c r="Z129" i="15"/>
  <c r="Y129" i="15"/>
  <c r="AI128" i="15"/>
  <c r="AG128" i="15"/>
  <c r="AF128" i="15"/>
  <c r="AE128" i="15"/>
  <c r="AC128" i="15"/>
  <c r="Y128" i="15"/>
  <c r="AL127" i="15"/>
  <c r="AK127" i="15"/>
  <c r="AJ127" i="15"/>
  <c r="AI127" i="15"/>
  <c r="AH127" i="15"/>
  <c r="AG127" i="15"/>
  <c r="AF127" i="15"/>
  <c r="AE127" i="15"/>
  <c r="AD127" i="15"/>
  <c r="AC127" i="15"/>
  <c r="AB127" i="15"/>
  <c r="AA127" i="15"/>
  <c r="Z127" i="15"/>
  <c r="Y127" i="15"/>
  <c r="AC124" i="15"/>
  <c r="AC123" i="15"/>
  <c r="AL119" i="15"/>
  <c r="AK119" i="15"/>
  <c r="AJ119" i="15"/>
  <c r="AI119" i="15"/>
  <c r="AH119" i="15"/>
  <c r="AG119" i="15"/>
  <c r="AF119" i="15"/>
  <c r="AE119" i="15"/>
  <c r="AD119" i="15"/>
  <c r="AC119" i="15"/>
  <c r="AB119" i="15"/>
  <c r="AA119" i="15"/>
  <c r="Z119" i="15"/>
  <c r="Y119" i="15"/>
  <c r="Z114" i="15"/>
  <c r="W129" i="15"/>
  <c r="V129" i="15"/>
  <c r="U129" i="15"/>
  <c r="T129" i="15"/>
  <c r="S129" i="15"/>
  <c r="R129" i="15"/>
  <c r="Q129" i="15"/>
  <c r="P129" i="15"/>
  <c r="O129" i="15"/>
  <c r="W128" i="15"/>
  <c r="V128" i="15"/>
  <c r="U128" i="15"/>
  <c r="T128" i="15"/>
  <c r="S128" i="15"/>
  <c r="R128" i="15"/>
  <c r="Q128" i="15"/>
  <c r="P128" i="15"/>
  <c r="O128" i="15"/>
  <c r="W127" i="15"/>
  <c r="V127" i="15"/>
  <c r="U127" i="15"/>
  <c r="T127" i="15"/>
  <c r="S127" i="15"/>
  <c r="R127" i="15"/>
  <c r="Q127" i="15"/>
  <c r="P127" i="15"/>
  <c r="O127" i="15"/>
  <c r="T125" i="15"/>
  <c r="R125" i="15"/>
  <c r="Q125" i="15"/>
  <c r="P125" i="15"/>
  <c r="T124" i="15"/>
  <c r="R124" i="15"/>
  <c r="Q124" i="15"/>
  <c r="P124" i="15"/>
  <c r="T123" i="15"/>
  <c r="R123" i="15"/>
  <c r="Q123" i="15"/>
  <c r="P123" i="15"/>
  <c r="T122" i="15"/>
  <c r="R122" i="15"/>
  <c r="Q122" i="15"/>
  <c r="P122" i="15"/>
  <c r="W119" i="15"/>
  <c r="V119" i="15"/>
  <c r="U119" i="15"/>
  <c r="T119" i="15"/>
  <c r="S119" i="15"/>
  <c r="R119" i="15"/>
  <c r="Q119" i="15"/>
  <c r="P119" i="15"/>
  <c r="O119" i="15"/>
  <c r="U118" i="15"/>
  <c r="U117" i="15"/>
  <c r="U116" i="15"/>
  <c r="U115" i="15"/>
  <c r="M129" i="15"/>
  <c r="L129" i="15"/>
  <c r="K129" i="15"/>
  <c r="J129" i="15"/>
  <c r="I129" i="15"/>
  <c r="H129" i="15"/>
  <c r="G129" i="15"/>
  <c r="F129" i="15"/>
  <c r="E129" i="15"/>
  <c r="M128" i="15"/>
  <c r="L128" i="15"/>
  <c r="K128" i="15"/>
  <c r="J128" i="15"/>
  <c r="I128" i="15"/>
  <c r="H128" i="15"/>
  <c r="G128" i="15"/>
  <c r="F128" i="15"/>
  <c r="E128" i="15"/>
  <c r="M127" i="15"/>
  <c r="L127" i="15"/>
  <c r="K127" i="15"/>
  <c r="J127" i="15"/>
  <c r="I127" i="15"/>
  <c r="H127" i="15"/>
  <c r="G127" i="15"/>
  <c r="F127" i="15"/>
  <c r="E127" i="15"/>
  <c r="M119" i="15"/>
  <c r="L119" i="15"/>
  <c r="K119" i="15"/>
  <c r="J119" i="15"/>
  <c r="I119" i="15"/>
  <c r="H119" i="15"/>
  <c r="G119" i="15"/>
  <c r="F119" i="15"/>
  <c r="E119" i="15"/>
  <c r="M45" i="15"/>
  <c r="L45" i="15"/>
  <c r="K45" i="15"/>
  <c r="J45" i="15"/>
  <c r="I45" i="15"/>
  <c r="H45" i="15"/>
  <c r="G45" i="15"/>
  <c r="F45" i="15"/>
  <c r="E45" i="15"/>
  <c r="K44" i="15"/>
  <c r="J44" i="15"/>
  <c r="H44" i="15"/>
  <c r="G44" i="15"/>
  <c r="F44" i="15"/>
  <c r="K43" i="15"/>
  <c r="J43" i="15"/>
  <c r="H43" i="15"/>
  <c r="G43" i="15"/>
  <c r="F43" i="15"/>
  <c r="K42" i="15"/>
  <c r="J42" i="15"/>
  <c r="H42" i="15"/>
  <c r="G42" i="15"/>
  <c r="F42" i="15"/>
  <c r="K41" i="15"/>
  <c r="J41" i="15"/>
  <c r="H41" i="15"/>
  <c r="G41" i="15"/>
  <c r="F41" i="15"/>
  <c r="E41" i="15"/>
  <c r="M40" i="15"/>
  <c r="L40" i="15"/>
  <c r="K40" i="15"/>
  <c r="J40" i="15"/>
  <c r="I40" i="15"/>
  <c r="H40" i="15"/>
  <c r="G40" i="15"/>
  <c r="F40" i="15"/>
  <c r="E40" i="15"/>
  <c r="J39" i="15"/>
  <c r="H39" i="15"/>
  <c r="G39" i="15"/>
  <c r="F39" i="15"/>
  <c r="E39" i="15"/>
  <c r="K38" i="15"/>
  <c r="J38" i="15"/>
  <c r="H38" i="15"/>
  <c r="G38" i="15"/>
  <c r="F38" i="15"/>
  <c r="K37" i="15"/>
  <c r="J37" i="15"/>
  <c r="H37" i="15"/>
  <c r="G37" i="15"/>
  <c r="F37" i="15"/>
  <c r="M36" i="15"/>
  <c r="L36" i="15"/>
  <c r="K36" i="15"/>
  <c r="J36" i="15"/>
  <c r="I36" i="15"/>
  <c r="H36" i="15"/>
  <c r="G36" i="15"/>
  <c r="F36" i="15"/>
  <c r="E36" i="15"/>
  <c r="K35" i="15"/>
  <c r="J35" i="15"/>
  <c r="H35" i="15"/>
  <c r="K34" i="15"/>
  <c r="J34" i="15"/>
  <c r="H34" i="15"/>
  <c r="G34" i="15"/>
  <c r="F34" i="15"/>
  <c r="M33" i="15"/>
  <c r="L33" i="15"/>
  <c r="K33" i="15"/>
  <c r="J33" i="15"/>
  <c r="I33" i="15"/>
  <c r="H33" i="15"/>
  <c r="G33" i="15"/>
  <c r="F33" i="15"/>
  <c r="E33" i="15"/>
  <c r="J32" i="15"/>
  <c r="H32" i="15"/>
  <c r="G32" i="15"/>
  <c r="F32" i="15"/>
  <c r="E32" i="15"/>
  <c r="J31" i="15"/>
  <c r="H31" i="15"/>
  <c r="G31" i="15"/>
  <c r="F31" i="15"/>
  <c r="E31" i="15"/>
  <c r="M27" i="15"/>
  <c r="L27" i="15"/>
  <c r="K27" i="15"/>
  <c r="J27" i="15"/>
  <c r="I27" i="15"/>
  <c r="H27" i="15"/>
  <c r="G27" i="15"/>
  <c r="F27" i="15"/>
  <c r="E27" i="15"/>
  <c r="M26" i="15"/>
  <c r="L26" i="15"/>
  <c r="K26" i="15"/>
  <c r="J26" i="15"/>
  <c r="I26" i="15"/>
  <c r="H26" i="15"/>
  <c r="G26" i="15"/>
  <c r="F26" i="15"/>
  <c r="E26" i="15"/>
  <c r="J25" i="15"/>
  <c r="H25" i="15"/>
  <c r="G25" i="15"/>
  <c r="F25" i="15"/>
  <c r="E25" i="15"/>
  <c r="J24" i="15"/>
  <c r="G24" i="15"/>
  <c r="F24" i="15"/>
  <c r="M21" i="15"/>
  <c r="L21" i="15"/>
  <c r="K21" i="15"/>
  <c r="J21" i="15"/>
  <c r="I21" i="15"/>
  <c r="H21" i="15"/>
  <c r="G21" i="15"/>
  <c r="F21" i="15"/>
  <c r="E21" i="15"/>
  <c r="K20" i="15"/>
  <c r="J20" i="15"/>
  <c r="H20" i="15"/>
  <c r="G20" i="15"/>
  <c r="F20" i="15"/>
  <c r="J19" i="15"/>
  <c r="H19" i="15"/>
  <c r="G19" i="15"/>
  <c r="F19" i="15"/>
  <c r="J18" i="15"/>
  <c r="G18" i="15"/>
  <c r="F18" i="15"/>
  <c r="J17" i="15"/>
  <c r="G17" i="15"/>
  <c r="F17" i="15"/>
  <c r="J16" i="15"/>
  <c r="G16" i="15"/>
  <c r="F16" i="15"/>
  <c r="J15" i="15"/>
  <c r="J14" i="15"/>
  <c r="H14" i="15"/>
  <c r="G14" i="15"/>
  <c r="F14" i="15"/>
  <c r="J13" i="15"/>
  <c r="G13" i="15"/>
  <c r="F13" i="15"/>
  <c r="G12" i="15"/>
  <c r="F12" i="15"/>
  <c r="J11" i="15"/>
  <c r="H11" i="15"/>
  <c r="G11" i="15"/>
  <c r="F11" i="15"/>
  <c r="K10" i="15"/>
  <c r="J10" i="15"/>
  <c r="H10" i="15"/>
  <c r="G10" i="15"/>
  <c r="F10" i="15"/>
  <c r="K9" i="15"/>
  <c r="J9" i="15"/>
  <c r="H9" i="15"/>
  <c r="G9" i="15"/>
  <c r="F9" i="15"/>
  <c r="H8" i="15"/>
  <c r="G8" i="15"/>
  <c r="F8" i="15"/>
  <c r="K7" i="15"/>
  <c r="J7" i="15"/>
  <c r="H7" i="15"/>
  <c r="G7" i="15"/>
  <c r="F7" i="15"/>
  <c r="J48" i="15"/>
  <c r="H48" i="15" l="1"/>
  <c r="J99" i="15"/>
  <c r="H99" i="15"/>
  <c r="N43" i="14" l="1"/>
  <c r="N41" i="14"/>
  <c r="K40" i="14"/>
  <c r="G40" i="14"/>
  <c r="H40" i="14" s="1"/>
  <c r="N40" i="14" s="1"/>
  <c r="N30" i="14"/>
  <c r="J29" i="14"/>
  <c r="I29" i="14"/>
  <c r="K29" i="14" s="1"/>
  <c r="N29" i="14" s="1"/>
  <c r="H29" i="14"/>
  <c r="G29" i="14"/>
  <c r="F29" i="14"/>
  <c r="E29" i="14"/>
  <c r="D29" i="14"/>
  <c r="M29" i="14" s="1"/>
  <c r="A1" i="14"/>
  <c r="N43" i="13"/>
  <c r="N41" i="13"/>
  <c r="K40" i="13"/>
  <c r="G40" i="13"/>
  <c r="H40" i="13" s="1"/>
  <c r="G39" i="13"/>
  <c r="G39" i="14" s="1"/>
  <c r="G38" i="14" s="1"/>
  <c r="M37" i="13"/>
  <c r="K37" i="13"/>
  <c r="N37" i="13" s="1"/>
  <c r="H37" i="13"/>
  <c r="G34" i="13"/>
  <c r="G34" i="14" s="1"/>
  <c r="N30" i="13"/>
  <c r="M29" i="13"/>
  <c r="K29" i="13"/>
  <c r="H29" i="13"/>
  <c r="I24" i="13"/>
  <c r="I24" i="14" s="1"/>
  <c r="F24" i="13"/>
  <c r="F24" i="14" s="1"/>
  <c r="E24" i="13"/>
  <c r="E24" i="14" s="1"/>
  <c r="I19" i="13"/>
  <c r="I19" i="14" s="1"/>
  <c r="G19" i="13"/>
  <c r="G19" i="14" s="1"/>
  <c r="F19" i="13"/>
  <c r="F19" i="14" s="1"/>
  <c r="E19" i="13"/>
  <c r="E19" i="14" s="1"/>
  <c r="I18" i="13"/>
  <c r="I18" i="14" s="1"/>
  <c r="F18" i="13"/>
  <c r="F18" i="14" s="1"/>
  <c r="E18" i="13"/>
  <c r="E18" i="14" s="1"/>
  <c r="I17" i="13"/>
  <c r="I17" i="14" s="1"/>
  <c r="F17" i="13"/>
  <c r="F17" i="14" s="1"/>
  <c r="E17" i="13"/>
  <c r="E17" i="14" s="1"/>
  <c r="I16" i="13"/>
  <c r="I16" i="14" s="1"/>
  <c r="F16" i="13"/>
  <c r="F16" i="14" s="1"/>
  <c r="E16" i="13"/>
  <c r="E16" i="14" s="1"/>
  <c r="I15" i="13"/>
  <c r="I15" i="14" s="1"/>
  <c r="I14" i="13"/>
  <c r="I14" i="14" s="1"/>
  <c r="F14" i="13"/>
  <c r="F14" i="14" s="1"/>
  <c r="E14" i="13"/>
  <c r="E14" i="14" s="1"/>
  <c r="I13" i="13"/>
  <c r="I13" i="14" s="1"/>
  <c r="F13" i="13"/>
  <c r="F13" i="14" s="1"/>
  <c r="E13" i="13"/>
  <c r="E13" i="14" s="1"/>
  <c r="F12" i="13"/>
  <c r="F12" i="14" s="1"/>
  <c r="E12" i="13"/>
  <c r="E12" i="14" s="1"/>
  <c r="A1" i="13"/>
  <c r="M43" i="12"/>
  <c r="M41" i="12"/>
  <c r="Q40" i="12"/>
  <c r="K40" i="12"/>
  <c r="H40" i="12"/>
  <c r="J39" i="12"/>
  <c r="I39" i="12"/>
  <c r="G39" i="12"/>
  <c r="G38" i="12" s="1"/>
  <c r="F39" i="12"/>
  <c r="E39" i="12"/>
  <c r="J38" i="12"/>
  <c r="F38" i="12"/>
  <c r="E38" i="12"/>
  <c r="K37" i="12"/>
  <c r="H37" i="12"/>
  <c r="J36" i="12"/>
  <c r="I36" i="12"/>
  <c r="K36" i="12" s="1"/>
  <c r="G36" i="12"/>
  <c r="G35" i="12" s="1"/>
  <c r="G41" i="12" s="1"/>
  <c r="F36" i="12"/>
  <c r="E36" i="12"/>
  <c r="J35" i="12"/>
  <c r="F35" i="12"/>
  <c r="J34" i="12"/>
  <c r="I34" i="12"/>
  <c r="K34" i="12" s="1"/>
  <c r="G34" i="12"/>
  <c r="J33" i="12"/>
  <c r="I33" i="12"/>
  <c r="G33" i="12"/>
  <c r="F33" i="12"/>
  <c r="E33" i="12"/>
  <c r="M30" i="12"/>
  <c r="K29" i="12"/>
  <c r="H29" i="12"/>
  <c r="G29" i="12"/>
  <c r="I24" i="12"/>
  <c r="F24" i="12"/>
  <c r="E24" i="12"/>
  <c r="J20" i="12"/>
  <c r="I20" i="12"/>
  <c r="K20" i="12" s="1"/>
  <c r="G20" i="12"/>
  <c r="F20" i="12"/>
  <c r="E20" i="12"/>
  <c r="I19" i="12"/>
  <c r="G19" i="12"/>
  <c r="F19" i="12"/>
  <c r="E19" i="12"/>
  <c r="I18" i="12"/>
  <c r="F18" i="12"/>
  <c r="E18" i="12"/>
  <c r="I17" i="12"/>
  <c r="F17" i="12"/>
  <c r="E17" i="12"/>
  <c r="I16" i="12"/>
  <c r="F16" i="12"/>
  <c r="E16" i="12"/>
  <c r="I15" i="12"/>
  <c r="I14" i="12"/>
  <c r="G14" i="12"/>
  <c r="F14" i="12"/>
  <c r="E14" i="12"/>
  <c r="H14" i="12" s="1"/>
  <c r="I13" i="12"/>
  <c r="F13" i="12"/>
  <c r="E13" i="12"/>
  <c r="F12" i="12"/>
  <c r="E12" i="12"/>
  <c r="I11" i="12"/>
  <c r="G11" i="12"/>
  <c r="F11" i="12"/>
  <c r="E11" i="12"/>
  <c r="J10" i="12"/>
  <c r="I10" i="12"/>
  <c r="K10" i="12" s="1"/>
  <c r="G10" i="12"/>
  <c r="F10" i="12"/>
  <c r="E10" i="12"/>
  <c r="J9" i="12"/>
  <c r="I9" i="12"/>
  <c r="K9" i="12" s="1"/>
  <c r="G9" i="12"/>
  <c r="F9" i="12"/>
  <c r="E9" i="12"/>
  <c r="G8" i="12"/>
  <c r="F8" i="12"/>
  <c r="E8" i="12"/>
  <c r="J7" i="12"/>
  <c r="I7" i="12"/>
  <c r="K7" i="12" s="1"/>
  <c r="G7" i="12"/>
  <c r="F7" i="12"/>
  <c r="E7" i="12"/>
  <c r="AI137" i="11"/>
  <c r="AF137" i="11"/>
  <c r="AE137" i="11"/>
  <c r="AC135" i="11"/>
  <c r="AH128" i="11"/>
  <c r="T126" i="11"/>
  <c r="Q126" i="11"/>
  <c r="P126" i="11"/>
  <c r="U125" i="11"/>
  <c r="V125" i="11" s="1"/>
  <c r="S125" i="11"/>
  <c r="S124" i="11"/>
  <c r="S123" i="11"/>
  <c r="S122" i="11"/>
  <c r="T121" i="11"/>
  <c r="R121" i="11"/>
  <c r="Q121" i="11"/>
  <c r="P121" i="11"/>
  <c r="T120" i="11"/>
  <c r="Q120" i="11"/>
  <c r="V118" i="11"/>
  <c r="T118" i="11"/>
  <c r="Q118" i="11"/>
  <c r="P118" i="11"/>
  <c r="Q117" i="11"/>
  <c r="P117" i="11"/>
  <c r="U113" i="11"/>
  <c r="AI95" i="11"/>
  <c r="AG95" i="11"/>
  <c r="AF95" i="11"/>
  <c r="P95" i="11"/>
  <c r="L95" i="11"/>
  <c r="I95" i="11"/>
  <c r="AG94" i="11"/>
  <c r="T94" i="11"/>
  <c r="Q94" i="11"/>
  <c r="P94" i="11"/>
  <c r="O94" i="11"/>
  <c r="L94" i="11"/>
  <c r="I94" i="11"/>
  <c r="AG93" i="11"/>
  <c r="T93" i="11"/>
  <c r="Q93" i="11"/>
  <c r="P93" i="11"/>
  <c r="O93" i="11"/>
  <c r="L93" i="11"/>
  <c r="I93" i="11"/>
  <c r="AJ92" i="11"/>
  <c r="AI92" i="11"/>
  <c r="AG92" i="11"/>
  <c r="AF92" i="11"/>
  <c r="AE92" i="11"/>
  <c r="AD92" i="11"/>
  <c r="V92" i="11"/>
  <c r="S92" i="11"/>
  <c r="L92" i="11"/>
  <c r="I92" i="11"/>
  <c r="AJ90" i="11"/>
  <c r="AI90" i="11"/>
  <c r="AG90" i="11"/>
  <c r="AF90" i="11"/>
  <c r="AE90" i="11"/>
  <c r="AD90" i="11"/>
  <c r="V90" i="11"/>
  <c r="S90" i="11"/>
  <c r="L90" i="11"/>
  <c r="I90" i="11"/>
  <c r="AI88" i="11"/>
  <c r="AG88" i="11"/>
  <c r="AF88" i="11"/>
  <c r="AJ87" i="11"/>
  <c r="AI87" i="11"/>
  <c r="AG87" i="11"/>
  <c r="AF87" i="11"/>
  <c r="AE87" i="11"/>
  <c r="AD87" i="11"/>
  <c r="V87" i="11"/>
  <c r="S87" i="11"/>
  <c r="L87" i="11"/>
  <c r="I87" i="11"/>
  <c r="T86" i="11"/>
  <c r="AI86" i="11" s="1"/>
  <c r="R86" i="11"/>
  <c r="O86" i="11"/>
  <c r="L86" i="11"/>
  <c r="T85" i="11"/>
  <c r="R85" i="11"/>
  <c r="Q85" i="11"/>
  <c r="AF85" i="11" s="1"/>
  <c r="P85" i="11"/>
  <c r="L85" i="11"/>
  <c r="I85" i="11"/>
  <c r="V77" i="11"/>
  <c r="S77" i="11"/>
  <c r="L77" i="11"/>
  <c r="I77" i="11"/>
  <c r="AD74" i="11"/>
  <c r="T74" i="11"/>
  <c r="R74" i="11"/>
  <c r="Q74" i="11"/>
  <c r="P74" i="11"/>
  <c r="L74" i="11"/>
  <c r="I74" i="11"/>
  <c r="AD72" i="11"/>
  <c r="T72" i="11"/>
  <c r="R72" i="11"/>
  <c r="Q72" i="11"/>
  <c r="P72" i="11"/>
  <c r="M72" i="11"/>
  <c r="I72" i="11"/>
  <c r="AD71" i="11"/>
  <c r="T71" i="11"/>
  <c r="R71" i="11"/>
  <c r="Q71" i="11"/>
  <c r="P71" i="11"/>
  <c r="I71" i="11"/>
  <c r="I58" i="11"/>
  <c r="J48" i="11"/>
  <c r="H48" i="11"/>
  <c r="AI44" i="11"/>
  <c r="AG44" i="11"/>
  <c r="AF44" i="11"/>
  <c r="S44" i="11"/>
  <c r="P44" i="11"/>
  <c r="L44" i="11"/>
  <c r="I44" i="11"/>
  <c r="AG43" i="11"/>
  <c r="T43" i="11"/>
  <c r="Q43" i="11"/>
  <c r="P43" i="11"/>
  <c r="L43" i="11"/>
  <c r="I43" i="11"/>
  <c r="AG42" i="11"/>
  <c r="T42" i="11"/>
  <c r="Q42" i="11"/>
  <c r="P42" i="11"/>
  <c r="L42" i="11"/>
  <c r="I42" i="11"/>
  <c r="E42" i="11" s="1"/>
  <c r="AI41" i="11"/>
  <c r="AG41" i="11"/>
  <c r="AF41" i="11"/>
  <c r="AE41" i="11"/>
  <c r="AD41" i="11"/>
  <c r="U41" i="11"/>
  <c r="S41" i="11"/>
  <c r="L41" i="11"/>
  <c r="I41" i="11"/>
  <c r="U39" i="11"/>
  <c r="S39" i="11"/>
  <c r="I39" i="11"/>
  <c r="L38" i="11"/>
  <c r="I38" i="11"/>
  <c r="T37" i="11"/>
  <c r="R37" i="11"/>
  <c r="Q37" i="11"/>
  <c r="AF37" i="11" s="1"/>
  <c r="P37" i="11"/>
  <c r="L37" i="11"/>
  <c r="I37" i="11"/>
  <c r="AG35" i="11"/>
  <c r="U35" i="11"/>
  <c r="J34" i="13" s="1"/>
  <c r="J34" i="14" s="1"/>
  <c r="T35" i="11"/>
  <c r="L35" i="11"/>
  <c r="U34" i="11"/>
  <c r="AJ34" i="11" s="1"/>
  <c r="T34" i="11"/>
  <c r="AI34" i="11" s="1"/>
  <c r="R34" i="11"/>
  <c r="Q34" i="11"/>
  <c r="AF34" i="11" s="1"/>
  <c r="P34" i="11"/>
  <c r="AE34" i="11" s="1"/>
  <c r="L34" i="11"/>
  <c r="I34" i="11"/>
  <c r="AI32" i="11"/>
  <c r="AG32" i="11"/>
  <c r="AF32" i="11"/>
  <c r="AE32" i="11"/>
  <c r="AD32" i="11"/>
  <c r="S32" i="11"/>
  <c r="I32" i="11"/>
  <c r="AI31" i="11"/>
  <c r="AG31" i="11"/>
  <c r="AF31" i="11"/>
  <c r="AE31" i="11"/>
  <c r="AD31" i="11"/>
  <c r="U31" i="11"/>
  <c r="S31" i="11"/>
  <c r="K31" i="11"/>
  <c r="I31" i="11"/>
  <c r="AG28" i="11"/>
  <c r="S25" i="11"/>
  <c r="I25" i="11"/>
  <c r="AI24" i="11"/>
  <c r="AF24" i="11"/>
  <c r="AE24" i="11"/>
  <c r="L20" i="11"/>
  <c r="I20" i="11"/>
  <c r="AI19" i="11"/>
  <c r="AG19" i="11"/>
  <c r="AF19" i="11"/>
  <c r="AE19" i="11"/>
  <c r="S19" i="11"/>
  <c r="I19" i="11"/>
  <c r="AI18" i="11"/>
  <c r="AF18" i="11"/>
  <c r="AE18" i="11"/>
  <c r="AI17" i="11"/>
  <c r="AF17" i="11"/>
  <c r="AE17" i="11"/>
  <c r="AI16" i="11"/>
  <c r="AF16" i="11"/>
  <c r="AE16" i="11"/>
  <c r="AI15" i="11"/>
  <c r="AI14" i="11"/>
  <c r="AF14" i="11"/>
  <c r="AE14" i="11"/>
  <c r="I14" i="11"/>
  <c r="AI13" i="11"/>
  <c r="AF13" i="11"/>
  <c r="AE13" i="11"/>
  <c r="AF12" i="11"/>
  <c r="AE12" i="11"/>
  <c r="I11" i="11"/>
  <c r="L10" i="11"/>
  <c r="I10" i="11"/>
  <c r="L9" i="11"/>
  <c r="I9" i="11"/>
  <c r="I8" i="11"/>
  <c r="L7" i="11"/>
  <c r="I7" i="11"/>
  <c r="K39" i="12" l="1"/>
  <c r="K38" i="12" s="1"/>
  <c r="J32" i="12"/>
  <c r="J42" i="12" s="1"/>
  <c r="M42" i="11"/>
  <c r="AI72" i="11"/>
  <c r="AE94" i="11"/>
  <c r="S121" i="11"/>
  <c r="AG34" i="11"/>
  <c r="K39" i="11"/>
  <c r="AH41" i="11"/>
  <c r="F39" i="13"/>
  <c r="AE44" i="11"/>
  <c r="M71" i="11"/>
  <c r="AE72" i="11"/>
  <c r="AF74" i="11"/>
  <c r="M77" i="11"/>
  <c r="M87" i="11"/>
  <c r="AK87" i="11"/>
  <c r="AE93" i="11"/>
  <c r="M94" i="11"/>
  <c r="AF94" i="11"/>
  <c r="P120" i="11"/>
  <c r="G32" i="12"/>
  <c r="G42" i="12" s="1"/>
  <c r="L41" i="12"/>
  <c r="H39" i="12"/>
  <c r="H38" i="12" s="1"/>
  <c r="N29" i="13"/>
  <c r="G38" i="13"/>
  <c r="AJ31" i="11"/>
  <c r="M41" i="11"/>
  <c r="E43" i="11"/>
  <c r="AG71" i="11"/>
  <c r="AE74" i="11"/>
  <c r="AH74" i="11" s="1"/>
  <c r="W90" i="11"/>
  <c r="M92" i="11"/>
  <c r="AK92" i="11"/>
  <c r="AD93" i="11"/>
  <c r="L31" i="11"/>
  <c r="AH31" i="11"/>
  <c r="AH32" i="11"/>
  <c r="AJ35" i="11"/>
  <c r="I39" i="13"/>
  <c r="AE43" i="11"/>
  <c r="AI43" i="11"/>
  <c r="AE71" i="11"/>
  <c r="AF72" i="11"/>
  <c r="M74" i="11"/>
  <c r="AG74" i="11"/>
  <c r="AH87" i="11"/>
  <c r="M90" i="11"/>
  <c r="AK90" i="11"/>
  <c r="W92" i="11"/>
  <c r="AH92" i="11"/>
  <c r="M93" i="11"/>
  <c r="AF93" i="11"/>
  <c r="AE95" i="11"/>
  <c r="H7" i="12"/>
  <c r="H8" i="12"/>
  <c r="H9" i="12"/>
  <c r="H10" i="12"/>
  <c r="H20" i="12"/>
  <c r="K33" i="12"/>
  <c r="M37" i="12"/>
  <c r="V39" i="11"/>
  <c r="AJ41" i="11"/>
  <c r="AF43" i="11"/>
  <c r="AF71" i="11"/>
  <c r="AG72" i="11"/>
  <c r="W77" i="11"/>
  <c r="AG86" i="11"/>
  <c r="W87" i="11"/>
  <c r="AH90" i="11"/>
  <c r="AD94" i="11"/>
  <c r="V126" i="11"/>
  <c r="H11" i="12"/>
  <c r="H19" i="12"/>
  <c r="M29" i="12"/>
  <c r="H33" i="12"/>
  <c r="I38" i="12"/>
  <c r="AH19" i="11"/>
  <c r="O125" i="11"/>
  <c r="W125" i="11" s="1"/>
  <c r="AK34" i="11"/>
  <c r="AH34" i="11"/>
  <c r="K25" i="11"/>
  <c r="U25" i="11"/>
  <c r="V31" i="11"/>
  <c r="K32" i="11"/>
  <c r="U32" i="11"/>
  <c r="F33" i="13"/>
  <c r="S34" i="11"/>
  <c r="J33" i="13"/>
  <c r="I34" i="13"/>
  <c r="AI35" i="11"/>
  <c r="AK35" i="11" s="1"/>
  <c r="V35" i="11"/>
  <c r="AE37" i="11"/>
  <c r="S37" i="11"/>
  <c r="R114" i="11"/>
  <c r="AG37" i="11"/>
  <c r="AK41" i="11"/>
  <c r="M43" i="11"/>
  <c r="O43" i="11"/>
  <c r="AH43" i="11"/>
  <c r="AH71" i="11"/>
  <c r="AL90" i="11"/>
  <c r="AH94" i="11"/>
  <c r="E33" i="13"/>
  <c r="G33" i="13"/>
  <c r="I33" i="13"/>
  <c r="V34" i="11"/>
  <c r="T114" i="11"/>
  <c r="AI37" i="11"/>
  <c r="Q114" i="11"/>
  <c r="L39" i="11"/>
  <c r="V41" i="11"/>
  <c r="E39" i="13"/>
  <c r="S42" i="11"/>
  <c r="AE42" i="11"/>
  <c r="AI42" i="11"/>
  <c r="S71" i="11"/>
  <c r="AI71" i="11"/>
  <c r="S74" i="11"/>
  <c r="AI74" i="11"/>
  <c r="S85" i="11"/>
  <c r="AE85" i="11"/>
  <c r="AG85" i="11"/>
  <c r="AI85" i="11"/>
  <c r="AD86" i="11"/>
  <c r="S93" i="11"/>
  <c r="AI93" i="11"/>
  <c r="S94" i="11"/>
  <c r="AI94" i="11"/>
  <c r="S95" i="11"/>
  <c r="O42" i="11"/>
  <c r="F39" i="14"/>
  <c r="F38" i="14" s="1"/>
  <c r="F38" i="13"/>
  <c r="I39" i="14"/>
  <c r="I38" i="13"/>
  <c r="AF42" i="11"/>
  <c r="S43" i="11"/>
  <c r="S72" i="11"/>
  <c r="I32" i="12"/>
  <c r="E35" i="12"/>
  <c r="H35" i="12" s="1"/>
  <c r="I35" i="12"/>
  <c r="K35" i="12" s="1"/>
  <c r="H36" i="12"/>
  <c r="H19" i="14"/>
  <c r="H19" i="13"/>
  <c r="U93" i="11" l="1"/>
  <c r="AH95" i="11"/>
  <c r="AH93" i="11"/>
  <c r="AH44" i="11"/>
  <c r="K48" i="11"/>
  <c r="AL92" i="11"/>
  <c r="L32" i="11"/>
  <c r="M31" i="11"/>
  <c r="M39" i="11"/>
  <c r="W31" i="11"/>
  <c r="Y125" i="11"/>
  <c r="U94" i="11"/>
  <c r="V25" i="11"/>
  <c r="W39" i="11"/>
  <c r="W41" i="11"/>
  <c r="AL41" i="11"/>
  <c r="L25" i="11"/>
  <c r="AL87" i="11"/>
  <c r="AH72" i="11"/>
  <c r="AK31" i="11"/>
  <c r="AJ94" i="11"/>
  <c r="V94" i="11"/>
  <c r="AJ93" i="11"/>
  <c r="V93" i="11"/>
  <c r="I38" i="14"/>
  <c r="AH37" i="11"/>
  <c r="J33" i="14"/>
  <c r="J32" i="14" s="1"/>
  <c r="J32" i="13"/>
  <c r="L48" i="11"/>
  <c r="I42" i="12"/>
  <c r="K32" i="12"/>
  <c r="K42" i="12" s="1"/>
  <c r="U72" i="11"/>
  <c r="AD42" i="11"/>
  <c r="U42" i="11"/>
  <c r="AK94" i="11"/>
  <c r="AH85" i="11"/>
  <c r="U74" i="11"/>
  <c r="U71" i="11"/>
  <c r="AH42" i="11"/>
  <c r="E39" i="14"/>
  <c r="H39" i="13"/>
  <c r="H38" i="13" s="1"/>
  <c r="E38" i="13"/>
  <c r="V114" i="11"/>
  <c r="I33" i="14"/>
  <c r="K33" i="13"/>
  <c r="I32" i="13"/>
  <c r="G33" i="14"/>
  <c r="G32" i="14" s="1"/>
  <c r="G32" i="13"/>
  <c r="E33" i="14"/>
  <c r="H33" i="13"/>
  <c r="U43" i="11"/>
  <c r="AD43" i="11"/>
  <c r="I34" i="14"/>
  <c r="K34" i="14" s="1"/>
  <c r="K34" i="13"/>
  <c r="F33" i="14"/>
  <c r="AJ32" i="11"/>
  <c r="V32" i="11"/>
  <c r="BB5" i="3"/>
  <c r="BK3" i="3"/>
  <c r="BJ3" i="3"/>
  <c r="BH3" i="3"/>
  <c r="BG3" i="3"/>
  <c r="BF3" i="3"/>
  <c r="BB3" i="3"/>
  <c r="AY3" i="3"/>
  <c r="BB14" i="2"/>
  <c r="AY14" i="2"/>
  <c r="BB9" i="2"/>
  <c r="BJ4" i="2"/>
  <c r="BG4" i="2"/>
  <c r="BF4" i="2"/>
  <c r="BB6" i="2" l="1"/>
  <c r="BB5" i="2"/>
  <c r="BB11" i="2"/>
  <c r="BB39" i="2"/>
  <c r="AL94" i="11"/>
  <c r="W93" i="11"/>
  <c r="W25" i="11"/>
  <c r="W32" i="11"/>
  <c r="AK32" i="11"/>
  <c r="W94" i="11"/>
  <c r="M25" i="11"/>
  <c r="AK93" i="11"/>
  <c r="M32" i="11"/>
  <c r="AL31" i="11"/>
  <c r="BI3" i="3"/>
  <c r="BL3" i="3"/>
  <c r="BI4" i="2"/>
  <c r="K32" i="13"/>
  <c r="K33" i="14"/>
  <c r="K32" i="14" s="1"/>
  <c r="I32" i="14"/>
  <c r="AJ71" i="11"/>
  <c r="V71" i="11"/>
  <c r="AJ74" i="11"/>
  <c r="V74" i="11"/>
  <c r="AJ43" i="11"/>
  <c r="V43" i="11"/>
  <c r="H33" i="14"/>
  <c r="H39" i="14"/>
  <c r="H38" i="14" s="1"/>
  <c r="E38" i="14"/>
  <c r="AJ42" i="11"/>
  <c r="V42" i="11"/>
  <c r="AJ72" i="11"/>
  <c r="V72" i="11"/>
  <c r="BL4" i="2"/>
  <c r="BC11" i="2" l="1"/>
  <c r="BC14" i="2"/>
  <c r="AY5" i="2"/>
  <c r="AY6" i="2"/>
  <c r="BC9" i="2"/>
  <c r="BC6" i="2"/>
  <c r="AY4" i="2"/>
  <c r="AY11" i="2"/>
  <c r="AY37" i="2"/>
  <c r="AY39" i="2"/>
  <c r="AY9" i="2"/>
  <c r="AY15" i="2"/>
  <c r="BB4" i="2"/>
  <c r="BC5" i="2"/>
  <c r="BC39" i="2"/>
  <c r="AY7" i="2"/>
  <c r="AY17" i="2"/>
  <c r="BB7" i="3"/>
  <c r="AY5" i="3"/>
  <c r="AY7" i="3"/>
  <c r="BD3" i="3"/>
  <c r="BC3" i="3"/>
  <c r="BM4" i="2"/>
  <c r="W72" i="11"/>
  <c r="W43" i="11"/>
  <c r="AL32" i="11"/>
  <c r="AL93" i="11"/>
  <c r="W74" i="11"/>
  <c r="AK42" i="11"/>
  <c r="W71" i="11"/>
  <c r="AK72" i="11"/>
  <c r="AK43" i="11"/>
  <c r="AK71" i="11"/>
  <c r="W42" i="11"/>
  <c r="AK74" i="11"/>
  <c r="BM3" i="3"/>
  <c r="BB17" i="2"/>
  <c r="BC4" i="2" l="1"/>
  <c r="BB15" i="2"/>
  <c r="BB7" i="2"/>
  <c r="BC15" i="2"/>
  <c r="BB37" i="2"/>
  <c r="BC37" i="2"/>
  <c r="BD7" i="3"/>
  <c r="BC7" i="3"/>
  <c r="BD5" i="3"/>
  <c r="BC5" i="3"/>
  <c r="AL43" i="11"/>
  <c r="AL74" i="11"/>
  <c r="AL71" i="11"/>
  <c r="AL72" i="11"/>
  <c r="AL42" i="11"/>
  <c r="H48" i="1"/>
  <c r="BC17" i="2" l="1"/>
  <c r="BC7" i="2"/>
  <c r="BE32" i="2"/>
  <c r="BD32" i="2"/>
  <c r="BE30" i="2"/>
  <c r="BD30" i="2"/>
  <c r="BD10" i="2"/>
  <c r="BD8" i="2"/>
  <c r="A1" i="10"/>
  <c r="H14" i="10"/>
  <c r="E14" i="10"/>
  <c r="D14" i="10"/>
  <c r="M25" i="10"/>
  <c r="F23" i="10"/>
  <c r="J20" i="10"/>
  <c r="G20" i="10"/>
  <c r="L18" i="10"/>
  <c r="J18" i="10"/>
  <c r="G18" i="10"/>
  <c r="M16" i="10"/>
  <c r="J15" i="10"/>
  <c r="G15" i="10"/>
  <c r="G65" i="1" l="1"/>
  <c r="G65" i="11"/>
  <c r="K65" i="1"/>
  <c r="K65" i="11"/>
  <c r="P65" i="1"/>
  <c r="P65" i="11"/>
  <c r="R65" i="1"/>
  <c r="R65" i="11"/>
  <c r="T65" i="1"/>
  <c r="T65" i="11"/>
  <c r="G69" i="1"/>
  <c r="G69" i="11"/>
  <c r="K69" i="1"/>
  <c r="K69" i="11"/>
  <c r="P69" i="1"/>
  <c r="P69" i="11"/>
  <c r="R69" i="1"/>
  <c r="R69" i="11"/>
  <c r="T69" i="1"/>
  <c r="T69" i="11"/>
  <c r="F65" i="1"/>
  <c r="F65" i="11"/>
  <c r="H65" i="1"/>
  <c r="H65" i="11"/>
  <c r="J65" i="1"/>
  <c r="J65" i="11"/>
  <c r="Q65" i="1"/>
  <c r="Q65" i="11"/>
  <c r="U65" i="1"/>
  <c r="U65" i="11"/>
  <c r="F69" i="1"/>
  <c r="F69" i="11"/>
  <c r="H69" i="1"/>
  <c r="H69" i="11"/>
  <c r="J69" i="1"/>
  <c r="J69" i="11"/>
  <c r="Q69" i="1"/>
  <c r="Q69" i="11"/>
  <c r="U69" i="1"/>
  <c r="U69" i="11"/>
  <c r="M15" i="10"/>
  <c r="M20" i="10"/>
  <c r="M18" i="10"/>
  <c r="L65" i="1" l="1"/>
  <c r="L69" i="1"/>
  <c r="S65" i="1"/>
  <c r="I69" i="1"/>
  <c r="I65" i="1"/>
  <c r="S69" i="1"/>
  <c r="U69" i="15"/>
  <c r="AJ69" i="11"/>
  <c r="Q69" i="15"/>
  <c r="AF69" i="11"/>
  <c r="L69" i="11"/>
  <c r="J69" i="15"/>
  <c r="H69" i="15"/>
  <c r="F69" i="15"/>
  <c r="U65" i="15"/>
  <c r="AJ65" i="11"/>
  <c r="Q65" i="15"/>
  <c r="AF65" i="11"/>
  <c r="L65" i="11"/>
  <c r="J65" i="15"/>
  <c r="H65" i="15"/>
  <c r="F65" i="15"/>
  <c r="V69" i="11"/>
  <c r="T69" i="15"/>
  <c r="AI69" i="11"/>
  <c r="AG69" i="11"/>
  <c r="R69" i="15"/>
  <c r="AE69" i="11"/>
  <c r="P69" i="15"/>
  <c r="S69" i="11"/>
  <c r="K69" i="15"/>
  <c r="I69" i="11"/>
  <c r="I69" i="15" s="1"/>
  <c r="G69" i="15"/>
  <c r="V65" i="11"/>
  <c r="T65" i="15"/>
  <c r="AI65" i="11"/>
  <c r="AG65" i="11"/>
  <c r="R65" i="15"/>
  <c r="AE65" i="11"/>
  <c r="P65" i="15"/>
  <c r="S65" i="11"/>
  <c r="K65" i="15"/>
  <c r="I65" i="11"/>
  <c r="G65" i="15"/>
  <c r="AD74" i="1"/>
  <c r="AD74" i="15" s="1"/>
  <c r="AD72" i="1"/>
  <c r="AD72" i="15" s="1"/>
  <c r="AD71" i="1"/>
  <c r="AD71" i="15" s="1"/>
  <c r="L65" i="15" l="1"/>
  <c r="S69" i="15"/>
  <c r="L69" i="15"/>
  <c r="S65" i="15"/>
  <c r="I65" i="15"/>
  <c r="AH65" i="11"/>
  <c r="AK65" i="11"/>
  <c r="AH69" i="11"/>
  <c r="AK69" i="11"/>
  <c r="U125" i="1"/>
  <c r="U125" i="15" l="1"/>
  <c r="U34" i="1"/>
  <c r="U34" i="15" s="1"/>
  <c r="U35" i="1"/>
  <c r="U35" i="15" s="1"/>
  <c r="I44" i="1"/>
  <c r="I44" i="15" s="1"/>
  <c r="I43" i="1"/>
  <c r="I43" i="15" s="1"/>
  <c r="I42" i="1"/>
  <c r="I42" i="15" s="1"/>
  <c r="I41" i="1"/>
  <c r="I41" i="15" s="1"/>
  <c r="I39" i="1"/>
  <c r="I38" i="1"/>
  <c r="I38" i="15" s="1"/>
  <c r="I34" i="1"/>
  <c r="I32" i="1"/>
  <c r="I31" i="1"/>
  <c r="I25" i="1"/>
  <c r="I20" i="1"/>
  <c r="I20" i="15" s="1"/>
  <c r="I19" i="1"/>
  <c r="I19" i="15" s="1"/>
  <c r="I14" i="1"/>
  <c r="I14" i="15" s="1"/>
  <c r="I11" i="1"/>
  <c r="I11" i="15" s="1"/>
  <c r="I10" i="1"/>
  <c r="I10" i="15" s="1"/>
  <c r="I9" i="1"/>
  <c r="I9" i="15" s="1"/>
  <c r="I8" i="1"/>
  <c r="I8" i="15" s="1"/>
  <c r="I7" i="1"/>
  <c r="I7" i="15" s="1"/>
  <c r="S41" i="1"/>
  <c r="S39" i="1"/>
  <c r="S32" i="1"/>
  <c r="S31" i="1"/>
  <c r="S25" i="1"/>
  <c r="S19" i="1"/>
  <c r="S19" i="15" s="1"/>
  <c r="I95" i="1"/>
  <c r="I95" i="15" s="1"/>
  <c r="I94" i="1"/>
  <c r="I94" i="15" s="1"/>
  <c r="I93" i="1"/>
  <c r="I93" i="15" s="1"/>
  <c r="I92" i="1"/>
  <c r="I92" i="15" s="1"/>
  <c r="I90" i="1"/>
  <c r="I90" i="15" s="1"/>
  <c r="I87" i="1"/>
  <c r="I87" i="15" s="1"/>
  <c r="I85" i="1"/>
  <c r="I85" i="15" s="1"/>
  <c r="I77" i="1"/>
  <c r="I77" i="15" s="1"/>
  <c r="I74" i="1"/>
  <c r="I74" i="15" s="1"/>
  <c r="I71" i="1"/>
  <c r="I72" i="1"/>
  <c r="I58" i="1"/>
  <c r="I58" i="15" s="1"/>
  <c r="S92" i="1"/>
  <c r="S92" i="15" s="1"/>
  <c r="S90" i="1"/>
  <c r="S90" i="15" s="1"/>
  <c r="S87" i="1"/>
  <c r="S87" i="15" s="1"/>
  <c r="S77" i="1"/>
  <c r="S77" i="15" s="1"/>
  <c r="S122" i="1"/>
  <c r="S122" i="15" s="1"/>
  <c r="S123" i="1"/>
  <c r="S123" i="15" s="1"/>
  <c r="S124" i="1"/>
  <c r="S124" i="15" s="1"/>
  <c r="I34" i="15" l="1"/>
  <c r="U31" i="1"/>
  <c r="U31" i="15" s="1"/>
  <c r="S31" i="15"/>
  <c r="U32" i="1"/>
  <c r="U32" i="15" s="1"/>
  <c r="S32" i="15"/>
  <c r="K31" i="1"/>
  <c r="K31" i="15" s="1"/>
  <c r="I31" i="15"/>
  <c r="K39" i="1"/>
  <c r="K39" i="15" s="1"/>
  <c r="I39" i="15"/>
  <c r="K25" i="1"/>
  <c r="K25" i="15" s="1"/>
  <c r="I25" i="15"/>
  <c r="U39" i="1"/>
  <c r="U39" i="15" s="1"/>
  <c r="S39" i="15"/>
  <c r="K32" i="1"/>
  <c r="K32" i="15" s="1"/>
  <c r="I32" i="15"/>
  <c r="M71" i="1"/>
  <c r="M71" i="15" s="1"/>
  <c r="I71" i="15"/>
  <c r="M72" i="1"/>
  <c r="M72" i="15" s="1"/>
  <c r="I72" i="15"/>
  <c r="U25" i="1"/>
  <c r="U25" i="15" s="1"/>
  <c r="S25" i="15"/>
  <c r="S41" i="15"/>
  <c r="U41" i="1"/>
  <c r="U41" i="15" s="1"/>
  <c r="R86" i="1"/>
  <c r="K99" i="15" l="1"/>
  <c r="K48" i="15"/>
  <c r="F22" i="10"/>
  <c r="R86" i="15"/>
  <c r="S125" i="1"/>
  <c r="S125" i="15" s="1"/>
  <c r="AY4" i="4" l="1"/>
  <c r="AX4" i="4"/>
  <c r="AW4" i="4"/>
  <c r="AV4" i="4"/>
  <c r="AU4" i="4"/>
  <c r="AU6" i="4"/>
  <c r="AU5" i="4"/>
  <c r="AW7" i="4"/>
  <c r="AW6" i="4"/>
  <c r="AW5" i="4"/>
  <c r="L43" i="1" l="1"/>
  <c r="L43" i="15" s="1"/>
  <c r="L42" i="1"/>
  <c r="L42" i="15" s="1"/>
  <c r="L41" i="1"/>
  <c r="L39" i="1"/>
  <c r="L38" i="1"/>
  <c r="L38" i="15" s="1"/>
  <c r="I37" i="1"/>
  <c r="I37" i="15" s="1"/>
  <c r="L35" i="1"/>
  <c r="L34" i="1"/>
  <c r="L34" i="15" s="1"/>
  <c r="L35" i="15" l="1"/>
  <c r="M39" i="1"/>
  <c r="M39" i="15" s="1"/>
  <c r="L39" i="15"/>
  <c r="M41" i="1"/>
  <c r="M41" i="15" s="1"/>
  <c r="L41" i="15"/>
  <c r="L37" i="1"/>
  <c r="L37" i="15" s="1"/>
  <c r="J48" i="1"/>
  <c r="A1" i="9"/>
  <c r="G14" i="9"/>
  <c r="J14" i="9"/>
  <c r="L14" i="9"/>
  <c r="G15" i="9"/>
  <c r="J15" i="9"/>
  <c r="M16" i="9"/>
  <c r="G18" i="9"/>
  <c r="J18" i="9"/>
  <c r="L18" i="9"/>
  <c r="G20" i="9"/>
  <c r="J20" i="9"/>
  <c r="F22" i="9"/>
  <c r="F23" i="9"/>
  <c r="M25" i="9"/>
  <c r="A1" i="8"/>
  <c r="D6" i="8"/>
  <c r="E6" i="8"/>
  <c r="F6" i="8"/>
  <c r="H6" i="8"/>
  <c r="W9" i="8"/>
  <c r="D13" i="8"/>
  <c r="E13" i="8"/>
  <c r="F13" i="8"/>
  <c r="H13" i="8"/>
  <c r="I13" i="8"/>
  <c r="G14" i="8"/>
  <c r="J14" i="8"/>
  <c r="L14" i="8" s="1"/>
  <c r="G15" i="8"/>
  <c r="L15" i="8" s="1"/>
  <c r="J15" i="8"/>
  <c r="L16" i="8"/>
  <c r="G18" i="8"/>
  <c r="L18" i="8" s="1"/>
  <c r="J18" i="8"/>
  <c r="L20" i="8"/>
  <c r="D21" i="8"/>
  <c r="E21" i="8"/>
  <c r="F21" i="8"/>
  <c r="H21" i="8"/>
  <c r="I21" i="8"/>
  <c r="C22" i="8"/>
  <c r="F22" i="8"/>
  <c r="H22" i="8"/>
  <c r="I22" i="8"/>
  <c r="D23" i="8"/>
  <c r="E23" i="8"/>
  <c r="F23" i="8"/>
  <c r="H23" i="8"/>
  <c r="S23" i="8"/>
  <c r="U23" i="8"/>
  <c r="L25" i="8"/>
  <c r="W25" i="8"/>
  <c r="W27" i="8"/>
  <c r="W31" i="8"/>
  <c r="A1" i="7"/>
  <c r="D29" i="7"/>
  <c r="M29" i="7" s="1"/>
  <c r="E29" i="7"/>
  <c r="H29" i="7" s="1"/>
  <c r="F29" i="7"/>
  <c r="G29" i="7"/>
  <c r="I29" i="7"/>
  <c r="J29" i="7"/>
  <c r="N30" i="7"/>
  <c r="G40" i="7"/>
  <c r="H40" i="7" s="1"/>
  <c r="N40" i="7" s="1"/>
  <c r="K40" i="7"/>
  <c r="N41" i="7"/>
  <c r="N43" i="7"/>
  <c r="A1" i="6"/>
  <c r="E12" i="6"/>
  <c r="F12" i="6"/>
  <c r="F12" i="7" s="1"/>
  <c r="E13" i="6"/>
  <c r="E13" i="7" s="1"/>
  <c r="F13" i="6"/>
  <c r="F13" i="7" s="1"/>
  <c r="I13" i="6"/>
  <c r="I13" i="7" s="1"/>
  <c r="E14" i="6"/>
  <c r="E14" i="7" s="1"/>
  <c r="F14" i="6"/>
  <c r="F14" i="7" s="1"/>
  <c r="I14" i="6"/>
  <c r="I14" i="7" s="1"/>
  <c r="I15" i="6"/>
  <c r="I15" i="7" s="1"/>
  <c r="E16" i="6"/>
  <c r="E16" i="7" s="1"/>
  <c r="F16" i="6"/>
  <c r="F16" i="7" s="1"/>
  <c r="I16" i="6"/>
  <c r="I16" i="7" s="1"/>
  <c r="E17" i="6"/>
  <c r="E17" i="7" s="1"/>
  <c r="F17" i="6"/>
  <c r="F17" i="7" s="1"/>
  <c r="I17" i="6"/>
  <c r="I17" i="7" s="1"/>
  <c r="E18" i="6"/>
  <c r="E18" i="7" s="1"/>
  <c r="F18" i="6"/>
  <c r="F18" i="7" s="1"/>
  <c r="I18" i="6"/>
  <c r="I18" i="7" s="1"/>
  <c r="E19" i="6"/>
  <c r="E19" i="7" s="1"/>
  <c r="F19" i="6"/>
  <c r="F19" i="7" s="1"/>
  <c r="G19" i="6"/>
  <c r="G19" i="7" s="1"/>
  <c r="I19" i="6"/>
  <c r="I19" i="7" s="1"/>
  <c r="E24" i="6"/>
  <c r="E24" i="7" s="1"/>
  <c r="F24" i="6"/>
  <c r="F24" i="7" s="1"/>
  <c r="I24" i="6"/>
  <c r="I24" i="7" s="1"/>
  <c r="H29" i="6"/>
  <c r="N29" i="6" s="1"/>
  <c r="K29" i="6"/>
  <c r="M29" i="6"/>
  <c r="N30" i="6"/>
  <c r="G34" i="6"/>
  <c r="G34" i="7" s="1"/>
  <c r="H37" i="6"/>
  <c r="K37" i="6"/>
  <c r="M37" i="6"/>
  <c r="G39" i="6"/>
  <c r="G39" i="7" s="1"/>
  <c r="G38" i="7" s="1"/>
  <c r="G40" i="6"/>
  <c r="H40" i="6"/>
  <c r="K40" i="6"/>
  <c r="N41" i="6"/>
  <c r="N43" i="6"/>
  <c r="E7" i="5"/>
  <c r="F7" i="5"/>
  <c r="G7" i="5"/>
  <c r="I7" i="5"/>
  <c r="J7" i="5"/>
  <c r="E8" i="5"/>
  <c r="F8" i="5"/>
  <c r="G8" i="5"/>
  <c r="E9" i="5"/>
  <c r="F9" i="5"/>
  <c r="G9" i="5"/>
  <c r="I9" i="5"/>
  <c r="J9" i="5"/>
  <c r="E10" i="5"/>
  <c r="F10" i="5"/>
  <c r="G10" i="5"/>
  <c r="I10" i="5"/>
  <c r="J10" i="5"/>
  <c r="E11" i="5"/>
  <c r="F11" i="5"/>
  <c r="G11" i="5"/>
  <c r="I11" i="5"/>
  <c r="E12" i="5"/>
  <c r="F12" i="5"/>
  <c r="E13" i="5"/>
  <c r="F13" i="5"/>
  <c r="I13" i="5"/>
  <c r="E14" i="5"/>
  <c r="F14" i="5"/>
  <c r="G14" i="5"/>
  <c r="I14" i="5"/>
  <c r="I15" i="5"/>
  <c r="E16" i="5"/>
  <c r="F16" i="5"/>
  <c r="I16" i="5"/>
  <c r="E17" i="5"/>
  <c r="F17" i="5"/>
  <c r="I17" i="5"/>
  <c r="E18" i="5"/>
  <c r="F18" i="5"/>
  <c r="I18" i="5"/>
  <c r="E19" i="5"/>
  <c r="F19" i="5"/>
  <c r="G19" i="5"/>
  <c r="I19" i="5"/>
  <c r="E20" i="5"/>
  <c r="F20" i="5"/>
  <c r="G20" i="5"/>
  <c r="I20" i="5"/>
  <c r="J20" i="5"/>
  <c r="E24" i="5"/>
  <c r="F24" i="5"/>
  <c r="I24" i="5"/>
  <c r="G29" i="5"/>
  <c r="H29" i="5" s="1"/>
  <c r="M29" i="5" s="1"/>
  <c r="K29" i="5"/>
  <c r="M30" i="5"/>
  <c r="E33" i="5"/>
  <c r="F33" i="5"/>
  <c r="G33" i="5"/>
  <c r="I33" i="5"/>
  <c r="J33" i="5"/>
  <c r="G34" i="5"/>
  <c r="I34" i="5"/>
  <c r="J34" i="5"/>
  <c r="F36" i="5"/>
  <c r="F35" i="5" s="1"/>
  <c r="G36" i="5"/>
  <c r="G35" i="5" s="1"/>
  <c r="G41" i="5" s="1"/>
  <c r="J36" i="5"/>
  <c r="J35" i="5" s="1"/>
  <c r="H37" i="5"/>
  <c r="K37" i="5"/>
  <c r="E39" i="5"/>
  <c r="E38" i="5" s="1"/>
  <c r="F39" i="5"/>
  <c r="F38" i="5" s="1"/>
  <c r="G39" i="5"/>
  <c r="G38" i="5" s="1"/>
  <c r="I39" i="5"/>
  <c r="I38" i="5" s="1"/>
  <c r="H40" i="5"/>
  <c r="K40" i="5"/>
  <c r="Q40" i="5"/>
  <c r="M41" i="5"/>
  <c r="M43" i="5"/>
  <c r="Y4" i="4"/>
  <c r="Y5" i="4"/>
  <c r="H16" i="11" s="1"/>
  <c r="AV5" i="4"/>
  <c r="AX5" i="4"/>
  <c r="AY5" i="4"/>
  <c r="Y6" i="4"/>
  <c r="H17" i="11" s="1"/>
  <c r="AV6" i="4"/>
  <c r="AX6" i="4"/>
  <c r="AY6" i="4"/>
  <c r="Y7" i="4"/>
  <c r="H18" i="11" s="1"/>
  <c r="AU7" i="4"/>
  <c r="AV7" i="4"/>
  <c r="AX7" i="4"/>
  <c r="AY7" i="4"/>
  <c r="F22" i="11"/>
  <c r="G22" i="11"/>
  <c r="J22" i="11"/>
  <c r="K22" i="11"/>
  <c r="G23" i="1"/>
  <c r="F28" i="11"/>
  <c r="G28" i="11"/>
  <c r="J28" i="11"/>
  <c r="K28" i="11"/>
  <c r="H28" i="11"/>
  <c r="F29" i="11"/>
  <c r="G29" i="11"/>
  <c r="J29" i="11"/>
  <c r="H29" i="11"/>
  <c r="F30" i="11"/>
  <c r="G30" i="11"/>
  <c r="J30" i="11"/>
  <c r="P30" i="11"/>
  <c r="Q30" i="11"/>
  <c r="T30" i="11"/>
  <c r="U30" i="11"/>
  <c r="AV10" i="3"/>
  <c r="AW10" i="3"/>
  <c r="AZ10" i="3"/>
  <c r="F60" i="11"/>
  <c r="G60" i="11"/>
  <c r="J60" i="11"/>
  <c r="K60" i="11"/>
  <c r="H60" i="11"/>
  <c r="BD3" i="2"/>
  <c r="F61" i="11"/>
  <c r="G61" i="11"/>
  <c r="J61" i="11"/>
  <c r="H61" i="11"/>
  <c r="J62" i="11"/>
  <c r="K62" i="11"/>
  <c r="H62" i="11"/>
  <c r="J63" i="11"/>
  <c r="K63" i="11"/>
  <c r="F64" i="11"/>
  <c r="G64" i="11"/>
  <c r="J64" i="11"/>
  <c r="K64" i="11"/>
  <c r="F68" i="11"/>
  <c r="G68" i="11"/>
  <c r="J68" i="11"/>
  <c r="G70" i="11"/>
  <c r="J70" i="11"/>
  <c r="K70" i="11"/>
  <c r="H70" i="11"/>
  <c r="F89" i="11"/>
  <c r="G89" i="11"/>
  <c r="J89" i="11"/>
  <c r="H89" i="11"/>
  <c r="F73" i="11"/>
  <c r="G73" i="11"/>
  <c r="J73" i="11"/>
  <c r="K73" i="11"/>
  <c r="H73" i="11"/>
  <c r="BD13" i="2"/>
  <c r="BD14" i="2"/>
  <c r="G76" i="11"/>
  <c r="J76" i="11"/>
  <c r="F79" i="11"/>
  <c r="G79" i="11"/>
  <c r="J79" i="11"/>
  <c r="K79" i="11"/>
  <c r="H79" i="11"/>
  <c r="BD16" i="2"/>
  <c r="G80" i="11"/>
  <c r="H80" i="11"/>
  <c r="G81" i="11"/>
  <c r="J81" i="11"/>
  <c r="H81" i="11"/>
  <c r="F82" i="11"/>
  <c r="G82" i="11"/>
  <c r="J82" i="11"/>
  <c r="F83" i="11"/>
  <c r="G83" i="11"/>
  <c r="J83" i="11"/>
  <c r="BD25" i="2"/>
  <c r="BE25" i="2"/>
  <c r="BD26" i="2"/>
  <c r="BE26" i="2"/>
  <c r="BD27" i="2"/>
  <c r="BE27" i="2"/>
  <c r="BD28" i="2"/>
  <c r="BE28" i="2"/>
  <c r="BD29" i="2"/>
  <c r="BE29" i="2"/>
  <c r="BD31" i="2"/>
  <c r="BE31" i="2"/>
  <c r="BD33" i="2"/>
  <c r="BE33" i="2"/>
  <c r="BE34" i="2"/>
  <c r="BD35" i="2"/>
  <c r="BE35" i="2"/>
  <c r="BD36" i="2"/>
  <c r="BE36" i="2"/>
  <c r="BE37" i="2"/>
  <c r="BD38" i="2"/>
  <c r="BE38" i="2"/>
  <c r="BE39" i="2"/>
  <c r="BE40" i="2"/>
  <c r="BE41" i="2"/>
  <c r="BE42" i="2"/>
  <c r="L7" i="1"/>
  <c r="L7" i="15" s="1"/>
  <c r="K63" i="1"/>
  <c r="J62" i="1"/>
  <c r="H62" i="1"/>
  <c r="L9" i="1"/>
  <c r="L9" i="15" s="1"/>
  <c r="G70" i="1"/>
  <c r="J70" i="1"/>
  <c r="K70" i="1"/>
  <c r="L10" i="1"/>
  <c r="L10" i="15" s="1"/>
  <c r="F61" i="1"/>
  <c r="G61" i="1"/>
  <c r="H61" i="1"/>
  <c r="F60" i="1"/>
  <c r="G60" i="1"/>
  <c r="K60" i="1"/>
  <c r="H60" i="1"/>
  <c r="G64" i="1"/>
  <c r="J64" i="1"/>
  <c r="K64" i="1"/>
  <c r="P117" i="1"/>
  <c r="P117" i="15" s="1"/>
  <c r="Q117" i="1"/>
  <c r="Q117" i="15" s="1"/>
  <c r="I16" i="1"/>
  <c r="P118" i="1"/>
  <c r="P118" i="15" s="1"/>
  <c r="Q118" i="1"/>
  <c r="Q118" i="15" s="1"/>
  <c r="T118" i="1"/>
  <c r="P72" i="1"/>
  <c r="Q72" i="1"/>
  <c r="T72" i="1"/>
  <c r="R72" i="1"/>
  <c r="P71" i="1"/>
  <c r="Q71" i="1"/>
  <c r="T71" i="1"/>
  <c r="R71" i="1"/>
  <c r="P121" i="1"/>
  <c r="P121" i="15" s="1"/>
  <c r="Q121" i="1"/>
  <c r="Q121" i="15" s="1"/>
  <c r="T121" i="1"/>
  <c r="T121" i="15" s="1"/>
  <c r="L20" i="1"/>
  <c r="L20" i="15" s="1"/>
  <c r="L74" i="1"/>
  <c r="P74" i="1"/>
  <c r="Q74" i="1"/>
  <c r="T74" i="1"/>
  <c r="R74" i="1"/>
  <c r="F22" i="1"/>
  <c r="E22" i="5" s="1"/>
  <c r="G22" i="1"/>
  <c r="J22" i="1"/>
  <c r="I22" i="5" s="1"/>
  <c r="G68" i="1"/>
  <c r="J68" i="1"/>
  <c r="V125" i="1"/>
  <c r="F23" i="1"/>
  <c r="G76" i="1"/>
  <c r="P126" i="1"/>
  <c r="P126" i="15" s="1"/>
  <c r="Q126" i="1"/>
  <c r="Q126" i="15" s="1"/>
  <c r="T126" i="1"/>
  <c r="F73" i="1"/>
  <c r="J73" i="1"/>
  <c r="K73" i="1"/>
  <c r="H73" i="1"/>
  <c r="L77" i="1"/>
  <c r="V77" i="1"/>
  <c r="F28" i="1"/>
  <c r="J28" i="1"/>
  <c r="K28" i="1"/>
  <c r="H28" i="1"/>
  <c r="F79" i="1"/>
  <c r="G79" i="1"/>
  <c r="J79" i="1"/>
  <c r="K79" i="1"/>
  <c r="H79" i="1"/>
  <c r="H80" i="1"/>
  <c r="G81" i="1"/>
  <c r="J81" i="1"/>
  <c r="H81" i="1"/>
  <c r="G82" i="1"/>
  <c r="J82" i="1"/>
  <c r="G83" i="1"/>
  <c r="J83" i="1"/>
  <c r="P34" i="1"/>
  <c r="P34" i="15" s="1"/>
  <c r="Q34" i="1"/>
  <c r="AF34" i="1" s="1"/>
  <c r="AF34" i="15" s="1"/>
  <c r="T34" i="1"/>
  <c r="R34" i="1"/>
  <c r="L85" i="1"/>
  <c r="L85" i="15" s="1"/>
  <c r="P85" i="1"/>
  <c r="AE85" i="1" s="1"/>
  <c r="AE85" i="15" s="1"/>
  <c r="Q85" i="1"/>
  <c r="Q85" i="15" s="1"/>
  <c r="T85" i="1"/>
  <c r="T85" i="15" s="1"/>
  <c r="R85" i="1"/>
  <c r="R85" i="15" s="1"/>
  <c r="T35" i="1"/>
  <c r="J34" i="6"/>
  <c r="J34" i="7" s="1"/>
  <c r="L86" i="1"/>
  <c r="L86" i="15" s="1"/>
  <c r="O86" i="1"/>
  <c r="O86" i="15" s="1"/>
  <c r="T86" i="1"/>
  <c r="T86" i="15" s="1"/>
  <c r="L87" i="1"/>
  <c r="V87" i="1"/>
  <c r="P37" i="1"/>
  <c r="P37" i="15" s="1"/>
  <c r="Q37" i="1"/>
  <c r="Q37" i="15" s="1"/>
  <c r="R37" i="1"/>
  <c r="R37" i="15" s="1"/>
  <c r="F89" i="1"/>
  <c r="G89" i="1"/>
  <c r="H89" i="1"/>
  <c r="L90" i="1"/>
  <c r="V90" i="1"/>
  <c r="L92" i="1"/>
  <c r="V92" i="1"/>
  <c r="E42" i="1"/>
  <c r="P42" i="1"/>
  <c r="P42" i="15" s="1"/>
  <c r="Q42" i="1"/>
  <c r="Q42" i="15" s="1"/>
  <c r="T42" i="1"/>
  <c r="T42" i="15" s="1"/>
  <c r="L93" i="1"/>
  <c r="O93" i="1"/>
  <c r="AD93" i="1" s="1"/>
  <c r="AD93" i="15" s="1"/>
  <c r="P93" i="1"/>
  <c r="P93" i="15" s="1"/>
  <c r="Q93" i="1"/>
  <c r="Q93" i="15" s="1"/>
  <c r="T93" i="1"/>
  <c r="T93" i="15" s="1"/>
  <c r="E43" i="1"/>
  <c r="E43" i="15" s="1"/>
  <c r="P43" i="1"/>
  <c r="P43" i="15" s="1"/>
  <c r="Q43" i="1"/>
  <c r="Q43" i="15" s="1"/>
  <c r="T43" i="1"/>
  <c r="T43" i="15" s="1"/>
  <c r="L94" i="1"/>
  <c r="O94" i="1"/>
  <c r="AD94" i="1" s="1"/>
  <c r="AD94" i="15" s="1"/>
  <c r="P94" i="1"/>
  <c r="Q94" i="1"/>
  <c r="Q94" i="15" s="1"/>
  <c r="T94" i="1"/>
  <c r="P44" i="1"/>
  <c r="AE44" i="1" s="1"/>
  <c r="AE44" i="15" s="1"/>
  <c r="P95" i="1"/>
  <c r="AE95" i="1" s="1"/>
  <c r="AE95" i="15" s="1"/>
  <c r="AC135" i="1"/>
  <c r="AC135" i="15" s="1"/>
  <c r="AE137" i="1"/>
  <c r="AE137" i="15" s="1"/>
  <c r="AF137" i="1"/>
  <c r="AF137" i="15" s="1"/>
  <c r="AI137" i="1"/>
  <c r="AI137" i="15" s="1"/>
  <c r="AE12" i="1"/>
  <c r="AE12" i="15" s="1"/>
  <c r="AF12" i="1"/>
  <c r="AF12" i="15" s="1"/>
  <c r="AE13" i="1"/>
  <c r="AE13" i="15" s="1"/>
  <c r="AF13" i="1"/>
  <c r="AF13" i="15" s="1"/>
  <c r="AI13" i="1"/>
  <c r="AI13" i="15" s="1"/>
  <c r="AE14" i="1"/>
  <c r="AE14" i="15" s="1"/>
  <c r="AF14" i="1"/>
  <c r="AF14" i="15" s="1"/>
  <c r="AI14" i="1"/>
  <c r="AI14" i="15" s="1"/>
  <c r="AI15" i="1"/>
  <c r="AI15" i="15" s="1"/>
  <c r="AE16" i="1"/>
  <c r="AE16" i="15" s="1"/>
  <c r="AF16" i="1"/>
  <c r="AF16" i="15" s="1"/>
  <c r="AI16" i="1"/>
  <c r="AI16" i="15" s="1"/>
  <c r="AE17" i="1"/>
  <c r="AE17" i="15" s="1"/>
  <c r="AF17" i="1"/>
  <c r="AF17" i="15" s="1"/>
  <c r="AI17" i="1"/>
  <c r="AI17" i="15" s="1"/>
  <c r="AE18" i="1"/>
  <c r="AE18" i="15" s="1"/>
  <c r="AF18" i="1"/>
  <c r="AF18" i="15" s="1"/>
  <c r="AI18" i="1"/>
  <c r="AI18" i="15" s="1"/>
  <c r="AE19" i="1"/>
  <c r="AE19" i="15" s="1"/>
  <c r="AF19" i="1"/>
  <c r="AF19" i="15" s="1"/>
  <c r="AI19" i="1"/>
  <c r="AI19" i="15" s="1"/>
  <c r="AG19" i="1"/>
  <c r="AG19" i="15" s="1"/>
  <c r="AE24" i="1"/>
  <c r="AE24" i="15" s="1"/>
  <c r="AF24" i="1"/>
  <c r="AF24" i="15" s="1"/>
  <c r="AI24" i="1"/>
  <c r="AI24" i="15" s="1"/>
  <c r="AG28" i="1"/>
  <c r="AG28" i="15" s="1"/>
  <c r="AD31" i="1"/>
  <c r="AD31" i="15" s="1"/>
  <c r="AE31" i="1"/>
  <c r="AE31" i="15" s="1"/>
  <c r="AF31" i="1"/>
  <c r="AF31" i="15" s="1"/>
  <c r="AI31" i="1"/>
  <c r="AI31" i="15" s="1"/>
  <c r="AG31" i="1"/>
  <c r="AG31" i="15" s="1"/>
  <c r="AD32" i="1"/>
  <c r="AD32" i="15" s="1"/>
  <c r="AE32" i="1"/>
  <c r="AE32" i="15" s="1"/>
  <c r="AF32" i="1"/>
  <c r="AF32" i="15" s="1"/>
  <c r="AI32" i="1"/>
  <c r="AI32" i="15" s="1"/>
  <c r="AG32" i="1"/>
  <c r="AG32" i="15" s="1"/>
  <c r="AJ34" i="1"/>
  <c r="AJ34" i="15" s="1"/>
  <c r="AG34" i="1"/>
  <c r="AG34" i="15" s="1"/>
  <c r="AI85" i="1"/>
  <c r="AI85" i="15" s="1"/>
  <c r="AG85" i="1"/>
  <c r="AG85" i="15" s="1"/>
  <c r="AJ35" i="1"/>
  <c r="AJ35" i="15" s="1"/>
  <c r="AG35" i="1"/>
  <c r="AG35" i="15" s="1"/>
  <c r="AG86" i="1"/>
  <c r="AG86" i="15" s="1"/>
  <c r="AD87" i="1"/>
  <c r="AD87" i="15" s="1"/>
  <c r="AE87" i="1"/>
  <c r="AE87" i="15" s="1"/>
  <c r="AF87" i="1"/>
  <c r="AF87" i="15" s="1"/>
  <c r="AI87" i="1"/>
  <c r="AI87" i="15" s="1"/>
  <c r="AJ87" i="1"/>
  <c r="AJ87" i="15" s="1"/>
  <c r="AG87" i="1"/>
  <c r="AG87" i="15" s="1"/>
  <c r="AF88" i="1"/>
  <c r="AF88" i="15" s="1"/>
  <c r="AI88" i="1"/>
  <c r="AI88" i="15" s="1"/>
  <c r="AG88" i="1"/>
  <c r="AG88" i="15" s="1"/>
  <c r="AD90" i="1"/>
  <c r="AD90" i="15" s="1"/>
  <c r="AE90" i="1"/>
  <c r="AE90" i="15" s="1"/>
  <c r="AF90" i="1"/>
  <c r="AF90" i="15" s="1"/>
  <c r="AI90" i="1"/>
  <c r="AI90" i="15" s="1"/>
  <c r="AJ90" i="1"/>
  <c r="AJ90" i="15" s="1"/>
  <c r="AG90" i="1"/>
  <c r="AG90" i="15" s="1"/>
  <c r="AD41" i="1"/>
  <c r="AD41" i="15" s="1"/>
  <c r="AE41" i="1"/>
  <c r="AE41" i="15" s="1"/>
  <c r="AF41" i="1"/>
  <c r="AF41" i="15" s="1"/>
  <c r="AI41" i="1"/>
  <c r="AI41" i="15" s="1"/>
  <c r="AG41" i="1"/>
  <c r="AG41" i="15" s="1"/>
  <c r="AD92" i="1"/>
  <c r="AD92" i="15" s="1"/>
  <c r="AE92" i="1"/>
  <c r="AE92" i="15" s="1"/>
  <c r="AF92" i="1"/>
  <c r="AF92" i="15" s="1"/>
  <c r="AI92" i="1"/>
  <c r="AI92" i="15" s="1"/>
  <c r="AJ92" i="1"/>
  <c r="AJ92" i="15" s="1"/>
  <c r="AG92" i="1"/>
  <c r="AG92" i="15" s="1"/>
  <c r="AE42" i="1"/>
  <c r="AE42" i="15" s="1"/>
  <c r="AG42" i="1"/>
  <c r="AG42" i="15" s="1"/>
  <c r="AI93" i="1"/>
  <c r="AI93" i="15" s="1"/>
  <c r="AG93" i="1"/>
  <c r="AG93" i="15" s="1"/>
  <c r="AE43" i="1"/>
  <c r="AE43" i="15" s="1"/>
  <c r="AI43" i="1"/>
  <c r="AI43" i="15" s="1"/>
  <c r="AG43" i="1"/>
  <c r="AG43" i="15" s="1"/>
  <c r="AF94" i="1"/>
  <c r="AF94" i="15" s="1"/>
  <c r="AG94" i="1"/>
  <c r="AG94" i="15" s="1"/>
  <c r="AF44" i="1"/>
  <c r="AF44" i="15" s="1"/>
  <c r="AI44" i="1"/>
  <c r="AI44" i="15" s="1"/>
  <c r="AG44" i="1"/>
  <c r="AG44" i="15" s="1"/>
  <c r="AF95" i="1"/>
  <c r="AF95" i="15" s="1"/>
  <c r="AI95" i="1"/>
  <c r="AI95" i="15" s="1"/>
  <c r="AG95" i="1"/>
  <c r="AG95" i="15" s="1"/>
  <c r="AI42" i="1" l="1"/>
  <c r="AI42" i="15" s="1"/>
  <c r="L70" i="1"/>
  <c r="J80" i="11"/>
  <c r="J80" i="1"/>
  <c r="H12" i="8" s="1"/>
  <c r="F82" i="1"/>
  <c r="F82" i="15" s="1"/>
  <c r="J60" i="1"/>
  <c r="H7" i="8" s="1"/>
  <c r="F68" i="1"/>
  <c r="D9" i="8" s="1"/>
  <c r="J61" i="15"/>
  <c r="H70" i="1"/>
  <c r="H70" i="15" s="1"/>
  <c r="J89" i="1"/>
  <c r="J99" i="1" s="1"/>
  <c r="F83" i="1"/>
  <c r="F83" i="15" s="1"/>
  <c r="G73" i="1"/>
  <c r="I73" i="1" s="1"/>
  <c r="G80" i="1"/>
  <c r="G80" i="15" s="1"/>
  <c r="J76" i="1"/>
  <c r="J76" i="15" s="1"/>
  <c r="K62" i="1"/>
  <c r="L62" i="1" s="1"/>
  <c r="F64" i="1"/>
  <c r="F64" i="15" s="1"/>
  <c r="K22" i="1"/>
  <c r="J30" i="1"/>
  <c r="I28" i="5" s="1"/>
  <c r="J23" i="1"/>
  <c r="I23" i="5" s="1"/>
  <c r="I21" i="5" s="1"/>
  <c r="F30" i="1"/>
  <c r="F30" i="15" s="1"/>
  <c r="G29" i="1"/>
  <c r="G28" i="1"/>
  <c r="G28" i="15" s="1"/>
  <c r="G30" i="1"/>
  <c r="G30" i="15" s="1"/>
  <c r="H29" i="1"/>
  <c r="G27" i="5" s="1"/>
  <c r="AE37" i="1"/>
  <c r="AE37" i="15" s="1"/>
  <c r="AE34" i="1"/>
  <c r="AE34" i="15" s="1"/>
  <c r="AF43" i="1"/>
  <c r="AF43" i="15" s="1"/>
  <c r="AF93" i="1"/>
  <c r="AF93" i="15" s="1"/>
  <c r="AG37" i="1"/>
  <c r="AG37" i="15" s="1"/>
  <c r="O93" i="15"/>
  <c r="W90" i="1"/>
  <c r="W90" i="15" s="1"/>
  <c r="V90" i="15"/>
  <c r="T126" i="15"/>
  <c r="AG74" i="1"/>
  <c r="AG74" i="15" s="1"/>
  <c r="R74" i="15"/>
  <c r="M74" i="1"/>
  <c r="M74" i="15" s="1"/>
  <c r="L74" i="15"/>
  <c r="AE71" i="1"/>
  <c r="AE71" i="15" s="1"/>
  <c r="P71" i="15"/>
  <c r="AF72" i="1"/>
  <c r="AF72" i="15" s="1"/>
  <c r="Q72" i="15"/>
  <c r="AI94" i="1"/>
  <c r="AI94" i="15" s="1"/>
  <c r="T94" i="15"/>
  <c r="M94" i="1"/>
  <c r="M94" i="15" s="1"/>
  <c r="L94" i="15"/>
  <c r="M92" i="1"/>
  <c r="M92" i="15" s="1"/>
  <c r="L92" i="15"/>
  <c r="AE74" i="1"/>
  <c r="P74" i="15"/>
  <c r="AF71" i="1"/>
  <c r="AF71" i="15" s="1"/>
  <c r="Q71" i="15"/>
  <c r="AI72" i="1"/>
  <c r="T72" i="15"/>
  <c r="V118" i="1"/>
  <c r="V118" i="15" s="1"/>
  <c r="T118" i="15"/>
  <c r="AE93" i="1"/>
  <c r="AE93" i="15" s="1"/>
  <c r="AF37" i="1"/>
  <c r="AF37" i="15" s="1"/>
  <c r="S95" i="1"/>
  <c r="S95" i="15" s="1"/>
  <c r="P95" i="15"/>
  <c r="AE94" i="1"/>
  <c r="AE94" i="15" s="1"/>
  <c r="P94" i="15"/>
  <c r="M93" i="1"/>
  <c r="M93" i="15" s="1"/>
  <c r="L93" i="15"/>
  <c r="M42" i="1"/>
  <c r="M42" i="15" s="1"/>
  <c r="E42" i="15"/>
  <c r="M90" i="1"/>
  <c r="M90" i="15" s="1"/>
  <c r="L90" i="15"/>
  <c r="W87" i="1"/>
  <c r="W87" i="15" s="1"/>
  <c r="V87" i="15"/>
  <c r="G33" i="6"/>
  <c r="R34" i="15"/>
  <c r="W77" i="1"/>
  <c r="W77" i="15" s="1"/>
  <c r="V77" i="15"/>
  <c r="AI74" i="1"/>
  <c r="AI74" i="15" s="1"/>
  <c r="T74" i="15"/>
  <c r="AG71" i="1"/>
  <c r="AG71" i="15" s="1"/>
  <c r="R71" i="15"/>
  <c r="AE72" i="1"/>
  <c r="AE72" i="15" s="1"/>
  <c r="P72" i="15"/>
  <c r="AF42" i="1"/>
  <c r="AF42" i="15" s="1"/>
  <c r="S44" i="1"/>
  <c r="S44" i="15" s="1"/>
  <c r="P44" i="15"/>
  <c r="O94" i="15"/>
  <c r="W92" i="1"/>
  <c r="W92" i="15" s="1"/>
  <c r="V92" i="15"/>
  <c r="M87" i="1"/>
  <c r="M87" i="15" s="1"/>
  <c r="L87" i="15"/>
  <c r="M77" i="1"/>
  <c r="M77" i="15" s="1"/>
  <c r="L77" i="15"/>
  <c r="AF74" i="1"/>
  <c r="AF74" i="15" s="1"/>
  <c r="Q74" i="15"/>
  <c r="AI71" i="1"/>
  <c r="T71" i="15"/>
  <c r="AG72" i="1"/>
  <c r="AG72" i="15" s="1"/>
  <c r="R72" i="15"/>
  <c r="K29" i="7"/>
  <c r="W23" i="8"/>
  <c r="J29" i="1"/>
  <c r="I27" i="5" s="1"/>
  <c r="I34" i="6"/>
  <c r="K34" i="6" s="1"/>
  <c r="T35" i="15"/>
  <c r="J23" i="11"/>
  <c r="I28" i="13"/>
  <c r="AI30" i="11"/>
  <c r="V30" i="11"/>
  <c r="R30" i="1"/>
  <c r="G28" i="6" s="1"/>
  <c r="G28" i="7" s="1"/>
  <c r="R30" i="11"/>
  <c r="S30" i="11" s="1"/>
  <c r="AJ30" i="11"/>
  <c r="J28" i="13"/>
  <c r="J28" i="14" s="1"/>
  <c r="E28" i="13"/>
  <c r="AE30" i="11"/>
  <c r="I28" i="12"/>
  <c r="F28" i="12"/>
  <c r="I29" i="11"/>
  <c r="F29" i="15"/>
  <c r="G27" i="12"/>
  <c r="H28" i="15"/>
  <c r="K28" i="15"/>
  <c r="E27" i="12"/>
  <c r="F28" i="15"/>
  <c r="I28" i="11"/>
  <c r="P28" i="11"/>
  <c r="G23" i="11"/>
  <c r="I22" i="12"/>
  <c r="J22" i="15"/>
  <c r="L22" i="11"/>
  <c r="E22" i="12"/>
  <c r="F22" i="15"/>
  <c r="F28" i="13"/>
  <c r="F28" i="14" s="1"/>
  <c r="AF30" i="11"/>
  <c r="H30" i="1"/>
  <c r="G28" i="5" s="1"/>
  <c r="H30" i="11"/>
  <c r="I30" i="11" s="1"/>
  <c r="K30" i="1"/>
  <c r="J28" i="5" s="1"/>
  <c r="K30" i="11"/>
  <c r="E28" i="12"/>
  <c r="I27" i="12"/>
  <c r="J28" i="15"/>
  <c r="L28" i="11"/>
  <c r="T28" i="11"/>
  <c r="F27" i="12"/>
  <c r="Q28" i="11"/>
  <c r="F23" i="11"/>
  <c r="J22" i="12"/>
  <c r="F22" i="12"/>
  <c r="G22" i="15"/>
  <c r="J83" i="15"/>
  <c r="J82" i="15"/>
  <c r="H81" i="15"/>
  <c r="G81" i="15"/>
  <c r="H80" i="15"/>
  <c r="H79" i="15"/>
  <c r="K79" i="15"/>
  <c r="I79" i="11"/>
  <c r="F79" i="15"/>
  <c r="J75" i="1"/>
  <c r="J75" i="11"/>
  <c r="G75" i="1"/>
  <c r="E11" i="8" s="1"/>
  <c r="G75" i="11"/>
  <c r="L73" i="11"/>
  <c r="J73" i="15"/>
  <c r="I73" i="11"/>
  <c r="J99" i="11"/>
  <c r="F89" i="15"/>
  <c r="L70" i="11"/>
  <c r="J70" i="15"/>
  <c r="J68" i="15"/>
  <c r="K64" i="15"/>
  <c r="G64" i="15"/>
  <c r="L63" i="11"/>
  <c r="J63" i="15"/>
  <c r="F63" i="1"/>
  <c r="F63" i="11"/>
  <c r="H62" i="15"/>
  <c r="L62" i="11"/>
  <c r="J62" i="15"/>
  <c r="H61" i="15"/>
  <c r="I61" i="11"/>
  <c r="G61" i="15"/>
  <c r="L60" i="11"/>
  <c r="G60" i="15"/>
  <c r="H83" i="1"/>
  <c r="H83" i="11"/>
  <c r="G83" i="15"/>
  <c r="G82" i="15"/>
  <c r="J81" i="15"/>
  <c r="L79" i="11"/>
  <c r="J79" i="15"/>
  <c r="G79" i="15"/>
  <c r="G76" i="15"/>
  <c r="H75" i="1"/>
  <c r="H75" i="11"/>
  <c r="K75" i="1"/>
  <c r="K75" i="11"/>
  <c r="F75" i="1"/>
  <c r="F75" i="11"/>
  <c r="H73" i="15"/>
  <c r="K73" i="15"/>
  <c r="F73" i="15"/>
  <c r="H99" i="11"/>
  <c r="H89" i="15"/>
  <c r="I89" i="11"/>
  <c r="G89" i="15"/>
  <c r="K70" i="15"/>
  <c r="G70" i="15"/>
  <c r="K68" i="1"/>
  <c r="I9" i="8" s="1"/>
  <c r="K68" i="11"/>
  <c r="L68" i="11" s="1"/>
  <c r="G68" i="15"/>
  <c r="L64" i="11"/>
  <c r="J64" i="15"/>
  <c r="K63" i="15"/>
  <c r="G63" i="1"/>
  <c r="G63" i="11"/>
  <c r="F61" i="15"/>
  <c r="H60" i="15"/>
  <c r="K60" i="15"/>
  <c r="F60" i="15"/>
  <c r="I60" i="11"/>
  <c r="D21" i="10"/>
  <c r="P85" i="15"/>
  <c r="I33" i="6"/>
  <c r="I33" i="7" s="1"/>
  <c r="T34" i="15"/>
  <c r="F33" i="6"/>
  <c r="F33" i="7" s="1"/>
  <c r="Q34" i="15"/>
  <c r="AZ7" i="4"/>
  <c r="G18" i="12"/>
  <c r="H18" i="12" s="1"/>
  <c r="H18" i="15"/>
  <c r="I18" i="11"/>
  <c r="G17" i="12"/>
  <c r="H17" i="12" s="1"/>
  <c r="H17" i="15"/>
  <c r="I17" i="11"/>
  <c r="G16" i="12"/>
  <c r="H16" i="12" s="1"/>
  <c r="H16" i="15"/>
  <c r="I16" i="11"/>
  <c r="O125" i="1"/>
  <c r="V125" i="15"/>
  <c r="C22" i="10"/>
  <c r="AZ5" i="4"/>
  <c r="AI35" i="1"/>
  <c r="AI35" i="15" s="1"/>
  <c r="AI34" i="1"/>
  <c r="AI34" i="15" s="1"/>
  <c r="F19" i="8"/>
  <c r="F24" i="8" s="1"/>
  <c r="H99" i="1"/>
  <c r="J13" i="8"/>
  <c r="G13" i="8"/>
  <c r="AH19" i="1"/>
  <c r="AH19" i="15" s="1"/>
  <c r="H23" i="10"/>
  <c r="E23" i="10"/>
  <c r="H22" i="9"/>
  <c r="H22" i="10"/>
  <c r="AF85" i="1"/>
  <c r="E21" i="10"/>
  <c r="D23" i="10"/>
  <c r="F21" i="9"/>
  <c r="F21" i="10"/>
  <c r="H21" i="9"/>
  <c r="H21" i="10"/>
  <c r="T30" i="1"/>
  <c r="AI30" i="1" s="1"/>
  <c r="AI86" i="1"/>
  <c r="AI86" i="15" s="1"/>
  <c r="H9" i="8"/>
  <c r="F7" i="8"/>
  <c r="H10" i="8"/>
  <c r="I7" i="8"/>
  <c r="E10" i="8"/>
  <c r="K9" i="5"/>
  <c r="K7" i="5"/>
  <c r="S42" i="1"/>
  <c r="S42" i="15" s="1"/>
  <c r="S94" i="1"/>
  <c r="S94" i="15" s="1"/>
  <c r="AH32" i="1"/>
  <c r="AH32" i="15" s="1"/>
  <c r="AH31" i="1"/>
  <c r="AH31" i="15" s="1"/>
  <c r="S93" i="1"/>
  <c r="S93" i="15" s="1"/>
  <c r="P30" i="1"/>
  <c r="E28" i="6" s="1"/>
  <c r="E28" i="7" s="1"/>
  <c r="S43" i="1"/>
  <c r="S43" i="15" s="1"/>
  <c r="S37" i="1"/>
  <c r="S37" i="15" s="1"/>
  <c r="E33" i="6"/>
  <c r="E33" i="7" s="1"/>
  <c r="S34" i="1"/>
  <c r="S34" i="15" s="1"/>
  <c r="G18" i="5"/>
  <c r="H18" i="5" s="1"/>
  <c r="I18" i="1"/>
  <c r="M20" i="9"/>
  <c r="M15" i="9"/>
  <c r="AH43" i="1"/>
  <c r="AH43" i="15" s="1"/>
  <c r="AH42" i="1"/>
  <c r="AH42" i="15" s="1"/>
  <c r="AH95" i="1"/>
  <c r="AH95" i="15" s="1"/>
  <c r="AH44" i="1"/>
  <c r="AH44" i="15" s="1"/>
  <c r="AH41" i="1"/>
  <c r="AH41" i="15" s="1"/>
  <c r="AH34" i="1"/>
  <c r="AH34" i="15" s="1"/>
  <c r="M43" i="1"/>
  <c r="M43" i="15" s="1"/>
  <c r="G17" i="5"/>
  <c r="H17" i="5" s="1"/>
  <c r="I17" i="1"/>
  <c r="P28" i="1"/>
  <c r="E23" i="5"/>
  <c r="I89" i="1"/>
  <c r="I79" i="1"/>
  <c r="D7" i="8"/>
  <c r="I60" i="1"/>
  <c r="I61" i="1"/>
  <c r="S71" i="1"/>
  <c r="M18" i="9"/>
  <c r="S72" i="1"/>
  <c r="S74" i="1"/>
  <c r="AH87" i="1"/>
  <c r="AH87" i="15" s="1"/>
  <c r="AH94" i="1"/>
  <c r="AH94" i="15" s="1"/>
  <c r="AH93" i="1"/>
  <c r="AH93" i="15" s="1"/>
  <c r="AH92" i="1"/>
  <c r="AH92" i="15" s="1"/>
  <c r="AH90" i="1"/>
  <c r="AH90" i="15" s="1"/>
  <c r="AH72" i="1"/>
  <c r="AH72" i="15" s="1"/>
  <c r="C22" i="9"/>
  <c r="D21" i="9"/>
  <c r="S85" i="1"/>
  <c r="S85" i="15" s="1"/>
  <c r="M37" i="5"/>
  <c r="M14" i="9"/>
  <c r="N37" i="6"/>
  <c r="AD86" i="1"/>
  <c r="AD86" i="15" s="1"/>
  <c r="AK90" i="1"/>
  <c r="AK90" i="15" s="1"/>
  <c r="AK87" i="1"/>
  <c r="AK87" i="15" s="1"/>
  <c r="K20" i="5"/>
  <c r="V41" i="1"/>
  <c r="AJ41" i="1"/>
  <c r="AK92" i="1"/>
  <c r="AK92" i="15" s="1"/>
  <c r="V35" i="1"/>
  <c r="V35" i="15" s="1"/>
  <c r="T120" i="1"/>
  <c r="T120" i="15" s="1"/>
  <c r="H39" i="5"/>
  <c r="H38" i="5" s="1"/>
  <c r="J32" i="5"/>
  <c r="G32" i="5"/>
  <c r="G42" i="5" s="1"/>
  <c r="H19" i="5"/>
  <c r="H10" i="5"/>
  <c r="G23" i="8"/>
  <c r="H8" i="5"/>
  <c r="K10" i="5"/>
  <c r="J22" i="8"/>
  <c r="J21" i="8"/>
  <c r="K34" i="5"/>
  <c r="I32" i="5"/>
  <c r="G6" i="8"/>
  <c r="AZ6" i="4"/>
  <c r="AZ4" i="4"/>
  <c r="L64" i="1"/>
  <c r="L28" i="1"/>
  <c r="L73" i="1"/>
  <c r="G21" i="8"/>
  <c r="AK35" i="1"/>
  <c r="AK35" i="15" s="1"/>
  <c r="AK34" i="1"/>
  <c r="AK34" i="15" s="1"/>
  <c r="H33" i="5"/>
  <c r="O43" i="1"/>
  <c r="O42" i="1"/>
  <c r="Q30" i="1"/>
  <c r="Q30" i="15" s="1"/>
  <c r="I39" i="6"/>
  <c r="R114" i="1"/>
  <c r="R114" i="15" s="1"/>
  <c r="E36" i="5"/>
  <c r="I34" i="7"/>
  <c r="K34" i="7" s="1"/>
  <c r="J33" i="6"/>
  <c r="V34" i="1"/>
  <c r="V34" i="15" s="1"/>
  <c r="L79" i="1"/>
  <c r="V25" i="1"/>
  <c r="F23" i="5"/>
  <c r="E9" i="8"/>
  <c r="F22" i="5"/>
  <c r="Q120" i="1"/>
  <c r="Q120" i="15" s="1"/>
  <c r="G16" i="5"/>
  <c r="H16" i="5" s="1"/>
  <c r="L63" i="1"/>
  <c r="D23" i="9"/>
  <c r="F39" i="6"/>
  <c r="E19" i="8"/>
  <c r="I36" i="5"/>
  <c r="T37" i="1"/>
  <c r="T37" i="15" s="1"/>
  <c r="E21" i="9"/>
  <c r="G33" i="7"/>
  <c r="G32" i="7" s="1"/>
  <c r="G32" i="6"/>
  <c r="T28" i="1"/>
  <c r="R121" i="1"/>
  <c r="P120" i="1"/>
  <c r="P120" i="15" s="1"/>
  <c r="E7" i="8"/>
  <c r="I10" i="8"/>
  <c r="H23" i="9"/>
  <c r="E23" i="9"/>
  <c r="E39" i="6"/>
  <c r="E27" i="5"/>
  <c r="Q114" i="1"/>
  <c r="Q114" i="15" s="1"/>
  <c r="F80" i="1"/>
  <c r="BD37" i="2"/>
  <c r="BD7" i="2"/>
  <c r="BD5" i="2"/>
  <c r="BF10" i="3"/>
  <c r="BA10" i="3"/>
  <c r="BG10" i="3"/>
  <c r="T23" i="11"/>
  <c r="BL10" i="3"/>
  <c r="BJ10" i="3"/>
  <c r="AX10" i="3"/>
  <c r="AY10" i="3"/>
  <c r="BK10" i="3"/>
  <c r="K33" i="5"/>
  <c r="H7" i="5"/>
  <c r="H20" i="5"/>
  <c r="H14" i="5"/>
  <c r="H11" i="5"/>
  <c r="H9" i="5"/>
  <c r="G38" i="6"/>
  <c r="H19" i="6"/>
  <c r="N29" i="7"/>
  <c r="H19" i="7"/>
  <c r="E12" i="7"/>
  <c r="AI71" i="15" l="1"/>
  <c r="AM71" i="1"/>
  <c r="AI72" i="15"/>
  <c r="AM72" i="1"/>
  <c r="AE74" i="15"/>
  <c r="AM74" i="1"/>
  <c r="J22" i="5"/>
  <c r="K22" i="5" s="1"/>
  <c r="H8" i="8"/>
  <c r="K22" i="15"/>
  <c r="L22" i="1"/>
  <c r="L22" i="15" s="1"/>
  <c r="I28" i="1"/>
  <c r="I28" i="15" s="1"/>
  <c r="E12" i="8"/>
  <c r="H19" i="8"/>
  <c r="H24" i="8" s="1"/>
  <c r="J89" i="15"/>
  <c r="J80" i="15"/>
  <c r="K62" i="15"/>
  <c r="F68" i="15"/>
  <c r="J100" i="11"/>
  <c r="I83" i="1"/>
  <c r="J98" i="1"/>
  <c r="L60" i="1"/>
  <c r="L60" i="15" s="1"/>
  <c r="J60" i="15"/>
  <c r="F10" i="8"/>
  <c r="G73" i="15"/>
  <c r="J29" i="15"/>
  <c r="J30" i="15"/>
  <c r="J23" i="15"/>
  <c r="E28" i="5"/>
  <c r="E26" i="5" s="1"/>
  <c r="Q28" i="1"/>
  <c r="Q28" i="15" s="1"/>
  <c r="F27" i="5"/>
  <c r="H27" i="5" s="1"/>
  <c r="K28" i="5"/>
  <c r="G29" i="15"/>
  <c r="I29" i="1"/>
  <c r="I29" i="15" s="1"/>
  <c r="H29" i="15"/>
  <c r="F28" i="5"/>
  <c r="AG30" i="1"/>
  <c r="L68" i="1"/>
  <c r="L68" i="15" s="1"/>
  <c r="AH37" i="1"/>
  <c r="AH37" i="15" s="1"/>
  <c r="I32" i="6"/>
  <c r="K33" i="6"/>
  <c r="U72" i="1"/>
  <c r="U72" i="15" s="1"/>
  <c r="S72" i="15"/>
  <c r="U93" i="1"/>
  <c r="U42" i="1"/>
  <c r="O42" i="15"/>
  <c r="AK41" i="1"/>
  <c r="AJ41" i="15"/>
  <c r="U94" i="1"/>
  <c r="P23" i="11"/>
  <c r="E23" i="13" s="1"/>
  <c r="E23" i="14" s="1"/>
  <c r="S121" i="1"/>
  <c r="S121" i="15" s="1"/>
  <c r="R121" i="15"/>
  <c r="U43" i="1"/>
  <c r="O43" i="15"/>
  <c r="W41" i="1"/>
  <c r="W41" i="15" s="1"/>
  <c r="V41" i="15"/>
  <c r="U71" i="1"/>
  <c r="U71" i="15" s="1"/>
  <c r="S71" i="15"/>
  <c r="W25" i="1"/>
  <c r="W25" i="15" s="1"/>
  <c r="V25" i="15"/>
  <c r="U74" i="1"/>
  <c r="U74" i="15" s="1"/>
  <c r="S74" i="15"/>
  <c r="J97" i="1"/>
  <c r="L75" i="1"/>
  <c r="I23" i="12"/>
  <c r="I21" i="12" s="1"/>
  <c r="W125" i="1"/>
  <c r="W125" i="15" s="1"/>
  <c r="Y125" i="1"/>
  <c r="Y125" i="15" s="1"/>
  <c r="Q23" i="11"/>
  <c r="F23" i="13" s="1"/>
  <c r="F23" i="14" s="1"/>
  <c r="G26" i="5"/>
  <c r="L30" i="1"/>
  <c r="I30" i="1"/>
  <c r="I30" i="15" s="1"/>
  <c r="F26" i="12"/>
  <c r="P22" i="1"/>
  <c r="AE22" i="1" s="1"/>
  <c r="P22" i="11"/>
  <c r="H22" i="1"/>
  <c r="I22" i="1" s="1"/>
  <c r="H22" i="11"/>
  <c r="I23" i="13"/>
  <c r="I23" i="14" s="1"/>
  <c r="AI23" i="11"/>
  <c r="Q29" i="1"/>
  <c r="AF29" i="1" s="1"/>
  <c r="Q29" i="11"/>
  <c r="F27" i="13" s="1"/>
  <c r="U22" i="1"/>
  <c r="AJ22" i="1" s="1"/>
  <c r="U22" i="11"/>
  <c r="J27" i="5"/>
  <c r="J26" i="5" s="1"/>
  <c r="K29" i="11"/>
  <c r="T29" i="1"/>
  <c r="I27" i="6" s="1"/>
  <c r="T29" i="11"/>
  <c r="I27" i="13" s="1"/>
  <c r="AF28" i="11"/>
  <c r="L28" i="15"/>
  <c r="I26" i="12"/>
  <c r="J28" i="12"/>
  <c r="K28" i="12" s="1"/>
  <c r="K30" i="15"/>
  <c r="G28" i="12"/>
  <c r="G26" i="12" s="1"/>
  <c r="H30" i="15"/>
  <c r="K22" i="12"/>
  <c r="P28" i="15"/>
  <c r="S28" i="11"/>
  <c r="AE28" i="11"/>
  <c r="L30" i="11"/>
  <c r="E28" i="14"/>
  <c r="AK30" i="11"/>
  <c r="G28" i="13"/>
  <c r="G28" i="14" s="1"/>
  <c r="R30" i="15"/>
  <c r="AG30" i="11"/>
  <c r="T30" i="15"/>
  <c r="T22" i="1"/>
  <c r="AI22" i="1" s="1"/>
  <c r="T22" i="11"/>
  <c r="Q22" i="1"/>
  <c r="AF22" i="1" s="1"/>
  <c r="Q22" i="11"/>
  <c r="P29" i="1"/>
  <c r="AE29" i="1" s="1"/>
  <c r="P29" i="11"/>
  <c r="U29" i="1"/>
  <c r="AJ29" i="1" s="1"/>
  <c r="U29" i="11"/>
  <c r="R29" i="1"/>
  <c r="G27" i="6" s="1"/>
  <c r="R29" i="11"/>
  <c r="E23" i="12"/>
  <c r="E21" i="12" s="1"/>
  <c r="F23" i="15"/>
  <c r="T28" i="15"/>
  <c r="AI28" i="11"/>
  <c r="F23" i="12"/>
  <c r="F21" i="12" s="1"/>
  <c r="G23" i="15"/>
  <c r="H27" i="12"/>
  <c r="E26" i="12"/>
  <c r="P30" i="15"/>
  <c r="AI30" i="15"/>
  <c r="I28" i="14"/>
  <c r="K28" i="14" s="1"/>
  <c r="K28" i="13"/>
  <c r="H75" i="15"/>
  <c r="H83" i="15"/>
  <c r="J98" i="11"/>
  <c r="I75" i="1"/>
  <c r="I89" i="15"/>
  <c r="I61" i="15"/>
  <c r="G75" i="15"/>
  <c r="H11" i="8"/>
  <c r="J100" i="1"/>
  <c r="K75" i="15"/>
  <c r="K61" i="1"/>
  <c r="I8" i="8" s="1"/>
  <c r="J8" i="8" s="1"/>
  <c r="K61" i="11"/>
  <c r="H63" i="1"/>
  <c r="I63" i="1" s="1"/>
  <c r="H63" i="11"/>
  <c r="I63" i="11" s="1"/>
  <c r="H64" i="1"/>
  <c r="I64" i="1" s="1"/>
  <c r="H64" i="11"/>
  <c r="H68" i="1"/>
  <c r="I68" i="1" s="1"/>
  <c r="H68" i="11"/>
  <c r="K89" i="1"/>
  <c r="L89" i="1" s="1"/>
  <c r="K89" i="11"/>
  <c r="K76" i="1"/>
  <c r="I11" i="8" s="1"/>
  <c r="K76" i="11"/>
  <c r="H76" i="1"/>
  <c r="F11" i="8" s="1"/>
  <c r="H76" i="11"/>
  <c r="H82" i="1"/>
  <c r="I82" i="1" s="1"/>
  <c r="H82" i="11"/>
  <c r="K81" i="1"/>
  <c r="L81" i="1" s="1"/>
  <c r="K81" i="11"/>
  <c r="I60" i="15"/>
  <c r="I75" i="11"/>
  <c r="F75" i="15"/>
  <c r="L63" i="15"/>
  <c r="L70" i="15"/>
  <c r="L75" i="11"/>
  <c r="J75" i="15"/>
  <c r="G62" i="1"/>
  <c r="G98" i="1" s="1"/>
  <c r="G62" i="11"/>
  <c r="F62" i="1"/>
  <c r="D8" i="8" s="1"/>
  <c r="F62" i="11"/>
  <c r="F70" i="1"/>
  <c r="I70" i="1" s="1"/>
  <c r="F70" i="11"/>
  <c r="F76" i="1"/>
  <c r="D11" i="8" s="1"/>
  <c r="F76" i="11"/>
  <c r="I80" i="1"/>
  <c r="F80" i="11"/>
  <c r="K80" i="1"/>
  <c r="L80" i="1" s="1"/>
  <c r="K80" i="11"/>
  <c r="F81" i="1"/>
  <c r="I81" i="1" s="1"/>
  <c r="F81" i="11"/>
  <c r="K82" i="1"/>
  <c r="L82" i="1" s="1"/>
  <c r="K82" i="11"/>
  <c r="K83" i="1"/>
  <c r="L83" i="1" s="1"/>
  <c r="K83" i="11"/>
  <c r="G63" i="15"/>
  <c r="L64" i="15"/>
  <c r="K68" i="15"/>
  <c r="L79" i="15"/>
  <c r="J97" i="11"/>
  <c r="L62" i="15"/>
  <c r="F63" i="15"/>
  <c r="I73" i="15"/>
  <c r="L73" i="15"/>
  <c r="I79" i="15"/>
  <c r="I83" i="11"/>
  <c r="I83" i="15" s="1"/>
  <c r="AH85" i="1"/>
  <c r="AH85" i="15" s="1"/>
  <c r="AF85" i="15"/>
  <c r="I17" i="15"/>
  <c r="R17" i="1"/>
  <c r="S17" i="1" s="1"/>
  <c r="R17" i="11"/>
  <c r="R16" i="1"/>
  <c r="R16" i="11"/>
  <c r="I16" i="15"/>
  <c r="I18" i="15"/>
  <c r="R18" i="1"/>
  <c r="R18" i="11"/>
  <c r="O125" i="15"/>
  <c r="K32" i="5"/>
  <c r="G21" i="9"/>
  <c r="I28" i="6"/>
  <c r="I28" i="7" s="1"/>
  <c r="H33" i="6"/>
  <c r="J9" i="8"/>
  <c r="J7" i="8"/>
  <c r="G21" i="10"/>
  <c r="G23" i="10"/>
  <c r="AL90" i="1"/>
  <c r="AL90" i="15" s="1"/>
  <c r="AE30" i="1"/>
  <c r="J10" i="8"/>
  <c r="G7" i="8"/>
  <c r="S30" i="1"/>
  <c r="S30" i="15" s="1"/>
  <c r="E21" i="5"/>
  <c r="AL87" i="1"/>
  <c r="AL87" i="15" s="1"/>
  <c r="AE28" i="1"/>
  <c r="AL92" i="1"/>
  <c r="AL92" i="15" s="1"/>
  <c r="Q23" i="1"/>
  <c r="AF23" i="1" s="1"/>
  <c r="P23" i="1"/>
  <c r="E23" i="6" s="1"/>
  <c r="BD6" i="2"/>
  <c r="I32" i="7"/>
  <c r="AI28" i="1"/>
  <c r="L32" i="1"/>
  <c r="AJ32" i="1"/>
  <c r="V32" i="1"/>
  <c r="G23" i="9"/>
  <c r="L25" i="1"/>
  <c r="H33" i="7"/>
  <c r="V39" i="1"/>
  <c r="AD42" i="1"/>
  <c r="BI10" i="3"/>
  <c r="BB10" i="3"/>
  <c r="BH10" i="3"/>
  <c r="T23" i="1"/>
  <c r="T23" i="15" s="1"/>
  <c r="BD9" i="2"/>
  <c r="E39" i="7"/>
  <c r="E38" i="6"/>
  <c r="H39" i="6"/>
  <c r="H38" i="6" s="1"/>
  <c r="I26" i="5"/>
  <c r="T114" i="1"/>
  <c r="T114" i="15" s="1"/>
  <c r="AI37" i="1"/>
  <c r="AI37" i="15" s="1"/>
  <c r="I35" i="5"/>
  <c r="K36" i="5"/>
  <c r="F39" i="7"/>
  <c r="F38" i="7" s="1"/>
  <c r="F38" i="6"/>
  <c r="BD19" i="2"/>
  <c r="BD41" i="2"/>
  <c r="F21" i="5"/>
  <c r="L31" i="1"/>
  <c r="V31" i="1"/>
  <c r="AJ31" i="1"/>
  <c r="J33" i="7"/>
  <c r="J32" i="7" s="1"/>
  <c r="J32" i="6"/>
  <c r="E35" i="5"/>
  <c r="H35" i="5" s="1"/>
  <c r="H36" i="5"/>
  <c r="L41" i="5"/>
  <c r="I39" i="7"/>
  <c r="I38" i="6"/>
  <c r="F28" i="6"/>
  <c r="AF30" i="1"/>
  <c r="AF30" i="15" s="1"/>
  <c r="AD43" i="1"/>
  <c r="AF28" i="1" l="1"/>
  <c r="AM28" i="1" s="1"/>
  <c r="AO28" i="1" s="1"/>
  <c r="S28" i="1"/>
  <c r="AE30" i="15"/>
  <c r="AM30" i="1"/>
  <c r="AO30" i="1" s="1"/>
  <c r="H17" i="8"/>
  <c r="H26" i="8" s="1"/>
  <c r="V71" i="1"/>
  <c r="AG30" i="15"/>
  <c r="AE23" i="11"/>
  <c r="F12" i="8"/>
  <c r="J97" i="15"/>
  <c r="H28" i="5"/>
  <c r="AJ72" i="1"/>
  <c r="V74" i="1"/>
  <c r="W74" i="1" s="1"/>
  <c r="W74" i="15" s="1"/>
  <c r="AJ71" i="1"/>
  <c r="AJ71" i="15" s="1"/>
  <c r="E27" i="6"/>
  <c r="E27" i="7" s="1"/>
  <c r="AG29" i="1"/>
  <c r="AH29" i="1" s="1"/>
  <c r="D12" i="8"/>
  <c r="G12" i="8" s="1"/>
  <c r="F26" i="5"/>
  <c r="H26" i="5" s="1"/>
  <c r="I12" i="8"/>
  <c r="J12" i="8" s="1"/>
  <c r="H97" i="1"/>
  <c r="G22" i="5"/>
  <c r="H22" i="5" s="1"/>
  <c r="K27" i="5"/>
  <c r="I22" i="6"/>
  <c r="I22" i="7" s="1"/>
  <c r="F22" i="6"/>
  <c r="V29" i="1"/>
  <c r="E22" i="6"/>
  <c r="E22" i="7" s="1"/>
  <c r="AJ74" i="1"/>
  <c r="AJ74" i="15" s="1"/>
  <c r="J11" i="8"/>
  <c r="E89" i="1"/>
  <c r="I62" i="1"/>
  <c r="I75" i="15"/>
  <c r="D10" i="8"/>
  <c r="G10" i="8" s="1"/>
  <c r="U43" i="15"/>
  <c r="AJ43" i="1"/>
  <c r="U30" i="1"/>
  <c r="V43" i="1"/>
  <c r="U94" i="15"/>
  <c r="AJ94" i="1"/>
  <c r="V94" i="1"/>
  <c r="U42" i="15"/>
  <c r="AJ42" i="1"/>
  <c r="V42" i="1"/>
  <c r="W32" i="1"/>
  <c r="W32" i="15" s="1"/>
  <c r="V32" i="15"/>
  <c r="G17" i="6"/>
  <c r="U93" i="15"/>
  <c r="AJ93" i="1"/>
  <c r="V93" i="1"/>
  <c r="W31" i="1"/>
  <c r="W31" i="15" s="1"/>
  <c r="V31" i="15"/>
  <c r="W71" i="1"/>
  <c r="W71" i="15" s="1"/>
  <c r="V71" i="15"/>
  <c r="M31" i="1"/>
  <c r="M31" i="15" s="1"/>
  <c r="L31" i="15"/>
  <c r="AD43" i="15"/>
  <c r="AK31" i="1"/>
  <c r="AJ31" i="15"/>
  <c r="W39" i="1"/>
  <c r="W39" i="15" s="1"/>
  <c r="V39" i="15"/>
  <c r="M25" i="1"/>
  <c r="M25" i="15" s="1"/>
  <c r="L25" i="15"/>
  <c r="AK32" i="1"/>
  <c r="AJ32" i="15"/>
  <c r="V74" i="15"/>
  <c r="AL41" i="1"/>
  <c r="AL41" i="15" s="1"/>
  <c r="AK41" i="15"/>
  <c r="AD42" i="15"/>
  <c r="M32" i="1"/>
  <c r="M32" i="15" s="1"/>
  <c r="L32" i="15"/>
  <c r="AK72" i="1"/>
  <c r="AJ72" i="15"/>
  <c r="L75" i="15"/>
  <c r="L29" i="1"/>
  <c r="K26" i="5"/>
  <c r="AI29" i="1"/>
  <c r="AK29" i="1" s="1"/>
  <c r="F27" i="6"/>
  <c r="F27" i="7" s="1"/>
  <c r="H28" i="12"/>
  <c r="L30" i="15"/>
  <c r="AF23" i="11"/>
  <c r="AF23" i="15" s="1"/>
  <c r="L76" i="1"/>
  <c r="F9" i="8"/>
  <c r="G9" i="8" s="1"/>
  <c r="L61" i="1"/>
  <c r="E8" i="8"/>
  <c r="E17" i="8" s="1"/>
  <c r="H28" i="13"/>
  <c r="V22" i="1"/>
  <c r="J22" i="6"/>
  <c r="S29" i="1"/>
  <c r="H26" i="12"/>
  <c r="AI28" i="15"/>
  <c r="P23" i="15"/>
  <c r="I22" i="13"/>
  <c r="T22" i="15"/>
  <c r="AI22" i="11"/>
  <c r="AI22" i="15" s="1"/>
  <c r="V22" i="11"/>
  <c r="H28" i="14"/>
  <c r="S28" i="15"/>
  <c r="AF28" i="15"/>
  <c r="F26" i="13"/>
  <c r="F27" i="14"/>
  <c r="F26" i="14" s="1"/>
  <c r="T29" i="15"/>
  <c r="AI29" i="11"/>
  <c r="V29" i="11"/>
  <c r="K29" i="15"/>
  <c r="L29" i="11"/>
  <c r="J27" i="12"/>
  <c r="G22" i="12"/>
  <c r="H22" i="12" s="1"/>
  <c r="H22" i="15"/>
  <c r="I22" i="11"/>
  <c r="I22" i="15" s="1"/>
  <c r="E22" i="13"/>
  <c r="P22" i="15"/>
  <c r="AE22" i="11"/>
  <c r="AE22" i="15" s="1"/>
  <c r="R22" i="1"/>
  <c r="S22" i="1" s="1"/>
  <c r="R22" i="11"/>
  <c r="I27" i="14"/>
  <c r="I26" i="14" s="1"/>
  <c r="I26" i="13"/>
  <c r="G27" i="13"/>
  <c r="R29" i="15"/>
  <c r="AG29" i="11"/>
  <c r="U29" i="15"/>
  <c r="AJ29" i="11"/>
  <c r="P29" i="15"/>
  <c r="AE29" i="11"/>
  <c r="AE29" i="15" s="1"/>
  <c r="F22" i="13"/>
  <c r="Q22" i="15"/>
  <c r="AF22" i="11"/>
  <c r="AH30" i="11"/>
  <c r="AH28" i="11"/>
  <c r="AE28" i="15"/>
  <c r="E27" i="13"/>
  <c r="Q23" i="15"/>
  <c r="J22" i="13"/>
  <c r="J22" i="14" s="1"/>
  <c r="U22" i="15"/>
  <c r="AJ22" i="11"/>
  <c r="S29" i="11"/>
  <c r="Q29" i="15"/>
  <c r="AF29" i="11"/>
  <c r="H98" i="1"/>
  <c r="F8" i="8"/>
  <c r="J100" i="15"/>
  <c r="I76" i="1"/>
  <c r="K83" i="15"/>
  <c r="L83" i="11"/>
  <c r="L83" i="15" s="1"/>
  <c r="K82" i="15"/>
  <c r="L82" i="11"/>
  <c r="L82" i="15" s="1"/>
  <c r="I81" i="11"/>
  <c r="I81" i="15" s="1"/>
  <c r="F81" i="15"/>
  <c r="K80" i="15"/>
  <c r="L80" i="11"/>
  <c r="L80" i="15" s="1"/>
  <c r="I80" i="11"/>
  <c r="I80" i="15" s="1"/>
  <c r="F80" i="15"/>
  <c r="I76" i="11"/>
  <c r="F76" i="15"/>
  <c r="I70" i="11"/>
  <c r="I70" i="15" s="1"/>
  <c r="F70" i="15"/>
  <c r="I62" i="11"/>
  <c r="F62" i="15"/>
  <c r="F98" i="11"/>
  <c r="G62" i="15"/>
  <c r="G98" i="11"/>
  <c r="K81" i="15"/>
  <c r="L81" i="11"/>
  <c r="L81" i="15" s="1"/>
  <c r="H82" i="15"/>
  <c r="I82" i="11"/>
  <c r="I82" i="15" s="1"/>
  <c r="H76" i="15"/>
  <c r="K76" i="15"/>
  <c r="L76" i="11"/>
  <c r="K89" i="15"/>
  <c r="E89" i="11"/>
  <c r="L89" i="11"/>
  <c r="H68" i="15"/>
  <c r="I68" i="11"/>
  <c r="I68" i="15" s="1"/>
  <c r="H64" i="15"/>
  <c r="I64" i="11"/>
  <c r="I64" i="15" s="1"/>
  <c r="H63" i="15"/>
  <c r="H97" i="11"/>
  <c r="H100" i="11"/>
  <c r="H98" i="11"/>
  <c r="K61" i="15"/>
  <c r="L61" i="11"/>
  <c r="I63" i="15"/>
  <c r="F98" i="1"/>
  <c r="H100" i="1"/>
  <c r="AG17" i="1"/>
  <c r="G18" i="6"/>
  <c r="S18" i="1"/>
  <c r="AG18" i="1"/>
  <c r="S16" i="1"/>
  <c r="G16" i="6"/>
  <c r="AG16" i="1"/>
  <c r="G18" i="13"/>
  <c r="R18" i="15"/>
  <c r="S18" i="11"/>
  <c r="AG18" i="11"/>
  <c r="G16" i="13"/>
  <c r="R16" i="15"/>
  <c r="AG16" i="11"/>
  <c r="S16" i="11"/>
  <c r="G17" i="13"/>
  <c r="R17" i="15"/>
  <c r="S17" i="11"/>
  <c r="AG17" i="11"/>
  <c r="AH30" i="1"/>
  <c r="G11" i="8"/>
  <c r="AH28" i="1"/>
  <c r="F23" i="6"/>
  <c r="F23" i="7" s="1"/>
  <c r="V72" i="1"/>
  <c r="AE23" i="1"/>
  <c r="G17" i="7"/>
  <c r="H17" i="7" s="1"/>
  <c r="H17" i="6"/>
  <c r="E38" i="7"/>
  <c r="H39" i="7"/>
  <c r="H38" i="7" s="1"/>
  <c r="BD17" i="2"/>
  <c r="BD39" i="2"/>
  <c r="BD12" i="2"/>
  <c r="BD34" i="2"/>
  <c r="BD11" i="2"/>
  <c r="BM10" i="3"/>
  <c r="I27" i="7"/>
  <c r="I26" i="6"/>
  <c r="F22" i="7"/>
  <c r="BC10" i="3"/>
  <c r="I38" i="7"/>
  <c r="F28" i="7"/>
  <c r="H28" i="7" s="1"/>
  <c r="H28" i="6"/>
  <c r="K35" i="5"/>
  <c r="I42" i="5"/>
  <c r="BD40" i="2"/>
  <c r="K32" i="6"/>
  <c r="G27" i="7"/>
  <c r="G26" i="7" s="1"/>
  <c r="G26" i="6"/>
  <c r="I23" i="6"/>
  <c r="AI23" i="1"/>
  <c r="AI23" i="15" s="1"/>
  <c r="AK22" i="1"/>
  <c r="K33" i="7"/>
  <c r="BD15" i="2"/>
  <c r="E23" i="7"/>
  <c r="BD10" i="3"/>
  <c r="AH16" i="1" l="1"/>
  <c r="AM16" i="1"/>
  <c r="AO16" i="1" s="1"/>
  <c r="AH17" i="1"/>
  <c r="AM17" i="1"/>
  <c r="AO17" i="1" s="1"/>
  <c r="AH18" i="1"/>
  <c r="AM18" i="1"/>
  <c r="AO18" i="1" s="1"/>
  <c r="AM29" i="1"/>
  <c r="AO29" i="1" s="1"/>
  <c r="M89" i="1"/>
  <c r="AE23" i="15"/>
  <c r="K22" i="6"/>
  <c r="AG29" i="15"/>
  <c r="G8" i="8"/>
  <c r="G17" i="8" s="1"/>
  <c r="E26" i="6"/>
  <c r="I17" i="8"/>
  <c r="D17" i="8"/>
  <c r="H27" i="6"/>
  <c r="J17" i="8"/>
  <c r="I98" i="1"/>
  <c r="E21" i="6"/>
  <c r="F26" i="6"/>
  <c r="G22" i="6"/>
  <c r="H22" i="6" s="1"/>
  <c r="L29" i="15"/>
  <c r="V29" i="15"/>
  <c r="AI29" i="15"/>
  <c r="L61" i="15"/>
  <c r="F17" i="8"/>
  <c r="F26" i="8" s="1"/>
  <c r="W72" i="1"/>
  <c r="W72" i="15" s="1"/>
  <c r="V72" i="15"/>
  <c r="V93" i="15"/>
  <c r="W93" i="1"/>
  <c r="W93" i="15" s="1"/>
  <c r="V43" i="15"/>
  <c r="W43" i="1"/>
  <c r="W43" i="15" s="1"/>
  <c r="AL32" i="1"/>
  <c r="AL32" i="15" s="1"/>
  <c r="AK32" i="15"/>
  <c r="AJ93" i="15"/>
  <c r="AK93" i="1"/>
  <c r="V94" i="15"/>
  <c r="W94" i="1"/>
  <c r="W94" i="15" s="1"/>
  <c r="U30" i="15"/>
  <c r="J28" i="6"/>
  <c r="V30" i="1"/>
  <c r="V30" i="15" s="1"/>
  <c r="AJ30" i="1"/>
  <c r="AL72" i="1"/>
  <c r="AL72" i="15" s="1"/>
  <c r="AK72" i="15"/>
  <c r="V42" i="15"/>
  <c r="W42" i="1"/>
  <c r="W42" i="15" s="1"/>
  <c r="AJ94" i="15"/>
  <c r="AK94" i="1"/>
  <c r="AJ43" i="15"/>
  <c r="AK43" i="1"/>
  <c r="AL31" i="1"/>
  <c r="AL31" i="15" s="1"/>
  <c r="AK31" i="15"/>
  <c r="AJ42" i="15"/>
  <c r="AK42" i="1"/>
  <c r="J22" i="7"/>
  <c r="K22" i="7" s="1"/>
  <c r="V22" i="15"/>
  <c r="L76" i="15"/>
  <c r="AG22" i="1"/>
  <c r="S29" i="15"/>
  <c r="AH30" i="15"/>
  <c r="AK22" i="11"/>
  <c r="AK22" i="15" s="1"/>
  <c r="AJ22" i="15"/>
  <c r="H27" i="13"/>
  <c r="E27" i="14"/>
  <c r="E26" i="13"/>
  <c r="AH28" i="15"/>
  <c r="AK29" i="11"/>
  <c r="AK29" i="15" s="1"/>
  <c r="AJ29" i="15"/>
  <c r="G26" i="13"/>
  <c r="G27" i="14"/>
  <c r="G26" i="14" s="1"/>
  <c r="E22" i="14"/>
  <c r="E21" i="13"/>
  <c r="AH29" i="11"/>
  <c r="AH29" i="15" s="1"/>
  <c r="AF29" i="15"/>
  <c r="AF22" i="15"/>
  <c r="F22" i="14"/>
  <c r="F21" i="13"/>
  <c r="G22" i="13"/>
  <c r="G22" i="14" s="1"/>
  <c r="R22" i="15"/>
  <c r="AG22" i="11"/>
  <c r="S22" i="11"/>
  <c r="S22" i="15" s="1"/>
  <c r="J26" i="12"/>
  <c r="K26" i="12" s="1"/>
  <c r="K27" i="12"/>
  <c r="K22" i="13"/>
  <c r="I22" i="14"/>
  <c r="K22" i="14" s="1"/>
  <c r="I21" i="13"/>
  <c r="I76" i="15"/>
  <c r="H97" i="15"/>
  <c r="H100" i="15"/>
  <c r="E89" i="15"/>
  <c r="O89" i="11"/>
  <c r="M89" i="11"/>
  <c r="M89" i="15" s="1"/>
  <c r="L89" i="15"/>
  <c r="I62" i="15"/>
  <c r="I98" i="11"/>
  <c r="AH17" i="11"/>
  <c r="AG17" i="15"/>
  <c r="S16" i="15"/>
  <c r="AH18" i="11"/>
  <c r="AG18" i="15"/>
  <c r="S17" i="15"/>
  <c r="G17" i="14"/>
  <c r="H17" i="14" s="1"/>
  <c r="H17" i="13"/>
  <c r="AH16" i="11"/>
  <c r="AG16" i="15"/>
  <c r="G16" i="14"/>
  <c r="H16" i="14" s="1"/>
  <c r="H16" i="13"/>
  <c r="S18" i="15"/>
  <c r="G18" i="14"/>
  <c r="H18" i="14" s="1"/>
  <c r="H18" i="13"/>
  <c r="G16" i="7"/>
  <c r="H16" i="7" s="1"/>
  <c r="H16" i="6"/>
  <c r="G18" i="7"/>
  <c r="H18" i="7" s="1"/>
  <c r="H18" i="6"/>
  <c r="F21" i="6"/>
  <c r="K32" i="7"/>
  <c r="I23" i="7"/>
  <c r="F26" i="7"/>
  <c r="BD18" i="2"/>
  <c r="I21" i="6"/>
  <c r="BD4" i="2"/>
  <c r="BD20" i="2"/>
  <c r="BD42" i="2"/>
  <c r="I26" i="7"/>
  <c r="E26" i="7"/>
  <c r="H27" i="7"/>
  <c r="AH22" i="1" l="1"/>
  <c r="AM22" i="1"/>
  <c r="AO22" i="1" s="1"/>
  <c r="H26" i="6"/>
  <c r="G22" i="7"/>
  <c r="H22" i="7" s="1"/>
  <c r="AG22" i="15"/>
  <c r="AK42" i="15"/>
  <c r="AL42" i="1"/>
  <c r="AL42" i="15" s="1"/>
  <c r="AK43" i="15"/>
  <c r="AL43" i="1"/>
  <c r="AL43" i="15" s="1"/>
  <c r="AK30" i="1"/>
  <c r="AK30" i="15" s="1"/>
  <c r="AJ30" i="15"/>
  <c r="AK94" i="15"/>
  <c r="AL94" i="1"/>
  <c r="AL94" i="15" s="1"/>
  <c r="J28" i="7"/>
  <c r="K28" i="7" s="1"/>
  <c r="K28" i="6"/>
  <c r="AK93" i="15"/>
  <c r="AL93" i="1"/>
  <c r="AL93" i="15" s="1"/>
  <c r="H22" i="13"/>
  <c r="AH22" i="11"/>
  <c r="H22" i="14"/>
  <c r="E26" i="14"/>
  <c r="H26" i="14" s="1"/>
  <c r="H27" i="14"/>
  <c r="H26" i="13"/>
  <c r="AD89" i="11"/>
  <c r="AH18" i="15"/>
  <c r="AH16" i="15"/>
  <c r="AH17" i="15"/>
  <c r="H26" i="7"/>
  <c r="K17" i="8"/>
  <c r="AH22" i="15" l="1"/>
  <c r="R89" i="1"/>
  <c r="R99" i="1" s="1"/>
  <c r="R89" i="11"/>
  <c r="R73" i="1"/>
  <c r="R73" i="11"/>
  <c r="U73" i="1"/>
  <c r="U73" i="11"/>
  <c r="U89" i="1"/>
  <c r="AJ89" i="1" s="1"/>
  <c r="U89" i="11"/>
  <c r="Q89" i="1"/>
  <c r="E19" i="10" s="1"/>
  <c r="Q89" i="11"/>
  <c r="Q73" i="1"/>
  <c r="Q73" i="11"/>
  <c r="F19" i="10"/>
  <c r="F24" i="10" s="1"/>
  <c r="AF89" i="1" l="1"/>
  <c r="F19" i="9"/>
  <c r="F24" i="9" s="1"/>
  <c r="AG89" i="1"/>
  <c r="AG99" i="1" s="1"/>
  <c r="E19" i="9"/>
  <c r="Q63" i="1"/>
  <c r="AF63" i="1" s="1"/>
  <c r="Q63" i="11"/>
  <c r="Q68" i="1"/>
  <c r="E9" i="10" s="1"/>
  <c r="Q68" i="11"/>
  <c r="T89" i="1"/>
  <c r="H19" i="10" s="1"/>
  <c r="H24" i="10" s="1"/>
  <c r="T89" i="11"/>
  <c r="R63" i="1"/>
  <c r="AG63" i="1" s="1"/>
  <c r="R63" i="11"/>
  <c r="R61" i="1"/>
  <c r="AG61" i="1" s="1"/>
  <c r="R61" i="11"/>
  <c r="R70" i="1"/>
  <c r="AG70" i="1" s="1"/>
  <c r="R70" i="11"/>
  <c r="T73" i="1"/>
  <c r="T73" i="11"/>
  <c r="Q76" i="1"/>
  <c r="AF76" i="1" s="1"/>
  <c r="Q76" i="11"/>
  <c r="U76" i="1"/>
  <c r="AJ76" i="1" s="1"/>
  <c r="U76" i="11"/>
  <c r="U61" i="1"/>
  <c r="AJ61" i="1" s="1"/>
  <c r="U61" i="11"/>
  <c r="P89" i="1"/>
  <c r="S89" i="1" s="1"/>
  <c r="P89" i="11"/>
  <c r="R62" i="1"/>
  <c r="AG62" i="1" s="1"/>
  <c r="R62" i="11"/>
  <c r="Q73" i="15"/>
  <c r="AF73" i="11"/>
  <c r="AF89" i="11"/>
  <c r="AF89" i="15" s="1"/>
  <c r="Q89" i="15"/>
  <c r="AJ89" i="11"/>
  <c r="AJ89" i="15" s="1"/>
  <c r="U89" i="15"/>
  <c r="U73" i="15"/>
  <c r="AJ73" i="11"/>
  <c r="AG73" i="11"/>
  <c r="R73" i="15"/>
  <c r="AG89" i="11"/>
  <c r="R89" i="15"/>
  <c r="R99" i="11"/>
  <c r="U63" i="1"/>
  <c r="AJ63" i="1" s="1"/>
  <c r="U63" i="11"/>
  <c r="Q70" i="1"/>
  <c r="AF70" i="1" s="1"/>
  <c r="Q70" i="11"/>
  <c r="U68" i="1"/>
  <c r="AJ68" i="1" s="1"/>
  <c r="U68" i="11"/>
  <c r="Q62" i="1"/>
  <c r="AF62" i="1" s="1"/>
  <c r="Q62" i="11"/>
  <c r="U70" i="1"/>
  <c r="AJ70" i="1" s="1"/>
  <c r="U70" i="11"/>
  <c r="R76" i="1"/>
  <c r="AG76" i="1" s="1"/>
  <c r="R76" i="11"/>
  <c r="R68" i="1"/>
  <c r="F9" i="10" s="1"/>
  <c r="R68" i="11"/>
  <c r="U62" i="1"/>
  <c r="AJ62" i="1" s="1"/>
  <c r="U62" i="11"/>
  <c r="Q61" i="1"/>
  <c r="AF61" i="1" s="1"/>
  <c r="Q61" i="11"/>
  <c r="P73" i="1"/>
  <c r="P73" i="11"/>
  <c r="F10" i="9" l="1"/>
  <c r="E10" i="10"/>
  <c r="AE89" i="1"/>
  <c r="H19" i="9"/>
  <c r="H24" i="9" s="1"/>
  <c r="F9" i="9"/>
  <c r="AG68" i="1"/>
  <c r="AI89" i="1"/>
  <c r="AI99" i="1" s="1"/>
  <c r="V89" i="1"/>
  <c r="I9" i="10"/>
  <c r="F10" i="10"/>
  <c r="AF68" i="1"/>
  <c r="E9" i="9"/>
  <c r="T99" i="1"/>
  <c r="I9" i="9"/>
  <c r="I10" i="10"/>
  <c r="I10" i="9"/>
  <c r="E10" i="9"/>
  <c r="P70" i="1"/>
  <c r="D10" i="10" s="1"/>
  <c r="G10" i="10" s="1"/>
  <c r="P70" i="11"/>
  <c r="S70" i="11" s="1"/>
  <c r="T68" i="1"/>
  <c r="AI68" i="1" s="1"/>
  <c r="AK68" i="1" s="1"/>
  <c r="T68" i="11"/>
  <c r="T63" i="1"/>
  <c r="AI63" i="1" s="1"/>
  <c r="T63" i="11"/>
  <c r="P76" i="1"/>
  <c r="S76" i="1" s="1"/>
  <c r="P76" i="11"/>
  <c r="U64" i="1"/>
  <c r="AJ64" i="1" s="1"/>
  <c r="U64" i="11"/>
  <c r="P68" i="1"/>
  <c r="D9" i="10" s="1"/>
  <c r="G9" i="10" s="1"/>
  <c r="P68" i="11"/>
  <c r="S68" i="11" s="1"/>
  <c r="T70" i="1"/>
  <c r="AI70" i="1" s="1"/>
  <c r="T70" i="11"/>
  <c r="P63" i="1"/>
  <c r="S63" i="1" s="1"/>
  <c r="P63" i="11"/>
  <c r="P61" i="1"/>
  <c r="S61" i="1" s="1"/>
  <c r="P61" i="11"/>
  <c r="R62" i="15"/>
  <c r="AG62" i="11"/>
  <c r="AG62" i="15" s="1"/>
  <c r="AE89" i="11"/>
  <c r="P89" i="15"/>
  <c r="S89" i="11"/>
  <c r="U61" i="15"/>
  <c r="AJ61" i="11"/>
  <c r="AJ61" i="15" s="1"/>
  <c r="AJ76" i="11"/>
  <c r="AJ76" i="15" s="1"/>
  <c r="U76" i="15"/>
  <c r="AF76" i="11"/>
  <c r="AF76" i="15" s="1"/>
  <c r="Q76" i="15"/>
  <c r="V73" i="11"/>
  <c r="T73" i="15"/>
  <c r="AI73" i="11"/>
  <c r="R70" i="15"/>
  <c r="AG70" i="11"/>
  <c r="AG70" i="15" s="1"/>
  <c r="AG61" i="11"/>
  <c r="AG61" i="15" s="1"/>
  <c r="R61" i="15"/>
  <c r="AG63" i="11"/>
  <c r="AG63" i="15" s="1"/>
  <c r="R63" i="15"/>
  <c r="V89" i="11"/>
  <c r="V89" i="15" s="1"/>
  <c r="T89" i="15"/>
  <c r="T99" i="11"/>
  <c r="AI89" i="11"/>
  <c r="Q68" i="15"/>
  <c r="AF68" i="11"/>
  <c r="Q63" i="15"/>
  <c r="AF63" i="11"/>
  <c r="AF63" i="15" s="1"/>
  <c r="P62" i="1"/>
  <c r="S62" i="1" s="1"/>
  <c r="P62" i="11"/>
  <c r="T62" i="1"/>
  <c r="AI62" i="1" s="1"/>
  <c r="T62" i="11"/>
  <c r="T61" i="1"/>
  <c r="AI61" i="1" s="1"/>
  <c r="AK61" i="1" s="1"/>
  <c r="T61" i="11"/>
  <c r="R64" i="1"/>
  <c r="AG64" i="1" s="1"/>
  <c r="R64" i="11"/>
  <c r="Q64" i="1"/>
  <c r="AF64" i="1" s="1"/>
  <c r="Q64" i="11"/>
  <c r="T76" i="1"/>
  <c r="AI76" i="1" s="1"/>
  <c r="T76" i="11"/>
  <c r="AE73" i="11"/>
  <c r="P73" i="15"/>
  <c r="S73" i="11"/>
  <c r="Q61" i="15"/>
  <c r="AF61" i="11"/>
  <c r="AF61" i="15" s="1"/>
  <c r="AJ62" i="11"/>
  <c r="AJ62" i="15" s="1"/>
  <c r="U62" i="15"/>
  <c r="R68" i="15"/>
  <c r="AG68" i="11"/>
  <c r="AG76" i="11"/>
  <c r="AG76" i="15" s="1"/>
  <c r="R76" i="15"/>
  <c r="AJ70" i="11"/>
  <c r="AJ70" i="15" s="1"/>
  <c r="U70" i="15"/>
  <c r="S62" i="11"/>
  <c r="Q62" i="15"/>
  <c r="AF62" i="11"/>
  <c r="AJ68" i="11"/>
  <c r="AJ68" i="15" s="1"/>
  <c r="U68" i="15"/>
  <c r="Q70" i="15"/>
  <c r="AF70" i="11"/>
  <c r="U63" i="15"/>
  <c r="AJ63" i="11"/>
  <c r="AJ63" i="15" s="1"/>
  <c r="AG89" i="15"/>
  <c r="AG99" i="11"/>
  <c r="AH89" i="1" l="1"/>
  <c r="AM89" i="1"/>
  <c r="D10" i="9"/>
  <c r="G10" i="9" s="1"/>
  <c r="AK89" i="1"/>
  <c r="V70" i="1"/>
  <c r="AG68" i="15"/>
  <c r="V63" i="1"/>
  <c r="H10" i="9"/>
  <c r="J10" i="9" s="1"/>
  <c r="V76" i="1"/>
  <c r="H10" i="10"/>
  <c r="J10" i="10" s="1"/>
  <c r="H9" i="9"/>
  <c r="J9" i="9" s="1"/>
  <c r="V68" i="1"/>
  <c r="H9" i="10"/>
  <c r="J9" i="10" s="1"/>
  <c r="D9" i="9"/>
  <c r="G9" i="9" s="1"/>
  <c r="I8" i="10"/>
  <c r="AE70" i="1"/>
  <c r="AM70" i="1" s="1"/>
  <c r="V61" i="1"/>
  <c r="V62" i="1"/>
  <c r="AE63" i="1"/>
  <c r="AE76" i="1"/>
  <c r="AM76" i="1" s="1"/>
  <c r="F8" i="10"/>
  <c r="AE62" i="1"/>
  <c r="AM62" i="1" s="1"/>
  <c r="E8" i="9"/>
  <c r="F8" i="9"/>
  <c r="E8" i="10"/>
  <c r="I8" i="9"/>
  <c r="AE68" i="1"/>
  <c r="AE61" i="1"/>
  <c r="S68" i="1"/>
  <c r="S68" i="15" s="1"/>
  <c r="S70" i="1"/>
  <c r="Q60" i="1"/>
  <c r="E7" i="10" s="1"/>
  <c r="Q60" i="11"/>
  <c r="R60" i="1"/>
  <c r="F7" i="10" s="1"/>
  <c r="R60" i="11"/>
  <c r="U60" i="1"/>
  <c r="I7" i="10" s="1"/>
  <c r="U60" i="11"/>
  <c r="AF70" i="15"/>
  <c r="S70" i="15"/>
  <c r="AH73" i="11"/>
  <c r="AK89" i="11"/>
  <c r="AI89" i="15"/>
  <c r="AI99" i="11"/>
  <c r="AK73" i="11"/>
  <c r="AE61" i="11"/>
  <c r="P61" i="15"/>
  <c r="S61" i="11"/>
  <c r="S61" i="15" s="1"/>
  <c r="AE63" i="11"/>
  <c r="P63" i="15"/>
  <c r="S63" i="11"/>
  <c r="S63" i="15" s="1"/>
  <c r="V70" i="11"/>
  <c r="T70" i="15"/>
  <c r="AI70" i="11"/>
  <c r="P68" i="15"/>
  <c r="AE68" i="11"/>
  <c r="AJ64" i="11"/>
  <c r="AJ64" i="15" s="1"/>
  <c r="U64" i="15"/>
  <c r="AE76" i="11"/>
  <c r="P76" i="15"/>
  <c r="S76" i="11"/>
  <c r="S76" i="15" s="1"/>
  <c r="V63" i="11"/>
  <c r="T63" i="15"/>
  <c r="AI63" i="11"/>
  <c r="V68" i="11"/>
  <c r="T68" i="15"/>
  <c r="AI68" i="11"/>
  <c r="P70" i="15"/>
  <c r="AE70" i="11"/>
  <c r="P60" i="1"/>
  <c r="AE60" i="1" s="1"/>
  <c r="P60" i="11"/>
  <c r="P64" i="1"/>
  <c r="D8" i="10" s="1"/>
  <c r="P64" i="11"/>
  <c r="S64" i="11" s="1"/>
  <c r="T60" i="1"/>
  <c r="T60" i="11"/>
  <c r="T64" i="1"/>
  <c r="AI64" i="1" s="1"/>
  <c r="AK64" i="1" s="1"/>
  <c r="T64" i="11"/>
  <c r="AF62" i="15"/>
  <c r="S62" i="15"/>
  <c r="V76" i="11"/>
  <c r="T76" i="15"/>
  <c r="AI76" i="11"/>
  <c r="Q64" i="15"/>
  <c r="AF64" i="11"/>
  <c r="R64" i="15"/>
  <c r="AG64" i="11"/>
  <c r="AG64" i="15" s="1"/>
  <c r="V61" i="11"/>
  <c r="T61" i="15"/>
  <c r="AI61" i="11"/>
  <c r="V62" i="11"/>
  <c r="T62" i="15"/>
  <c r="AI62" i="11"/>
  <c r="P62" i="15"/>
  <c r="AE62" i="11"/>
  <c r="AF68" i="15"/>
  <c r="S89" i="15"/>
  <c r="W89" i="11"/>
  <c r="AH89" i="11"/>
  <c r="AE89" i="15"/>
  <c r="AK63" i="1"/>
  <c r="AR76" i="1" l="1"/>
  <c r="AO76" i="1"/>
  <c r="AO70" i="1"/>
  <c r="AR70" i="1"/>
  <c r="AR62" i="1"/>
  <c r="AO62" i="1"/>
  <c r="AR89" i="1"/>
  <c r="AO89" i="1"/>
  <c r="AH61" i="1"/>
  <c r="AM61" i="1"/>
  <c r="AH68" i="1"/>
  <c r="AM68" i="1"/>
  <c r="AH63" i="1"/>
  <c r="AM63" i="1"/>
  <c r="AI60" i="1"/>
  <c r="H7" i="9"/>
  <c r="F7" i="9"/>
  <c r="AK89" i="15"/>
  <c r="AE70" i="15"/>
  <c r="V76" i="15"/>
  <c r="V70" i="15"/>
  <c r="V62" i="15"/>
  <c r="V63" i="15"/>
  <c r="V64" i="1"/>
  <c r="V68" i="15"/>
  <c r="V61" i="15"/>
  <c r="V60" i="1"/>
  <c r="E7" i="9"/>
  <c r="AJ60" i="1"/>
  <c r="I7" i="9"/>
  <c r="AF60" i="1"/>
  <c r="G8" i="10"/>
  <c r="AG60" i="1"/>
  <c r="AE62" i="15"/>
  <c r="AE68" i="15"/>
  <c r="S60" i="1"/>
  <c r="H7" i="10"/>
  <c r="J7" i="10" s="1"/>
  <c r="S64" i="1"/>
  <c r="S64" i="15" s="1"/>
  <c r="D7" i="10"/>
  <c r="G7" i="10" s="1"/>
  <c r="H8" i="10"/>
  <c r="J8" i="10" s="1"/>
  <c r="D7" i="9"/>
  <c r="AE64" i="1"/>
  <c r="H8" i="9"/>
  <c r="J8" i="9" s="1"/>
  <c r="D8" i="9"/>
  <c r="G8" i="9" s="1"/>
  <c r="AH68" i="11"/>
  <c r="AK61" i="11"/>
  <c r="AK61" i="15" s="1"/>
  <c r="AI61" i="15"/>
  <c r="AK76" i="11"/>
  <c r="AI76" i="15"/>
  <c r="V64" i="11"/>
  <c r="T64" i="15"/>
  <c r="AI64" i="11"/>
  <c r="V60" i="11"/>
  <c r="T60" i="15"/>
  <c r="AI60" i="11"/>
  <c r="P64" i="15"/>
  <c r="AE64" i="11"/>
  <c r="P60" i="15"/>
  <c r="AE60" i="11"/>
  <c r="AE60" i="15" s="1"/>
  <c r="AI68" i="15"/>
  <c r="AK68" i="11"/>
  <c r="AK68" i="15" s="1"/>
  <c r="AE76" i="15"/>
  <c r="AH76" i="11"/>
  <c r="AH63" i="11"/>
  <c r="AE63" i="15"/>
  <c r="AJ60" i="11"/>
  <c r="U60" i="15"/>
  <c r="R60" i="15"/>
  <c r="AG60" i="11"/>
  <c r="AG60" i="15" s="1"/>
  <c r="S60" i="11"/>
  <c r="Q60" i="15"/>
  <c r="AF60" i="11"/>
  <c r="AH89" i="15"/>
  <c r="AL89" i="11"/>
  <c r="AI62" i="15"/>
  <c r="AK62" i="11"/>
  <c r="AH64" i="11"/>
  <c r="AF64" i="15"/>
  <c r="AH62" i="11"/>
  <c r="AK63" i="11"/>
  <c r="AK63" i="15" s="1"/>
  <c r="AI63" i="15"/>
  <c r="AI70" i="15"/>
  <c r="AK70" i="11"/>
  <c r="AH61" i="11"/>
  <c r="AE61" i="15"/>
  <c r="AH70" i="11"/>
  <c r="AH62" i="1"/>
  <c r="AK62" i="1"/>
  <c r="AR68" i="1" l="1"/>
  <c r="AO68" i="1"/>
  <c r="AO63" i="1"/>
  <c r="AR63" i="1"/>
  <c r="AR61" i="1"/>
  <c r="AO61" i="1"/>
  <c r="AH61" i="15"/>
  <c r="AH63" i="15"/>
  <c r="AH68" i="15"/>
  <c r="AM60" i="1"/>
  <c r="AH64" i="1"/>
  <c r="AH64" i="15" s="1"/>
  <c r="AM64" i="1"/>
  <c r="AK60" i="1"/>
  <c r="J7" i="9"/>
  <c r="G7" i="9"/>
  <c r="V64" i="15"/>
  <c r="V60" i="15"/>
  <c r="S60" i="15"/>
  <c r="AH60" i="1"/>
  <c r="AJ60" i="15"/>
  <c r="AE64" i="15"/>
  <c r="AH62" i="15"/>
  <c r="AI64" i="15"/>
  <c r="AK64" i="11"/>
  <c r="AK64" i="15" s="1"/>
  <c r="AK62" i="15"/>
  <c r="AH60" i="11"/>
  <c r="AF60" i="15"/>
  <c r="AI60" i="15"/>
  <c r="AK60" i="11"/>
  <c r="AR64" i="1" l="1"/>
  <c r="AO64" i="1"/>
  <c r="AR60" i="1"/>
  <c r="AO60" i="1"/>
  <c r="AH60" i="15"/>
  <c r="AK60" i="15"/>
  <c r="U81" i="1"/>
  <c r="AJ81" i="1" s="1"/>
  <c r="U81" i="11"/>
  <c r="Q79" i="1"/>
  <c r="AF79" i="1" s="1"/>
  <c r="Q79" i="11"/>
  <c r="Q82" i="1"/>
  <c r="AF82" i="1" s="1"/>
  <c r="Q82" i="11"/>
  <c r="U82" i="1"/>
  <c r="AJ82" i="1" s="1"/>
  <c r="U82" i="11"/>
  <c r="R81" i="1"/>
  <c r="AG81" i="1" s="1"/>
  <c r="R81" i="11"/>
  <c r="Q81" i="1"/>
  <c r="AF81" i="1" s="1"/>
  <c r="Q81" i="11"/>
  <c r="R82" i="1"/>
  <c r="AG82" i="1" s="1"/>
  <c r="R82" i="11"/>
  <c r="R79" i="1" l="1"/>
  <c r="AG79" i="1" s="1"/>
  <c r="R79" i="11"/>
  <c r="T82" i="1"/>
  <c r="V82" i="1" s="1"/>
  <c r="T82" i="11"/>
  <c r="P81" i="1"/>
  <c r="S81" i="1" s="1"/>
  <c r="P81" i="11"/>
  <c r="U79" i="1"/>
  <c r="U79" i="11"/>
  <c r="AG82" i="11"/>
  <c r="AG82" i="15" s="1"/>
  <c r="R82" i="15"/>
  <c r="AF81" i="11"/>
  <c r="AF81" i="15" s="1"/>
  <c r="Q81" i="15"/>
  <c r="AG81" i="11"/>
  <c r="AG81" i="15" s="1"/>
  <c r="R81" i="15"/>
  <c r="AJ82" i="11"/>
  <c r="AJ82" i="15" s="1"/>
  <c r="U82" i="15"/>
  <c r="AF82" i="11"/>
  <c r="AF82" i="15" s="1"/>
  <c r="Q82" i="15"/>
  <c r="AF79" i="11"/>
  <c r="AF79" i="15" s="1"/>
  <c r="Q79" i="15"/>
  <c r="U81" i="15"/>
  <c r="AJ81" i="11"/>
  <c r="P82" i="1"/>
  <c r="S82" i="1" s="1"/>
  <c r="P82" i="11"/>
  <c r="T81" i="1"/>
  <c r="V81" i="1" s="1"/>
  <c r="T81" i="11"/>
  <c r="T79" i="1"/>
  <c r="V79" i="1" s="1"/>
  <c r="T79" i="11"/>
  <c r="P79" i="1"/>
  <c r="S79" i="1" s="1"/>
  <c r="P79" i="11"/>
  <c r="AJ79" i="1"/>
  <c r="AI81" i="1" l="1"/>
  <c r="AK81" i="1" s="1"/>
  <c r="AE81" i="1"/>
  <c r="AI82" i="1"/>
  <c r="AK82" i="1" s="1"/>
  <c r="AI79" i="1"/>
  <c r="AK79" i="1" s="1"/>
  <c r="AE82" i="1"/>
  <c r="AE79" i="1"/>
  <c r="AE79" i="11"/>
  <c r="P79" i="15"/>
  <c r="S79" i="11"/>
  <c r="S79" i="15" s="1"/>
  <c r="AI79" i="11"/>
  <c r="T79" i="15"/>
  <c r="V79" i="11"/>
  <c r="V79" i="15" s="1"/>
  <c r="AI81" i="11"/>
  <c r="AI81" i="15" s="1"/>
  <c r="T81" i="15"/>
  <c r="V81" i="11"/>
  <c r="V81" i="15" s="1"/>
  <c r="AE82" i="11"/>
  <c r="P82" i="15"/>
  <c r="S82" i="11"/>
  <c r="S82" i="15" s="1"/>
  <c r="AJ81" i="15"/>
  <c r="AJ79" i="11"/>
  <c r="AJ79" i="15" s="1"/>
  <c r="U79" i="15"/>
  <c r="AE81" i="11"/>
  <c r="P81" i="15"/>
  <c r="S81" i="11"/>
  <c r="S81" i="15" s="1"/>
  <c r="V82" i="11"/>
  <c r="V82" i="15" s="1"/>
  <c r="T82" i="15"/>
  <c r="AI82" i="11"/>
  <c r="AG79" i="11"/>
  <c r="AG79" i="15" s="1"/>
  <c r="R79" i="15"/>
  <c r="AH79" i="1" l="1"/>
  <c r="AM79" i="1"/>
  <c r="AH81" i="1"/>
  <c r="AM81" i="1"/>
  <c r="AH82" i="1"/>
  <c r="AM82" i="1"/>
  <c r="AK81" i="11"/>
  <c r="AK81" i="15" s="1"/>
  <c r="AH81" i="11"/>
  <c r="AE81" i="15"/>
  <c r="AE79" i="15"/>
  <c r="AH79" i="11"/>
  <c r="AK82" i="11"/>
  <c r="AK82" i="15" s="1"/>
  <c r="AI82" i="15"/>
  <c r="AE82" i="15"/>
  <c r="AH82" i="11"/>
  <c r="AK79" i="11"/>
  <c r="AK79" i="15" s="1"/>
  <c r="AI79" i="15"/>
  <c r="AR81" i="1" l="1"/>
  <c r="AO81" i="1"/>
  <c r="AR82" i="1"/>
  <c r="AO82" i="1"/>
  <c r="AO79" i="1"/>
  <c r="AR79" i="1"/>
  <c r="AH81" i="15"/>
  <c r="AH82" i="15"/>
  <c r="AH79" i="15"/>
  <c r="U80" i="1"/>
  <c r="AJ80" i="1" s="1"/>
  <c r="U80" i="11"/>
  <c r="T80" i="1" l="1"/>
  <c r="AI80" i="1" s="1"/>
  <c r="AK80" i="1" s="1"/>
  <c r="T80" i="11"/>
  <c r="R80" i="1"/>
  <c r="AG80" i="1" s="1"/>
  <c r="R80" i="11"/>
  <c r="U80" i="15"/>
  <c r="AJ80" i="11"/>
  <c r="P80" i="1"/>
  <c r="AE80" i="1" s="1"/>
  <c r="P80" i="11"/>
  <c r="Q80" i="1"/>
  <c r="AF80" i="1" s="1"/>
  <c r="Q80" i="11"/>
  <c r="T75" i="11"/>
  <c r="Q75" i="11"/>
  <c r="U75" i="11"/>
  <c r="R75" i="11"/>
  <c r="P75" i="11"/>
  <c r="AM80" i="1" l="1"/>
  <c r="V80" i="1"/>
  <c r="S80" i="1"/>
  <c r="AE75" i="11"/>
  <c r="S75" i="11"/>
  <c r="AG75" i="11"/>
  <c r="AJ75" i="11"/>
  <c r="U83" i="1"/>
  <c r="I12" i="10" s="1"/>
  <c r="U83" i="11"/>
  <c r="AI75" i="11"/>
  <c r="V75" i="11"/>
  <c r="AF80" i="11"/>
  <c r="AF80" i="15" s="1"/>
  <c r="Q80" i="15"/>
  <c r="AE80" i="11"/>
  <c r="P80" i="15"/>
  <c r="S80" i="11"/>
  <c r="AJ80" i="15"/>
  <c r="AG80" i="11"/>
  <c r="AG80" i="15" s="1"/>
  <c r="R80" i="15"/>
  <c r="T80" i="15"/>
  <c r="AI80" i="11"/>
  <c r="AI80" i="15" s="1"/>
  <c r="V80" i="11"/>
  <c r="R83" i="1"/>
  <c r="F12" i="10" s="1"/>
  <c r="R83" i="11"/>
  <c r="Q83" i="1"/>
  <c r="E12" i="10" s="1"/>
  <c r="Q83" i="11"/>
  <c r="AF75" i="11"/>
  <c r="AH80" i="1"/>
  <c r="P75" i="1"/>
  <c r="P75" i="15" s="1"/>
  <c r="AF73" i="1"/>
  <c r="AF73" i="15" s="1"/>
  <c r="Q75" i="1"/>
  <c r="Q75" i="15" s="1"/>
  <c r="AI73" i="1"/>
  <c r="AI73" i="15" s="1"/>
  <c r="T75" i="1"/>
  <c r="R75" i="1"/>
  <c r="R75" i="15" s="1"/>
  <c r="AJ73" i="1"/>
  <c r="AJ73" i="15" s="1"/>
  <c r="U75" i="1"/>
  <c r="U75" i="15" s="1"/>
  <c r="AO80" i="1" l="1"/>
  <c r="AR80" i="1"/>
  <c r="V80" i="15"/>
  <c r="T75" i="15"/>
  <c r="AG83" i="1"/>
  <c r="AF83" i="1"/>
  <c r="F12" i="9"/>
  <c r="E12" i="9"/>
  <c r="I12" i="9"/>
  <c r="AJ83" i="1"/>
  <c r="S80" i="15"/>
  <c r="AF83" i="11"/>
  <c r="Q83" i="15"/>
  <c r="AG83" i="11"/>
  <c r="R83" i="15"/>
  <c r="AK80" i="11"/>
  <c r="AK80" i="15" s="1"/>
  <c r="AK75" i="11"/>
  <c r="P83" i="1"/>
  <c r="S83" i="1" s="1"/>
  <c r="P83" i="11"/>
  <c r="T83" i="1"/>
  <c r="H12" i="10" s="1"/>
  <c r="J12" i="10" s="1"/>
  <c r="T83" i="11"/>
  <c r="AE80" i="15"/>
  <c r="AH80" i="11"/>
  <c r="AH80" i="15" s="1"/>
  <c r="AJ83" i="11"/>
  <c r="U83" i="15"/>
  <c r="AH75" i="11"/>
  <c r="AJ75" i="1"/>
  <c r="AJ75" i="15" s="1"/>
  <c r="I11" i="10"/>
  <c r="I11" i="9"/>
  <c r="AG75" i="1"/>
  <c r="AG75" i="15" s="1"/>
  <c r="F11" i="10"/>
  <c r="F11" i="9"/>
  <c r="AI75" i="1"/>
  <c r="H11" i="10"/>
  <c r="H11" i="9"/>
  <c r="AF75" i="1"/>
  <c r="AF75" i="15" s="1"/>
  <c r="E11" i="10"/>
  <c r="E11" i="9"/>
  <c r="AE75" i="1"/>
  <c r="D11" i="10"/>
  <c r="D11" i="9"/>
  <c r="AH76" i="1"/>
  <c r="AH76" i="15" s="1"/>
  <c r="AG73" i="1"/>
  <c r="AG73" i="15" s="1"/>
  <c r="AK73" i="1"/>
  <c r="AK73" i="15" s="1"/>
  <c r="AE73" i="1"/>
  <c r="S75" i="1"/>
  <c r="S75" i="15" s="1"/>
  <c r="V73" i="1"/>
  <c r="V73" i="15" s="1"/>
  <c r="S73" i="1"/>
  <c r="S73" i="15" s="1"/>
  <c r="AH74" i="1"/>
  <c r="AH74" i="15" s="1"/>
  <c r="V75" i="1"/>
  <c r="V75" i="15" s="1"/>
  <c r="AK74" i="1"/>
  <c r="AK74" i="15" s="1"/>
  <c r="AI83" i="1"/>
  <c r="AK76" i="1"/>
  <c r="AK76" i="15" s="1"/>
  <c r="AM73" i="1" l="1"/>
  <c r="AE75" i="15"/>
  <c r="AM75" i="1"/>
  <c r="AG83" i="15"/>
  <c r="AF83" i="15"/>
  <c r="D12" i="9"/>
  <c r="G12" i="9" s="1"/>
  <c r="AK75" i="1"/>
  <c r="AK75" i="15" s="1"/>
  <c r="AK83" i="1"/>
  <c r="AJ83" i="15"/>
  <c r="J11" i="9"/>
  <c r="AE83" i="1"/>
  <c r="H12" i="9"/>
  <c r="J12" i="9" s="1"/>
  <c r="V83" i="1"/>
  <c r="D12" i="10"/>
  <c r="G12" i="10" s="1"/>
  <c r="AI83" i="11"/>
  <c r="T83" i="15"/>
  <c r="V83" i="11"/>
  <c r="AE83" i="11"/>
  <c r="P83" i="15"/>
  <c r="S83" i="11"/>
  <c r="S83" i="15" s="1"/>
  <c r="AI75" i="15"/>
  <c r="AH73" i="1"/>
  <c r="AH73" i="15" s="1"/>
  <c r="AE73" i="15"/>
  <c r="G11" i="9"/>
  <c r="AH75" i="1"/>
  <c r="AH75" i="15" s="1"/>
  <c r="G11" i="10"/>
  <c r="J11" i="10"/>
  <c r="AO75" i="1" l="1"/>
  <c r="AR75" i="1"/>
  <c r="AR73" i="1"/>
  <c r="AO73" i="1"/>
  <c r="AH83" i="1"/>
  <c r="AM83" i="1"/>
  <c r="V83" i="15"/>
  <c r="AK83" i="11"/>
  <c r="AK83" i="15" s="1"/>
  <c r="AI83" i="15"/>
  <c r="AE83" i="15"/>
  <c r="AH83" i="11"/>
  <c r="AH128" i="1"/>
  <c r="AH128" i="15" s="1"/>
  <c r="AR83" i="1" l="1"/>
  <c r="AO83" i="1"/>
  <c r="AH83" i="15"/>
  <c r="AE65" i="1"/>
  <c r="AI65" i="1"/>
  <c r="AI65" i="15" s="1"/>
  <c r="AF65" i="1"/>
  <c r="AF65" i="15" s="1"/>
  <c r="AG65" i="1"/>
  <c r="AG65" i="15" s="1"/>
  <c r="AE65" i="15" l="1"/>
  <c r="AM65" i="1"/>
  <c r="AG69" i="1"/>
  <c r="AG69" i="15" s="1"/>
  <c r="F13" i="10"/>
  <c r="AE69" i="1"/>
  <c r="D13" i="10"/>
  <c r="AI69" i="1"/>
  <c r="AI69" i="15" s="1"/>
  <c r="H13" i="10"/>
  <c r="AF69" i="1"/>
  <c r="AF69" i="15" s="1"/>
  <c r="E13" i="10"/>
  <c r="E17" i="10" s="1"/>
  <c r="D13" i="9"/>
  <c r="H13" i="9"/>
  <c r="AL74" i="1"/>
  <c r="AL74" i="15" s="1"/>
  <c r="F13" i="9"/>
  <c r="F17" i="9" s="1"/>
  <c r="E13" i="9"/>
  <c r="E17" i="9" s="1"/>
  <c r="AH71" i="1"/>
  <c r="AH71" i="15" s="1"/>
  <c r="AR65" i="1" l="1"/>
  <c r="AO65" i="1"/>
  <c r="AE69" i="15"/>
  <c r="AM69" i="1"/>
  <c r="AH69" i="1"/>
  <c r="AH69" i="15" s="1"/>
  <c r="AJ69" i="1"/>
  <c r="I13" i="10"/>
  <c r="H17" i="10"/>
  <c r="G13" i="10"/>
  <c r="D17" i="10"/>
  <c r="AH70" i="1"/>
  <c r="AH70" i="15" s="1"/>
  <c r="AH65" i="1"/>
  <c r="AH65" i="15" s="1"/>
  <c r="AJ65" i="1"/>
  <c r="AJ65" i="15" s="1"/>
  <c r="H17" i="9"/>
  <c r="G13" i="9"/>
  <c r="D17" i="9"/>
  <c r="V69" i="1"/>
  <c r="V69" i="15" s="1"/>
  <c r="I13" i="9"/>
  <c r="I17" i="9" s="1"/>
  <c r="AK70" i="1"/>
  <c r="AK70" i="15" s="1"/>
  <c r="AR69" i="1" l="1"/>
  <c r="AO69" i="1"/>
  <c r="AK69" i="1"/>
  <c r="AK69" i="15" s="1"/>
  <c r="AJ69" i="15"/>
  <c r="J13" i="10"/>
  <c r="G17" i="9"/>
  <c r="J13" i="9"/>
  <c r="J17" i="9" s="1"/>
  <c r="AK71" i="1"/>
  <c r="V65" i="1"/>
  <c r="V65" i="15" s="1"/>
  <c r="AL71" i="1" l="1"/>
  <c r="AL71" i="15" s="1"/>
  <c r="AK71" i="15"/>
  <c r="AK65" i="1"/>
  <c r="AK65" i="15" s="1"/>
  <c r="K17" i="9"/>
  <c r="I23" i="8" l="1"/>
  <c r="J23" i="8" s="1"/>
  <c r="L95" i="1"/>
  <c r="L95" i="15" s="1"/>
  <c r="K48" i="1" l="1"/>
  <c r="L44" i="1"/>
  <c r="L44" i="15" s="1"/>
  <c r="J39" i="5"/>
  <c r="L99" i="15" l="1"/>
  <c r="L48" i="15"/>
  <c r="K39" i="5"/>
  <c r="J38" i="5"/>
  <c r="J42" i="5" s="1"/>
  <c r="L48" i="1"/>
  <c r="K38" i="5" l="1"/>
  <c r="K42" i="5" s="1"/>
  <c r="E24" i="11" l="1"/>
  <c r="E24" i="1"/>
  <c r="U126" i="1" s="1"/>
  <c r="H24" i="11" l="1"/>
  <c r="Y126" i="11"/>
  <c r="D24" i="12"/>
  <c r="O24" i="11"/>
  <c r="O24" i="1"/>
  <c r="E24" i="15"/>
  <c r="D24" i="5"/>
  <c r="Y126" i="1"/>
  <c r="Y126" i="15" l="1"/>
  <c r="H24" i="15"/>
  <c r="I24" i="1"/>
  <c r="G24" i="5"/>
  <c r="H24" i="5" s="1"/>
  <c r="O24" i="15"/>
  <c r="AD24" i="1"/>
  <c r="D24" i="6"/>
  <c r="D24" i="7" s="1"/>
  <c r="M24" i="7" s="1"/>
  <c r="V33" i="8"/>
  <c r="D24" i="13"/>
  <c r="D24" i="14" s="1"/>
  <c r="M24" i="14" s="1"/>
  <c r="R24" i="11"/>
  <c r="AD24" i="11"/>
  <c r="H23" i="11"/>
  <c r="I24" i="11"/>
  <c r="G24" i="12"/>
  <c r="H24" i="12" s="1"/>
  <c r="M24" i="6" l="1"/>
  <c r="I23" i="11"/>
  <c r="G23" i="12"/>
  <c r="M24" i="13"/>
  <c r="R126" i="11"/>
  <c r="G24" i="13"/>
  <c r="AG24" i="11"/>
  <c r="S24" i="11"/>
  <c r="R23" i="11"/>
  <c r="R33" i="9"/>
  <c r="R33" i="10"/>
  <c r="K24" i="1"/>
  <c r="I24" i="15"/>
  <c r="K24" i="11"/>
  <c r="R24" i="15"/>
  <c r="G24" i="6"/>
  <c r="AG24" i="1"/>
  <c r="AH24" i="1" s="1"/>
  <c r="S24" i="1"/>
  <c r="R23" i="1"/>
  <c r="AD24" i="15"/>
  <c r="H23" i="15"/>
  <c r="G23" i="5"/>
  <c r="I23" i="1"/>
  <c r="H23" i="5" l="1"/>
  <c r="G21" i="5"/>
  <c r="H21" i="5" s="1"/>
  <c r="R23" i="15"/>
  <c r="AG23" i="1"/>
  <c r="S23" i="1"/>
  <c r="G23" i="6"/>
  <c r="R126" i="15"/>
  <c r="S126" i="1"/>
  <c r="R33" i="8"/>
  <c r="R120" i="1"/>
  <c r="S120" i="1" s="1"/>
  <c r="K24" i="15"/>
  <c r="K23" i="1"/>
  <c r="J24" i="5"/>
  <c r="K24" i="5" s="1"/>
  <c r="M24" i="5" s="1"/>
  <c r="L24" i="1"/>
  <c r="M24" i="1" s="1"/>
  <c r="S24" i="15"/>
  <c r="U24" i="11"/>
  <c r="G24" i="14"/>
  <c r="H24" i="14" s="1"/>
  <c r="H24" i="13"/>
  <c r="I23" i="15"/>
  <c r="U24" i="1"/>
  <c r="H24" i="6"/>
  <c r="G24" i="7"/>
  <c r="H24" i="7" s="1"/>
  <c r="L24" i="11"/>
  <c r="J24" i="12"/>
  <c r="K24" i="12" s="1"/>
  <c r="M24" i="12" s="1"/>
  <c r="K23" i="11"/>
  <c r="G23" i="13"/>
  <c r="AG23" i="11"/>
  <c r="S23" i="11"/>
  <c r="AH24" i="11"/>
  <c r="AG24" i="15"/>
  <c r="S126" i="11"/>
  <c r="R120" i="11"/>
  <c r="H23" i="12"/>
  <c r="G21" i="12"/>
  <c r="H21" i="12" s="1"/>
  <c r="AH23" i="1" l="1"/>
  <c r="AM23" i="1"/>
  <c r="AO23" i="1" s="1"/>
  <c r="O126" i="11"/>
  <c r="S126" i="15"/>
  <c r="AH23" i="11"/>
  <c r="AH23" i="15" s="1"/>
  <c r="AG23" i="15"/>
  <c r="AJ24" i="11"/>
  <c r="J24" i="13"/>
  <c r="U23" i="11"/>
  <c r="V24" i="11"/>
  <c r="G23" i="7"/>
  <c r="H23" i="7" s="1"/>
  <c r="G21" i="6"/>
  <c r="H21" i="6" s="1"/>
  <c r="H23" i="6"/>
  <c r="S120" i="11"/>
  <c r="S120" i="15" s="1"/>
  <c r="R120" i="15"/>
  <c r="G23" i="14"/>
  <c r="H23" i="14" s="1"/>
  <c r="G21" i="13"/>
  <c r="H21" i="13" s="1"/>
  <c r="H23" i="13"/>
  <c r="J23" i="12"/>
  <c r="L23" i="11"/>
  <c r="L24" i="15"/>
  <c r="M24" i="11"/>
  <c r="M24" i="15" s="1"/>
  <c r="U24" i="15"/>
  <c r="U23" i="1"/>
  <c r="J24" i="6"/>
  <c r="V24" i="1"/>
  <c r="W24" i="1" s="1"/>
  <c r="AJ24" i="1"/>
  <c r="AK24" i="1" s="1"/>
  <c r="AL24" i="1" s="1"/>
  <c r="K23" i="15"/>
  <c r="J23" i="5"/>
  <c r="L23" i="1"/>
  <c r="AH24" i="15"/>
  <c r="S23" i="15"/>
  <c r="K23" i="5" l="1"/>
  <c r="J21" i="5"/>
  <c r="K21" i="5" s="1"/>
  <c r="U23" i="15"/>
  <c r="V23" i="1"/>
  <c r="J23" i="6"/>
  <c r="AJ23" i="1"/>
  <c r="AK23" i="1" s="1"/>
  <c r="L23" i="15"/>
  <c r="J23" i="13"/>
  <c r="AJ23" i="11"/>
  <c r="V23" i="11"/>
  <c r="AK24" i="11"/>
  <c r="AJ24" i="15"/>
  <c r="J24" i="7"/>
  <c r="K24" i="7" s="1"/>
  <c r="N24" i="7" s="1"/>
  <c r="K24" i="6"/>
  <c r="N24" i="6" s="1"/>
  <c r="J21" i="12"/>
  <c r="K21" i="12" s="1"/>
  <c r="K23" i="12"/>
  <c r="V24" i="15"/>
  <c r="W24" i="11"/>
  <c r="W24" i="15" s="1"/>
  <c r="K24" i="13"/>
  <c r="N24" i="13" s="1"/>
  <c r="J24" i="14"/>
  <c r="K24" i="14" s="1"/>
  <c r="N24" i="14" s="1"/>
  <c r="W126" i="11"/>
  <c r="AK24" i="15" l="1"/>
  <c r="AL24" i="11"/>
  <c r="AL24" i="15" s="1"/>
  <c r="AK23" i="11"/>
  <c r="AJ23" i="15"/>
  <c r="V23" i="15"/>
  <c r="J23" i="14"/>
  <c r="K23" i="14" s="1"/>
  <c r="J21" i="13"/>
  <c r="K21" i="13" s="1"/>
  <c r="K23" i="13"/>
  <c r="J23" i="7"/>
  <c r="K23" i="7" s="1"/>
  <c r="K23" i="6"/>
  <c r="J21" i="6"/>
  <c r="K21" i="6" s="1"/>
  <c r="AK23" i="15" l="1"/>
  <c r="E18" i="11" l="1"/>
  <c r="E17" i="11"/>
  <c r="D18" i="12" l="1"/>
  <c r="K18" i="11"/>
  <c r="D17" i="12"/>
  <c r="K17" i="11"/>
  <c r="J18" i="12" l="1"/>
  <c r="K18" i="12" s="1"/>
  <c r="M18" i="12" s="1"/>
  <c r="L18" i="11"/>
  <c r="J17" i="12"/>
  <c r="K17" i="12" s="1"/>
  <c r="M17" i="12" s="1"/>
  <c r="L17" i="11"/>
  <c r="E16" i="11"/>
  <c r="M18" i="11" l="1"/>
  <c r="D16" i="12"/>
  <c r="K16" i="11"/>
  <c r="M17" i="11"/>
  <c r="O18" i="11"/>
  <c r="D18" i="13" l="1"/>
  <c r="AD18" i="11"/>
  <c r="U18" i="11"/>
  <c r="L16" i="11"/>
  <c r="J16" i="12"/>
  <c r="K16" i="12" s="1"/>
  <c r="M16" i="12" s="1"/>
  <c r="AJ18" i="11" l="1"/>
  <c r="AK18" i="11" s="1"/>
  <c r="AL18" i="11" s="1"/>
  <c r="V18" i="11"/>
  <c r="W18" i="11" s="1"/>
  <c r="J18" i="13"/>
  <c r="D18" i="14"/>
  <c r="M18" i="14" s="1"/>
  <c r="M18" i="13"/>
  <c r="O17" i="11"/>
  <c r="M16" i="11"/>
  <c r="O16" i="11"/>
  <c r="K18" i="13" l="1"/>
  <c r="N18" i="13" s="1"/>
  <c r="J18" i="14"/>
  <c r="K18" i="14" s="1"/>
  <c r="N18" i="14" s="1"/>
  <c r="AD17" i="11"/>
  <c r="U17" i="11"/>
  <c r="D17" i="13"/>
  <c r="D16" i="13"/>
  <c r="AD16" i="11"/>
  <c r="U16" i="11"/>
  <c r="V17" i="11" l="1"/>
  <c r="W17" i="11" s="1"/>
  <c r="AJ17" i="11"/>
  <c r="AK17" i="11" s="1"/>
  <c r="AL17" i="11" s="1"/>
  <c r="J17" i="13"/>
  <c r="M17" i="13"/>
  <c r="D17" i="14"/>
  <c r="M17" i="14" s="1"/>
  <c r="V16" i="11"/>
  <c r="W16" i="11" s="1"/>
  <c r="J16" i="13"/>
  <c r="AJ16" i="11"/>
  <c r="AK16" i="11" s="1"/>
  <c r="AL16" i="11" s="1"/>
  <c r="D16" i="14"/>
  <c r="M16" i="14" s="1"/>
  <c r="M16" i="13"/>
  <c r="J17" i="14" l="1"/>
  <c r="K17" i="14" s="1"/>
  <c r="N17" i="14" s="1"/>
  <c r="K17" i="13"/>
  <c r="N17" i="13" s="1"/>
  <c r="K16" i="13"/>
  <c r="N16" i="13" s="1"/>
  <c r="J16" i="14"/>
  <c r="K16" i="14" s="1"/>
  <c r="N16" i="14" s="1"/>
  <c r="G15" i="5" l="1"/>
  <c r="I12" i="1"/>
  <c r="G12" i="5"/>
  <c r="H12" i="5" l="1"/>
  <c r="AG12" i="1" l="1"/>
  <c r="AH12" i="1" s="1"/>
  <c r="R117" i="1"/>
  <c r="S117" i="1" s="1"/>
  <c r="S12" i="1"/>
  <c r="G12" i="6"/>
  <c r="H12" i="6" l="1"/>
  <c r="G12" i="7"/>
  <c r="AG15" i="1"/>
  <c r="G15" i="6"/>
  <c r="G15" i="7" s="1"/>
  <c r="H12" i="7" l="1"/>
  <c r="BO57" i="2" l="1"/>
  <c r="BO58" i="2"/>
  <c r="BO60" i="2"/>
  <c r="BO47" i="2"/>
  <c r="BO49" i="2"/>
  <c r="BO48" i="2"/>
  <c r="BO50" i="2"/>
  <c r="BO51" i="2"/>
  <c r="BO52" i="2"/>
  <c r="BO53" i="2"/>
  <c r="BO55" i="2"/>
  <c r="BO56" i="2"/>
  <c r="BG55" i="2" l="1"/>
  <c r="BF55" i="2"/>
  <c r="BH55" i="2"/>
  <c r="BK55" i="2"/>
  <c r="BJ55" i="2"/>
  <c r="BG50" i="2"/>
  <c r="BJ50" i="2"/>
  <c r="BK50" i="2"/>
  <c r="BF50" i="2"/>
  <c r="BH50" i="2"/>
  <c r="BF57" i="2"/>
  <c r="BH57" i="2"/>
  <c r="BK57" i="2"/>
  <c r="BG57" i="2"/>
  <c r="BJ57" i="2"/>
  <c r="BF53" i="2"/>
  <c r="BG53" i="2"/>
  <c r="BH53" i="2"/>
  <c r="BK53" i="2"/>
  <c r="BJ53" i="2"/>
  <c r="Z123" i="11"/>
  <c r="Z123" i="1"/>
  <c r="BH48" i="2"/>
  <c r="BJ48" i="2"/>
  <c r="BK48" i="2"/>
  <c r="BG48" i="2"/>
  <c r="BF48" i="2"/>
  <c r="BG60" i="2"/>
  <c r="BK60" i="2"/>
  <c r="BJ60" i="2"/>
  <c r="BF60" i="2"/>
  <c r="BH60" i="2"/>
  <c r="Z124" i="1"/>
  <c r="Z124" i="11"/>
  <c r="BJ52" i="2"/>
  <c r="BG52" i="2"/>
  <c r="BF52" i="2"/>
  <c r="BH52" i="2"/>
  <c r="BK52" i="2"/>
  <c r="Z122" i="11"/>
  <c r="Z122" i="1"/>
  <c r="BG49" i="2"/>
  <c r="BK49" i="2"/>
  <c r="BH49" i="2"/>
  <c r="BJ49" i="2"/>
  <c r="BF49" i="2"/>
  <c r="BG56" i="2"/>
  <c r="BH56" i="2"/>
  <c r="BK56" i="2"/>
  <c r="BF56" i="2"/>
  <c r="BJ56" i="2"/>
  <c r="BF51" i="2"/>
  <c r="BJ51" i="2"/>
  <c r="BG51" i="2"/>
  <c r="BK51" i="2"/>
  <c r="BH51" i="2"/>
  <c r="BG47" i="2"/>
  <c r="BK47" i="2"/>
  <c r="BH47" i="2"/>
  <c r="BJ47" i="2"/>
  <c r="BF47" i="2"/>
  <c r="BJ58" i="2"/>
  <c r="BK58" i="2"/>
  <c r="BH58" i="2"/>
  <c r="BF58" i="2"/>
  <c r="BG58" i="2"/>
  <c r="BI49" i="2" l="1"/>
  <c r="Z124" i="15"/>
  <c r="Z123" i="15"/>
  <c r="BI55" i="2"/>
  <c r="BL60" i="2"/>
  <c r="BI47" i="2"/>
  <c r="BL58" i="2"/>
  <c r="BI56" i="2"/>
  <c r="BL49" i="2"/>
  <c r="BL57" i="2"/>
  <c r="BL53" i="2"/>
  <c r="BI57" i="2"/>
  <c r="BL56" i="2"/>
  <c r="BI60" i="2"/>
  <c r="BL50" i="2"/>
  <c r="BL47" i="2"/>
  <c r="BI51" i="2"/>
  <c r="BI52" i="2"/>
  <c r="BL55" i="2"/>
  <c r="BL48" i="2"/>
  <c r="BI53" i="2"/>
  <c r="BI58" i="2"/>
  <c r="BL51" i="2"/>
  <c r="BL52" i="2"/>
  <c r="BI48" i="2"/>
  <c r="Z122" i="15"/>
  <c r="BI50" i="2"/>
  <c r="BM49" i="2" l="1"/>
  <c r="BN49" i="2" s="1"/>
  <c r="BM50" i="2"/>
  <c r="BN50" i="2" s="1"/>
  <c r="BM60" i="2"/>
  <c r="BN60" i="2" s="1"/>
  <c r="BM55" i="2"/>
  <c r="BN55" i="2" s="1"/>
  <c r="BM47" i="2"/>
  <c r="BN47" i="2" s="1"/>
  <c r="BM58" i="2"/>
  <c r="BN58" i="2" s="1"/>
  <c r="BM56" i="2"/>
  <c r="BN56" i="2" s="1"/>
  <c r="BM53" i="2"/>
  <c r="BN53" i="2" s="1"/>
  <c r="BM57" i="2"/>
  <c r="BN57" i="2" s="1"/>
  <c r="BM52" i="2"/>
  <c r="BN52" i="2" s="1"/>
  <c r="BM51" i="2"/>
  <c r="BN51" i="2" s="1"/>
  <c r="BM48" i="2"/>
  <c r="BN48" i="2" s="1"/>
  <c r="Z125" i="11" l="1"/>
  <c r="Z125" i="1"/>
  <c r="Z121" i="1" s="1"/>
  <c r="Z125" i="15" l="1"/>
  <c r="Z121" i="11"/>
  <c r="Z121" i="15" s="1"/>
  <c r="D1" i="15" l="1"/>
  <c r="D1" i="11"/>
  <c r="D1" i="1"/>
  <c r="N52" i="1" l="1"/>
  <c r="N1" i="1"/>
  <c r="D103" i="1"/>
  <c r="N103" i="1"/>
  <c r="X1" i="1"/>
  <c r="D52" i="1"/>
  <c r="X103" i="1"/>
  <c r="X52" i="1"/>
  <c r="D103" i="11"/>
  <c r="D52" i="11"/>
  <c r="X52" i="11"/>
  <c r="N103" i="11"/>
  <c r="N52" i="11"/>
  <c r="X103" i="11"/>
  <c r="N1" i="11"/>
  <c r="X1" i="11"/>
  <c r="N52" i="15"/>
  <c r="X103" i="15"/>
  <c r="D103" i="15"/>
  <c r="X52" i="15"/>
  <c r="D52" i="15"/>
  <c r="N103" i="15"/>
  <c r="N1" i="15"/>
  <c r="X1" i="15"/>
  <c r="U126" i="15" l="1"/>
  <c r="V126" i="1"/>
  <c r="V126" i="15" s="1"/>
  <c r="O126" i="1" l="1"/>
  <c r="O126" i="15" l="1"/>
  <c r="W126" i="1"/>
  <c r="W126" i="15" s="1"/>
  <c r="Z112" i="1" l="1"/>
  <c r="Z112" i="11"/>
  <c r="Z112" i="15" l="1"/>
  <c r="AG77" i="11"/>
  <c r="AG77" i="1"/>
  <c r="AM77" i="1" l="1"/>
  <c r="F14" i="10"/>
  <c r="AG137" i="1"/>
  <c r="AH137" i="1" s="1"/>
  <c r="AH77" i="1"/>
  <c r="AG137" i="11"/>
  <c r="AG77" i="15"/>
  <c r="AH77" i="11"/>
  <c r="AR77" i="1" l="1"/>
  <c r="AO77" i="1"/>
  <c r="AH77" i="15"/>
  <c r="F17" i="10"/>
  <c r="G14" i="10"/>
  <c r="G17" i="10" s="1"/>
  <c r="AH137" i="11"/>
  <c r="AH137" i="15" s="1"/>
  <c r="AG137" i="15"/>
  <c r="K17" i="10" l="1"/>
  <c r="AJ77" i="15" l="1"/>
  <c r="AK77" i="11"/>
  <c r="AJ137" i="11"/>
  <c r="AJ137" i="1"/>
  <c r="AK137" i="1" s="1"/>
  <c r="AK77" i="1"/>
  <c r="I14" i="10"/>
  <c r="J14" i="10" l="1"/>
  <c r="J17" i="10" s="1"/>
  <c r="I17" i="10"/>
  <c r="AD77" i="1"/>
  <c r="AD77" i="11"/>
  <c r="AK77" i="15"/>
  <c r="AJ137" i="15"/>
  <c r="AK137" i="11"/>
  <c r="AK137" i="15" s="1"/>
  <c r="Z137" i="11" l="1"/>
  <c r="AD77" i="15"/>
  <c r="AL77" i="11"/>
  <c r="Z137" i="1"/>
  <c r="AL77" i="1"/>
  <c r="C14" i="10"/>
  <c r="L14" i="10" l="1"/>
  <c r="M14" i="10"/>
  <c r="AD137" i="1"/>
  <c r="AL137" i="1" s="1"/>
  <c r="AB137" i="1"/>
  <c r="AL77" i="15"/>
  <c r="AD137" i="11"/>
  <c r="AB137" i="11"/>
  <c r="Z137" i="15"/>
  <c r="AB137" i="15" l="1"/>
  <c r="AL137" i="11"/>
  <c r="AL137" i="15" s="1"/>
  <c r="AD137" i="15"/>
  <c r="E85" i="1" l="1"/>
  <c r="E85" i="11"/>
  <c r="E63" i="11" l="1"/>
  <c r="E63" i="1"/>
  <c r="M63" i="1" s="1"/>
  <c r="E68" i="1"/>
  <c r="E68" i="11"/>
  <c r="E70" i="1"/>
  <c r="E70" i="11"/>
  <c r="E80" i="11"/>
  <c r="E80" i="1"/>
  <c r="M80" i="1" s="1"/>
  <c r="E62" i="1"/>
  <c r="M62" i="1" s="1"/>
  <c r="E62" i="11"/>
  <c r="E65" i="1"/>
  <c r="E65" i="11"/>
  <c r="E79" i="11"/>
  <c r="E79" i="1"/>
  <c r="E83" i="1"/>
  <c r="M83" i="1" s="1"/>
  <c r="E83" i="11"/>
  <c r="E58" i="11"/>
  <c r="E58" i="1"/>
  <c r="E61" i="11"/>
  <c r="E61" i="1"/>
  <c r="E73" i="1"/>
  <c r="M73" i="1" s="1"/>
  <c r="E73" i="11"/>
  <c r="E76" i="1"/>
  <c r="M76" i="1" s="1"/>
  <c r="E76" i="11"/>
  <c r="E82" i="1"/>
  <c r="M82" i="1" s="1"/>
  <c r="E82" i="11"/>
  <c r="E85" i="15"/>
  <c r="E64" i="1"/>
  <c r="M64" i="1" s="1"/>
  <c r="E64" i="11"/>
  <c r="E88" i="1"/>
  <c r="E88" i="11"/>
  <c r="E75" i="1"/>
  <c r="M75" i="1" s="1"/>
  <c r="E75" i="11"/>
  <c r="E81" i="1"/>
  <c r="M81" i="1" s="1"/>
  <c r="E81" i="11"/>
  <c r="C21" i="8"/>
  <c r="L21" i="8" s="1"/>
  <c r="M85" i="1"/>
  <c r="M85" i="15" s="1"/>
  <c r="M81" i="11" l="1"/>
  <c r="M81" i="15" s="1"/>
  <c r="E81" i="15"/>
  <c r="O88" i="1"/>
  <c r="C19" i="8"/>
  <c r="E76" i="15"/>
  <c r="M76" i="11"/>
  <c r="M76" i="15" s="1"/>
  <c r="E58" i="15"/>
  <c r="K58" i="11"/>
  <c r="M65" i="11"/>
  <c r="E65" i="15"/>
  <c r="E68" i="15"/>
  <c r="M68" i="11"/>
  <c r="M75" i="11"/>
  <c r="M75" i="15" s="1"/>
  <c r="E75" i="15"/>
  <c r="E64" i="15"/>
  <c r="M64" i="11"/>
  <c r="M64" i="15" s="1"/>
  <c r="M82" i="11"/>
  <c r="M82" i="15" s="1"/>
  <c r="E82" i="15"/>
  <c r="M61" i="1"/>
  <c r="C8" i="8"/>
  <c r="C11" i="8"/>
  <c r="M65" i="1"/>
  <c r="M80" i="11"/>
  <c r="M80" i="15" s="1"/>
  <c r="E80" i="15"/>
  <c r="M68" i="1"/>
  <c r="C9" i="8"/>
  <c r="E88" i="15"/>
  <c r="M73" i="11"/>
  <c r="M73" i="15" s="1"/>
  <c r="E73" i="15"/>
  <c r="E61" i="15"/>
  <c r="M61" i="11"/>
  <c r="M79" i="1"/>
  <c r="C12" i="8"/>
  <c r="E62" i="15"/>
  <c r="M62" i="11"/>
  <c r="M62" i="15" s="1"/>
  <c r="M70" i="11"/>
  <c r="E70" i="15"/>
  <c r="C6" i="8"/>
  <c r="K58" i="1"/>
  <c r="E83" i="15"/>
  <c r="M83" i="11"/>
  <c r="M83" i="15" s="1"/>
  <c r="M79" i="11"/>
  <c r="E79" i="15"/>
  <c r="C10" i="8"/>
  <c r="M70" i="1"/>
  <c r="E63" i="15"/>
  <c r="M63" i="11"/>
  <c r="M63" i="15" s="1"/>
  <c r="M79" i="15" l="1"/>
  <c r="M65" i="15"/>
  <c r="M61" i="15"/>
  <c r="L11" i="8"/>
  <c r="L10" i="8"/>
  <c r="L8" i="8"/>
  <c r="M68" i="15"/>
  <c r="L58" i="11"/>
  <c r="K98" i="11"/>
  <c r="K58" i="15"/>
  <c r="I6" i="8"/>
  <c r="J6" i="8" s="1"/>
  <c r="K98" i="1"/>
  <c r="L58" i="1"/>
  <c r="L12" i="8"/>
  <c r="M70" i="15"/>
  <c r="L9" i="8"/>
  <c r="AD88" i="1"/>
  <c r="L6" i="8" l="1"/>
  <c r="L98" i="1"/>
  <c r="M58" i="1"/>
  <c r="L58" i="15"/>
  <c r="L98" i="11"/>
  <c r="M58" i="11"/>
  <c r="M58" i="15" l="1"/>
  <c r="E69" i="1" l="1"/>
  <c r="E69" i="11"/>
  <c r="E69" i="15" l="1"/>
  <c r="M69" i="11"/>
  <c r="C13" i="8"/>
  <c r="M69" i="1"/>
  <c r="BO10" i="2"/>
  <c r="BN10" i="2" s="1"/>
  <c r="L13" i="8" l="1"/>
  <c r="M69" i="15"/>
  <c r="O69" i="11" l="1"/>
  <c r="O69" i="1"/>
  <c r="W69" i="1" l="1"/>
  <c r="C13" i="9"/>
  <c r="AD69" i="1"/>
  <c r="AL69" i="1" s="1"/>
  <c r="C13" i="10"/>
  <c r="AD69" i="11"/>
  <c r="O69" i="15"/>
  <c r="W69" i="11"/>
  <c r="W69" i="15" l="1"/>
  <c r="M13" i="10"/>
  <c r="L13" i="10"/>
  <c r="M13" i="9"/>
  <c r="L13" i="9"/>
  <c r="AD69" i="15"/>
  <c r="AL69" i="11"/>
  <c r="AL69" i="15" s="1"/>
  <c r="E95" i="1" l="1"/>
  <c r="E95" i="11"/>
  <c r="C23" i="8" l="1"/>
  <c r="M95" i="1"/>
  <c r="E99" i="1"/>
  <c r="E60" i="1"/>
  <c r="E60" i="11"/>
  <c r="E95" i="15"/>
  <c r="M95" i="11"/>
  <c r="M95" i="15" s="1"/>
  <c r="E99" i="11"/>
  <c r="E60" i="15" l="1"/>
  <c r="M60" i="11"/>
  <c r="E97" i="11"/>
  <c r="E98" i="11"/>
  <c r="E100" i="11"/>
  <c r="M60" i="1"/>
  <c r="C7" i="8"/>
  <c r="E97" i="1"/>
  <c r="E100" i="1"/>
  <c r="E98" i="1"/>
  <c r="L23" i="8"/>
  <c r="C24" i="8"/>
  <c r="E97" i="15" l="1"/>
  <c r="E100" i="15"/>
  <c r="C17" i="8"/>
  <c r="L7" i="8"/>
  <c r="M98" i="1"/>
  <c r="M60" i="15"/>
  <c r="M98" i="11"/>
  <c r="L17" i="8" l="1"/>
  <c r="C26" i="8"/>
  <c r="O76" i="11" l="1"/>
  <c r="O76" i="1"/>
  <c r="BO15" i="2"/>
  <c r="BN15" i="2" s="1"/>
  <c r="W76" i="1" l="1"/>
  <c r="AD76" i="1"/>
  <c r="AL76" i="1" s="1"/>
  <c r="W76" i="11"/>
  <c r="O76" i="15"/>
  <c r="AD76" i="11"/>
  <c r="W76" i="15" l="1"/>
  <c r="AD76" i="15"/>
  <c r="AL76" i="11"/>
  <c r="AL76" i="15" s="1"/>
  <c r="O70" i="1" l="1"/>
  <c r="BO11" i="2"/>
  <c r="BN11" i="2" s="1"/>
  <c r="O70" i="11"/>
  <c r="O58" i="11"/>
  <c r="O58" i="1"/>
  <c r="BO19" i="2"/>
  <c r="BN19" i="2" s="1"/>
  <c r="O82" i="11"/>
  <c r="O82" i="1"/>
  <c r="BO14" i="2"/>
  <c r="BN14" i="2" s="1"/>
  <c r="O75" i="11"/>
  <c r="O75" i="1"/>
  <c r="O80" i="11"/>
  <c r="BO17" i="2"/>
  <c r="BN17" i="2" s="1"/>
  <c r="O80" i="1"/>
  <c r="BO3" i="2"/>
  <c r="BN3" i="2" s="1"/>
  <c r="BO6" i="2"/>
  <c r="BN6" i="2" s="1"/>
  <c r="O63" i="11"/>
  <c r="O63" i="1"/>
  <c r="BO8" i="2"/>
  <c r="BN8" i="2" s="1"/>
  <c r="O65" i="11"/>
  <c r="O65" i="1"/>
  <c r="O85" i="11"/>
  <c r="O85" i="1"/>
  <c r="BO4" i="2"/>
  <c r="BN4" i="2" s="1"/>
  <c r="O61" i="1"/>
  <c r="O61" i="11"/>
  <c r="O95" i="1"/>
  <c r="O95" i="11"/>
  <c r="BO5" i="2"/>
  <c r="BN5" i="2" s="1"/>
  <c r="O62" i="1"/>
  <c r="O62" i="11"/>
  <c r="O79" i="1"/>
  <c r="BO16" i="2"/>
  <c r="BN16" i="2" s="1"/>
  <c r="O79" i="11"/>
  <c r="O64" i="1"/>
  <c r="O64" i="11"/>
  <c r="BO7" i="2"/>
  <c r="BN7" i="2" s="1"/>
  <c r="O89" i="1"/>
  <c r="BO12" i="2"/>
  <c r="BN12" i="2" s="1"/>
  <c r="O88" i="11"/>
  <c r="O68" i="11"/>
  <c r="O68" i="1"/>
  <c r="BO9" i="2"/>
  <c r="BN9" i="2" s="1"/>
  <c r="O81" i="1"/>
  <c r="BO18" i="2"/>
  <c r="BN18" i="2" s="1"/>
  <c r="O81" i="11"/>
  <c r="O73" i="11"/>
  <c r="BO13" i="2"/>
  <c r="BN13" i="2" s="1"/>
  <c r="O73" i="1"/>
  <c r="O83" i="11"/>
  <c r="O83" i="1"/>
  <c r="BO20" i="2"/>
  <c r="BN20" i="2" s="1"/>
  <c r="AD88" i="11" l="1"/>
  <c r="O88" i="15"/>
  <c r="C11" i="9"/>
  <c r="C11" i="10"/>
  <c r="AD65" i="1"/>
  <c r="AL65" i="1" s="1"/>
  <c r="W65" i="1"/>
  <c r="O63" i="15"/>
  <c r="W63" i="11"/>
  <c r="AD63" i="11"/>
  <c r="AD58" i="1"/>
  <c r="P58" i="1"/>
  <c r="T58" i="1"/>
  <c r="C6" i="10"/>
  <c r="C6" i="9"/>
  <c r="Q58" i="1"/>
  <c r="R58" i="1"/>
  <c r="W73" i="1"/>
  <c r="AD73" i="1"/>
  <c r="AL73" i="1" s="1"/>
  <c r="O60" i="11"/>
  <c r="O98" i="11" s="1"/>
  <c r="O60" i="1"/>
  <c r="O97" i="1" s="1"/>
  <c r="W83" i="1"/>
  <c r="AD83" i="1"/>
  <c r="AL83" i="1" s="1"/>
  <c r="AD73" i="11"/>
  <c r="O73" i="15"/>
  <c r="W73" i="11"/>
  <c r="W83" i="11"/>
  <c r="W83" i="15" s="1"/>
  <c r="O83" i="15"/>
  <c r="AD83" i="11"/>
  <c r="O81" i="15"/>
  <c r="AD81" i="11"/>
  <c r="W81" i="11"/>
  <c r="W68" i="1"/>
  <c r="C9" i="9"/>
  <c r="AD68" i="1"/>
  <c r="AL68" i="1" s="1"/>
  <c r="C9" i="10"/>
  <c r="AD64" i="11"/>
  <c r="O64" i="15"/>
  <c r="W64" i="11"/>
  <c r="W79" i="1"/>
  <c r="C12" i="9"/>
  <c r="C12" i="10"/>
  <c r="AD79" i="1"/>
  <c r="AL79" i="1" s="1"/>
  <c r="U95" i="11"/>
  <c r="O95" i="15"/>
  <c r="AD95" i="11"/>
  <c r="C21" i="10"/>
  <c r="C21" i="9"/>
  <c r="AD85" i="1"/>
  <c r="U85" i="1"/>
  <c r="O99" i="1"/>
  <c r="AD65" i="11"/>
  <c r="W65" i="11"/>
  <c r="W65" i="15" s="1"/>
  <c r="O65" i="15"/>
  <c r="W80" i="1"/>
  <c r="AD80" i="1"/>
  <c r="AL80" i="1" s="1"/>
  <c r="AD82" i="1"/>
  <c r="AL82" i="1" s="1"/>
  <c r="W82" i="1"/>
  <c r="O58" i="15"/>
  <c r="T58" i="11"/>
  <c r="P58" i="11"/>
  <c r="Q58" i="11"/>
  <c r="O100" i="11"/>
  <c r="R58" i="11"/>
  <c r="AD58" i="11"/>
  <c r="O97" i="11"/>
  <c r="W70" i="11"/>
  <c r="O70" i="15"/>
  <c r="AD70" i="11"/>
  <c r="O68" i="15"/>
  <c r="W68" i="11"/>
  <c r="AD68" i="11"/>
  <c r="W89" i="1"/>
  <c r="W89" i="15" s="1"/>
  <c r="O89" i="15"/>
  <c r="AD89" i="1"/>
  <c r="C19" i="9"/>
  <c r="C19" i="10"/>
  <c r="AD64" i="1"/>
  <c r="AL64" i="1" s="1"/>
  <c r="W64" i="1"/>
  <c r="W62" i="11"/>
  <c r="O62" i="15"/>
  <c r="AD62" i="11"/>
  <c r="C23" i="10"/>
  <c r="AD95" i="1"/>
  <c r="U95" i="1"/>
  <c r="C23" i="9"/>
  <c r="AD61" i="11"/>
  <c r="O61" i="15"/>
  <c r="W61" i="11"/>
  <c r="O99" i="11"/>
  <c r="O85" i="15"/>
  <c r="AD85" i="11"/>
  <c r="U85" i="11"/>
  <c r="AD75" i="1"/>
  <c r="AL75" i="1" s="1"/>
  <c r="W75" i="1"/>
  <c r="O82" i="15"/>
  <c r="W82" i="11"/>
  <c r="W82" i="15" s="1"/>
  <c r="AD82" i="11"/>
  <c r="AD81" i="1"/>
  <c r="AL81" i="1" s="1"/>
  <c r="W81" i="1"/>
  <c r="W79" i="11"/>
  <c r="AD79" i="11"/>
  <c r="O79" i="15"/>
  <c r="AD62" i="1"/>
  <c r="AL62" i="1" s="1"/>
  <c r="W62" i="1"/>
  <c r="C8" i="10"/>
  <c r="AD61" i="1"/>
  <c r="AL61" i="1" s="1"/>
  <c r="W61" i="1"/>
  <c r="C8" i="9"/>
  <c r="AD63" i="1"/>
  <c r="AL63" i="1" s="1"/>
  <c r="W63" i="1"/>
  <c r="W80" i="11"/>
  <c r="W80" i="15" s="1"/>
  <c r="AD80" i="11"/>
  <c r="O80" i="15"/>
  <c r="W75" i="11"/>
  <c r="W75" i="15" s="1"/>
  <c r="O75" i="15"/>
  <c r="AD75" i="11"/>
  <c r="AD70" i="1"/>
  <c r="AL70" i="1" s="1"/>
  <c r="C10" i="10"/>
  <c r="C10" i="9"/>
  <c r="W70" i="1"/>
  <c r="W68" i="15" l="1"/>
  <c r="W79" i="15"/>
  <c r="O98" i="1"/>
  <c r="W73" i="15"/>
  <c r="W61" i="15"/>
  <c r="M10" i="10"/>
  <c r="L10" i="10"/>
  <c r="AL79" i="11"/>
  <c r="AL79" i="15" s="1"/>
  <c r="AD79" i="15"/>
  <c r="L6" i="9"/>
  <c r="AL62" i="11"/>
  <c r="AL62" i="15" s="1"/>
  <c r="AD62" i="15"/>
  <c r="AG58" i="11"/>
  <c r="R100" i="11"/>
  <c r="R97" i="11"/>
  <c r="R58" i="15"/>
  <c r="R98" i="11"/>
  <c r="C24" i="10"/>
  <c r="L19" i="10"/>
  <c r="L24" i="10" s="1"/>
  <c r="M12" i="10"/>
  <c r="L12" i="10"/>
  <c r="W81" i="15"/>
  <c r="AD80" i="15"/>
  <c r="AL80" i="11"/>
  <c r="AL80" i="15" s="1"/>
  <c r="W62" i="15"/>
  <c r="W70" i="15"/>
  <c r="Q98" i="11"/>
  <c r="AF58" i="11"/>
  <c r="Q58" i="15"/>
  <c r="AD65" i="15"/>
  <c r="AL65" i="11"/>
  <c r="AL65" i="15" s="1"/>
  <c r="AD99" i="1"/>
  <c r="M12" i="9"/>
  <c r="L12" i="9"/>
  <c r="AL64" i="11"/>
  <c r="AL64" i="15" s="1"/>
  <c r="AD64" i="15"/>
  <c r="AD81" i="15"/>
  <c r="AL81" i="11"/>
  <c r="AL81" i="15" s="1"/>
  <c r="AD73" i="15"/>
  <c r="AL73" i="11"/>
  <c r="AL73" i="15" s="1"/>
  <c r="L6" i="10"/>
  <c r="AL63" i="11"/>
  <c r="AL63" i="15" s="1"/>
  <c r="AD63" i="15"/>
  <c r="AD88" i="15"/>
  <c r="AD70" i="15"/>
  <c r="AL70" i="11"/>
  <c r="AL70" i="15" s="1"/>
  <c r="AI58" i="11"/>
  <c r="T100" i="11"/>
  <c r="T97" i="11"/>
  <c r="T98" i="11"/>
  <c r="T58" i="15"/>
  <c r="M8" i="10"/>
  <c r="L8" i="10"/>
  <c r="U85" i="15"/>
  <c r="V85" i="11"/>
  <c r="AJ85" i="11"/>
  <c r="I23" i="10"/>
  <c r="J23" i="10" s="1"/>
  <c r="M23" i="10" s="1"/>
  <c r="AJ95" i="1"/>
  <c r="AK95" i="1" s="1"/>
  <c r="AL95" i="1" s="1"/>
  <c r="I23" i="9"/>
  <c r="J23" i="9" s="1"/>
  <c r="M23" i="9" s="1"/>
  <c r="V95" i="1"/>
  <c r="W95" i="1" s="1"/>
  <c r="AD68" i="15"/>
  <c r="AL68" i="11"/>
  <c r="AL68" i="15" s="1"/>
  <c r="I21" i="10"/>
  <c r="AJ85" i="1"/>
  <c r="I21" i="9"/>
  <c r="V85" i="1"/>
  <c r="AD95" i="15"/>
  <c r="M9" i="10"/>
  <c r="L9" i="10"/>
  <c r="AD60" i="11"/>
  <c r="AD97" i="11" s="1"/>
  <c r="W60" i="11"/>
  <c r="O60" i="15"/>
  <c r="O97" i="15" s="1"/>
  <c r="AL75" i="11"/>
  <c r="AL75" i="15" s="1"/>
  <c r="AD75" i="15"/>
  <c r="M8" i="9"/>
  <c r="L8" i="9"/>
  <c r="AD85" i="15"/>
  <c r="AD99" i="11"/>
  <c r="C24" i="9"/>
  <c r="L19" i="9"/>
  <c r="L24" i="9" s="1"/>
  <c r="M10" i="9"/>
  <c r="L10" i="9"/>
  <c r="AD82" i="15"/>
  <c r="AL82" i="11"/>
  <c r="AL82" i="15" s="1"/>
  <c r="AD61" i="15"/>
  <c r="AL61" i="11"/>
  <c r="AL61" i="15" s="1"/>
  <c r="AD89" i="15"/>
  <c r="AL89" i="1"/>
  <c r="AL89" i="15" s="1"/>
  <c r="AD58" i="15"/>
  <c r="AD98" i="11"/>
  <c r="S58" i="11"/>
  <c r="AE58" i="11"/>
  <c r="P98" i="11"/>
  <c r="P58" i="15"/>
  <c r="V95" i="11"/>
  <c r="U95" i="15"/>
  <c r="AJ95" i="11"/>
  <c r="M9" i="9"/>
  <c r="L9" i="9"/>
  <c r="R98" i="1"/>
  <c r="R100" i="1"/>
  <c r="F6" i="9"/>
  <c r="F26" i="9" s="1"/>
  <c r="AG58" i="1"/>
  <c r="F6" i="10"/>
  <c r="F26" i="10" s="1"/>
  <c r="R97" i="1"/>
  <c r="H6" i="9"/>
  <c r="T98" i="1"/>
  <c r="AI58" i="1"/>
  <c r="T97" i="1"/>
  <c r="H6" i="10"/>
  <c r="T100" i="1"/>
  <c r="W63" i="15"/>
  <c r="M11" i="10"/>
  <c r="L11" i="10"/>
  <c r="W64" i="15"/>
  <c r="AD83" i="15"/>
  <c r="AL83" i="11"/>
  <c r="AL83" i="15" s="1"/>
  <c r="C7" i="9"/>
  <c r="W60" i="1"/>
  <c r="C7" i="10"/>
  <c r="AD60" i="1"/>
  <c r="AL60" i="1" s="1"/>
  <c r="O100" i="1"/>
  <c r="AF58" i="1"/>
  <c r="Q98" i="1"/>
  <c r="E6" i="9"/>
  <c r="E6" i="10"/>
  <c r="D6" i="9"/>
  <c r="AE58" i="1"/>
  <c r="P98" i="1"/>
  <c r="D6" i="10"/>
  <c r="S58" i="1"/>
  <c r="M11" i="9"/>
  <c r="L11" i="9"/>
  <c r="O100" i="15" l="1"/>
  <c r="C17" i="10"/>
  <c r="M7" i="10"/>
  <c r="L7" i="10"/>
  <c r="L17" i="10" s="1"/>
  <c r="L26" i="10" s="1"/>
  <c r="AJ95" i="15"/>
  <c r="AK95" i="11"/>
  <c r="AH58" i="11"/>
  <c r="AE58" i="15"/>
  <c r="AE98" i="11"/>
  <c r="AD100" i="11"/>
  <c r="AL60" i="11"/>
  <c r="AL60" i="15" s="1"/>
  <c r="AD60" i="15"/>
  <c r="AD100" i="15" s="1"/>
  <c r="AH58" i="1"/>
  <c r="AE98" i="1"/>
  <c r="AM58" i="1"/>
  <c r="M7" i="9"/>
  <c r="C17" i="9"/>
  <c r="L7" i="9"/>
  <c r="L17" i="9" s="1"/>
  <c r="L26" i="9" s="1"/>
  <c r="AG97" i="1"/>
  <c r="AG100" i="1"/>
  <c r="AG98" i="1"/>
  <c r="W85" i="1"/>
  <c r="V85" i="15"/>
  <c r="W85" i="11"/>
  <c r="R97" i="15"/>
  <c r="R100" i="15"/>
  <c r="AD98" i="1"/>
  <c r="AF98" i="1"/>
  <c r="AI98" i="1"/>
  <c r="AI97" i="1"/>
  <c r="AI100" i="1"/>
  <c r="S98" i="11"/>
  <c r="S58" i="15"/>
  <c r="U58" i="11"/>
  <c r="G6" i="10"/>
  <c r="G6" i="9"/>
  <c r="H26" i="10"/>
  <c r="H26" i="9"/>
  <c r="V95" i="15"/>
  <c r="W95" i="11"/>
  <c r="W95" i="15" s="1"/>
  <c r="J21" i="9"/>
  <c r="M21" i="9" s="1"/>
  <c r="T97" i="15"/>
  <c r="T100" i="15"/>
  <c r="AI97" i="11"/>
  <c r="AI100" i="11"/>
  <c r="AI98" i="11"/>
  <c r="AI58" i="15"/>
  <c r="AF58" i="15"/>
  <c r="AF98" i="11"/>
  <c r="AD97" i="1"/>
  <c r="W60" i="15"/>
  <c r="AK85" i="1"/>
  <c r="AK85" i="11"/>
  <c r="AJ85" i="15"/>
  <c r="S98" i="1"/>
  <c r="U58" i="1"/>
  <c r="J21" i="10"/>
  <c r="M21" i="10" s="1"/>
  <c r="AG100" i="11"/>
  <c r="AG58" i="15"/>
  <c r="AG98" i="11"/>
  <c r="AG97" i="11"/>
  <c r="AD100" i="1"/>
  <c r="AD97" i="15" l="1"/>
  <c r="AJ58" i="1"/>
  <c r="I6" i="9"/>
  <c r="U98" i="1"/>
  <c r="I6" i="10"/>
  <c r="V58" i="1"/>
  <c r="AK85" i="15"/>
  <c r="AL85" i="11"/>
  <c r="AJ58" i="11"/>
  <c r="U58" i="15"/>
  <c r="U98" i="11"/>
  <c r="V58" i="11"/>
  <c r="AH98" i="1"/>
  <c r="AH98" i="11"/>
  <c r="AH58" i="15"/>
  <c r="AG100" i="15"/>
  <c r="AG97" i="15"/>
  <c r="AI97" i="15"/>
  <c r="AI100" i="15"/>
  <c r="AO58" i="1"/>
  <c r="AR58" i="1"/>
  <c r="AK95" i="15"/>
  <c r="AL95" i="11"/>
  <c r="AL95" i="15" s="1"/>
  <c r="M17" i="10"/>
  <c r="C26" i="10"/>
  <c r="AL85" i="1"/>
  <c r="M17" i="9"/>
  <c r="C26" i="9"/>
  <c r="W85" i="15"/>
  <c r="V98" i="11" l="1"/>
  <c r="V58" i="15"/>
  <c r="W58" i="11"/>
  <c r="AJ58" i="15"/>
  <c r="AJ98" i="11"/>
  <c r="AK58" i="11"/>
  <c r="V98" i="1"/>
  <c r="W58" i="1"/>
  <c r="J6" i="9"/>
  <c r="AL85" i="15"/>
  <c r="J6" i="10"/>
  <c r="AJ98" i="1"/>
  <c r="AK58" i="1"/>
  <c r="AK98" i="1" l="1"/>
  <c r="AL58" i="1"/>
  <c r="M6" i="10"/>
  <c r="W98" i="1"/>
  <c r="AK58" i="15"/>
  <c r="AK98" i="11"/>
  <c r="AL58" i="11"/>
  <c r="W58" i="15"/>
  <c r="W98" i="11"/>
  <c r="M6" i="9"/>
  <c r="AL98" i="1" l="1"/>
  <c r="AL58" i="15"/>
  <c r="AL98" i="11"/>
  <c r="H12" i="11" l="1"/>
  <c r="H15" i="11" l="1"/>
  <c r="E23" i="1"/>
  <c r="E23" i="11"/>
  <c r="E38" i="11"/>
  <c r="E38" i="1"/>
  <c r="E30" i="11"/>
  <c r="E30" i="1"/>
  <c r="E28" i="11"/>
  <c r="E28" i="1"/>
  <c r="E29" i="11"/>
  <c r="E29" i="1"/>
  <c r="M29" i="1" s="1"/>
  <c r="G12" i="12"/>
  <c r="H12" i="15"/>
  <c r="I12" i="11"/>
  <c r="E20" i="1"/>
  <c r="E20" i="11"/>
  <c r="E22" i="1"/>
  <c r="E22" i="11"/>
  <c r="E37" i="1"/>
  <c r="E37" i="11"/>
  <c r="M37" i="1" l="1"/>
  <c r="D36" i="5"/>
  <c r="K88" i="1"/>
  <c r="H12" i="12"/>
  <c r="D23" i="5"/>
  <c r="M23" i="1"/>
  <c r="M22" i="11"/>
  <c r="E22" i="15"/>
  <c r="D22" i="12"/>
  <c r="E20" i="15"/>
  <c r="M20" i="11"/>
  <c r="D20" i="12"/>
  <c r="D27" i="5"/>
  <c r="M28" i="1"/>
  <c r="D28" i="5"/>
  <c r="M30" i="1"/>
  <c r="M38" i="1"/>
  <c r="O15" i="5"/>
  <c r="O15" i="12"/>
  <c r="E44" i="11"/>
  <c r="E44" i="1"/>
  <c r="M22" i="1"/>
  <c r="D22" i="5"/>
  <c r="D20" i="5"/>
  <c r="M20" i="1"/>
  <c r="I12" i="15"/>
  <c r="E29" i="15"/>
  <c r="M29" i="11"/>
  <c r="M29" i="15" s="1"/>
  <c r="D27" i="12"/>
  <c r="M28" i="11"/>
  <c r="M28" i="15" s="1"/>
  <c r="E28" i="15"/>
  <c r="D28" i="12"/>
  <c r="E30" i="15"/>
  <c r="M30" i="11"/>
  <c r="E38" i="15"/>
  <c r="Y115" i="11"/>
  <c r="M38" i="11"/>
  <c r="M38" i="15" s="1"/>
  <c r="O20" i="11"/>
  <c r="O20" i="1"/>
  <c r="M37" i="11"/>
  <c r="D36" i="12"/>
  <c r="E37" i="15"/>
  <c r="K88" i="11"/>
  <c r="E23" i="15"/>
  <c r="D23" i="12"/>
  <c r="M23" i="11"/>
  <c r="M23" i="15" s="1"/>
  <c r="G15" i="12"/>
  <c r="H15" i="15"/>
  <c r="BO7" i="3"/>
  <c r="BN7" i="3" s="1"/>
  <c r="BO8" i="3"/>
  <c r="BN8" i="3" s="1"/>
  <c r="E15" i="11"/>
  <c r="BO5" i="3"/>
  <c r="BN5" i="3" s="1"/>
  <c r="M37" i="15" l="1"/>
  <c r="M30" i="15"/>
  <c r="E7" i="1"/>
  <c r="E7" i="11"/>
  <c r="E14" i="1"/>
  <c r="E14" i="11"/>
  <c r="E13" i="11"/>
  <c r="E13" i="1"/>
  <c r="E34" i="11"/>
  <c r="E34" i="1"/>
  <c r="R15" i="11"/>
  <c r="O15" i="6"/>
  <c r="O15" i="7" s="1"/>
  <c r="M23" i="12"/>
  <c r="F88" i="11"/>
  <c r="L88" i="11"/>
  <c r="Y140" i="11"/>
  <c r="K88" i="15"/>
  <c r="K99" i="11"/>
  <c r="K100" i="11"/>
  <c r="K97" i="11"/>
  <c r="D26" i="12"/>
  <c r="M26" i="12" s="1"/>
  <c r="M27" i="12"/>
  <c r="M20" i="5"/>
  <c r="M44" i="11"/>
  <c r="E44" i="15"/>
  <c r="D39" i="12"/>
  <c r="M22" i="12"/>
  <c r="D21" i="12"/>
  <c r="M21" i="12" s="1"/>
  <c r="M23" i="5"/>
  <c r="E9" i="11"/>
  <c r="E9" i="1"/>
  <c r="E11" i="11"/>
  <c r="E11" i="1"/>
  <c r="R14" i="1"/>
  <c r="R14" i="11"/>
  <c r="E35" i="1"/>
  <c r="E35" i="11"/>
  <c r="E17" i="1"/>
  <c r="Y114" i="11"/>
  <c r="P20" i="1"/>
  <c r="Q20" i="1"/>
  <c r="R20" i="1"/>
  <c r="D20" i="6"/>
  <c r="D20" i="7" s="1"/>
  <c r="M20" i="7" s="1"/>
  <c r="AD20" i="1"/>
  <c r="T20" i="1"/>
  <c r="M28" i="12"/>
  <c r="M22" i="5"/>
  <c r="D21" i="5"/>
  <c r="M21" i="5" s="1"/>
  <c r="M28" i="5"/>
  <c r="M20" i="12"/>
  <c r="F88" i="1"/>
  <c r="L88" i="1"/>
  <c r="I19" i="8"/>
  <c r="K99" i="1"/>
  <c r="Y140" i="1"/>
  <c r="K97" i="1"/>
  <c r="K100" i="1"/>
  <c r="E19" i="1"/>
  <c r="E19" i="11"/>
  <c r="E12" i="1"/>
  <c r="E12" i="11"/>
  <c r="D15" i="12"/>
  <c r="O44" i="11"/>
  <c r="O44" i="1"/>
  <c r="Q20" i="11"/>
  <c r="P20" i="11"/>
  <c r="D20" i="13"/>
  <c r="D20" i="14" s="1"/>
  <c r="M20" i="14" s="1"/>
  <c r="T20" i="11"/>
  <c r="R20" i="11"/>
  <c r="AD20" i="11"/>
  <c r="O20" i="15"/>
  <c r="M20" i="15"/>
  <c r="M22" i="15"/>
  <c r="O28" i="1"/>
  <c r="O28" i="11"/>
  <c r="E8" i="1"/>
  <c r="E8" i="11"/>
  <c r="E10" i="11"/>
  <c r="E10" i="1"/>
  <c r="BO4" i="3"/>
  <c r="BN4" i="3" s="1"/>
  <c r="O23" i="11"/>
  <c r="O23" i="1"/>
  <c r="O37" i="11"/>
  <c r="O37" i="1"/>
  <c r="E15" i="1"/>
  <c r="E15" i="15" s="1"/>
  <c r="E16" i="1"/>
  <c r="E18" i="1"/>
  <c r="D35" i="12"/>
  <c r="M35" i="12" s="1"/>
  <c r="M36" i="12"/>
  <c r="D39" i="5"/>
  <c r="M44" i="1"/>
  <c r="D26" i="5"/>
  <c r="M26" i="5" s="1"/>
  <c r="M27" i="5"/>
  <c r="M36" i="5"/>
  <c r="D35" i="5"/>
  <c r="M35" i="5" s="1"/>
  <c r="BO6" i="3"/>
  <c r="BN6" i="3" s="1"/>
  <c r="R12" i="11"/>
  <c r="Y139" i="11" l="1"/>
  <c r="M20" i="6"/>
  <c r="Y139" i="1"/>
  <c r="O38" i="11"/>
  <c r="D36" i="13" s="1"/>
  <c r="O38" i="1"/>
  <c r="G12" i="13"/>
  <c r="AG12" i="11"/>
  <c r="R12" i="15"/>
  <c r="R117" i="11"/>
  <c r="S12" i="11"/>
  <c r="S12" i="15" s="1"/>
  <c r="U37" i="1"/>
  <c r="AD37" i="1"/>
  <c r="T20" i="15"/>
  <c r="I20" i="13"/>
  <c r="AI20" i="11"/>
  <c r="U44" i="1"/>
  <c r="D39" i="6"/>
  <c r="AD44" i="1"/>
  <c r="D19" i="5"/>
  <c r="K19" i="1"/>
  <c r="E20" i="6"/>
  <c r="S20" i="1"/>
  <c r="U20" i="1" s="1"/>
  <c r="V20" i="1" s="1"/>
  <c r="W20" i="1" s="1"/>
  <c r="AE20" i="1"/>
  <c r="K17" i="1"/>
  <c r="D17" i="5"/>
  <c r="E17" i="15"/>
  <c r="G35" i="1"/>
  <c r="F35" i="1" s="1"/>
  <c r="D34" i="5"/>
  <c r="K11" i="11"/>
  <c r="D11" i="12"/>
  <c r="E11" i="15"/>
  <c r="M34" i="1"/>
  <c r="E48" i="1"/>
  <c r="D33" i="5"/>
  <c r="BO3" i="3"/>
  <c r="BN3" i="3" s="1"/>
  <c r="O22" i="1"/>
  <c r="O22" i="11"/>
  <c r="D15" i="5"/>
  <c r="U37" i="11"/>
  <c r="O37" i="15"/>
  <c r="AD37" i="11"/>
  <c r="D10" i="5"/>
  <c r="M10" i="1"/>
  <c r="E8" i="15"/>
  <c r="J8" i="11"/>
  <c r="D8" i="12"/>
  <c r="AD44" i="11"/>
  <c r="U44" i="11"/>
  <c r="O44" i="15"/>
  <c r="D39" i="13"/>
  <c r="J19" i="8"/>
  <c r="J24" i="8" s="1"/>
  <c r="J26" i="8" s="1"/>
  <c r="I24" i="8"/>
  <c r="I26" i="8" s="1"/>
  <c r="Y113" i="11"/>
  <c r="S14" i="11"/>
  <c r="AG14" i="11"/>
  <c r="R14" i="15"/>
  <c r="G14" i="13"/>
  <c r="M44" i="15"/>
  <c r="L99" i="11"/>
  <c r="L88" i="15"/>
  <c r="L100" i="11"/>
  <c r="L97" i="11"/>
  <c r="R15" i="15"/>
  <c r="G15" i="13"/>
  <c r="G15" i="14" s="1"/>
  <c r="AG15" i="11"/>
  <c r="AG15" i="15" s="1"/>
  <c r="D33" i="12"/>
  <c r="E34" i="15"/>
  <c r="M34" i="11"/>
  <c r="E48" i="11"/>
  <c r="Y112" i="11" s="1"/>
  <c r="D13" i="5"/>
  <c r="H13" i="1"/>
  <c r="E47" i="11"/>
  <c r="D7" i="12"/>
  <c r="E49" i="11"/>
  <c r="E7" i="15"/>
  <c r="E46" i="11"/>
  <c r="M7" i="11"/>
  <c r="O30" i="11"/>
  <c r="O30" i="1"/>
  <c r="M39" i="5"/>
  <c r="D38" i="5"/>
  <c r="E16" i="15"/>
  <c r="D16" i="5"/>
  <c r="K16" i="1"/>
  <c r="AD23" i="1"/>
  <c r="AL23" i="1" s="1"/>
  <c r="W23" i="1"/>
  <c r="D23" i="6"/>
  <c r="M10" i="11"/>
  <c r="E10" i="15"/>
  <c r="D10" i="12"/>
  <c r="J8" i="1"/>
  <c r="D8" i="5"/>
  <c r="U28" i="11"/>
  <c r="O28" i="15"/>
  <c r="AD28" i="11"/>
  <c r="AD20" i="15"/>
  <c r="S20" i="11"/>
  <c r="E20" i="13"/>
  <c r="AE20" i="11"/>
  <c r="P20" i="15"/>
  <c r="D12" i="12"/>
  <c r="E12" i="15"/>
  <c r="J12" i="11"/>
  <c r="L99" i="1"/>
  <c r="L100" i="1"/>
  <c r="L97" i="1"/>
  <c r="AG20" i="1"/>
  <c r="G20" i="6"/>
  <c r="G20" i="7" s="1"/>
  <c r="G14" i="6"/>
  <c r="S14" i="1"/>
  <c r="AG14" i="1"/>
  <c r="D9" i="5"/>
  <c r="M9" i="1"/>
  <c r="P88" i="11"/>
  <c r="I88" i="11"/>
  <c r="F88" i="15"/>
  <c r="H13" i="11"/>
  <c r="D13" i="12"/>
  <c r="E13" i="15"/>
  <c r="D14" i="12"/>
  <c r="E14" i="15"/>
  <c r="K14" i="11"/>
  <c r="E46" i="1"/>
  <c r="M7" i="1"/>
  <c r="D7" i="5"/>
  <c r="E47" i="1"/>
  <c r="E49" i="1"/>
  <c r="O29" i="1"/>
  <c r="O29" i="11"/>
  <c r="K18" i="1"/>
  <c r="D18" i="5"/>
  <c r="E18" i="15"/>
  <c r="D23" i="13"/>
  <c r="O23" i="15"/>
  <c r="AD23" i="11"/>
  <c r="W23" i="11"/>
  <c r="AD28" i="1"/>
  <c r="U28" i="1"/>
  <c r="G20" i="13"/>
  <c r="G20" i="14" s="1"/>
  <c r="AG20" i="11"/>
  <c r="AG20" i="15" s="1"/>
  <c r="R20" i="15"/>
  <c r="AF20" i="11"/>
  <c r="Q20" i="15"/>
  <c r="F20" i="13"/>
  <c r="F20" i="14" s="1"/>
  <c r="D12" i="5"/>
  <c r="J12" i="1"/>
  <c r="K19" i="11"/>
  <c r="D19" i="12"/>
  <c r="E19" i="15"/>
  <c r="P88" i="1"/>
  <c r="I88" i="1"/>
  <c r="M88" i="1" s="1"/>
  <c r="D19" i="8"/>
  <c r="M20" i="13"/>
  <c r="AI20" i="1"/>
  <c r="I20" i="6"/>
  <c r="F20" i="6"/>
  <c r="F20" i="7" s="1"/>
  <c r="AF20" i="1"/>
  <c r="D34" i="12"/>
  <c r="E35" i="15"/>
  <c r="G35" i="11"/>
  <c r="D11" i="5"/>
  <c r="K11" i="1"/>
  <c r="D9" i="12"/>
  <c r="M9" i="11"/>
  <c r="M9" i="15" s="1"/>
  <c r="E9" i="15"/>
  <c r="D38" i="12"/>
  <c r="M39" i="12"/>
  <c r="Y140" i="15"/>
  <c r="Y139" i="15" s="1"/>
  <c r="K100" i="15"/>
  <c r="K97" i="15"/>
  <c r="D14" i="5"/>
  <c r="K14" i="1"/>
  <c r="O15" i="11"/>
  <c r="W23" i="15" l="1"/>
  <c r="M10" i="15"/>
  <c r="O35" i="1"/>
  <c r="O35" i="11"/>
  <c r="P114" i="1"/>
  <c r="AE88" i="1"/>
  <c r="D19" i="9"/>
  <c r="D19" i="10"/>
  <c r="S88" i="1"/>
  <c r="U88" i="1" s="1"/>
  <c r="J27" i="6"/>
  <c r="AJ28" i="1"/>
  <c r="AK28" i="1" s="1"/>
  <c r="AL28" i="1" s="1"/>
  <c r="V28" i="1"/>
  <c r="W28" i="1" s="1"/>
  <c r="D27" i="13"/>
  <c r="W29" i="11"/>
  <c r="O29" i="15"/>
  <c r="AD29" i="11"/>
  <c r="AM14" i="1"/>
  <c r="AH14" i="1"/>
  <c r="I12" i="12"/>
  <c r="J12" i="15"/>
  <c r="H20" i="13"/>
  <c r="E20" i="14"/>
  <c r="H20" i="14" s="1"/>
  <c r="J27" i="13"/>
  <c r="AJ28" i="11"/>
  <c r="U28" i="15"/>
  <c r="V28" i="11"/>
  <c r="K8" i="1"/>
  <c r="J46" i="1"/>
  <c r="J47" i="1"/>
  <c r="I8" i="5"/>
  <c r="L8" i="1"/>
  <c r="J49" i="1"/>
  <c r="N23" i="6"/>
  <c r="D23" i="7"/>
  <c r="M23" i="6"/>
  <c r="J16" i="5"/>
  <c r="K16" i="5" s="1"/>
  <c r="M16" i="5" s="1"/>
  <c r="L16" i="1"/>
  <c r="K16" i="15"/>
  <c r="O30" i="15"/>
  <c r="D28" i="13"/>
  <c r="AD30" i="11"/>
  <c r="W30" i="11"/>
  <c r="M7" i="15"/>
  <c r="D6" i="12"/>
  <c r="M7" i="12"/>
  <c r="H14" i="13"/>
  <c r="G14" i="14"/>
  <c r="H14" i="14" s="1"/>
  <c r="AD44" i="15"/>
  <c r="AD37" i="15"/>
  <c r="D32" i="5"/>
  <c r="M33" i="5"/>
  <c r="L11" i="11"/>
  <c r="K11" i="15"/>
  <c r="J11" i="12"/>
  <c r="K11" i="12" s="1"/>
  <c r="M11" i="12" s="1"/>
  <c r="G48" i="1"/>
  <c r="F34" i="5"/>
  <c r="F32" i="5" s="1"/>
  <c r="F42" i="5" s="1"/>
  <c r="Q35" i="1"/>
  <c r="E20" i="7"/>
  <c r="H20" i="7" s="1"/>
  <c r="H20" i="6"/>
  <c r="D39" i="7"/>
  <c r="D38" i="6"/>
  <c r="I20" i="14"/>
  <c r="G12" i="14"/>
  <c r="H12" i="13"/>
  <c r="O15" i="1"/>
  <c r="K19" i="15"/>
  <c r="J19" i="12"/>
  <c r="K19" i="12" s="1"/>
  <c r="M19" i="12" s="1"/>
  <c r="L19" i="11"/>
  <c r="D23" i="14"/>
  <c r="N23" i="13"/>
  <c r="M23" i="13"/>
  <c r="W29" i="1"/>
  <c r="AD29" i="1"/>
  <c r="AL29" i="1" s="1"/>
  <c r="I88" i="15"/>
  <c r="M88" i="11"/>
  <c r="M88" i="15" s="1"/>
  <c r="S20" i="15"/>
  <c r="U20" i="11"/>
  <c r="M10" i="12"/>
  <c r="M34" i="15"/>
  <c r="L97" i="15"/>
  <c r="L100" i="15"/>
  <c r="D38" i="13"/>
  <c r="D39" i="14"/>
  <c r="M10" i="5"/>
  <c r="AD22" i="11"/>
  <c r="D22" i="13"/>
  <c r="W22" i="11"/>
  <c r="O22" i="15"/>
  <c r="K17" i="15"/>
  <c r="J17" i="5"/>
  <c r="K17" i="5" s="1"/>
  <c r="M17" i="5" s="1"/>
  <c r="L17" i="1"/>
  <c r="J19" i="5"/>
  <c r="K19" i="5" s="1"/>
  <c r="M19" i="5" s="1"/>
  <c r="L19" i="1"/>
  <c r="M19" i="1" s="1"/>
  <c r="V44" i="1"/>
  <c r="W44" i="1" s="1"/>
  <c r="J39" i="6"/>
  <c r="AJ44" i="1"/>
  <c r="AK44" i="1" s="1"/>
  <c r="AL44" i="1" s="1"/>
  <c r="AJ37" i="1"/>
  <c r="AK37" i="1" s="1"/>
  <c r="AL37" i="1" s="1"/>
  <c r="V37" i="1"/>
  <c r="R117" i="15"/>
  <c r="S117" i="11"/>
  <c r="D36" i="6"/>
  <c r="P38" i="1"/>
  <c r="R38" i="1"/>
  <c r="T38" i="1"/>
  <c r="Q38" i="1"/>
  <c r="AD38" i="1"/>
  <c r="D15" i="13"/>
  <c r="AD15" i="11"/>
  <c r="O15" i="13"/>
  <c r="O15" i="14" s="1"/>
  <c r="L14" i="1"/>
  <c r="M14" i="1" s="1"/>
  <c r="J14" i="5"/>
  <c r="K14" i="5" s="1"/>
  <c r="M14" i="5" s="1"/>
  <c r="M9" i="12"/>
  <c r="G19" i="8"/>
  <c r="L18" i="1"/>
  <c r="J18" i="5"/>
  <c r="K18" i="5" s="1"/>
  <c r="M18" i="5" s="1"/>
  <c r="K18" i="15"/>
  <c r="P114" i="11"/>
  <c r="S88" i="11"/>
  <c r="P88" i="15"/>
  <c r="AE88" i="11"/>
  <c r="H14" i="6"/>
  <c r="G14" i="7"/>
  <c r="H14" i="7" s="1"/>
  <c r="AD28" i="15"/>
  <c r="E98" i="15"/>
  <c r="E46" i="15"/>
  <c r="E49" i="15"/>
  <c r="E47" i="15"/>
  <c r="I13" i="1"/>
  <c r="H47" i="1"/>
  <c r="G13" i="5"/>
  <c r="H46" i="1"/>
  <c r="H49" i="1"/>
  <c r="E48" i="15"/>
  <c r="E99" i="15"/>
  <c r="AG14" i="15"/>
  <c r="AH14" i="11"/>
  <c r="AH14" i="15" s="1"/>
  <c r="K8" i="11"/>
  <c r="L8" i="11" s="1"/>
  <c r="I8" i="12"/>
  <c r="J46" i="11"/>
  <c r="J49" i="11"/>
  <c r="J8" i="15"/>
  <c r="J47" i="11"/>
  <c r="U37" i="15"/>
  <c r="AJ37" i="11"/>
  <c r="V37" i="11"/>
  <c r="AD22" i="1"/>
  <c r="AL22" i="1" s="1"/>
  <c r="D22" i="6"/>
  <c r="W22" i="1"/>
  <c r="F48" i="1"/>
  <c r="P35" i="1"/>
  <c r="I35" i="1"/>
  <c r="E34" i="5"/>
  <c r="AH20" i="1"/>
  <c r="AM20" i="1"/>
  <c r="O38" i="15"/>
  <c r="Q38" i="11"/>
  <c r="AD38" i="11"/>
  <c r="T38" i="11"/>
  <c r="P38" i="11"/>
  <c r="R38" i="11"/>
  <c r="O34" i="11"/>
  <c r="O34" i="1"/>
  <c r="O18" i="1"/>
  <c r="L11" i="1"/>
  <c r="M11" i="1" s="1"/>
  <c r="J11" i="5"/>
  <c r="K11" i="5" s="1"/>
  <c r="M11" i="5" s="1"/>
  <c r="F35" i="11"/>
  <c r="F34" i="12"/>
  <c r="F32" i="12" s="1"/>
  <c r="F42" i="12" s="1"/>
  <c r="Q35" i="11"/>
  <c r="G35" i="15"/>
  <c r="G48" i="11"/>
  <c r="I20" i="7"/>
  <c r="K12" i="1"/>
  <c r="I12" i="5"/>
  <c r="AF20" i="15"/>
  <c r="D27" i="6"/>
  <c r="AD23" i="15"/>
  <c r="AL23" i="11"/>
  <c r="AL23" i="15" s="1"/>
  <c r="D6" i="5"/>
  <c r="M7" i="5"/>
  <c r="L14" i="11"/>
  <c r="K14" i="15"/>
  <c r="J14" i="12"/>
  <c r="K14" i="12" s="1"/>
  <c r="M14" i="12" s="1"/>
  <c r="H13" i="15"/>
  <c r="G13" i="12"/>
  <c r="I13" i="11"/>
  <c r="H47" i="11"/>
  <c r="H46" i="11"/>
  <c r="H49" i="11"/>
  <c r="M9" i="5"/>
  <c r="K12" i="11"/>
  <c r="L12" i="11" s="1"/>
  <c r="AE20" i="15"/>
  <c r="AH20" i="11"/>
  <c r="D28" i="6"/>
  <c r="AD30" i="1"/>
  <c r="AL30" i="1" s="1"/>
  <c r="W30" i="1"/>
  <c r="D32" i="12"/>
  <c r="M33" i="12"/>
  <c r="S14" i="15"/>
  <c r="AJ44" i="11"/>
  <c r="U44" i="15"/>
  <c r="J39" i="13"/>
  <c r="V44" i="11"/>
  <c r="D36" i="14"/>
  <c r="M36" i="14" s="1"/>
  <c r="M35" i="14" s="1"/>
  <c r="D35" i="13"/>
  <c r="M36" i="13"/>
  <c r="M35" i="13" s="1"/>
  <c r="J20" i="6"/>
  <c r="J20" i="7" s="1"/>
  <c r="AJ20" i="1"/>
  <c r="AK20" i="1" s="1"/>
  <c r="AI20" i="15"/>
  <c r="AG12" i="15"/>
  <c r="AH12" i="11"/>
  <c r="AH12" i="15" s="1"/>
  <c r="E50" i="1"/>
  <c r="K20" i="7" l="1"/>
  <c r="N20" i="7" s="1"/>
  <c r="L8" i="15"/>
  <c r="M8" i="11"/>
  <c r="M12" i="11"/>
  <c r="O16" i="1"/>
  <c r="E50" i="11"/>
  <c r="H47" i="15"/>
  <c r="H49" i="15"/>
  <c r="H46" i="15"/>
  <c r="H98" i="15"/>
  <c r="D27" i="7"/>
  <c r="D26" i="6"/>
  <c r="M27" i="6"/>
  <c r="J12" i="5"/>
  <c r="Y117" i="1"/>
  <c r="E34" i="12"/>
  <c r="F48" i="11"/>
  <c r="I35" i="11"/>
  <c r="P35" i="11"/>
  <c r="F35" i="15"/>
  <c r="I36" i="13"/>
  <c r="AI38" i="11"/>
  <c r="T115" i="11"/>
  <c r="T38" i="15"/>
  <c r="T48" i="11"/>
  <c r="I48" i="1"/>
  <c r="M35" i="1"/>
  <c r="M48" i="1" s="1"/>
  <c r="D21" i="6"/>
  <c r="N21" i="6" s="1"/>
  <c r="D22" i="7"/>
  <c r="N22" i="6"/>
  <c r="M22" i="6"/>
  <c r="M21" i="6" s="1"/>
  <c r="V37" i="15"/>
  <c r="W37" i="11"/>
  <c r="R20" i="10"/>
  <c r="R20" i="9"/>
  <c r="G6" i="5"/>
  <c r="G31" i="5" s="1"/>
  <c r="G44" i="5" s="1"/>
  <c r="L14" i="5"/>
  <c r="V19" i="8" s="1"/>
  <c r="H13" i="5"/>
  <c r="E50" i="15"/>
  <c r="AH88" i="11"/>
  <c r="AE88" i="15"/>
  <c r="L18" i="15"/>
  <c r="M18" i="1"/>
  <c r="M18" i="15" s="1"/>
  <c r="S38" i="1"/>
  <c r="P115" i="1"/>
  <c r="P113" i="1" s="1"/>
  <c r="AE38" i="1"/>
  <c r="E36" i="6"/>
  <c r="AD22" i="15"/>
  <c r="AL22" i="11"/>
  <c r="AL22" i="15" s="1"/>
  <c r="U20" i="15"/>
  <c r="AJ20" i="11"/>
  <c r="J20" i="13"/>
  <c r="V20" i="11"/>
  <c r="N23" i="14"/>
  <c r="M23" i="14"/>
  <c r="AF35" i="1"/>
  <c r="F34" i="6"/>
  <c r="Q48" i="1"/>
  <c r="D31" i="12"/>
  <c r="N28" i="13"/>
  <c r="D28" i="14"/>
  <c r="M28" i="13"/>
  <c r="W29" i="15"/>
  <c r="AH88" i="1"/>
  <c r="AM88" i="1"/>
  <c r="D34" i="6"/>
  <c r="AD35" i="1"/>
  <c r="O17" i="1"/>
  <c r="O8" i="1"/>
  <c r="O8" i="11"/>
  <c r="O7" i="11"/>
  <c r="O7" i="1"/>
  <c r="O9" i="1"/>
  <c r="O9" i="11"/>
  <c r="AJ44" i="15"/>
  <c r="AK44" i="11"/>
  <c r="AH20" i="15"/>
  <c r="K20" i="6"/>
  <c r="N20" i="6" s="1"/>
  <c r="G48" i="15"/>
  <c r="G99" i="15"/>
  <c r="O48" i="1"/>
  <c r="D33" i="6"/>
  <c r="W34" i="1"/>
  <c r="AD34" i="1"/>
  <c r="AL34" i="1" s="1"/>
  <c r="AD38" i="15"/>
  <c r="AO20" i="1"/>
  <c r="AR20" i="1"/>
  <c r="P48" i="1"/>
  <c r="E34" i="6"/>
  <c r="S35" i="1"/>
  <c r="W35" i="1" s="1"/>
  <c r="AE35" i="1"/>
  <c r="AK37" i="11"/>
  <c r="AJ37" i="15"/>
  <c r="D15" i="14"/>
  <c r="M15" i="14" s="1"/>
  <c r="M15" i="13"/>
  <c r="Q115" i="1"/>
  <c r="Q113" i="1" s="1"/>
  <c r="F36" i="6"/>
  <c r="AF38" i="1"/>
  <c r="D36" i="7"/>
  <c r="M36" i="7" s="1"/>
  <c r="M35" i="7" s="1"/>
  <c r="D35" i="6"/>
  <c r="M36" i="6"/>
  <c r="M35" i="6" s="1"/>
  <c r="K39" i="6"/>
  <c r="J38" i="6"/>
  <c r="J39" i="7"/>
  <c r="L17" i="15"/>
  <c r="M17" i="1"/>
  <c r="M17" i="15" s="1"/>
  <c r="L19" i="15"/>
  <c r="M19" i="11"/>
  <c r="M19" i="15" s="1"/>
  <c r="L11" i="15"/>
  <c r="M11" i="11"/>
  <c r="M11" i="15" s="1"/>
  <c r="D42" i="5"/>
  <c r="AK28" i="11"/>
  <c r="AJ28" i="15"/>
  <c r="AO14" i="1"/>
  <c r="AR14" i="1"/>
  <c r="D27" i="14"/>
  <c r="M27" i="14" s="1"/>
  <c r="D26" i="13"/>
  <c r="M27" i="13"/>
  <c r="I19" i="10"/>
  <c r="I19" i="9"/>
  <c r="AJ88" i="1"/>
  <c r="AK88" i="1" s="1"/>
  <c r="V88" i="1"/>
  <c r="W88" i="1" s="1"/>
  <c r="S114" i="1"/>
  <c r="O11" i="1"/>
  <c r="O11" i="11"/>
  <c r="O19" i="11"/>
  <c r="O19" i="1"/>
  <c r="O13" i="11"/>
  <c r="O13" i="1"/>
  <c r="V44" i="15"/>
  <c r="W44" i="11"/>
  <c r="W44" i="15" s="1"/>
  <c r="D42" i="12"/>
  <c r="I13" i="15"/>
  <c r="K13" i="11"/>
  <c r="L12" i="5"/>
  <c r="K12" i="5"/>
  <c r="M12" i="5" s="1"/>
  <c r="F34" i="13"/>
  <c r="AF35" i="11"/>
  <c r="Q35" i="15"/>
  <c r="Q48" i="11"/>
  <c r="O34" i="15"/>
  <c r="W34" i="11"/>
  <c r="D33" i="13"/>
  <c r="AD34" i="11"/>
  <c r="O48" i="11"/>
  <c r="R38" i="15"/>
  <c r="R115" i="11"/>
  <c r="AG38" i="11"/>
  <c r="R48" i="11"/>
  <c r="G36" i="13"/>
  <c r="Q38" i="15"/>
  <c r="F36" i="13"/>
  <c r="Q115" i="11"/>
  <c r="AF38" i="11"/>
  <c r="AF38" i="15" s="1"/>
  <c r="AL20" i="1"/>
  <c r="J46" i="15"/>
  <c r="J49" i="15"/>
  <c r="J98" i="15"/>
  <c r="J47" i="15"/>
  <c r="I6" i="12"/>
  <c r="K13" i="1"/>
  <c r="S88" i="15"/>
  <c r="U88" i="11"/>
  <c r="L19" i="8"/>
  <c r="AI38" i="1"/>
  <c r="I36" i="6"/>
  <c r="T115" i="1"/>
  <c r="T48" i="1"/>
  <c r="S117" i="15"/>
  <c r="W37" i="1"/>
  <c r="W22" i="15"/>
  <c r="D38" i="14"/>
  <c r="H12" i="14"/>
  <c r="W30" i="15"/>
  <c r="N23" i="7"/>
  <c r="M23" i="7"/>
  <c r="M8" i="1"/>
  <c r="J8" i="5"/>
  <c r="Y116" i="1"/>
  <c r="J27" i="14"/>
  <c r="K27" i="13"/>
  <c r="N27" i="13" s="1"/>
  <c r="J26" i="13"/>
  <c r="K26" i="13" s="1"/>
  <c r="AL29" i="11"/>
  <c r="AL29" i="15" s="1"/>
  <c r="AD29" i="15"/>
  <c r="J26" i="6"/>
  <c r="K26" i="6" s="1"/>
  <c r="K27" i="6"/>
  <c r="N27" i="6" s="1"/>
  <c r="J27" i="7"/>
  <c r="G19" i="10"/>
  <c r="O14" i="1"/>
  <c r="O14" i="11"/>
  <c r="O10" i="1"/>
  <c r="O10" i="11"/>
  <c r="O12" i="11"/>
  <c r="O12" i="1"/>
  <c r="J38" i="13"/>
  <c r="J39" i="14"/>
  <c r="K39" i="13"/>
  <c r="D28" i="7"/>
  <c r="N28" i="6"/>
  <c r="M28" i="6"/>
  <c r="K12" i="15"/>
  <c r="J12" i="12"/>
  <c r="Y117" i="11"/>
  <c r="Y117" i="15" s="1"/>
  <c r="H13" i="12"/>
  <c r="L14" i="12"/>
  <c r="G6" i="12"/>
  <c r="G31" i="12" s="1"/>
  <c r="G44" i="12" s="1"/>
  <c r="L14" i="15"/>
  <c r="M14" i="11"/>
  <c r="M14" i="15" s="1"/>
  <c r="D31" i="5"/>
  <c r="L12" i="1"/>
  <c r="M12" i="1" s="1"/>
  <c r="AD18" i="1"/>
  <c r="O18" i="15"/>
  <c r="D18" i="6"/>
  <c r="U18" i="1"/>
  <c r="P115" i="11"/>
  <c r="P113" i="11" s="1"/>
  <c r="AE38" i="11"/>
  <c r="S38" i="11"/>
  <c r="P38" i="15"/>
  <c r="E36" i="13"/>
  <c r="H34" i="5"/>
  <c r="M34" i="5" s="1"/>
  <c r="E32" i="5"/>
  <c r="J8" i="12"/>
  <c r="K8" i="15"/>
  <c r="Y116" i="11"/>
  <c r="Y116" i="15" s="1"/>
  <c r="S114" i="11"/>
  <c r="P114" i="15"/>
  <c r="R48" i="1"/>
  <c r="G36" i="6"/>
  <c r="R115" i="1"/>
  <c r="R113" i="1" s="1"/>
  <c r="AG38" i="1"/>
  <c r="N22" i="13"/>
  <c r="D21" i="13"/>
  <c r="N21" i="13" s="1"/>
  <c r="D22" i="14"/>
  <c r="M22" i="13"/>
  <c r="M21" i="13" s="1"/>
  <c r="O15" i="15"/>
  <c r="D15" i="6"/>
  <c r="AD15" i="1"/>
  <c r="AD15" i="15" s="1"/>
  <c r="D38" i="7"/>
  <c r="G86" i="1"/>
  <c r="AD30" i="15"/>
  <c r="AL30" i="11"/>
  <c r="AL30" i="15" s="1"/>
  <c r="L16" i="15"/>
  <c r="M16" i="1"/>
  <c r="M16" i="15" s="1"/>
  <c r="R16" i="9"/>
  <c r="R16" i="10"/>
  <c r="K8" i="5"/>
  <c r="M8" i="5" s="1"/>
  <c r="V15" i="8"/>
  <c r="I6" i="5"/>
  <c r="V28" i="15"/>
  <c r="W28" i="11"/>
  <c r="W28" i="15" s="1"/>
  <c r="K12" i="12"/>
  <c r="M12" i="12" s="1"/>
  <c r="L12" i="12"/>
  <c r="G19" i="9"/>
  <c r="D34" i="13"/>
  <c r="O35" i="15"/>
  <c r="AD35" i="11"/>
  <c r="AG38" i="15" l="1"/>
  <c r="R112" i="1"/>
  <c r="N26" i="13"/>
  <c r="V20" i="10"/>
  <c r="AF35" i="15"/>
  <c r="V16" i="10"/>
  <c r="AL88" i="1"/>
  <c r="S113" i="1"/>
  <c r="T115" i="15"/>
  <c r="V115" i="11"/>
  <c r="T113" i="11"/>
  <c r="M26" i="6"/>
  <c r="G36" i="7"/>
  <c r="G41" i="7" s="1"/>
  <c r="G41" i="6"/>
  <c r="L41" i="6" s="1"/>
  <c r="G35" i="6"/>
  <c r="G42" i="6" s="1"/>
  <c r="P113" i="15"/>
  <c r="AE38" i="15"/>
  <c r="AH38" i="11"/>
  <c r="D44" i="5"/>
  <c r="P115" i="15"/>
  <c r="S115" i="11"/>
  <c r="V115" i="1"/>
  <c r="T113" i="1"/>
  <c r="J13" i="5"/>
  <c r="K13" i="5" s="1"/>
  <c r="M13" i="5" s="1"/>
  <c r="L13" i="1"/>
  <c r="Y118" i="1"/>
  <c r="D33" i="14"/>
  <c r="N33" i="13"/>
  <c r="D32" i="13"/>
  <c r="M33" i="13"/>
  <c r="Q99" i="15"/>
  <c r="Q48" i="15"/>
  <c r="V17" i="8"/>
  <c r="R18" i="10"/>
  <c r="R18" i="9"/>
  <c r="D13" i="13"/>
  <c r="O13" i="15"/>
  <c r="R13" i="11"/>
  <c r="AD13" i="11"/>
  <c r="D19" i="6"/>
  <c r="AD19" i="1"/>
  <c r="U19" i="1"/>
  <c r="T11" i="11"/>
  <c r="P11" i="11"/>
  <c r="AD11" i="11"/>
  <c r="R11" i="11"/>
  <c r="Q11" i="11"/>
  <c r="O11" i="15"/>
  <c r="D11" i="13"/>
  <c r="J19" i="9"/>
  <c r="AK37" i="15"/>
  <c r="AL37" i="11"/>
  <c r="AL37" i="15" s="1"/>
  <c r="Q8" i="1"/>
  <c r="P8" i="1"/>
  <c r="R8" i="1"/>
  <c r="D8" i="6"/>
  <c r="AD8" i="1"/>
  <c r="T8" i="1"/>
  <c r="D17" i="6"/>
  <c r="O17" i="15"/>
  <c r="U17" i="1"/>
  <c r="AD17" i="1"/>
  <c r="F32" i="6"/>
  <c r="F34" i="7"/>
  <c r="F32" i="7" s="1"/>
  <c r="AJ20" i="15"/>
  <c r="AK20" i="11"/>
  <c r="H36" i="6"/>
  <c r="R12" i="8" s="1"/>
  <c r="E36" i="7"/>
  <c r="E35" i="6"/>
  <c r="AH88" i="15"/>
  <c r="W37" i="15"/>
  <c r="I31" i="5"/>
  <c r="I44" i="5" s="1"/>
  <c r="V16" i="9"/>
  <c r="AJ18" i="1"/>
  <c r="U18" i="15"/>
  <c r="J18" i="6"/>
  <c r="V18" i="1"/>
  <c r="AD10" i="11"/>
  <c r="P10" i="11"/>
  <c r="O10" i="15"/>
  <c r="Q10" i="11"/>
  <c r="D10" i="13"/>
  <c r="T10" i="11"/>
  <c r="R10" i="11"/>
  <c r="D14" i="13"/>
  <c r="AD14" i="11"/>
  <c r="O14" i="15"/>
  <c r="U14" i="11"/>
  <c r="I35" i="6"/>
  <c r="I36" i="7"/>
  <c r="K8" i="12"/>
  <c r="M8" i="12" s="1"/>
  <c r="R113" i="11"/>
  <c r="R113" i="15" s="1"/>
  <c r="R115" i="15"/>
  <c r="W34" i="15"/>
  <c r="F15" i="11"/>
  <c r="K13" i="15"/>
  <c r="J13" i="12"/>
  <c r="K13" i="12" s="1"/>
  <c r="M13" i="12" s="1"/>
  <c r="L13" i="11"/>
  <c r="Y118" i="11"/>
  <c r="G15" i="11"/>
  <c r="AD19" i="11"/>
  <c r="O19" i="15"/>
  <c r="U19" i="11"/>
  <c r="D19" i="13"/>
  <c r="P11" i="1"/>
  <c r="D11" i="6"/>
  <c r="R11" i="1"/>
  <c r="AD11" i="1"/>
  <c r="Q11" i="1"/>
  <c r="T11" i="1"/>
  <c r="AK28" i="15"/>
  <c r="AL28" i="11"/>
  <c r="AL28" i="15" s="1"/>
  <c r="K38" i="6"/>
  <c r="M39" i="6"/>
  <c r="AH35" i="1"/>
  <c r="AL35" i="1" s="1"/>
  <c r="AM35" i="1"/>
  <c r="O9" i="15"/>
  <c r="D9" i="13"/>
  <c r="Q9" i="11"/>
  <c r="P9" i="11"/>
  <c r="AD9" i="11"/>
  <c r="T9" i="11"/>
  <c r="R9" i="11"/>
  <c r="AH38" i="1"/>
  <c r="AM38" i="1"/>
  <c r="V20" i="9"/>
  <c r="N22" i="7"/>
  <c r="M22" i="7"/>
  <c r="M21" i="7" s="1"/>
  <c r="AI38" i="15"/>
  <c r="F99" i="15"/>
  <c r="F48" i="15"/>
  <c r="H34" i="12"/>
  <c r="M34" i="12" s="1"/>
  <c r="E32" i="12"/>
  <c r="N26" i="6"/>
  <c r="AD16" i="1"/>
  <c r="D16" i="6"/>
  <c r="O16" i="15"/>
  <c r="U16" i="1"/>
  <c r="M12" i="15"/>
  <c r="K38" i="13"/>
  <c r="M39" i="13"/>
  <c r="O12" i="15"/>
  <c r="AD12" i="11"/>
  <c r="T12" i="11"/>
  <c r="U12" i="11" s="1"/>
  <c r="D12" i="13"/>
  <c r="K27" i="14"/>
  <c r="N27" i="14" s="1"/>
  <c r="J26" i="14"/>
  <c r="K26" i="14" s="1"/>
  <c r="AD35" i="15"/>
  <c r="H36" i="13"/>
  <c r="E35" i="13"/>
  <c r="E36" i="14"/>
  <c r="AD18" i="15"/>
  <c r="K39" i="14"/>
  <c r="J38" i="14"/>
  <c r="K27" i="7"/>
  <c r="N27" i="7" s="1"/>
  <c r="J26" i="7"/>
  <c r="K26" i="7" s="1"/>
  <c r="F36" i="14"/>
  <c r="F35" i="13"/>
  <c r="D34" i="14"/>
  <c r="M34" i="13"/>
  <c r="G99" i="1"/>
  <c r="G100" i="1"/>
  <c r="F86" i="1"/>
  <c r="G97" i="1"/>
  <c r="E22" i="8"/>
  <c r="E24" i="8" s="1"/>
  <c r="E26" i="8" s="1"/>
  <c r="Q86" i="1"/>
  <c r="D15" i="7"/>
  <c r="M15" i="7" s="1"/>
  <c r="M15" i="6"/>
  <c r="N22" i="14"/>
  <c r="M22" i="14"/>
  <c r="M21" i="14" s="1"/>
  <c r="O114" i="11"/>
  <c r="S114" i="15"/>
  <c r="L33" i="5"/>
  <c r="H32" i="5"/>
  <c r="E42" i="5"/>
  <c r="S38" i="15"/>
  <c r="U38" i="11"/>
  <c r="D18" i="7"/>
  <c r="M18" i="7" s="1"/>
  <c r="M18" i="6"/>
  <c r="N28" i="7"/>
  <c r="M28" i="7"/>
  <c r="T12" i="1"/>
  <c r="AD12" i="1"/>
  <c r="D12" i="6"/>
  <c r="T10" i="1"/>
  <c r="P10" i="1"/>
  <c r="D10" i="6"/>
  <c r="Q10" i="1"/>
  <c r="AD10" i="1"/>
  <c r="R10" i="1"/>
  <c r="AD14" i="1"/>
  <c r="D14" i="6"/>
  <c r="U14" i="1"/>
  <c r="AJ88" i="11"/>
  <c r="U88" i="15"/>
  <c r="V88" i="11"/>
  <c r="U133" i="11"/>
  <c r="I31" i="12"/>
  <c r="I44" i="12" s="1"/>
  <c r="G41" i="13"/>
  <c r="L41" i="13" s="1"/>
  <c r="G35" i="13"/>
  <c r="G42" i="13" s="1"/>
  <c r="G36" i="14"/>
  <c r="G41" i="14" s="1"/>
  <c r="R99" i="15"/>
  <c r="R48" i="15"/>
  <c r="O48" i="15"/>
  <c r="O99" i="15"/>
  <c r="F34" i="14"/>
  <c r="F32" i="14" s="1"/>
  <c r="F32" i="13"/>
  <c r="J19" i="10"/>
  <c r="F35" i="6"/>
  <c r="F36" i="7"/>
  <c r="F15" i="1"/>
  <c r="S48" i="1"/>
  <c r="AD9" i="1"/>
  <c r="D9" i="6"/>
  <c r="T9" i="1"/>
  <c r="P9" i="1"/>
  <c r="Q9" i="1"/>
  <c r="R9" i="1"/>
  <c r="D7" i="6"/>
  <c r="O49" i="1"/>
  <c r="Q7" i="1"/>
  <c r="T7" i="1"/>
  <c r="AD7" i="1"/>
  <c r="P7" i="1"/>
  <c r="O46" i="1"/>
  <c r="R7" i="1"/>
  <c r="O47" i="1"/>
  <c r="D34" i="7"/>
  <c r="M34" i="6"/>
  <c r="M26" i="13"/>
  <c r="D44" i="12"/>
  <c r="V20" i="15"/>
  <c r="W20" i="11"/>
  <c r="W20" i="15" s="1"/>
  <c r="S115" i="1"/>
  <c r="O115" i="1" s="1"/>
  <c r="I36" i="14"/>
  <c r="I35" i="13"/>
  <c r="S35" i="11"/>
  <c r="P48" i="11"/>
  <c r="AE35" i="11"/>
  <c r="AH35" i="11" s="1"/>
  <c r="AH35" i="15" s="1"/>
  <c r="E34" i="13"/>
  <c r="P35" i="15"/>
  <c r="D26" i="7"/>
  <c r="M27" i="7"/>
  <c r="L12" i="15"/>
  <c r="Q115" i="15"/>
  <c r="Q113" i="11"/>
  <c r="Q113" i="15" s="1"/>
  <c r="AL34" i="11"/>
  <c r="AL34" i="15" s="1"/>
  <c r="AD34" i="15"/>
  <c r="AD13" i="1"/>
  <c r="R13" i="1"/>
  <c r="D13" i="6"/>
  <c r="K39" i="7"/>
  <c r="J38" i="7"/>
  <c r="E32" i="6"/>
  <c r="H34" i="6"/>
  <c r="N34" i="6" s="1"/>
  <c r="E34" i="7"/>
  <c r="D32" i="6"/>
  <c r="D33" i="7"/>
  <c r="N33" i="6"/>
  <c r="M33" i="6"/>
  <c r="AK44" i="15"/>
  <c r="AL44" i="11"/>
  <c r="AL44" i="15" s="1"/>
  <c r="O47" i="11"/>
  <c r="O46" i="11"/>
  <c r="O49" i="11"/>
  <c r="O7" i="15"/>
  <c r="AD7" i="11"/>
  <c r="D7" i="13"/>
  <c r="T7" i="11"/>
  <c r="Q7" i="11"/>
  <c r="R7" i="11"/>
  <c r="P7" i="11"/>
  <c r="Q8" i="11"/>
  <c r="P8" i="11"/>
  <c r="AD8" i="11"/>
  <c r="D8" i="13"/>
  <c r="O8" i="15"/>
  <c r="R8" i="11"/>
  <c r="T8" i="11"/>
  <c r="AR88" i="1"/>
  <c r="AO88" i="1"/>
  <c r="D26" i="14"/>
  <c r="N28" i="14"/>
  <c r="M28" i="14"/>
  <c r="M26" i="14" s="1"/>
  <c r="J20" i="14"/>
  <c r="K20" i="14" s="1"/>
  <c r="N20" i="14" s="1"/>
  <c r="K20" i="13"/>
  <c r="N20" i="13" s="1"/>
  <c r="U38" i="1"/>
  <c r="G15" i="1"/>
  <c r="T48" i="15"/>
  <c r="T99" i="15"/>
  <c r="I48" i="11"/>
  <c r="I35" i="15"/>
  <c r="M35" i="11"/>
  <c r="G86" i="11"/>
  <c r="M8" i="15"/>
  <c r="Y118" i="15" l="1"/>
  <c r="M32" i="6"/>
  <c r="M42" i="6" s="1"/>
  <c r="M26" i="7"/>
  <c r="F42" i="13"/>
  <c r="V18" i="9"/>
  <c r="R112" i="11"/>
  <c r="R112" i="15" s="1"/>
  <c r="N26" i="7"/>
  <c r="V12" i="11"/>
  <c r="AJ12" i="11"/>
  <c r="J12" i="13"/>
  <c r="J12" i="14" s="1"/>
  <c r="K38" i="7"/>
  <c r="M39" i="7"/>
  <c r="P99" i="15"/>
  <c r="P48" i="15"/>
  <c r="S48" i="11"/>
  <c r="W35" i="11"/>
  <c r="E7" i="6"/>
  <c r="AE7" i="1"/>
  <c r="S7" i="1"/>
  <c r="O50" i="1"/>
  <c r="AE9" i="1"/>
  <c r="E9" i="6"/>
  <c r="S9" i="1"/>
  <c r="U9" i="1" s="1"/>
  <c r="D10" i="7"/>
  <c r="M10" i="7" s="1"/>
  <c r="M10" i="6"/>
  <c r="W114" i="11"/>
  <c r="D22" i="8"/>
  <c r="P86" i="1"/>
  <c r="I86" i="1"/>
  <c r="F97" i="1"/>
  <c r="F100" i="1"/>
  <c r="F99" i="1"/>
  <c r="N26" i="14"/>
  <c r="AD12" i="15"/>
  <c r="J16" i="6"/>
  <c r="AJ16" i="1"/>
  <c r="V16" i="1"/>
  <c r="U16" i="15"/>
  <c r="AD9" i="15"/>
  <c r="AD19" i="15"/>
  <c r="D14" i="14"/>
  <c r="M14" i="14" s="1"/>
  <c r="M14" i="13"/>
  <c r="AI10" i="11"/>
  <c r="T10" i="15"/>
  <c r="I10" i="13"/>
  <c r="E10" i="13"/>
  <c r="P10" i="15"/>
  <c r="S10" i="11"/>
  <c r="AE10" i="11"/>
  <c r="K18" i="6"/>
  <c r="N18" i="6" s="1"/>
  <c r="J18" i="7"/>
  <c r="K18" i="7" s="1"/>
  <c r="N18" i="7" s="1"/>
  <c r="F42" i="6"/>
  <c r="D17" i="7"/>
  <c r="M17" i="7" s="1"/>
  <c r="M17" i="6"/>
  <c r="R116" i="1"/>
  <c r="G8" i="6"/>
  <c r="G8" i="7" s="1"/>
  <c r="AG8" i="1"/>
  <c r="G11" i="13"/>
  <c r="G11" i="14" s="1"/>
  <c r="R11" i="15"/>
  <c r="AG11" i="11"/>
  <c r="J19" i="6"/>
  <c r="AJ19" i="1"/>
  <c r="AK19" i="1" s="1"/>
  <c r="AL19" i="1" s="1"/>
  <c r="V19" i="1"/>
  <c r="W19" i="1" s="1"/>
  <c r="D13" i="14"/>
  <c r="M13" i="14" s="1"/>
  <c r="M13" i="13"/>
  <c r="AJ38" i="1"/>
  <c r="AK38" i="1" s="1"/>
  <c r="AL38" i="1" s="1"/>
  <c r="J36" i="6"/>
  <c r="U48" i="1"/>
  <c r="V38" i="1"/>
  <c r="U133" i="1"/>
  <c r="R116" i="11"/>
  <c r="G8" i="13"/>
  <c r="G8" i="14" s="1"/>
  <c r="R8" i="15"/>
  <c r="AG8" i="11"/>
  <c r="AI8" i="11"/>
  <c r="T8" i="15"/>
  <c r="T116" i="11"/>
  <c r="I8" i="13"/>
  <c r="R46" i="11"/>
  <c r="R7" i="15"/>
  <c r="R47" i="11"/>
  <c r="G7" i="13"/>
  <c r="R49" i="11"/>
  <c r="AG7" i="11"/>
  <c r="G49" i="1"/>
  <c r="G46" i="1"/>
  <c r="F15" i="5"/>
  <c r="F6" i="5" s="1"/>
  <c r="F31" i="5" s="1"/>
  <c r="F44" i="5" s="1"/>
  <c r="G47" i="1"/>
  <c r="D8" i="14"/>
  <c r="M8" i="14" s="1"/>
  <c r="M8" i="13"/>
  <c r="AF7" i="11"/>
  <c r="Q7" i="15"/>
  <c r="F7" i="13"/>
  <c r="O98" i="15"/>
  <c r="O47" i="15"/>
  <c r="O49" i="15"/>
  <c r="O50" i="15" s="1"/>
  <c r="O46" i="15"/>
  <c r="D32" i="7"/>
  <c r="N33" i="7"/>
  <c r="M33" i="7"/>
  <c r="E42" i="6"/>
  <c r="H32" i="6"/>
  <c r="L33" i="6"/>
  <c r="D13" i="7"/>
  <c r="M13" i="7" s="1"/>
  <c r="M13" i="6"/>
  <c r="E34" i="14"/>
  <c r="H34" i="13"/>
  <c r="N34" i="13" s="1"/>
  <c r="E32" i="13"/>
  <c r="M34" i="7"/>
  <c r="D6" i="6"/>
  <c r="D7" i="7"/>
  <c r="M7" i="6"/>
  <c r="AI9" i="1"/>
  <c r="I9" i="6"/>
  <c r="V9" i="1"/>
  <c r="W9" i="1" s="1"/>
  <c r="S35" i="15"/>
  <c r="V88" i="15"/>
  <c r="W88" i="11"/>
  <c r="W88" i="15" s="1"/>
  <c r="G10" i="6"/>
  <c r="G10" i="7" s="1"/>
  <c r="AG10" i="1"/>
  <c r="AE10" i="1"/>
  <c r="S10" i="1"/>
  <c r="U10" i="1" s="1"/>
  <c r="E10" i="6"/>
  <c r="U12" i="1"/>
  <c r="V12" i="1" s="1"/>
  <c r="W12" i="1" s="1"/>
  <c r="AI12" i="1"/>
  <c r="I12" i="6"/>
  <c r="T117" i="1"/>
  <c r="V117" i="1" s="1"/>
  <c r="O117" i="1" s="1"/>
  <c r="H42" i="5"/>
  <c r="M42" i="5" s="1"/>
  <c r="M32" i="5"/>
  <c r="Q99" i="1"/>
  <c r="Q112" i="1" s="1"/>
  <c r="E22" i="10"/>
  <c r="E24" i="10" s="1"/>
  <c r="E26" i="10" s="1"/>
  <c r="E22" i="9"/>
  <c r="E24" i="9" s="1"/>
  <c r="E26" i="9" s="1"/>
  <c r="AF86" i="1"/>
  <c r="Q97" i="1"/>
  <c r="Q100" i="1"/>
  <c r="M34" i="14"/>
  <c r="L41" i="14"/>
  <c r="H36" i="14"/>
  <c r="H32" i="12"/>
  <c r="E42" i="12"/>
  <c r="L33" i="12"/>
  <c r="S9" i="11"/>
  <c r="AE9" i="11"/>
  <c r="E9" i="13"/>
  <c r="P9" i="15"/>
  <c r="AR35" i="1"/>
  <c r="AO35" i="1"/>
  <c r="AG11" i="1"/>
  <c r="G11" i="6"/>
  <c r="G11" i="7" s="1"/>
  <c r="D19" i="14"/>
  <c r="M19" i="14" s="1"/>
  <c r="M19" i="13"/>
  <c r="I15" i="11"/>
  <c r="F15" i="12"/>
  <c r="F6" i="12" s="1"/>
  <c r="F31" i="12" s="1"/>
  <c r="F44" i="12" s="1"/>
  <c r="G47" i="11"/>
  <c r="G49" i="11"/>
  <c r="G46" i="11"/>
  <c r="G15" i="15"/>
  <c r="V14" i="11"/>
  <c r="U14" i="15"/>
  <c r="J14" i="13"/>
  <c r="AJ14" i="11"/>
  <c r="D10" i="14"/>
  <c r="M10" i="14" s="1"/>
  <c r="M10" i="13"/>
  <c r="AD10" i="15"/>
  <c r="AK20" i="15"/>
  <c r="AL20" i="11"/>
  <c r="AL20" i="15" s="1"/>
  <c r="AD17" i="15"/>
  <c r="AI8" i="1"/>
  <c r="T116" i="1"/>
  <c r="V116" i="1" s="1"/>
  <c r="I8" i="6"/>
  <c r="E8" i="6"/>
  <c r="S8" i="1"/>
  <c r="U8" i="1" s="1"/>
  <c r="AE8" i="1"/>
  <c r="P116" i="1"/>
  <c r="D11" i="14"/>
  <c r="M11" i="14" s="1"/>
  <c r="M11" i="13"/>
  <c r="AD11" i="15"/>
  <c r="AD13" i="15"/>
  <c r="D32" i="14"/>
  <c r="N33" i="14"/>
  <c r="M33" i="14"/>
  <c r="T112" i="1"/>
  <c r="M19" i="9"/>
  <c r="AH38" i="15"/>
  <c r="T112" i="11"/>
  <c r="T113" i="15"/>
  <c r="V113" i="11"/>
  <c r="I99" i="15"/>
  <c r="I48" i="15"/>
  <c r="Q8" i="15"/>
  <c r="Q116" i="11"/>
  <c r="F8" i="13"/>
  <c r="F8" i="14" s="1"/>
  <c r="AF8" i="11"/>
  <c r="AD7" i="15"/>
  <c r="Q86" i="11"/>
  <c r="G97" i="11"/>
  <c r="G100" i="11"/>
  <c r="F86" i="11"/>
  <c r="G99" i="11"/>
  <c r="M35" i="15"/>
  <c r="M48" i="11"/>
  <c r="AD8" i="15"/>
  <c r="T49" i="11"/>
  <c r="T46" i="11"/>
  <c r="T47" i="11"/>
  <c r="T7" i="15"/>
  <c r="I7" i="13"/>
  <c r="AI7" i="11"/>
  <c r="O50" i="11"/>
  <c r="D42" i="6"/>
  <c r="N32" i="6"/>
  <c r="R118" i="1"/>
  <c r="S118" i="1" s="1"/>
  <c r="O118" i="1" s="1"/>
  <c r="S13" i="1"/>
  <c r="U13" i="1" s="1"/>
  <c r="AG13" i="1"/>
  <c r="G13" i="6"/>
  <c r="I42" i="13"/>
  <c r="W115" i="1"/>
  <c r="R47" i="1"/>
  <c r="AG7" i="1"/>
  <c r="R49" i="1"/>
  <c r="R46" i="1"/>
  <c r="G7" i="6"/>
  <c r="T47" i="1"/>
  <c r="AI7" i="1"/>
  <c r="I7" i="6"/>
  <c r="T49" i="1"/>
  <c r="T46" i="1"/>
  <c r="G9" i="6"/>
  <c r="G9" i="7" s="1"/>
  <c r="AG9" i="1"/>
  <c r="D9" i="7"/>
  <c r="M9" i="6"/>
  <c r="F15" i="15"/>
  <c r="F46" i="1"/>
  <c r="F47" i="1"/>
  <c r="I15" i="1"/>
  <c r="F49" i="1"/>
  <c r="E15" i="5"/>
  <c r="V14" i="1"/>
  <c r="W14" i="1" s="1"/>
  <c r="J14" i="6"/>
  <c r="AJ14" i="1"/>
  <c r="AK14" i="1" s="1"/>
  <c r="AL14" i="1" s="1"/>
  <c r="I10" i="6"/>
  <c r="AI10" i="1"/>
  <c r="AJ38" i="11"/>
  <c r="U38" i="15"/>
  <c r="U133" i="15" s="1"/>
  <c r="J36" i="13"/>
  <c r="U48" i="11"/>
  <c r="V38" i="11"/>
  <c r="K38" i="14"/>
  <c r="M39" i="14"/>
  <c r="H35" i="13"/>
  <c r="M19" i="10"/>
  <c r="D12" i="14"/>
  <c r="M12" i="14" s="1"/>
  <c r="M12" i="13"/>
  <c r="D16" i="7"/>
  <c r="M16" i="7" s="1"/>
  <c r="M16" i="6"/>
  <c r="AO38" i="1"/>
  <c r="AR38" i="1"/>
  <c r="G9" i="13"/>
  <c r="G9" i="14" s="1"/>
  <c r="AG9" i="11"/>
  <c r="R9" i="15"/>
  <c r="AF9" i="11"/>
  <c r="Q9" i="15"/>
  <c r="F9" i="13"/>
  <c r="F9" i="14" s="1"/>
  <c r="AI11" i="1"/>
  <c r="I11" i="6"/>
  <c r="D11" i="7"/>
  <c r="M11" i="7" s="1"/>
  <c r="M11" i="6"/>
  <c r="J19" i="13"/>
  <c r="U19" i="15"/>
  <c r="AJ19" i="11"/>
  <c r="V19" i="11"/>
  <c r="F46" i="11"/>
  <c r="F49" i="11"/>
  <c r="F47" i="11"/>
  <c r="E15" i="12"/>
  <c r="I42" i="6"/>
  <c r="Q10" i="15"/>
  <c r="F10" i="13"/>
  <c r="F10" i="14" s="1"/>
  <c r="AF10" i="11"/>
  <c r="AJ18" i="15"/>
  <c r="AK18" i="1"/>
  <c r="H35" i="6"/>
  <c r="J17" i="6"/>
  <c r="U17" i="15"/>
  <c r="V17" i="1"/>
  <c r="AJ17" i="1"/>
  <c r="F8" i="6"/>
  <c r="F8" i="7" s="1"/>
  <c r="AF8" i="1"/>
  <c r="Q116" i="1"/>
  <c r="E11" i="13"/>
  <c r="S11" i="11"/>
  <c r="P11" i="15"/>
  <c r="AE11" i="11"/>
  <c r="D19" i="7"/>
  <c r="M19" i="7" s="1"/>
  <c r="M19" i="6"/>
  <c r="S13" i="11"/>
  <c r="R118" i="11"/>
  <c r="R13" i="15"/>
  <c r="G13" i="13"/>
  <c r="AG13" i="11"/>
  <c r="V18" i="10"/>
  <c r="M32" i="13"/>
  <c r="M42" i="13" s="1"/>
  <c r="V115" i="15"/>
  <c r="P8" i="15"/>
  <c r="AE8" i="11"/>
  <c r="S8" i="11"/>
  <c r="P116" i="11"/>
  <c r="E8" i="13"/>
  <c r="AE7" i="11"/>
  <c r="P7" i="15"/>
  <c r="S7" i="11"/>
  <c r="E7" i="13"/>
  <c r="D7" i="14"/>
  <c r="D6" i="13"/>
  <c r="M7" i="13"/>
  <c r="H34" i="7"/>
  <c r="H32" i="7" s="1"/>
  <c r="E32" i="7"/>
  <c r="L33" i="7" s="1"/>
  <c r="AF7" i="1"/>
  <c r="F7" i="6"/>
  <c r="AF9" i="1"/>
  <c r="F9" i="6"/>
  <c r="F9" i="7" s="1"/>
  <c r="AK88" i="11"/>
  <c r="AJ88" i="15"/>
  <c r="D14" i="7"/>
  <c r="M14" i="7" s="1"/>
  <c r="M14" i="6"/>
  <c r="AF10" i="1"/>
  <c r="F10" i="6"/>
  <c r="F10" i="7" s="1"/>
  <c r="D12" i="7"/>
  <c r="M12" i="7" s="1"/>
  <c r="M12" i="6"/>
  <c r="G86" i="15"/>
  <c r="AL35" i="11"/>
  <c r="AL35" i="15" s="1"/>
  <c r="AI12" i="11"/>
  <c r="T117" i="11"/>
  <c r="I12" i="13"/>
  <c r="T12" i="15"/>
  <c r="AD16" i="15"/>
  <c r="T9" i="15"/>
  <c r="I9" i="13"/>
  <c r="AI9" i="11"/>
  <c r="D9" i="14"/>
  <c r="M9" i="14" s="1"/>
  <c r="M9" i="13"/>
  <c r="AE35" i="15"/>
  <c r="AF11" i="1"/>
  <c r="F11" i="6"/>
  <c r="F11" i="7" s="1"/>
  <c r="AE11" i="1"/>
  <c r="E11" i="6"/>
  <c r="S11" i="1"/>
  <c r="U11" i="1" s="1"/>
  <c r="V11" i="1" s="1"/>
  <c r="W11" i="1" s="1"/>
  <c r="L13" i="15"/>
  <c r="M13" i="11"/>
  <c r="AD14" i="15"/>
  <c r="G10" i="13"/>
  <c r="G10" i="14" s="1"/>
  <c r="AG10" i="11"/>
  <c r="AG10" i="15" s="1"/>
  <c r="R10" i="15"/>
  <c r="V18" i="15"/>
  <c r="W18" i="1"/>
  <c r="W18" i="15" s="1"/>
  <c r="L41" i="7"/>
  <c r="H36" i="7"/>
  <c r="D8" i="7"/>
  <c r="M8" i="7" s="1"/>
  <c r="M8" i="6"/>
  <c r="Q11" i="15"/>
  <c r="F11" i="13"/>
  <c r="F11" i="14" s="1"/>
  <c r="AF11" i="11"/>
  <c r="I11" i="13"/>
  <c r="T11" i="15"/>
  <c r="AI11" i="11"/>
  <c r="D42" i="13"/>
  <c r="M13" i="1"/>
  <c r="O115" i="11"/>
  <c r="O113" i="11" s="1"/>
  <c r="S115" i="15"/>
  <c r="S113" i="11"/>
  <c r="S113" i="15" s="1"/>
  <c r="M6" i="13" l="1"/>
  <c r="M31" i="13" s="1"/>
  <c r="M44" i="13" s="1"/>
  <c r="T111" i="1"/>
  <c r="R111" i="1"/>
  <c r="R110" i="1" s="1"/>
  <c r="R109" i="1" s="1"/>
  <c r="R130" i="1" s="1"/>
  <c r="AI12" i="15"/>
  <c r="AG8" i="15"/>
  <c r="T110" i="1"/>
  <c r="T109" i="1" s="1"/>
  <c r="W113" i="11"/>
  <c r="S7" i="15"/>
  <c r="U7" i="11"/>
  <c r="AG13" i="15"/>
  <c r="AH13" i="11"/>
  <c r="M9" i="7"/>
  <c r="J13" i="6"/>
  <c r="V13" i="1"/>
  <c r="W13" i="1" s="1"/>
  <c r="AJ13" i="1"/>
  <c r="AK13" i="1" s="1"/>
  <c r="T98" i="15"/>
  <c r="T49" i="15"/>
  <c r="T47" i="15"/>
  <c r="T46" i="15"/>
  <c r="AF8" i="15"/>
  <c r="AM8" i="1"/>
  <c r="AH8" i="1"/>
  <c r="I8" i="7"/>
  <c r="R15" i="8"/>
  <c r="AK14" i="11"/>
  <c r="AJ14" i="15"/>
  <c r="G47" i="15"/>
  <c r="G98" i="15"/>
  <c r="G46" i="15"/>
  <c r="G49" i="15"/>
  <c r="W117" i="1"/>
  <c r="AJ12" i="1"/>
  <c r="AJ12" i="15" s="1"/>
  <c r="J12" i="6"/>
  <c r="J12" i="7" s="1"/>
  <c r="D6" i="7"/>
  <c r="M7" i="7"/>
  <c r="E42" i="13"/>
  <c r="L33" i="13"/>
  <c r="H32" i="13"/>
  <c r="M32" i="7"/>
  <c r="M42" i="7" s="1"/>
  <c r="AG7" i="15"/>
  <c r="R49" i="15"/>
  <c r="R47" i="15"/>
  <c r="R98" i="15"/>
  <c r="R46" i="15"/>
  <c r="V116" i="11"/>
  <c r="V116" i="15" s="1"/>
  <c r="T116" i="15"/>
  <c r="V48" i="1"/>
  <c r="W38" i="1"/>
  <c r="W48" i="1" s="1"/>
  <c r="S10" i="15"/>
  <c r="U10" i="11"/>
  <c r="I10" i="14"/>
  <c r="M86" i="1"/>
  <c r="I99" i="1"/>
  <c r="I97" i="1"/>
  <c r="I100" i="1"/>
  <c r="W35" i="15"/>
  <c r="U12" i="15"/>
  <c r="V117" i="11"/>
  <c r="T117" i="15"/>
  <c r="S13" i="15"/>
  <c r="U13" i="11"/>
  <c r="V17" i="15"/>
  <c r="W17" i="1"/>
  <c r="W17" i="15" s="1"/>
  <c r="D31" i="13"/>
  <c r="S8" i="15"/>
  <c r="U8" i="11"/>
  <c r="AF10" i="15"/>
  <c r="K19" i="13"/>
  <c r="N19" i="13" s="1"/>
  <c r="J19" i="14"/>
  <c r="K19" i="14" s="1"/>
  <c r="N19" i="14" s="1"/>
  <c r="I11" i="7"/>
  <c r="AF9" i="15"/>
  <c r="J35" i="13"/>
  <c r="J36" i="14"/>
  <c r="K36" i="14" s="1"/>
  <c r="N36" i="14" s="1"/>
  <c r="K36" i="13"/>
  <c r="N36" i="13" s="1"/>
  <c r="J14" i="7"/>
  <c r="K14" i="7" s="1"/>
  <c r="N14" i="7" s="1"/>
  <c r="K14" i="6"/>
  <c r="N14" i="6" s="1"/>
  <c r="E6" i="5"/>
  <c r="H15" i="5"/>
  <c r="G6" i="6"/>
  <c r="G31" i="6" s="1"/>
  <c r="G44" i="6" s="1"/>
  <c r="G7" i="7"/>
  <c r="AF86" i="11"/>
  <c r="AF86" i="15" s="1"/>
  <c r="Q99" i="11"/>
  <c r="Q112" i="11" s="1"/>
  <c r="Q112" i="15" s="1"/>
  <c r="Q100" i="11"/>
  <c r="Q97" i="11"/>
  <c r="J8" i="6"/>
  <c r="J8" i="7" s="1"/>
  <c r="AJ8" i="1"/>
  <c r="AK8" i="1" s="1"/>
  <c r="J14" i="14"/>
  <c r="K14" i="14" s="1"/>
  <c r="N14" i="14" s="1"/>
  <c r="K14" i="13"/>
  <c r="N14" i="13" s="1"/>
  <c r="I15" i="15"/>
  <c r="K15" i="11"/>
  <c r="I47" i="11"/>
  <c r="I46" i="11"/>
  <c r="I49" i="11"/>
  <c r="E9" i="14"/>
  <c r="H9" i="14" s="1"/>
  <c r="H9" i="13"/>
  <c r="AF99" i="1"/>
  <c r="AF97" i="1"/>
  <c r="AF100" i="1"/>
  <c r="Q86" i="15"/>
  <c r="H10" i="6"/>
  <c r="E10" i="7"/>
  <c r="H10" i="7" s="1"/>
  <c r="I9" i="7"/>
  <c r="D31" i="6"/>
  <c r="AF7" i="15"/>
  <c r="V16" i="15"/>
  <c r="W16" i="1"/>
  <c r="W16" i="15" s="1"/>
  <c r="D22" i="9"/>
  <c r="D22" i="10"/>
  <c r="AE86" i="1"/>
  <c r="S86" i="1"/>
  <c r="P99" i="1"/>
  <c r="P112" i="1" s="1"/>
  <c r="S112" i="1" s="1"/>
  <c r="P100" i="1"/>
  <c r="P97" i="1"/>
  <c r="AJ9" i="1"/>
  <c r="AK9" i="1" s="1"/>
  <c r="J9" i="6"/>
  <c r="J9" i="7" s="1"/>
  <c r="U7" i="1"/>
  <c r="J11" i="6"/>
  <c r="J11" i="7" s="1"/>
  <c r="AJ11" i="1"/>
  <c r="AK11" i="1" s="1"/>
  <c r="H13" i="13"/>
  <c r="G13" i="14"/>
  <c r="H13" i="14" s="1"/>
  <c r="S11" i="15"/>
  <c r="U11" i="11"/>
  <c r="T111" i="11"/>
  <c r="AF11" i="15"/>
  <c r="AH11" i="1"/>
  <c r="AM11" i="1"/>
  <c r="I9" i="14"/>
  <c r="G100" i="15"/>
  <c r="G97" i="15"/>
  <c r="F7" i="7"/>
  <c r="D6" i="14"/>
  <c r="M7" i="14"/>
  <c r="M6" i="14" s="1"/>
  <c r="M31" i="14" s="1"/>
  <c r="AH7" i="11"/>
  <c r="AE7" i="15"/>
  <c r="AH8" i="11"/>
  <c r="AE8" i="15"/>
  <c r="H11" i="13"/>
  <c r="E11" i="14"/>
  <c r="H11" i="14" s="1"/>
  <c r="K17" i="6"/>
  <c r="N17" i="6" s="1"/>
  <c r="J17" i="7"/>
  <c r="K17" i="7" s="1"/>
  <c r="N17" i="7" s="1"/>
  <c r="E6" i="12"/>
  <c r="H15" i="12"/>
  <c r="V19" i="15"/>
  <c r="W19" i="11"/>
  <c r="W19" i="15" s="1"/>
  <c r="U48" i="15"/>
  <c r="U99" i="15"/>
  <c r="I10" i="7"/>
  <c r="F49" i="15"/>
  <c r="F98" i="15"/>
  <c r="F47" i="15"/>
  <c r="F46" i="15"/>
  <c r="I6" i="6"/>
  <c r="I7" i="7"/>
  <c r="G13" i="7"/>
  <c r="H13" i="7" s="1"/>
  <c r="R19" i="8"/>
  <c r="H13" i="6"/>
  <c r="R20" i="8"/>
  <c r="AI7" i="15"/>
  <c r="P86" i="11"/>
  <c r="I86" i="11"/>
  <c r="F99" i="11"/>
  <c r="F97" i="11"/>
  <c r="F100" i="11"/>
  <c r="Q116" i="15"/>
  <c r="M32" i="14"/>
  <c r="M42" i="14" s="1"/>
  <c r="E8" i="7"/>
  <c r="H8" i="7" s="1"/>
  <c r="H8" i="6"/>
  <c r="AH9" i="11"/>
  <c r="AE9" i="15"/>
  <c r="H42" i="12"/>
  <c r="M42" i="12" s="1"/>
  <c r="M32" i="12"/>
  <c r="L12" i="6"/>
  <c r="R17" i="8" s="1"/>
  <c r="I12" i="7"/>
  <c r="K12" i="6"/>
  <c r="N12" i="6" s="1"/>
  <c r="V10" i="1"/>
  <c r="W10" i="1" s="1"/>
  <c r="J10" i="6"/>
  <c r="J10" i="7" s="1"/>
  <c r="AJ10" i="1"/>
  <c r="AK10" i="1" s="1"/>
  <c r="H34" i="14"/>
  <c r="E32" i="14"/>
  <c r="L33" i="14" s="1"/>
  <c r="H42" i="6"/>
  <c r="N32" i="7"/>
  <c r="G7" i="14"/>
  <c r="G6" i="13"/>
  <c r="G31" i="13" s="1"/>
  <c r="G44" i="13" s="1"/>
  <c r="AI8" i="15"/>
  <c r="R116" i="15"/>
  <c r="J35" i="6"/>
  <c r="J36" i="7"/>
  <c r="K36" i="7" s="1"/>
  <c r="N36" i="7" s="1"/>
  <c r="K36" i="6"/>
  <c r="N36" i="6" s="1"/>
  <c r="J19" i="7"/>
  <c r="K19" i="7" s="1"/>
  <c r="N19" i="7" s="1"/>
  <c r="K19" i="6"/>
  <c r="N19" i="6" s="1"/>
  <c r="H10" i="13"/>
  <c r="E10" i="14"/>
  <c r="H10" i="14" s="1"/>
  <c r="AI10" i="15"/>
  <c r="AJ16" i="15"/>
  <c r="AK16" i="1"/>
  <c r="G22" i="8"/>
  <c r="D24" i="8"/>
  <c r="H9" i="6"/>
  <c r="E9" i="7"/>
  <c r="H9" i="7" s="1"/>
  <c r="AM7" i="1"/>
  <c r="AH7" i="1"/>
  <c r="AK12" i="11"/>
  <c r="AK88" i="15"/>
  <c r="AL88" i="11"/>
  <c r="AL88" i="15" s="1"/>
  <c r="S116" i="11"/>
  <c r="P116" i="15"/>
  <c r="I11" i="14"/>
  <c r="M13" i="15"/>
  <c r="E11" i="7"/>
  <c r="H11" i="7" s="1"/>
  <c r="H11" i="6"/>
  <c r="AI9" i="15"/>
  <c r="W118" i="1"/>
  <c r="O115" i="15"/>
  <c r="W115" i="11"/>
  <c r="W115" i="15" s="1"/>
  <c r="AI11" i="15"/>
  <c r="K12" i="13"/>
  <c r="N12" i="13" s="1"/>
  <c r="I12" i="14"/>
  <c r="L12" i="13"/>
  <c r="E7" i="14"/>
  <c r="H7" i="13"/>
  <c r="E8" i="14"/>
  <c r="H8" i="14" s="1"/>
  <c r="H8" i="13"/>
  <c r="R118" i="15"/>
  <c r="S118" i="11"/>
  <c r="AH11" i="11"/>
  <c r="AE11" i="15"/>
  <c r="AK17" i="1"/>
  <c r="AJ17" i="15"/>
  <c r="AK18" i="15"/>
  <c r="AL18" i="1"/>
  <c r="AL18" i="15" s="1"/>
  <c r="AJ19" i="15"/>
  <c r="AK19" i="11"/>
  <c r="AG9" i="15"/>
  <c r="V38" i="15"/>
  <c r="V48" i="11"/>
  <c r="W38" i="11"/>
  <c r="AJ38" i="15"/>
  <c r="AK38" i="11"/>
  <c r="K15" i="1"/>
  <c r="I47" i="1"/>
  <c r="I46" i="1"/>
  <c r="I49" i="1"/>
  <c r="AM13" i="1"/>
  <c r="AH13" i="1"/>
  <c r="AL13" i="1" s="1"/>
  <c r="I6" i="13"/>
  <c r="I7" i="14"/>
  <c r="M99" i="15"/>
  <c r="M48" i="15"/>
  <c r="T112" i="15"/>
  <c r="V112" i="11"/>
  <c r="S116" i="1"/>
  <c r="O116" i="1" s="1"/>
  <c r="V8" i="1"/>
  <c r="W8" i="1" s="1"/>
  <c r="V14" i="15"/>
  <c r="W14" i="11"/>
  <c r="W14" i="15" s="1"/>
  <c r="S9" i="15"/>
  <c r="U9" i="11"/>
  <c r="AM12" i="1"/>
  <c r="AM10" i="1"/>
  <c r="AH10" i="1"/>
  <c r="S48" i="15"/>
  <c r="S99" i="15"/>
  <c r="M6" i="6"/>
  <c r="M31" i="6" s="1"/>
  <c r="M44" i="6" s="1"/>
  <c r="N34" i="7"/>
  <c r="F7" i="14"/>
  <c r="R111" i="11"/>
  <c r="I8" i="14"/>
  <c r="AG11" i="15"/>
  <c r="AH10" i="11"/>
  <c r="AE10" i="15"/>
  <c r="K16" i="6"/>
  <c r="N16" i="6" s="1"/>
  <c r="J16" i="7"/>
  <c r="K16" i="7" s="1"/>
  <c r="N16" i="7" s="1"/>
  <c r="F86" i="15"/>
  <c r="AH9" i="1"/>
  <c r="AM9" i="1"/>
  <c r="E7" i="7"/>
  <c r="H7" i="6"/>
  <c r="V12" i="15"/>
  <c r="W12" i="11"/>
  <c r="W12" i="15" s="1"/>
  <c r="U132" i="15" l="1"/>
  <c r="AK12" i="1"/>
  <c r="AL12" i="1" s="1"/>
  <c r="M6" i="7"/>
  <c r="M31" i="7" s="1"/>
  <c r="W38" i="15"/>
  <c r="AL11" i="1"/>
  <c r="AL9" i="1"/>
  <c r="AF97" i="15"/>
  <c r="AF100" i="15"/>
  <c r="F100" i="15"/>
  <c r="F97" i="15"/>
  <c r="O118" i="11"/>
  <c r="S118" i="15"/>
  <c r="AO13" i="1"/>
  <c r="AR13" i="1"/>
  <c r="S116" i="15"/>
  <c r="O116" i="11"/>
  <c r="AK12" i="15"/>
  <c r="AL12" i="11"/>
  <c r="AL12" i="15" s="1"/>
  <c r="AH9" i="15"/>
  <c r="M86" i="11"/>
  <c r="M86" i="15" s="1"/>
  <c r="I86" i="15"/>
  <c r="I97" i="11"/>
  <c r="I100" i="11"/>
  <c r="I99" i="11"/>
  <c r="I31" i="6"/>
  <c r="I44" i="6" s="1"/>
  <c r="AH7" i="15"/>
  <c r="T110" i="11"/>
  <c r="T111" i="15"/>
  <c r="AJ7" i="1"/>
  <c r="AK7" i="1" s="1"/>
  <c r="AL7" i="1" s="1"/>
  <c r="J7" i="6"/>
  <c r="V7" i="1"/>
  <c r="Q15" i="1"/>
  <c r="P15" i="1"/>
  <c r="G22" i="10"/>
  <c r="D24" i="10"/>
  <c r="K9" i="6"/>
  <c r="N9" i="6" s="1"/>
  <c r="Q100" i="15"/>
  <c r="Q97" i="15"/>
  <c r="I47" i="15"/>
  <c r="I98" i="15"/>
  <c r="I46" i="15"/>
  <c r="I49" i="15"/>
  <c r="G6" i="7"/>
  <c r="J42" i="13"/>
  <c r="K35" i="13"/>
  <c r="J8" i="13"/>
  <c r="U8" i="15"/>
  <c r="AJ8" i="11"/>
  <c r="V8" i="11"/>
  <c r="W48" i="11"/>
  <c r="M99" i="1"/>
  <c r="M97" i="1"/>
  <c r="M53" i="1"/>
  <c r="M100" i="1"/>
  <c r="AJ10" i="11"/>
  <c r="U10" i="15"/>
  <c r="J10" i="13"/>
  <c r="V10" i="11"/>
  <c r="H42" i="13"/>
  <c r="N32" i="13"/>
  <c r="J13" i="7"/>
  <c r="K13" i="7" s="1"/>
  <c r="N13" i="7" s="1"/>
  <c r="K13" i="6"/>
  <c r="N13" i="6" s="1"/>
  <c r="AH13" i="15"/>
  <c r="H7" i="7"/>
  <c r="W116" i="1"/>
  <c r="AK19" i="15"/>
  <c r="AL19" i="11"/>
  <c r="AL19" i="15" s="1"/>
  <c r="AO9" i="1"/>
  <c r="AR9" i="1"/>
  <c r="AO12" i="1"/>
  <c r="AR12" i="1"/>
  <c r="H7" i="14"/>
  <c r="K24" i="8"/>
  <c r="D26" i="8"/>
  <c r="J42" i="6"/>
  <c r="R37" i="8"/>
  <c r="K35" i="6"/>
  <c r="AE86" i="11"/>
  <c r="AE86" i="15" s="1"/>
  <c r="S86" i="11"/>
  <c r="P99" i="11"/>
  <c r="P112" i="11" s="1"/>
  <c r="P97" i="11"/>
  <c r="P100" i="11"/>
  <c r="K10" i="6"/>
  <c r="N10" i="6" s="1"/>
  <c r="M44" i="14"/>
  <c r="AO11" i="1"/>
  <c r="AR11" i="1"/>
  <c r="J11" i="13"/>
  <c r="U11" i="15"/>
  <c r="AJ11" i="11"/>
  <c r="V11" i="11"/>
  <c r="G22" i="9"/>
  <c r="D24" i="9"/>
  <c r="K9" i="7"/>
  <c r="N9" i="7" s="1"/>
  <c r="V13" i="11"/>
  <c r="U13" i="15"/>
  <c r="J13" i="13"/>
  <c r="AJ13" i="11"/>
  <c r="V117" i="15"/>
  <c r="O117" i="11"/>
  <c r="K8" i="7"/>
  <c r="N8" i="7" s="1"/>
  <c r="AH10" i="15"/>
  <c r="R110" i="11"/>
  <c r="R111" i="15"/>
  <c r="AO10" i="1"/>
  <c r="AR10" i="1"/>
  <c r="J9" i="13"/>
  <c r="U9" i="15"/>
  <c r="AJ9" i="11"/>
  <c r="V9" i="11"/>
  <c r="J15" i="5"/>
  <c r="L15" i="1"/>
  <c r="K47" i="1"/>
  <c r="K49" i="1"/>
  <c r="K46" i="1"/>
  <c r="Y138" i="1" s="1"/>
  <c r="Y141" i="1" s="1"/>
  <c r="K12" i="14"/>
  <c r="N12" i="14" s="1"/>
  <c r="L12" i="14"/>
  <c r="AK16" i="15"/>
  <c r="AL16" i="1"/>
  <c r="AL16" i="15" s="1"/>
  <c r="K12" i="7"/>
  <c r="N12" i="7" s="1"/>
  <c r="L12" i="7"/>
  <c r="I6" i="14"/>
  <c r="AL10" i="1"/>
  <c r="I31" i="13"/>
  <c r="I44" i="13" s="1"/>
  <c r="AK38" i="15"/>
  <c r="AL38" i="11"/>
  <c r="AL38" i="15" s="1"/>
  <c r="V48" i="15"/>
  <c r="V99" i="15"/>
  <c r="AK17" i="15"/>
  <c r="AL17" i="1"/>
  <c r="AL17" i="15" s="1"/>
  <c r="AH11" i="15"/>
  <c r="AO7" i="1"/>
  <c r="AR7" i="1"/>
  <c r="R9" i="8"/>
  <c r="T9" i="8" s="1"/>
  <c r="V9" i="8" s="1"/>
  <c r="L22" i="8"/>
  <c r="G24" i="8"/>
  <c r="G6" i="14"/>
  <c r="H32" i="14"/>
  <c r="N32" i="14" s="1"/>
  <c r="N34" i="14"/>
  <c r="K10" i="7"/>
  <c r="N10" i="7" s="1"/>
  <c r="E31" i="12"/>
  <c r="E44" i="12" s="1"/>
  <c r="H6" i="12"/>
  <c r="AH8" i="15"/>
  <c r="S86" i="15"/>
  <c r="U86" i="1"/>
  <c r="S99" i="1"/>
  <c r="S100" i="1"/>
  <c r="S97" i="1"/>
  <c r="P86" i="15"/>
  <c r="K11" i="6"/>
  <c r="N11" i="6" s="1"/>
  <c r="AK14" i="15"/>
  <c r="AL14" i="11"/>
  <c r="AL14" i="15" s="1"/>
  <c r="AL8" i="1"/>
  <c r="T130" i="1"/>
  <c r="I6" i="7"/>
  <c r="AH86" i="1"/>
  <c r="AM86" i="1"/>
  <c r="AE99" i="1"/>
  <c r="AE97" i="1"/>
  <c r="AE100" i="1"/>
  <c r="D44" i="6"/>
  <c r="J15" i="12"/>
  <c r="L15" i="11"/>
  <c r="K15" i="15"/>
  <c r="K46" i="11"/>
  <c r="Y138" i="11" s="1"/>
  <c r="Y141" i="11" s="1"/>
  <c r="K47" i="11"/>
  <c r="K49" i="11"/>
  <c r="AF99" i="11"/>
  <c r="AF100" i="11"/>
  <c r="AF97" i="11"/>
  <c r="E31" i="5"/>
  <c r="E44" i="5" s="1"/>
  <c r="H6" i="5"/>
  <c r="K11" i="7"/>
  <c r="N11" i="7" s="1"/>
  <c r="D44" i="13"/>
  <c r="W48" i="15"/>
  <c r="W99" i="15"/>
  <c r="M44" i="7"/>
  <c r="K8" i="6"/>
  <c r="N8" i="6" s="1"/>
  <c r="AR8" i="1"/>
  <c r="AO8" i="1"/>
  <c r="AJ7" i="11"/>
  <c r="J7" i="13"/>
  <c r="U7" i="15"/>
  <c r="Q15" i="11"/>
  <c r="P15" i="11"/>
  <c r="V7" i="11"/>
  <c r="Y111" i="11" l="1"/>
  <c r="J7" i="14"/>
  <c r="K7" i="13"/>
  <c r="N7" i="13" s="1"/>
  <c r="L49" i="11"/>
  <c r="L47" i="11"/>
  <c r="L46" i="11"/>
  <c r="M15" i="11"/>
  <c r="AH99" i="1"/>
  <c r="AH97" i="1"/>
  <c r="AH100" i="1"/>
  <c r="I22" i="10"/>
  <c r="AJ86" i="1"/>
  <c r="V86" i="1"/>
  <c r="I22" i="9"/>
  <c r="U99" i="1"/>
  <c r="U132" i="1" s="1"/>
  <c r="U97" i="1"/>
  <c r="U100" i="1"/>
  <c r="H31" i="12"/>
  <c r="G26" i="8"/>
  <c r="L26" i="8" s="1"/>
  <c r="L24" i="8"/>
  <c r="V9" i="15"/>
  <c r="W9" i="11"/>
  <c r="W9" i="15" s="1"/>
  <c r="V13" i="15"/>
  <c r="W13" i="11"/>
  <c r="W13" i="15" s="1"/>
  <c r="J11" i="14"/>
  <c r="K11" i="14" s="1"/>
  <c r="N11" i="14" s="1"/>
  <c r="K11" i="13"/>
  <c r="N11" i="13" s="1"/>
  <c r="K42" i="6"/>
  <c r="N42" i="6" s="1"/>
  <c r="N35" i="6"/>
  <c r="J10" i="14"/>
  <c r="K10" i="14" s="1"/>
  <c r="N10" i="14" s="1"/>
  <c r="K10" i="13"/>
  <c r="N10" i="13" s="1"/>
  <c r="AJ8" i="15"/>
  <c r="AK8" i="11"/>
  <c r="F15" i="6"/>
  <c r="AF15" i="1"/>
  <c r="Q49" i="1"/>
  <c r="Q46" i="1"/>
  <c r="Q47" i="1"/>
  <c r="Q111" i="1" s="1"/>
  <c r="Q110" i="1" s="1"/>
  <c r="Q109" i="1" s="1"/>
  <c r="Q130" i="1" s="1"/>
  <c r="H31" i="5"/>
  <c r="S97" i="15"/>
  <c r="S100" i="15"/>
  <c r="AJ9" i="15"/>
  <c r="AK9" i="11"/>
  <c r="AJ13" i="15"/>
  <c r="AK13" i="11"/>
  <c r="V11" i="15"/>
  <c r="W11" i="11"/>
  <c r="W11" i="15" s="1"/>
  <c r="S112" i="11"/>
  <c r="P112" i="15"/>
  <c r="K24" i="10"/>
  <c r="D26" i="10"/>
  <c r="W7" i="1"/>
  <c r="J7" i="7"/>
  <c r="K7" i="6"/>
  <c r="N7" i="6" s="1"/>
  <c r="T109" i="11"/>
  <c r="T110" i="15"/>
  <c r="I100" i="15"/>
  <c r="I97" i="15"/>
  <c r="W118" i="11"/>
  <c r="W118" i="15" s="1"/>
  <c r="O118" i="15"/>
  <c r="Y110" i="11"/>
  <c r="AE100" i="15"/>
  <c r="AE97" i="15"/>
  <c r="P15" i="15"/>
  <c r="AE15" i="11"/>
  <c r="S15" i="11"/>
  <c r="E15" i="13"/>
  <c r="P49" i="11"/>
  <c r="P46" i="11"/>
  <c r="P47" i="11"/>
  <c r="P111" i="11" s="1"/>
  <c r="L15" i="15"/>
  <c r="L49" i="1"/>
  <c r="L47" i="1"/>
  <c r="L46" i="1"/>
  <c r="M15" i="1"/>
  <c r="J13" i="14"/>
  <c r="K13" i="14" s="1"/>
  <c r="N13" i="14" s="1"/>
  <c r="K13" i="13"/>
  <c r="N13" i="13" s="1"/>
  <c r="K24" i="9"/>
  <c r="D26" i="9"/>
  <c r="AJ11" i="15"/>
  <c r="AK11" i="11"/>
  <c r="U86" i="11"/>
  <c r="U86" i="15" s="1"/>
  <c r="S99" i="11"/>
  <c r="S100" i="11"/>
  <c r="S97" i="11"/>
  <c r="AJ10" i="15"/>
  <c r="AK10" i="11"/>
  <c r="J8" i="14"/>
  <c r="K8" i="14" s="1"/>
  <c r="N8" i="14" s="1"/>
  <c r="K8" i="13"/>
  <c r="N8" i="13" s="1"/>
  <c r="G24" i="10"/>
  <c r="G26" i="10" s="1"/>
  <c r="R10" i="10"/>
  <c r="V10" i="10" s="1"/>
  <c r="M99" i="11"/>
  <c r="M100" i="11"/>
  <c r="M97" i="11"/>
  <c r="M53" i="11"/>
  <c r="V7" i="15"/>
  <c r="W7" i="11"/>
  <c r="AJ7" i="15"/>
  <c r="AK7" i="11"/>
  <c r="K15" i="12"/>
  <c r="M15" i="12" s="1"/>
  <c r="J6" i="12"/>
  <c r="Y123" i="11"/>
  <c r="Y122" i="11"/>
  <c r="Y124" i="11"/>
  <c r="Q15" i="15"/>
  <c r="AF15" i="11"/>
  <c r="AF15" i="15" s="1"/>
  <c r="F15" i="13"/>
  <c r="Q46" i="11"/>
  <c r="Q47" i="11"/>
  <c r="Q111" i="11" s="1"/>
  <c r="Q49" i="11"/>
  <c r="K49" i="15"/>
  <c r="K47" i="15"/>
  <c r="K46" i="15"/>
  <c r="Y138" i="15" s="1"/>
  <c r="Y141" i="15" s="1"/>
  <c r="K98" i="15"/>
  <c r="AO86" i="1"/>
  <c r="AR86" i="1"/>
  <c r="P100" i="15"/>
  <c r="P97" i="15"/>
  <c r="Y123" i="1"/>
  <c r="Y124" i="1" s="1"/>
  <c r="Y122" i="1"/>
  <c r="K15" i="5"/>
  <c r="M15" i="5" s="1"/>
  <c r="J6" i="5"/>
  <c r="J9" i="14"/>
  <c r="K9" i="14" s="1"/>
  <c r="N9" i="14" s="1"/>
  <c r="K9" i="13"/>
  <c r="N9" i="13" s="1"/>
  <c r="R109" i="11"/>
  <c r="R110" i="15"/>
  <c r="O117" i="15"/>
  <c r="W117" i="11"/>
  <c r="W117" i="15" s="1"/>
  <c r="G24" i="9"/>
  <c r="G26" i="9" s="1"/>
  <c r="R10" i="9"/>
  <c r="V10" i="9" s="1"/>
  <c r="AH86" i="11"/>
  <c r="AE99" i="11"/>
  <c r="AE97" i="11"/>
  <c r="AE100" i="11"/>
  <c r="V10" i="15"/>
  <c r="W10" i="11"/>
  <c r="W10" i="15" s="1"/>
  <c r="M97" i="15"/>
  <c r="M100" i="15"/>
  <c r="M53" i="15"/>
  <c r="V8" i="15"/>
  <c r="W8" i="11"/>
  <c r="W8" i="15" s="1"/>
  <c r="K42" i="13"/>
  <c r="N42" i="13" s="1"/>
  <c r="N35" i="13"/>
  <c r="S15" i="1"/>
  <c r="AE15" i="1"/>
  <c r="E15" i="6"/>
  <c r="P49" i="1"/>
  <c r="P46" i="1"/>
  <c r="P47" i="1"/>
  <c r="P111" i="1" s="1"/>
  <c r="O116" i="15"/>
  <c r="W116" i="11"/>
  <c r="W116" i="15" s="1"/>
  <c r="Y121" i="1" l="1"/>
  <c r="Y120" i="1" s="1"/>
  <c r="U97" i="15"/>
  <c r="U100" i="15"/>
  <c r="Q110" i="11"/>
  <c r="Q111" i="15"/>
  <c r="Q49" i="15"/>
  <c r="Q46" i="15"/>
  <c r="Q98" i="15"/>
  <c r="Q47" i="15"/>
  <c r="M47" i="1"/>
  <c r="M2" i="1"/>
  <c r="M46" i="1"/>
  <c r="M49" i="1"/>
  <c r="L47" i="15"/>
  <c r="L49" i="15"/>
  <c r="L98" i="15"/>
  <c r="L46" i="15"/>
  <c r="R109" i="15"/>
  <c r="R130" i="15" s="1"/>
  <c r="R130" i="11"/>
  <c r="AK7" i="15"/>
  <c r="AL7" i="11"/>
  <c r="AL7" i="15" s="1"/>
  <c r="AH15" i="11"/>
  <c r="AE15" i="15"/>
  <c r="T130" i="11"/>
  <c r="T109" i="15"/>
  <c r="T130" i="15" s="1"/>
  <c r="L31" i="5"/>
  <c r="H44" i="5"/>
  <c r="H44" i="12"/>
  <c r="L31" i="12"/>
  <c r="J22" i="9"/>
  <c r="R36" i="9"/>
  <c r="I24" i="9"/>
  <c r="I26" i="9" s="1"/>
  <c r="R36" i="8"/>
  <c r="R38" i="8" s="1"/>
  <c r="E15" i="7"/>
  <c r="H15" i="6"/>
  <c r="E6" i="6"/>
  <c r="F15" i="14"/>
  <c r="F6" i="14" s="1"/>
  <c r="F6" i="13"/>
  <c r="F31" i="13" s="1"/>
  <c r="F44" i="13" s="1"/>
  <c r="Y121" i="11"/>
  <c r="Y122" i="15"/>
  <c r="J31" i="12"/>
  <c r="J44" i="12" s="1"/>
  <c r="K6" i="12"/>
  <c r="AK11" i="15"/>
  <c r="AL11" i="11"/>
  <c r="AL11" i="15" s="1"/>
  <c r="P49" i="15"/>
  <c r="P46" i="15"/>
  <c r="P98" i="15"/>
  <c r="P47" i="15"/>
  <c r="AK13" i="15"/>
  <c r="AL13" i="11"/>
  <c r="AL13" i="15" s="1"/>
  <c r="V99" i="1"/>
  <c r="V97" i="1"/>
  <c r="V100" i="1"/>
  <c r="W86" i="1"/>
  <c r="M15" i="15"/>
  <c r="M46" i="11"/>
  <c r="M49" i="11"/>
  <c r="M2" i="11"/>
  <c r="M47" i="11"/>
  <c r="U15" i="1"/>
  <c r="S49" i="1"/>
  <c r="S46" i="1"/>
  <c r="S47" i="1"/>
  <c r="AH86" i="15"/>
  <c r="AH99" i="11"/>
  <c r="AH97" i="11"/>
  <c r="AH100" i="11"/>
  <c r="J31" i="5"/>
  <c r="J44" i="5" s="1"/>
  <c r="K6" i="5"/>
  <c r="S111" i="1"/>
  <c r="P110" i="1"/>
  <c r="AM15" i="1"/>
  <c r="AH15" i="1"/>
  <c r="Y124" i="15"/>
  <c r="Y123" i="15"/>
  <c r="W7" i="15"/>
  <c r="AK10" i="15"/>
  <c r="AL10" i="11"/>
  <c r="AL10" i="15" s="1"/>
  <c r="V86" i="11"/>
  <c r="V86" i="15" s="1"/>
  <c r="AJ86" i="11"/>
  <c r="U99" i="11"/>
  <c r="U132" i="11" s="1"/>
  <c r="U100" i="11"/>
  <c r="U97" i="11"/>
  <c r="E15" i="14"/>
  <c r="H15" i="13"/>
  <c r="E6" i="13"/>
  <c r="S112" i="15"/>
  <c r="O112" i="11"/>
  <c r="AK9" i="15"/>
  <c r="AL9" i="11"/>
  <c r="AL9" i="15" s="1"/>
  <c r="F15" i="7"/>
  <c r="F6" i="7" s="1"/>
  <c r="F6" i="6"/>
  <c r="F31" i="6" s="1"/>
  <c r="F44" i="6" s="1"/>
  <c r="AK86" i="1"/>
  <c r="AJ99" i="1"/>
  <c r="AJ100" i="1"/>
  <c r="AJ97" i="1"/>
  <c r="P110" i="11"/>
  <c r="S111" i="11"/>
  <c r="P111" i="15"/>
  <c r="S15" i="15"/>
  <c r="U15" i="11"/>
  <c r="S46" i="11"/>
  <c r="S49" i="11"/>
  <c r="S47" i="11"/>
  <c r="Y109" i="11"/>
  <c r="K7" i="7"/>
  <c r="N7" i="7" s="1"/>
  <c r="AK8" i="15"/>
  <c r="AL8" i="11"/>
  <c r="AL8" i="15" s="1"/>
  <c r="J22" i="10"/>
  <c r="R36" i="10"/>
  <c r="I24" i="10"/>
  <c r="I26" i="10" s="1"/>
  <c r="K7" i="14"/>
  <c r="N7" i="14" s="1"/>
  <c r="S111" i="15" l="1"/>
  <c r="H6" i="13"/>
  <c r="E31" i="13"/>
  <c r="E44" i="13" s="1"/>
  <c r="S110" i="1"/>
  <c r="P109" i="1"/>
  <c r="AH100" i="15"/>
  <c r="AH97" i="15"/>
  <c r="M2" i="15"/>
  <c r="M49" i="15"/>
  <c r="M47" i="15"/>
  <c r="M98" i="15"/>
  <c r="M46" i="15"/>
  <c r="Y120" i="11"/>
  <c r="Y120" i="15" s="1"/>
  <c r="Y121" i="15"/>
  <c r="H6" i="6"/>
  <c r="E31" i="6"/>
  <c r="E44" i="6" s="1"/>
  <c r="Q109" i="11"/>
  <c r="Q110" i="15"/>
  <c r="J15" i="13"/>
  <c r="AJ15" i="11"/>
  <c r="U15" i="15"/>
  <c r="V15" i="11"/>
  <c r="U46" i="11"/>
  <c r="U131" i="11" s="1"/>
  <c r="U134" i="11" s="1"/>
  <c r="U49" i="11"/>
  <c r="U47" i="11"/>
  <c r="P110" i="15"/>
  <c r="P109" i="11"/>
  <c r="S110" i="11"/>
  <c r="S110" i="15" s="1"/>
  <c r="AK99" i="1"/>
  <c r="AK100" i="1"/>
  <c r="AK97" i="1"/>
  <c r="AL86" i="1"/>
  <c r="S49" i="15"/>
  <c r="S46" i="15"/>
  <c r="S98" i="15"/>
  <c r="S47" i="15"/>
  <c r="H15" i="14"/>
  <c r="E6" i="14"/>
  <c r="H6" i="14" s="1"/>
  <c r="AK86" i="11"/>
  <c r="AJ86" i="15"/>
  <c r="AJ99" i="11"/>
  <c r="AJ100" i="11"/>
  <c r="AJ97" i="11"/>
  <c r="K31" i="5"/>
  <c r="M6" i="5"/>
  <c r="K31" i="12"/>
  <c r="M6" i="12"/>
  <c r="AH15" i="15"/>
  <c r="V15" i="1"/>
  <c r="J15" i="6"/>
  <c r="AJ15" i="1"/>
  <c r="AK15" i="1" s="1"/>
  <c r="AL15" i="1" s="1"/>
  <c r="U46" i="1"/>
  <c r="U131" i="1" s="1"/>
  <c r="U49" i="1"/>
  <c r="U47" i="1"/>
  <c r="W99" i="1"/>
  <c r="W100" i="1"/>
  <c r="W53" i="1"/>
  <c r="W97" i="1"/>
  <c r="V100" i="15"/>
  <c r="V97" i="15"/>
  <c r="J24" i="10"/>
  <c r="M22" i="10"/>
  <c r="W112" i="11"/>
  <c r="V99" i="11"/>
  <c r="V100" i="11"/>
  <c r="V97" i="11"/>
  <c r="W86" i="11"/>
  <c r="AR15" i="1"/>
  <c r="AO15" i="1"/>
  <c r="H15" i="7"/>
  <c r="E6" i="7"/>
  <c r="H6" i="7" s="1"/>
  <c r="J24" i="9"/>
  <c r="M22" i="9"/>
  <c r="Y130" i="11" l="1"/>
  <c r="K15" i="6"/>
  <c r="N15" i="6" s="1"/>
  <c r="J15" i="7"/>
  <c r="J6" i="6"/>
  <c r="K44" i="5"/>
  <c r="M44" i="5" s="1"/>
  <c r="M31" i="5"/>
  <c r="AJ100" i="15"/>
  <c r="AJ97" i="15"/>
  <c r="U98" i="15"/>
  <c r="U47" i="15"/>
  <c r="U46" i="15"/>
  <c r="U131" i="15" s="1"/>
  <c r="U134" i="15" s="1"/>
  <c r="U49" i="15"/>
  <c r="Q109" i="15"/>
  <c r="Q130" i="15" s="1"/>
  <c r="Q130" i="11"/>
  <c r="H31" i="6"/>
  <c r="M24" i="9"/>
  <c r="J26" i="9"/>
  <c r="M26" i="9" s="1"/>
  <c r="V47" i="1"/>
  <c r="V49" i="1"/>
  <c r="V46" i="1"/>
  <c r="W15" i="1"/>
  <c r="AK86" i="15"/>
  <c r="AK99" i="11"/>
  <c r="AK97" i="11"/>
  <c r="AK100" i="11"/>
  <c r="AL86" i="11"/>
  <c r="AL86" i="15" s="1"/>
  <c r="AL99" i="1"/>
  <c r="AL100" i="1"/>
  <c r="AL97" i="1"/>
  <c r="AL53" i="1"/>
  <c r="AJ15" i="15"/>
  <c r="AK15" i="11"/>
  <c r="P130" i="1"/>
  <c r="S109" i="1"/>
  <c r="S130" i="1" s="1"/>
  <c r="H31" i="13"/>
  <c r="U123" i="11"/>
  <c r="U124" i="11"/>
  <c r="U122" i="11"/>
  <c r="U111" i="11"/>
  <c r="K111" i="1"/>
  <c r="U134" i="1"/>
  <c r="K44" i="12"/>
  <c r="M44" i="12" s="1"/>
  <c r="M31" i="12"/>
  <c r="P109" i="15"/>
  <c r="P130" i="15" s="1"/>
  <c r="S109" i="11"/>
  <c r="P130" i="11"/>
  <c r="J15" i="14"/>
  <c r="K15" i="13"/>
  <c r="N15" i="13" s="1"/>
  <c r="J6" i="13"/>
  <c r="W86" i="15"/>
  <c r="W99" i="11"/>
  <c r="W100" i="11"/>
  <c r="W53" i="11"/>
  <c r="W97" i="11"/>
  <c r="M24" i="10"/>
  <c r="J26" i="10"/>
  <c r="M26" i="10" s="1"/>
  <c r="V15" i="15"/>
  <c r="V46" i="11"/>
  <c r="V47" i="11"/>
  <c r="V49" i="11"/>
  <c r="W15" i="11"/>
  <c r="S130" i="11" l="1"/>
  <c r="S109" i="15"/>
  <c r="S130" i="15" s="1"/>
  <c r="V124" i="11"/>
  <c r="K15" i="14"/>
  <c r="N15" i="14" s="1"/>
  <c r="J6" i="14"/>
  <c r="K6" i="14" s="1"/>
  <c r="N6" i="14" s="1"/>
  <c r="U110" i="11"/>
  <c r="V111" i="11"/>
  <c r="AL53" i="15"/>
  <c r="AL97" i="15"/>
  <c r="AL100" i="15"/>
  <c r="R7" i="8"/>
  <c r="R6" i="8" s="1"/>
  <c r="R4" i="8" s="1"/>
  <c r="L31" i="6"/>
  <c r="H44" i="6"/>
  <c r="U122" i="1"/>
  <c r="U122" i="15" s="1"/>
  <c r="U114" i="1"/>
  <c r="U112" i="1"/>
  <c r="U124" i="1"/>
  <c r="V124" i="1" s="1"/>
  <c r="O124" i="1" s="1"/>
  <c r="U111" i="1"/>
  <c r="U111" i="15" s="1"/>
  <c r="U123" i="1"/>
  <c r="V123" i="1" s="1"/>
  <c r="O123" i="1" s="1"/>
  <c r="Y115" i="1"/>
  <c r="Y115" i="15" s="1"/>
  <c r="Y114" i="1"/>
  <c r="Y112" i="1"/>
  <c r="Y112" i="15" s="1"/>
  <c r="W15" i="15"/>
  <c r="W46" i="11"/>
  <c r="W2" i="11"/>
  <c r="W47" i="11"/>
  <c r="W49" i="11"/>
  <c r="V47" i="15"/>
  <c r="V98" i="15"/>
  <c r="V46" i="15"/>
  <c r="V49" i="15"/>
  <c r="W97" i="15"/>
  <c r="W100" i="15"/>
  <c r="W53" i="15"/>
  <c r="V122" i="11"/>
  <c r="U121" i="11"/>
  <c r="W46" i="1"/>
  <c r="W49" i="1"/>
  <c r="W2" i="1"/>
  <c r="W47" i="1"/>
  <c r="J31" i="6"/>
  <c r="K6" i="6"/>
  <c r="J31" i="13"/>
  <c r="J44" i="13" s="1"/>
  <c r="K6" i="13"/>
  <c r="AK15" i="15"/>
  <c r="AL15" i="11"/>
  <c r="AL15" i="15" s="1"/>
  <c r="K15" i="7"/>
  <c r="N15" i="7" s="1"/>
  <c r="J6" i="7"/>
  <c r="K6" i="7" s="1"/>
  <c r="N6" i="7" s="1"/>
  <c r="V123" i="11"/>
  <c r="U123" i="15"/>
  <c r="H44" i="13"/>
  <c r="L31" i="13"/>
  <c r="AL99" i="11"/>
  <c r="AL100" i="11"/>
  <c r="AL97" i="11"/>
  <c r="AL53" i="11"/>
  <c r="AK97" i="15"/>
  <c r="AK100" i="15"/>
  <c r="U120" i="11" l="1"/>
  <c r="V121" i="11"/>
  <c r="V123" i="15"/>
  <c r="O123" i="11"/>
  <c r="O122" i="11"/>
  <c r="W2" i="15"/>
  <c r="W49" i="15"/>
  <c r="W98" i="15"/>
  <c r="W46" i="15"/>
  <c r="W47" i="15"/>
  <c r="W123" i="1"/>
  <c r="U113" i="1"/>
  <c r="Y111" i="1" s="1"/>
  <c r="U114" i="15"/>
  <c r="V114" i="1"/>
  <c r="O124" i="11"/>
  <c r="V124" i="15"/>
  <c r="K31" i="6"/>
  <c r="N6" i="6"/>
  <c r="V111" i="1"/>
  <c r="O111" i="1" s="1"/>
  <c r="U110" i="1"/>
  <c r="U110" i="15" s="1"/>
  <c r="V122" i="1"/>
  <c r="O122" i="1" s="1"/>
  <c r="U121" i="1"/>
  <c r="R2" i="8"/>
  <c r="U109" i="11"/>
  <c r="V110" i="11"/>
  <c r="U124" i="15"/>
  <c r="Y113" i="1"/>
  <c r="Y113" i="15" s="1"/>
  <c r="Y114" i="15"/>
  <c r="W124" i="1"/>
  <c r="K31" i="13"/>
  <c r="N6" i="13"/>
  <c r="J44" i="6"/>
  <c r="R35" i="8"/>
  <c r="U112" i="15"/>
  <c r="V112" i="1"/>
  <c r="O111" i="11"/>
  <c r="R41" i="8" l="1"/>
  <c r="R40" i="8"/>
  <c r="W122" i="1"/>
  <c r="O121" i="1"/>
  <c r="K44" i="6"/>
  <c r="N44" i="6" s="1"/>
  <c r="N31" i="6"/>
  <c r="U130" i="11"/>
  <c r="V109" i="11"/>
  <c r="U109" i="1"/>
  <c r="U109" i="15" s="1"/>
  <c r="V110" i="1"/>
  <c r="V110" i="15" s="1"/>
  <c r="U113" i="15"/>
  <c r="V113" i="1"/>
  <c r="V113" i="15" s="1"/>
  <c r="V122" i="15"/>
  <c r="O111" i="15"/>
  <c r="O110" i="11"/>
  <c r="W111" i="11"/>
  <c r="W122" i="11"/>
  <c r="O121" i="11"/>
  <c r="O122" i="15"/>
  <c r="W123" i="11"/>
  <c r="W123" i="15" s="1"/>
  <c r="O123" i="15"/>
  <c r="Y110" i="1"/>
  <c r="Y111" i="15"/>
  <c r="W111" i="1"/>
  <c r="W124" i="11"/>
  <c r="W124" i="15" s="1"/>
  <c r="O124" i="15"/>
  <c r="V111" i="15"/>
  <c r="V112" i="15"/>
  <c r="O112" i="1"/>
  <c r="K44" i="13"/>
  <c r="N44" i="13" s="1"/>
  <c r="N31" i="13"/>
  <c r="U120" i="1"/>
  <c r="V120" i="1" s="1"/>
  <c r="V121" i="1"/>
  <c r="V121" i="15" s="1"/>
  <c r="V114" i="15"/>
  <c r="O114" i="1"/>
  <c r="V120" i="11"/>
  <c r="U121" i="15"/>
  <c r="W122" i="15" l="1"/>
  <c r="R42" i="8"/>
  <c r="R43" i="8" s="1"/>
  <c r="W110" i="11"/>
  <c r="O109" i="11"/>
  <c r="U120" i="15"/>
  <c r="U130" i="15" s="1"/>
  <c r="Y109" i="1"/>
  <c r="Y110" i="15"/>
  <c r="O120" i="11"/>
  <c r="O121" i="15"/>
  <c r="W121" i="11"/>
  <c r="V120" i="15"/>
  <c r="W112" i="1"/>
  <c r="W112" i="15" s="1"/>
  <c r="O112" i="15"/>
  <c r="U130" i="1"/>
  <c r="V109" i="1"/>
  <c r="V130" i="1" s="1"/>
  <c r="O113" i="1"/>
  <c r="W114" i="1"/>
  <c r="W114" i="15" s="1"/>
  <c r="O114" i="15"/>
  <c r="W111" i="15"/>
  <c r="V130" i="11"/>
  <c r="W121" i="1"/>
  <c r="O120" i="1"/>
  <c r="V109" i="15" l="1"/>
  <c r="V130" i="15" s="1"/>
  <c r="W121" i="15"/>
  <c r="Y130" i="1"/>
  <c r="Y130" i="15" s="1"/>
  <c r="Y109" i="15"/>
  <c r="W113" i="1"/>
  <c r="W113" i="15" s="1"/>
  <c r="O113" i="15"/>
  <c r="O110" i="1"/>
  <c r="O130" i="11"/>
  <c r="W109" i="11"/>
  <c r="W120" i="1"/>
  <c r="O120" i="15"/>
  <c r="W120" i="11"/>
  <c r="W120" i="15" l="1"/>
  <c r="O110" i="15"/>
  <c r="W110" i="1"/>
  <c r="W110" i="15" s="1"/>
  <c r="O109" i="1"/>
  <c r="W130" i="11"/>
  <c r="W104" i="11" s="1"/>
  <c r="O109" i="15" l="1"/>
  <c r="O130" i="15" s="1"/>
  <c r="O130" i="1"/>
  <c r="W109" i="1"/>
  <c r="W130" i="1" l="1"/>
  <c r="W104" i="1" s="1"/>
  <c r="W109" i="15"/>
  <c r="W130" i="15" s="1"/>
  <c r="W104" i="15" s="1"/>
  <c r="BO54" i="2" l="1"/>
  <c r="BK54" i="2" l="1"/>
  <c r="BF54" i="2"/>
  <c r="BJ54" i="2"/>
  <c r="BH54" i="2"/>
  <c r="BG54" i="2"/>
  <c r="BL54" i="2" l="1"/>
  <c r="BI54" i="2"/>
  <c r="BM54" i="2" l="1"/>
  <c r="BN54" i="2" l="1"/>
  <c r="BO61" i="2" l="1"/>
  <c r="BF61" i="2" l="1"/>
  <c r="BH61" i="2"/>
  <c r="BG61" i="2"/>
  <c r="BK61" i="2"/>
  <c r="BJ61" i="2"/>
  <c r="BL61" i="2" l="1"/>
  <c r="BI61" i="2"/>
  <c r="BM61" i="2" l="1"/>
  <c r="BN61" i="2" s="1"/>
  <c r="BO62" i="2" l="1"/>
  <c r="BG62" i="2" l="1"/>
  <c r="BK62" i="2"/>
  <c r="BJ62" i="2"/>
  <c r="BF62" i="2"/>
  <c r="BI62" i="2" s="1"/>
  <c r="BH62" i="2"/>
  <c r="BL62" i="2" l="1"/>
  <c r="BM62" i="2" s="1"/>
  <c r="BN62" i="2" s="1"/>
  <c r="Z126" i="11" l="1"/>
  <c r="Z126" i="1"/>
  <c r="Z120" i="1" s="1"/>
  <c r="Z120" i="11" l="1"/>
  <c r="Z120" i="15" s="1"/>
  <c r="Z126" i="15"/>
  <c r="BO64" i="2" l="1"/>
  <c r="BJ64" i="2" l="1"/>
  <c r="BH64" i="2"/>
  <c r="BF64" i="2"/>
  <c r="BG64" i="2"/>
  <c r="BK64" i="2"/>
  <c r="BI64" i="2" l="1"/>
  <c r="BL64" i="2"/>
  <c r="BO63" i="2"/>
  <c r="BM64" i="2" l="1"/>
  <c r="BN64" i="2" s="1"/>
  <c r="BK63" i="2"/>
  <c r="BH63" i="2"/>
  <c r="BJ63" i="2"/>
  <c r="BL63" i="2" s="1"/>
  <c r="BG63" i="2"/>
  <c r="BF63" i="2"/>
  <c r="BI63" i="2" l="1"/>
  <c r="BM63" i="2" s="1"/>
  <c r="BN63" i="2" s="1"/>
  <c r="BO59" i="2" l="1"/>
  <c r="BF59" i="2" l="1"/>
  <c r="BK59" i="2"/>
  <c r="BK65" i="2" s="1"/>
  <c r="BJ59" i="2"/>
  <c r="BG59" i="2"/>
  <c r="BG65" i="2" s="1"/>
  <c r="BH59" i="2"/>
  <c r="BH65" i="2" s="1"/>
  <c r="BO65" i="2"/>
  <c r="AF133" i="1" l="1"/>
  <c r="AF133" i="11"/>
  <c r="BL59" i="2"/>
  <c r="BL65" i="2" s="1"/>
  <c r="BJ65" i="2"/>
  <c r="AJ133" i="1"/>
  <c r="Z128" i="1" s="1"/>
  <c r="AJ133" i="11"/>
  <c r="AG133" i="1"/>
  <c r="AG133" i="11"/>
  <c r="AG133" i="15" s="1"/>
  <c r="BI59" i="2"/>
  <c r="BF65" i="2"/>
  <c r="Z115" i="11" l="1"/>
  <c r="Z115" i="1"/>
  <c r="Z113" i="1" s="1"/>
  <c r="AI133" i="1"/>
  <c r="AK133" i="1" s="1"/>
  <c r="AI133" i="11"/>
  <c r="AE133" i="11"/>
  <c r="AE133" i="1"/>
  <c r="AH133" i="1" s="1"/>
  <c r="AJ133" i="15"/>
  <c r="Z128" i="11"/>
  <c r="Z128" i="15" s="1"/>
  <c r="AF133" i="15"/>
  <c r="BM59" i="2"/>
  <c r="BI65" i="2"/>
  <c r="BM65" i="2" l="1"/>
  <c r="BN59" i="2"/>
  <c r="BN65" i="2" s="1"/>
  <c r="AK133" i="11"/>
  <c r="AK133" i="15" s="1"/>
  <c r="AI133" i="15"/>
  <c r="Z118" i="11"/>
  <c r="Z118" i="1"/>
  <c r="Z117" i="1"/>
  <c r="Z117" i="11"/>
  <c r="AH133" i="11"/>
  <c r="AH133" i="15" s="1"/>
  <c r="AE133" i="15"/>
  <c r="Z115" i="15"/>
  <c r="Z113" i="11"/>
  <c r="Z113" i="15" s="1"/>
  <c r="Z117" i="15" l="1"/>
  <c r="Z116" i="1"/>
  <c r="Z116" i="11"/>
  <c r="Z118" i="15"/>
  <c r="Z133" i="11"/>
  <c r="Z133" i="1"/>
  <c r="Z135" i="1" l="1"/>
  <c r="AB133" i="1"/>
  <c r="AD133" i="1"/>
  <c r="AL133" i="1" s="1"/>
  <c r="Z135" i="11"/>
  <c r="Z135" i="15" s="1"/>
  <c r="AD133" i="11"/>
  <c r="AB133" i="11"/>
  <c r="AB133" i="15" s="1"/>
  <c r="Z133" i="15"/>
  <c r="Z116" i="15"/>
  <c r="AD133" i="15" l="1"/>
  <c r="AL133" i="11"/>
  <c r="AL133" i="15" s="1"/>
  <c r="AD26" i="1" l="1"/>
  <c r="AD26" i="15" s="1"/>
  <c r="AJ26" i="1"/>
  <c r="AK26" i="1" l="1"/>
  <c r="AJ26" i="15"/>
  <c r="AL26" i="1" l="1"/>
  <c r="AL26" i="15" s="1"/>
  <c r="AK26" i="15"/>
  <c r="Z130" i="1" l="1"/>
  <c r="Z130" i="11"/>
  <c r="Z131" i="11" l="1"/>
  <c r="Z130" i="15"/>
  <c r="Z111" i="11"/>
  <c r="Z111" i="1"/>
  <c r="Z110" i="1" s="1"/>
  <c r="Z109" i="1" s="1"/>
  <c r="Z131" i="1"/>
  <c r="AA130" i="11"/>
  <c r="AA130" i="1"/>
  <c r="Z110" i="11" l="1"/>
  <c r="Z111" i="15"/>
  <c r="Z131" i="15"/>
  <c r="AA116" i="1"/>
  <c r="AA114" i="1"/>
  <c r="AA125" i="1"/>
  <c r="AB125" i="1" s="1"/>
  <c r="AC125" i="1" s="1"/>
  <c r="AD125" i="1" s="1"/>
  <c r="AA126" i="1"/>
  <c r="AA124" i="1"/>
  <c r="AA117" i="1"/>
  <c r="AA134" i="1"/>
  <c r="AA118" i="1"/>
  <c r="AA112" i="1"/>
  <c r="AB112" i="1" s="1"/>
  <c r="AC112" i="1" s="1"/>
  <c r="AD112" i="1" s="1"/>
  <c r="AA122" i="1"/>
  <c r="AA115" i="1"/>
  <c r="AB115" i="1" s="1"/>
  <c r="AC115" i="1" s="1"/>
  <c r="AD115" i="1" s="1"/>
  <c r="AD130" i="1"/>
  <c r="AA123" i="1"/>
  <c r="AA126" i="11"/>
  <c r="AA122" i="11"/>
  <c r="AA118" i="11"/>
  <c r="AA134" i="11"/>
  <c r="AA117" i="11"/>
  <c r="AA123" i="11"/>
  <c r="AA114" i="11"/>
  <c r="AA112" i="11"/>
  <c r="AD130" i="11"/>
  <c r="AA116" i="11"/>
  <c r="AA124" i="11"/>
  <c r="AA125" i="11"/>
  <c r="AA115" i="11"/>
  <c r="AA130" i="15"/>
  <c r="Z110" i="15" l="1"/>
  <c r="Z109" i="11"/>
  <c r="Z109" i="15" s="1"/>
  <c r="AA117" i="15"/>
  <c r="AB117" i="11"/>
  <c r="AB125" i="11"/>
  <c r="AA125" i="15"/>
  <c r="AI115" i="1"/>
  <c r="AF115" i="1"/>
  <c r="G115" i="1" s="1"/>
  <c r="AE115" i="1"/>
  <c r="AG115" i="1"/>
  <c r="H115" i="1" s="1"/>
  <c r="AJ115" i="1"/>
  <c r="K115" i="1" s="1"/>
  <c r="AA135" i="1"/>
  <c r="AB134" i="1"/>
  <c r="AB135" i="1" s="1"/>
  <c r="AD134" i="1"/>
  <c r="AF125" i="1"/>
  <c r="G125" i="1" s="1"/>
  <c r="AJ125" i="1"/>
  <c r="K125" i="1" s="1"/>
  <c r="AG125" i="1"/>
  <c r="H125" i="1" s="1"/>
  <c r="AI125" i="1"/>
  <c r="AE125" i="1"/>
  <c r="AA115" i="15"/>
  <c r="AB115" i="11"/>
  <c r="AD130" i="15"/>
  <c r="S19" i="8"/>
  <c r="T19" i="8" s="1"/>
  <c r="U19" i="8" s="1"/>
  <c r="W19" i="8" s="1"/>
  <c r="AB118" i="1"/>
  <c r="AC118" i="1" s="1"/>
  <c r="AD118" i="1" s="1"/>
  <c r="AB134" i="11"/>
  <c r="AA134" i="15"/>
  <c r="AD134" i="11"/>
  <c r="AA135" i="11"/>
  <c r="AA135" i="15" s="1"/>
  <c r="AA124" i="15"/>
  <c r="AD124" i="11"/>
  <c r="AB124" i="11"/>
  <c r="AB114" i="11"/>
  <c r="AA113" i="11"/>
  <c r="AA114" i="15"/>
  <c r="AB118" i="11"/>
  <c r="AA118" i="15"/>
  <c r="AB122" i="1"/>
  <c r="AC122" i="1" s="1"/>
  <c r="AA121" i="1"/>
  <c r="AB117" i="1"/>
  <c r="AC117" i="1" s="1"/>
  <c r="AD117" i="1" s="1"/>
  <c r="S17" i="8"/>
  <c r="T17" i="8" s="1"/>
  <c r="U17" i="8" s="1"/>
  <c r="W17" i="8" s="1"/>
  <c r="AB114" i="1"/>
  <c r="AA113" i="1"/>
  <c r="AA126" i="15"/>
  <c r="AB126" i="11"/>
  <c r="S33" i="8"/>
  <c r="T33" i="8" s="1"/>
  <c r="U33" i="8" s="1"/>
  <c r="W33" i="8" s="1"/>
  <c r="AB126" i="1"/>
  <c r="AC126" i="1" s="1"/>
  <c r="AD126" i="1" s="1"/>
  <c r="AB112" i="11"/>
  <c r="AA112" i="15"/>
  <c r="AB116" i="11"/>
  <c r="AA116" i="15"/>
  <c r="AA123" i="15"/>
  <c r="AD123" i="11"/>
  <c r="AB123" i="11"/>
  <c r="AA121" i="11"/>
  <c r="AB122" i="11"/>
  <c r="AA122" i="15"/>
  <c r="AB123" i="1"/>
  <c r="AD123" i="1"/>
  <c r="AG112" i="1"/>
  <c r="H112" i="1" s="1"/>
  <c r="AI112" i="1"/>
  <c r="AF112" i="1"/>
  <c r="G112" i="1" s="1"/>
  <c r="AJ112" i="1"/>
  <c r="AE112" i="1"/>
  <c r="AB124" i="1"/>
  <c r="AD124" i="1"/>
  <c r="AB116" i="1"/>
  <c r="AC116" i="1" s="1"/>
  <c r="AD116" i="1" s="1"/>
  <c r="S15" i="8"/>
  <c r="AA113" i="15" l="1"/>
  <c r="AJ123" i="1"/>
  <c r="K123" i="1" s="1"/>
  <c r="AF123" i="1"/>
  <c r="G123" i="1" s="1"/>
  <c r="AI123" i="1"/>
  <c r="AG123" i="1"/>
  <c r="H123" i="1" s="1"/>
  <c r="AE123" i="1"/>
  <c r="AB112" i="15"/>
  <c r="AC112" i="11"/>
  <c r="AC126" i="11"/>
  <c r="AB126" i="15"/>
  <c r="AB134" i="15"/>
  <c r="AB135" i="11"/>
  <c r="AB135" i="15" s="1"/>
  <c r="AC125" i="11"/>
  <c r="AB125" i="15"/>
  <c r="AB123" i="15"/>
  <c r="AI126" i="1"/>
  <c r="AG126" i="1"/>
  <c r="H126" i="1" s="1"/>
  <c r="AF126" i="1"/>
  <c r="G126" i="1" s="1"/>
  <c r="AJ126" i="1"/>
  <c r="K126" i="1" s="1"/>
  <c r="AE126" i="1"/>
  <c r="AI117" i="1"/>
  <c r="AJ117" i="1"/>
  <c r="K117" i="1" s="1"/>
  <c r="AE117" i="1"/>
  <c r="AG117" i="1"/>
  <c r="H117" i="1" s="1"/>
  <c r="AF117" i="1"/>
  <c r="G117" i="1" s="1"/>
  <c r="AC114" i="11"/>
  <c r="AB113" i="11"/>
  <c r="AB114" i="15"/>
  <c r="AF118" i="1"/>
  <c r="G118" i="1" s="1"/>
  <c r="AI118" i="1"/>
  <c r="AG118" i="1"/>
  <c r="H118" i="1" s="1"/>
  <c r="AE118" i="1"/>
  <c r="AJ118" i="1"/>
  <c r="K118" i="1" s="1"/>
  <c r="AE124" i="1"/>
  <c r="AI124" i="1"/>
  <c r="AF124" i="1"/>
  <c r="G124" i="1" s="1"/>
  <c r="AG124" i="1"/>
  <c r="H124" i="1" s="1"/>
  <c r="AJ124" i="1"/>
  <c r="K124" i="1" s="1"/>
  <c r="J112" i="1"/>
  <c r="AK112" i="1"/>
  <c r="S12" i="8"/>
  <c r="AB121" i="1"/>
  <c r="AA120" i="1"/>
  <c r="AB120" i="1" s="1"/>
  <c r="AC118" i="11"/>
  <c r="AB118" i="15"/>
  <c r="AB124" i="15"/>
  <c r="AJ134" i="11"/>
  <c r="AG134" i="11"/>
  <c r="AF134" i="11"/>
  <c r="AD135" i="11"/>
  <c r="AI134" i="11"/>
  <c r="AE134" i="11"/>
  <c r="AD134" i="15"/>
  <c r="AH125" i="1"/>
  <c r="F125" i="1"/>
  <c r="I125" i="1" s="1"/>
  <c r="J115" i="1"/>
  <c r="L115" i="1" s="1"/>
  <c r="AK115" i="1"/>
  <c r="AC117" i="11"/>
  <c r="AB117" i="15"/>
  <c r="AA121" i="15"/>
  <c r="AA120" i="11"/>
  <c r="AB121" i="11"/>
  <c r="AH115" i="1"/>
  <c r="F115" i="1"/>
  <c r="I115" i="1" s="1"/>
  <c r="E115" i="1" s="1"/>
  <c r="M115" i="1" s="1"/>
  <c r="T15" i="8"/>
  <c r="U15" i="8" s="1"/>
  <c r="U7" i="8" s="1"/>
  <c r="AJ123" i="11"/>
  <c r="AD123" i="15"/>
  <c r="AE123" i="11"/>
  <c r="AI123" i="11"/>
  <c r="AF123" i="11"/>
  <c r="AG123" i="11"/>
  <c r="AB116" i="15"/>
  <c r="AC116" i="11"/>
  <c r="AJ116" i="1"/>
  <c r="K116" i="1" s="1"/>
  <c r="AE116" i="1"/>
  <c r="AI116" i="1"/>
  <c r="AG116" i="1"/>
  <c r="H116" i="1" s="1"/>
  <c r="AF116" i="1"/>
  <c r="G116" i="1" s="1"/>
  <c r="F112" i="1"/>
  <c r="I112" i="1" s="1"/>
  <c r="AH112" i="1"/>
  <c r="AC122" i="11"/>
  <c r="AB122" i="15"/>
  <c r="AC114" i="1"/>
  <c r="AB113" i="1"/>
  <c r="AD122" i="1"/>
  <c r="AC121" i="1"/>
  <c r="AC120" i="1" s="1"/>
  <c r="AF124" i="11"/>
  <c r="AE124" i="11"/>
  <c r="AI124" i="11"/>
  <c r="AG124" i="11"/>
  <c r="AD124" i="15"/>
  <c r="AJ124" i="11"/>
  <c r="AB115" i="15"/>
  <c r="AC115" i="11"/>
  <c r="J125" i="1"/>
  <c r="L125" i="1" s="1"/>
  <c r="AK125" i="1"/>
  <c r="AE134" i="1"/>
  <c r="AI134" i="1"/>
  <c r="AF134" i="1"/>
  <c r="AF135" i="1" s="1"/>
  <c r="AJ134" i="1"/>
  <c r="AG134" i="1"/>
  <c r="AG135" i="1" s="1"/>
  <c r="AD135" i="1"/>
  <c r="AB113" i="15" l="1"/>
  <c r="W15" i="8"/>
  <c r="AL112" i="1"/>
  <c r="AH134" i="1"/>
  <c r="AE135" i="1"/>
  <c r="AH135" i="1" s="1"/>
  <c r="AG123" i="15"/>
  <c r="H123" i="11"/>
  <c r="H123" i="15" s="1"/>
  <c r="AD135" i="15"/>
  <c r="J124" i="1"/>
  <c r="L124" i="1" s="1"/>
  <c r="AK124" i="1"/>
  <c r="AH126" i="1"/>
  <c r="F126" i="1"/>
  <c r="I126" i="1" s="1"/>
  <c r="AD125" i="11"/>
  <c r="AC125" i="15"/>
  <c r="AC126" i="15"/>
  <c r="AD126" i="11"/>
  <c r="AJ135" i="1"/>
  <c r="AA128" i="1"/>
  <c r="AI124" i="15"/>
  <c r="J124" i="11"/>
  <c r="AK124" i="11"/>
  <c r="AE122" i="1"/>
  <c r="AJ122" i="1"/>
  <c r="AG122" i="1"/>
  <c r="AI122" i="1"/>
  <c r="AF122" i="1"/>
  <c r="AD121" i="1"/>
  <c r="AC122" i="15"/>
  <c r="AD122" i="11"/>
  <c r="AC121" i="11"/>
  <c r="AC116" i="15"/>
  <c r="AD116" i="11"/>
  <c r="G123" i="11"/>
  <c r="G123" i="15" s="1"/>
  <c r="AF123" i="15"/>
  <c r="K123" i="11"/>
  <c r="K123" i="15" s="1"/>
  <c r="AJ123" i="15"/>
  <c r="AL115" i="1"/>
  <c r="AF134" i="15"/>
  <c r="AF135" i="11"/>
  <c r="AF135" i="15" s="1"/>
  <c r="F124" i="1"/>
  <c r="I124" i="1" s="1"/>
  <c r="E124" i="1" s="1"/>
  <c r="AH124" i="1"/>
  <c r="AK118" i="1"/>
  <c r="J118" i="1"/>
  <c r="L118" i="1" s="1"/>
  <c r="AD114" i="11"/>
  <c r="AC114" i="15"/>
  <c r="AC113" i="11"/>
  <c r="F117" i="1"/>
  <c r="I117" i="1" s="1"/>
  <c r="AH117" i="1"/>
  <c r="AC112" i="15"/>
  <c r="AD112" i="11"/>
  <c r="AK123" i="1"/>
  <c r="J123" i="1"/>
  <c r="L123" i="1" s="1"/>
  <c r="H124" i="11"/>
  <c r="H124" i="15" s="1"/>
  <c r="AG124" i="15"/>
  <c r="K124" i="11"/>
  <c r="AJ124" i="15"/>
  <c r="AK116" i="1"/>
  <c r="J116" i="1"/>
  <c r="L116" i="1" s="1"/>
  <c r="J123" i="11"/>
  <c r="AI123" i="15"/>
  <c r="AK123" i="11"/>
  <c r="AB121" i="15"/>
  <c r="E125" i="1"/>
  <c r="AH134" i="11"/>
  <c r="AE134" i="15"/>
  <c r="AE135" i="11"/>
  <c r="AG134" i="15"/>
  <c r="AG135" i="11"/>
  <c r="AG135" i="15" s="1"/>
  <c r="AC118" i="15"/>
  <c r="AD118" i="11"/>
  <c r="T12" i="8"/>
  <c r="V12" i="8" s="1"/>
  <c r="U12" i="8" s="1"/>
  <c r="W12" i="8" s="1"/>
  <c r="AK126" i="1"/>
  <c r="J126" i="1"/>
  <c r="L126" i="1" s="1"/>
  <c r="AE124" i="15"/>
  <c r="AH124" i="11"/>
  <c r="F124" i="11"/>
  <c r="AK134" i="1"/>
  <c r="AI135" i="1"/>
  <c r="AK135" i="1" s="1"/>
  <c r="AL135" i="1" s="1"/>
  <c r="AD115" i="11"/>
  <c r="AC115" i="15"/>
  <c r="G124" i="11"/>
  <c r="G124" i="15" s="1"/>
  <c r="AF124" i="15"/>
  <c r="AC113" i="1"/>
  <c r="AC111" i="1" s="1"/>
  <c r="AC110" i="1" s="1"/>
  <c r="AC109" i="1" s="1"/>
  <c r="AC130" i="1" s="1"/>
  <c r="AC131" i="1" s="1"/>
  <c r="AD114" i="1"/>
  <c r="F116" i="1"/>
  <c r="I116" i="1" s="1"/>
  <c r="AH116" i="1"/>
  <c r="AL116" i="1" s="1"/>
  <c r="AH123" i="11"/>
  <c r="AE123" i="15"/>
  <c r="F123" i="11"/>
  <c r="AA120" i="15"/>
  <c r="AB120" i="11"/>
  <c r="AB120" i="15" s="1"/>
  <c r="AC117" i="15"/>
  <c r="AD117" i="11"/>
  <c r="AL125" i="1"/>
  <c r="AI134" i="15"/>
  <c r="AI135" i="11"/>
  <c r="AK134" i="11"/>
  <c r="AK134" i="15" s="1"/>
  <c r="AA128" i="11"/>
  <c r="AJ134" i="15"/>
  <c r="AJ135" i="11"/>
  <c r="AJ135" i="15" s="1"/>
  <c r="F118" i="1"/>
  <c r="I118" i="1" s="1"/>
  <c r="E118" i="1" s="1"/>
  <c r="AH118" i="1"/>
  <c r="J117" i="1"/>
  <c r="L117" i="1" s="1"/>
  <c r="AK117" i="1"/>
  <c r="F123" i="1"/>
  <c r="I123" i="1" s="1"/>
  <c r="AH123" i="1"/>
  <c r="AL123" i="1" s="1"/>
  <c r="E116" i="1" l="1"/>
  <c r="U6" i="8"/>
  <c r="U4" i="8" s="1"/>
  <c r="E123" i="1"/>
  <c r="M118" i="1"/>
  <c r="AI117" i="11"/>
  <c r="AF117" i="11"/>
  <c r="AG117" i="11"/>
  <c r="AJ117" i="11"/>
  <c r="AE117" i="11"/>
  <c r="AD117" i="15"/>
  <c r="AD115" i="15"/>
  <c r="AF115" i="11"/>
  <c r="AI115" i="11"/>
  <c r="AE115" i="11"/>
  <c r="AJ115" i="11"/>
  <c r="AG115" i="11"/>
  <c r="AG112" i="11"/>
  <c r="AI112" i="11"/>
  <c r="AD112" i="15"/>
  <c r="AF112" i="11"/>
  <c r="AJ112" i="11"/>
  <c r="AE112" i="11"/>
  <c r="F122" i="1"/>
  <c r="AE121" i="1"/>
  <c r="AH122" i="1"/>
  <c r="AI135" i="15"/>
  <c r="AK135" i="11"/>
  <c r="AK135" i="15" s="1"/>
  <c r="I123" i="11"/>
  <c r="F123" i="15"/>
  <c r="M116" i="1"/>
  <c r="M125" i="1"/>
  <c r="L123" i="11"/>
  <c r="L123" i="15" s="1"/>
  <c r="J123" i="15"/>
  <c r="K124" i="15"/>
  <c r="K133" i="15" s="1"/>
  <c r="K133" i="11"/>
  <c r="AL124" i="1"/>
  <c r="AE122" i="11"/>
  <c r="AD121" i="11"/>
  <c r="AJ122" i="11"/>
  <c r="AD122" i="15"/>
  <c r="AI122" i="11"/>
  <c r="AG122" i="11"/>
  <c r="AF122" i="11"/>
  <c r="AI121" i="1"/>
  <c r="AK122" i="1"/>
  <c r="J122" i="1"/>
  <c r="AK124" i="15"/>
  <c r="AE125" i="11"/>
  <c r="AG125" i="11"/>
  <c r="AF125" i="11"/>
  <c r="AJ125" i="11"/>
  <c r="AD125" i="15"/>
  <c r="AI125" i="11"/>
  <c r="AC121" i="15"/>
  <c r="AC120" i="11"/>
  <c r="AC120" i="15" s="1"/>
  <c r="AG118" i="11"/>
  <c r="AF118" i="11"/>
  <c r="AE118" i="11"/>
  <c r="AD118" i="15"/>
  <c r="AJ118" i="11"/>
  <c r="AI118" i="11"/>
  <c r="AH135" i="11"/>
  <c r="AE135" i="15"/>
  <c r="AL117" i="1"/>
  <c r="AE114" i="11"/>
  <c r="AG114" i="11"/>
  <c r="AI114" i="11"/>
  <c r="AD113" i="11"/>
  <c r="AF114" i="11"/>
  <c r="AJ114" i="11"/>
  <c r="AD114" i="15"/>
  <c r="M124" i="1"/>
  <c r="AG116" i="11"/>
  <c r="AD116" i="15"/>
  <c r="AI116" i="11"/>
  <c r="AE116" i="11"/>
  <c r="AF116" i="11"/>
  <c r="AJ116" i="11"/>
  <c r="AG121" i="1"/>
  <c r="AG120" i="1" s="1"/>
  <c r="H122" i="1"/>
  <c r="H121" i="1" s="1"/>
  <c r="H120" i="1" s="1"/>
  <c r="J124" i="15"/>
  <c r="L124" i="11"/>
  <c r="L124" i="15" s="1"/>
  <c r="AE126" i="11"/>
  <c r="AF126" i="11"/>
  <c r="AD126" i="15"/>
  <c r="AI126" i="11"/>
  <c r="AJ126" i="11"/>
  <c r="AG126" i="11"/>
  <c r="E126" i="1"/>
  <c r="AH124" i="15"/>
  <c r="AL124" i="11"/>
  <c r="AL124" i="15" s="1"/>
  <c r="AH134" i="15"/>
  <c r="AL134" i="11"/>
  <c r="AC113" i="15"/>
  <c r="G122" i="1"/>
  <c r="G121" i="1" s="1"/>
  <c r="G120" i="1" s="1"/>
  <c r="AF121" i="1"/>
  <c r="AF120" i="1" s="1"/>
  <c r="S34" i="8"/>
  <c r="AD128" i="1"/>
  <c r="AB128" i="1"/>
  <c r="AA131" i="1"/>
  <c r="AA111" i="1"/>
  <c r="AL118" i="1"/>
  <c r="AA111" i="11"/>
  <c r="AD128" i="11"/>
  <c r="AB128" i="11"/>
  <c r="AA128" i="15"/>
  <c r="AA131" i="11"/>
  <c r="AH123" i="15"/>
  <c r="AL123" i="11"/>
  <c r="AL123" i="15" s="1"/>
  <c r="AD113" i="1"/>
  <c r="AF114" i="1"/>
  <c r="AG114" i="1"/>
  <c r="AI114" i="1"/>
  <c r="AJ114" i="1"/>
  <c r="AE114" i="1"/>
  <c r="I124" i="11"/>
  <c r="F124" i="15"/>
  <c r="AK123" i="15"/>
  <c r="AC111" i="11"/>
  <c r="E117" i="1"/>
  <c r="AD120" i="1"/>
  <c r="AJ121" i="1"/>
  <c r="AJ120" i="1" s="1"/>
  <c r="AL126" i="1"/>
  <c r="AL134" i="1"/>
  <c r="M123" i="1" l="1"/>
  <c r="AA131" i="15"/>
  <c r="AL134" i="15"/>
  <c r="AC111" i="15"/>
  <c r="AC110" i="11"/>
  <c r="AF113" i="1"/>
  <c r="AF39" i="1" s="1"/>
  <c r="G114" i="1"/>
  <c r="G113" i="1" s="1"/>
  <c r="AG126" i="15"/>
  <c r="H126" i="11"/>
  <c r="H126" i="15" s="1"/>
  <c r="AF116" i="15"/>
  <c r="G116" i="11"/>
  <c r="G116" i="15" s="1"/>
  <c r="G112" i="11"/>
  <c r="G112" i="15" s="1"/>
  <c r="AF112" i="15"/>
  <c r="J115" i="11"/>
  <c r="AI115" i="15"/>
  <c r="AK115" i="11"/>
  <c r="AK115" i="15" s="1"/>
  <c r="G117" i="11"/>
  <c r="G117" i="15" s="1"/>
  <c r="AF117" i="15"/>
  <c r="AJ113" i="1"/>
  <c r="AJ39" i="1" s="1"/>
  <c r="K114" i="1"/>
  <c r="K113" i="1" s="1"/>
  <c r="K133" i="1" s="1"/>
  <c r="AD39" i="1"/>
  <c r="AD111" i="1"/>
  <c r="AJ128" i="1"/>
  <c r="AK128" i="1" s="1"/>
  <c r="AL128" i="1" s="1"/>
  <c r="AD131" i="1"/>
  <c r="K126" i="11"/>
  <c r="K126" i="15" s="1"/>
  <c r="AJ126" i="15"/>
  <c r="F126" i="11"/>
  <c r="AH126" i="11"/>
  <c r="AE126" i="15"/>
  <c r="AH116" i="11"/>
  <c r="F116" i="11"/>
  <c r="AE116" i="15"/>
  <c r="AJ114" i="15"/>
  <c r="AJ113" i="11"/>
  <c r="K114" i="11"/>
  <c r="AG113" i="11"/>
  <c r="H114" i="11"/>
  <c r="AG114" i="15"/>
  <c r="AH135" i="15"/>
  <c r="AL135" i="11"/>
  <c r="AL135" i="15" s="1"/>
  <c r="G125" i="11"/>
  <c r="G125" i="15" s="1"/>
  <c r="AF125" i="15"/>
  <c r="J121" i="1"/>
  <c r="G122" i="11"/>
  <c r="AF121" i="11"/>
  <c r="AF122" i="15"/>
  <c r="AJ122" i="15"/>
  <c r="AJ121" i="11"/>
  <c r="R31" i="8"/>
  <c r="AL122" i="1"/>
  <c r="AG115" i="15"/>
  <c r="H115" i="11"/>
  <c r="H115" i="15" s="1"/>
  <c r="G115" i="11"/>
  <c r="G115" i="15" s="1"/>
  <c r="AF115" i="15"/>
  <c r="AH117" i="11"/>
  <c r="AE117" i="15"/>
  <c r="F117" i="11"/>
  <c r="AK117" i="11"/>
  <c r="AK117" i="15" s="1"/>
  <c r="J117" i="11"/>
  <c r="AI117" i="15"/>
  <c r="AA111" i="15"/>
  <c r="AA110" i="11"/>
  <c r="AB111" i="11"/>
  <c r="AF126" i="15"/>
  <c r="G126" i="11"/>
  <c r="G126" i="15" s="1"/>
  <c r="AG116" i="15"/>
  <c r="H116" i="11"/>
  <c r="H116" i="15" s="1"/>
  <c r="AG118" i="15"/>
  <c r="H118" i="11"/>
  <c r="H118" i="15" s="1"/>
  <c r="AI113" i="1"/>
  <c r="AK114" i="1"/>
  <c r="J114" i="1"/>
  <c r="AB128" i="15"/>
  <c r="M126" i="1"/>
  <c r="J126" i="11"/>
  <c r="AI126" i="15"/>
  <c r="AK126" i="11"/>
  <c r="AK126" i="15" s="1"/>
  <c r="J116" i="11"/>
  <c r="AK116" i="11"/>
  <c r="AK116" i="15" s="1"/>
  <c r="AI116" i="15"/>
  <c r="G114" i="11"/>
  <c r="AF113" i="11"/>
  <c r="AF114" i="15"/>
  <c r="AH114" i="11"/>
  <c r="F114" i="11"/>
  <c r="AE114" i="15"/>
  <c r="AE113" i="11"/>
  <c r="AE118" i="15"/>
  <c r="AH118" i="11"/>
  <c r="F118" i="11"/>
  <c r="AI125" i="15"/>
  <c r="AK125" i="11"/>
  <c r="AK125" i="15" s="1"/>
  <c r="J125" i="11"/>
  <c r="H125" i="11"/>
  <c r="H125" i="15" s="1"/>
  <c r="AG125" i="15"/>
  <c r="AG122" i="15"/>
  <c r="H122" i="11"/>
  <c r="AG121" i="11"/>
  <c r="AD121" i="15"/>
  <c r="AD120" i="11"/>
  <c r="I123" i="15"/>
  <c r="E123" i="11"/>
  <c r="AH121" i="1"/>
  <c r="AE120" i="1"/>
  <c r="AH120" i="1" s="1"/>
  <c r="AE112" i="15"/>
  <c r="AH112" i="11"/>
  <c r="F112" i="11"/>
  <c r="AI112" i="15"/>
  <c r="J112" i="11"/>
  <c r="AK112" i="11"/>
  <c r="AK112" i="15" s="1"/>
  <c r="AJ115" i="15"/>
  <c r="K115" i="11"/>
  <c r="K115" i="15" s="1"/>
  <c r="AJ117" i="15"/>
  <c r="K117" i="11"/>
  <c r="K117" i="15" s="1"/>
  <c r="F114" i="1"/>
  <c r="AE113" i="1"/>
  <c r="AH114" i="1"/>
  <c r="AL114" i="1" s="1"/>
  <c r="J114" i="11"/>
  <c r="AI113" i="11"/>
  <c r="AK114" i="11"/>
  <c r="AK114" i="15" s="1"/>
  <c r="AI114" i="15"/>
  <c r="K118" i="11"/>
  <c r="K118" i="15" s="1"/>
  <c r="AJ118" i="15"/>
  <c r="K125" i="11"/>
  <c r="K125" i="15" s="1"/>
  <c r="AJ125" i="15"/>
  <c r="AA110" i="1"/>
  <c r="AB111" i="1"/>
  <c r="AB111" i="15" s="1"/>
  <c r="T34" i="8"/>
  <c r="V34" i="8" s="1"/>
  <c r="U34" i="8" s="1"/>
  <c r="W34" i="8" s="1"/>
  <c r="S7" i="8"/>
  <c r="M117" i="1"/>
  <c r="I124" i="15"/>
  <c r="E124" i="11"/>
  <c r="AG113" i="1"/>
  <c r="AG39" i="1" s="1"/>
  <c r="H114" i="1"/>
  <c r="H113" i="1" s="1"/>
  <c r="AJ128" i="11"/>
  <c r="AD128" i="15"/>
  <c r="AD131" i="11"/>
  <c r="AJ116" i="15"/>
  <c r="K116" i="11"/>
  <c r="K116" i="15" s="1"/>
  <c r="AD39" i="11"/>
  <c r="AD113" i="15"/>
  <c r="AI118" i="15"/>
  <c r="AK118" i="11"/>
  <c r="AK118" i="15" s="1"/>
  <c r="J118" i="11"/>
  <c r="AF118" i="15"/>
  <c r="G118" i="11"/>
  <c r="G118" i="15" s="1"/>
  <c r="AE125" i="15"/>
  <c r="F125" i="11"/>
  <c r="AH125" i="11"/>
  <c r="AK121" i="1"/>
  <c r="AI120" i="1"/>
  <c r="AK120" i="1" s="1"/>
  <c r="J122" i="11"/>
  <c r="AK122" i="11"/>
  <c r="AK122" i="15" s="1"/>
  <c r="AI122" i="15"/>
  <c r="AI121" i="11"/>
  <c r="F122" i="11"/>
  <c r="AE121" i="11"/>
  <c r="AE122" i="15"/>
  <c r="AH122" i="11"/>
  <c r="I122" i="1"/>
  <c r="F121" i="1"/>
  <c r="AJ112" i="15"/>
  <c r="K112" i="11"/>
  <c r="AG112" i="15"/>
  <c r="H112" i="11"/>
  <c r="H112" i="15" s="1"/>
  <c r="F115" i="11"/>
  <c r="AH115" i="11"/>
  <c r="AE115" i="15"/>
  <c r="H117" i="11"/>
  <c r="H117" i="15" s="1"/>
  <c r="AG117" i="15"/>
  <c r="AL120" i="1" l="1"/>
  <c r="AL121" i="1"/>
  <c r="I115" i="11"/>
  <c r="F115" i="15"/>
  <c r="I122" i="11"/>
  <c r="F122" i="15"/>
  <c r="F121" i="11"/>
  <c r="I112" i="11"/>
  <c r="F112" i="15"/>
  <c r="AD120" i="15"/>
  <c r="AD111" i="11"/>
  <c r="AA109" i="11"/>
  <c r="AB110" i="11"/>
  <c r="AA110" i="15"/>
  <c r="G121" i="11"/>
  <c r="G122" i="15"/>
  <c r="I126" i="11"/>
  <c r="F126" i="15"/>
  <c r="J37" i="7"/>
  <c r="J35" i="7" s="1"/>
  <c r="AJ48" i="1"/>
  <c r="F120" i="1"/>
  <c r="I120" i="1" s="1"/>
  <c r="I121" i="1"/>
  <c r="AH122" i="15"/>
  <c r="AL122" i="11"/>
  <c r="AL122" i="15" s="1"/>
  <c r="AK121" i="11"/>
  <c r="AK121" i="15" s="1"/>
  <c r="AI120" i="11"/>
  <c r="AI121" i="15"/>
  <c r="AJ128" i="15"/>
  <c r="AK128" i="11"/>
  <c r="AH113" i="1"/>
  <c r="AE39" i="1"/>
  <c r="AH112" i="15"/>
  <c r="AL112" i="11"/>
  <c r="AL112" i="15" s="1"/>
  <c r="E123" i="15"/>
  <c r="M123" i="11"/>
  <c r="M123" i="15" s="1"/>
  <c r="AH113" i="11"/>
  <c r="AE113" i="15"/>
  <c r="AE39" i="11"/>
  <c r="L126" i="11"/>
  <c r="L126" i="15" s="1"/>
  <c r="J126" i="15"/>
  <c r="L114" i="1"/>
  <c r="J113" i="1"/>
  <c r="L113" i="1" s="1"/>
  <c r="F117" i="15"/>
  <c r="I117" i="11"/>
  <c r="AG39" i="11"/>
  <c r="AG113" i="15"/>
  <c r="AH116" i="15"/>
  <c r="AL116" i="11"/>
  <c r="AL116" i="15" s="1"/>
  <c r="AI111" i="1"/>
  <c r="AF111" i="1"/>
  <c r="AG111" i="1"/>
  <c r="AD110" i="1"/>
  <c r="AJ111" i="1"/>
  <c r="AE111" i="1"/>
  <c r="L115" i="11"/>
  <c r="L115" i="15" s="1"/>
  <c r="J115" i="15"/>
  <c r="AF48" i="1"/>
  <c r="F37" i="7"/>
  <c r="F35" i="7" s="1"/>
  <c r="F42" i="7" s="1"/>
  <c r="F125" i="15"/>
  <c r="I125" i="11"/>
  <c r="M124" i="11"/>
  <c r="M124" i="15" s="1"/>
  <c r="E124" i="15"/>
  <c r="AJ121" i="15"/>
  <c r="AJ120" i="11"/>
  <c r="AJ120" i="15" s="1"/>
  <c r="H114" i="15"/>
  <c r="H113" i="11"/>
  <c r="H113" i="15" s="1"/>
  <c r="F116" i="15"/>
  <c r="I116" i="11"/>
  <c r="J118" i="15"/>
  <c r="L118" i="11"/>
  <c r="L118" i="15" s="1"/>
  <c r="AD131" i="15"/>
  <c r="AK113" i="11"/>
  <c r="AI39" i="11"/>
  <c r="AI113" i="15"/>
  <c r="I114" i="1"/>
  <c r="F113" i="1"/>
  <c r="I113" i="1" s="1"/>
  <c r="L112" i="11"/>
  <c r="J112" i="15"/>
  <c r="AG120" i="11"/>
  <c r="AG120" i="15" s="1"/>
  <c r="AG121" i="15"/>
  <c r="F118" i="15"/>
  <c r="I118" i="11"/>
  <c r="AF113" i="15"/>
  <c r="AF39" i="11"/>
  <c r="L116" i="11"/>
  <c r="L116" i="15" s="1"/>
  <c r="J116" i="15"/>
  <c r="R31" i="10"/>
  <c r="R44" i="10" s="1"/>
  <c r="T31" i="8"/>
  <c r="V31" i="8" s="1"/>
  <c r="R31" i="9"/>
  <c r="R44" i="9" s="1"/>
  <c r="R44" i="8"/>
  <c r="J120" i="1"/>
  <c r="K114" i="15"/>
  <c r="K113" i="11"/>
  <c r="K113" i="15" s="1"/>
  <c r="AD48" i="1"/>
  <c r="D37" i="7"/>
  <c r="AD25" i="1"/>
  <c r="AC110" i="15"/>
  <c r="AC109" i="11"/>
  <c r="J122" i="15"/>
  <c r="J121" i="11"/>
  <c r="W7" i="8"/>
  <c r="W6" i="8" s="1"/>
  <c r="W4" i="8" s="1"/>
  <c r="S6" i="8"/>
  <c r="S4" i="8" s="1"/>
  <c r="S2" i="8" s="1"/>
  <c r="T7" i="8"/>
  <c r="AH114" i="15"/>
  <c r="AL114" i="11"/>
  <c r="AL114" i="15" s="1"/>
  <c r="AH115" i="15"/>
  <c r="AL115" i="11"/>
  <c r="AL115" i="15" s="1"/>
  <c r="AH121" i="11"/>
  <c r="AE121" i="15"/>
  <c r="AE120" i="11"/>
  <c r="AH125" i="15"/>
  <c r="AL125" i="11"/>
  <c r="AL125" i="15" s="1"/>
  <c r="D37" i="14"/>
  <c r="AD48" i="11"/>
  <c r="AD39" i="15"/>
  <c r="AD25" i="11"/>
  <c r="G37" i="7"/>
  <c r="G35" i="7" s="1"/>
  <c r="G42" i="7" s="1"/>
  <c r="AG48" i="1"/>
  <c r="AA109" i="1"/>
  <c r="AB109" i="1" s="1"/>
  <c r="AB130" i="1" s="1"/>
  <c r="AB131" i="1" s="1"/>
  <c r="AB110" i="1"/>
  <c r="L114" i="11"/>
  <c r="J114" i="15"/>
  <c r="J113" i="11"/>
  <c r="H121" i="11"/>
  <c r="H122" i="15"/>
  <c r="L125" i="11"/>
  <c r="L125" i="15" s="1"/>
  <c r="J125" i="15"/>
  <c r="AH118" i="15"/>
  <c r="AL118" i="11"/>
  <c r="AL118" i="15" s="1"/>
  <c r="F114" i="15"/>
  <c r="I114" i="11"/>
  <c r="F113" i="11"/>
  <c r="G113" i="11"/>
  <c r="G113" i="15" s="1"/>
  <c r="G114" i="15"/>
  <c r="AI39" i="1"/>
  <c r="AK113" i="1"/>
  <c r="L117" i="11"/>
  <c r="L117" i="15" s="1"/>
  <c r="J117" i="15"/>
  <c r="AH117" i="15"/>
  <c r="AL117" i="11"/>
  <c r="AL117" i="15" s="1"/>
  <c r="AF121" i="15"/>
  <c r="AF120" i="11"/>
  <c r="AF120" i="15" s="1"/>
  <c r="AJ113" i="15"/>
  <c r="AJ39" i="11"/>
  <c r="AH126" i="15"/>
  <c r="AL126" i="11"/>
  <c r="AL126" i="15" s="1"/>
  <c r="AD99" i="15" l="1"/>
  <c r="AD48" i="15"/>
  <c r="AA109" i="15"/>
  <c r="AB109" i="11"/>
  <c r="I122" i="15"/>
  <c r="AK39" i="1"/>
  <c r="AK48" i="1" s="1"/>
  <c r="I37" i="7"/>
  <c r="AI48" i="1"/>
  <c r="I114" i="15"/>
  <c r="E114" i="11"/>
  <c r="L113" i="11"/>
  <c r="L113" i="15" s="1"/>
  <c r="J113" i="15"/>
  <c r="AC130" i="11"/>
  <c r="AC109" i="15"/>
  <c r="E118" i="11"/>
  <c r="I118" i="15"/>
  <c r="AJ110" i="1"/>
  <c r="AJ109" i="1" s="1"/>
  <c r="AJ130" i="1" s="1"/>
  <c r="K112" i="1"/>
  <c r="K132" i="1" s="1"/>
  <c r="K122" i="1"/>
  <c r="AG48" i="11"/>
  <c r="AG39" i="15"/>
  <c r="G37" i="14"/>
  <c r="G35" i="14" s="1"/>
  <c r="G42" i="14" s="1"/>
  <c r="AK128" i="15"/>
  <c r="AL128" i="11"/>
  <c r="AL128" i="15" s="1"/>
  <c r="I126" i="15"/>
  <c r="E126" i="11"/>
  <c r="AH120" i="11"/>
  <c r="AE120" i="15"/>
  <c r="V7" i="8"/>
  <c r="V6" i="8" s="1"/>
  <c r="V4" i="8" s="1"/>
  <c r="T6" i="8"/>
  <c r="T4" i="8" s="1"/>
  <c r="J121" i="15"/>
  <c r="J120" i="11"/>
  <c r="AD49" i="1"/>
  <c r="AD50" i="1" s="1"/>
  <c r="D25" i="7"/>
  <c r="D21" i="7" s="1"/>
  <c r="AD46" i="1"/>
  <c r="AD47" i="1"/>
  <c r="R45" i="8"/>
  <c r="R25" i="8" s="1"/>
  <c r="R46" i="8"/>
  <c r="R27" i="8" s="1"/>
  <c r="F37" i="14"/>
  <c r="F35" i="14" s="1"/>
  <c r="F42" i="14" s="1"/>
  <c r="AF48" i="11"/>
  <c r="AF39" i="15"/>
  <c r="AK113" i="15"/>
  <c r="AG110" i="1"/>
  <c r="AG109" i="1" s="1"/>
  <c r="AG130" i="1" s="1"/>
  <c r="H111" i="1"/>
  <c r="H110" i="1" s="1"/>
  <c r="H109" i="1" s="1"/>
  <c r="H130" i="1" s="1"/>
  <c r="AH39" i="1"/>
  <c r="AE48" i="1"/>
  <c r="AM39" i="1"/>
  <c r="E37" i="7"/>
  <c r="J42" i="7"/>
  <c r="R37" i="9"/>
  <c r="R38" i="9" s="1"/>
  <c r="R45" i="9" s="1"/>
  <c r="R37" i="10"/>
  <c r="R38" i="10" s="1"/>
  <c r="G121" i="15"/>
  <c r="G120" i="11"/>
  <c r="G120" i="15" s="1"/>
  <c r="AG111" i="11"/>
  <c r="AI111" i="11"/>
  <c r="AD111" i="15"/>
  <c r="AE111" i="11"/>
  <c r="AJ111" i="11"/>
  <c r="AF111" i="11"/>
  <c r="AD110" i="11"/>
  <c r="E112" i="11"/>
  <c r="I112" i="15"/>
  <c r="AH121" i="15"/>
  <c r="AL121" i="11"/>
  <c r="AL121" i="15" s="1"/>
  <c r="D35" i="7"/>
  <c r="AK111" i="1"/>
  <c r="AI110" i="1"/>
  <c r="J111" i="1"/>
  <c r="R45" i="10"/>
  <c r="AK39" i="11"/>
  <c r="I37" i="14"/>
  <c r="AI48" i="11"/>
  <c r="AI39" i="15"/>
  <c r="I116" i="15"/>
  <c r="E116" i="11"/>
  <c r="E125" i="11"/>
  <c r="I125" i="15"/>
  <c r="AD109" i="1"/>
  <c r="E117" i="11"/>
  <c r="I117" i="15"/>
  <c r="AH113" i="15"/>
  <c r="AL113" i="11"/>
  <c r="L114" i="15"/>
  <c r="AJ39" i="15"/>
  <c r="J37" i="14"/>
  <c r="J35" i="14" s="1"/>
  <c r="J42" i="14" s="1"/>
  <c r="AJ48" i="11"/>
  <c r="K132" i="11" s="1"/>
  <c r="I113" i="11"/>
  <c r="I113" i="15" s="1"/>
  <c r="F113" i="15"/>
  <c r="H120" i="11"/>
  <c r="H120" i="15" s="1"/>
  <c r="H121" i="15"/>
  <c r="AB110" i="15"/>
  <c r="AD47" i="11"/>
  <c r="D25" i="14"/>
  <c r="D21" i="14" s="1"/>
  <c r="AD25" i="15"/>
  <c r="AD49" i="11"/>
  <c r="AD50" i="11" s="1"/>
  <c r="AD46" i="11"/>
  <c r="D35" i="14"/>
  <c r="R46" i="9"/>
  <c r="E114" i="1"/>
  <c r="AE110" i="1"/>
  <c r="F111" i="1"/>
  <c r="AH111" i="1"/>
  <c r="G111" i="1"/>
  <c r="G110" i="1" s="1"/>
  <c r="G109" i="1" s="1"/>
  <c r="G130" i="1" s="1"/>
  <c r="AF110" i="1"/>
  <c r="AF109" i="1" s="1"/>
  <c r="AF130" i="1" s="1"/>
  <c r="AE39" i="15"/>
  <c r="AE48" i="11"/>
  <c r="AH39" i="11"/>
  <c r="E37" i="14"/>
  <c r="AL113" i="1"/>
  <c r="AK120" i="11"/>
  <c r="AK120" i="15" s="1"/>
  <c r="AI120" i="15"/>
  <c r="I121" i="11"/>
  <c r="I121" i="15" s="1"/>
  <c r="F120" i="11"/>
  <c r="F121" i="15"/>
  <c r="E115" i="11"/>
  <c r="I115" i="15"/>
  <c r="AL111" i="1" l="1"/>
  <c r="AL113" i="15"/>
  <c r="I35" i="14"/>
  <c r="I42" i="14" s="1"/>
  <c r="K37" i="14"/>
  <c r="K35" i="14" s="1"/>
  <c r="K42" i="14" s="1"/>
  <c r="AF111" i="15"/>
  <c r="G111" i="11"/>
  <c r="AF110" i="11"/>
  <c r="AK111" i="11"/>
  <c r="AK111" i="15" s="1"/>
  <c r="J111" i="11"/>
  <c r="AI111" i="15"/>
  <c r="AI110" i="11"/>
  <c r="AG131" i="1"/>
  <c r="AG25" i="1"/>
  <c r="R47" i="9"/>
  <c r="D31" i="14"/>
  <c r="AK39" i="15"/>
  <c r="AK48" i="11"/>
  <c r="J110" i="1"/>
  <c r="L111" i="1"/>
  <c r="D42" i="7"/>
  <c r="M112" i="11"/>
  <c r="K111" i="11"/>
  <c r="AJ111" i="15"/>
  <c r="AJ110" i="11"/>
  <c r="K122" i="11"/>
  <c r="AG110" i="11"/>
  <c r="H111" i="11"/>
  <c r="AG111" i="15"/>
  <c r="R47" i="8"/>
  <c r="AG48" i="15"/>
  <c r="AG99" i="15"/>
  <c r="AJ131" i="1"/>
  <c r="AJ25" i="1"/>
  <c r="AC131" i="11"/>
  <c r="AC131" i="15" s="1"/>
  <c r="AC130" i="15"/>
  <c r="D42" i="14"/>
  <c r="AO39" i="1"/>
  <c r="AR39" i="1"/>
  <c r="M126" i="11"/>
  <c r="M126" i="15" s="1"/>
  <c r="E126" i="15"/>
  <c r="K110" i="1"/>
  <c r="K109" i="1" s="1"/>
  <c r="L112" i="1"/>
  <c r="K112" i="15"/>
  <c r="E114" i="15"/>
  <c r="M114" i="11"/>
  <c r="E113" i="11"/>
  <c r="I120" i="11"/>
  <c r="I120" i="15" s="1"/>
  <c r="F120" i="15"/>
  <c r="AE99" i="15"/>
  <c r="AE48" i="15"/>
  <c r="I111" i="1"/>
  <c r="E111" i="1" s="1"/>
  <c r="F110" i="1"/>
  <c r="AI99" i="15"/>
  <c r="AI48" i="15"/>
  <c r="AK110" i="1"/>
  <c r="AI109" i="1"/>
  <c r="AH111" i="11"/>
  <c r="F111" i="11"/>
  <c r="AE110" i="11"/>
  <c r="AE111" i="15"/>
  <c r="AH48" i="1"/>
  <c r="AL39" i="1"/>
  <c r="AL48" i="1" s="1"/>
  <c r="AF48" i="15"/>
  <c r="AF99" i="15"/>
  <c r="Z27" i="8"/>
  <c r="T27" i="8"/>
  <c r="V27" i="8" s="1"/>
  <c r="J120" i="15"/>
  <c r="E115" i="15"/>
  <c r="M115" i="11"/>
  <c r="M115" i="15" s="1"/>
  <c r="AH39" i="15"/>
  <c r="AH48" i="11"/>
  <c r="AL39" i="11"/>
  <c r="E113" i="1"/>
  <c r="M114" i="1"/>
  <c r="AD49" i="15"/>
  <c r="AD50" i="15" s="1"/>
  <c r="AD98" i="15"/>
  <c r="AD47" i="15"/>
  <c r="AD46" i="15"/>
  <c r="M116" i="11"/>
  <c r="M116" i="15" s="1"/>
  <c r="E116" i="15"/>
  <c r="AJ48" i="15"/>
  <c r="AJ99" i="15"/>
  <c r="E35" i="14"/>
  <c r="E42" i="14" s="1"/>
  <c r="H37" i="14"/>
  <c r="AF25" i="1"/>
  <c r="AF131" i="1"/>
  <c r="AH110" i="1"/>
  <c r="AL110" i="1" s="1"/>
  <c r="AE109" i="1"/>
  <c r="E117" i="15"/>
  <c r="M117" i="11"/>
  <c r="M117" i="15" s="1"/>
  <c r="M125" i="11"/>
  <c r="M125" i="15" s="1"/>
  <c r="E125" i="15"/>
  <c r="R46" i="10"/>
  <c r="R47" i="10" s="1"/>
  <c r="AD109" i="11"/>
  <c r="AD110" i="15"/>
  <c r="E35" i="7"/>
  <c r="E42" i="7" s="1"/>
  <c r="H37" i="7"/>
  <c r="T25" i="8"/>
  <c r="R23" i="8"/>
  <c r="R22" i="8" s="1"/>
  <c r="Z22" i="8" s="1"/>
  <c r="Z25" i="8"/>
  <c r="D31" i="7"/>
  <c r="AH120" i="15"/>
  <c r="AL120" i="11"/>
  <c r="AL120" i="15" s="1"/>
  <c r="K121" i="1"/>
  <c r="L122" i="1"/>
  <c r="E122" i="1" s="1"/>
  <c r="M118" i="11"/>
  <c r="M118" i="15" s="1"/>
  <c r="E118" i="15"/>
  <c r="K37" i="7"/>
  <c r="K35" i="7" s="1"/>
  <c r="K42" i="7" s="1"/>
  <c r="I35" i="7"/>
  <c r="I42" i="7" s="1"/>
  <c r="AB109" i="15"/>
  <c r="AB130" i="11"/>
  <c r="M114" i="15" l="1"/>
  <c r="M122" i="1"/>
  <c r="E121" i="1"/>
  <c r="T23" i="8"/>
  <c r="V25" i="8"/>
  <c r="V23" i="8" s="1"/>
  <c r="AI130" i="1"/>
  <c r="AK109" i="1"/>
  <c r="AK130" i="1" s="1"/>
  <c r="I110" i="1"/>
  <c r="F109" i="1"/>
  <c r="AG109" i="11"/>
  <c r="AG110" i="15"/>
  <c r="K111" i="15"/>
  <c r="K110" i="11"/>
  <c r="AK48" i="15"/>
  <c r="AK99" i="15"/>
  <c r="G110" i="11"/>
  <c r="G111" i="15"/>
  <c r="K120" i="1"/>
  <c r="L120" i="1" s="1"/>
  <c r="L121" i="1"/>
  <c r="D44" i="7"/>
  <c r="H35" i="7"/>
  <c r="N37" i="7"/>
  <c r="AD109" i="15"/>
  <c r="K132" i="15"/>
  <c r="AH99" i="15"/>
  <c r="AH48" i="15"/>
  <c r="AE109" i="11"/>
  <c r="AE110" i="15"/>
  <c r="AH110" i="11"/>
  <c r="M111" i="1"/>
  <c r="AJ47" i="1"/>
  <c r="AJ49" i="1"/>
  <c r="J25" i="7"/>
  <c r="J21" i="7" s="1"/>
  <c r="J31" i="7" s="1"/>
  <c r="AJ46" i="1"/>
  <c r="K131" i="1" s="1"/>
  <c r="K134" i="1" s="1"/>
  <c r="K122" i="15"/>
  <c r="K121" i="11"/>
  <c r="L122" i="11"/>
  <c r="AG47" i="1"/>
  <c r="G25" i="7"/>
  <c r="G21" i="7" s="1"/>
  <c r="G31" i="7" s="1"/>
  <c r="G44" i="7" s="1"/>
  <c r="F33" i="10" s="1"/>
  <c r="AG49" i="1"/>
  <c r="AG46" i="1"/>
  <c r="L111" i="11"/>
  <c r="L111" i="15" s="1"/>
  <c r="J111" i="15"/>
  <c r="J110" i="11"/>
  <c r="AF47" i="1"/>
  <c r="AF49" i="1"/>
  <c r="AF46" i="1"/>
  <c r="F25" i="7"/>
  <c r="F21" i="7" s="1"/>
  <c r="F31" i="7" s="1"/>
  <c r="F44" i="7" s="1"/>
  <c r="E33" i="10" s="1"/>
  <c r="M113" i="1"/>
  <c r="F111" i="15"/>
  <c r="I111" i="11"/>
  <c r="F110" i="11"/>
  <c r="E113" i="15"/>
  <c r="M113" i="11"/>
  <c r="E112" i="1"/>
  <c r="L112" i="15"/>
  <c r="AJ110" i="15"/>
  <c r="AJ109" i="11"/>
  <c r="L110" i="1"/>
  <c r="J109" i="1"/>
  <c r="AB130" i="15"/>
  <c r="AB131" i="11"/>
  <c r="AB131" i="15" s="1"/>
  <c r="AE130" i="1"/>
  <c r="AH109" i="1"/>
  <c r="H35" i="14"/>
  <c r="N37" i="14"/>
  <c r="AL48" i="11"/>
  <c r="AL39" i="15"/>
  <c r="AH111" i="15"/>
  <c r="AL111" i="11"/>
  <c r="AL111" i="15" s="1"/>
  <c r="K130" i="1"/>
  <c r="H111" i="15"/>
  <c r="H110" i="11"/>
  <c r="D44" i="14"/>
  <c r="D45" i="14" s="1"/>
  <c r="AK110" i="11"/>
  <c r="AK110" i="15" s="1"/>
  <c r="AI110" i="15"/>
  <c r="AI109" i="11"/>
  <c r="AF110" i="15"/>
  <c r="AF109" i="11"/>
  <c r="M113" i="15" l="1"/>
  <c r="J109" i="11"/>
  <c r="J110" i="15"/>
  <c r="L110" i="11"/>
  <c r="L110" i="15" s="1"/>
  <c r="K120" i="11"/>
  <c r="K121" i="15"/>
  <c r="L121" i="11"/>
  <c r="L121" i="15" s="1"/>
  <c r="AE25" i="1"/>
  <c r="AE131" i="1"/>
  <c r="AH131" i="1" s="1"/>
  <c r="M112" i="1"/>
  <c r="M112" i="15" s="1"/>
  <c r="E112" i="15"/>
  <c r="E111" i="11"/>
  <c r="I111" i="15"/>
  <c r="G109" i="11"/>
  <c r="G110" i="15"/>
  <c r="D45" i="7"/>
  <c r="AI109" i="15"/>
  <c r="AI130" i="11"/>
  <c r="AK109" i="11"/>
  <c r="AJ109" i="15"/>
  <c r="AJ130" i="11"/>
  <c r="H42" i="7"/>
  <c r="N42" i="7" s="1"/>
  <c r="R13" i="9"/>
  <c r="R13" i="10"/>
  <c r="N35" i="7"/>
  <c r="AG130" i="11"/>
  <c r="AG109" i="15"/>
  <c r="AI131" i="1"/>
  <c r="AK131" i="1" s="1"/>
  <c r="AI25" i="1"/>
  <c r="E120" i="1"/>
  <c r="M120" i="1" s="1"/>
  <c r="M121" i="1"/>
  <c r="AH110" i="15"/>
  <c r="AL110" i="11"/>
  <c r="AL110" i="15" s="1"/>
  <c r="H109" i="11"/>
  <c r="H110" i="15"/>
  <c r="H42" i="14"/>
  <c r="N42" i="14" s="1"/>
  <c r="N35" i="14"/>
  <c r="AF130" i="11"/>
  <c r="AF109" i="15"/>
  <c r="AL99" i="15"/>
  <c r="AL48" i="15"/>
  <c r="AH130" i="1"/>
  <c r="AL109" i="1"/>
  <c r="AL130" i="1" s="1"/>
  <c r="J130" i="1"/>
  <c r="L109" i="1"/>
  <c r="L130" i="1" s="1"/>
  <c r="I110" i="11"/>
  <c r="I110" i="15" s="1"/>
  <c r="F110" i="15"/>
  <c r="F109" i="11"/>
  <c r="L122" i="15"/>
  <c r="E122" i="11"/>
  <c r="R35" i="9"/>
  <c r="R35" i="10"/>
  <c r="J44" i="7"/>
  <c r="E110" i="1"/>
  <c r="AH109" i="11"/>
  <c r="AE109" i="15"/>
  <c r="AE130" i="11"/>
  <c r="K109" i="11"/>
  <c r="K110" i="15"/>
  <c r="I109" i="1"/>
  <c r="I130" i="1" s="1"/>
  <c r="F130" i="1"/>
  <c r="AL131" i="1" l="1"/>
  <c r="M111" i="11"/>
  <c r="M111" i="15" s="1"/>
  <c r="E110" i="11"/>
  <c r="E111" i="15"/>
  <c r="AL104" i="1"/>
  <c r="K120" i="15"/>
  <c r="L120" i="11"/>
  <c r="L120" i="15" s="1"/>
  <c r="H109" i="15"/>
  <c r="H130" i="15" s="1"/>
  <c r="H130" i="11"/>
  <c r="AG131" i="11"/>
  <c r="AG131" i="15" s="1"/>
  <c r="AG25" i="11"/>
  <c r="AG130" i="15"/>
  <c r="AK130" i="11"/>
  <c r="AK130" i="15" s="1"/>
  <c r="AK109" i="15"/>
  <c r="AE49" i="1"/>
  <c r="E25" i="7"/>
  <c r="AH25" i="1"/>
  <c r="AE46" i="1"/>
  <c r="AM25" i="1"/>
  <c r="AE47" i="1"/>
  <c r="R22" i="9"/>
  <c r="W22" i="9" s="1"/>
  <c r="R22" i="10"/>
  <c r="W22" i="10" s="1"/>
  <c r="F130" i="11"/>
  <c r="I109" i="11"/>
  <c r="F109" i="15"/>
  <c r="F130" i="15" s="1"/>
  <c r="R41" i="9"/>
  <c r="R28" i="9" s="1"/>
  <c r="W28" i="9" s="1"/>
  <c r="R40" i="9"/>
  <c r="AI47" i="1"/>
  <c r="AK25" i="1"/>
  <c r="I25" i="7"/>
  <c r="AI46" i="1"/>
  <c r="AI49" i="1"/>
  <c r="G109" i="15"/>
  <c r="G130" i="15" s="1"/>
  <c r="G130" i="11"/>
  <c r="AE25" i="11"/>
  <c r="AE130" i="15"/>
  <c r="AE131" i="11"/>
  <c r="R41" i="10"/>
  <c r="R28" i="10" s="1"/>
  <c r="W28" i="10" s="1"/>
  <c r="R40" i="10"/>
  <c r="AH109" i="15"/>
  <c r="AH130" i="11"/>
  <c r="AH130" i="15" s="1"/>
  <c r="AL109" i="11"/>
  <c r="AI25" i="11"/>
  <c r="AI130" i="15"/>
  <c r="AI131" i="11"/>
  <c r="K130" i="11"/>
  <c r="K109" i="15"/>
  <c r="K130" i="15" s="1"/>
  <c r="E109" i="1"/>
  <c r="M110" i="1"/>
  <c r="E121" i="11"/>
  <c r="M122" i="11"/>
  <c r="M122" i="15" s="1"/>
  <c r="E122" i="15"/>
  <c r="AF25" i="11"/>
  <c r="AF130" i="15"/>
  <c r="AF131" i="11"/>
  <c r="AF131" i="15" s="1"/>
  <c r="AJ131" i="11"/>
  <c r="AJ131" i="15" s="1"/>
  <c r="AJ25" i="11"/>
  <c r="AJ130" i="15"/>
  <c r="J130" i="11"/>
  <c r="L109" i="11"/>
  <c r="J109" i="15"/>
  <c r="J130" i="15" s="1"/>
  <c r="M109" i="1" l="1"/>
  <c r="M130" i="1" s="1"/>
  <c r="M104" i="1" s="1"/>
  <c r="E130" i="1"/>
  <c r="AL130" i="11"/>
  <c r="AL130" i="15" s="1"/>
  <c r="AL109" i="15"/>
  <c r="I109" i="15"/>
  <c r="I130" i="15" s="1"/>
  <c r="I130" i="11"/>
  <c r="L109" i="15"/>
  <c r="L130" i="15" s="1"/>
  <c r="L130" i="11"/>
  <c r="E120" i="11"/>
  <c r="M121" i="11"/>
  <c r="M121" i="15" s="1"/>
  <c r="E121" i="15"/>
  <c r="K25" i="7"/>
  <c r="I21" i="7"/>
  <c r="AJ25" i="15"/>
  <c r="AJ49" i="11"/>
  <c r="AJ46" i="11"/>
  <c r="K131" i="11" s="1"/>
  <c r="K134" i="11" s="1"/>
  <c r="AJ47" i="11"/>
  <c r="J25" i="14"/>
  <c r="J21" i="14" s="1"/>
  <c r="J31" i="14" s="1"/>
  <c r="J44" i="14" s="1"/>
  <c r="F25" i="14"/>
  <c r="F21" i="14" s="1"/>
  <c r="F31" i="14" s="1"/>
  <c r="F44" i="14" s="1"/>
  <c r="AF47" i="11"/>
  <c r="AF49" i="11"/>
  <c r="AF46" i="11"/>
  <c r="AF25" i="15"/>
  <c r="AI131" i="15"/>
  <c r="AK131" i="11"/>
  <c r="AK131" i="15" s="1"/>
  <c r="R26" i="10"/>
  <c r="R42" i="10"/>
  <c r="R43" i="10" s="1"/>
  <c r="E25" i="14"/>
  <c r="AE46" i="11"/>
  <c r="AE25" i="15"/>
  <c r="AE47" i="11"/>
  <c r="AE49" i="11"/>
  <c r="AH25" i="11"/>
  <c r="AK49" i="1"/>
  <c r="AK46" i="1"/>
  <c r="AK47" i="1"/>
  <c r="AH46" i="1"/>
  <c r="AH47" i="1"/>
  <c r="AH49" i="1"/>
  <c r="AL25" i="1"/>
  <c r="E21" i="7"/>
  <c r="H25" i="7"/>
  <c r="AI49" i="11"/>
  <c r="I25" i="14"/>
  <c r="AI46" i="11"/>
  <c r="AI25" i="15"/>
  <c r="AI47" i="11"/>
  <c r="AK25" i="11"/>
  <c r="AH131" i="11"/>
  <c r="AE131" i="15"/>
  <c r="R26" i="9"/>
  <c r="R42" i="9"/>
  <c r="R43" i="9" s="1"/>
  <c r="AO25" i="1"/>
  <c r="AR25" i="1"/>
  <c r="AG47" i="11"/>
  <c r="AG49" i="11"/>
  <c r="AG25" i="15"/>
  <c r="AG46" i="11"/>
  <c r="G25" i="14"/>
  <c r="G21" i="14" s="1"/>
  <c r="G31" i="14" s="1"/>
  <c r="G44" i="14" s="1"/>
  <c r="M110" i="11"/>
  <c r="M110" i="15" s="1"/>
  <c r="E110" i="15"/>
  <c r="E109" i="11"/>
  <c r="AG49" i="15" l="1"/>
  <c r="AG46" i="15"/>
  <c r="AG47" i="15"/>
  <c r="AG98" i="15"/>
  <c r="AH131" i="15"/>
  <c r="AL131" i="11"/>
  <c r="AE49" i="15"/>
  <c r="AE47" i="15"/>
  <c r="AE98" i="15"/>
  <c r="AE46" i="15"/>
  <c r="W26" i="10"/>
  <c r="R24" i="10"/>
  <c r="R34" i="10" s="1"/>
  <c r="AJ98" i="15"/>
  <c r="AJ47" i="15"/>
  <c r="AJ46" i="15"/>
  <c r="K131" i="15" s="1"/>
  <c r="K134" i="15" s="1"/>
  <c r="AJ49" i="15"/>
  <c r="AK46" i="11"/>
  <c r="AK47" i="11"/>
  <c r="AK25" i="15"/>
  <c r="AK49" i="11"/>
  <c r="K25" i="14"/>
  <c r="I21" i="14"/>
  <c r="H21" i="7"/>
  <c r="E31" i="7"/>
  <c r="E44" i="7" s="1"/>
  <c r="D33" i="10" s="1"/>
  <c r="AH49" i="11"/>
  <c r="AH46" i="11"/>
  <c r="AH25" i="15"/>
  <c r="AH47" i="11"/>
  <c r="AL25" i="11"/>
  <c r="K21" i="7"/>
  <c r="K31" i="7" s="1"/>
  <c r="K44" i="7" s="1"/>
  <c r="I31" i="7"/>
  <c r="I44" i="7" s="1"/>
  <c r="H33" i="10" s="1"/>
  <c r="E120" i="15"/>
  <c r="M120" i="11"/>
  <c r="M120" i="15" s="1"/>
  <c r="R24" i="9"/>
  <c r="R34" i="9" s="1"/>
  <c r="W26" i="9"/>
  <c r="E21" i="14"/>
  <c r="H25" i="14"/>
  <c r="AL46" i="1"/>
  <c r="AL49" i="1"/>
  <c r="AL47" i="1"/>
  <c r="AL2" i="1"/>
  <c r="M109" i="11"/>
  <c r="E109" i="15"/>
  <c r="E130" i="15" s="1"/>
  <c r="E130" i="11"/>
  <c r="AI49" i="15"/>
  <c r="AI98" i="15"/>
  <c r="AI47" i="15"/>
  <c r="AI46" i="15"/>
  <c r="AF98" i="15"/>
  <c r="AF47" i="15"/>
  <c r="AF46" i="15"/>
  <c r="AF49" i="15"/>
  <c r="E101" i="1" l="1"/>
  <c r="E101" i="15"/>
  <c r="E101" i="11"/>
  <c r="AD101" i="15"/>
  <c r="AD101" i="11"/>
  <c r="AD101" i="1"/>
  <c r="K135" i="15"/>
  <c r="H21" i="14"/>
  <c r="E31" i="14"/>
  <c r="E44" i="14" s="1"/>
  <c r="M109" i="15"/>
  <c r="M130" i="15" s="1"/>
  <c r="M104" i="15" s="1"/>
  <c r="M130" i="11"/>
  <c r="M104" i="11" s="1"/>
  <c r="AH49" i="15"/>
  <c r="AH98" i="15"/>
  <c r="AH47" i="15"/>
  <c r="AH46" i="15"/>
  <c r="H31" i="7"/>
  <c r="N21" i="7"/>
  <c r="AK98" i="15"/>
  <c r="AK46" i="15"/>
  <c r="AK49" i="15"/>
  <c r="AK47" i="15"/>
  <c r="AL131" i="15"/>
  <c r="AL104" i="15" s="1"/>
  <c r="AL104" i="11"/>
  <c r="AL46" i="11"/>
  <c r="AL47" i="11"/>
  <c r="AL49" i="11"/>
  <c r="AL25" i="15"/>
  <c r="AL2" i="11"/>
  <c r="I31" i="14"/>
  <c r="I44" i="14" s="1"/>
  <c r="K21" i="14"/>
  <c r="K31" i="14" s="1"/>
  <c r="K44" i="14" s="1"/>
  <c r="O101" i="11" l="1"/>
  <c r="O101" i="15"/>
  <c r="O101" i="1"/>
  <c r="K135" i="11"/>
  <c r="K135" i="1"/>
  <c r="K136" i="1"/>
  <c r="AL46" i="15"/>
  <c r="AL98" i="15"/>
  <c r="AL47" i="15"/>
  <c r="AL2" i="15"/>
  <c r="AL49" i="15"/>
  <c r="S8" i="10"/>
  <c r="V8" i="10" s="1"/>
  <c r="H44" i="7"/>
  <c r="L31" i="7"/>
  <c r="S8" i="9"/>
  <c r="V8" i="9" s="1"/>
  <c r="N31" i="7"/>
  <c r="H31" i="14"/>
  <c r="N21" i="14"/>
  <c r="L31" i="14" l="1"/>
  <c r="H44" i="14"/>
  <c r="N44" i="14" s="1"/>
  <c r="N31" i="14"/>
  <c r="R4" i="9"/>
  <c r="R4" i="10"/>
  <c r="N44" i="7"/>
  <c r="R6" i="9" l="1"/>
  <c r="V4" i="9"/>
  <c r="V4" i="10"/>
  <c r="R6" i="10"/>
  <c r="V6" i="10" l="1"/>
  <c r="R8" i="10"/>
  <c r="T8" i="10" s="1"/>
  <c r="V6" i="9"/>
  <c r="R8" i="9"/>
  <c r="T8" i="9" s="1"/>
  <c r="S13" i="9" l="1"/>
  <c r="V13" i="9"/>
  <c r="V13" i="10"/>
  <c r="S13" i="10"/>
</calcChain>
</file>

<file path=xl/comments1.xml><?xml version="1.0" encoding="utf-8"?>
<comments xmlns="http://schemas.openxmlformats.org/spreadsheetml/2006/main">
  <authors>
    <author>広島市</author>
    <author>楠 宏</author>
    <author>4202453</author>
    <author>work</author>
    <author>安達 謙介</author>
    <author>経理</author>
  </authors>
  <commentList>
    <comment ref="E4" authorId="0" shapeId="0">
      <text>
        <r>
          <rPr>
            <b/>
            <sz val="9"/>
            <color indexed="81"/>
            <rFont val="ＭＳ Ｐゴシック"/>
            <family val="3"/>
            <charset val="128"/>
          </rPr>
          <t>3条支出シート各費目の税込より</t>
        </r>
      </text>
    </comment>
    <comment ref="F7"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G7"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H7"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K7"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F9"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G9"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K9"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F10"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G10"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H10"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J10" authorId="1" shapeId="0">
      <text>
        <r>
          <rPr>
            <sz val="9"/>
            <color indexed="81"/>
            <rFont val="ＭＳ Ｐゴシック"/>
            <family val="3"/>
            <charset val="128"/>
          </rPr>
          <t>='I:\経理係フォルダ\☆決算事務\２８年度決算\07 H28雨汚水分け\雨汚水分け\[Ｈ28年度決算処理場費　雨汚水.xls]総括表'!$G$30
R5決算：西部包括的民間委託の委託料の追加措置の財源として、地方創生臨時交付金を充てるよう</t>
        </r>
        <r>
          <rPr>
            <u/>
            <sz val="9"/>
            <color indexed="81"/>
            <rFont val="ＭＳ Ｐゴシック"/>
            <family val="3"/>
            <charset val="128"/>
          </rPr>
          <t>2月</t>
        </r>
        <r>
          <rPr>
            <sz val="9"/>
            <color indexed="81"/>
            <rFont val="ＭＳ Ｐゴシック"/>
            <family val="3"/>
            <charset val="128"/>
          </rPr>
          <t>補正を編成（52,311千円）⇒決算の結果、51475850円→雨汚水分けの金額に同額を加算</t>
        </r>
      </text>
    </comment>
    <comment ref="K1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
★R5決算：西部包括的民間委託の委託料の追加措置の財源として、地方創生臨時交付金を充てるよう2月補正を編成（52,311千円）⇒決算の結果、51475850円→雨汚水分けの金額に同額を控除</t>
        </r>
      </text>
    </comment>
    <comment ref="R12" authorId="0" shapeId="0">
      <text>
        <r>
          <rPr>
            <sz val="9"/>
            <color indexed="81"/>
            <rFont val="ＭＳ Ｐゴシック"/>
            <family val="3"/>
            <charset val="128"/>
          </rPr>
          <t>補助金は不課税、報酬の大半は不課税のため、税込の割合で按分するにはなじまない。</t>
        </r>
      </text>
    </comment>
    <comment ref="H13" authorId="0" shapeId="0">
      <text>
        <r>
          <rPr>
            <sz val="9"/>
            <color indexed="81"/>
            <rFont val="ＭＳ Ｐゴシック"/>
            <family val="3"/>
            <charset val="128"/>
          </rPr>
          <t>水洗化貸付事業費全額
=+E13</t>
        </r>
      </text>
    </comment>
    <comment ref="R13" authorId="0" shapeId="0">
      <text>
        <r>
          <rPr>
            <b/>
            <sz val="9"/>
            <color indexed="81"/>
            <rFont val="ＭＳ Ｐゴシック"/>
            <family val="3"/>
            <charset val="128"/>
          </rPr>
          <t>水洗化貸付事業費全額
=+O13</t>
        </r>
      </text>
    </comment>
    <comment ref="H14" authorId="2" shapeId="0">
      <text>
        <r>
          <rPr>
            <sz val="11"/>
            <color indexed="81"/>
            <rFont val="ＭＳ Ｐゴシック"/>
            <family val="3"/>
            <charset val="128"/>
          </rPr>
          <t>H30から廃止</t>
        </r>
      </text>
    </comment>
    <comment ref="R14" authorId="0" shapeId="0">
      <text>
        <r>
          <rPr>
            <b/>
            <sz val="9"/>
            <color indexed="81"/>
            <rFont val="ＭＳ Ｐゴシック"/>
            <family val="3"/>
            <charset val="128"/>
          </rPr>
          <t>使用料減免に要する人件費の課税割合で算出
=+ROUND(L14/SUM(業務!E5:E9,業務!E34)*SUM(業務!R5:R9,業務!R34),0)</t>
        </r>
      </text>
    </comment>
    <comment ref="F15" authorId="0" shapeId="0">
      <text>
        <r>
          <rPr>
            <sz val="9"/>
            <color indexed="81"/>
            <rFont val="ＭＳ Ｐゴシック"/>
            <family val="3"/>
            <charset val="128"/>
          </rPr>
          <t>管きょ費から業務費までの加重平均で按分
=+ROUND((総係!$E$36-総係!$E$35-$L$15)*SUM(F7:F14)/SUM($F$7:$G$14,$I$7:$J$14),0)</t>
        </r>
      </text>
    </comment>
    <comment ref="G15" authorId="0" shapeId="0">
      <text>
        <r>
          <rPr>
            <sz val="9"/>
            <color indexed="81"/>
            <rFont val="ＭＳ Ｐゴシック"/>
            <family val="3"/>
            <charset val="128"/>
          </rPr>
          <t>管きょ費から業務費までの加重平均で按分
=+ROUND((総係!$E$36-総係!$E$35-$L$15)*SUM(G7:G14)/SUM($F$7:$G$14,$I$7:$J$14),0)</t>
        </r>
      </text>
    </comment>
    <comment ref="P15" authorId="0" shapeId="0">
      <text>
        <r>
          <rPr>
            <b/>
            <sz val="9"/>
            <color indexed="81"/>
            <rFont val="ＭＳ Ｐゴシック"/>
            <family val="3"/>
            <charset val="128"/>
          </rPr>
          <t>管きょ費から業務費までの加重平均で按分
=+ROUND((総係!$R$36-総係!$R$35-$U$15)*SUM(O7:O14)/SUM($O$7:$P$14,$R$7:$S$14),0)</t>
        </r>
      </text>
    </comment>
    <comment ref="Q15" authorId="0" shapeId="0">
      <text>
        <r>
          <rPr>
            <b/>
            <sz val="9"/>
            <color indexed="81"/>
            <rFont val="ＭＳ Ｐゴシック"/>
            <family val="3"/>
            <charset val="128"/>
          </rPr>
          <t>管きょ費から業務費までの加重平均で按分
=+ROUND((総係!$R$36-総係!$R$35-$L$15)*SUM(P7:P14)/SUM($O$7:$P$14,$R$7:$S$14),0)</t>
        </r>
      </text>
    </comment>
    <comment ref="H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J16" authorId="3" shapeId="0">
      <text>
        <r>
          <rPr>
            <sz val="9"/>
            <color indexed="81"/>
            <rFont val="MS P ゴシック"/>
            <family val="3"/>
            <charset val="128"/>
          </rPr>
          <t>R5年決算：指定管理料の追加措置の財源として、臨時交付金を充てるよう12月補正を編成（623千円）→決算の結果、あたらないことになった。</t>
        </r>
      </text>
    </comment>
    <comment ref="R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H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J17" authorId="3" shapeId="0">
      <text>
        <r>
          <rPr>
            <sz val="9"/>
            <color indexed="81"/>
            <rFont val="MS P ゴシック"/>
            <family val="3"/>
            <charset val="128"/>
          </rPr>
          <t>R5年決算：指定管理料の追加措置の財源として、臨時交付金を充てるよう12月補正を編成（4,311千円）→決算の結果、あたらないことになった。</t>
        </r>
      </text>
    </comment>
    <comment ref="R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H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R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F20" authorId="0" shapeId="0">
      <text>
        <r>
          <rPr>
            <b/>
            <sz val="9"/>
            <color indexed="81"/>
            <rFont val="ＭＳ Ｐゴシック"/>
            <family val="3"/>
            <charset val="128"/>
          </rPr>
          <t>固定資産撤去費の工事の件名から、排水区分を確認し、雨汚水を分ける。合流の場合は、管・P・Tのプラン雨汚水按分率を使う。</t>
        </r>
      </text>
    </comment>
    <comment ref="F22" authorId="0" shapeId="0">
      <text>
        <r>
          <rPr>
            <b/>
            <sz val="9"/>
            <color indexed="81"/>
            <rFont val="ＭＳ Ｐゴシック"/>
            <family val="3"/>
            <charset val="128"/>
          </rPr>
          <t>営業外収支、特利特損は、雨汚収入・支出シートで仕分けする。</t>
        </r>
      </text>
    </comment>
    <comment ref="P22" authorId="0" shapeId="0">
      <text>
        <r>
          <rPr>
            <b/>
            <sz val="9"/>
            <color indexed="81"/>
            <rFont val="ＭＳ Ｐゴシック"/>
            <family val="3"/>
            <charset val="128"/>
          </rPr>
          <t>雨水・汚水折半
=+ROUND(N22/2,0)
～H28までは、一般行政経費としていたが、財計経費区分表に明記されていないためH29より折半する。</t>
        </r>
      </text>
    </comment>
    <comment ref="E24" authorId="0" shapeId="0">
      <text>
        <r>
          <rPr>
            <b/>
            <sz val="9"/>
            <color indexed="81"/>
            <rFont val="ＭＳ Ｐゴシック"/>
            <family val="3"/>
            <charset val="128"/>
          </rPr>
          <t>災害支援経費分を入力</t>
        </r>
      </text>
    </comment>
    <comment ref="H24" authorId="0" shapeId="0">
      <text>
        <r>
          <rPr>
            <b/>
            <sz val="9"/>
            <color indexed="81"/>
            <rFont val="ＭＳ Ｐゴシック"/>
            <family val="3"/>
            <charset val="128"/>
          </rPr>
          <t>熊本支援経費</t>
        </r>
      </text>
    </comment>
    <comment ref="O25" authorId="0" shapeId="0">
      <text>
        <r>
          <rPr>
            <b/>
            <sz val="9"/>
            <color indexed="81"/>
            <rFont val="ＭＳ Ｐゴシック"/>
            <family val="3"/>
            <charset val="128"/>
          </rPr>
          <t>ここでは入力不要！
下の消費税雑支出加算後の表に自動表示される。）</t>
        </r>
      </text>
    </comment>
    <comment ref="X25" authorId="0" shapeId="0">
      <text>
        <r>
          <rPr>
            <b/>
            <sz val="9"/>
            <color indexed="81"/>
            <rFont val="ＭＳ Ｐゴシック"/>
            <family val="3"/>
            <charset val="128"/>
          </rPr>
          <t>特定収入に係る課税仕入れ等の税額、課税売上割合を乗じることにより控除できなくなった額、仮払消費税からの控除額</t>
        </r>
      </text>
    </comment>
    <comment ref="O26" authorId="0" shapeId="0">
      <text>
        <r>
          <rPr>
            <b/>
            <sz val="9"/>
            <color indexed="81"/>
            <rFont val="ＭＳ Ｐゴシック"/>
            <family val="3"/>
            <charset val="128"/>
          </rPr>
          <t>ここでは入力不要！
下の消費税雑支出加算後の表に自動表示される。）</t>
        </r>
      </text>
    </comment>
    <comment ref="X26" authorId="4" shapeId="0">
      <text>
        <r>
          <rPr>
            <sz val="9"/>
            <color indexed="81"/>
            <rFont val="MS P ゴシック"/>
            <family val="3"/>
            <charset val="128"/>
          </rPr>
          <t>R5決算
インボイス制度開始に伴い追加
なお、当該控除できない消費税額については、本来であれば雨汚水シートで一般会計負担金に反映させるべきであるが、金額が少額であること、一般会計に対して保守的な請求とできることから、当面汚水経費扱いとする。
もし、当該金額が増大した場合は、雨汚水シートを改修し、適切に按分できるようにすることを検討してください。</t>
        </r>
      </text>
    </comment>
    <comment ref="P28" authorId="0" shapeId="0">
      <text>
        <r>
          <rPr>
            <b/>
            <sz val="9"/>
            <color indexed="81"/>
            <rFont val="ＭＳ Ｐゴシック"/>
            <family val="3"/>
            <charset val="128"/>
          </rPr>
          <t>税込＝税抜　固定</t>
        </r>
      </text>
    </comment>
    <comment ref="Q28" authorId="0" shapeId="0">
      <text>
        <r>
          <rPr>
            <b/>
            <sz val="9"/>
            <color indexed="81"/>
            <rFont val="ＭＳ Ｐゴシック"/>
            <family val="3"/>
            <charset val="128"/>
          </rPr>
          <t>税込＝税抜　固定</t>
        </r>
      </text>
    </comment>
    <comment ref="T28" authorId="0" shapeId="0">
      <text>
        <r>
          <rPr>
            <b/>
            <sz val="9"/>
            <color indexed="81"/>
            <rFont val="ＭＳ Ｐゴシック"/>
            <family val="3"/>
            <charset val="128"/>
          </rPr>
          <t>税込＝税抜　固定</t>
        </r>
      </text>
    </comment>
    <comment ref="U28" authorId="0" shapeId="0">
      <text>
        <r>
          <rPr>
            <b/>
            <sz val="9"/>
            <color indexed="81"/>
            <rFont val="ＭＳ Ｐゴシック"/>
            <family val="3"/>
            <charset val="128"/>
          </rPr>
          <t>税込＝税抜　固定</t>
        </r>
      </text>
    </comment>
    <comment ref="F29" authorId="0" shapeId="0">
      <text>
        <r>
          <rPr>
            <b/>
            <sz val="9"/>
            <color indexed="81"/>
            <rFont val="ＭＳ Ｐゴシック"/>
            <family val="3"/>
            <charset val="128"/>
          </rPr>
          <t>前払金還付遅延利息不納欠損の雨汚水折半</t>
        </r>
      </text>
    </comment>
    <comment ref="K29" authorId="0" shapeId="0">
      <text>
        <r>
          <rPr>
            <b/>
            <sz val="9"/>
            <color indexed="81"/>
            <rFont val="ＭＳ Ｐゴシック"/>
            <family val="3"/>
            <charset val="128"/>
          </rPr>
          <t>使用料分の修正損</t>
        </r>
      </text>
    </comment>
    <comment ref="P29" authorId="0" shapeId="0">
      <text>
        <r>
          <rPr>
            <b/>
            <sz val="9"/>
            <color indexed="81"/>
            <rFont val="ＭＳ Ｐゴシック"/>
            <family val="3"/>
            <charset val="128"/>
          </rPr>
          <t>前払金還付遅延利息不納欠損の雨汚水折半</t>
        </r>
      </text>
    </comment>
    <comment ref="F34" authorId="0" shapeId="0">
      <text>
        <r>
          <rPr>
            <b/>
            <sz val="9"/>
            <color indexed="81"/>
            <rFont val="ＭＳ Ｐゴシック"/>
            <family val="3"/>
            <charset val="128"/>
          </rPr>
          <t>減価償却費雨汚水分け表より</t>
        </r>
      </text>
    </comment>
    <comment ref="H34" authorId="0" shapeId="0">
      <text>
        <r>
          <rPr>
            <b/>
            <sz val="9"/>
            <color indexed="81"/>
            <rFont val="ＭＳ Ｐゴシック"/>
            <family val="3"/>
            <charset val="128"/>
          </rPr>
          <t>し尿分を計上していないが、H32～財計以降は、財計経費区分表に記載の上、基準外繰出し対象とすべき。→財政課査定で対象とならなかった。</t>
        </r>
      </text>
    </comment>
    <comment ref="J34" authorId="5" shapeId="0">
      <text>
        <r>
          <rPr>
            <b/>
            <sz val="9"/>
            <color indexed="81"/>
            <rFont val="MS P ゴシック"/>
            <family val="3"/>
            <charset val="128"/>
          </rPr>
          <t>汚水のうち高度処理に係る減価償却費</t>
        </r>
        <r>
          <rPr>
            <sz val="9"/>
            <color indexed="81"/>
            <rFont val="MS P ゴシック"/>
            <family val="3"/>
            <charset val="128"/>
          </rPr>
          <t xml:space="preserve">
「高度処理に要する経費に対する繰入金算出シート」を参照</t>
        </r>
      </text>
    </comment>
    <comment ref="K34" authorId="5" shapeId="0">
      <text>
        <r>
          <rPr>
            <b/>
            <sz val="9"/>
            <color indexed="81"/>
            <rFont val="MS P ゴシック"/>
            <family val="3"/>
            <charset val="128"/>
          </rPr>
          <t>汚水はすべて基準外汚水に入力（高度処理分を除く）</t>
        </r>
        <r>
          <rPr>
            <sz val="9"/>
            <color indexed="81"/>
            <rFont val="MS P ゴシック"/>
            <family val="3"/>
            <charset val="128"/>
          </rPr>
          <t xml:space="preserve">
</t>
        </r>
      </text>
    </comment>
    <comment ref="P34" authorId="0" shapeId="0">
      <text>
        <r>
          <rPr>
            <b/>
            <sz val="9"/>
            <color indexed="81"/>
            <rFont val="ＭＳ Ｐゴシック"/>
            <family val="3"/>
            <charset val="128"/>
          </rPr>
          <t>税込＝税抜　固定</t>
        </r>
      </text>
    </comment>
    <comment ref="Q34" authorId="0" shapeId="0">
      <text>
        <r>
          <rPr>
            <b/>
            <sz val="9"/>
            <color indexed="81"/>
            <rFont val="ＭＳ Ｐゴシック"/>
            <family val="3"/>
            <charset val="128"/>
          </rPr>
          <t>税込＝税抜　固定</t>
        </r>
      </text>
    </comment>
    <comment ref="R34" authorId="0" shapeId="0">
      <text>
        <r>
          <rPr>
            <b/>
            <sz val="9"/>
            <color indexed="81"/>
            <rFont val="ＭＳ Ｐゴシック"/>
            <family val="3"/>
            <charset val="128"/>
          </rPr>
          <t>し尿分を計上していないが、H32～財計以降は、財計経費区分表に記載の上、基準外繰出し対象とすべき。</t>
        </r>
      </text>
    </comment>
    <comment ref="T34" authorId="0" shapeId="0">
      <text>
        <r>
          <rPr>
            <b/>
            <sz val="9"/>
            <color indexed="81"/>
            <rFont val="ＭＳ Ｐゴシック"/>
            <family val="3"/>
            <charset val="128"/>
          </rPr>
          <t>税込＝税抜　固定</t>
        </r>
      </text>
    </comment>
    <comment ref="U34" authorId="0" shapeId="0">
      <text>
        <r>
          <rPr>
            <b/>
            <sz val="9"/>
            <color indexed="81"/>
            <rFont val="ＭＳ Ｐゴシック"/>
            <family val="3"/>
            <charset val="128"/>
          </rPr>
          <t>税込＝税抜　固定</t>
        </r>
      </text>
    </comment>
    <comment ref="F35" authorId="0" shapeId="0">
      <text>
        <r>
          <rPr>
            <b/>
            <sz val="9"/>
            <color indexed="81"/>
            <rFont val="ＭＳ Ｐゴシック"/>
            <family val="3"/>
            <charset val="128"/>
          </rPr>
          <t>除却費雨汚水分け表より</t>
        </r>
      </text>
    </comment>
    <comment ref="K35" authorId="5" shapeId="0">
      <text>
        <r>
          <rPr>
            <b/>
            <sz val="9"/>
            <color indexed="81"/>
            <rFont val="MS P ゴシック"/>
            <family val="3"/>
            <charset val="128"/>
          </rPr>
          <t>すべて基準外汚水に入力</t>
        </r>
        <r>
          <rPr>
            <sz val="9"/>
            <color indexed="81"/>
            <rFont val="MS P ゴシック"/>
            <family val="3"/>
            <charset val="128"/>
          </rPr>
          <t xml:space="preserve">
</t>
        </r>
      </text>
    </comment>
    <comment ref="P35" authorId="0" shapeId="0">
      <text>
        <r>
          <rPr>
            <b/>
            <sz val="9"/>
            <color indexed="81"/>
            <rFont val="ＭＳ Ｐゴシック"/>
            <family val="3"/>
            <charset val="128"/>
          </rPr>
          <t>税込＝税抜　固定</t>
        </r>
      </text>
    </comment>
    <comment ref="Q35" authorId="0" shapeId="0">
      <text>
        <r>
          <rPr>
            <b/>
            <sz val="9"/>
            <color indexed="81"/>
            <rFont val="ＭＳ Ｐゴシック"/>
            <family val="3"/>
            <charset val="128"/>
          </rPr>
          <t>税込＝税抜　固定</t>
        </r>
      </text>
    </comment>
    <comment ref="T35" authorId="0" shapeId="0">
      <text>
        <r>
          <rPr>
            <b/>
            <sz val="9"/>
            <color indexed="81"/>
            <rFont val="ＭＳ Ｐゴシック"/>
            <family val="3"/>
            <charset val="128"/>
          </rPr>
          <t>税込＝税抜　固定</t>
        </r>
      </text>
    </comment>
    <comment ref="U35" authorId="0" shapeId="0">
      <text>
        <r>
          <rPr>
            <b/>
            <sz val="9"/>
            <color indexed="81"/>
            <rFont val="ＭＳ Ｐゴシック"/>
            <family val="3"/>
            <charset val="128"/>
          </rPr>
          <t>税込＝税抜　固定</t>
        </r>
      </text>
    </comment>
    <comment ref="F37" authorId="0" shapeId="0">
      <text>
        <r>
          <rPr>
            <b/>
            <sz val="9"/>
            <color indexed="81"/>
            <rFont val="ＭＳ Ｐゴシック"/>
            <family val="3"/>
            <charset val="128"/>
          </rPr>
          <t>企業債利息雨汚水分け表より</t>
        </r>
      </text>
    </comment>
    <comment ref="H37" authorId="0" shapeId="0">
      <text>
        <r>
          <rPr>
            <b/>
            <sz val="9"/>
            <color indexed="81"/>
            <rFont val="ＭＳ Ｐゴシック"/>
            <family val="3"/>
            <charset val="128"/>
          </rPr>
          <t>し尿分の利子、災害復旧債（区域外分含む）の利子</t>
        </r>
      </text>
    </comment>
    <comment ref="J37" authorId="5" shapeId="0">
      <text>
        <r>
          <rPr>
            <b/>
            <sz val="9"/>
            <color indexed="81"/>
            <rFont val="MS P ゴシック"/>
            <family val="3"/>
            <charset val="128"/>
          </rPr>
          <t>高度処理に係る利子を含む</t>
        </r>
        <r>
          <rPr>
            <sz val="9"/>
            <color indexed="81"/>
            <rFont val="MS P ゴシック"/>
            <family val="3"/>
            <charset val="128"/>
          </rPr>
          <t xml:space="preserve">
</t>
        </r>
      </text>
    </comment>
    <comment ref="P37" authorId="0" shapeId="0">
      <text>
        <r>
          <rPr>
            <b/>
            <sz val="9"/>
            <color indexed="81"/>
            <rFont val="ＭＳ Ｐゴシック"/>
            <family val="3"/>
            <charset val="128"/>
          </rPr>
          <t>税込＝税抜　固定</t>
        </r>
      </text>
    </comment>
    <comment ref="Q37" authorId="0" shapeId="0">
      <text>
        <r>
          <rPr>
            <b/>
            <sz val="9"/>
            <color indexed="81"/>
            <rFont val="ＭＳ Ｐゴシック"/>
            <family val="3"/>
            <charset val="128"/>
          </rPr>
          <t>税込＝税抜　固定</t>
        </r>
      </text>
    </comment>
    <comment ref="R37" authorId="0" shapeId="0">
      <text>
        <r>
          <rPr>
            <b/>
            <sz val="9"/>
            <color indexed="81"/>
            <rFont val="ＭＳ Ｐゴシック"/>
            <family val="3"/>
            <charset val="128"/>
          </rPr>
          <t>税込＝税抜　固定</t>
        </r>
      </text>
    </comment>
    <comment ref="T37" authorId="0" shapeId="0">
      <text>
        <r>
          <rPr>
            <b/>
            <sz val="9"/>
            <color indexed="81"/>
            <rFont val="ＭＳ Ｐゴシック"/>
            <family val="3"/>
            <charset val="128"/>
          </rPr>
          <t>税込＝税抜　固定</t>
        </r>
      </text>
    </comment>
    <comment ref="U37" authorId="0" shapeId="0">
      <text>
        <r>
          <rPr>
            <b/>
            <sz val="9"/>
            <color indexed="81"/>
            <rFont val="ＭＳ Ｐゴシック"/>
            <family val="3"/>
            <charset val="128"/>
          </rPr>
          <t>税込＝税抜　固定</t>
        </r>
      </text>
    </comment>
    <comment ref="F38" authorId="0" shapeId="0">
      <text>
        <r>
          <rPr>
            <b/>
            <sz val="9"/>
            <color indexed="81"/>
            <rFont val="ＭＳ Ｐゴシック"/>
            <family val="3"/>
            <charset val="128"/>
          </rPr>
          <t>利息雨汚水から分けて拾うべき
21371910</t>
        </r>
      </text>
    </comment>
    <comment ref="K38" authorId="0" shapeId="0">
      <text>
        <r>
          <rPr>
            <b/>
            <sz val="9"/>
            <color indexed="81"/>
            <rFont val="ＭＳ Ｐゴシック"/>
            <family val="3"/>
            <charset val="128"/>
          </rPr>
          <t>利息雨汚水から分けて拾うべき
25588999</t>
        </r>
      </text>
    </comment>
    <comment ref="D42" authorId="0" shapeId="0">
      <text>
        <r>
          <rPr>
            <b/>
            <sz val="9"/>
            <color indexed="81"/>
            <rFont val="ＭＳ Ｐゴシック"/>
            <family val="3"/>
            <charset val="128"/>
          </rPr>
          <t>過年度の償却漏れ・除却もれを修正損で執行した場合に使う。</t>
        </r>
      </text>
    </comment>
    <comment ref="F42" authorId="0" shapeId="0">
      <text>
        <r>
          <rPr>
            <b/>
            <sz val="9"/>
            <color indexed="81"/>
            <rFont val="ＭＳ Ｐゴシック"/>
            <family val="3"/>
            <charset val="128"/>
          </rPr>
          <t>固定資産担当に数字を作ってもらう。H26,H27に実績有あり）</t>
        </r>
      </text>
    </comment>
    <comment ref="P42" authorId="0" shapeId="0">
      <text>
        <r>
          <rPr>
            <b/>
            <sz val="9"/>
            <color indexed="81"/>
            <rFont val="ＭＳ Ｐゴシック"/>
            <family val="3"/>
            <charset val="128"/>
          </rPr>
          <t>税込＝税抜　固定</t>
        </r>
      </text>
    </comment>
    <comment ref="Q42" authorId="0" shapeId="0">
      <text>
        <r>
          <rPr>
            <b/>
            <sz val="9"/>
            <color indexed="81"/>
            <rFont val="ＭＳ Ｐゴシック"/>
            <family val="3"/>
            <charset val="128"/>
          </rPr>
          <t>税込＝税抜　固定</t>
        </r>
      </text>
    </comment>
    <comment ref="T42" authorId="0" shapeId="0">
      <text>
        <r>
          <rPr>
            <b/>
            <sz val="9"/>
            <color indexed="81"/>
            <rFont val="ＭＳ Ｐゴシック"/>
            <family val="3"/>
            <charset val="128"/>
          </rPr>
          <t>税込＝税抜　固定</t>
        </r>
      </text>
    </comment>
    <comment ref="U42" authorId="0" shapeId="0">
      <text>
        <r>
          <rPr>
            <b/>
            <sz val="9"/>
            <color indexed="81"/>
            <rFont val="ＭＳ Ｐゴシック"/>
            <family val="3"/>
            <charset val="128"/>
          </rPr>
          <t>税込＝税抜　固定</t>
        </r>
      </text>
    </comment>
    <comment ref="P43" authorId="0" shapeId="0">
      <text>
        <r>
          <rPr>
            <b/>
            <sz val="9"/>
            <color indexed="81"/>
            <rFont val="ＭＳ Ｐゴシック"/>
            <family val="3"/>
            <charset val="128"/>
          </rPr>
          <t>税込＝税抜　固定</t>
        </r>
      </text>
    </comment>
    <comment ref="Q43" authorId="0" shapeId="0">
      <text>
        <r>
          <rPr>
            <b/>
            <sz val="9"/>
            <color indexed="81"/>
            <rFont val="ＭＳ Ｐゴシック"/>
            <family val="3"/>
            <charset val="128"/>
          </rPr>
          <t>税込＝税抜　固定</t>
        </r>
      </text>
    </comment>
    <comment ref="T43" authorId="0" shapeId="0">
      <text>
        <r>
          <rPr>
            <b/>
            <sz val="9"/>
            <color indexed="81"/>
            <rFont val="ＭＳ Ｐゴシック"/>
            <family val="3"/>
            <charset val="128"/>
          </rPr>
          <t>税込＝税抜　固定</t>
        </r>
      </text>
    </comment>
    <comment ref="U43" authorId="0" shapeId="0">
      <text>
        <r>
          <rPr>
            <b/>
            <sz val="9"/>
            <color indexed="81"/>
            <rFont val="ＭＳ Ｐゴシック"/>
            <family val="3"/>
            <charset val="128"/>
          </rPr>
          <t>税込＝税抜　固定</t>
        </r>
      </text>
    </comment>
    <comment ref="F44" authorId="0" shapeId="0">
      <text>
        <r>
          <rPr>
            <sz val="9"/>
            <color indexed="81"/>
            <rFont val="ＭＳ Ｐゴシック"/>
            <family val="3"/>
            <charset val="128"/>
          </rPr>
          <t>減損対象資産の排水区分により、雨汚水を仕訳する。</t>
        </r>
      </text>
    </comment>
    <comment ref="K44" authorId="0" shapeId="0">
      <text>
        <r>
          <rPr>
            <sz val="9"/>
            <color indexed="81"/>
            <rFont val="ＭＳ Ｐゴシック"/>
            <family val="3"/>
            <charset val="128"/>
          </rPr>
          <t>減損対象資産の排水区分により、雨汚水を仕訳する。</t>
        </r>
      </text>
    </comment>
    <comment ref="P44" authorId="0" shapeId="0">
      <text>
        <r>
          <rPr>
            <b/>
            <sz val="9"/>
            <color indexed="81"/>
            <rFont val="ＭＳ Ｐゴシック"/>
            <family val="3"/>
            <charset val="128"/>
          </rPr>
          <t>税込＝税抜　固定</t>
        </r>
      </text>
    </comment>
    <comment ref="U44" authorId="0" shapeId="0">
      <text>
        <r>
          <rPr>
            <b/>
            <sz val="9"/>
            <color indexed="81"/>
            <rFont val="ＭＳ Ｐゴシック"/>
            <family val="3"/>
            <charset val="128"/>
          </rPr>
          <t>税込＝税抜　固定</t>
        </r>
      </text>
    </comment>
    <comment ref="D61" authorId="0" shapeId="0">
      <text>
        <r>
          <rPr>
            <b/>
            <sz val="9"/>
            <color indexed="81"/>
            <rFont val="ＭＳ Ｐゴシック"/>
            <family val="3"/>
            <charset val="128"/>
          </rPr>
          <t>産物売却代金（西部汚水処理の特財）</t>
        </r>
      </text>
    </comment>
    <comment ref="U61" authorId="0" shapeId="0">
      <text>
        <r>
          <rPr>
            <b/>
            <sz val="9"/>
            <color indexed="81"/>
            <rFont val="ＭＳ Ｐゴシック"/>
            <family val="3"/>
            <charset val="128"/>
          </rPr>
          <t>産物売却代金（西部汚水処理の特財）
=+'3条収入'!E20</t>
        </r>
      </text>
    </comment>
    <comment ref="D62" authorId="0" shapeId="0">
      <text>
        <r>
          <rPr>
            <b/>
            <sz val="9"/>
            <color indexed="81"/>
            <rFont val="ＭＳ Ｐゴシック"/>
            <family val="3"/>
            <charset val="128"/>
          </rPr>
          <t>主に管きょ費の特財</t>
        </r>
      </text>
    </comment>
    <comment ref="P62" authorId="0" shapeId="0">
      <text>
        <r>
          <rPr>
            <sz val="9"/>
            <color indexed="81"/>
            <rFont val="ＭＳ Ｐゴシック"/>
            <family val="3"/>
            <charset val="128"/>
          </rPr>
          <t>=+'I:\経理係フォルダ\☆決算事務\２８年度決算\06 H28決算　消費税計算\財務会計データ\３条\収入\[H28 4811400その他営業収益.xls]その他営業収益'!$AI$6</t>
        </r>
      </text>
    </comment>
    <comment ref="Q62" authorId="0" shapeId="0">
      <text>
        <r>
          <rPr>
            <sz val="9"/>
            <color indexed="81"/>
            <rFont val="ＭＳ Ｐゴシック"/>
            <family val="3"/>
            <charset val="128"/>
          </rPr>
          <t>=+'I:\経理係フォルダ\☆決算事務\２８年度決算\06 H28決算　消費税計算\財務会計データ\３条\収入\[H28 4811400その他営業収益.xls]その他営業収益'!$AJ$6</t>
        </r>
      </text>
    </comment>
    <comment ref="D63" authorId="0" shapeId="0">
      <text>
        <r>
          <rPr>
            <b/>
            <sz val="9"/>
            <color indexed="81"/>
            <rFont val="ＭＳ Ｐゴシック"/>
            <family val="3"/>
            <charset val="128"/>
          </rPr>
          <t>主に管きょ費の特財</t>
        </r>
      </text>
    </comment>
    <comment ref="R63" authorId="0" shapeId="0">
      <text>
        <r>
          <rPr>
            <b/>
            <sz val="9"/>
            <color indexed="81"/>
            <rFont val="ＭＳ Ｐゴシック"/>
            <family val="3"/>
            <charset val="128"/>
          </rPr>
          <t>管きょ費開発行為関係業務のの特財</t>
        </r>
      </text>
    </comment>
    <comment ref="D64" authorId="0" shapeId="0">
      <text>
        <r>
          <rPr>
            <b/>
            <sz val="9"/>
            <color indexed="81"/>
            <rFont val="ＭＳ Ｐゴシック"/>
            <family val="3"/>
            <charset val="128"/>
          </rPr>
          <t>普及促進費の特財</t>
        </r>
      </text>
    </comment>
    <comment ref="R64" authorId="0" shapeId="0">
      <text>
        <r>
          <rPr>
            <b/>
            <sz val="9"/>
            <color indexed="81"/>
            <rFont val="ＭＳ Ｐゴシック"/>
            <family val="3"/>
            <charset val="128"/>
          </rPr>
          <t>普及促進費の特財</t>
        </r>
      </text>
    </comment>
    <comment ref="R65" authorId="0" shapeId="0">
      <text>
        <r>
          <rPr>
            <b/>
            <sz val="9"/>
            <color indexed="81"/>
            <rFont val="ＭＳ Ｐゴシック"/>
            <family val="3"/>
            <charset val="128"/>
          </rPr>
          <t>普及促進費の特財</t>
        </r>
      </text>
    </comment>
    <comment ref="D70" authorId="0" shapeId="0">
      <text>
        <r>
          <rPr>
            <b/>
            <sz val="9"/>
            <color indexed="81"/>
            <rFont val="ＭＳ Ｐゴシック"/>
            <family val="3"/>
            <charset val="128"/>
          </rPr>
          <t>主にポンプ場費の特財</t>
        </r>
      </text>
    </comment>
    <comment ref="P70" authorId="0" shapeId="0">
      <text>
        <r>
          <rPr>
            <b/>
            <sz val="9"/>
            <color indexed="81"/>
            <rFont val="ＭＳ Ｐゴシック"/>
            <family val="3"/>
            <charset val="128"/>
          </rPr>
          <t>主にポンプ場費の特財</t>
        </r>
      </text>
    </comment>
    <comment ref="U70" authorId="0" shapeId="0">
      <text>
        <r>
          <rPr>
            <b/>
            <sz val="9"/>
            <color indexed="81"/>
            <rFont val="ＭＳ Ｐゴシック"/>
            <family val="3"/>
            <charset val="128"/>
          </rPr>
          <t>主にポンプ場費の特財</t>
        </r>
      </text>
    </comment>
    <comment ref="D77" authorId="0" shapeId="0">
      <text>
        <r>
          <rPr>
            <b/>
            <sz val="9"/>
            <color indexed="81"/>
            <rFont val="ＭＳ Ｐゴシック"/>
            <family val="3"/>
            <charset val="128"/>
          </rPr>
          <t>過去の仕入れ対価の返還
過去の課税売上の返還
貸倒引当金取崩額に係る調整等</t>
        </r>
      </text>
    </comment>
    <comment ref="E77" authorId="0" shapeId="0">
      <text>
        <r>
          <rPr>
            <b/>
            <sz val="9"/>
            <color indexed="81"/>
            <rFont val="ＭＳ Ｐゴシック"/>
            <family val="3"/>
            <charset val="128"/>
          </rPr>
          <t>ここでは入力不要！
下の消費税雑支出加算後の表に自動表示される。）</t>
        </r>
      </text>
    </comment>
    <comment ref="N77" authorId="0" shapeId="0">
      <text>
        <r>
          <rPr>
            <b/>
            <sz val="9"/>
            <color indexed="81"/>
            <rFont val="ＭＳ Ｐゴシック"/>
            <family val="3"/>
            <charset val="128"/>
          </rPr>
          <t>過去の仕入れ対価の返還
過去の課税売上の返還
貸倒引当金取崩額に係る調整等</t>
        </r>
      </text>
    </comment>
    <comment ref="O77" authorId="0" shapeId="0">
      <text>
        <r>
          <rPr>
            <b/>
            <sz val="9"/>
            <color indexed="81"/>
            <rFont val="ＭＳ Ｐゴシック"/>
            <family val="3"/>
            <charset val="128"/>
          </rPr>
          <t>ここでは入力不要！
下の消費税雑支出加算後の表に自動表示される。）</t>
        </r>
      </text>
    </comment>
    <comment ref="X77" authorId="0" shapeId="0">
      <text>
        <r>
          <rPr>
            <b/>
            <sz val="9"/>
            <color indexed="81"/>
            <rFont val="ＭＳ Ｐゴシック"/>
            <family val="3"/>
            <charset val="128"/>
          </rPr>
          <t>貸倒引当金取崩額に係る調整</t>
        </r>
      </text>
    </comment>
    <comment ref="H82" authorId="0" shapeId="0">
      <text>
        <r>
          <rPr>
            <b/>
            <sz val="9"/>
            <color indexed="10"/>
            <rFont val="ＭＳ Ｐゴシック"/>
            <family val="3"/>
            <charset val="128"/>
          </rPr>
          <t>次期財計で使用料、貸付、受益者の貸倒引当金の雨汚水区分を変更した場合には、戻入益の雨汚水区分も変更する。（実際の作業は、収入雨汚水内訳シート内で行う。）</t>
        </r>
      </text>
    </comment>
    <comment ref="F85" authorId="0" shapeId="0">
      <text>
        <r>
          <rPr>
            <b/>
            <sz val="9"/>
            <color indexed="81"/>
            <rFont val="ＭＳ Ｐゴシック"/>
            <family val="3"/>
            <charset val="128"/>
          </rPr>
          <t>減価償却費雨汚水分け表より</t>
        </r>
      </text>
    </comment>
    <comment ref="H85" authorId="0" shapeId="0">
      <text>
        <r>
          <rPr>
            <b/>
            <sz val="9"/>
            <color indexed="81"/>
            <rFont val="ＭＳ Ｐゴシック"/>
            <family val="3"/>
            <charset val="128"/>
          </rPr>
          <t>し尿分を計上していないが、H32～財計以降は、財計経費区分表に記載の上、基準外繰出し対象とすべき。→財政課査定で対象とならなかった。</t>
        </r>
      </text>
    </comment>
    <comment ref="J85" authorId="5" shapeId="0">
      <text>
        <r>
          <rPr>
            <b/>
            <sz val="9"/>
            <color indexed="81"/>
            <rFont val="MS P ゴシック"/>
            <family val="3"/>
            <charset val="128"/>
          </rPr>
          <t>高度処理に係る長期前受入額(高度処理分を按分算定)</t>
        </r>
      </text>
    </comment>
    <comment ref="K85" authorId="5" shapeId="0">
      <text>
        <r>
          <rPr>
            <b/>
            <sz val="9"/>
            <color indexed="81"/>
            <rFont val="MS P ゴシック"/>
            <family val="3"/>
            <charset val="128"/>
          </rPr>
          <t>すべて基準外汚水に入力(高度処理分を除く)</t>
        </r>
        <r>
          <rPr>
            <sz val="9"/>
            <color indexed="81"/>
            <rFont val="MS P ゴシック"/>
            <family val="3"/>
            <charset val="128"/>
          </rPr>
          <t xml:space="preserve">
</t>
        </r>
      </text>
    </comment>
    <comment ref="P85" authorId="0" shapeId="0">
      <text>
        <r>
          <rPr>
            <b/>
            <sz val="9"/>
            <color indexed="81"/>
            <rFont val="ＭＳ Ｐゴシック"/>
            <family val="3"/>
            <charset val="128"/>
          </rPr>
          <t>税込＝税抜　固定</t>
        </r>
      </text>
    </comment>
    <comment ref="Q85" authorId="0" shapeId="0">
      <text>
        <r>
          <rPr>
            <b/>
            <sz val="9"/>
            <color indexed="81"/>
            <rFont val="ＭＳ Ｐゴシック"/>
            <family val="3"/>
            <charset val="128"/>
          </rPr>
          <t>税込＝税抜　固定</t>
        </r>
      </text>
    </comment>
    <comment ref="R85" authorId="0" shapeId="0">
      <text>
        <r>
          <rPr>
            <b/>
            <sz val="9"/>
            <color indexed="81"/>
            <rFont val="ＭＳ Ｐゴシック"/>
            <family val="3"/>
            <charset val="128"/>
          </rPr>
          <t>し尿分を計上していないが、H32～財計以降は、財計経費区分表に記載の上、基準外繰出し対象とすべき。</t>
        </r>
      </text>
    </comment>
    <comment ref="T85" authorId="0" shapeId="0">
      <text>
        <r>
          <rPr>
            <b/>
            <sz val="9"/>
            <color indexed="81"/>
            <rFont val="ＭＳ Ｐゴシック"/>
            <family val="3"/>
            <charset val="128"/>
          </rPr>
          <t>税込＝税抜　固定</t>
        </r>
      </text>
    </comment>
    <comment ref="U85" authorId="0" shapeId="0">
      <text>
        <r>
          <rPr>
            <b/>
            <sz val="9"/>
            <color indexed="81"/>
            <rFont val="ＭＳ Ｐゴシック"/>
            <family val="3"/>
            <charset val="128"/>
          </rPr>
          <t>税込＝税抜　固定</t>
        </r>
      </text>
    </comment>
    <comment ref="F86" authorId="0" shapeId="0">
      <text>
        <r>
          <rPr>
            <b/>
            <sz val="9"/>
            <color indexed="81"/>
            <rFont val="ＭＳ Ｐゴシック"/>
            <family val="3"/>
            <charset val="128"/>
          </rPr>
          <t>除却費雨汚水分け表より</t>
        </r>
      </text>
    </comment>
    <comment ref="K86" authorId="5" shapeId="0">
      <text>
        <r>
          <rPr>
            <b/>
            <sz val="9"/>
            <color indexed="81"/>
            <rFont val="MS P ゴシック"/>
            <family val="3"/>
            <charset val="128"/>
          </rPr>
          <t>すべて基準外汚水に入力</t>
        </r>
        <r>
          <rPr>
            <sz val="9"/>
            <color indexed="81"/>
            <rFont val="MS P ゴシック"/>
            <family val="3"/>
            <charset val="128"/>
          </rPr>
          <t xml:space="preserve">
</t>
        </r>
      </text>
    </comment>
    <comment ref="O86" authorId="0" shapeId="0">
      <text>
        <r>
          <rPr>
            <b/>
            <sz val="9"/>
            <color indexed="81"/>
            <rFont val="ＭＳ Ｐゴシック"/>
            <family val="3"/>
            <charset val="128"/>
          </rPr>
          <t>税込＝税抜　固定</t>
        </r>
      </text>
    </comment>
    <comment ref="P86" authorId="0" shapeId="0">
      <text>
        <r>
          <rPr>
            <b/>
            <sz val="9"/>
            <color indexed="81"/>
            <rFont val="ＭＳ Ｐゴシック"/>
            <family val="3"/>
            <charset val="128"/>
          </rPr>
          <t>税込＝税抜　固定</t>
        </r>
      </text>
    </comment>
    <comment ref="Q86" authorId="0" shapeId="0">
      <text>
        <r>
          <rPr>
            <b/>
            <sz val="9"/>
            <color indexed="81"/>
            <rFont val="ＭＳ Ｐゴシック"/>
            <family val="3"/>
            <charset val="128"/>
          </rPr>
          <t>税込＝税抜　固定</t>
        </r>
      </text>
    </comment>
    <comment ref="T86" authorId="0" shapeId="0">
      <text>
        <r>
          <rPr>
            <b/>
            <sz val="9"/>
            <color indexed="81"/>
            <rFont val="ＭＳ Ｐゴシック"/>
            <family val="3"/>
            <charset val="128"/>
          </rPr>
          <t>税込＝税抜　固定</t>
        </r>
      </text>
    </comment>
    <comment ref="U86" authorId="0" shapeId="0">
      <text>
        <r>
          <rPr>
            <b/>
            <sz val="9"/>
            <color indexed="81"/>
            <rFont val="ＭＳ Ｐゴシック"/>
            <family val="3"/>
            <charset val="128"/>
          </rPr>
          <t>税込＝税抜　固定</t>
        </r>
      </text>
    </comment>
    <comment ref="F88" authorId="0" shapeId="0">
      <text>
        <r>
          <rPr>
            <sz val="9"/>
            <color indexed="81"/>
            <rFont val="ＭＳ Ｐゴシック"/>
            <family val="3"/>
            <charset val="128"/>
          </rPr>
          <t>企業債利息の支出額割合で按分</t>
        </r>
      </text>
    </comment>
    <comment ref="K88" authorId="0" shapeId="0">
      <text>
        <r>
          <rPr>
            <sz val="9"/>
            <color indexed="81"/>
            <rFont val="ＭＳ Ｐゴシック"/>
            <family val="3"/>
            <charset val="128"/>
          </rPr>
          <t>企業債利息の支出額割合で按分</t>
        </r>
      </text>
    </comment>
    <comment ref="P88" authorId="0" shapeId="0">
      <text>
        <r>
          <rPr>
            <b/>
            <sz val="9"/>
            <color indexed="81"/>
            <rFont val="ＭＳ Ｐゴシック"/>
            <family val="3"/>
            <charset val="128"/>
          </rPr>
          <t>税込＝税抜　固定</t>
        </r>
      </text>
    </comment>
    <comment ref="U88" authorId="0" shapeId="0">
      <text>
        <r>
          <rPr>
            <b/>
            <sz val="9"/>
            <color indexed="81"/>
            <rFont val="ＭＳ Ｐゴシック"/>
            <family val="3"/>
            <charset val="128"/>
          </rPr>
          <t>税込＝税抜　固定</t>
        </r>
      </text>
    </comment>
    <comment ref="K89" authorId="0" shapeId="0">
      <text>
        <r>
          <rPr>
            <sz val="9"/>
            <color indexed="81"/>
            <rFont val="ＭＳ Ｐゴシック"/>
            <family val="3"/>
            <charset val="128"/>
          </rPr>
          <t>減免分は、汚水基準外の特財</t>
        </r>
      </text>
    </comment>
    <comment ref="P93" authorId="0" shapeId="0">
      <text>
        <r>
          <rPr>
            <b/>
            <sz val="9"/>
            <color indexed="81"/>
            <rFont val="ＭＳ Ｐゴシック"/>
            <family val="3"/>
            <charset val="128"/>
          </rPr>
          <t>税込＝税抜　固定</t>
        </r>
      </text>
    </comment>
    <comment ref="Q93" authorId="0" shapeId="0">
      <text>
        <r>
          <rPr>
            <b/>
            <sz val="9"/>
            <color indexed="81"/>
            <rFont val="ＭＳ Ｐゴシック"/>
            <family val="3"/>
            <charset val="128"/>
          </rPr>
          <t>税込＝税抜　固定</t>
        </r>
      </text>
    </comment>
    <comment ref="T93" authorId="0" shapeId="0">
      <text>
        <r>
          <rPr>
            <b/>
            <sz val="9"/>
            <color indexed="81"/>
            <rFont val="ＭＳ Ｐゴシック"/>
            <family val="3"/>
            <charset val="128"/>
          </rPr>
          <t>税込＝税抜　固定</t>
        </r>
      </text>
    </comment>
    <comment ref="U93" authorId="0" shapeId="0">
      <text>
        <r>
          <rPr>
            <b/>
            <sz val="9"/>
            <color indexed="81"/>
            <rFont val="ＭＳ Ｐゴシック"/>
            <family val="3"/>
            <charset val="128"/>
          </rPr>
          <t>税込＝税抜　固定</t>
        </r>
      </text>
    </comment>
    <comment ref="P94" authorId="0" shapeId="0">
      <text>
        <r>
          <rPr>
            <b/>
            <sz val="9"/>
            <color indexed="81"/>
            <rFont val="ＭＳ Ｐゴシック"/>
            <family val="3"/>
            <charset val="128"/>
          </rPr>
          <t>税込＝税抜　固定</t>
        </r>
      </text>
    </comment>
    <comment ref="Q94" authorId="0" shapeId="0">
      <text>
        <r>
          <rPr>
            <b/>
            <sz val="9"/>
            <color indexed="81"/>
            <rFont val="ＭＳ Ｐゴシック"/>
            <family val="3"/>
            <charset val="128"/>
          </rPr>
          <t>税込＝税抜　固定</t>
        </r>
      </text>
    </comment>
    <comment ref="T94" authorId="0" shapeId="0">
      <text>
        <r>
          <rPr>
            <b/>
            <sz val="9"/>
            <color indexed="81"/>
            <rFont val="ＭＳ Ｐゴシック"/>
            <family val="3"/>
            <charset val="128"/>
          </rPr>
          <t>税込＝税抜　固定</t>
        </r>
      </text>
    </comment>
    <comment ref="U94" authorId="0" shapeId="0">
      <text>
        <r>
          <rPr>
            <b/>
            <sz val="9"/>
            <color indexed="81"/>
            <rFont val="ＭＳ Ｐゴシック"/>
            <family val="3"/>
            <charset val="128"/>
          </rPr>
          <t>税込＝税抜　固定</t>
        </r>
      </text>
    </comment>
    <comment ref="F95" authorId="0" shapeId="0">
      <text>
        <r>
          <rPr>
            <sz val="9"/>
            <color indexed="81"/>
            <rFont val="ＭＳ Ｐゴシック"/>
            <family val="3"/>
            <charset val="128"/>
          </rPr>
          <t>減損対象資産の排水区分により、雨汚水を仕訳する。</t>
        </r>
      </text>
    </comment>
    <comment ref="K95" authorId="0" shapeId="0">
      <text>
        <r>
          <rPr>
            <sz val="9"/>
            <color indexed="81"/>
            <rFont val="ＭＳ Ｐゴシック"/>
            <family val="3"/>
            <charset val="128"/>
          </rPr>
          <t>減損対象資産の排水区分により、雨汚水を仕訳する。</t>
        </r>
      </text>
    </comment>
    <comment ref="P95" authorId="0" shapeId="0">
      <text>
        <r>
          <rPr>
            <b/>
            <sz val="9"/>
            <color indexed="81"/>
            <rFont val="ＭＳ Ｐゴシック"/>
            <family val="3"/>
            <charset val="128"/>
          </rPr>
          <t>税込＝税抜　固定</t>
        </r>
      </text>
    </comment>
    <comment ref="U95" authorId="0" shapeId="0">
      <text>
        <r>
          <rPr>
            <b/>
            <sz val="9"/>
            <color indexed="81"/>
            <rFont val="ＭＳ Ｐゴシック"/>
            <family val="3"/>
            <charset val="128"/>
          </rPr>
          <t>税込＝税抜　固定</t>
        </r>
      </text>
    </comment>
    <comment ref="K111" authorId="0" shapeId="0">
      <text>
        <r>
          <rPr>
            <b/>
            <sz val="9"/>
            <color indexed="10"/>
            <rFont val="ＭＳ Ｐゴシック"/>
            <family val="3"/>
            <charset val="128"/>
          </rPr>
          <t>=+IF(SUM(U137:U139,-U133)&gt;=0,U120+AJ120,U120+AJ120+AJ139+AJ141)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U111" authorId="0" shapeId="0">
      <text>
        <r>
          <rPr>
            <b/>
            <sz val="9"/>
            <color indexed="10"/>
            <rFont val="ＭＳ Ｐゴシック"/>
            <family val="3"/>
            <charset val="128"/>
          </rPr>
          <t>=+IF(U140&gt;0,0,-U140)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Y111" authorId="0" shapeId="0">
      <text>
        <r>
          <rPr>
            <b/>
            <sz val="9"/>
            <color indexed="81"/>
            <rFont val="ＭＳ Ｐゴシック"/>
            <family val="3"/>
            <charset val="128"/>
          </rPr>
          <t>【区域外用】　減免分を充当してもなお。汚水基準外に赤字が出る場合には、赤字分を雨水処理負担金に計上して、赤字を消す。基本的な考え方は、汚水基準外を除く（維持管理費-維持管理費充当財源）-減免分を除く他の維持管理費充当繰入額</t>
        </r>
      </text>
    </comment>
    <comment ref="Z114" authorId="0" shapeId="0">
      <text>
        <r>
          <rPr>
            <b/>
            <sz val="9"/>
            <color indexed="81"/>
            <rFont val="ＭＳ Ｐゴシック"/>
            <family val="3"/>
            <charset val="128"/>
          </rPr>
          <t>利息分には、控除不可消費税は発生しない。</t>
        </r>
      </text>
    </comment>
    <comment ref="AC116" authorId="0" shapeId="0">
      <text>
        <r>
          <rPr>
            <b/>
            <sz val="9"/>
            <color indexed="81"/>
            <rFont val="ＭＳ Ｐゴシック"/>
            <family val="3"/>
            <charset val="128"/>
          </rPr>
          <t>税込支出に揃えるために加除しているが、加算するのは必要のない繰入を受けているように見えるため、腑に落ちない。マイナスのときは、税込まで減額し、プラスのときは、加算しなければいいのではないか。</t>
        </r>
      </text>
    </comment>
    <comment ref="K122" authorId="0" shapeId="0">
      <text>
        <r>
          <rPr>
            <b/>
            <sz val="9"/>
            <color indexed="10"/>
            <rFont val="ＭＳ Ｐゴシック"/>
            <family val="3"/>
            <charset val="128"/>
          </rPr>
          <t>=+U130+AJ130+IF(SUM(U137:U139,-U133)&gt;=0,U120+AJ120,U120+AJ120+AJ139+AJ141)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2" authorId="0" shapeId="0">
      <text>
        <r>
          <rPr>
            <b/>
            <sz val="9"/>
            <color indexed="10"/>
            <rFont val="ＭＳ Ｐゴシック"/>
            <family val="3"/>
            <charset val="128"/>
          </rPr>
          <t>=-IF($U$140=0,0,IF($U$137&gt;0,0,U137))
全事業分で赤字が出る場合は、このセルの数式を使用する。
区域外分に、減免分を充当してもなお。汚水基準外に赤字が出る場合には、赤字分を雨水処理負担金に計上して赤字を消すため、このセルの数式は削除する。</t>
        </r>
      </text>
    </comment>
    <comment ref="K123" authorId="0" shapeId="0">
      <text>
        <r>
          <rPr>
            <b/>
            <sz val="9"/>
            <color indexed="10"/>
            <rFont val="ＭＳ Ｐゴシック"/>
            <family val="3"/>
            <charset val="128"/>
          </rPr>
          <t>=+U131+AJ131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3" authorId="0" shapeId="0">
      <text>
        <r>
          <rPr>
            <b/>
            <sz val="9"/>
            <color indexed="10"/>
            <rFont val="ＭＳ Ｐゴシック"/>
            <family val="3"/>
            <charset val="128"/>
          </rPr>
          <t>=-IF($U$140=0,0,IF($U$137&gt;0,ROUND($U$140*U138/($U$138+$U$139),0),U138))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K124" authorId="0" shapeId="0">
      <text>
        <r>
          <rPr>
            <b/>
            <sz val="9"/>
            <color indexed="10"/>
            <rFont val="ＭＳ Ｐゴシック"/>
            <family val="3"/>
            <charset val="128"/>
          </rPr>
          <t>=+U132+AJ132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4" authorId="0" shapeId="0">
      <text>
        <r>
          <rPr>
            <b/>
            <sz val="9"/>
            <color indexed="10"/>
            <rFont val="ＭＳ Ｐゴシック"/>
            <family val="3"/>
            <charset val="128"/>
          </rPr>
          <t>=-IF($U$140=0,0,IF($U$137&gt;0,U140+U131,U139))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List>
</comments>
</file>

<file path=xl/comments2.xml><?xml version="1.0" encoding="utf-8"?>
<comments xmlns="http://schemas.openxmlformats.org/spreadsheetml/2006/main">
  <authors>
    <author>楠 宏</author>
    <author>4202453</author>
    <author>広島市</author>
  </authors>
  <commentList>
    <comment ref="E7" authorId="0"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F7" authorId="0"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G7" authorId="0"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J7" authorId="0"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E9" authorId="0"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F9" authorId="0"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J9" authorId="0"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E10" authorId="0" shapeId="0">
      <text>
        <r>
          <rPr>
            <sz val="9"/>
            <color indexed="81"/>
            <rFont val="ＭＳ Ｐゴシック"/>
            <family val="3"/>
            <charset val="128"/>
          </rPr>
          <t>='I:\経理係フォルダ\☆決算事務\２８年度決算\07 H28雨汚水分け\雨汚水分け\[Ｈ28年度決算処理場費　雨汚水.xls]総括表'!$C$30</t>
        </r>
      </text>
    </comment>
    <comment ref="F10" authorId="0" shapeId="0">
      <text>
        <r>
          <rPr>
            <sz val="9"/>
            <color indexed="81"/>
            <rFont val="ＭＳ Ｐゴシック"/>
            <family val="3"/>
            <charset val="128"/>
          </rPr>
          <t>='I:\経理係フォルダ\☆決算事務\２８年度決算\07 H28雨汚水分け\雨汚水分け\[Ｈ28年度決算処理場費　雨汚水.xls]総括表'!$I$30</t>
        </r>
      </text>
    </comment>
    <comment ref="G10" authorId="0" shapeId="0">
      <text>
        <r>
          <rPr>
            <sz val="9"/>
            <color indexed="81"/>
            <rFont val="ＭＳ Ｐゴシック"/>
            <family val="3"/>
            <charset val="128"/>
          </rPr>
          <t>='I:\経理係フォルダ\☆決算事務\２８年度決算\07 H28雨汚水分け\雨汚水分け\[Ｈ28年度決算処理場費　雨汚水.xls]総括表'!$J$30</t>
        </r>
      </text>
    </comment>
    <comment ref="I10" authorId="0" shapeId="0">
      <text>
        <r>
          <rPr>
            <sz val="9"/>
            <color indexed="81"/>
            <rFont val="ＭＳ Ｐゴシック"/>
            <family val="3"/>
            <charset val="128"/>
          </rPr>
          <t>='I:\経理係フォルダ\☆決算事務\２８年度決算\07 H28雨汚水分け\雨汚水分け\[Ｈ28年度決算処理場費　雨汚水.xls]総括表'!$G$30</t>
        </r>
      </text>
    </comment>
    <comment ref="J10" authorId="0"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G12" authorId="1" shapeId="0">
      <text>
        <r>
          <rPr>
            <sz val="9"/>
            <color indexed="81"/>
            <rFont val="ＭＳ Ｐゴシック"/>
            <family val="3"/>
            <charset val="128"/>
          </rPr>
          <t>・普及相談員の報酬
・ 生活扶助世帯に対する水洗便所設備費補助金
・ 私道内下水管敷設工事費補助金
※「雨汚水の経費区分」を参照</t>
        </r>
      </text>
    </comment>
    <comment ref="G14" authorId="1"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I15" authorId="2" shapeId="0">
      <text>
        <r>
          <rPr>
            <sz val="9"/>
            <color indexed="81"/>
            <rFont val="ＭＳ Ｐゴシック"/>
            <family val="3"/>
            <charset val="128"/>
          </rPr>
          <t xml:space="preserve">H28から削除　下は元の式
=ROUND(($O15-$G15)*(I8+I10+I12)/($E7+$E9+$E10+$F7+$F9+$F10+$I8+$I10+$I12+$J7+$J9+$J10+$J12+$J14),0)
</t>
        </r>
      </text>
    </comment>
    <comment ref="G16"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雨汚水＜特環＞.xls]総括'!$N$20</t>
        </r>
      </text>
    </comment>
    <comment ref="G17"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雨汚水＜農集＞.xls]総括'!$N$19</t>
        </r>
      </text>
    </comment>
    <comment ref="G18"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雨汚水＜浄化槽＞.xls]総括'!$N$19</t>
        </r>
      </text>
    </comment>
    <comment ref="E20" authorId="0" shapeId="0">
      <text>
        <r>
          <rPr>
            <sz val="9"/>
            <color indexed="81"/>
            <rFont val="ＭＳ Ｐゴシック"/>
            <family val="3"/>
            <charset val="128"/>
          </rPr>
          <t>撤去対象施設の青崎ポンプ所は雨水専用</t>
        </r>
      </text>
    </comment>
    <comment ref="J23" authorId="2" shapeId="0">
      <text>
        <r>
          <rPr>
            <sz val="9"/>
            <color indexed="81"/>
            <rFont val="ＭＳ Ｐゴシック"/>
            <family val="3"/>
            <charset val="128"/>
          </rPr>
          <t>H28
熊本支援に係る経費が含まれている。支援経費全額を一般会計補助金でもらうので、汚水扱い。</t>
        </r>
      </text>
    </comment>
    <comment ref="J24" authorId="2" shapeId="0">
      <text>
        <r>
          <rPr>
            <sz val="9"/>
            <color indexed="81"/>
            <rFont val="ＭＳ Ｐゴシック"/>
            <family val="3"/>
            <charset val="128"/>
          </rPr>
          <t>H28
熊本支援に係る経費が含まれている。支援経費全額を一般会計補助金でもらうので、汚水扱い。</t>
        </r>
      </text>
    </comment>
    <comment ref="J27" authorId="2" shapeId="0">
      <text>
        <r>
          <rPr>
            <sz val="9"/>
            <color indexed="81"/>
            <rFont val="ＭＳ Ｐゴシック"/>
            <family val="3"/>
            <charset val="128"/>
          </rPr>
          <t>H28は前払金返還延納利息の欠損　254,710円が
混入しているが、これは雨汚水で折半すべきか。</t>
        </r>
      </text>
    </comment>
    <comment ref="D28" authorId="0" shapeId="0">
      <text>
        <r>
          <rPr>
            <sz val="9"/>
            <color indexed="81"/>
            <rFont val="ＭＳ Ｐゴシック"/>
            <family val="3"/>
            <charset val="128"/>
          </rPr>
          <t>資本費分を差し引く</t>
        </r>
      </text>
    </comment>
    <comment ref="D33" authorId="0" shapeId="0">
      <text>
        <r>
          <rPr>
            <sz val="9"/>
            <color indexed="81"/>
            <rFont val="ＭＳ Ｐゴシック"/>
            <family val="3"/>
            <charset val="128"/>
          </rPr>
          <t>='I:\経理係フォルダ\☆決算事務\２８年度決算\07 H28雨汚水分け\[H28決算　減償雨汚　減価償却費算定シート.xlsx]公共（全）'!$C$119</t>
        </r>
      </text>
    </comment>
    <comment ref="E33" authorId="0" shapeId="0">
      <text>
        <r>
          <rPr>
            <sz val="9"/>
            <color indexed="81"/>
            <rFont val="ＭＳ Ｐゴシック"/>
            <family val="3"/>
            <charset val="128"/>
          </rPr>
          <t>='I:\経理係フォルダ\☆決算事務\２８年度決算\07 H28雨汚水分け\[H28決算　減償雨汚　減価償却費算定シート.xlsx]公共（全）'!$E$119-G32</t>
        </r>
      </text>
    </comment>
    <comment ref="F33" authorId="0" shapeId="0">
      <text>
        <r>
          <rPr>
            <sz val="9"/>
            <color indexed="81"/>
            <rFont val="ＭＳ Ｐゴシック"/>
            <family val="3"/>
            <charset val="128"/>
          </rPr>
          <t>='I:\経理係フォルダ\☆決算事務\２８年度決算\07 H28雨汚水分け\[H28決算　減償雨汚　減価償却費算定シート.xlsx]公共（全）'!$G$119</t>
        </r>
      </text>
    </comment>
    <comment ref="G33" authorId="1" shapeId="0">
      <text>
        <r>
          <rPr>
            <b/>
            <sz val="9"/>
            <color indexed="81"/>
            <rFont val="ＭＳ Ｐゴシック"/>
            <family val="3"/>
            <charset val="128"/>
          </rPr>
          <t>H28以降の取扱い</t>
        </r>
        <r>
          <rPr>
            <sz val="9"/>
            <color indexed="81"/>
            <rFont val="ＭＳ Ｐゴシック"/>
            <family val="3"/>
            <charset val="128"/>
          </rPr>
          <t xml:space="preserve">
H27までは、下記の額を入力し、これをE32の雨水区域内から差し引いていたが、財計の一般会計繰入基準にし尿分減価償却費の計上が明記されていないので、H28から入力しないことにした。（29.5.16　尾崎経営企画課長、濵井経理係課長補佐、河野主査協議の結果）
ただし、一般行政経費か雨水区域内かの違いで、100％一般会計負担であることには変わりないので、繰入金への影響はない。
なお、西部（汚水）に係る減価償却費のうち、し尿分を一般会計に負担してもらうべきなので、H32～の次期財計では、一般行政経費に計上したうえで、雨水区域内からではなく汚水基準外から差し引くよ修正した方が良い。
</t>
        </r>
        <r>
          <rPr>
            <b/>
            <sz val="9"/>
            <color indexed="81"/>
            <rFont val="ＭＳ Ｐゴシック"/>
            <family val="3"/>
            <charset val="128"/>
          </rPr>
          <t xml:space="preserve">
H27までの取扱い</t>
        </r>
        <r>
          <rPr>
            <sz val="9"/>
            <color indexed="81"/>
            <rFont val="ＭＳ Ｐゴシック"/>
            <family val="3"/>
            <charset val="128"/>
          </rPr>
          <t xml:space="preserve">
し尿投入分　【減価償却が終了するまで固定】
西部Ｔし尿投入事業リスト.xls より
='I:\経理係フォルダ\☆決算事務\２８年度決算\06 H28決算　消費税計算\[西部Ｔし尿投入事業リスト.xls]全リスト'!$CR$19　　　231,738,390円</t>
        </r>
      </text>
    </comment>
    <comment ref="I33" authorId="0" shapeId="0">
      <text>
        <r>
          <rPr>
            <sz val="9"/>
            <color indexed="81"/>
            <rFont val="ＭＳ Ｐゴシック"/>
            <family val="3"/>
            <charset val="128"/>
          </rPr>
          <t>='I:\経理係フォルダ\☆決算事務\２８年度決算\07 H28雨汚水分け\[H28決算　減償雨汚　減価償却費算定シート.xlsx]公共（全）'!$H$119</t>
        </r>
      </text>
    </comment>
    <comment ref="J33" authorId="0" shapeId="0">
      <text>
        <r>
          <rPr>
            <sz val="9"/>
            <color indexed="81"/>
            <rFont val="ＭＳ Ｐゴシック"/>
            <family val="3"/>
            <charset val="128"/>
          </rPr>
          <t>=='I:\経理係フォルダ\☆決算事務\２８年度決算\07 H28雨汚水分け\[H28決算　減償雨汚　減価償却費算定シート.xlsx]公共（全）'!$F$119,0)</t>
        </r>
      </text>
    </comment>
    <comment ref="D34" authorId="0" shapeId="0">
      <text>
        <r>
          <rPr>
            <sz val="9"/>
            <color indexed="81"/>
            <rFont val="ＭＳ Ｐゴシック"/>
            <family val="3"/>
            <charset val="128"/>
          </rPr>
          <t>='I:\経理係フォルダ\☆決算事務\２８年度決算\07 H28雨汚水分け\[H28決算　減償雨汚　減価償却費算定シート.xlsx]公共（全）'!$C$119</t>
        </r>
      </text>
    </comment>
    <comment ref="E34" authorId="2" shapeId="0">
      <text>
        <r>
          <rPr>
            <sz val="9"/>
            <color indexed="81"/>
            <rFont val="ＭＳ Ｐゴシック"/>
            <family val="3"/>
            <charset val="128"/>
          </rPr>
          <t>+ROUND('I:\経理係フォルダ\☆決算事務\２８年度決算\07 H28雨汚水分け\[H28決算　除却費雨汚水分け.xlsx]全事業'!$D$9*Q39,0)</t>
        </r>
      </text>
    </comment>
    <comment ref="F34" authorId="2" shapeId="0">
      <text>
        <r>
          <rPr>
            <sz val="9"/>
            <color indexed="81"/>
            <rFont val="ＭＳ Ｐゴシック"/>
            <family val="3"/>
            <charset val="128"/>
          </rPr>
          <t>H27までは、除却費を償却費の雨汚水割合で按分していたが、H28からは、固定資産台帳、財計雨汚水区分に基づき、雨汚水分けをしている。（予算と同じ考え方）
なお、雨水分の区域内・外分けには償却費の率を使用。
='I:\経理係フォルダ\☆決算事務\２８年度決算\07 H28雨汚水分け\[H28決算　除却費雨汚水分け.xlsx]全事業'!$D$9-E33</t>
        </r>
      </text>
    </comment>
    <comment ref="I34" authorId="2" shapeId="0">
      <text>
        <r>
          <rPr>
            <sz val="9"/>
            <color indexed="81"/>
            <rFont val="ＭＳ Ｐゴシック"/>
            <family val="3"/>
            <charset val="128"/>
          </rPr>
          <t>==+'[I:\経理係フォルダ\☆決算事務\２８年度決算\07 H28雨汚水分け\H28決算　除却費雨汚水分け.xlsx]全事業'!$B$9</t>
        </r>
      </text>
    </comment>
    <comment ref="J34" authorId="2" shapeId="0">
      <text>
        <r>
          <rPr>
            <sz val="9"/>
            <color indexed="81"/>
            <rFont val="ＭＳ Ｐゴシック"/>
            <family val="3"/>
            <charset val="128"/>
          </rPr>
          <t>==+'[I:\経理係フォルダ\☆決算事務\２８年度決算\07 H28雨汚水分け\H28決算　除却費雨汚水分け.xlsx]全事業'!$C$9</t>
        </r>
      </text>
    </comment>
    <comment ref="D36" authorId="0" shapeId="0">
      <text>
        <r>
          <rPr>
            <b/>
            <sz val="9"/>
            <color indexed="81"/>
            <rFont val="ＭＳ Ｐゴシック"/>
            <family val="3"/>
            <charset val="128"/>
          </rPr>
          <t>「★H００　雨汚水分け　（利息）」エクセルの当該年度シートのＧ９の値に合致</t>
        </r>
      </text>
    </comment>
    <comment ref="E36" authorId="0" shapeId="0">
      <text>
        <r>
          <rPr>
            <sz val="9"/>
            <color indexed="81"/>
            <rFont val="ＭＳ Ｐゴシック"/>
            <family val="3"/>
            <charset val="128"/>
          </rPr>
          <t>「★H００　雨汚水分け　（利息）」エクセルの当該年度シートのＨ９～Ｌ９の値
='I:\経理係フォルダ\☆決算事務\２８年度決算\07 H28雨汚水分け\雨汚水分け\[★Ｈ28雨汚水分け（利息）.xls]Ｈ２８利息'!$H$9</t>
        </r>
      </text>
    </comment>
    <comment ref="F36" authorId="0" shapeId="0">
      <text>
        <r>
          <rPr>
            <sz val="9"/>
            <color indexed="81"/>
            <rFont val="ＭＳ Ｐゴシック"/>
            <family val="3"/>
            <charset val="128"/>
          </rPr>
          <t>='I:\経理係フォルダ\☆決算事務\２８年度決算\07 H28雨汚水分け\雨汚水分け\[★Ｈ28雨汚水分け（利息）.xls]Ｈ２８利息'!$I$9</t>
        </r>
      </text>
    </comment>
    <comment ref="G36" authorId="0" shapeId="0">
      <text>
        <r>
          <rPr>
            <sz val="9"/>
            <color indexed="81"/>
            <rFont val="ＭＳ Ｐゴシック"/>
            <family val="3"/>
            <charset val="128"/>
          </rPr>
          <t>='I:\経理係フォルダ\☆決算事務\２８年度決算\07 H28雨汚水分け\雨汚水分け\[★Ｈ28雨汚水分け（利息）.xls]Ｈ２８利息'!$J$9</t>
        </r>
      </text>
    </comment>
    <comment ref="I36" authorId="0" shapeId="0">
      <text>
        <r>
          <rPr>
            <sz val="9"/>
            <color indexed="81"/>
            <rFont val="ＭＳ Ｐゴシック"/>
            <family val="3"/>
            <charset val="128"/>
          </rPr>
          <t>='I:\経理係フォルダ\☆決算事務\２８年度決算\07 H28雨汚水分け\雨汚水分け\[★Ｈ28雨汚水分け（利息）.xls]Ｈ２８利息'!$K$9</t>
        </r>
      </text>
    </comment>
    <comment ref="J36" authorId="0" shapeId="0">
      <text>
        <r>
          <rPr>
            <sz val="9"/>
            <color indexed="81"/>
            <rFont val="ＭＳ Ｐゴシック"/>
            <family val="3"/>
            <charset val="128"/>
          </rPr>
          <t>='I:\経理係フォルダ\☆決算事務\２８年度決算\07 H28雨汚水分け\雨汚水分け\[★Ｈ28雨汚水分け（利息）.xls]Ｈ２８利息'!$L$9</t>
        </r>
      </text>
    </comment>
    <comment ref="D39" authorId="2" shapeId="0">
      <text>
        <r>
          <rPr>
            <b/>
            <sz val="9"/>
            <color indexed="81"/>
            <rFont val="ＭＳ Ｐゴシック"/>
            <family val="3"/>
            <charset val="128"/>
          </rPr>
          <t xml:space="preserve">H28
</t>
        </r>
        <r>
          <rPr>
            <sz val="9"/>
            <color indexed="81"/>
            <rFont val="ＭＳ Ｐゴシック"/>
            <family val="3"/>
            <charset val="128"/>
          </rPr>
          <t>元の式では、特別損失!セルB9資本費分に当たる減価償却不足に伴う修正損を参照していたが、H28はこの行を、資本費分ではない「前払金返還延納利息の欠損」に転用したので、参照を削除した。
元の数式↓
=</t>
        </r>
        <r>
          <rPr>
            <b/>
            <sz val="9"/>
            <color indexed="81"/>
            <rFont val="ＭＳ Ｐゴシック"/>
            <family val="3"/>
            <charset val="128"/>
          </rPr>
          <t>'[H28 ３条支出　消費税.xls]特別損失'!$B$9</t>
        </r>
        <r>
          <rPr>
            <sz val="9"/>
            <color indexed="81"/>
            <rFont val="ＭＳ Ｐゴシック"/>
            <family val="3"/>
            <charset val="128"/>
          </rPr>
          <t>+'[H28 ３条支出　消費税.xls]特別損失'!$B$28+SUM('[H28 ３条支出　消費税.xls]特別損失'!$B$15,'[H28 ３条支出　消費税.xls]特別損失'!$B$17)</t>
        </r>
      </text>
    </comment>
    <comment ref="E39" authorId="0" shapeId="0">
      <text>
        <r>
          <rPr>
            <sz val="9"/>
            <color indexed="81"/>
            <rFont val="ＭＳ Ｐゴシック"/>
            <family val="3"/>
            <charset val="128"/>
          </rPr>
          <t>①耐用年数の登録誤りによる減価償却費の過年度損益修正
②減損損失の過年度損益修正
固定資産担当が分けた雨水分を、減価償却の雨水区域内・外の割合で案分</t>
        </r>
      </text>
    </comment>
    <comment ref="I39" authorId="0" shapeId="0">
      <text>
        <r>
          <rPr>
            <sz val="9"/>
            <color indexed="81"/>
            <rFont val="ＭＳ Ｐゴシック"/>
            <family val="3"/>
            <charset val="128"/>
          </rPr>
          <t>①耐用年数の登録誤りによる減価償却費の過年度損益修正
②減損損失の過年度損益修正
③その他特別損失の資本費分（受益者負担金過誤納還付金、排水設備取付管設置工事受託収入の調定誤りの修正）
固定資産担当が分けた汚水分を、減価償却の汚水基準内・外の割合で案分</t>
        </r>
      </text>
    </comment>
    <comment ref="J39" authorId="2" shapeId="0">
      <text>
        <r>
          <rPr>
            <b/>
            <sz val="9"/>
            <color indexed="81"/>
            <rFont val="ＭＳ Ｐゴシック"/>
            <family val="3"/>
            <charset val="128"/>
          </rPr>
          <t>H28減損は全て公共汚水</t>
        </r>
      </text>
    </comment>
    <comment ref="N39" authorId="0" shapeId="0">
      <text>
        <r>
          <rPr>
            <sz val="9"/>
            <color indexed="81"/>
            <rFont val="ＭＳ Ｐゴシック"/>
            <family val="3"/>
            <charset val="128"/>
          </rPr>
          <t>='I:\経理係フォルダ\☆決算事務\２７年度決算\07 H27雨汚水分け\[H27決算　過年度損益修正損（償却・除却）雨汚水分け.xlsx]雨汚水分け'!$K$8</t>
        </r>
      </text>
    </comment>
    <comment ref="O39" authorId="0" shapeId="0">
      <text>
        <r>
          <rPr>
            <sz val="9"/>
            <color indexed="81"/>
            <rFont val="ＭＳ Ｐゴシック"/>
            <family val="3"/>
            <charset val="128"/>
          </rPr>
          <t>='I:\経理係フォルダ\☆決算事務\２７年度決算\07 H27雨汚水分け\[H27決算　過年度損益修正損（償却・除却）雨汚水分け.xlsx]雨汚水分け'!$J$8</t>
        </r>
      </text>
    </comment>
    <comment ref="R40" authorId="0" shapeId="0">
      <text>
        <r>
          <rPr>
            <sz val="9"/>
            <color indexed="81"/>
            <rFont val="ＭＳ Ｐゴシック"/>
            <family val="3"/>
            <charset val="128"/>
          </rPr>
          <t>=('I:\経理係フォルダ\☆決算事務\２８年度決算\07 H28雨汚水分け\'[H28決算　減償雨汚　減価償却費算定シート.xlsx]公共（全）'!$G$119/('[H28決算　減償雨汚　減価償却費算定シート.xlsx]公共（全）'!$E$119+'[H28決算　減償雨汚　減価償却費算定シート.xlsx]公共（全）'!$G$119)</t>
        </r>
      </text>
    </comment>
    <comment ref="S40" authorId="0" shapeId="0">
      <text>
        <r>
          <rPr>
            <sz val="9"/>
            <color indexed="81"/>
            <rFont val="ＭＳ Ｐゴシック"/>
            <family val="3"/>
            <charset val="128"/>
          </rPr>
          <t>=('I:\経理係フォルダ\☆決算事務\２８年度決算\07 H28雨汚水分け\[H28決算　減償雨汚　減価償却費算定シート.xlsx]公共（全）'!$H$119/('[H28決算　減償雨汚　減価償却費算定シート.xlsx]公共（全）'!$F$119+'[H28決算　減償雨汚　減価償却費算定シート.xlsx]公共（全）'!$H$119)</t>
        </r>
      </text>
    </comment>
    <comment ref="N42" authorId="0" shapeId="0">
      <text>
        <r>
          <rPr>
            <sz val="9"/>
            <color indexed="81"/>
            <rFont val="ＭＳ Ｐゴシック"/>
            <family val="3"/>
            <charset val="128"/>
          </rPr>
          <t>='I:\経理係フォルダ\☆決算事務\２７年度決算\07 H27雨汚水分け\[H27決算　減損損失雨汚水分け.xlsx]減損総括表'!$Q$23</t>
        </r>
      </text>
    </comment>
    <comment ref="O42" authorId="0" shapeId="0">
      <text>
        <r>
          <rPr>
            <sz val="9"/>
            <color indexed="81"/>
            <rFont val="ＭＳ Ｐゴシック"/>
            <family val="3"/>
            <charset val="128"/>
          </rPr>
          <t>='I:\経理係フォルダ\☆決算事務\２７年度決算\07 H27雨汚水分け\[H27決算　減損損失雨汚水分け.xlsx]減損総括表'!$P$23</t>
        </r>
      </text>
    </comment>
  </commentList>
</comments>
</file>

<file path=xl/comments3.xml><?xml version="1.0" encoding="utf-8"?>
<comments xmlns="http://schemas.openxmlformats.org/spreadsheetml/2006/main">
  <authors>
    <author>楠 宏</author>
    <author>広島市</author>
  </authors>
  <commentList>
    <comment ref="G16" authorId="0" shapeId="0">
      <text>
        <r>
          <rPr>
            <sz val="9"/>
            <color indexed="81"/>
            <rFont val="ＭＳ Ｐゴシック"/>
            <family val="3"/>
            <charset val="128"/>
          </rPr>
          <t>='I:\経理係フォルダ\☆決算事務\２８年度決算\06 H28決算　消費税計算\H28当初\雨・汚水　税抜内訳\[税抜内訳.xlsx]Sheet1'!$E$5</t>
        </r>
      </text>
    </comment>
    <comment ref="G17" authorId="0" shapeId="0">
      <text>
        <r>
          <rPr>
            <sz val="9"/>
            <color indexed="81"/>
            <rFont val="ＭＳ Ｐゴシック"/>
            <family val="3"/>
            <charset val="128"/>
          </rPr>
          <t>='I:\経理係フォルダ\☆決算事務\２８年度決算\06 H28決算　消費税計算\H28当初\雨・汚水　税抜内訳\[税抜内訳.xlsx]Sheet1'!$E$10</t>
        </r>
      </text>
    </comment>
    <comment ref="G18" authorId="0" shapeId="0">
      <text>
        <r>
          <rPr>
            <sz val="9"/>
            <color indexed="81"/>
            <rFont val="ＭＳ Ｐゴシック"/>
            <family val="3"/>
            <charset val="128"/>
          </rPr>
          <t>='I:\経理係フォルダ\☆決算事務\２８年度決算\06 H28決算　消費税計算\H28当初\雨・汚水　税抜内訳\[税抜内訳.xlsx]Sheet1'!$E$14</t>
        </r>
      </text>
    </comment>
    <comment ref="D27" authorId="1" shapeId="0">
      <text>
        <r>
          <rPr>
            <sz val="9"/>
            <color indexed="81"/>
            <rFont val="ＭＳ Ｐゴシック"/>
            <family val="3"/>
            <charset val="128"/>
          </rPr>
          <t>H28
税抜きに合わせ、参照元にB9セルを追加。
元の式↓
=SUM('[H28 ３条支出　消費税.xls]特別損失'!$K$6:$K$8)</t>
        </r>
      </text>
    </comment>
    <comment ref="D39" authorId="1" shapeId="0">
      <text>
        <r>
          <rPr>
            <sz val="9"/>
            <color indexed="81"/>
            <rFont val="ＭＳ Ｐゴシック"/>
            <family val="3"/>
            <charset val="128"/>
          </rPr>
          <t>H28
元の式では、特別損失!セルB9資本費分に当たる減価償却不足に伴う修正損を参照していたが、H28はこの行を、資本費分ではない「前払金返還延納利息の欠損」に転用したので、参照を削除した。
元の式↓
=</t>
        </r>
        <r>
          <rPr>
            <b/>
            <sz val="9"/>
            <color indexed="81"/>
            <rFont val="ＭＳ Ｐゴシック"/>
            <family val="3"/>
            <charset val="128"/>
          </rPr>
          <t>'[H28 ３条支出　消費税.xls]特別損失'!$K$9</t>
        </r>
        <r>
          <rPr>
            <sz val="9"/>
            <color indexed="81"/>
            <rFont val="ＭＳ Ｐゴシック"/>
            <family val="3"/>
            <charset val="128"/>
          </rPr>
          <t>+'[H28 ３条支出　消費税.xls]特別損失'!$K$28+SUM('[H28 ３条支出　消費税.xls]特別損失'!$K$15,'[H28 ３条支出　消費税.xls]特別損失'!$K$17)</t>
        </r>
      </text>
    </comment>
    <comment ref="J39" authorId="0" shapeId="0">
      <text>
        <r>
          <rPr>
            <b/>
            <sz val="9"/>
            <color indexed="81"/>
            <rFont val="ＭＳ Ｐゴシック"/>
            <family val="3"/>
            <charset val="128"/>
          </rPr>
          <t>課税あり
排水設備取付管設置工事受託収入の調定誤りの修正
５％</t>
        </r>
      </text>
    </comment>
  </commentList>
</comments>
</file>

<file path=xl/comments4.xml><?xml version="1.0" encoding="utf-8"?>
<comments xmlns="http://schemas.openxmlformats.org/spreadsheetml/2006/main">
  <authors>
    <author>4202453</author>
  </authors>
  <commentList>
    <comment ref="E37" authorId="0" shapeId="0">
      <text>
        <r>
          <rPr>
            <sz val="9"/>
            <color indexed="81"/>
            <rFont val="ＭＳ Ｐゴシック"/>
            <family val="3"/>
            <charset val="128"/>
          </rPr>
          <t>3条収入　消費税.xls のN列の下にある支払利息分（雨水）</t>
        </r>
      </text>
    </comment>
    <comment ref="J37" authorId="0" shapeId="0">
      <text>
        <r>
          <rPr>
            <sz val="9"/>
            <color indexed="81"/>
            <rFont val="ＭＳ Ｐゴシック"/>
            <family val="3"/>
            <charset val="128"/>
          </rPr>
          <t>3条収入　消費税.xls のN列の下にある支払利息分（汚水）</t>
        </r>
      </text>
    </comment>
  </commentList>
</comments>
</file>

<file path=xl/comments5.xml><?xml version="1.0" encoding="utf-8"?>
<comments xmlns="http://schemas.openxmlformats.org/spreadsheetml/2006/main">
  <authors>
    <author>4202453</author>
    <author>楠 宏</author>
    <author>広島市</author>
    <author>3403102</author>
  </authors>
  <commentList>
    <comment ref="S2" authorId="0" shapeId="0">
      <text>
        <r>
          <rPr>
            <b/>
            <sz val="9"/>
            <color indexed="81"/>
            <rFont val="ＭＳ Ｐゴシック"/>
            <family val="3"/>
            <charset val="128"/>
          </rPr>
          <t>H23決算では、消費税の制度改正により控除できなくなった額を加算すべきところを、していないため、ゼロになっていなかったので、加算すること。</t>
        </r>
      </text>
    </comment>
    <comment ref="D8" authorId="1" shapeId="0">
      <text>
        <r>
          <rPr>
            <sz val="9"/>
            <color indexed="81"/>
            <rFont val="ＭＳ Ｐゴシック"/>
            <family val="3"/>
            <charset val="128"/>
          </rPr>
          <t>='I:\経理係フォルダ\☆決算事務\２８年度決算\06 H28決算　消費税計算\財務会計データ\３条\収入\[4811400その他営業収益.xls]その他営業収益'!$AI$256</t>
        </r>
      </text>
    </comment>
    <comment ref="E8" authorId="1" shapeId="0">
      <text>
        <r>
          <rPr>
            <sz val="9"/>
            <color indexed="81"/>
            <rFont val="ＭＳ Ｐゴシック"/>
            <family val="3"/>
            <charset val="128"/>
          </rPr>
          <t>='I:\経理係フォルダ\☆決算事務\２８年度決算\06 H28決算　消費税計算\財務会計データ\３条\収入\[4811400その他営業収益.xls]その他営業収益'!$AJ$256</t>
        </r>
      </text>
    </comment>
    <comment ref="F8" authorId="1" shapeId="0">
      <text>
        <r>
          <rPr>
            <sz val="9"/>
            <color indexed="81"/>
            <rFont val="ＭＳ Ｐゴシック"/>
            <family val="3"/>
            <charset val="128"/>
          </rPr>
          <t>='I:\経理係フォルダ\☆決算事務\２８年度決算\06 H28決算　消費税計算\財務会計データ\３条\収入\[4811400その他営業収益.xls]その他営業収益'!$AK$256</t>
        </r>
      </text>
    </comment>
    <comment ref="I8" authorId="1" shapeId="0">
      <text>
        <r>
          <rPr>
            <sz val="9"/>
            <color indexed="81"/>
            <rFont val="ＭＳ Ｐゴシック"/>
            <family val="3"/>
            <charset val="128"/>
          </rPr>
          <t>='I:\経理係フォルダ\☆決算事務\２８年度決算\06 H28決算　消費税計算\財務会計データ\３条\収入\[4811400その他営業収益.xls]その他営業収益'!$AL$256</t>
        </r>
      </text>
    </comment>
    <comment ref="R9" authorId="2" shapeId="0">
      <text>
        <r>
          <rPr>
            <b/>
            <sz val="9"/>
            <color indexed="81"/>
            <rFont val="ＭＳ Ｐゴシック"/>
            <family val="3"/>
            <charset val="128"/>
          </rPr>
          <t xml:space="preserve">H28
</t>
        </r>
        <r>
          <rPr>
            <sz val="9"/>
            <color indexed="81"/>
            <rFont val="ＭＳ Ｐゴシック"/>
            <family val="3"/>
            <charset val="128"/>
          </rPr>
          <t>3条税込の資産除却費の基準内汚水分に値を入力したため、式を修正した。下は、修正前。
='3条税抜き'!H31+'3条税抜き'!H37+</t>
        </r>
        <r>
          <rPr>
            <b/>
            <sz val="9"/>
            <color indexed="81"/>
            <rFont val="ＭＳ Ｐゴシック"/>
            <family val="3"/>
            <charset val="128"/>
          </rPr>
          <t>'3条税抜き'!I32</t>
        </r>
        <r>
          <rPr>
            <sz val="9"/>
            <color indexed="81"/>
            <rFont val="ＭＳ Ｐゴシック"/>
            <family val="3"/>
            <charset val="128"/>
          </rPr>
          <t xml:space="preserve">+'3条税抜き'!I37-G21-H21-G22-G23-H23
</t>
        </r>
      </text>
    </comment>
    <comment ref="B10" authorId="0" shapeId="0">
      <text>
        <r>
          <rPr>
            <b/>
            <sz val="12"/>
            <color indexed="81"/>
            <rFont val="ＭＳ Ｐゴシック"/>
            <family val="3"/>
            <charset val="128"/>
          </rPr>
          <t>施設管理負担金のみ</t>
        </r>
        <r>
          <rPr>
            <sz val="9"/>
            <color indexed="81"/>
            <rFont val="ＭＳ Ｐゴシック"/>
            <family val="3"/>
            <charset val="128"/>
          </rPr>
          <t xml:space="preserve">
</t>
        </r>
      </text>
    </comment>
    <comment ref="D10" authorId="1" shapeId="0">
      <text>
        <r>
          <rPr>
            <sz val="9"/>
            <color indexed="81"/>
            <rFont val="ＭＳ Ｐゴシック"/>
            <family val="3"/>
            <charset val="128"/>
          </rPr>
          <t>3条収入雨汚水分け・消費税区分エクセルで積算
元データは管理課3月31日付決裁（写）
府中町・海田町・坂町・廿日市市負担の維持管理費の精算伺いの精算通知（案の２）より
=+'I:\経理係フォルダ\☆決算事務\２８年度決算\06 H28決算　消費税計算\[H28 3条収入雨汚水分け・消費税区分.xls]施設管理負担金'!$C$12</t>
        </r>
      </text>
    </comment>
    <comment ref="I10" authorId="1" shapeId="0">
      <text>
        <r>
          <rPr>
            <sz val="9"/>
            <color indexed="81"/>
            <rFont val="ＭＳ Ｐゴシック"/>
            <family val="3"/>
            <charset val="128"/>
          </rPr>
          <t>3条収入雨汚水分け・消費税区分エクセルで積算
元データは管理課3月31日付決裁（写）
府中町・海田町・坂町・廿日市市負担の維持管理費の精算伺いの精算通知（案の２）より
=+'I:\経理係フォルダ\☆決算事務\２８年度決算\06 H28決算　消費税計算\[H28 3条収入雨汚水分け・消費税区分.xls]施設管理負担金'!$D$12</t>
        </r>
      </text>
    </comment>
    <comment ref="D11" authorId="2" shapeId="0">
      <text>
        <r>
          <rPr>
            <sz val="9"/>
            <color indexed="81"/>
            <rFont val="ＭＳ Ｐゴシック"/>
            <family val="3"/>
            <charset val="128"/>
          </rPr>
          <t>+'I:\経理係フォルダ\☆決算事務\２８年度決算\06 H28決算　消費税計算\[H28 3条収入雨汚水分け・消費税区分.xls]その他雑収益の消費税区分'!$M$47</t>
        </r>
      </text>
    </comment>
    <comment ref="F11" authorId="2" shapeId="0">
      <text>
        <r>
          <rPr>
            <sz val="9"/>
            <color indexed="81"/>
            <rFont val="ＭＳ Ｐゴシック"/>
            <family val="3"/>
            <charset val="128"/>
          </rPr>
          <t>+'I:\経理係フォルダ\☆決算事務\２８年度決算\06 H28決算　消費税計算\[H28 3条収入雨汚水分け・消費税区分.xls]その他雑収益の消費税区分'!$O$47</t>
        </r>
      </text>
    </comment>
    <comment ref="I11" authorId="2" shapeId="0">
      <text>
        <r>
          <rPr>
            <sz val="9"/>
            <color indexed="81"/>
            <rFont val="ＭＳ Ｐゴシック"/>
            <family val="3"/>
            <charset val="128"/>
          </rPr>
          <t>+'I:\経理係フォルダ\☆決算事務\２８年度決算\06 H28決算　消費税計算\[H28 3条収入雨汚水分け・消費税区分.xls]その他雑収益の消費税区分'!$N$47</t>
        </r>
      </text>
    </comment>
    <comment ref="B12" authorId="1" shapeId="0">
      <text>
        <r>
          <rPr>
            <b/>
            <sz val="9"/>
            <color indexed="81"/>
            <rFont val="ＭＳ Ｐゴシック"/>
            <family val="3"/>
            <charset val="128"/>
          </rPr>
          <t>耐用年数の登録誤りによる過年度損益修正分以外のもの</t>
        </r>
      </text>
    </comment>
    <comment ref="C12" authorId="2" shapeId="0">
      <text>
        <r>
          <rPr>
            <sz val="9"/>
            <color indexed="81"/>
            <rFont val="ＭＳ Ｐゴシック"/>
            <family val="3"/>
            <charset val="128"/>
          </rPr>
          <t>減損見合いの長期前受金戻入益など、資本費充当分を除く。</t>
        </r>
      </text>
    </comment>
    <comment ref="D12" authorId="1" shapeId="0">
      <text>
        <r>
          <rPr>
            <sz val="9"/>
            <color indexed="81"/>
            <rFont val="ＭＳ Ｐゴシック"/>
            <family val="3"/>
            <charset val="128"/>
          </rPr>
          <t>=+'I:\経理係フォルダ\☆決算事務\２８年度決算\06 H28決算　消費税計算\財務会計データ\３条\収入\[H28 4830404過年度損益修正益 修正.xls]過年度損益修正益'!$AI$96+'I:\経理係フォルダ\☆決算事務\２８年度決算\06 H28決算　消費税計算\財務会計データ\３条\収入\[H28 4830606その他特別利益 0518.xls]その他特別利益'!$AI$2</t>
        </r>
        <r>
          <rPr>
            <b/>
            <sz val="9"/>
            <color indexed="81"/>
            <rFont val="ＭＳ Ｐゴシック"/>
            <family val="3"/>
            <charset val="128"/>
          </rPr>
          <t>1</t>
        </r>
      </text>
    </comment>
    <comment ref="F12" authorId="1" shapeId="0">
      <text>
        <r>
          <rPr>
            <sz val="9"/>
            <color indexed="81"/>
            <rFont val="ＭＳ Ｐゴシック"/>
            <family val="3"/>
            <charset val="128"/>
          </rPr>
          <t>=+'I:\経理係フォルダ\☆決算事務\２８年度決算\06 H28決算　消費税計算\財務会計データ\３条\収入\[H28 4830404過年度損益修正益 修正.xls]過年度損益修正益'!$AJ$96+'I:\経理係フォルダ\☆決算事務\２８年度決算\06 H28決算　消費税計算\財務会計データ\３条\収入\[H28 4830606その他特別利益 0518.xls]その他特別利益'!$AJ$21</t>
        </r>
      </text>
    </comment>
    <comment ref="I12" authorId="1" shapeId="0">
      <text>
        <r>
          <rPr>
            <sz val="9"/>
            <color indexed="81"/>
            <rFont val="ＭＳ Ｐゴシック"/>
            <family val="3"/>
            <charset val="128"/>
          </rPr>
          <t>=+'I:\経理係フォルダ\☆決算事務\２８年度決算\06 H28決算　消費税計算\財務会計データ\３条\収入\[H28 4830404過年度損益修正益 修正.xls]過年度損益修正益'!$AK$96+'I:\経理係フォルダ\☆決算事務\２８年度決算\06 H28決算　消費税計算\財務会計データ\３条\収入\[H28 4830606その他特別利益 0518.xls]その他特別利益'!$AK$21</t>
        </r>
      </text>
    </comment>
    <comment ref="D13" authorId="1" shapeId="0">
      <text>
        <r>
          <rPr>
            <sz val="9"/>
            <color indexed="81"/>
            <rFont val="ＭＳ Ｐゴシック"/>
            <family val="3"/>
            <charset val="128"/>
          </rPr>
          <t>基礎となる率を、
Ｈ27年度決算 管きょ費 雨汚水＜公共＞
の安佐南区のシートの「災害復旧土砂撤去業務」から使っている</t>
        </r>
      </text>
    </comment>
    <comment ref="B19" authorId="0" shapeId="0">
      <text>
        <r>
          <rPr>
            <b/>
            <sz val="9"/>
            <color indexed="81"/>
            <rFont val="ＭＳ Ｐゴシック"/>
            <family val="3"/>
            <charset val="128"/>
          </rPr>
          <t>他会計負担金</t>
        </r>
        <r>
          <rPr>
            <sz val="9"/>
            <color indexed="81"/>
            <rFont val="ＭＳ Ｐゴシック"/>
            <family val="3"/>
            <charset val="128"/>
          </rPr>
          <t xml:space="preserve">
</t>
        </r>
      </text>
    </comment>
    <comment ref="C19" authorId="2" shapeId="0">
      <text>
        <r>
          <rPr>
            <b/>
            <sz val="9"/>
            <color indexed="81"/>
            <rFont val="ＭＳ Ｐゴシック"/>
            <family val="3"/>
            <charset val="128"/>
          </rPr>
          <t>府中町減免分500,105円が混入している。
減免使用料の補填であり、維持管理費充当が妥当と思われるが、どうか。</t>
        </r>
      </text>
    </comment>
    <comment ref="C20" authorId="3" shapeId="0">
      <text>
        <r>
          <rPr>
            <sz val="9"/>
            <color indexed="81"/>
            <rFont val="ＭＳ Ｐゴシック"/>
            <family val="3"/>
            <charset val="128"/>
          </rPr>
          <t>いいぐわいに反映するか必ず確認。
※H23まであった段原区画整理？</t>
        </r>
      </text>
    </comment>
    <comment ref="C21" authorId="1" shapeId="0">
      <text>
        <r>
          <rPr>
            <sz val="9"/>
            <color indexed="81"/>
            <rFont val="ＭＳ Ｐゴシック"/>
            <family val="3"/>
            <charset val="128"/>
          </rPr>
          <t>='I:\経理係フォルダ\☆決算事務\２８年度決算\07 H28雨汚水分け\[H28決算　減償雨汚　減価償却費算定シート.xlsx]公共（長期）'!$C$119</t>
        </r>
      </text>
    </comment>
    <comment ref="D21" authorId="1" shapeId="0">
      <text>
        <r>
          <rPr>
            <sz val="9"/>
            <color indexed="81"/>
            <rFont val="ＭＳ Ｐゴシック"/>
            <family val="3"/>
            <charset val="128"/>
          </rPr>
          <t>='I:\経理係フォルダ\☆決算事務\２８年度決算\07 H28雨汚水分け\[H28決算　減償雨汚　減価償却費算定シート.xlsx]公共（長期）'!$E$119</t>
        </r>
      </text>
    </comment>
    <comment ref="E21" authorId="1" shapeId="0">
      <text>
        <r>
          <rPr>
            <sz val="9"/>
            <color indexed="81"/>
            <rFont val="ＭＳ Ｐゴシック"/>
            <family val="3"/>
            <charset val="128"/>
          </rPr>
          <t>='I:\経理係フォルダ\☆決算事務\２８年度決算\07 H28雨汚水分け\[H28決算　減償雨汚　減価償却費算定シート.xlsx]公共（長期）'!$G$119</t>
        </r>
      </text>
    </comment>
    <comment ref="F21" authorId="0" shapeId="0">
      <text>
        <r>
          <rPr>
            <b/>
            <sz val="9"/>
            <color indexed="81"/>
            <rFont val="ＭＳ Ｐゴシック"/>
            <family val="3"/>
            <charset val="128"/>
          </rPr>
          <t>H28以降の取扱い</t>
        </r>
        <r>
          <rPr>
            <sz val="9"/>
            <color indexed="81"/>
            <rFont val="ＭＳ Ｐゴシック"/>
            <family val="3"/>
            <charset val="128"/>
          </rPr>
          <t xml:space="preserve">
「3条税込み」シートのG32セルのコメントを参照。
</t>
        </r>
        <r>
          <rPr>
            <b/>
            <sz val="9"/>
            <color indexed="81"/>
            <rFont val="ＭＳ Ｐゴシック"/>
            <family val="3"/>
            <charset val="128"/>
          </rPr>
          <t xml:space="preserve">
H27までの取扱い</t>
        </r>
        <r>
          <rPr>
            <sz val="9"/>
            <color indexed="81"/>
            <rFont val="ＭＳ Ｐゴシック"/>
            <family val="3"/>
            <charset val="128"/>
          </rPr>
          <t xml:space="preserve">
し尿投入分　【減価償却が終了するまで固定】
西部Ｔし尿投入事業リスト.xls より　124,889,400円</t>
        </r>
      </text>
    </comment>
    <comment ref="H21" authorId="1" shapeId="0">
      <text>
        <r>
          <rPr>
            <sz val="9"/>
            <color indexed="81"/>
            <rFont val="ＭＳ Ｐゴシック"/>
            <family val="3"/>
            <charset val="128"/>
          </rPr>
          <t>='I:\経理係フォルダ\☆決算事務\２８年度決算\07 H28雨汚水分け\[H28決算　減償雨汚　減価償却費算定シート.xlsx]公共（長期）'!$H$119</t>
        </r>
      </text>
    </comment>
    <comment ref="I21" authorId="1" shapeId="0">
      <text>
        <r>
          <rPr>
            <sz val="9"/>
            <color indexed="81"/>
            <rFont val="ＭＳ Ｐゴシック"/>
            <family val="3"/>
            <charset val="128"/>
          </rPr>
          <t>='I:\経理係フォルダ\☆決算事務\２８年度決算\07 H28雨汚水分け\[H28決算　減償雨汚　減価償却費算定シート.xlsx]公共（長期）'!$F$119</t>
        </r>
      </text>
    </comment>
    <comment ref="D22" authorId="2" shapeId="0">
      <text>
        <r>
          <rPr>
            <sz val="9"/>
            <color indexed="81"/>
            <rFont val="ＭＳ Ｐゴシック"/>
            <family val="3"/>
            <charset val="128"/>
          </rPr>
          <t>+ROUND('I:\経理係フォルダ\☆決算事務\２８年度決算\07 H28雨汚水分け\[H28決算　除却費雨汚水分け.xlsx]全事業'!$D$18*'3条税込み'!Q39,0)</t>
        </r>
      </text>
    </comment>
    <comment ref="E22" authorId="2" shapeId="0">
      <text>
        <r>
          <rPr>
            <sz val="9"/>
            <color indexed="81"/>
            <rFont val="ＭＳ Ｐゴシック"/>
            <family val="3"/>
            <charset val="128"/>
          </rPr>
          <t>+'I:\経理係フォルダ\☆決算事務\２８年度決算\07 H28雨汚水分け\[H28決算　除却費雨汚水分け.xlsx]全事業'!$D$18-D22</t>
        </r>
      </text>
    </comment>
    <comment ref="H22" authorId="2" shapeId="0">
      <text>
        <r>
          <rPr>
            <sz val="9"/>
            <color indexed="81"/>
            <rFont val="ＭＳ Ｐゴシック"/>
            <family val="3"/>
            <charset val="128"/>
          </rPr>
          <t>+'I:\経理係フォルダ\☆決算事務\２８年度決算\07 H28雨汚水分け\[H28決算　除却費雨汚水分け.xlsx]全事業'!$B$18</t>
        </r>
      </text>
    </comment>
    <comment ref="I22" authorId="2" shapeId="0">
      <text>
        <r>
          <rPr>
            <sz val="9"/>
            <color indexed="81"/>
            <rFont val="ＭＳ Ｐゴシック"/>
            <family val="3"/>
            <charset val="128"/>
          </rPr>
          <t>+'I:\経理係フォルダ\☆決算事務\２８年度決算\07 H28雨汚水分け\[H28決算　除却費雨汚水分け.xlsx]全事業'!$C$18</t>
        </r>
      </text>
    </comment>
    <comment ref="R22" authorId="0" shapeId="0">
      <text>
        <r>
          <rPr>
            <b/>
            <sz val="9"/>
            <color indexed="81"/>
            <rFont val="ＭＳ Ｐゴシック"/>
            <family val="3"/>
            <charset val="128"/>
          </rPr>
          <t>補助金が下のセルと同額になるように調整した</t>
        </r>
      </text>
    </comment>
    <comment ref="B23" authorId="1" shapeId="0">
      <text>
        <r>
          <rPr>
            <sz val="9"/>
            <color indexed="81"/>
            <rFont val="ＭＳ Ｐゴシック"/>
            <family val="3"/>
            <charset val="128"/>
          </rPr>
          <t>耐用年数の登録誤りによる過年度損益修正分
及び
遊休資産に係る減損損失に伴う過年度損益修正分
いずれも固定資産担当作成データより</t>
        </r>
      </text>
    </comment>
    <comment ref="C23" authorId="1" shapeId="0">
      <text>
        <r>
          <rPr>
            <b/>
            <sz val="9"/>
            <color indexed="81"/>
            <rFont val="ＭＳ Ｐゴシック"/>
            <family val="3"/>
            <charset val="128"/>
          </rPr>
          <t>減価償却費の不足、特損固定資産除却に伴う特利、
減損損失に伴う長期前受金戻入益</t>
        </r>
      </text>
    </comment>
    <comment ref="R25" authorId="0" shapeId="0">
      <text>
        <r>
          <rPr>
            <b/>
            <sz val="9"/>
            <color indexed="81"/>
            <rFont val="ＭＳ Ｐゴシック"/>
            <family val="3"/>
            <charset val="128"/>
          </rPr>
          <t>ゼロになるように調整した</t>
        </r>
      </text>
    </comment>
    <comment ref="R27" authorId="0" shapeId="0">
      <text>
        <r>
          <rPr>
            <b/>
            <sz val="9"/>
            <color indexed="81"/>
            <rFont val="ＭＳ Ｐゴシック"/>
            <family val="3"/>
            <charset val="128"/>
          </rPr>
          <t>ゼロになるように調整した</t>
        </r>
      </text>
    </comment>
    <comment ref="R31" authorId="1" shapeId="0">
      <text>
        <r>
          <rPr>
            <b/>
            <sz val="9"/>
            <color indexed="81"/>
            <rFont val="ＭＳ Ｐゴシック"/>
            <family val="3"/>
            <charset val="128"/>
          </rPr>
          <t xml:space="preserve">管理課提出
年度別減免状況表
総括より
</t>
        </r>
        <r>
          <rPr>
            <sz val="9"/>
            <color indexed="81"/>
            <rFont val="ＭＳ Ｐゴシック"/>
            <family val="3"/>
            <charset val="128"/>
          </rPr>
          <t>+I:\経理係フォルダ\☆決算事務\２８年度決算\03 各課からの提出物\管理課分\06_５月１６日了知（Jフォルダ管理部H28決算02使用料係）\'[平成28年度下水道使用料 処理区別減免状況（使用水量・減免水量）.xlsx]総括'!$D$30</t>
        </r>
      </text>
    </comment>
    <comment ref="V33" authorId="2" shapeId="0">
      <text>
        <r>
          <rPr>
            <b/>
            <sz val="22"/>
            <color indexed="81"/>
            <rFont val="ＭＳ Ｐゴシック"/>
            <family val="3"/>
            <charset val="128"/>
          </rPr>
          <t>税抜額で請求したいところだが、特定収入に係る課税仕入れに係る消費税額分＝仮払税額となり、現実的に控除できないので、税込で計算する。</t>
        </r>
      </text>
    </comment>
    <comment ref="R36" authorId="3" shapeId="0">
      <text>
        <r>
          <rPr>
            <sz val="9"/>
            <color indexed="81"/>
            <rFont val="ＭＳ Ｐゴシック"/>
            <family val="3"/>
            <charset val="128"/>
          </rPr>
          <t xml:space="preserve">19年度決算は減価償却に充当する他会計負担金があるから資本費の収入を減価償却分と利息分に分ける。次年度は元に戻すこと。
</t>
        </r>
      </text>
    </comment>
  </commentList>
</comments>
</file>

<file path=xl/comments6.xml><?xml version="1.0" encoding="utf-8"?>
<comments xmlns="http://schemas.openxmlformats.org/spreadsheetml/2006/main">
  <authors>
    <author>広島市</author>
  </authors>
  <commentList>
    <comment ref="R10" authorId="0" shapeId="0">
      <text>
        <r>
          <rPr>
            <b/>
            <sz val="9"/>
            <color indexed="81"/>
            <rFont val="ＭＳ Ｐゴシック"/>
            <family val="3"/>
            <charset val="128"/>
          </rPr>
          <t xml:space="preserve">H28
</t>
        </r>
        <r>
          <rPr>
            <sz val="9"/>
            <color indexed="81"/>
            <rFont val="ＭＳ Ｐゴシック"/>
            <family val="3"/>
            <charset val="128"/>
          </rPr>
          <t xml:space="preserve">3条税込の資産除却費の基準内汚水分に値を入力したため、式を修正した。下は、修正前。
=ROUND('3条税抜き (消費費税雑支出加算)'!H32+'3条税抜き (消費費税雑支出加算)'!H39+'3条税抜き (消費費税雑支出加算)'!I39+'3条税抜き (消費費税雑支出加算)'!I32-G21-G22-H21-G23-H23,0)
</t>
        </r>
      </text>
    </comment>
  </commentList>
</comments>
</file>

<file path=xl/comments7.xml><?xml version="1.0" encoding="utf-8"?>
<comments xmlns="http://schemas.openxmlformats.org/spreadsheetml/2006/main">
  <authors>
    <author>広島市</author>
  </authors>
  <commentList>
    <comment ref="R10" authorId="0" shapeId="0">
      <text>
        <r>
          <rPr>
            <b/>
            <sz val="9"/>
            <color indexed="81"/>
            <rFont val="ＭＳ Ｐゴシック"/>
            <family val="3"/>
            <charset val="128"/>
          </rPr>
          <t xml:space="preserve">H28
</t>
        </r>
        <r>
          <rPr>
            <sz val="9"/>
            <color indexed="81"/>
            <rFont val="ＭＳ Ｐゴシック"/>
            <family val="3"/>
            <charset val="128"/>
          </rPr>
          <t xml:space="preserve">3条税込の資産除却費の基準内汚水分に値を入力したため、式を修正した。下は、修正前。
=ROUND('3条税抜き (消費費税雑支出加算)'!H32+'3条税抜き (消費費税雑支出加算)'!H39+'3条税抜き (消費費税雑支出加算)'!I39+'3条税抜き (消費費税雑支出加算)'!I32-G21-G22-H21-G23-H23,0)
</t>
        </r>
      </text>
    </comment>
  </commentList>
</comments>
</file>

<file path=xl/comments8.xml><?xml version="1.0" encoding="utf-8"?>
<comments xmlns="http://schemas.openxmlformats.org/spreadsheetml/2006/main">
  <authors>
    <author>広島市</author>
    <author>楠 宏</author>
    <author>4202453</author>
  </authors>
  <commentList>
    <comment ref="E4" authorId="0" shapeId="0">
      <text>
        <r>
          <rPr>
            <b/>
            <sz val="9"/>
            <color indexed="81"/>
            <rFont val="ＭＳ Ｐゴシック"/>
            <family val="3"/>
            <charset val="128"/>
          </rPr>
          <t>3条支出シート各費目の税込より</t>
        </r>
      </text>
    </comment>
    <comment ref="F7"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G7"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H7"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K7"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F9"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G9"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K9"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F10"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G10"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H10"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J10"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K1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R12" authorId="0" shapeId="0">
      <text>
        <r>
          <rPr>
            <sz val="9"/>
            <color indexed="81"/>
            <rFont val="ＭＳ Ｐゴシック"/>
            <family val="3"/>
            <charset val="128"/>
          </rPr>
          <t>補助金は不課税、報酬の大半は不課税のため、税込の割合で按分するにはなじまない。</t>
        </r>
      </text>
    </comment>
    <comment ref="H13" authorId="0" shapeId="0">
      <text>
        <r>
          <rPr>
            <sz val="9"/>
            <color indexed="81"/>
            <rFont val="ＭＳ Ｐゴシック"/>
            <family val="3"/>
            <charset val="128"/>
          </rPr>
          <t>水洗化貸付事業費全額
=+E13</t>
        </r>
      </text>
    </comment>
    <comment ref="R13" authorId="0" shapeId="0">
      <text>
        <r>
          <rPr>
            <b/>
            <sz val="9"/>
            <color indexed="81"/>
            <rFont val="ＭＳ Ｐゴシック"/>
            <family val="3"/>
            <charset val="128"/>
          </rPr>
          <t>水洗化貸付事業費全額
=+O13</t>
        </r>
      </text>
    </comment>
    <comment ref="H14"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R14" authorId="0" shapeId="0">
      <text>
        <r>
          <rPr>
            <b/>
            <sz val="9"/>
            <color indexed="81"/>
            <rFont val="ＭＳ Ｐゴシック"/>
            <family val="3"/>
            <charset val="128"/>
          </rPr>
          <t>使用料減免に要する人件費の課税割合で算出
=+ROUND(L14/SUM(業務!E5:E9,業務!E34)*SUM(業務!R5:R9,業務!R34),0)</t>
        </r>
      </text>
    </comment>
    <comment ref="F15" authorId="0" shapeId="0">
      <text>
        <r>
          <rPr>
            <sz val="9"/>
            <color indexed="81"/>
            <rFont val="ＭＳ Ｐゴシック"/>
            <family val="3"/>
            <charset val="128"/>
          </rPr>
          <t>管きょ費から業務費までの加重平均で按分
=+ROUND((総係!$E$36-総係!$E$35-$L$15)*SUM(F7:F14)/SUM($F$7:$G$14,$I$7:$J$14),0)</t>
        </r>
      </text>
    </comment>
    <comment ref="G15" authorId="0" shapeId="0">
      <text>
        <r>
          <rPr>
            <sz val="9"/>
            <color indexed="81"/>
            <rFont val="ＭＳ Ｐゴシック"/>
            <family val="3"/>
            <charset val="128"/>
          </rPr>
          <t>管きょ費から業務費までの加重平均で按分
=+ROUND((総係!$E$36-総係!$E$35-$L$15)*SUM(G7:G14)/SUM($F$7:$G$14,$I$7:$J$14),0)</t>
        </r>
      </text>
    </comment>
    <comment ref="P15" authorId="0" shapeId="0">
      <text>
        <r>
          <rPr>
            <b/>
            <sz val="9"/>
            <color indexed="81"/>
            <rFont val="ＭＳ Ｐゴシック"/>
            <family val="3"/>
            <charset val="128"/>
          </rPr>
          <t>管きょ費から業務費までの加重平均で按分
=+ROUND((総係!$R$36-総係!$R$35-$U$15)*SUM(O7:O14)/SUM($O$7:$P$14,$R$7:$S$14),0)</t>
        </r>
      </text>
    </comment>
    <comment ref="Q15" authorId="0" shapeId="0">
      <text>
        <r>
          <rPr>
            <b/>
            <sz val="9"/>
            <color indexed="81"/>
            <rFont val="ＭＳ Ｐゴシック"/>
            <family val="3"/>
            <charset val="128"/>
          </rPr>
          <t>管きょ費から業務費までの加重平均で按分
=+ROUND((総係!$R$36-総係!$R$35-$L$15)*SUM(P7:P14)/SUM($O$7:$P$14,$R$7:$S$14),0)</t>
        </r>
      </text>
    </comment>
    <comment ref="R15" authorId="0" shapeId="0">
      <text>
        <r>
          <rPr>
            <b/>
            <sz val="9"/>
            <color indexed="81"/>
            <rFont val="ＭＳ Ｐゴシック"/>
            <family val="3"/>
            <charset val="128"/>
          </rPr>
          <t>局及び管理部の総括事務経費（貸倒引当金繰入額を除く）の1/2
=+ROUND((総係!R36-総係!R35)/2,0)</t>
        </r>
      </text>
    </comment>
    <comment ref="H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R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H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R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H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R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F20"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F22" authorId="0" shapeId="0">
      <text>
        <r>
          <rPr>
            <b/>
            <sz val="9"/>
            <color indexed="81"/>
            <rFont val="ＭＳ Ｐゴシック"/>
            <family val="3"/>
            <charset val="128"/>
          </rPr>
          <t>営業外収支、特利特損は、雨汚収入・支出シートで仕分けする。</t>
        </r>
      </text>
    </comment>
    <comment ref="P22" authorId="0" shapeId="0">
      <text>
        <r>
          <rPr>
            <b/>
            <sz val="9"/>
            <color indexed="81"/>
            <rFont val="ＭＳ Ｐゴシック"/>
            <family val="3"/>
            <charset val="128"/>
          </rPr>
          <t>雨水・汚水折半
=+ROUND(N22/2,0)
～H28までは、一般行政経費としていたが、財計経費区分表に明記されていないためH29より折半する。</t>
        </r>
      </text>
    </comment>
    <comment ref="E24" authorId="0" shapeId="0">
      <text>
        <r>
          <rPr>
            <b/>
            <sz val="9"/>
            <color indexed="81"/>
            <rFont val="ＭＳ Ｐゴシック"/>
            <family val="3"/>
            <charset val="128"/>
          </rPr>
          <t>災害支援経費分を入力</t>
        </r>
      </text>
    </comment>
    <comment ref="H24" authorId="0" shapeId="0">
      <text>
        <r>
          <rPr>
            <b/>
            <sz val="9"/>
            <color indexed="81"/>
            <rFont val="ＭＳ Ｐゴシック"/>
            <family val="3"/>
            <charset val="128"/>
          </rPr>
          <t>熊本支援経費</t>
        </r>
      </text>
    </comment>
    <comment ref="O25" authorId="0" shapeId="0">
      <text>
        <r>
          <rPr>
            <b/>
            <sz val="9"/>
            <color indexed="81"/>
            <rFont val="ＭＳ Ｐゴシック"/>
            <family val="3"/>
            <charset val="128"/>
          </rPr>
          <t>ここでは入力不要！
下の消費税雑支出加算後の表に自動表示される。）</t>
        </r>
      </text>
    </comment>
    <comment ref="X25" authorId="0" shapeId="0">
      <text>
        <r>
          <rPr>
            <b/>
            <sz val="9"/>
            <color indexed="81"/>
            <rFont val="ＭＳ Ｐゴシック"/>
            <family val="3"/>
            <charset val="128"/>
          </rPr>
          <t>特定収入に係る課税仕入れ等の税額、課税売上割合を乗じることにより控除できなくなった額、仮払消費税からの控除額</t>
        </r>
      </text>
    </comment>
    <comment ref="D26" authorId="0" shapeId="0">
      <text>
        <r>
          <rPr>
            <b/>
            <sz val="9"/>
            <color indexed="81"/>
            <rFont val="ＭＳ Ｐゴシック"/>
            <family val="3"/>
            <charset val="128"/>
          </rPr>
          <t>課税売上割合を乗じることにより控除できなくなった額（３条分）</t>
        </r>
      </text>
    </comment>
    <comment ref="N26" authorId="0" shapeId="0">
      <text>
        <r>
          <rPr>
            <b/>
            <sz val="9"/>
            <color indexed="81"/>
            <rFont val="ＭＳ Ｐゴシック"/>
            <family val="3"/>
            <charset val="128"/>
          </rPr>
          <t>課税売上割合を乗じることにより控除できなくなった額（３条分）</t>
        </r>
      </text>
    </comment>
    <comment ref="O26" authorId="0" shapeId="0">
      <text>
        <r>
          <rPr>
            <b/>
            <sz val="9"/>
            <color indexed="81"/>
            <rFont val="ＭＳ Ｐゴシック"/>
            <family val="3"/>
            <charset val="128"/>
          </rPr>
          <t>ここでは入力不要！
下の消費税雑支出加算後の表に自動表示される。）</t>
        </r>
      </text>
    </comment>
    <comment ref="P28" authorId="0" shapeId="0">
      <text>
        <r>
          <rPr>
            <b/>
            <sz val="9"/>
            <color indexed="81"/>
            <rFont val="ＭＳ Ｐゴシック"/>
            <family val="3"/>
            <charset val="128"/>
          </rPr>
          <t>税込＝税抜　固定</t>
        </r>
      </text>
    </comment>
    <comment ref="Q28" authorId="0" shapeId="0">
      <text>
        <r>
          <rPr>
            <b/>
            <sz val="9"/>
            <color indexed="81"/>
            <rFont val="ＭＳ Ｐゴシック"/>
            <family val="3"/>
            <charset val="128"/>
          </rPr>
          <t>税込＝税抜　固定</t>
        </r>
      </text>
    </comment>
    <comment ref="T28" authorId="0" shapeId="0">
      <text>
        <r>
          <rPr>
            <b/>
            <sz val="9"/>
            <color indexed="81"/>
            <rFont val="ＭＳ Ｐゴシック"/>
            <family val="3"/>
            <charset val="128"/>
          </rPr>
          <t>税込＝税抜　固定</t>
        </r>
      </text>
    </comment>
    <comment ref="U28" authorId="0" shapeId="0">
      <text>
        <r>
          <rPr>
            <b/>
            <sz val="9"/>
            <color indexed="81"/>
            <rFont val="ＭＳ Ｐゴシック"/>
            <family val="3"/>
            <charset val="128"/>
          </rPr>
          <t>税込＝税抜　固定</t>
        </r>
      </text>
    </comment>
    <comment ref="F29" authorId="0" shapeId="0">
      <text>
        <r>
          <rPr>
            <b/>
            <sz val="9"/>
            <color indexed="81"/>
            <rFont val="ＭＳ Ｐゴシック"/>
            <family val="3"/>
            <charset val="128"/>
          </rPr>
          <t>前払金還付遅延利息不納欠損の雨汚水折半</t>
        </r>
      </text>
    </comment>
    <comment ref="K29" authorId="0" shapeId="0">
      <text>
        <r>
          <rPr>
            <b/>
            <sz val="9"/>
            <color indexed="81"/>
            <rFont val="ＭＳ Ｐゴシック"/>
            <family val="3"/>
            <charset val="128"/>
          </rPr>
          <t>使用料分の修正損</t>
        </r>
      </text>
    </comment>
    <comment ref="P29" authorId="0" shapeId="0">
      <text>
        <r>
          <rPr>
            <b/>
            <sz val="9"/>
            <color indexed="81"/>
            <rFont val="ＭＳ Ｐゴシック"/>
            <family val="3"/>
            <charset val="128"/>
          </rPr>
          <t>前払金還付遅延利息不納欠損の雨汚水折半</t>
        </r>
      </text>
    </comment>
    <comment ref="F34" authorId="0" shapeId="0">
      <text>
        <r>
          <rPr>
            <b/>
            <sz val="9"/>
            <color indexed="81"/>
            <rFont val="ＭＳ Ｐゴシック"/>
            <family val="3"/>
            <charset val="128"/>
          </rPr>
          <t>減価償却費雨汚水分け表より</t>
        </r>
      </text>
    </comment>
    <comment ref="H34" authorId="0" shapeId="0">
      <text>
        <r>
          <rPr>
            <b/>
            <sz val="9"/>
            <color indexed="81"/>
            <rFont val="ＭＳ Ｐゴシック"/>
            <family val="3"/>
            <charset val="128"/>
          </rPr>
          <t>し尿分を計上していないが、H32～財計以降は、財計経費区分表に記載の上、基準外繰出し対象とすべき。</t>
        </r>
      </text>
    </comment>
    <comment ref="P34" authorId="0" shapeId="0">
      <text>
        <r>
          <rPr>
            <b/>
            <sz val="9"/>
            <color indexed="81"/>
            <rFont val="ＭＳ Ｐゴシック"/>
            <family val="3"/>
            <charset val="128"/>
          </rPr>
          <t>税込＝税抜　固定</t>
        </r>
      </text>
    </comment>
    <comment ref="Q34" authorId="0" shapeId="0">
      <text>
        <r>
          <rPr>
            <b/>
            <sz val="9"/>
            <color indexed="81"/>
            <rFont val="ＭＳ Ｐゴシック"/>
            <family val="3"/>
            <charset val="128"/>
          </rPr>
          <t>税込＝税抜　固定</t>
        </r>
      </text>
    </comment>
    <comment ref="R34" authorId="0" shapeId="0">
      <text>
        <r>
          <rPr>
            <b/>
            <sz val="9"/>
            <color indexed="81"/>
            <rFont val="ＭＳ Ｐゴシック"/>
            <family val="3"/>
            <charset val="128"/>
          </rPr>
          <t>し尿分を計上していないが、H32～財計以降は、財計経費区分表に記載の上、基準外繰出し対象とすべき。</t>
        </r>
      </text>
    </comment>
    <comment ref="T34" authorId="0" shapeId="0">
      <text>
        <r>
          <rPr>
            <b/>
            <sz val="9"/>
            <color indexed="81"/>
            <rFont val="ＭＳ Ｐゴシック"/>
            <family val="3"/>
            <charset val="128"/>
          </rPr>
          <t>税込＝税抜　固定</t>
        </r>
      </text>
    </comment>
    <comment ref="U34" authorId="0" shapeId="0">
      <text>
        <r>
          <rPr>
            <b/>
            <sz val="9"/>
            <color indexed="81"/>
            <rFont val="ＭＳ Ｐゴシック"/>
            <family val="3"/>
            <charset val="128"/>
          </rPr>
          <t>税込＝税抜　固定</t>
        </r>
      </text>
    </comment>
    <comment ref="F35" authorId="0" shapeId="0">
      <text>
        <r>
          <rPr>
            <b/>
            <sz val="9"/>
            <color indexed="81"/>
            <rFont val="ＭＳ Ｐゴシック"/>
            <family val="3"/>
            <charset val="128"/>
          </rPr>
          <t>除却費雨汚水分け表より</t>
        </r>
      </text>
    </comment>
    <comment ref="P35" authorId="0" shapeId="0">
      <text>
        <r>
          <rPr>
            <b/>
            <sz val="9"/>
            <color indexed="81"/>
            <rFont val="ＭＳ Ｐゴシック"/>
            <family val="3"/>
            <charset val="128"/>
          </rPr>
          <t>税込＝税抜　固定</t>
        </r>
      </text>
    </comment>
    <comment ref="Q35" authorId="0" shapeId="0">
      <text>
        <r>
          <rPr>
            <b/>
            <sz val="9"/>
            <color indexed="81"/>
            <rFont val="ＭＳ Ｐゴシック"/>
            <family val="3"/>
            <charset val="128"/>
          </rPr>
          <t>税込＝税抜　固定</t>
        </r>
      </text>
    </comment>
    <comment ref="T35" authorId="0" shapeId="0">
      <text>
        <r>
          <rPr>
            <b/>
            <sz val="9"/>
            <color indexed="81"/>
            <rFont val="ＭＳ Ｐゴシック"/>
            <family val="3"/>
            <charset val="128"/>
          </rPr>
          <t>税込＝税抜　固定</t>
        </r>
      </text>
    </comment>
    <comment ref="U35" authorId="0" shapeId="0">
      <text>
        <r>
          <rPr>
            <b/>
            <sz val="9"/>
            <color indexed="81"/>
            <rFont val="ＭＳ Ｐゴシック"/>
            <family val="3"/>
            <charset val="128"/>
          </rPr>
          <t>税込＝税抜　固定</t>
        </r>
      </text>
    </comment>
    <comment ref="F37" authorId="0" shapeId="0">
      <text>
        <r>
          <rPr>
            <b/>
            <sz val="9"/>
            <color indexed="81"/>
            <rFont val="ＭＳ Ｐゴシック"/>
            <family val="3"/>
            <charset val="128"/>
          </rPr>
          <t>企業債利息雨汚水分け表より</t>
        </r>
      </text>
    </comment>
    <comment ref="H37" authorId="0" shapeId="0">
      <text>
        <r>
          <rPr>
            <sz val="9"/>
            <color indexed="81"/>
            <rFont val="ＭＳ Ｐゴシック"/>
            <family val="3"/>
            <charset val="128"/>
          </rPr>
          <t>弾力運用分、特別分、し尿分の利子償還金</t>
        </r>
      </text>
    </comment>
    <comment ref="P37" authorId="0" shapeId="0">
      <text>
        <r>
          <rPr>
            <b/>
            <sz val="9"/>
            <color indexed="81"/>
            <rFont val="ＭＳ Ｐゴシック"/>
            <family val="3"/>
            <charset val="128"/>
          </rPr>
          <t>税込＝税抜　固定</t>
        </r>
      </text>
    </comment>
    <comment ref="Q37" authorId="0" shapeId="0">
      <text>
        <r>
          <rPr>
            <b/>
            <sz val="9"/>
            <color indexed="81"/>
            <rFont val="ＭＳ Ｐゴシック"/>
            <family val="3"/>
            <charset val="128"/>
          </rPr>
          <t>税込＝税抜　固定</t>
        </r>
      </text>
    </comment>
    <comment ref="R37" authorId="0" shapeId="0">
      <text>
        <r>
          <rPr>
            <b/>
            <sz val="9"/>
            <color indexed="81"/>
            <rFont val="ＭＳ Ｐゴシック"/>
            <family val="3"/>
            <charset val="128"/>
          </rPr>
          <t>税込＝税抜　固定</t>
        </r>
      </text>
    </comment>
    <comment ref="T37" authorId="0" shapeId="0">
      <text>
        <r>
          <rPr>
            <b/>
            <sz val="9"/>
            <color indexed="81"/>
            <rFont val="ＭＳ Ｐゴシック"/>
            <family val="3"/>
            <charset val="128"/>
          </rPr>
          <t>税込＝税抜　固定</t>
        </r>
      </text>
    </comment>
    <comment ref="U37" authorId="0" shapeId="0">
      <text>
        <r>
          <rPr>
            <b/>
            <sz val="9"/>
            <color indexed="81"/>
            <rFont val="ＭＳ Ｐゴシック"/>
            <family val="3"/>
            <charset val="128"/>
          </rPr>
          <t>税込＝税抜　固定</t>
        </r>
      </text>
    </comment>
    <comment ref="F38" authorId="0" shapeId="0">
      <text>
        <r>
          <rPr>
            <b/>
            <sz val="9"/>
            <color indexed="81"/>
            <rFont val="ＭＳ Ｐゴシック"/>
            <family val="3"/>
            <charset val="128"/>
          </rPr>
          <t>利息雨汚水から分けて拾うべき
21371910</t>
        </r>
      </text>
    </comment>
    <comment ref="K38" authorId="0" shapeId="0">
      <text>
        <r>
          <rPr>
            <b/>
            <sz val="9"/>
            <color indexed="81"/>
            <rFont val="ＭＳ Ｐゴシック"/>
            <family val="3"/>
            <charset val="128"/>
          </rPr>
          <t>利息雨汚水から分けて拾うべき
25588999</t>
        </r>
      </text>
    </comment>
    <comment ref="D42" authorId="0" shapeId="0">
      <text>
        <r>
          <rPr>
            <b/>
            <sz val="9"/>
            <color indexed="81"/>
            <rFont val="ＭＳ Ｐゴシック"/>
            <family val="3"/>
            <charset val="128"/>
          </rPr>
          <t>過年度の償却漏れ・除却もれを修正損で執行した場合に使う。</t>
        </r>
      </text>
    </comment>
    <comment ref="F42" authorId="0" shapeId="0">
      <text>
        <r>
          <rPr>
            <b/>
            <sz val="9"/>
            <color indexed="81"/>
            <rFont val="ＭＳ Ｐゴシック"/>
            <family val="3"/>
            <charset val="128"/>
          </rPr>
          <t>固定資産担当に数字を作ってもらう。H26,H27に実績有あり）</t>
        </r>
      </text>
    </comment>
    <comment ref="P42" authorId="0" shapeId="0">
      <text>
        <r>
          <rPr>
            <b/>
            <sz val="9"/>
            <color indexed="81"/>
            <rFont val="ＭＳ Ｐゴシック"/>
            <family val="3"/>
            <charset val="128"/>
          </rPr>
          <t>税込＝税抜　固定</t>
        </r>
      </text>
    </comment>
    <comment ref="Q42" authorId="0" shapeId="0">
      <text>
        <r>
          <rPr>
            <b/>
            <sz val="9"/>
            <color indexed="81"/>
            <rFont val="ＭＳ Ｐゴシック"/>
            <family val="3"/>
            <charset val="128"/>
          </rPr>
          <t>税込＝税抜　固定</t>
        </r>
      </text>
    </comment>
    <comment ref="T42" authorId="0" shapeId="0">
      <text>
        <r>
          <rPr>
            <b/>
            <sz val="9"/>
            <color indexed="81"/>
            <rFont val="ＭＳ Ｐゴシック"/>
            <family val="3"/>
            <charset val="128"/>
          </rPr>
          <t>税込＝税抜　固定</t>
        </r>
      </text>
    </comment>
    <comment ref="U42" authorId="0" shapeId="0">
      <text>
        <r>
          <rPr>
            <b/>
            <sz val="9"/>
            <color indexed="81"/>
            <rFont val="ＭＳ Ｐゴシック"/>
            <family val="3"/>
            <charset val="128"/>
          </rPr>
          <t>税込＝税抜　固定</t>
        </r>
      </text>
    </comment>
    <comment ref="P43" authorId="0" shapeId="0">
      <text>
        <r>
          <rPr>
            <b/>
            <sz val="9"/>
            <color indexed="81"/>
            <rFont val="ＭＳ Ｐゴシック"/>
            <family val="3"/>
            <charset val="128"/>
          </rPr>
          <t>税込＝税抜　固定</t>
        </r>
      </text>
    </comment>
    <comment ref="Q43" authorId="0" shapeId="0">
      <text>
        <r>
          <rPr>
            <b/>
            <sz val="9"/>
            <color indexed="81"/>
            <rFont val="ＭＳ Ｐゴシック"/>
            <family val="3"/>
            <charset val="128"/>
          </rPr>
          <t>税込＝税抜　固定</t>
        </r>
      </text>
    </comment>
    <comment ref="T43" authorId="0" shapeId="0">
      <text>
        <r>
          <rPr>
            <b/>
            <sz val="9"/>
            <color indexed="81"/>
            <rFont val="ＭＳ Ｐゴシック"/>
            <family val="3"/>
            <charset val="128"/>
          </rPr>
          <t>税込＝税抜　固定</t>
        </r>
      </text>
    </comment>
    <comment ref="U43" authorId="0" shapeId="0">
      <text>
        <r>
          <rPr>
            <b/>
            <sz val="9"/>
            <color indexed="81"/>
            <rFont val="ＭＳ Ｐゴシック"/>
            <family val="3"/>
            <charset val="128"/>
          </rPr>
          <t>税込＝税抜　固定</t>
        </r>
      </text>
    </comment>
    <comment ref="F44" authorId="0" shapeId="0">
      <text>
        <r>
          <rPr>
            <sz val="9"/>
            <color indexed="81"/>
            <rFont val="ＭＳ Ｐゴシック"/>
            <family val="3"/>
            <charset val="128"/>
          </rPr>
          <t>減損対象資産の排水区分により、雨汚水を仕訳する。</t>
        </r>
      </text>
    </comment>
    <comment ref="K44" authorId="0" shapeId="0">
      <text>
        <r>
          <rPr>
            <sz val="9"/>
            <color indexed="81"/>
            <rFont val="ＭＳ Ｐゴシック"/>
            <family val="3"/>
            <charset val="128"/>
          </rPr>
          <t>減損対象資産の排水区分により、雨汚水を仕訳する。</t>
        </r>
      </text>
    </comment>
    <comment ref="P44" authorId="0" shapeId="0">
      <text>
        <r>
          <rPr>
            <b/>
            <sz val="9"/>
            <color indexed="81"/>
            <rFont val="ＭＳ Ｐゴシック"/>
            <family val="3"/>
            <charset val="128"/>
          </rPr>
          <t>税込＝税抜　固定</t>
        </r>
      </text>
    </comment>
    <comment ref="U44" authorId="0" shapeId="0">
      <text>
        <r>
          <rPr>
            <b/>
            <sz val="9"/>
            <color indexed="81"/>
            <rFont val="ＭＳ Ｐゴシック"/>
            <family val="3"/>
            <charset val="128"/>
          </rPr>
          <t>税込＝税抜　固定</t>
        </r>
      </text>
    </comment>
    <comment ref="D61" authorId="0" shapeId="0">
      <text>
        <r>
          <rPr>
            <b/>
            <sz val="9"/>
            <color indexed="81"/>
            <rFont val="ＭＳ Ｐゴシック"/>
            <family val="3"/>
            <charset val="128"/>
          </rPr>
          <t>産物売却代金（西部汚水処理の特財）</t>
        </r>
      </text>
    </comment>
    <comment ref="U61" authorId="0" shapeId="0">
      <text>
        <r>
          <rPr>
            <b/>
            <sz val="9"/>
            <color indexed="81"/>
            <rFont val="ＭＳ Ｐゴシック"/>
            <family val="3"/>
            <charset val="128"/>
          </rPr>
          <t>産物売却代金（西部汚水処理の特財）
=+'3条収入'!E20</t>
        </r>
      </text>
    </comment>
    <comment ref="D62" authorId="0" shapeId="0">
      <text>
        <r>
          <rPr>
            <b/>
            <sz val="9"/>
            <color indexed="81"/>
            <rFont val="ＭＳ Ｐゴシック"/>
            <family val="3"/>
            <charset val="128"/>
          </rPr>
          <t>主に管きょ費の特財</t>
        </r>
      </text>
    </comment>
    <comment ref="P62" authorId="0" shapeId="0">
      <text>
        <r>
          <rPr>
            <sz val="9"/>
            <color indexed="81"/>
            <rFont val="ＭＳ Ｐゴシック"/>
            <family val="3"/>
            <charset val="128"/>
          </rPr>
          <t>=+'I:\経理係フォルダ\☆決算事務\２８年度決算\06 H28決算　消費税計算\財務会計データ\３条\収入\[H28 4811400その他営業収益.xls]その他営業収益'!$AI$6</t>
        </r>
      </text>
    </comment>
    <comment ref="Q62" authorId="0" shapeId="0">
      <text>
        <r>
          <rPr>
            <sz val="9"/>
            <color indexed="81"/>
            <rFont val="ＭＳ Ｐゴシック"/>
            <family val="3"/>
            <charset val="128"/>
          </rPr>
          <t>=+'I:\経理係フォルダ\☆決算事務\２８年度決算\06 H28決算　消費税計算\財務会計データ\３条\収入\[H28 4811400その他営業収益.xls]その他営業収益'!$AJ$6</t>
        </r>
      </text>
    </comment>
    <comment ref="D63" authorId="0" shapeId="0">
      <text>
        <r>
          <rPr>
            <b/>
            <sz val="9"/>
            <color indexed="81"/>
            <rFont val="ＭＳ Ｐゴシック"/>
            <family val="3"/>
            <charset val="128"/>
          </rPr>
          <t>主に管きょ費の特財</t>
        </r>
      </text>
    </comment>
    <comment ref="R63" authorId="0" shapeId="0">
      <text>
        <r>
          <rPr>
            <b/>
            <sz val="9"/>
            <color indexed="81"/>
            <rFont val="ＭＳ Ｐゴシック"/>
            <family val="3"/>
            <charset val="128"/>
          </rPr>
          <t>管きょ費開発行為関係業務のの特財</t>
        </r>
      </text>
    </comment>
    <comment ref="D64" authorId="0" shapeId="0">
      <text>
        <r>
          <rPr>
            <b/>
            <sz val="9"/>
            <color indexed="81"/>
            <rFont val="ＭＳ Ｐゴシック"/>
            <family val="3"/>
            <charset val="128"/>
          </rPr>
          <t>普及促進費の特財</t>
        </r>
      </text>
    </comment>
    <comment ref="R64" authorId="0" shapeId="0">
      <text>
        <r>
          <rPr>
            <b/>
            <sz val="9"/>
            <color indexed="81"/>
            <rFont val="ＭＳ Ｐゴシック"/>
            <family val="3"/>
            <charset val="128"/>
          </rPr>
          <t>普及促進費の特財</t>
        </r>
      </text>
    </comment>
    <comment ref="R65" authorId="0" shapeId="0">
      <text>
        <r>
          <rPr>
            <b/>
            <sz val="9"/>
            <color indexed="81"/>
            <rFont val="ＭＳ Ｐゴシック"/>
            <family val="3"/>
            <charset val="128"/>
          </rPr>
          <t>普及促進費の特財</t>
        </r>
      </text>
    </comment>
    <comment ref="D70" authorId="0" shapeId="0">
      <text>
        <r>
          <rPr>
            <b/>
            <sz val="9"/>
            <color indexed="81"/>
            <rFont val="ＭＳ Ｐゴシック"/>
            <family val="3"/>
            <charset val="128"/>
          </rPr>
          <t>主にポンプ場費の特財</t>
        </r>
      </text>
    </comment>
    <comment ref="P70" authorId="0" shapeId="0">
      <text>
        <r>
          <rPr>
            <b/>
            <sz val="9"/>
            <color indexed="81"/>
            <rFont val="ＭＳ Ｐゴシック"/>
            <family val="3"/>
            <charset val="128"/>
          </rPr>
          <t>主にポンプ場費の特財</t>
        </r>
      </text>
    </comment>
    <comment ref="U70" authorId="0" shapeId="0">
      <text>
        <r>
          <rPr>
            <b/>
            <sz val="9"/>
            <color indexed="81"/>
            <rFont val="ＭＳ Ｐゴシック"/>
            <family val="3"/>
            <charset val="128"/>
          </rPr>
          <t>主にポンプ場費の特財</t>
        </r>
      </text>
    </comment>
    <comment ref="D77" authorId="0" shapeId="0">
      <text>
        <r>
          <rPr>
            <b/>
            <sz val="9"/>
            <color indexed="81"/>
            <rFont val="ＭＳ Ｐゴシック"/>
            <family val="3"/>
            <charset val="128"/>
          </rPr>
          <t>過去の仕入れ対価の返還
過去の課税売上の返還
貸倒引当金取崩額に係る調整等</t>
        </r>
      </text>
    </comment>
    <comment ref="E77" authorId="0" shapeId="0">
      <text>
        <r>
          <rPr>
            <b/>
            <sz val="9"/>
            <color indexed="81"/>
            <rFont val="ＭＳ Ｐゴシック"/>
            <family val="3"/>
            <charset val="128"/>
          </rPr>
          <t>ここでは入力不要！
下の消費税雑支出加算後の表に自動表示される。）</t>
        </r>
      </text>
    </comment>
    <comment ref="N77" authorId="0" shapeId="0">
      <text>
        <r>
          <rPr>
            <b/>
            <sz val="9"/>
            <color indexed="81"/>
            <rFont val="ＭＳ Ｐゴシック"/>
            <family val="3"/>
            <charset val="128"/>
          </rPr>
          <t>過去の仕入れ対価の返還
過去の課税売上の返還
貸倒引当金取崩額に係る調整等</t>
        </r>
      </text>
    </comment>
    <comment ref="O77" authorId="0" shapeId="0">
      <text>
        <r>
          <rPr>
            <b/>
            <sz val="9"/>
            <color indexed="81"/>
            <rFont val="ＭＳ Ｐゴシック"/>
            <family val="3"/>
            <charset val="128"/>
          </rPr>
          <t>ここでは入力不要！
下の消費税雑支出加算後の表に自動表示される。）</t>
        </r>
      </text>
    </comment>
    <comment ref="X77" authorId="0" shapeId="0">
      <text>
        <r>
          <rPr>
            <b/>
            <sz val="9"/>
            <color indexed="81"/>
            <rFont val="ＭＳ Ｐゴシック"/>
            <family val="3"/>
            <charset val="128"/>
          </rPr>
          <t>貸倒引当金取崩額に係る調整</t>
        </r>
      </text>
    </comment>
    <comment ref="H82" authorId="0" shapeId="0">
      <text>
        <r>
          <rPr>
            <b/>
            <sz val="9"/>
            <color indexed="10"/>
            <rFont val="ＭＳ Ｐゴシック"/>
            <family val="3"/>
            <charset val="128"/>
          </rPr>
          <t>次期財計で使用料、貸付、受益者の貸倒引当金の雨汚水区分を変更した場合には、戻入益の雨汚水区分も変更する。（実際の作業は、収入雨汚水内訳シート内で行う。）</t>
        </r>
      </text>
    </comment>
    <comment ref="F85" authorId="0" shapeId="0">
      <text>
        <r>
          <rPr>
            <b/>
            <sz val="9"/>
            <color indexed="81"/>
            <rFont val="ＭＳ Ｐゴシック"/>
            <family val="3"/>
            <charset val="128"/>
          </rPr>
          <t>減価償却費雨汚水分け表より</t>
        </r>
      </text>
    </comment>
    <comment ref="H85" authorId="0" shapeId="0">
      <text>
        <r>
          <rPr>
            <b/>
            <sz val="9"/>
            <color indexed="81"/>
            <rFont val="ＭＳ Ｐゴシック"/>
            <family val="3"/>
            <charset val="128"/>
          </rPr>
          <t>し尿分を計上していないが、H32～財計以降は、財計経費区分表に記載の上、基準外繰出し対象とすべき。</t>
        </r>
      </text>
    </comment>
    <comment ref="P85" authorId="0" shapeId="0">
      <text>
        <r>
          <rPr>
            <b/>
            <sz val="9"/>
            <color indexed="81"/>
            <rFont val="ＭＳ Ｐゴシック"/>
            <family val="3"/>
            <charset val="128"/>
          </rPr>
          <t>税込＝税抜　固定</t>
        </r>
      </text>
    </comment>
    <comment ref="Q85" authorId="0" shapeId="0">
      <text>
        <r>
          <rPr>
            <b/>
            <sz val="9"/>
            <color indexed="81"/>
            <rFont val="ＭＳ Ｐゴシック"/>
            <family val="3"/>
            <charset val="128"/>
          </rPr>
          <t>税込＝税抜　固定</t>
        </r>
      </text>
    </comment>
    <comment ref="R85" authorId="0" shapeId="0">
      <text>
        <r>
          <rPr>
            <b/>
            <sz val="9"/>
            <color indexed="81"/>
            <rFont val="ＭＳ Ｐゴシック"/>
            <family val="3"/>
            <charset val="128"/>
          </rPr>
          <t>し尿分を計上していないが、H32～財計以降は、財計経費区分表に記載の上、基準外繰出し対象とすべき。</t>
        </r>
      </text>
    </comment>
    <comment ref="T85" authorId="0" shapeId="0">
      <text>
        <r>
          <rPr>
            <b/>
            <sz val="9"/>
            <color indexed="81"/>
            <rFont val="ＭＳ Ｐゴシック"/>
            <family val="3"/>
            <charset val="128"/>
          </rPr>
          <t>税込＝税抜　固定</t>
        </r>
      </text>
    </comment>
    <comment ref="U85" authorId="0" shapeId="0">
      <text>
        <r>
          <rPr>
            <b/>
            <sz val="9"/>
            <color indexed="81"/>
            <rFont val="ＭＳ Ｐゴシック"/>
            <family val="3"/>
            <charset val="128"/>
          </rPr>
          <t>税込＝税抜　固定</t>
        </r>
      </text>
    </comment>
    <comment ref="F86" authorId="0" shapeId="0">
      <text>
        <r>
          <rPr>
            <b/>
            <sz val="9"/>
            <color indexed="81"/>
            <rFont val="ＭＳ Ｐゴシック"/>
            <family val="3"/>
            <charset val="128"/>
          </rPr>
          <t>除却費雨汚水分け表より</t>
        </r>
      </text>
    </comment>
    <comment ref="O86" authorId="0" shapeId="0">
      <text>
        <r>
          <rPr>
            <b/>
            <sz val="9"/>
            <color indexed="81"/>
            <rFont val="ＭＳ Ｐゴシック"/>
            <family val="3"/>
            <charset val="128"/>
          </rPr>
          <t>税込＝税抜　固定</t>
        </r>
      </text>
    </comment>
    <comment ref="P86" authorId="0" shapeId="0">
      <text>
        <r>
          <rPr>
            <b/>
            <sz val="9"/>
            <color indexed="81"/>
            <rFont val="ＭＳ Ｐゴシック"/>
            <family val="3"/>
            <charset val="128"/>
          </rPr>
          <t>税込＝税抜　固定</t>
        </r>
      </text>
    </comment>
    <comment ref="Q86" authorId="0" shapeId="0">
      <text>
        <r>
          <rPr>
            <b/>
            <sz val="9"/>
            <color indexed="81"/>
            <rFont val="ＭＳ Ｐゴシック"/>
            <family val="3"/>
            <charset val="128"/>
          </rPr>
          <t>税込＝税抜　固定</t>
        </r>
      </text>
    </comment>
    <comment ref="T86" authorId="0" shapeId="0">
      <text>
        <r>
          <rPr>
            <b/>
            <sz val="9"/>
            <color indexed="81"/>
            <rFont val="ＭＳ Ｐゴシック"/>
            <family val="3"/>
            <charset val="128"/>
          </rPr>
          <t>税込＝税抜　固定</t>
        </r>
      </text>
    </comment>
    <comment ref="U86" authorId="0" shapeId="0">
      <text>
        <r>
          <rPr>
            <b/>
            <sz val="9"/>
            <color indexed="81"/>
            <rFont val="ＭＳ Ｐゴシック"/>
            <family val="3"/>
            <charset val="128"/>
          </rPr>
          <t>税込＝税抜　固定</t>
        </r>
      </text>
    </comment>
    <comment ref="F88" authorId="0" shapeId="0">
      <text>
        <r>
          <rPr>
            <sz val="9"/>
            <color indexed="81"/>
            <rFont val="ＭＳ Ｐゴシック"/>
            <family val="3"/>
            <charset val="128"/>
          </rPr>
          <t>企業債利息の支出額割合で按分</t>
        </r>
      </text>
    </comment>
    <comment ref="K88" authorId="0" shapeId="0">
      <text>
        <r>
          <rPr>
            <sz val="9"/>
            <color indexed="81"/>
            <rFont val="ＭＳ Ｐゴシック"/>
            <family val="3"/>
            <charset val="128"/>
          </rPr>
          <t>企業債利息の支出額割合で按分</t>
        </r>
      </text>
    </comment>
    <comment ref="P88" authorId="0" shapeId="0">
      <text>
        <r>
          <rPr>
            <b/>
            <sz val="9"/>
            <color indexed="81"/>
            <rFont val="ＭＳ Ｐゴシック"/>
            <family val="3"/>
            <charset val="128"/>
          </rPr>
          <t>税込＝税抜　固定</t>
        </r>
      </text>
    </comment>
    <comment ref="U88" authorId="0" shapeId="0">
      <text>
        <r>
          <rPr>
            <b/>
            <sz val="9"/>
            <color indexed="81"/>
            <rFont val="ＭＳ Ｐゴシック"/>
            <family val="3"/>
            <charset val="128"/>
          </rPr>
          <t>税込＝税抜　固定</t>
        </r>
      </text>
    </comment>
    <comment ref="K89" authorId="0" shapeId="0">
      <text>
        <r>
          <rPr>
            <sz val="9"/>
            <color indexed="81"/>
            <rFont val="ＭＳ Ｐゴシック"/>
            <family val="3"/>
            <charset val="128"/>
          </rPr>
          <t>減免分は、汚水基準外の特財</t>
        </r>
      </text>
    </comment>
    <comment ref="P93" authorId="0" shapeId="0">
      <text>
        <r>
          <rPr>
            <b/>
            <sz val="9"/>
            <color indexed="81"/>
            <rFont val="ＭＳ Ｐゴシック"/>
            <family val="3"/>
            <charset val="128"/>
          </rPr>
          <t>税込＝税抜　固定</t>
        </r>
      </text>
    </comment>
    <comment ref="Q93" authorId="0" shapeId="0">
      <text>
        <r>
          <rPr>
            <b/>
            <sz val="9"/>
            <color indexed="81"/>
            <rFont val="ＭＳ Ｐゴシック"/>
            <family val="3"/>
            <charset val="128"/>
          </rPr>
          <t>税込＝税抜　固定</t>
        </r>
      </text>
    </comment>
    <comment ref="T93" authorId="0" shapeId="0">
      <text>
        <r>
          <rPr>
            <b/>
            <sz val="9"/>
            <color indexed="81"/>
            <rFont val="ＭＳ Ｐゴシック"/>
            <family val="3"/>
            <charset val="128"/>
          </rPr>
          <t>税込＝税抜　固定</t>
        </r>
      </text>
    </comment>
    <comment ref="U93" authorId="0" shapeId="0">
      <text>
        <r>
          <rPr>
            <b/>
            <sz val="9"/>
            <color indexed="81"/>
            <rFont val="ＭＳ Ｐゴシック"/>
            <family val="3"/>
            <charset val="128"/>
          </rPr>
          <t>税込＝税抜　固定</t>
        </r>
      </text>
    </comment>
    <comment ref="P94" authorId="0" shapeId="0">
      <text>
        <r>
          <rPr>
            <b/>
            <sz val="9"/>
            <color indexed="81"/>
            <rFont val="ＭＳ Ｐゴシック"/>
            <family val="3"/>
            <charset val="128"/>
          </rPr>
          <t>税込＝税抜　固定</t>
        </r>
      </text>
    </comment>
    <comment ref="Q94" authorId="0" shapeId="0">
      <text>
        <r>
          <rPr>
            <b/>
            <sz val="9"/>
            <color indexed="81"/>
            <rFont val="ＭＳ Ｐゴシック"/>
            <family val="3"/>
            <charset val="128"/>
          </rPr>
          <t>税込＝税抜　固定</t>
        </r>
      </text>
    </comment>
    <comment ref="T94" authorId="0" shapeId="0">
      <text>
        <r>
          <rPr>
            <b/>
            <sz val="9"/>
            <color indexed="81"/>
            <rFont val="ＭＳ Ｐゴシック"/>
            <family val="3"/>
            <charset val="128"/>
          </rPr>
          <t>税込＝税抜　固定</t>
        </r>
      </text>
    </comment>
    <comment ref="U94" authorId="0" shapeId="0">
      <text>
        <r>
          <rPr>
            <b/>
            <sz val="9"/>
            <color indexed="81"/>
            <rFont val="ＭＳ Ｐゴシック"/>
            <family val="3"/>
            <charset val="128"/>
          </rPr>
          <t>税込＝税抜　固定</t>
        </r>
      </text>
    </comment>
    <comment ref="F95" authorId="0" shapeId="0">
      <text>
        <r>
          <rPr>
            <sz val="9"/>
            <color indexed="81"/>
            <rFont val="ＭＳ Ｐゴシック"/>
            <family val="3"/>
            <charset val="128"/>
          </rPr>
          <t>減損対象資産の排水区分により、雨汚水を仕訳する。</t>
        </r>
      </text>
    </comment>
    <comment ref="K95" authorId="0" shapeId="0">
      <text>
        <r>
          <rPr>
            <sz val="9"/>
            <color indexed="81"/>
            <rFont val="ＭＳ Ｐゴシック"/>
            <family val="3"/>
            <charset val="128"/>
          </rPr>
          <t>減損対象資産の排水区分により、雨汚水を仕訳する。</t>
        </r>
      </text>
    </comment>
    <comment ref="P95" authorId="0" shapeId="0">
      <text>
        <r>
          <rPr>
            <b/>
            <sz val="9"/>
            <color indexed="81"/>
            <rFont val="ＭＳ Ｐゴシック"/>
            <family val="3"/>
            <charset val="128"/>
          </rPr>
          <t>税込＝税抜　固定</t>
        </r>
      </text>
    </comment>
    <comment ref="U95" authorId="0" shapeId="0">
      <text>
        <r>
          <rPr>
            <b/>
            <sz val="9"/>
            <color indexed="81"/>
            <rFont val="ＭＳ Ｐゴシック"/>
            <family val="3"/>
            <charset val="128"/>
          </rPr>
          <t>税込＝税抜　固定</t>
        </r>
      </text>
    </comment>
    <comment ref="K111" authorId="0" shapeId="0">
      <text>
        <r>
          <rPr>
            <b/>
            <sz val="9"/>
            <color indexed="10"/>
            <rFont val="ＭＳ Ｐゴシック"/>
            <family val="3"/>
            <charset val="128"/>
          </rPr>
          <t>=+IF(SUM(U137:U139,-U133)&gt;=0,U120+AJ120,U120+AJ120+AJ139+AJ141)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U111" authorId="0" shapeId="0">
      <text>
        <r>
          <rPr>
            <b/>
            <sz val="9"/>
            <color indexed="10"/>
            <rFont val="ＭＳ Ｐゴシック"/>
            <family val="3"/>
            <charset val="128"/>
          </rPr>
          <t>=+IF(U140&gt;0,0,-U140)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Y111" authorId="0" shapeId="0">
      <text>
        <r>
          <rPr>
            <b/>
            <sz val="9"/>
            <color indexed="81"/>
            <rFont val="ＭＳ Ｐゴシック"/>
            <family val="3"/>
            <charset val="128"/>
          </rPr>
          <t>【区域外用】　減免分を充当してもなお。汚水基準外に赤字が出る場合には、赤字分を雨水処理負担金に計上して、赤字を消す。基本的な考え方は、汚水基準外を除く（維持管理費-維持管理費充当財源）-減免分を除く他の維持管理費充当繰入額</t>
        </r>
      </text>
    </comment>
    <comment ref="Z114" authorId="0" shapeId="0">
      <text>
        <r>
          <rPr>
            <b/>
            <sz val="9"/>
            <color indexed="81"/>
            <rFont val="ＭＳ Ｐゴシック"/>
            <family val="3"/>
            <charset val="128"/>
          </rPr>
          <t>利息分には、控除不可消費税は発生しない。</t>
        </r>
      </text>
    </comment>
    <comment ref="AC116" authorId="0" shapeId="0">
      <text>
        <r>
          <rPr>
            <b/>
            <sz val="9"/>
            <color indexed="81"/>
            <rFont val="ＭＳ Ｐゴシック"/>
            <family val="3"/>
            <charset val="128"/>
          </rPr>
          <t>税込支出に揃えるために加除しているが、加算するのは必要のない繰入を受けているように見えるため、腑に落ちない。マイナスのときは、税込まで減額し、プラスのときは、加算しなければいいのではないか。</t>
        </r>
      </text>
    </comment>
    <comment ref="K122" authorId="0" shapeId="0">
      <text>
        <r>
          <rPr>
            <b/>
            <sz val="9"/>
            <color indexed="10"/>
            <rFont val="ＭＳ Ｐゴシック"/>
            <family val="3"/>
            <charset val="128"/>
          </rPr>
          <t>=+U130+AJ130+IF(SUM(U137:U139,-U133)&gt;=0,U120+AJ120,U120+AJ120+AJ139+AJ141)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2" authorId="0" shapeId="0">
      <text>
        <r>
          <rPr>
            <b/>
            <sz val="9"/>
            <color indexed="10"/>
            <rFont val="ＭＳ Ｐゴシック"/>
            <family val="3"/>
            <charset val="128"/>
          </rPr>
          <t>=-IF($U$140=0,0,IF($U$137&gt;0,0,U137))
全事業分で赤字が出る場合は、このセルの数式を使用する。
区域外分に、減免分を充当してもなお。汚水基準外に赤字が出る場合には、赤字分を雨水処理負担金に計上して赤字を消すため、このセルの数式は削除する。</t>
        </r>
      </text>
    </comment>
    <comment ref="K123" authorId="0" shapeId="0">
      <text>
        <r>
          <rPr>
            <b/>
            <sz val="9"/>
            <color indexed="10"/>
            <rFont val="ＭＳ Ｐゴシック"/>
            <family val="3"/>
            <charset val="128"/>
          </rPr>
          <t>=+U131+AJ131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3" authorId="0" shapeId="0">
      <text>
        <r>
          <rPr>
            <b/>
            <sz val="9"/>
            <color indexed="10"/>
            <rFont val="ＭＳ Ｐゴシック"/>
            <family val="3"/>
            <charset val="128"/>
          </rPr>
          <t>=-IF($U$140=0,0,IF($U$137&gt;0,ROUND($U$140*U138/($U$138+$U$139),0),U138))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K124" authorId="0" shapeId="0">
      <text>
        <r>
          <rPr>
            <b/>
            <sz val="9"/>
            <color indexed="10"/>
            <rFont val="ＭＳ Ｐゴシック"/>
            <family val="3"/>
            <charset val="128"/>
          </rPr>
          <t>=+U132+AJ132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4" authorId="0" shapeId="0">
      <text>
        <r>
          <rPr>
            <b/>
            <sz val="9"/>
            <color indexed="10"/>
            <rFont val="ＭＳ Ｐゴシック"/>
            <family val="3"/>
            <charset val="128"/>
          </rPr>
          <t>=-IF($U$140=0,0,IF($U$137&gt;0,U140+U131,U139))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List>
</comments>
</file>

<file path=xl/comments9.xml><?xml version="1.0" encoding="utf-8"?>
<comments xmlns="http://schemas.openxmlformats.org/spreadsheetml/2006/main">
  <authors>
    <author>楠 宏</author>
    <author>4202453</author>
    <author>広島市</author>
  </authors>
  <commentList>
    <comment ref="E7" authorId="0"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F7" authorId="0"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G7" authorId="0"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J7" authorId="0"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E9" authorId="0"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F9" authorId="0"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J9" authorId="0"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E10" authorId="0" shapeId="0">
      <text>
        <r>
          <rPr>
            <sz val="9"/>
            <color indexed="81"/>
            <rFont val="ＭＳ Ｐゴシック"/>
            <family val="3"/>
            <charset val="128"/>
          </rPr>
          <t>='I:\経理係フォルダ\☆決算事務\２８年度決算\07 H28雨汚水分け\雨汚水分け\[Ｈ28年度決算処理場費　雨汚水.xls]総括表'!$C$30</t>
        </r>
      </text>
    </comment>
    <comment ref="F10" authorId="0" shapeId="0">
      <text>
        <r>
          <rPr>
            <sz val="9"/>
            <color indexed="81"/>
            <rFont val="ＭＳ Ｐゴシック"/>
            <family val="3"/>
            <charset val="128"/>
          </rPr>
          <t>='I:\経理係フォルダ\☆決算事務\２８年度決算\07 H28雨汚水分け\雨汚水分け\[Ｈ28年度決算処理場費　雨汚水.xls]総括表'!$I$30</t>
        </r>
      </text>
    </comment>
    <comment ref="G10" authorId="0" shapeId="0">
      <text>
        <r>
          <rPr>
            <sz val="9"/>
            <color indexed="81"/>
            <rFont val="ＭＳ Ｐゴシック"/>
            <family val="3"/>
            <charset val="128"/>
          </rPr>
          <t>='I:\経理係フォルダ\☆決算事務\２８年度決算\07 H28雨汚水分け\雨汚水分け\[Ｈ28年度決算処理場費　雨汚水.xls]総括表'!$J$30</t>
        </r>
      </text>
    </comment>
    <comment ref="I10" authorId="0" shapeId="0">
      <text>
        <r>
          <rPr>
            <sz val="9"/>
            <color indexed="81"/>
            <rFont val="ＭＳ Ｐゴシック"/>
            <family val="3"/>
            <charset val="128"/>
          </rPr>
          <t>='I:\経理係フォルダ\☆決算事務\２８年度決算\07 H28雨汚水分け\雨汚水分け\[Ｈ28年度決算処理場費　雨汚水.xls]総括表'!$G$30</t>
        </r>
      </text>
    </comment>
    <comment ref="J10" authorId="0"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G12" authorId="1" shapeId="0">
      <text>
        <r>
          <rPr>
            <sz val="9"/>
            <color indexed="81"/>
            <rFont val="ＭＳ Ｐゴシック"/>
            <family val="3"/>
            <charset val="128"/>
          </rPr>
          <t>・普及相談員の報酬
・ 生活扶助世帯に対する水洗便所設備費補助金
・ 私道内下水管敷設工事費補助金
※「雨汚水の経費区分」を参照</t>
        </r>
      </text>
    </comment>
    <comment ref="G14" authorId="1"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I15" authorId="2" shapeId="0">
      <text>
        <r>
          <rPr>
            <sz val="9"/>
            <color indexed="81"/>
            <rFont val="ＭＳ Ｐゴシック"/>
            <family val="3"/>
            <charset val="128"/>
          </rPr>
          <t xml:space="preserve">H28から削除　下は元の式
=ROUND(($O15-$G15)*(I8+I10+I12)/($E7+$E9+$E10+$F7+$F9+$F10+$I8+$I10+$I12+$J7+$J9+$J10+$J12+$J14),0)
</t>
        </r>
      </text>
    </comment>
    <comment ref="G16"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雨汚水＜特環＞.xls]総括'!$N$20</t>
        </r>
      </text>
    </comment>
    <comment ref="G17"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雨汚水＜農集＞.xls]総括'!$N$19</t>
        </r>
      </text>
    </comment>
    <comment ref="G18" authorId="0" shapeId="0">
      <text>
        <r>
          <rPr>
            <sz val="9"/>
            <color indexed="81"/>
            <rFont val="ＭＳ Ｐゴシック"/>
            <family val="3"/>
            <charset val="128"/>
          </rPr>
          <t>H28から一般行政経費へ（H27までは汚水基準内であったが、財計の雨汚水区分では一般行政経費と定めているので。）
='I:\経理係フォルダ\☆決算事務\２８年度決算\07 H28雨汚水分け\雨汚水分け\[Ｈ28年度決算 管きょ費 雨汚水＜浄化槽＞.xls]総括'!$N$19</t>
        </r>
      </text>
    </comment>
    <comment ref="E20" authorId="0" shapeId="0">
      <text>
        <r>
          <rPr>
            <sz val="9"/>
            <color indexed="81"/>
            <rFont val="ＭＳ Ｐゴシック"/>
            <family val="3"/>
            <charset val="128"/>
          </rPr>
          <t>撤去対象施設の青崎ポンプ所は雨水専用</t>
        </r>
      </text>
    </comment>
    <comment ref="J23" authorId="2" shapeId="0">
      <text>
        <r>
          <rPr>
            <sz val="9"/>
            <color indexed="81"/>
            <rFont val="ＭＳ Ｐゴシック"/>
            <family val="3"/>
            <charset val="128"/>
          </rPr>
          <t>H28
熊本支援に係る経費が含まれている。支援経費全額を一般会計補助金でもらうので、汚水扱い。</t>
        </r>
      </text>
    </comment>
    <comment ref="J24" authorId="2" shapeId="0">
      <text>
        <r>
          <rPr>
            <sz val="9"/>
            <color indexed="81"/>
            <rFont val="ＭＳ Ｐゴシック"/>
            <family val="3"/>
            <charset val="128"/>
          </rPr>
          <t>H28
熊本支援に係る経費が含まれている。支援経費全額を一般会計補助金でもらうので、汚水扱い。</t>
        </r>
      </text>
    </comment>
    <comment ref="J27" authorId="2" shapeId="0">
      <text>
        <r>
          <rPr>
            <sz val="9"/>
            <color indexed="81"/>
            <rFont val="ＭＳ Ｐゴシック"/>
            <family val="3"/>
            <charset val="128"/>
          </rPr>
          <t>H28は前払金返還延納利息の欠損　254,710円が
混入しているが、これは雨汚水で折半すべきか。</t>
        </r>
      </text>
    </comment>
    <comment ref="D28" authorId="0" shapeId="0">
      <text>
        <r>
          <rPr>
            <sz val="9"/>
            <color indexed="81"/>
            <rFont val="ＭＳ Ｐゴシック"/>
            <family val="3"/>
            <charset val="128"/>
          </rPr>
          <t>資本費分を差し引く</t>
        </r>
      </text>
    </comment>
    <comment ref="D33" authorId="0" shapeId="0">
      <text>
        <r>
          <rPr>
            <sz val="9"/>
            <color indexed="81"/>
            <rFont val="ＭＳ Ｐゴシック"/>
            <family val="3"/>
            <charset val="128"/>
          </rPr>
          <t>='I:\経理係フォルダ\☆決算事務\２８年度決算\07 H28雨汚水分け\[H28決算　減償雨汚　減価償却費算定シート.xlsx]公共（全）'!$C$119</t>
        </r>
      </text>
    </comment>
    <comment ref="E33" authorId="0" shapeId="0">
      <text>
        <r>
          <rPr>
            <sz val="9"/>
            <color indexed="81"/>
            <rFont val="ＭＳ Ｐゴシック"/>
            <family val="3"/>
            <charset val="128"/>
          </rPr>
          <t>='I:\経理係フォルダ\☆決算事務\２８年度決算\07 H28雨汚水分け\[H28決算　減償雨汚　減価償却費算定シート.xlsx]公共（全）'!$E$119-G32</t>
        </r>
      </text>
    </comment>
    <comment ref="F33" authorId="0" shapeId="0">
      <text>
        <r>
          <rPr>
            <sz val="9"/>
            <color indexed="81"/>
            <rFont val="ＭＳ Ｐゴシック"/>
            <family val="3"/>
            <charset val="128"/>
          </rPr>
          <t>='I:\経理係フォルダ\☆決算事務\２８年度決算\07 H28雨汚水分け\[H28決算　減償雨汚　減価償却費算定シート.xlsx]公共（全）'!$G$119</t>
        </r>
      </text>
    </comment>
    <comment ref="G33" authorId="1" shapeId="0">
      <text>
        <r>
          <rPr>
            <b/>
            <sz val="9"/>
            <color indexed="81"/>
            <rFont val="ＭＳ Ｐゴシック"/>
            <family val="3"/>
            <charset val="128"/>
          </rPr>
          <t>H28以降の取扱い</t>
        </r>
        <r>
          <rPr>
            <sz val="9"/>
            <color indexed="81"/>
            <rFont val="ＭＳ Ｐゴシック"/>
            <family val="3"/>
            <charset val="128"/>
          </rPr>
          <t xml:space="preserve">
H27までは、下記の額を入力し、これをE32の雨水区域内から差し引いていたが、財計の一般会計繰入基準にし尿分減価償却費の計上が明記されていないので、H28から入力しないことにした。（29.5.16　尾崎経営企画課長、濵井経理係課長補佐、河野主査協議の結果）
ただし、一般行政経費か雨水区域内かの違いで、100％一般会計負担であることには変わりないので、繰入金への影響はない。
なお、西部（汚水）に係る減価償却費のうち、し尿分を一般会計に負担してもらうべきなので、H32～の次期財計では、一般行政経費に計上したうえで、雨水区域内からではなく汚水基準外から差し引くよ修正した方が良い。
</t>
        </r>
        <r>
          <rPr>
            <b/>
            <sz val="9"/>
            <color indexed="81"/>
            <rFont val="ＭＳ Ｐゴシック"/>
            <family val="3"/>
            <charset val="128"/>
          </rPr>
          <t xml:space="preserve">
H27までの取扱い</t>
        </r>
        <r>
          <rPr>
            <sz val="9"/>
            <color indexed="81"/>
            <rFont val="ＭＳ Ｐゴシック"/>
            <family val="3"/>
            <charset val="128"/>
          </rPr>
          <t xml:space="preserve">
し尿投入分　【減価償却が終了するまで固定】
西部Ｔし尿投入事業リスト.xls より
='I:\経理係フォルダ\☆決算事務\２８年度決算\06 H28決算　消費税計算\[西部Ｔし尿投入事業リスト.xls]全リスト'!$CR$19　　　231,738,390円</t>
        </r>
      </text>
    </comment>
    <comment ref="I33" authorId="0" shapeId="0">
      <text>
        <r>
          <rPr>
            <sz val="9"/>
            <color indexed="81"/>
            <rFont val="ＭＳ Ｐゴシック"/>
            <family val="3"/>
            <charset val="128"/>
          </rPr>
          <t>='I:\経理係フォルダ\☆決算事務\２８年度決算\07 H28雨汚水分け\[H28決算　減償雨汚　減価償却費算定シート.xlsx]公共（全）'!$H$119</t>
        </r>
      </text>
    </comment>
    <comment ref="J33" authorId="0" shapeId="0">
      <text>
        <r>
          <rPr>
            <sz val="9"/>
            <color indexed="81"/>
            <rFont val="ＭＳ Ｐゴシック"/>
            <family val="3"/>
            <charset val="128"/>
          </rPr>
          <t>=='I:\経理係フォルダ\☆決算事務\２８年度決算\07 H28雨汚水分け\[H28決算　減償雨汚　減価償却費算定シート.xlsx]公共（全）'!$F$119,0)</t>
        </r>
      </text>
    </comment>
    <comment ref="D34" authorId="0" shapeId="0">
      <text>
        <r>
          <rPr>
            <sz val="9"/>
            <color indexed="81"/>
            <rFont val="ＭＳ Ｐゴシック"/>
            <family val="3"/>
            <charset val="128"/>
          </rPr>
          <t>='I:\経理係フォルダ\☆決算事務\２８年度決算\07 H28雨汚水分け\[H28決算　減償雨汚　減価償却費算定シート.xlsx]公共（全）'!$C$119</t>
        </r>
      </text>
    </comment>
    <comment ref="E34" authorId="2" shapeId="0">
      <text>
        <r>
          <rPr>
            <sz val="9"/>
            <color indexed="81"/>
            <rFont val="ＭＳ Ｐゴシック"/>
            <family val="3"/>
            <charset val="128"/>
          </rPr>
          <t>+ROUND('I:\経理係フォルダ\☆決算事務\２８年度決算\07 H28雨汚水分け\[H28決算　除却費雨汚水分け.xlsx]全事業'!$D$9*Q39,0)</t>
        </r>
      </text>
    </comment>
    <comment ref="F34" authorId="2" shapeId="0">
      <text>
        <r>
          <rPr>
            <sz val="9"/>
            <color indexed="81"/>
            <rFont val="ＭＳ Ｐゴシック"/>
            <family val="3"/>
            <charset val="128"/>
          </rPr>
          <t>H27までは、除却費を償却費の雨汚水割合で按分していたが、H28からは、固定資産台帳、財計雨汚水区分に基づき、雨汚水分けをしている。（予算と同じ考え方）
なお、雨水分の区域内・外分けには償却費の率を使用。
='I:\経理係フォルダ\☆決算事務\２８年度決算\07 H28雨汚水分け\[H28決算　除却費雨汚水分け.xlsx]全事業'!$D$9-E33</t>
        </r>
      </text>
    </comment>
    <comment ref="I34" authorId="2" shapeId="0">
      <text>
        <r>
          <rPr>
            <sz val="9"/>
            <color indexed="81"/>
            <rFont val="ＭＳ Ｐゴシック"/>
            <family val="3"/>
            <charset val="128"/>
          </rPr>
          <t>==+'[I:\経理係フォルダ\☆決算事務\２８年度決算\07 H28雨汚水分け\H28決算　除却費雨汚水分け.xlsx]全事業'!$B$9</t>
        </r>
      </text>
    </comment>
    <comment ref="J34" authorId="2" shapeId="0">
      <text>
        <r>
          <rPr>
            <sz val="9"/>
            <color indexed="81"/>
            <rFont val="ＭＳ Ｐゴシック"/>
            <family val="3"/>
            <charset val="128"/>
          </rPr>
          <t>==+'[I:\経理係フォルダ\☆決算事務\２８年度決算\07 H28雨汚水分け\H28決算　除却費雨汚水分け.xlsx]全事業'!$C$9</t>
        </r>
      </text>
    </comment>
    <comment ref="D36" authorId="0" shapeId="0">
      <text>
        <r>
          <rPr>
            <b/>
            <sz val="9"/>
            <color indexed="81"/>
            <rFont val="ＭＳ Ｐゴシック"/>
            <family val="3"/>
            <charset val="128"/>
          </rPr>
          <t>「★H００　雨汚水分け　（利息）」エクセルの当該年度シートのＧ９の値に合致</t>
        </r>
      </text>
    </comment>
    <comment ref="E36" authorId="0" shapeId="0">
      <text>
        <r>
          <rPr>
            <sz val="9"/>
            <color indexed="81"/>
            <rFont val="ＭＳ Ｐゴシック"/>
            <family val="3"/>
            <charset val="128"/>
          </rPr>
          <t>「★H００　雨汚水分け　（利息）」エクセルの当該年度シートのＨ９～Ｌ９の値
='I:\経理係フォルダ\☆決算事務\２８年度決算\07 H28雨汚水分け\雨汚水分け\[★Ｈ28雨汚水分け（利息）.xls]Ｈ２８利息'!$H$9</t>
        </r>
      </text>
    </comment>
    <comment ref="F36" authorId="0" shapeId="0">
      <text>
        <r>
          <rPr>
            <sz val="9"/>
            <color indexed="81"/>
            <rFont val="ＭＳ Ｐゴシック"/>
            <family val="3"/>
            <charset val="128"/>
          </rPr>
          <t>='I:\経理係フォルダ\☆決算事務\２８年度決算\07 H28雨汚水分け\雨汚水分け\[★Ｈ28雨汚水分け（利息）.xls]Ｈ２８利息'!$I$9</t>
        </r>
      </text>
    </comment>
    <comment ref="G36" authorId="0" shapeId="0">
      <text>
        <r>
          <rPr>
            <sz val="9"/>
            <color indexed="81"/>
            <rFont val="ＭＳ Ｐゴシック"/>
            <family val="3"/>
            <charset val="128"/>
          </rPr>
          <t>='I:\経理係フォルダ\☆決算事務\２８年度決算\07 H28雨汚水分け\雨汚水分け\[★Ｈ28雨汚水分け（利息）.xls]Ｈ２８利息'!$J$9</t>
        </r>
      </text>
    </comment>
    <comment ref="I36" authorId="0" shapeId="0">
      <text>
        <r>
          <rPr>
            <sz val="9"/>
            <color indexed="81"/>
            <rFont val="ＭＳ Ｐゴシック"/>
            <family val="3"/>
            <charset val="128"/>
          </rPr>
          <t>='I:\経理係フォルダ\☆決算事務\２８年度決算\07 H28雨汚水分け\雨汚水分け\[★Ｈ28雨汚水分け（利息）.xls]Ｈ２８利息'!$K$9</t>
        </r>
      </text>
    </comment>
    <comment ref="J36" authorId="0" shapeId="0">
      <text>
        <r>
          <rPr>
            <sz val="9"/>
            <color indexed="81"/>
            <rFont val="ＭＳ Ｐゴシック"/>
            <family val="3"/>
            <charset val="128"/>
          </rPr>
          <t>='I:\経理係フォルダ\☆決算事務\２８年度決算\07 H28雨汚水分け\雨汚水分け\[★Ｈ28雨汚水分け（利息）.xls]Ｈ２８利息'!$L$9</t>
        </r>
      </text>
    </comment>
    <comment ref="D39" authorId="2" shapeId="0">
      <text>
        <r>
          <rPr>
            <b/>
            <sz val="9"/>
            <color indexed="81"/>
            <rFont val="ＭＳ Ｐゴシック"/>
            <family val="3"/>
            <charset val="128"/>
          </rPr>
          <t xml:space="preserve">H28
</t>
        </r>
        <r>
          <rPr>
            <sz val="9"/>
            <color indexed="81"/>
            <rFont val="ＭＳ Ｐゴシック"/>
            <family val="3"/>
            <charset val="128"/>
          </rPr>
          <t>元の式では、特別損失!セルB9資本費分に当たる減価償却不足に伴う修正損を参照していたが、H28はこの行を、資本費分ではない「前払金返還延納利息の欠損」に転用したので、参照を削除した。
元の数式↓
=</t>
        </r>
        <r>
          <rPr>
            <b/>
            <sz val="9"/>
            <color indexed="81"/>
            <rFont val="ＭＳ Ｐゴシック"/>
            <family val="3"/>
            <charset val="128"/>
          </rPr>
          <t>'[H28 ３条支出　消費税.xls]特別損失'!$B$9</t>
        </r>
        <r>
          <rPr>
            <sz val="9"/>
            <color indexed="81"/>
            <rFont val="ＭＳ Ｐゴシック"/>
            <family val="3"/>
            <charset val="128"/>
          </rPr>
          <t>+'[H28 ３条支出　消費税.xls]特別損失'!$B$28+SUM('[H28 ３条支出　消費税.xls]特別損失'!$B$15,'[H28 ３条支出　消費税.xls]特別損失'!$B$17)</t>
        </r>
      </text>
    </comment>
    <comment ref="E39" authorId="0" shapeId="0">
      <text>
        <r>
          <rPr>
            <sz val="9"/>
            <color indexed="81"/>
            <rFont val="ＭＳ Ｐゴシック"/>
            <family val="3"/>
            <charset val="128"/>
          </rPr>
          <t>①耐用年数の登録誤りによる減価償却費の過年度損益修正
②減損損失の過年度損益修正
固定資産担当が分けた雨水分を、減価償却の雨水区域内・外の割合で案分</t>
        </r>
      </text>
    </comment>
    <comment ref="I39" authorId="0" shapeId="0">
      <text>
        <r>
          <rPr>
            <sz val="9"/>
            <color indexed="81"/>
            <rFont val="ＭＳ Ｐゴシック"/>
            <family val="3"/>
            <charset val="128"/>
          </rPr>
          <t>①耐用年数の登録誤りによる減価償却費の過年度損益修正
②減損損失の過年度損益修正
③その他特別損失の資本費分（受益者負担金過誤納還付金、排水設備取付管設置工事受託収入の調定誤りの修正）
固定資産担当が分けた汚水分を、減価償却の汚水基準内・外の割合で案分</t>
        </r>
      </text>
    </comment>
    <comment ref="J39" authorId="2" shapeId="0">
      <text>
        <r>
          <rPr>
            <b/>
            <sz val="9"/>
            <color indexed="81"/>
            <rFont val="ＭＳ Ｐゴシック"/>
            <family val="3"/>
            <charset val="128"/>
          </rPr>
          <t>H28減損は全て公共汚水</t>
        </r>
      </text>
    </comment>
    <comment ref="N39" authorId="0" shapeId="0">
      <text>
        <r>
          <rPr>
            <sz val="9"/>
            <color indexed="81"/>
            <rFont val="ＭＳ Ｐゴシック"/>
            <family val="3"/>
            <charset val="128"/>
          </rPr>
          <t>='I:\経理係フォルダ\☆決算事務\２７年度決算\07 H27雨汚水分け\[H27決算　過年度損益修正損（償却・除却）雨汚水分け.xlsx]雨汚水分け'!$K$8</t>
        </r>
      </text>
    </comment>
    <comment ref="O39" authorId="0" shapeId="0">
      <text>
        <r>
          <rPr>
            <sz val="9"/>
            <color indexed="81"/>
            <rFont val="ＭＳ Ｐゴシック"/>
            <family val="3"/>
            <charset val="128"/>
          </rPr>
          <t>='I:\経理係フォルダ\☆決算事務\２７年度決算\07 H27雨汚水分け\[H27決算　過年度損益修正損（償却・除却）雨汚水分け.xlsx]雨汚水分け'!$J$8</t>
        </r>
      </text>
    </comment>
    <comment ref="R40" authorId="0" shapeId="0">
      <text>
        <r>
          <rPr>
            <sz val="9"/>
            <color indexed="81"/>
            <rFont val="ＭＳ Ｐゴシック"/>
            <family val="3"/>
            <charset val="128"/>
          </rPr>
          <t>=('I:\経理係フォルダ\☆決算事務\２８年度決算\07 H28雨汚水分け\'[H28決算　減償雨汚　減価償却費算定シート.xlsx]公共（全）'!$G$119/('[H28決算　減償雨汚　減価償却費算定シート.xlsx]公共（全）'!$E$119+'[H28決算　減償雨汚　減価償却費算定シート.xlsx]公共（全）'!$G$119)</t>
        </r>
      </text>
    </comment>
    <comment ref="S40" authorId="0" shapeId="0">
      <text>
        <r>
          <rPr>
            <sz val="9"/>
            <color indexed="81"/>
            <rFont val="ＭＳ Ｐゴシック"/>
            <family val="3"/>
            <charset val="128"/>
          </rPr>
          <t>=('I:\経理係フォルダ\☆決算事務\２８年度決算\07 H28雨汚水分け\[H28決算　減償雨汚　減価償却費算定シート.xlsx]公共（全）'!$H$119/('[H28決算　減償雨汚　減価償却費算定シート.xlsx]公共（全）'!$F$119+'[H28決算　減償雨汚　減価償却費算定シート.xlsx]公共（全）'!$H$119)</t>
        </r>
      </text>
    </comment>
    <comment ref="N42" authorId="0" shapeId="0">
      <text>
        <r>
          <rPr>
            <sz val="9"/>
            <color indexed="81"/>
            <rFont val="ＭＳ Ｐゴシック"/>
            <family val="3"/>
            <charset val="128"/>
          </rPr>
          <t>='I:\経理係フォルダ\☆決算事務\２７年度決算\07 H27雨汚水分け\[H27決算　減損損失雨汚水分け.xlsx]減損総括表'!$Q$23</t>
        </r>
      </text>
    </comment>
    <comment ref="O42" authorId="0" shapeId="0">
      <text>
        <r>
          <rPr>
            <sz val="9"/>
            <color indexed="81"/>
            <rFont val="ＭＳ Ｐゴシック"/>
            <family val="3"/>
            <charset val="128"/>
          </rPr>
          <t>='I:\経理係フォルダ\☆決算事務\２７年度決算\07 H27雨汚水分け\[H27決算　減損損失雨汚水分け.xlsx]減損総括表'!$P$23</t>
        </r>
      </text>
    </comment>
  </commentList>
</comments>
</file>

<file path=xl/comments10.xml><?xml version="1.0" encoding="utf-8"?>
<comments xmlns="http://schemas.openxmlformats.org/spreadsheetml/2006/main">
  <authors>
    <author>楠 宏</author>
    <author>広島市</author>
  </authors>
  <commentList>
    <comment ref="G16" authorId="0" shapeId="0">
      <text>
        <r>
          <rPr>
            <sz val="9"/>
            <color indexed="81"/>
            <rFont val="ＭＳ Ｐゴシック"/>
            <family val="3"/>
            <charset val="128"/>
          </rPr>
          <t>='I:\経理係フォルダ\☆決算事務\２８年度決算\06 H28決算　消費税計算\H28当初\雨・汚水　税抜内訳\[税抜内訳.xlsx]Sheet1'!$E$5</t>
        </r>
      </text>
    </comment>
    <comment ref="G17" authorId="0" shapeId="0">
      <text>
        <r>
          <rPr>
            <sz val="9"/>
            <color indexed="81"/>
            <rFont val="ＭＳ Ｐゴシック"/>
            <family val="3"/>
            <charset val="128"/>
          </rPr>
          <t>='I:\経理係フォルダ\☆決算事務\２８年度決算\06 H28決算　消費税計算\H28当初\雨・汚水　税抜内訳\[税抜内訳.xlsx]Sheet1'!$E$10</t>
        </r>
      </text>
    </comment>
    <comment ref="G18" authorId="0" shapeId="0">
      <text>
        <r>
          <rPr>
            <sz val="9"/>
            <color indexed="81"/>
            <rFont val="ＭＳ Ｐゴシック"/>
            <family val="3"/>
            <charset val="128"/>
          </rPr>
          <t>='I:\経理係フォルダ\☆決算事務\２８年度決算\06 H28決算　消費税計算\H28当初\雨・汚水　税抜内訳\[税抜内訳.xlsx]Sheet1'!$E$14</t>
        </r>
      </text>
    </comment>
    <comment ref="D27" authorId="1" shapeId="0">
      <text>
        <r>
          <rPr>
            <sz val="9"/>
            <color indexed="81"/>
            <rFont val="ＭＳ Ｐゴシック"/>
            <family val="3"/>
            <charset val="128"/>
          </rPr>
          <t>H28
税抜きに合わせ、参照元にB9セルを追加。
元の式↓
=SUM('[H28 ３条支出　消費税.xls]特別損失'!$K$6:$K$8)</t>
        </r>
      </text>
    </comment>
    <comment ref="D39" authorId="1" shapeId="0">
      <text>
        <r>
          <rPr>
            <sz val="9"/>
            <color indexed="81"/>
            <rFont val="ＭＳ Ｐゴシック"/>
            <family val="3"/>
            <charset val="128"/>
          </rPr>
          <t>H28
元の式では、特別損失!セルB9資本費分に当たる減価償却不足に伴う修正損を参照していたが、H28はこの行を、資本費分ではない「前払金返還延納利息の欠損」に転用したので、参照を削除した。
元の式↓
=</t>
        </r>
        <r>
          <rPr>
            <b/>
            <sz val="9"/>
            <color indexed="81"/>
            <rFont val="ＭＳ Ｐゴシック"/>
            <family val="3"/>
            <charset val="128"/>
          </rPr>
          <t>'[H28 ３条支出　消費税.xls]特別損失'!$K$9</t>
        </r>
        <r>
          <rPr>
            <sz val="9"/>
            <color indexed="81"/>
            <rFont val="ＭＳ Ｐゴシック"/>
            <family val="3"/>
            <charset val="128"/>
          </rPr>
          <t>+'[H28 ３条支出　消費税.xls]特別損失'!$K$28+SUM('[H28 ３条支出　消費税.xls]特別損失'!$K$15,'[H28 ３条支出　消費税.xls]特別損失'!$K$17)</t>
        </r>
      </text>
    </comment>
    <comment ref="J39" authorId="0" shapeId="0">
      <text>
        <r>
          <rPr>
            <b/>
            <sz val="9"/>
            <color indexed="81"/>
            <rFont val="ＭＳ Ｐゴシック"/>
            <family val="3"/>
            <charset val="128"/>
          </rPr>
          <t>課税あり
排水設備取付管設置工事受託収入の調定誤りの修正
５％</t>
        </r>
      </text>
    </comment>
  </commentList>
</comments>
</file>

<file path=xl/comments11.xml><?xml version="1.0" encoding="utf-8"?>
<comments xmlns="http://schemas.openxmlformats.org/spreadsheetml/2006/main">
  <authors>
    <author>4202453</author>
  </authors>
  <commentList>
    <comment ref="E37" authorId="0" shapeId="0">
      <text>
        <r>
          <rPr>
            <sz val="9"/>
            <color indexed="81"/>
            <rFont val="ＭＳ Ｐゴシック"/>
            <family val="3"/>
            <charset val="128"/>
          </rPr>
          <t>3条収入　消費税.xls のN列の下にある支払利息分（雨水）</t>
        </r>
      </text>
    </comment>
    <comment ref="J37" authorId="0" shapeId="0">
      <text>
        <r>
          <rPr>
            <sz val="9"/>
            <color indexed="81"/>
            <rFont val="ＭＳ Ｐゴシック"/>
            <family val="3"/>
            <charset val="128"/>
          </rPr>
          <t>3条収入　消費税.xls のN列の下にある支払利息分（汚水）</t>
        </r>
      </text>
    </comment>
  </commentList>
</comments>
</file>

<file path=xl/comments12.xml><?xml version="1.0" encoding="utf-8"?>
<comments xmlns="http://schemas.openxmlformats.org/spreadsheetml/2006/main">
  <authors>
    <author>広島市</author>
    <author>楠 宏</author>
    <author>4202453</author>
  </authors>
  <commentList>
    <comment ref="E4" authorId="0" shapeId="0">
      <text>
        <r>
          <rPr>
            <b/>
            <sz val="9"/>
            <color indexed="81"/>
            <rFont val="ＭＳ Ｐゴシック"/>
            <family val="3"/>
            <charset val="128"/>
          </rPr>
          <t>3条支出シート各費目の税込より</t>
        </r>
      </text>
    </comment>
    <comment ref="F7"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G7"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H7"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K7"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P7"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Q7"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R7"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U7"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AE7"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AF7"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AG7"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AJ7"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F9"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G9"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K9"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P9"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Q9"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U9"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AE9"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AF9"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AJ9"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F10"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G10"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H10"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J10"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K1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P10"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Q10"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R10"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T10"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U1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AE10"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AF10"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AG10"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AI10"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AJ1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H13" authorId="0" shapeId="0">
      <text>
        <r>
          <rPr>
            <sz val="9"/>
            <color indexed="81"/>
            <rFont val="ＭＳ Ｐゴシック"/>
            <family val="3"/>
            <charset val="128"/>
          </rPr>
          <t>水洗化貸付事業費全額
=+E13</t>
        </r>
      </text>
    </comment>
    <comment ref="R13" authorId="0" shapeId="0">
      <text>
        <r>
          <rPr>
            <sz val="9"/>
            <color indexed="81"/>
            <rFont val="ＭＳ Ｐゴシック"/>
            <family val="3"/>
            <charset val="128"/>
          </rPr>
          <t>水洗化貸付事業費全額
=+E13</t>
        </r>
      </text>
    </comment>
    <comment ref="AG13" authorId="0" shapeId="0">
      <text>
        <r>
          <rPr>
            <sz val="9"/>
            <color indexed="81"/>
            <rFont val="ＭＳ Ｐゴシック"/>
            <family val="3"/>
            <charset val="128"/>
          </rPr>
          <t>水洗化貸付事業費全額
=+E13</t>
        </r>
      </text>
    </comment>
    <comment ref="H14"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R14"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AG14"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F15" authorId="0" shapeId="0">
      <text>
        <r>
          <rPr>
            <sz val="9"/>
            <color indexed="81"/>
            <rFont val="ＭＳ Ｐゴシック"/>
            <family val="3"/>
            <charset val="128"/>
          </rPr>
          <t>管きょ費から業務費までの加重平均で按分
=+ROUND((総係!$E$36-総係!$E$35-$L$15)*SUM(F7:F14)/SUM($F$7:$G$14,$I$7:$J$14),0)</t>
        </r>
      </text>
    </comment>
    <comment ref="G15" authorId="0" shapeId="0">
      <text>
        <r>
          <rPr>
            <sz val="9"/>
            <color indexed="81"/>
            <rFont val="ＭＳ Ｐゴシック"/>
            <family val="3"/>
            <charset val="128"/>
          </rPr>
          <t>管きょ費から業務費までの加重平均で按分
=+ROUND((総係!$E$36-総係!$E$35-$L$15)*SUM(G7:G14)/SUM($F$7:$G$14,$I$7:$J$14),0)</t>
        </r>
      </text>
    </comment>
    <comment ref="P15" authorId="0" shapeId="0">
      <text>
        <r>
          <rPr>
            <sz val="9"/>
            <color indexed="81"/>
            <rFont val="ＭＳ Ｐゴシック"/>
            <family val="3"/>
            <charset val="128"/>
          </rPr>
          <t>管きょ費から業務費までの加重平均で按分
=+ROUND((総係!$E$36-総係!$E$35-$L$15)*SUM(F7:F14)/SUM($F$7:$G$14,$I$7:$J$14),0)</t>
        </r>
      </text>
    </comment>
    <comment ref="Q15" authorId="0" shapeId="0">
      <text>
        <r>
          <rPr>
            <sz val="9"/>
            <color indexed="81"/>
            <rFont val="ＭＳ Ｐゴシック"/>
            <family val="3"/>
            <charset val="128"/>
          </rPr>
          <t>管きょ費から業務費までの加重平均で按分
=+ROUND((総係!$E$36-総係!$E$35-$L$15)*SUM(G7:G14)/SUM($F$7:$G$14,$I$7:$J$14),0)</t>
        </r>
      </text>
    </comment>
    <comment ref="AE15" authorId="0" shapeId="0">
      <text>
        <r>
          <rPr>
            <sz val="9"/>
            <color indexed="81"/>
            <rFont val="ＭＳ Ｐゴシック"/>
            <family val="3"/>
            <charset val="128"/>
          </rPr>
          <t>管きょ費から業務費までの加重平均で按分
=+ROUND((総係!$E$36-総係!$E$35-$L$15)*SUM(F7:F14)/SUM($F$7:$G$14,$I$7:$J$14),0)</t>
        </r>
      </text>
    </comment>
    <comment ref="AF15" authorId="0" shapeId="0">
      <text>
        <r>
          <rPr>
            <sz val="9"/>
            <color indexed="81"/>
            <rFont val="ＭＳ Ｐゴシック"/>
            <family val="3"/>
            <charset val="128"/>
          </rPr>
          <t>管きょ費から業務費までの加重平均で按分
=+ROUND((総係!$E$36-総係!$E$35-$L$15)*SUM(G7:G14)/SUM($F$7:$G$14,$I$7:$J$14),0)</t>
        </r>
      </text>
    </comment>
    <comment ref="H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R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AG16"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H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R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AG1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H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R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AG1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F20"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P20"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AE20"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F22" authorId="0" shapeId="0">
      <text>
        <r>
          <rPr>
            <b/>
            <sz val="9"/>
            <color indexed="81"/>
            <rFont val="ＭＳ Ｐゴシック"/>
            <family val="3"/>
            <charset val="128"/>
          </rPr>
          <t>営業外収支、特利特損は、雨汚収入・支出シートで仕分けする。</t>
        </r>
      </text>
    </comment>
    <comment ref="P22" authorId="0" shapeId="0">
      <text>
        <r>
          <rPr>
            <b/>
            <sz val="9"/>
            <color indexed="81"/>
            <rFont val="ＭＳ Ｐゴシック"/>
            <family val="3"/>
            <charset val="128"/>
          </rPr>
          <t>営業外収支、特利特損は、雨汚収入・支出シートで仕分けする。</t>
        </r>
      </text>
    </comment>
    <comment ref="AE22" authorId="0" shapeId="0">
      <text>
        <r>
          <rPr>
            <b/>
            <sz val="9"/>
            <color indexed="81"/>
            <rFont val="ＭＳ Ｐゴシック"/>
            <family val="3"/>
            <charset val="128"/>
          </rPr>
          <t>営業外収支、特利特損は、雨汚収入・支出シートで仕分けする。</t>
        </r>
      </text>
    </comment>
    <comment ref="E24" authorId="0" shapeId="0">
      <text>
        <r>
          <rPr>
            <b/>
            <sz val="9"/>
            <color indexed="81"/>
            <rFont val="ＭＳ Ｐゴシック"/>
            <family val="3"/>
            <charset val="128"/>
          </rPr>
          <t>災害支援経費分を入力</t>
        </r>
      </text>
    </comment>
    <comment ref="H24" authorId="0" shapeId="0">
      <text>
        <r>
          <rPr>
            <b/>
            <sz val="9"/>
            <color indexed="81"/>
            <rFont val="ＭＳ Ｐゴシック"/>
            <family val="3"/>
            <charset val="128"/>
          </rPr>
          <t>熊本支援経費</t>
        </r>
      </text>
    </comment>
    <comment ref="O24" authorId="0" shapeId="0">
      <text>
        <r>
          <rPr>
            <b/>
            <sz val="9"/>
            <color indexed="81"/>
            <rFont val="ＭＳ Ｐゴシック"/>
            <family val="3"/>
            <charset val="128"/>
          </rPr>
          <t>災害支援経費分を入力</t>
        </r>
      </text>
    </comment>
    <comment ref="R24" authorId="0" shapeId="0">
      <text>
        <r>
          <rPr>
            <b/>
            <sz val="9"/>
            <color indexed="81"/>
            <rFont val="ＭＳ Ｐゴシック"/>
            <family val="3"/>
            <charset val="128"/>
          </rPr>
          <t>熊本支援経費</t>
        </r>
      </text>
    </comment>
    <comment ref="AD24" authorId="0" shapeId="0">
      <text>
        <r>
          <rPr>
            <b/>
            <sz val="9"/>
            <color indexed="81"/>
            <rFont val="ＭＳ Ｐゴシック"/>
            <family val="3"/>
            <charset val="128"/>
          </rPr>
          <t>災害支援経費分を入力</t>
        </r>
      </text>
    </comment>
    <comment ref="AG24" authorId="0" shapeId="0">
      <text>
        <r>
          <rPr>
            <b/>
            <sz val="9"/>
            <color indexed="81"/>
            <rFont val="ＭＳ Ｐゴシック"/>
            <family val="3"/>
            <charset val="128"/>
          </rPr>
          <t>熊本支援経費</t>
        </r>
      </text>
    </comment>
    <comment ref="X25" authorId="0" shapeId="0">
      <text>
        <r>
          <rPr>
            <b/>
            <sz val="9"/>
            <color indexed="81"/>
            <rFont val="ＭＳ Ｐゴシック"/>
            <family val="3"/>
            <charset val="128"/>
          </rPr>
          <t>特定収入に係る課税仕入れ等の税額、課税売上割合を乗じることにより控除できなくなった額、仮払消費税からの控除額</t>
        </r>
      </text>
    </comment>
    <comment ref="D26" authorId="0" shapeId="0">
      <text>
        <r>
          <rPr>
            <b/>
            <sz val="9"/>
            <color indexed="81"/>
            <rFont val="ＭＳ Ｐゴシック"/>
            <family val="3"/>
            <charset val="128"/>
          </rPr>
          <t>課税売上割合を乗じることにより控除できなくなった額（３条分）</t>
        </r>
      </text>
    </comment>
    <comment ref="N26" authorId="0" shapeId="0">
      <text>
        <r>
          <rPr>
            <b/>
            <sz val="9"/>
            <color indexed="81"/>
            <rFont val="ＭＳ Ｐゴシック"/>
            <family val="3"/>
            <charset val="128"/>
          </rPr>
          <t>課税売上割合を乗じることにより控除できなくなった額（３条分）</t>
        </r>
      </text>
    </comment>
    <comment ref="F29" authorId="0" shapeId="0">
      <text>
        <r>
          <rPr>
            <b/>
            <sz val="9"/>
            <color indexed="81"/>
            <rFont val="ＭＳ Ｐゴシック"/>
            <family val="3"/>
            <charset val="128"/>
          </rPr>
          <t>前払金還付遅延利息不納欠損の雨汚水折半</t>
        </r>
      </text>
    </comment>
    <comment ref="K29" authorId="0" shapeId="0">
      <text>
        <r>
          <rPr>
            <b/>
            <sz val="9"/>
            <color indexed="81"/>
            <rFont val="ＭＳ Ｐゴシック"/>
            <family val="3"/>
            <charset val="128"/>
          </rPr>
          <t>使用料分の修正損</t>
        </r>
      </text>
    </comment>
    <comment ref="P29" authorId="0" shapeId="0">
      <text>
        <r>
          <rPr>
            <b/>
            <sz val="9"/>
            <color indexed="81"/>
            <rFont val="ＭＳ Ｐゴシック"/>
            <family val="3"/>
            <charset val="128"/>
          </rPr>
          <t>前払金還付遅延利息不納欠損の雨汚水折半</t>
        </r>
      </text>
    </comment>
    <comment ref="U29" authorId="0" shapeId="0">
      <text>
        <r>
          <rPr>
            <b/>
            <sz val="9"/>
            <color indexed="81"/>
            <rFont val="ＭＳ Ｐゴシック"/>
            <family val="3"/>
            <charset val="128"/>
          </rPr>
          <t>使用料分の修正損</t>
        </r>
      </text>
    </comment>
    <comment ref="AE29" authorId="0" shapeId="0">
      <text>
        <r>
          <rPr>
            <b/>
            <sz val="9"/>
            <color indexed="81"/>
            <rFont val="ＭＳ Ｐゴシック"/>
            <family val="3"/>
            <charset val="128"/>
          </rPr>
          <t>前払金還付遅延利息不納欠損の雨汚水折半</t>
        </r>
      </text>
    </comment>
    <comment ref="AJ29" authorId="0" shapeId="0">
      <text>
        <r>
          <rPr>
            <b/>
            <sz val="9"/>
            <color indexed="81"/>
            <rFont val="ＭＳ Ｐゴシック"/>
            <family val="3"/>
            <charset val="128"/>
          </rPr>
          <t>使用料分の修正損</t>
        </r>
      </text>
    </comment>
    <comment ref="F34" authorId="0" shapeId="0">
      <text>
        <r>
          <rPr>
            <b/>
            <sz val="9"/>
            <color indexed="81"/>
            <rFont val="ＭＳ Ｐゴシック"/>
            <family val="3"/>
            <charset val="128"/>
          </rPr>
          <t>減価償却費雨汚水分け表より</t>
        </r>
      </text>
    </comment>
    <comment ref="H34" authorId="0" shapeId="0">
      <text>
        <r>
          <rPr>
            <b/>
            <sz val="9"/>
            <color indexed="81"/>
            <rFont val="ＭＳ Ｐゴシック"/>
            <family val="3"/>
            <charset val="128"/>
          </rPr>
          <t>し尿分を計上していないが、H32～財計以降は、財計経費区分表に記載の上、基準外繰出し対象とすべき。</t>
        </r>
      </text>
    </comment>
    <comment ref="P34" authorId="0" shapeId="0">
      <text>
        <r>
          <rPr>
            <b/>
            <sz val="9"/>
            <color indexed="81"/>
            <rFont val="ＭＳ Ｐゴシック"/>
            <family val="3"/>
            <charset val="128"/>
          </rPr>
          <t>減価償却費雨汚水分け表より</t>
        </r>
      </text>
    </comment>
    <comment ref="R34" authorId="0" shapeId="0">
      <text>
        <r>
          <rPr>
            <b/>
            <sz val="9"/>
            <color indexed="81"/>
            <rFont val="ＭＳ Ｐゴシック"/>
            <family val="3"/>
            <charset val="128"/>
          </rPr>
          <t>し尿分を計上していないが、H32～財計以降は、財計経費区分表に記載の上、基準外繰出し対象とすべき。</t>
        </r>
      </text>
    </comment>
    <comment ref="AE34" authorId="0" shapeId="0">
      <text>
        <r>
          <rPr>
            <b/>
            <sz val="9"/>
            <color indexed="81"/>
            <rFont val="ＭＳ Ｐゴシック"/>
            <family val="3"/>
            <charset val="128"/>
          </rPr>
          <t>減価償却費雨汚水分け表より</t>
        </r>
      </text>
    </comment>
    <comment ref="AG34" authorId="0" shapeId="0">
      <text>
        <r>
          <rPr>
            <b/>
            <sz val="9"/>
            <color indexed="81"/>
            <rFont val="ＭＳ Ｐゴシック"/>
            <family val="3"/>
            <charset val="128"/>
          </rPr>
          <t>し尿分を計上していないが、H32～財計以降は、財計経費区分表に記載の上、基準外繰出し対象とすべき。</t>
        </r>
      </text>
    </comment>
    <comment ref="F35" authorId="0" shapeId="0">
      <text>
        <r>
          <rPr>
            <b/>
            <sz val="9"/>
            <color indexed="81"/>
            <rFont val="ＭＳ Ｐゴシック"/>
            <family val="3"/>
            <charset val="128"/>
          </rPr>
          <t>除却費雨汚水分け表より</t>
        </r>
      </text>
    </comment>
    <comment ref="P35" authorId="0" shapeId="0">
      <text>
        <r>
          <rPr>
            <b/>
            <sz val="9"/>
            <color indexed="81"/>
            <rFont val="ＭＳ Ｐゴシック"/>
            <family val="3"/>
            <charset val="128"/>
          </rPr>
          <t>除却費雨汚水分け表より</t>
        </r>
      </text>
    </comment>
    <comment ref="AE35" authorId="0" shapeId="0">
      <text>
        <r>
          <rPr>
            <b/>
            <sz val="9"/>
            <color indexed="81"/>
            <rFont val="ＭＳ Ｐゴシック"/>
            <family val="3"/>
            <charset val="128"/>
          </rPr>
          <t>除却費雨汚水分け表より</t>
        </r>
      </text>
    </comment>
    <comment ref="F37" authorId="0" shapeId="0">
      <text>
        <r>
          <rPr>
            <b/>
            <sz val="9"/>
            <color indexed="81"/>
            <rFont val="ＭＳ Ｐゴシック"/>
            <family val="3"/>
            <charset val="128"/>
          </rPr>
          <t>企業債利息雨汚水分け表より</t>
        </r>
      </text>
    </comment>
    <comment ref="H37" authorId="0" shapeId="0">
      <text>
        <r>
          <rPr>
            <sz val="9"/>
            <color indexed="81"/>
            <rFont val="ＭＳ Ｐゴシック"/>
            <family val="3"/>
            <charset val="128"/>
          </rPr>
          <t>弾力運用分、特別分、し尿分の利子償還金</t>
        </r>
      </text>
    </comment>
    <comment ref="P37" authorId="0" shapeId="0">
      <text>
        <r>
          <rPr>
            <b/>
            <sz val="9"/>
            <color indexed="81"/>
            <rFont val="ＭＳ Ｐゴシック"/>
            <family val="3"/>
            <charset val="128"/>
          </rPr>
          <t>企業債利息雨汚水分け表より</t>
        </r>
      </text>
    </comment>
    <comment ref="R37" authorId="0" shapeId="0">
      <text>
        <r>
          <rPr>
            <sz val="9"/>
            <color indexed="81"/>
            <rFont val="ＭＳ Ｐゴシック"/>
            <family val="3"/>
            <charset val="128"/>
          </rPr>
          <t>弾力運用分、特別分、し尿分の利子償還金</t>
        </r>
      </text>
    </comment>
    <comment ref="AE37" authorId="0" shapeId="0">
      <text>
        <r>
          <rPr>
            <b/>
            <sz val="9"/>
            <color indexed="81"/>
            <rFont val="ＭＳ Ｐゴシック"/>
            <family val="3"/>
            <charset val="128"/>
          </rPr>
          <t>企業債利息雨汚水分け表より</t>
        </r>
      </text>
    </comment>
    <comment ref="AG37" authorId="0" shapeId="0">
      <text>
        <r>
          <rPr>
            <sz val="9"/>
            <color indexed="81"/>
            <rFont val="ＭＳ Ｐゴシック"/>
            <family val="3"/>
            <charset val="128"/>
          </rPr>
          <t>弾力運用分、特別分、し尿分の利子償還金</t>
        </r>
      </text>
    </comment>
    <comment ref="F38" authorId="0" shapeId="0">
      <text>
        <r>
          <rPr>
            <b/>
            <sz val="9"/>
            <color indexed="81"/>
            <rFont val="ＭＳ Ｐゴシック"/>
            <family val="3"/>
            <charset val="128"/>
          </rPr>
          <t>利息雨汚水から分けて拾うべき
21371910</t>
        </r>
      </text>
    </comment>
    <comment ref="K38" authorId="0" shapeId="0">
      <text>
        <r>
          <rPr>
            <b/>
            <sz val="9"/>
            <color indexed="81"/>
            <rFont val="ＭＳ Ｐゴシック"/>
            <family val="3"/>
            <charset val="128"/>
          </rPr>
          <t>利息雨汚水から分けて拾うべき
25588999</t>
        </r>
      </text>
    </comment>
    <comment ref="P38" authorId="0" shapeId="0">
      <text>
        <r>
          <rPr>
            <b/>
            <sz val="9"/>
            <color indexed="81"/>
            <rFont val="ＭＳ Ｐゴシック"/>
            <family val="3"/>
            <charset val="128"/>
          </rPr>
          <t>利息雨汚水から分けて拾うべき
21371910</t>
        </r>
      </text>
    </comment>
    <comment ref="U38" authorId="0" shapeId="0">
      <text>
        <r>
          <rPr>
            <b/>
            <sz val="9"/>
            <color indexed="81"/>
            <rFont val="ＭＳ Ｐゴシック"/>
            <family val="3"/>
            <charset val="128"/>
          </rPr>
          <t>利息雨汚水から分けて拾うべき
25588999</t>
        </r>
      </text>
    </comment>
    <comment ref="AE38" authorId="0" shapeId="0">
      <text>
        <r>
          <rPr>
            <b/>
            <sz val="9"/>
            <color indexed="81"/>
            <rFont val="ＭＳ Ｐゴシック"/>
            <family val="3"/>
            <charset val="128"/>
          </rPr>
          <t>利息雨汚水から分けて拾うべき
21371910</t>
        </r>
      </text>
    </comment>
    <comment ref="AJ38" authorId="0" shapeId="0">
      <text>
        <r>
          <rPr>
            <b/>
            <sz val="9"/>
            <color indexed="81"/>
            <rFont val="ＭＳ Ｐゴシック"/>
            <family val="3"/>
            <charset val="128"/>
          </rPr>
          <t>利息雨汚水から分けて拾うべき
25588999</t>
        </r>
      </text>
    </comment>
    <comment ref="D42" authorId="0" shapeId="0">
      <text>
        <r>
          <rPr>
            <b/>
            <sz val="9"/>
            <color indexed="81"/>
            <rFont val="ＭＳ Ｐゴシック"/>
            <family val="3"/>
            <charset val="128"/>
          </rPr>
          <t>過年度の償却漏れ・除却もれを修正損で執行した場合に使う。</t>
        </r>
      </text>
    </comment>
    <comment ref="F42" authorId="0" shapeId="0">
      <text>
        <r>
          <rPr>
            <b/>
            <sz val="9"/>
            <color indexed="81"/>
            <rFont val="ＭＳ Ｐゴシック"/>
            <family val="3"/>
            <charset val="128"/>
          </rPr>
          <t>固定資産担当に数字を作ってもらう。H26,H27に実績有あり）</t>
        </r>
      </text>
    </comment>
    <comment ref="P42" authorId="0" shapeId="0">
      <text>
        <r>
          <rPr>
            <b/>
            <sz val="9"/>
            <color indexed="81"/>
            <rFont val="ＭＳ Ｐゴシック"/>
            <family val="3"/>
            <charset val="128"/>
          </rPr>
          <t>固定資産担当に数字を作ってもらう。H26,H27に実績有あり）</t>
        </r>
      </text>
    </comment>
    <comment ref="AE42" authorId="0" shapeId="0">
      <text>
        <r>
          <rPr>
            <b/>
            <sz val="9"/>
            <color indexed="81"/>
            <rFont val="ＭＳ Ｐゴシック"/>
            <family val="3"/>
            <charset val="128"/>
          </rPr>
          <t>固定資産担当に数字を作ってもらう。H26,H27に実績有あり）</t>
        </r>
      </text>
    </comment>
    <comment ref="F44" authorId="0" shapeId="0">
      <text>
        <r>
          <rPr>
            <sz val="9"/>
            <color indexed="81"/>
            <rFont val="ＭＳ Ｐゴシック"/>
            <family val="3"/>
            <charset val="128"/>
          </rPr>
          <t>減損対象資産の排水区分により、雨汚水を仕訳する。</t>
        </r>
      </text>
    </comment>
    <comment ref="K44" authorId="0" shapeId="0">
      <text>
        <r>
          <rPr>
            <sz val="9"/>
            <color indexed="81"/>
            <rFont val="ＭＳ Ｐゴシック"/>
            <family val="3"/>
            <charset val="128"/>
          </rPr>
          <t>減損対象資産の排水区分により、雨汚水を仕訳する。</t>
        </r>
      </text>
    </comment>
    <comment ref="P44" authorId="0" shapeId="0">
      <text>
        <r>
          <rPr>
            <sz val="9"/>
            <color indexed="81"/>
            <rFont val="ＭＳ Ｐゴシック"/>
            <family val="3"/>
            <charset val="128"/>
          </rPr>
          <t>減損対象資産の排水区分により、雨汚水を仕訳する。</t>
        </r>
      </text>
    </comment>
    <comment ref="U44" authorId="0" shapeId="0">
      <text>
        <r>
          <rPr>
            <sz val="9"/>
            <color indexed="81"/>
            <rFont val="ＭＳ Ｐゴシック"/>
            <family val="3"/>
            <charset val="128"/>
          </rPr>
          <t>減損対象資産の排水区分により、雨汚水を仕訳する。</t>
        </r>
      </text>
    </comment>
    <comment ref="AE44" authorId="0" shapeId="0">
      <text>
        <r>
          <rPr>
            <sz val="9"/>
            <color indexed="81"/>
            <rFont val="ＭＳ Ｐゴシック"/>
            <family val="3"/>
            <charset val="128"/>
          </rPr>
          <t>減損対象資産の排水区分により、雨汚水を仕訳する。</t>
        </r>
      </text>
    </comment>
    <comment ref="AJ44" authorId="0" shapeId="0">
      <text>
        <r>
          <rPr>
            <sz val="9"/>
            <color indexed="81"/>
            <rFont val="ＭＳ Ｐゴシック"/>
            <family val="3"/>
            <charset val="128"/>
          </rPr>
          <t>減損対象資産の排水区分により、雨汚水を仕訳する。</t>
        </r>
      </text>
    </comment>
    <comment ref="F58"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G58"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H58"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K58"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P58"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Q58"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R58"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U58"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AE58" authorId="1" shapeId="0">
      <text>
        <r>
          <rPr>
            <sz val="9"/>
            <color indexed="81"/>
            <rFont val="ＭＳ Ｐゴシック"/>
            <family val="3"/>
            <charset val="128"/>
          </rPr>
          <t>='I:\経理係フォルダ\☆決算事務\２８年度決算\07 H28雨汚水分け\雨汚水分け\[Ｈ28年度決算 管きょ費 雨汚水＜公共＞.xls]総括'!$C$19</t>
        </r>
      </text>
    </comment>
    <comment ref="AF58" authorId="1" shapeId="0">
      <text>
        <r>
          <rPr>
            <sz val="9"/>
            <color indexed="81"/>
            <rFont val="ＭＳ Ｐゴシック"/>
            <family val="3"/>
            <charset val="128"/>
          </rPr>
          <t>='I:\経理係フォルダ\☆決算事務\２８年度決算\07 H28雨汚水分け\雨汚水分け\[Ｈ28年度決算 管きょ費 雨汚水＜公共＞.xls]総括'!$L$19</t>
        </r>
      </text>
    </comment>
    <comment ref="AG58" authorId="1" shapeId="0">
      <text>
        <r>
          <rPr>
            <sz val="9"/>
            <color indexed="81"/>
            <rFont val="ＭＳ Ｐゴシック"/>
            <family val="3"/>
            <charset val="128"/>
          </rPr>
          <t>='I:\経理係フォルダ\☆決算事務\２８年度決算\07 H28雨汚水分け\雨汚水分け\[Ｈ28年度決算 管きょ費 雨汚水＜公共＞.xls]総括'!$N$19</t>
        </r>
      </text>
    </comment>
    <comment ref="AJ58" authorId="1" shapeId="0">
      <text>
        <r>
          <rPr>
            <sz val="9"/>
            <color indexed="81"/>
            <rFont val="ＭＳ Ｐゴシック"/>
            <family val="3"/>
            <charset val="128"/>
          </rPr>
          <t>='I:\経理係フォルダ\☆決算事務\２８年度決算\07 H28雨汚水分け\雨汚水分け\[Ｈ28年度決算 管きょ費 雨汚水＜公共＞.xls]総括'!$E$19</t>
        </r>
      </text>
    </comment>
    <comment ref="F60"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G6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K60"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P60"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Q6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U60"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AE60" authorId="1" shapeId="0">
      <text>
        <r>
          <rPr>
            <sz val="9"/>
            <color indexed="81"/>
            <rFont val="ＭＳ Ｐゴシック"/>
            <family val="3"/>
            <charset val="128"/>
          </rPr>
          <t>='I:\経理係フォルダ\☆決算事務\２８年度決算\07 H28雨汚水分け\雨汚水分け\[Ｈ28年度決算ポンプ場費　雨汚水.xls]総括表'!$C$21</t>
        </r>
      </text>
    </comment>
    <comment ref="AF60"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H28雨汚水分け\雨汚水分け\[Ｈ28年度決算ポンプ場費　雨汚水.xls]総括表'!$I$21</t>
        </r>
      </text>
    </comment>
    <comment ref="AJ60" authorId="1" shapeId="0">
      <text>
        <r>
          <rPr>
            <sz val="9"/>
            <color indexed="81"/>
            <rFont val="ＭＳ Ｐゴシック"/>
            <family val="3"/>
            <charset val="128"/>
          </rPr>
          <t>='I:\経理係フォルダ\☆決算事務\２８年度決算\07 H28雨汚水分け\雨汚水分け\[Ｈ28年度決算ポンプ場費　雨汚水.xls]総括表'!$D$21</t>
        </r>
      </text>
    </comment>
    <comment ref="D61" authorId="0" shapeId="0">
      <text>
        <r>
          <rPr>
            <b/>
            <sz val="9"/>
            <color indexed="81"/>
            <rFont val="ＭＳ Ｐゴシック"/>
            <family val="3"/>
            <charset val="128"/>
          </rPr>
          <t>産物売却代金（西部汚水処理の特財）</t>
        </r>
      </text>
    </comment>
    <comment ref="F61"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G61"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H61"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J61"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K61"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P61"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Q61"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R61"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T61"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U61"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AE61" authorId="1" shapeId="0">
      <text>
        <r>
          <rPr>
            <sz val="9"/>
            <color indexed="81"/>
            <rFont val="ＭＳ Ｐゴシック"/>
            <family val="3"/>
            <charset val="128"/>
          </rPr>
          <t>='I:\経理係フォルダ\☆決算事務\２８年度決算\07 H28雨汚水分け\雨汚水分け\[Ｈ28年度決算処理場費　雨汚水.xls]総括表'!$C$30</t>
        </r>
      </text>
    </comment>
    <comment ref="AF61" authorId="1" shapeId="0">
      <text>
        <r>
          <rPr>
            <sz val="9"/>
            <color indexed="81"/>
            <rFont val="ＭＳ Ｐゴシック"/>
            <family val="3"/>
            <charset val="128"/>
          </rPr>
          <t>='I:\経理係フォルダ\☆決算事務\２８年度決算\07 H28雨汚水分け\雨汚水分け\[Ｈ28年度決算処理場費　雨汚水.xls]総括表'!$I$30</t>
        </r>
      </text>
    </comment>
    <comment ref="AG61" authorId="1" shapeId="0">
      <text>
        <r>
          <rPr>
            <sz val="9"/>
            <color indexed="81"/>
            <rFont val="ＭＳ Ｐゴシック"/>
            <family val="3"/>
            <charset val="128"/>
          </rPr>
          <t>='I:\経理係フォルダ\☆決算事務\２８年度決算\07 H28雨汚水分け\雨汚水分け\[Ｈ28年度決算処理場費　雨汚水.xls]総括表'!$J$30</t>
        </r>
      </text>
    </comment>
    <comment ref="AI61" authorId="1" shapeId="0">
      <text>
        <r>
          <rPr>
            <sz val="9"/>
            <color indexed="81"/>
            <rFont val="ＭＳ Ｐゴシック"/>
            <family val="3"/>
            <charset val="128"/>
          </rPr>
          <t>='I:\経理係フォルダ\☆決算事務\２８年度決算\07 H28雨汚水分け\雨汚水分け\[Ｈ28年度決算処理場費　雨汚水.xls]総括表'!$G$30</t>
        </r>
      </text>
    </comment>
    <comment ref="AJ61" authorId="1" shapeId="0">
      <text>
        <r>
          <rPr>
            <b/>
            <sz val="9"/>
            <color indexed="81"/>
            <rFont val="ＭＳ Ｐゴシック"/>
            <family val="3"/>
            <charset val="128"/>
          </rPr>
          <t>他市町負担金が未入力の状態でいったん入力し管理課へ提供、その後管理課が他市町負担金を精算し、その精算額を上乗せするか所。</t>
        </r>
        <r>
          <rPr>
            <sz val="9"/>
            <color indexed="81"/>
            <rFont val="ＭＳ Ｐゴシック"/>
            <family val="3"/>
            <charset val="128"/>
          </rPr>
          <t xml:space="preserve">
='I:\経理係フォルダ\☆決算事務\２８年度決算\07 H28雨汚水分け\雨汚水分け\[Ｈ28年度決算処理場費　雨汚水.xls]総括表'!$D$30</t>
        </r>
      </text>
    </comment>
    <comment ref="D62" authorId="0" shapeId="0">
      <text>
        <r>
          <rPr>
            <b/>
            <sz val="9"/>
            <color indexed="81"/>
            <rFont val="ＭＳ Ｐゴシック"/>
            <family val="3"/>
            <charset val="128"/>
          </rPr>
          <t>主に管きょ費の特財</t>
        </r>
      </text>
    </comment>
    <comment ref="D63" authorId="0" shapeId="0">
      <text>
        <r>
          <rPr>
            <b/>
            <sz val="9"/>
            <color indexed="81"/>
            <rFont val="ＭＳ Ｐゴシック"/>
            <family val="3"/>
            <charset val="128"/>
          </rPr>
          <t>主に管きょ費の特財</t>
        </r>
      </text>
    </comment>
    <comment ref="D64" authorId="0" shapeId="0">
      <text>
        <r>
          <rPr>
            <b/>
            <sz val="9"/>
            <color indexed="81"/>
            <rFont val="ＭＳ Ｐゴシック"/>
            <family val="3"/>
            <charset val="128"/>
          </rPr>
          <t>普及促進費の特財</t>
        </r>
      </text>
    </comment>
    <comment ref="H64" authorId="0" shapeId="0">
      <text>
        <r>
          <rPr>
            <sz val="9"/>
            <color indexed="81"/>
            <rFont val="ＭＳ Ｐゴシック"/>
            <family val="3"/>
            <charset val="128"/>
          </rPr>
          <t>水洗化貸付事業費全額
=+E13</t>
        </r>
      </text>
    </comment>
    <comment ref="R64" authorId="0" shapeId="0">
      <text>
        <r>
          <rPr>
            <sz val="9"/>
            <color indexed="81"/>
            <rFont val="ＭＳ Ｐゴシック"/>
            <family val="3"/>
            <charset val="128"/>
          </rPr>
          <t>水洗化貸付事業費全額
=+E13</t>
        </r>
      </text>
    </comment>
    <comment ref="AG64" authorId="0" shapeId="0">
      <text>
        <r>
          <rPr>
            <sz val="9"/>
            <color indexed="81"/>
            <rFont val="ＭＳ Ｐゴシック"/>
            <family val="3"/>
            <charset val="128"/>
          </rPr>
          <t>水洗化貸付事業費全額
=+E13</t>
        </r>
      </text>
    </comment>
    <comment ref="H65"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R65"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AG65" authorId="2" shapeId="0">
      <text>
        <r>
          <rPr>
            <sz val="9"/>
            <color indexed="81"/>
            <rFont val="ＭＳ Ｐゴシック"/>
            <family val="3"/>
            <charset val="128"/>
          </rPr>
          <t>減価償却費の汚水比率　　　10財P4税込（20年度業務費算出用）.xls により算出
='I:\経理係フォルダ\☆決算事務\２８年度決算\07 H28雨汚水分け\雨汚水分け\[10財P4税込（20年度業務費算出用）※業務費の一般行政経費算出に使う.xls]P1.3条税込 行政'!$AF$162</t>
        </r>
      </text>
    </comment>
    <comment ref="F66" authorId="0" shapeId="0">
      <text>
        <r>
          <rPr>
            <sz val="9"/>
            <color indexed="81"/>
            <rFont val="ＭＳ Ｐゴシック"/>
            <family val="3"/>
            <charset val="128"/>
          </rPr>
          <t>管きょ費から業務費までの加重平均で按分
=+ROUND((総係!$E$36-総係!$E$35-$L$15)*SUM(F7:F14)/SUM($F$7:$G$14,$I$7:$J$14),0)</t>
        </r>
      </text>
    </comment>
    <comment ref="G66" authorId="0" shapeId="0">
      <text>
        <r>
          <rPr>
            <sz val="9"/>
            <color indexed="81"/>
            <rFont val="ＭＳ Ｐゴシック"/>
            <family val="3"/>
            <charset val="128"/>
          </rPr>
          <t>管きょ費から業務費までの加重平均で按分
=+ROUND((総係!$E$36-総係!$E$35-$L$15)*SUM(G7:G14)/SUM($F$7:$G$14,$I$7:$J$14),0)</t>
        </r>
      </text>
    </comment>
    <comment ref="P66" authorId="0" shapeId="0">
      <text>
        <r>
          <rPr>
            <sz val="9"/>
            <color indexed="81"/>
            <rFont val="ＭＳ Ｐゴシック"/>
            <family val="3"/>
            <charset val="128"/>
          </rPr>
          <t>管きょ費から業務費までの加重平均で按分
=+ROUND((総係!$E$36-総係!$E$35-$L$15)*SUM(F7:F14)/SUM($F$7:$G$14,$I$7:$J$14),0)</t>
        </r>
      </text>
    </comment>
    <comment ref="Q66" authorId="0" shapeId="0">
      <text>
        <r>
          <rPr>
            <sz val="9"/>
            <color indexed="81"/>
            <rFont val="ＭＳ Ｐゴシック"/>
            <family val="3"/>
            <charset val="128"/>
          </rPr>
          <t>管きょ費から業務費までの加重平均で按分
=+ROUND((総係!$E$36-総係!$E$35-$L$15)*SUM(G7:G14)/SUM($F$7:$G$14,$I$7:$J$14),0)</t>
        </r>
      </text>
    </comment>
    <comment ref="AE66" authorId="0" shapeId="0">
      <text>
        <r>
          <rPr>
            <sz val="9"/>
            <color indexed="81"/>
            <rFont val="ＭＳ Ｐゴシック"/>
            <family val="3"/>
            <charset val="128"/>
          </rPr>
          <t>管きょ費から業務費までの加重平均で按分
=+ROUND((総係!$E$36-総係!$E$35-$L$15)*SUM(F7:F14)/SUM($F$7:$G$14,$I$7:$J$14),0)</t>
        </r>
      </text>
    </comment>
    <comment ref="AF66" authorId="0" shapeId="0">
      <text>
        <r>
          <rPr>
            <sz val="9"/>
            <color indexed="81"/>
            <rFont val="ＭＳ Ｐゴシック"/>
            <family val="3"/>
            <charset val="128"/>
          </rPr>
          <t>管きょ費から業務費までの加重平均で按分
=+ROUND((総係!$E$36-総係!$E$35-$L$15)*SUM(G7:G14)/SUM($F$7:$G$14,$I$7:$J$14),0)</t>
        </r>
      </text>
    </comment>
    <comment ref="H6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R6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AG67"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921514水洗便所改造資金貸付等事務（特環））
生活扶助世帯水洗工事費補助（事業コード　921503生活扶助世帯水洗工事費補助（特環））</t>
        </r>
      </text>
    </comment>
    <comment ref="H6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R6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AG68"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921613水洗便所改造資金貸付等事務（農集））
生活扶助世帯水洗工事費補助（事業コード　921606生活扶助世帯水洗工事費補助（農集））</t>
        </r>
      </text>
    </comment>
    <comment ref="H69"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R69"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AG69" authorId="0" shapeId="0">
      <text>
        <r>
          <rPr>
            <b/>
            <sz val="9"/>
            <color indexed="81"/>
            <rFont val="ＭＳ Ｐゴシック"/>
            <family val="3"/>
            <charset val="128"/>
          </rPr>
          <t>全伝票データから、事業コードで絞って集計</t>
        </r>
        <r>
          <rPr>
            <sz val="9"/>
            <color indexed="81"/>
            <rFont val="ＭＳ Ｐゴシック"/>
            <family val="3"/>
            <charset val="128"/>
          </rPr>
          <t xml:space="preserve">
水洗便所改造資金貸付等事務（事業コード　921805水洗便所改造資金貸付等事務（浄化槽））
生活扶助世帯水洗工事費補助（事業コード　921806生活扶助世帯水洗工事費補助（浄化槽））</t>
        </r>
      </text>
    </comment>
    <comment ref="D70" authorId="0" shapeId="0">
      <text>
        <r>
          <rPr>
            <b/>
            <sz val="9"/>
            <color indexed="81"/>
            <rFont val="ＭＳ Ｐゴシック"/>
            <family val="3"/>
            <charset val="128"/>
          </rPr>
          <t>主にポンプ場費の特財</t>
        </r>
      </text>
    </comment>
    <comment ref="F71"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P71"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AE71" authorId="0" shapeId="0">
      <text>
        <r>
          <rPr>
            <b/>
            <sz val="9"/>
            <color indexed="81"/>
            <rFont val="ＭＳ Ｐゴシック"/>
            <family val="3"/>
            <charset val="128"/>
          </rPr>
          <t>固定資産撤去費の工事の件名から、排水区分を確認し、雨汚水を分ける。合流の場合は、管・P・Tの財計雨汚水按分率を使う。</t>
        </r>
      </text>
    </comment>
    <comment ref="F73" authorId="0" shapeId="0">
      <text>
        <r>
          <rPr>
            <b/>
            <sz val="9"/>
            <color indexed="81"/>
            <rFont val="ＭＳ Ｐゴシック"/>
            <family val="3"/>
            <charset val="128"/>
          </rPr>
          <t>営業外収支、特利特損は、雨汚収入・支出シートで仕分けする。</t>
        </r>
      </text>
    </comment>
    <comment ref="P73" authorId="0" shapeId="0">
      <text>
        <r>
          <rPr>
            <b/>
            <sz val="9"/>
            <color indexed="81"/>
            <rFont val="ＭＳ Ｐゴシック"/>
            <family val="3"/>
            <charset val="128"/>
          </rPr>
          <t>営業外収支、特利特損は、雨汚収入・支出シートで仕分けする。</t>
        </r>
      </text>
    </comment>
    <comment ref="AE73" authorId="0" shapeId="0">
      <text>
        <r>
          <rPr>
            <b/>
            <sz val="9"/>
            <color indexed="81"/>
            <rFont val="ＭＳ Ｐゴシック"/>
            <family val="3"/>
            <charset val="128"/>
          </rPr>
          <t>営業外収支、特利特損は、雨汚収入・支出シートで仕分けする。</t>
        </r>
      </text>
    </comment>
    <comment ref="E75" authorId="0" shapeId="0">
      <text>
        <r>
          <rPr>
            <b/>
            <sz val="9"/>
            <color indexed="81"/>
            <rFont val="ＭＳ Ｐゴシック"/>
            <family val="3"/>
            <charset val="128"/>
          </rPr>
          <t>災害支援経費分を入力</t>
        </r>
      </text>
    </comment>
    <comment ref="H75" authorId="0" shapeId="0">
      <text>
        <r>
          <rPr>
            <b/>
            <sz val="9"/>
            <color indexed="81"/>
            <rFont val="ＭＳ Ｐゴシック"/>
            <family val="3"/>
            <charset val="128"/>
          </rPr>
          <t>熊本支援経費</t>
        </r>
      </text>
    </comment>
    <comment ref="O75" authorId="0" shapeId="0">
      <text>
        <r>
          <rPr>
            <b/>
            <sz val="9"/>
            <color indexed="81"/>
            <rFont val="ＭＳ Ｐゴシック"/>
            <family val="3"/>
            <charset val="128"/>
          </rPr>
          <t>災害支援経費分を入力</t>
        </r>
      </text>
    </comment>
    <comment ref="R75" authorId="0" shapeId="0">
      <text>
        <r>
          <rPr>
            <b/>
            <sz val="9"/>
            <color indexed="81"/>
            <rFont val="ＭＳ Ｐゴシック"/>
            <family val="3"/>
            <charset val="128"/>
          </rPr>
          <t>熊本支援経費</t>
        </r>
      </text>
    </comment>
    <comment ref="AD75" authorId="0" shapeId="0">
      <text>
        <r>
          <rPr>
            <b/>
            <sz val="9"/>
            <color indexed="81"/>
            <rFont val="ＭＳ Ｐゴシック"/>
            <family val="3"/>
            <charset val="128"/>
          </rPr>
          <t>災害支援経費分を入力</t>
        </r>
      </text>
    </comment>
    <comment ref="AG75" authorId="0" shapeId="0">
      <text>
        <r>
          <rPr>
            <b/>
            <sz val="9"/>
            <color indexed="81"/>
            <rFont val="ＭＳ Ｐゴシック"/>
            <family val="3"/>
            <charset val="128"/>
          </rPr>
          <t>熊本支援経費</t>
        </r>
      </text>
    </comment>
    <comment ref="D77" authorId="0" shapeId="0">
      <text>
        <r>
          <rPr>
            <b/>
            <sz val="9"/>
            <color indexed="81"/>
            <rFont val="ＭＳ Ｐゴシック"/>
            <family val="3"/>
            <charset val="128"/>
          </rPr>
          <t>過去の仕入れ対価の返還
過去の課税売上の返還
貸倒引当金取崩額に係る調整等</t>
        </r>
      </text>
    </comment>
    <comment ref="N77" authorId="0" shapeId="0">
      <text>
        <r>
          <rPr>
            <b/>
            <sz val="9"/>
            <color indexed="81"/>
            <rFont val="ＭＳ Ｐゴシック"/>
            <family val="3"/>
            <charset val="128"/>
          </rPr>
          <t>過去の仕入れ対価の返還
過去の課税売上の返還
貸倒引当金取崩額に係る調整等</t>
        </r>
      </text>
    </comment>
    <comment ref="X77" authorId="0" shapeId="0">
      <text>
        <r>
          <rPr>
            <b/>
            <sz val="9"/>
            <color indexed="81"/>
            <rFont val="ＭＳ Ｐゴシック"/>
            <family val="3"/>
            <charset val="128"/>
          </rPr>
          <t>貸倒引当金取崩額に係る調整</t>
        </r>
      </text>
    </comment>
    <comment ref="F80" authorId="0" shapeId="0">
      <text>
        <r>
          <rPr>
            <b/>
            <sz val="9"/>
            <color indexed="81"/>
            <rFont val="ＭＳ Ｐゴシック"/>
            <family val="3"/>
            <charset val="128"/>
          </rPr>
          <t>前払金還付遅延利息不納欠損の雨汚水折半</t>
        </r>
      </text>
    </comment>
    <comment ref="K80" authorId="0" shapeId="0">
      <text>
        <r>
          <rPr>
            <b/>
            <sz val="9"/>
            <color indexed="81"/>
            <rFont val="ＭＳ Ｐゴシック"/>
            <family val="3"/>
            <charset val="128"/>
          </rPr>
          <t>使用料分の修正損</t>
        </r>
      </text>
    </comment>
    <comment ref="P80" authorId="0" shapeId="0">
      <text>
        <r>
          <rPr>
            <b/>
            <sz val="9"/>
            <color indexed="81"/>
            <rFont val="ＭＳ Ｐゴシック"/>
            <family val="3"/>
            <charset val="128"/>
          </rPr>
          <t>前払金還付遅延利息不納欠損の雨汚水折半</t>
        </r>
      </text>
    </comment>
    <comment ref="U80" authorId="0" shapeId="0">
      <text>
        <r>
          <rPr>
            <b/>
            <sz val="9"/>
            <color indexed="81"/>
            <rFont val="ＭＳ Ｐゴシック"/>
            <family val="3"/>
            <charset val="128"/>
          </rPr>
          <t>使用料分の修正損</t>
        </r>
      </text>
    </comment>
    <comment ref="AE80" authorId="0" shapeId="0">
      <text>
        <r>
          <rPr>
            <b/>
            <sz val="9"/>
            <color indexed="81"/>
            <rFont val="ＭＳ Ｐゴシック"/>
            <family val="3"/>
            <charset val="128"/>
          </rPr>
          <t>前払金還付遅延利息不納欠損の雨汚水折半</t>
        </r>
      </text>
    </comment>
    <comment ref="AJ80" authorId="0" shapeId="0">
      <text>
        <r>
          <rPr>
            <b/>
            <sz val="9"/>
            <color indexed="81"/>
            <rFont val="ＭＳ Ｐゴシック"/>
            <family val="3"/>
            <charset val="128"/>
          </rPr>
          <t>使用料分の修正損</t>
        </r>
      </text>
    </comment>
    <comment ref="F85" authorId="0" shapeId="0">
      <text>
        <r>
          <rPr>
            <b/>
            <sz val="9"/>
            <color indexed="81"/>
            <rFont val="ＭＳ Ｐゴシック"/>
            <family val="3"/>
            <charset val="128"/>
          </rPr>
          <t>減価償却費雨汚水分け表より</t>
        </r>
      </text>
    </comment>
    <comment ref="H85" authorId="0" shapeId="0">
      <text>
        <r>
          <rPr>
            <b/>
            <sz val="9"/>
            <color indexed="81"/>
            <rFont val="ＭＳ Ｐゴシック"/>
            <family val="3"/>
            <charset val="128"/>
          </rPr>
          <t>し尿分を計上していないが、H32～財計以降は、財計経費区分表に記載の上、基準外繰出し対象とすべき。</t>
        </r>
      </text>
    </comment>
    <comment ref="P85" authorId="0" shapeId="0">
      <text>
        <r>
          <rPr>
            <b/>
            <sz val="9"/>
            <color indexed="81"/>
            <rFont val="ＭＳ Ｐゴシック"/>
            <family val="3"/>
            <charset val="128"/>
          </rPr>
          <t>減価償却費雨汚水分け表より</t>
        </r>
      </text>
    </comment>
    <comment ref="R85" authorId="0" shapeId="0">
      <text>
        <r>
          <rPr>
            <b/>
            <sz val="9"/>
            <color indexed="81"/>
            <rFont val="ＭＳ Ｐゴシック"/>
            <family val="3"/>
            <charset val="128"/>
          </rPr>
          <t>し尿分を計上していないが、H32～財計以降は、財計経費区分表に記載の上、基準外繰出し対象とすべき。</t>
        </r>
      </text>
    </comment>
    <comment ref="AE85" authorId="0" shapeId="0">
      <text>
        <r>
          <rPr>
            <b/>
            <sz val="9"/>
            <color indexed="81"/>
            <rFont val="ＭＳ Ｐゴシック"/>
            <family val="3"/>
            <charset val="128"/>
          </rPr>
          <t>減価償却費雨汚水分け表より</t>
        </r>
      </text>
    </comment>
    <comment ref="AG85" authorId="0" shapeId="0">
      <text>
        <r>
          <rPr>
            <b/>
            <sz val="9"/>
            <color indexed="81"/>
            <rFont val="ＭＳ Ｐゴシック"/>
            <family val="3"/>
            <charset val="128"/>
          </rPr>
          <t>し尿分を計上していないが、H32～財計以降は、財計経費区分表に記載の上、基準外繰出し対象とすべき。</t>
        </r>
      </text>
    </comment>
    <comment ref="F86" authorId="0" shapeId="0">
      <text>
        <r>
          <rPr>
            <b/>
            <sz val="9"/>
            <color indexed="81"/>
            <rFont val="ＭＳ Ｐゴシック"/>
            <family val="3"/>
            <charset val="128"/>
          </rPr>
          <t>除却費雨汚水分け表より</t>
        </r>
      </text>
    </comment>
    <comment ref="P86" authorId="0" shapeId="0">
      <text>
        <r>
          <rPr>
            <b/>
            <sz val="9"/>
            <color indexed="81"/>
            <rFont val="ＭＳ Ｐゴシック"/>
            <family val="3"/>
            <charset val="128"/>
          </rPr>
          <t>除却費雨汚水分け表より</t>
        </r>
      </text>
    </comment>
    <comment ref="AE86" authorId="0" shapeId="0">
      <text>
        <r>
          <rPr>
            <b/>
            <sz val="9"/>
            <color indexed="81"/>
            <rFont val="ＭＳ Ｐゴシック"/>
            <family val="3"/>
            <charset val="128"/>
          </rPr>
          <t>除却費雨汚水分け表より</t>
        </r>
      </text>
    </comment>
    <comment ref="F88" authorId="0" shapeId="0">
      <text>
        <r>
          <rPr>
            <b/>
            <sz val="9"/>
            <color indexed="81"/>
            <rFont val="ＭＳ Ｐゴシック"/>
            <family val="3"/>
            <charset val="128"/>
          </rPr>
          <t>企業債利息雨汚水分け表より</t>
        </r>
      </text>
    </comment>
    <comment ref="H88" authorId="0" shapeId="0">
      <text>
        <r>
          <rPr>
            <sz val="9"/>
            <color indexed="81"/>
            <rFont val="ＭＳ Ｐゴシック"/>
            <family val="3"/>
            <charset val="128"/>
          </rPr>
          <t>弾力運用分、特別分、し尿分の利子償還金</t>
        </r>
      </text>
    </comment>
    <comment ref="P88" authorId="0" shapeId="0">
      <text>
        <r>
          <rPr>
            <b/>
            <sz val="9"/>
            <color indexed="81"/>
            <rFont val="ＭＳ Ｐゴシック"/>
            <family val="3"/>
            <charset val="128"/>
          </rPr>
          <t>企業債利息雨汚水分け表より</t>
        </r>
      </text>
    </comment>
    <comment ref="R88" authorId="0" shapeId="0">
      <text>
        <r>
          <rPr>
            <sz val="9"/>
            <color indexed="81"/>
            <rFont val="ＭＳ Ｐゴシック"/>
            <family val="3"/>
            <charset val="128"/>
          </rPr>
          <t>弾力運用分、特別分、し尿分の利子償還金</t>
        </r>
      </text>
    </comment>
    <comment ref="AE88" authorId="0" shapeId="0">
      <text>
        <r>
          <rPr>
            <b/>
            <sz val="9"/>
            <color indexed="81"/>
            <rFont val="ＭＳ Ｐゴシック"/>
            <family val="3"/>
            <charset val="128"/>
          </rPr>
          <t>企業債利息雨汚水分け表より</t>
        </r>
      </text>
    </comment>
    <comment ref="AG88" authorId="0" shapeId="0">
      <text>
        <r>
          <rPr>
            <sz val="9"/>
            <color indexed="81"/>
            <rFont val="ＭＳ Ｐゴシック"/>
            <family val="3"/>
            <charset val="128"/>
          </rPr>
          <t>弾力運用分、特別分、し尿分の利子償還金</t>
        </r>
      </text>
    </comment>
    <comment ref="F89" authorId="0" shapeId="0">
      <text>
        <r>
          <rPr>
            <b/>
            <sz val="9"/>
            <color indexed="81"/>
            <rFont val="ＭＳ Ｐゴシック"/>
            <family val="3"/>
            <charset val="128"/>
          </rPr>
          <t>利息雨汚水から分けて拾うべき
21371910</t>
        </r>
      </text>
    </comment>
    <comment ref="K89" authorId="0" shapeId="0">
      <text>
        <r>
          <rPr>
            <b/>
            <sz val="9"/>
            <color indexed="81"/>
            <rFont val="ＭＳ Ｐゴシック"/>
            <family val="3"/>
            <charset val="128"/>
          </rPr>
          <t>利息雨汚水から分けて拾うべき
25588999</t>
        </r>
      </text>
    </comment>
    <comment ref="P89" authorId="0" shapeId="0">
      <text>
        <r>
          <rPr>
            <b/>
            <sz val="9"/>
            <color indexed="81"/>
            <rFont val="ＭＳ Ｐゴシック"/>
            <family val="3"/>
            <charset val="128"/>
          </rPr>
          <t>利息雨汚水から分けて拾うべき
21371910</t>
        </r>
      </text>
    </comment>
    <comment ref="U89" authorId="0" shapeId="0">
      <text>
        <r>
          <rPr>
            <b/>
            <sz val="9"/>
            <color indexed="81"/>
            <rFont val="ＭＳ Ｐゴシック"/>
            <family val="3"/>
            <charset val="128"/>
          </rPr>
          <t>利息雨汚水から分けて拾うべき
25588999</t>
        </r>
      </text>
    </comment>
    <comment ref="AE89" authorId="0" shapeId="0">
      <text>
        <r>
          <rPr>
            <b/>
            <sz val="9"/>
            <color indexed="81"/>
            <rFont val="ＭＳ Ｐゴシック"/>
            <family val="3"/>
            <charset val="128"/>
          </rPr>
          <t>利息雨汚水から分けて拾うべき
21371910</t>
        </r>
      </text>
    </comment>
    <comment ref="AJ89" authorId="0" shapeId="0">
      <text>
        <r>
          <rPr>
            <b/>
            <sz val="9"/>
            <color indexed="81"/>
            <rFont val="ＭＳ Ｐゴシック"/>
            <family val="3"/>
            <charset val="128"/>
          </rPr>
          <t>利息雨汚水から分けて拾うべき
25588999</t>
        </r>
      </text>
    </comment>
    <comment ref="F93" authorId="0" shapeId="0">
      <text>
        <r>
          <rPr>
            <b/>
            <sz val="9"/>
            <color indexed="81"/>
            <rFont val="ＭＳ Ｐゴシック"/>
            <family val="3"/>
            <charset val="128"/>
          </rPr>
          <t>固定資産担当に数字を作ってもらう。H26,H27に実績有あり）</t>
        </r>
      </text>
    </comment>
    <comment ref="P93" authorId="0" shapeId="0">
      <text>
        <r>
          <rPr>
            <b/>
            <sz val="9"/>
            <color indexed="81"/>
            <rFont val="ＭＳ Ｐゴシック"/>
            <family val="3"/>
            <charset val="128"/>
          </rPr>
          <t>固定資産担当に数字を作ってもらう。H26,H27に実績有あり）</t>
        </r>
      </text>
    </comment>
    <comment ref="AE93" authorId="0" shapeId="0">
      <text>
        <r>
          <rPr>
            <b/>
            <sz val="9"/>
            <color indexed="81"/>
            <rFont val="ＭＳ Ｐゴシック"/>
            <family val="3"/>
            <charset val="128"/>
          </rPr>
          <t>固定資産担当に数字を作ってもらう。H26,H27に実績有あり）</t>
        </r>
      </text>
    </comment>
    <comment ref="F95" authorId="0" shapeId="0">
      <text>
        <r>
          <rPr>
            <sz val="9"/>
            <color indexed="81"/>
            <rFont val="ＭＳ Ｐゴシック"/>
            <family val="3"/>
            <charset val="128"/>
          </rPr>
          <t>減損対象資産の排水区分により、雨汚水を仕訳する。</t>
        </r>
      </text>
    </comment>
    <comment ref="K95" authorId="0" shapeId="0">
      <text>
        <r>
          <rPr>
            <sz val="9"/>
            <color indexed="81"/>
            <rFont val="ＭＳ Ｐゴシック"/>
            <family val="3"/>
            <charset val="128"/>
          </rPr>
          <t>減損対象資産の排水区分により、雨汚水を仕訳する。</t>
        </r>
      </text>
    </comment>
    <comment ref="P95" authorId="0" shapeId="0">
      <text>
        <r>
          <rPr>
            <sz val="9"/>
            <color indexed="81"/>
            <rFont val="ＭＳ Ｐゴシック"/>
            <family val="3"/>
            <charset val="128"/>
          </rPr>
          <t>減損対象資産の排水区分により、雨汚水を仕訳する。</t>
        </r>
      </text>
    </comment>
    <comment ref="U95" authorId="0" shapeId="0">
      <text>
        <r>
          <rPr>
            <sz val="9"/>
            <color indexed="81"/>
            <rFont val="ＭＳ Ｐゴシック"/>
            <family val="3"/>
            <charset val="128"/>
          </rPr>
          <t>減損対象資産の排水区分により、雨汚水を仕訳する。</t>
        </r>
      </text>
    </comment>
    <comment ref="AE95" authorId="0" shapeId="0">
      <text>
        <r>
          <rPr>
            <sz val="9"/>
            <color indexed="81"/>
            <rFont val="ＭＳ Ｐゴシック"/>
            <family val="3"/>
            <charset val="128"/>
          </rPr>
          <t>減損対象資産の排水区分により、雨汚水を仕訳する。</t>
        </r>
      </text>
    </comment>
    <comment ref="AJ95" authorId="0" shapeId="0">
      <text>
        <r>
          <rPr>
            <sz val="9"/>
            <color indexed="81"/>
            <rFont val="ＭＳ Ｐゴシック"/>
            <family val="3"/>
            <charset val="128"/>
          </rPr>
          <t>減損対象資産の排水区分により、雨汚水を仕訳する。</t>
        </r>
      </text>
    </comment>
    <comment ref="K111" authorId="0" shapeId="0">
      <text>
        <r>
          <rPr>
            <b/>
            <sz val="9"/>
            <color indexed="10"/>
            <rFont val="ＭＳ Ｐゴシック"/>
            <family val="3"/>
            <charset val="128"/>
          </rPr>
          <t>=+IF(SUM(U137:U139,-U133)&gt;=0,U120+AJ120,U120+AJ120+AJ139+AJ141)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U111" authorId="0" shapeId="0">
      <text>
        <r>
          <rPr>
            <b/>
            <sz val="9"/>
            <color indexed="10"/>
            <rFont val="ＭＳ Ｐゴシック"/>
            <family val="3"/>
            <charset val="128"/>
          </rPr>
          <t>=+IF(U140&gt;0,0,-U140)
減免分を充当してもなお。汚水基準外に赤字が出る場合には、赤字分を雨水処理負担金に計上して、赤字を消すためのセル。
ただし、全事業分で赤字が出る場合は、汚水処理補助金で受け入れるべきなので、この場合には、このセルの数式を削除する。</t>
        </r>
      </text>
    </comment>
    <comment ref="Y111" authorId="0" shapeId="0">
      <text>
        <r>
          <rPr>
            <b/>
            <sz val="9"/>
            <color indexed="81"/>
            <rFont val="ＭＳ Ｐゴシック"/>
            <family val="3"/>
            <charset val="128"/>
          </rPr>
          <t>【区域外用】　減免分を充当してもなお。汚水基準外に赤字が出る場合には、赤字分を雨水処理負担金に計上して、赤字を消す。基本的な考え方は、汚水基準外を除く（維持管理費-維持管理費充当財源）-減免分を除く他の維持管理費充当繰入額</t>
        </r>
      </text>
    </comment>
    <comment ref="Z114" authorId="0" shapeId="0">
      <text>
        <r>
          <rPr>
            <b/>
            <sz val="9"/>
            <color indexed="81"/>
            <rFont val="ＭＳ Ｐゴシック"/>
            <family val="3"/>
            <charset val="128"/>
          </rPr>
          <t>利息分には、控除不可消費税は発生しない。</t>
        </r>
      </text>
    </comment>
    <comment ref="AC116" authorId="0" shapeId="0">
      <text>
        <r>
          <rPr>
            <b/>
            <sz val="9"/>
            <color indexed="81"/>
            <rFont val="ＭＳ Ｐゴシック"/>
            <family val="3"/>
            <charset val="128"/>
          </rPr>
          <t>税込支出に揃えるために加除しているが、加算するのは必要のない繰入を受けているように見えるため、腑に落ちない。マイナスのときは、税込まで減額し、プラスのときは、加算しなければいいのではないか。</t>
        </r>
      </text>
    </comment>
    <comment ref="K122" authorId="0" shapeId="0">
      <text>
        <r>
          <rPr>
            <b/>
            <sz val="9"/>
            <color indexed="10"/>
            <rFont val="ＭＳ Ｐゴシック"/>
            <family val="3"/>
            <charset val="128"/>
          </rPr>
          <t>=+U130+AJ130+IF(SUM(U137:U139,-U133)&gt;=0,U120+AJ120,U120+AJ120+AJ139+AJ141)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2" authorId="0" shapeId="0">
      <text>
        <r>
          <rPr>
            <b/>
            <sz val="9"/>
            <color indexed="10"/>
            <rFont val="ＭＳ Ｐゴシック"/>
            <family val="3"/>
            <charset val="128"/>
          </rPr>
          <t>=-IF($U$140=0,0,IF($U$137&gt;0,0,U137))
全事業分で赤字が出る場合は、このセルの数式を使用する。
区域外分に、減免分を充当してもなお。汚水基準外に赤字が出る場合には、赤字分を雨水処理負担金に計上して赤字を消すため、このセルの数式は削除する。</t>
        </r>
      </text>
    </comment>
    <comment ref="K123" authorId="0" shapeId="0">
      <text>
        <r>
          <rPr>
            <b/>
            <sz val="9"/>
            <color indexed="10"/>
            <rFont val="ＭＳ Ｐゴシック"/>
            <family val="3"/>
            <charset val="128"/>
          </rPr>
          <t>=+U131+AJ131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3" authorId="0" shapeId="0">
      <text>
        <r>
          <rPr>
            <b/>
            <sz val="9"/>
            <color indexed="10"/>
            <rFont val="ＭＳ Ｐゴシック"/>
            <family val="3"/>
            <charset val="128"/>
          </rPr>
          <t>=-IF($U$140=0,0,IF($U$137&gt;0,ROUND($U$140*U138/($U$138+$U$139),0),U138))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K124" authorId="0" shapeId="0">
      <text>
        <r>
          <rPr>
            <b/>
            <sz val="9"/>
            <color indexed="10"/>
            <rFont val="ＭＳ Ｐゴシック"/>
            <family val="3"/>
            <charset val="128"/>
          </rPr>
          <t>=+U132+AJ132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 ref="U124" authorId="0" shapeId="0">
      <text>
        <r>
          <rPr>
            <b/>
            <sz val="9"/>
            <color indexed="10"/>
            <rFont val="ＭＳ Ｐゴシック"/>
            <family val="3"/>
            <charset val="128"/>
          </rPr>
          <t>=-IF($U$140=0,0,IF($U$137&gt;0,U140+U131,U139))
全事業分で赤字が出る場合は、セルの数式を使用する。
区域外分に、減免分を充当してもなお。汚水基準外に赤字が出る場合には、赤字分を雨水処理負担金に計上して赤字を消すため、このセルの数式は削除する。</t>
        </r>
      </text>
    </comment>
  </commentList>
</comments>
</file>

<file path=xl/sharedStrings.xml><?xml version="1.0" encoding="utf-8"?>
<sst xmlns="http://schemas.openxmlformats.org/spreadsheetml/2006/main" count="30566" uniqueCount="3352">
  <si>
    <t>総額検算</t>
    <rPh sb="0" eb="2">
      <t>ソウガク</t>
    </rPh>
    <rPh sb="2" eb="4">
      <t>ケンザン</t>
    </rPh>
    <phoneticPr fontId="3"/>
  </si>
  <si>
    <t>うち、資本費分　計</t>
    <rPh sb="3" eb="5">
      <t>シホン</t>
    </rPh>
    <rPh sb="5" eb="6">
      <t>ヒ</t>
    </rPh>
    <rPh sb="6" eb="7">
      <t>ブン</t>
    </rPh>
    <rPh sb="8" eb="9">
      <t>ケイ</t>
    </rPh>
    <phoneticPr fontId="3"/>
  </si>
  <si>
    <t>資本</t>
    <rPh sb="0" eb="2">
      <t>シホン</t>
    </rPh>
    <phoneticPr fontId="3"/>
  </si>
  <si>
    <t>うち、維持管理費分　計</t>
    <rPh sb="3" eb="5">
      <t>イジ</t>
    </rPh>
    <rPh sb="5" eb="7">
      <t>カンリ</t>
    </rPh>
    <rPh sb="7" eb="8">
      <t>ヒ</t>
    </rPh>
    <rPh sb="8" eb="9">
      <t>ブン</t>
    </rPh>
    <rPh sb="10" eb="11">
      <t>ケイ</t>
    </rPh>
    <phoneticPr fontId="3"/>
  </si>
  <si>
    <t>維持</t>
    <rPh sb="0" eb="2">
      <t>イジ</t>
    </rPh>
    <phoneticPr fontId="3"/>
  </si>
  <si>
    <t>合　計</t>
    <rPh sb="0" eb="1">
      <t>ゴウ</t>
    </rPh>
    <rPh sb="2" eb="3">
      <t>ケイ</t>
    </rPh>
    <phoneticPr fontId="3"/>
  </si>
  <si>
    <t>長期前受金戻入益（減損分）</t>
    <rPh sb="0" eb="8">
      <t>チョウキ</t>
    </rPh>
    <rPh sb="9" eb="11">
      <t>ゲンソン</t>
    </rPh>
    <rPh sb="11" eb="12">
      <t>ブン</t>
    </rPh>
    <phoneticPr fontId="3"/>
  </si>
  <si>
    <t>減損損失</t>
    <rPh sb="0" eb="2">
      <t>ゲンソン</t>
    </rPh>
    <rPh sb="2" eb="4">
      <t>ソンシツ</t>
    </rPh>
    <phoneticPr fontId="3"/>
  </si>
  <si>
    <t>特別</t>
    <rPh sb="0" eb="2">
      <t>トクベツ</t>
    </rPh>
    <phoneticPr fontId="3"/>
  </si>
  <si>
    <t>その他特別利益</t>
    <rPh sb="3" eb="5">
      <t>トクベツ</t>
    </rPh>
    <rPh sb="5" eb="7">
      <t>リエキ</t>
    </rPh>
    <phoneticPr fontId="3"/>
  </si>
  <si>
    <t>その他特別損失</t>
  </si>
  <si>
    <t>過年度損益修正益</t>
    <rPh sb="0" eb="3">
      <t>カネンド</t>
    </rPh>
    <rPh sb="3" eb="5">
      <t>ソンエキ</t>
    </rPh>
    <rPh sb="5" eb="7">
      <t>シュウセイ</t>
    </rPh>
    <rPh sb="7" eb="8">
      <t>エキ</t>
    </rPh>
    <phoneticPr fontId="3"/>
  </si>
  <si>
    <t>過年度損益修正損</t>
    <phoneticPr fontId="3"/>
  </si>
  <si>
    <t>雑支出（控除不可消費税等）資本費分</t>
    <rPh sb="0" eb="1">
      <t>ザツ</t>
    </rPh>
    <rPh sb="1" eb="3">
      <t>シシュツ</t>
    </rPh>
    <rPh sb="4" eb="6">
      <t>コウジョ</t>
    </rPh>
    <rPh sb="6" eb="8">
      <t>フカ</t>
    </rPh>
    <rPh sb="8" eb="11">
      <t>ショウヒゼイ</t>
    </rPh>
    <rPh sb="11" eb="12">
      <t>トウ</t>
    </rPh>
    <rPh sb="13" eb="15">
      <t>シホン</t>
    </rPh>
    <rPh sb="15" eb="16">
      <t>ヒ</t>
    </rPh>
    <rPh sb="16" eb="17">
      <t>ブン</t>
    </rPh>
    <phoneticPr fontId="3"/>
  </si>
  <si>
    <t>営外</t>
    <rPh sb="0" eb="1">
      <t>エイ</t>
    </rPh>
    <rPh sb="1" eb="2">
      <t>ガイ</t>
    </rPh>
    <phoneticPr fontId="3"/>
  </si>
  <si>
    <t>他会計負担金（減免分）</t>
    <rPh sb="0" eb="1">
      <t>タ</t>
    </rPh>
    <rPh sb="1" eb="3">
      <t>カイケイ</t>
    </rPh>
    <rPh sb="3" eb="6">
      <t>フタンキン</t>
    </rPh>
    <rPh sb="7" eb="9">
      <t>ゲンメン</t>
    </rPh>
    <rPh sb="9" eb="10">
      <t>ブン</t>
    </rPh>
    <phoneticPr fontId="3"/>
  </si>
  <si>
    <t>企業債手数料及び取扱費</t>
  </si>
  <si>
    <t>他会計負担金（利息償還分）</t>
    <rPh sb="0" eb="1">
      <t>タ</t>
    </rPh>
    <rPh sb="1" eb="3">
      <t>カイケイ</t>
    </rPh>
    <rPh sb="3" eb="6">
      <t>フタンキン</t>
    </rPh>
    <rPh sb="7" eb="9">
      <t>リソク</t>
    </rPh>
    <rPh sb="9" eb="11">
      <t>ショウカン</t>
    </rPh>
    <rPh sb="11" eb="12">
      <t>ブン</t>
    </rPh>
    <phoneticPr fontId="3"/>
  </si>
  <si>
    <t>支払利息及び企業債取扱諸費</t>
    <rPh sb="1" eb="2">
      <t>ハラ</t>
    </rPh>
    <phoneticPr fontId="3"/>
  </si>
  <si>
    <t>長期前受金戻入額
（除却分）</t>
    <rPh sb="0" eb="2">
      <t>チョウキ</t>
    </rPh>
    <rPh sb="2" eb="5">
      <t>マエウケキン</t>
    </rPh>
    <rPh sb="5" eb="7">
      <t>レイニュウ</t>
    </rPh>
    <rPh sb="7" eb="8">
      <t>ガク</t>
    </rPh>
    <rPh sb="10" eb="12">
      <t>ジョキャク</t>
    </rPh>
    <rPh sb="12" eb="13">
      <t>ブン</t>
    </rPh>
    <phoneticPr fontId="4"/>
  </si>
  <si>
    <t>資産減耗費（固定資産除却費）</t>
    <rPh sb="6" eb="8">
      <t>コテイ</t>
    </rPh>
    <rPh sb="8" eb="10">
      <t>シサン</t>
    </rPh>
    <rPh sb="10" eb="12">
      <t>ジョキャク</t>
    </rPh>
    <rPh sb="12" eb="13">
      <t>ヒ</t>
    </rPh>
    <phoneticPr fontId="3"/>
  </si>
  <si>
    <t>営業</t>
    <rPh sb="0" eb="2">
      <t>エイギョウ</t>
    </rPh>
    <phoneticPr fontId="3"/>
  </si>
  <si>
    <t>長期前受金戻入額（償却分）</t>
    <rPh sb="0" eb="2">
      <t>チョウキ</t>
    </rPh>
    <rPh sb="2" eb="5">
      <t>マエウケキン</t>
    </rPh>
    <rPh sb="5" eb="7">
      <t>レイニュウ</t>
    </rPh>
    <rPh sb="7" eb="8">
      <t>ガク</t>
    </rPh>
    <rPh sb="9" eb="11">
      <t>ショウキャク</t>
    </rPh>
    <rPh sb="11" eb="12">
      <t>ブン</t>
    </rPh>
    <phoneticPr fontId="4"/>
  </si>
  <si>
    <t>減価償却費</t>
  </si>
  <si>
    <t>その他特利（賞与引当戻入）</t>
    <rPh sb="3" eb="5">
      <t>トクリ</t>
    </rPh>
    <rPh sb="6" eb="8">
      <t>ショウヨ</t>
    </rPh>
    <rPh sb="8" eb="10">
      <t>ヒキアテ</t>
    </rPh>
    <rPh sb="10" eb="12">
      <t>レイニュウ</t>
    </rPh>
    <phoneticPr fontId="3"/>
  </si>
  <si>
    <t>その他特利（貸倒引当戻入）</t>
    <rPh sb="3" eb="6">
      <t>トクリ</t>
    </rPh>
    <rPh sb="6" eb="8">
      <t>カシダオレ</t>
    </rPh>
    <rPh sb="8" eb="10">
      <t>ヒキアテ</t>
    </rPh>
    <rPh sb="10" eb="12">
      <t>レイニュウ</t>
    </rPh>
    <phoneticPr fontId="3"/>
  </si>
  <si>
    <t>その他特利（その他）</t>
    <rPh sb="3" eb="6">
      <t>トクリ</t>
    </rPh>
    <rPh sb="8" eb="9">
      <t>タ</t>
    </rPh>
    <phoneticPr fontId="3"/>
  </si>
  <si>
    <t>過年度損益修正損</t>
  </si>
  <si>
    <t>純利益（△は純損失）</t>
    <rPh sb="0" eb="3">
      <t>ジュンリエキ</t>
    </rPh>
    <rPh sb="6" eb="7">
      <t>ジュン</t>
    </rPh>
    <rPh sb="7" eb="9">
      <t>ソンシツ</t>
    </rPh>
    <phoneticPr fontId="3"/>
  </si>
  <si>
    <t>固定資産売却益</t>
    <rPh sb="0" eb="2">
      <t>コテイ</t>
    </rPh>
    <rPh sb="2" eb="4">
      <t>シサン</t>
    </rPh>
    <rPh sb="4" eb="7">
      <t>バイキャクエキ</t>
    </rPh>
    <phoneticPr fontId="3"/>
  </si>
  <si>
    <t>固定資産売却損</t>
    <rPh sb="0" eb="2">
      <t>コテイ</t>
    </rPh>
    <rPh sb="2" eb="4">
      <t>シサン</t>
    </rPh>
    <rPh sb="4" eb="7">
      <t>バイキャクソン</t>
    </rPh>
    <phoneticPr fontId="3"/>
  </si>
  <si>
    <t>支払利息分</t>
    <rPh sb="0" eb="2">
      <t>シハライ</t>
    </rPh>
    <rPh sb="2" eb="4">
      <t>リソク</t>
    </rPh>
    <rPh sb="4" eb="5">
      <t>ブン</t>
    </rPh>
    <phoneticPr fontId="3"/>
  </si>
  <si>
    <t>減価償却費分</t>
    <rPh sb="0" eb="2">
      <t>ゲンカ</t>
    </rPh>
    <rPh sb="2" eb="4">
      <t>ショウキャク</t>
    </rPh>
    <rPh sb="4" eb="5">
      <t>ヒ</t>
    </rPh>
    <rPh sb="5" eb="6">
      <t>ブン</t>
    </rPh>
    <phoneticPr fontId="3"/>
  </si>
  <si>
    <t>汚水基準外の収支</t>
    <rPh sb="0" eb="2">
      <t>オスイ</t>
    </rPh>
    <rPh sb="2" eb="4">
      <t>キジュン</t>
    </rPh>
    <rPh sb="4" eb="5">
      <t>ガイ</t>
    </rPh>
    <rPh sb="6" eb="8">
      <t>シュウシ</t>
    </rPh>
    <phoneticPr fontId="3"/>
  </si>
  <si>
    <t>維持管理費分</t>
    <rPh sb="0" eb="2">
      <t>イジ</t>
    </rPh>
    <rPh sb="2" eb="4">
      <t>カンリ</t>
    </rPh>
    <rPh sb="4" eb="5">
      <t>ヒ</t>
    </rPh>
    <rPh sb="5" eb="6">
      <t>ブン</t>
    </rPh>
    <phoneticPr fontId="3"/>
  </si>
  <si>
    <t>雑支出（控除不可消費税等）維持費分</t>
    <rPh sb="0" eb="1">
      <t>ザツ</t>
    </rPh>
    <rPh sb="1" eb="3">
      <t>シシュツ</t>
    </rPh>
    <rPh sb="4" eb="6">
      <t>コウジョ</t>
    </rPh>
    <rPh sb="6" eb="8">
      <t>フカ</t>
    </rPh>
    <rPh sb="8" eb="11">
      <t>ショウヒゼイ</t>
    </rPh>
    <rPh sb="11" eb="12">
      <t>トウ</t>
    </rPh>
    <rPh sb="13" eb="15">
      <t>イジ</t>
    </rPh>
    <rPh sb="15" eb="16">
      <t>ヒ</t>
    </rPh>
    <rPh sb="16" eb="17">
      <t>ブン</t>
    </rPh>
    <phoneticPr fontId="3"/>
  </si>
  <si>
    <t>消費税及び地方消費税還付金</t>
    <rPh sb="0" eb="3">
      <t>ショウヒゼイ</t>
    </rPh>
    <rPh sb="3" eb="4">
      <t>オヨ</t>
    </rPh>
    <rPh sb="5" eb="7">
      <t>チホウ</t>
    </rPh>
    <rPh sb="7" eb="10">
      <t>ショウヒゼイ</t>
    </rPh>
    <rPh sb="10" eb="13">
      <t>カンプキン</t>
    </rPh>
    <phoneticPr fontId="3"/>
  </si>
  <si>
    <t>雑収益</t>
    <rPh sb="0" eb="3">
      <t>ザツシュウエキ</t>
    </rPh>
    <phoneticPr fontId="3"/>
  </si>
  <si>
    <t>雑支出（災害支援経費等）</t>
    <rPh sb="4" eb="6">
      <t>サイガイ</t>
    </rPh>
    <rPh sb="6" eb="8">
      <t>シエン</t>
    </rPh>
    <rPh sb="8" eb="10">
      <t>ケイヒ</t>
    </rPh>
    <rPh sb="10" eb="11">
      <t>トウ</t>
    </rPh>
    <phoneticPr fontId="3"/>
  </si>
  <si>
    <t>　その他補助金</t>
    <rPh sb="3" eb="4">
      <t>タ</t>
    </rPh>
    <rPh sb="4" eb="7">
      <t>ホジョキン</t>
    </rPh>
    <phoneticPr fontId="3"/>
  </si>
  <si>
    <t>雑支出（還付加算金+その他）</t>
    <rPh sb="4" eb="6">
      <t>カンプ</t>
    </rPh>
    <rPh sb="6" eb="9">
      <t>カサンキン</t>
    </rPh>
    <rPh sb="12" eb="13">
      <t>タ</t>
    </rPh>
    <phoneticPr fontId="3"/>
  </si>
  <si>
    <t>　　使用料減免分</t>
    <rPh sb="2" eb="5">
      <t>シヨウリョウ</t>
    </rPh>
    <rPh sb="5" eb="7">
      <t>ゲンメン</t>
    </rPh>
    <rPh sb="7" eb="8">
      <t>ブン</t>
    </rPh>
    <phoneticPr fontId="3"/>
  </si>
  <si>
    <t>受取利息</t>
  </si>
  <si>
    <t>一時借入金利息</t>
  </si>
  <si>
    <t>　　支払利息分</t>
    <rPh sb="2" eb="4">
      <t>シハライ</t>
    </rPh>
    <rPh sb="4" eb="6">
      <t>リソク</t>
    </rPh>
    <rPh sb="6" eb="7">
      <t>ブン</t>
    </rPh>
    <phoneticPr fontId="3"/>
  </si>
  <si>
    <t>　　減価償却費分</t>
    <rPh sb="2" eb="4">
      <t>ゲンカ</t>
    </rPh>
    <rPh sb="4" eb="6">
      <t>ショウキャク</t>
    </rPh>
    <rPh sb="6" eb="7">
      <t>ヒ</t>
    </rPh>
    <rPh sb="7" eb="8">
      <t>ブン</t>
    </rPh>
    <phoneticPr fontId="3"/>
  </si>
  <si>
    <t>資産減耗費（固定資産撤去費）</t>
    <rPh sb="6" eb="8">
      <t>コテイ</t>
    </rPh>
    <rPh sb="8" eb="10">
      <t>シサン</t>
    </rPh>
    <rPh sb="10" eb="12">
      <t>テッキョ</t>
    </rPh>
    <rPh sb="12" eb="13">
      <t>ヒ</t>
    </rPh>
    <phoneticPr fontId="3"/>
  </si>
  <si>
    <t>　　維持管理費分</t>
    <rPh sb="2" eb="4">
      <t>イジ</t>
    </rPh>
    <rPh sb="4" eb="6">
      <t>カンリ</t>
    </rPh>
    <rPh sb="6" eb="7">
      <t>ヒ</t>
    </rPh>
    <rPh sb="7" eb="8">
      <t>ブン</t>
    </rPh>
    <phoneticPr fontId="3"/>
  </si>
  <si>
    <t>国庫補助金(災害)</t>
    <rPh sb="0" eb="2">
      <t>コッコ</t>
    </rPh>
    <rPh sb="2" eb="5">
      <t>ホジョキン</t>
    </rPh>
    <rPh sb="6" eb="8">
      <t>サイガイ</t>
    </rPh>
    <phoneticPr fontId="3"/>
  </si>
  <si>
    <t>災害復旧費</t>
    <rPh sb="0" eb="2">
      <t>サイガイ</t>
    </rPh>
    <rPh sb="2" eb="4">
      <t>フッキュウ</t>
    </rPh>
    <rPh sb="4" eb="5">
      <t>ヒ</t>
    </rPh>
    <phoneticPr fontId="3"/>
  </si>
  <si>
    <t>　汚水処理補助金</t>
    <rPh sb="1" eb="3">
      <t>オスイ</t>
    </rPh>
    <rPh sb="3" eb="5">
      <t>ショリ</t>
    </rPh>
    <rPh sb="5" eb="8">
      <t>ホジョキン</t>
    </rPh>
    <phoneticPr fontId="3"/>
  </si>
  <si>
    <t>浄化槽費</t>
    <rPh sb="0" eb="3">
      <t>ジョウカソウ</t>
    </rPh>
    <phoneticPr fontId="3"/>
  </si>
  <si>
    <t>一般会計補助金</t>
    <rPh sb="0" eb="2">
      <t>イッパン</t>
    </rPh>
    <rPh sb="2" eb="4">
      <t>カイケイ</t>
    </rPh>
    <rPh sb="4" eb="7">
      <t>ホジョキン</t>
    </rPh>
    <phoneticPr fontId="3"/>
  </si>
  <si>
    <t>農集費</t>
    <rPh sb="0" eb="1">
      <t>ノウ</t>
    </rPh>
    <rPh sb="1" eb="2">
      <t>シュウ</t>
    </rPh>
    <phoneticPr fontId="3"/>
  </si>
  <si>
    <t>　貸付事業費負担金</t>
    <rPh sb="1" eb="3">
      <t>カシツケ</t>
    </rPh>
    <rPh sb="3" eb="5">
      <t>ジギョウ</t>
    </rPh>
    <rPh sb="5" eb="6">
      <t>ヒ</t>
    </rPh>
    <rPh sb="6" eb="9">
      <t>フタンキン</t>
    </rPh>
    <phoneticPr fontId="3"/>
  </si>
  <si>
    <t>特環費</t>
    <rPh sb="0" eb="2">
      <t>トッカン</t>
    </rPh>
    <phoneticPr fontId="3"/>
  </si>
  <si>
    <t>　普及促進費負担金</t>
    <phoneticPr fontId="3"/>
  </si>
  <si>
    <t>下水道使用料</t>
    <rPh sb="0" eb="3">
      <t>ゲスイドウ</t>
    </rPh>
    <rPh sb="3" eb="6">
      <t>シヨウリョウ</t>
    </rPh>
    <phoneticPr fontId="3"/>
  </si>
  <si>
    <t>総係費</t>
  </si>
  <si>
    <t>　水質指導費負担金</t>
    <rPh sb="1" eb="3">
      <t>スイシツ</t>
    </rPh>
    <rPh sb="3" eb="5">
      <t>シドウ</t>
    </rPh>
    <rPh sb="5" eb="6">
      <t>ヒ</t>
    </rPh>
    <rPh sb="6" eb="8">
      <t>フタン</t>
    </rPh>
    <rPh sb="8" eb="9">
      <t>キン</t>
    </rPh>
    <phoneticPr fontId="3"/>
  </si>
  <si>
    <t>業務費</t>
  </si>
  <si>
    <t>　　　企業債手数料等</t>
    <rPh sb="3" eb="5">
      <t>キギョウ</t>
    </rPh>
    <rPh sb="5" eb="6">
      <t>サイ</t>
    </rPh>
    <rPh sb="6" eb="9">
      <t>テスウリョウ</t>
    </rPh>
    <rPh sb="9" eb="10">
      <t>トウ</t>
    </rPh>
    <phoneticPr fontId="3"/>
  </si>
  <si>
    <t>水洗化貸付事業費</t>
  </si>
  <si>
    <t>　　　企業債利息分</t>
    <rPh sb="3" eb="5">
      <t>キギョウ</t>
    </rPh>
    <rPh sb="5" eb="6">
      <t>サイ</t>
    </rPh>
    <rPh sb="6" eb="8">
      <t>リソク</t>
    </rPh>
    <rPh sb="8" eb="9">
      <t>ブン</t>
    </rPh>
    <phoneticPr fontId="3"/>
  </si>
  <si>
    <t>その他 手数料（指定工事店登録）</t>
    <rPh sb="4" eb="7">
      <t>テスウリョウ</t>
    </rPh>
    <rPh sb="8" eb="10">
      <t>シテイ</t>
    </rPh>
    <rPh sb="10" eb="12">
      <t>コウジ</t>
    </rPh>
    <rPh sb="12" eb="13">
      <t>テン</t>
    </rPh>
    <rPh sb="13" eb="15">
      <t>トウロク</t>
    </rPh>
    <phoneticPr fontId="3"/>
  </si>
  <si>
    <t>普及促進費</t>
  </si>
  <si>
    <t>受託工事収益</t>
    <rPh sb="0" eb="2">
      <t>ジュタク</t>
    </rPh>
    <rPh sb="2" eb="4">
      <t>コウジ</t>
    </rPh>
    <rPh sb="4" eb="6">
      <t>シュウエキ</t>
    </rPh>
    <phoneticPr fontId="3"/>
  </si>
  <si>
    <t>受託工事費</t>
  </si>
  <si>
    <t>その他 産物売却代金</t>
    <rPh sb="2" eb="3">
      <t>タ</t>
    </rPh>
    <rPh sb="4" eb="6">
      <t>サンブツ</t>
    </rPh>
    <rPh sb="6" eb="8">
      <t>バイキャク</t>
    </rPh>
    <rPh sb="8" eb="10">
      <t>ダイキン</t>
    </rPh>
    <phoneticPr fontId="3"/>
  </si>
  <si>
    <t>処理場費</t>
  </si>
  <si>
    <t>施設管理負担金</t>
    <rPh sb="0" eb="2">
      <t>シセツ</t>
    </rPh>
    <rPh sb="2" eb="4">
      <t>カンリ</t>
    </rPh>
    <rPh sb="4" eb="7">
      <t>フタンキン</t>
    </rPh>
    <phoneticPr fontId="3"/>
  </si>
  <si>
    <t>ポンプ場費</t>
  </si>
  <si>
    <t>　雨水処理負担金</t>
    <rPh sb="1" eb="3">
      <t>ウスイ</t>
    </rPh>
    <rPh sb="3" eb="5">
      <t>ショリ</t>
    </rPh>
    <rPh sb="5" eb="8">
      <t>フタンキン</t>
    </rPh>
    <phoneticPr fontId="3"/>
  </si>
  <si>
    <t>その他 業務受託収入</t>
    <rPh sb="4" eb="6">
      <t>ギョウム</t>
    </rPh>
    <rPh sb="6" eb="8">
      <t>ジュタク</t>
    </rPh>
    <rPh sb="8" eb="10">
      <t>シュウニュウ</t>
    </rPh>
    <phoneticPr fontId="3"/>
  </si>
  <si>
    <t>水質指導費</t>
  </si>
  <si>
    <t>一般会計負担金</t>
    <rPh sb="0" eb="2">
      <t>イッパン</t>
    </rPh>
    <rPh sb="2" eb="4">
      <t>カイケイ</t>
    </rPh>
    <rPh sb="4" eb="7">
      <t>フタンキン</t>
    </rPh>
    <phoneticPr fontId="3"/>
  </si>
  <si>
    <t>その他 手数料（境界証明等）</t>
    <rPh sb="2" eb="3">
      <t>タ</t>
    </rPh>
    <rPh sb="4" eb="7">
      <t>テスウリョウ</t>
    </rPh>
    <rPh sb="8" eb="10">
      <t>キョウカイ</t>
    </rPh>
    <rPh sb="10" eb="12">
      <t>ショウメイ</t>
    </rPh>
    <rPh sb="12" eb="13">
      <t>トウ</t>
    </rPh>
    <phoneticPr fontId="3"/>
  </si>
  <si>
    <t>管きょ費</t>
  </si>
  <si>
    <t>使用料徴収区域内</t>
    <rPh sb="0" eb="3">
      <t>シヨウリョウ</t>
    </rPh>
    <rPh sb="3" eb="5">
      <t>チョウシュウ</t>
    </rPh>
    <rPh sb="5" eb="8">
      <t>クイキナイ</t>
    </rPh>
    <phoneticPr fontId="3"/>
  </si>
  <si>
    <t>使用料徴収区域外</t>
    <rPh sb="0" eb="3">
      <t>シヨウリョウ</t>
    </rPh>
    <rPh sb="3" eb="5">
      <t>チョウシュウ</t>
    </rPh>
    <rPh sb="5" eb="8">
      <t>クイキガイ</t>
    </rPh>
    <phoneticPr fontId="3"/>
  </si>
  <si>
    <t>繰出基準外</t>
    <rPh sb="0" eb="1">
      <t>クリ</t>
    </rPh>
    <rPh sb="1" eb="2">
      <t>ダ</t>
    </rPh>
    <rPh sb="2" eb="4">
      <t>キジュン</t>
    </rPh>
    <rPh sb="4" eb="5">
      <t>ガイ</t>
    </rPh>
    <phoneticPr fontId="3"/>
  </si>
  <si>
    <t>計</t>
    <rPh sb="0" eb="1">
      <t>ケイ</t>
    </rPh>
    <phoneticPr fontId="3"/>
  </si>
  <si>
    <t>繰出基準内</t>
    <rPh sb="0" eb="1">
      <t>クリ</t>
    </rPh>
    <rPh sb="1" eb="2">
      <t>ダ</t>
    </rPh>
    <rPh sb="2" eb="4">
      <t>キジュン</t>
    </rPh>
    <rPh sb="4" eb="5">
      <t>ナイ</t>
    </rPh>
    <phoneticPr fontId="3"/>
  </si>
  <si>
    <t>チェック</t>
    <phoneticPr fontId="3"/>
  </si>
  <si>
    <t>一般行政経費</t>
  </si>
  <si>
    <t>汚水</t>
    <rPh sb="0" eb="2">
      <t>オスイ</t>
    </rPh>
    <phoneticPr fontId="3"/>
  </si>
  <si>
    <t>雨水</t>
    <rPh sb="0" eb="2">
      <t>ウスイ</t>
    </rPh>
    <phoneticPr fontId="3"/>
  </si>
  <si>
    <t>税抜決算額
【最終繰入額】</t>
    <rPh sb="0" eb="1">
      <t>ゼイ</t>
    </rPh>
    <rPh sb="1" eb="2">
      <t>ヌ</t>
    </rPh>
    <rPh sb="2" eb="4">
      <t>ケッサン</t>
    </rPh>
    <rPh sb="4" eb="5">
      <t>ガク</t>
    </rPh>
    <rPh sb="7" eb="9">
      <t>サイシュウ</t>
    </rPh>
    <rPh sb="9" eb="11">
      <t>クリイレ</t>
    </rPh>
    <rPh sb="11" eb="12">
      <t>ガク</t>
    </rPh>
    <phoneticPr fontId="3"/>
  </si>
  <si>
    <t>チェック</t>
    <phoneticPr fontId="3"/>
  </si>
  <si>
    <t>税抜決算額</t>
    <rPh sb="0" eb="1">
      <t>ゼイ</t>
    </rPh>
    <rPh sb="1" eb="2">
      <t>ヌ</t>
    </rPh>
    <rPh sb="2" eb="4">
      <t>ケッサン</t>
    </rPh>
    <rPh sb="4" eb="5">
      <t>ガク</t>
    </rPh>
    <phoneticPr fontId="3"/>
  </si>
  <si>
    <t>税込決算額</t>
    <rPh sb="0" eb="2">
      <t>ゼイコミ</t>
    </rPh>
    <rPh sb="2" eb="4">
      <t>ケッサン</t>
    </rPh>
    <rPh sb="4" eb="5">
      <t>ガク</t>
    </rPh>
    <phoneticPr fontId="3"/>
  </si>
  <si>
    <t>税抜決算額</t>
    <rPh sb="0" eb="2">
      <t>ゼイヌキ</t>
    </rPh>
    <rPh sb="2" eb="4">
      <t>ケッサン</t>
    </rPh>
    <rPh sb="4" eb="5">
      <t>ガク</t>
    </rPh>
    <phoneticPr fontId="3"/>
  </si>
  <si>
    <t>一般会計繰入金　税抜き決算額　（控除不可消費税等の雑支出の配分後　最終）</t>
    <rPh sb="0" eb="2">
      <t>イッパン</t>
    </rPh>
    <rPh sb="2" eb="4">
      <t>カイケイ</t>
    </rPh>
    <rPh sb="4" eb="6">
      <t>クリイレ</t>
    </rPh>
    <rPh sb="6" eb="7">
      <t>キン</t>
    </rPh>
    <rPh sb="8" eb="9">
      <t>シュウゼイ</t>
    </rPh>
    <rPh sb="9" eb="10">
      <t>ヌ</t>
    </rPh>
    <rPh sb="11" eb="13">
      <t>ケッサン</t>
    </rPh>
    <rPh sb="13" eb="14">
      <t>ガク</t>
    </rPh>
    <rPh sb="31" eb="32">
      <t>ゴ</t>
    </rPh>
    <rPh sb="33" eb="35">
      <t>サイシュウ</t>
    </rPh>
    <phoneticPr fontId="3"/>
  </si>
  <si>
    <t>収入の名目</t>
    <rPh sb="0" eb="2">
      <t>シュウニュウ</t>
    </rPh>
    <rPh sb="3" eb="5">
      <t>メイモク</t>
    </rPh>
    <phoneticPr fontId="3"/>
  </si>
  <si>
    <t>３条収入　税抜き</t>
    <rPh sb="1" eb="2">
      <t>ジョウ</t>
    </rPh>
    <rPh sb="2" eb="4">
      <t>シュウニュウ</t>
    </rPh>
    <rPh sb="5" eb="6">
      <t>ゼイ</t>
    </rPh>
    <rPh sb="6" eb="7">
      <t>ヌ</t>
    </rPh>
    <phoneticPr fontId="3"/>
  </si>
  <si>
    <t>費目</t>
    <rPh sb="0" eb="2">
      <t>ヒモク</t>
    </rPh>
    <phoneticPr fontId="3"/>
  </si>
  <si>
    <t>３条収入　税込み</t>
    <rPh sb="1" eb="2">
      <t>ジョウ</t>
    </rPh>
    <rPh sb="2" eb="4">
      <t>シュウニュウ</t>
    </rPh>
    <rPh sb="5" eb="7">
      <t>ゼイコ</t>
    </rPh>
    <phoneticPr fontId="3"/>
  </si>
  <si>
    <t>３条支出　税抜き</t>
    <rPh sb="1" eb="2">
      <t>ジョウ</t>
    </rPh>
    <rPh sb="2" eb="4">
      <t>シシュツ</t>
    </rPh>
    <rPh sb="5" eb="6">
      <t>ゼイ</t>
    </rPh>
    <rPh sb="6" eb="7">
      <t>ヌ</t>
    </rPh>
    <phoneticPr fontId="3"/>
  </si>
  <si>
    <t>３条支出　税込み</t>
    <rPh sb="1" eb="2">
      <t>ジョウ</t>
    </rPh>
    <rPh sb="2" eb="4">
      <t>シシュツ</t>
    </rPh>
    <rPh sb="5" eb="7">
      <t>ゼイコ</t>
    </rPh>
    <phoneticPr fontId="3"/>
  </si>
  <si>
    <t>区分</t>
    <rPh sb="0" eb="2">
      <t>クブン</t>
    </rPh>
    <phoneticPr fontId="3"/>
  </si>
  <si>
    <t>【３条収入雨汚水分け表】</t>
    <rPh sb="2" eb="3">
      <t>ジョウ</t>
    </rPh>
    <rPh sb="3" eb="5">
      <t>シュウニュウ</t>
    </rPh>
    <rPh sb="5" eb="6">
      <t>ウ</t>
    </rPh>
    <rPh sb="6" eb="8">
      <t>オスイ</t>
    </rPh>
    <rPh sb="8" eb="9">
      <t>ワ</t>
    </rPh>
    <rPh sb="10" eb="11">
      <t>ヒョウ</t>
    </rPh>
    <phoneticPr fontId="3"/>
  </si>
  <si>
    <t>【３条支出雨汚水分け表】（消費税雑支出加算後）</t>
    <rPh sb="2" eb="3">
      <t>ジョウ</t>
    </rPh>
    <rPh sb="3" eb="5">
      <t>シシュツ</t>
    </rPh>
    <rPh sb="5" eb="6">
      <t>ウ</t>
    </rPh>
    <rPh sb="6" eb="8">
      <t>オスイ</t>
    </rPh>
    <rPh sb="8" eb="9">
      <t>ワ</t>
    </rPh>
    <rPh sb="10" eb="11">
      <t>ヒョウ</t>
    </rPh>
    <rPh sb="13" eb="16">
      <t>ショウヒゼイ</t>
    </rPh>
    <rPh sb="16" eb="17">
      <t>ザツ</t>
    </rPh>
    <rPh sb="17" eb="19">
      <t>シシュツ</t>
    </rPh>
    <rPh sb="19" eb="21">
      <t>カサン</t>
    </rPh>
    <rPh sb="21" eb="22">
      <t>ゴ</t>
    </rPh>
    <phoneticPr fontId="3"/>
  </si>
  <si>
    <t>雑収益（消費税）の充当額</t>
    <rPh sb="0" eb="1">
      <t>ザツ</t>
    </rPh>
    <rPh sb="4" eb="7">
      <t>ショウヒゼイ</t>
    </rPh>
    <rPh sb="9" eb="11">
      <t>ジュウトウ</t>
    </rPh>
    <rPh sb="11" eb="12">
      <t>ガク</t>
    </rPh>
    <phoneticPr fontId="3"/>
  </si>
  <si>
    <t>汚水基準外への充当額</t>
    <rPh sb="0" eb="2">
      <t>オスイ</t>
    </rPh>
    <rPh sb="2" eb="4">
      <t>キジュン</t>
    </rPh>
    <rPh sb="4" eb="5">
      <t>ガイ</t>
    </rPh>
    <rPh sb="7" eb="9">
      <t>ジュウトウ</t>
    </rPh>
    <rPh sb="9" eb="10">
      <t>ガク</t>
    </rPh>
    <phoneticPr fontId="3"/>
  </si>
  <si>
    <t>過年度損益修正損</t>
    <phoneticPr fontId="3"/>
  </si>
  <si>
    <t>　普及促進費負担金</t>
    <phoneticPr fontId="3"/>
  </si>
  <si>
    <t>企業債利息</t>
    <rPh sb="3" eb="5">
      <t>リソク</t>
    </rPh>
    <phoneticPr fontId="3"/>
  </si>
  <si>
    <t>⓪-④</t>
    <phoneticPr fontId="3"/>
  </si>
  <si>
    <t>チェック</t>
    <phoneticPr fontId="3"/>
  </si>
  <si>
    <t>控除不可消費税等雑支出の割付</t>
    <rPh sb="0" eb="2">
      <t>コウジョ</t>
    </rPh>
    <rPh sb="2" eb="4">
      <t>フカ</t>
    </rPh>
    <rPh sb="4" eb="7">
      <t>ショウヒゼイ</t>
    </rPh>
    <rPh sb="7" eb="8">
      <t>トウ</t>
    </rPh>
    <rPh sb="8" eb="9">
      <t>ザツ</t>
    </rPh>
    <rPh sb="9" eb="11">
      <t>シシュツ</t>
    </rPh>
    <rPh sb="12" eb="14">
      <t>ワリツケ</t>
    </rPh>
    <phoneticPr fontId="3"/>
  </si>
  <si>
    <t>税込額との調整</t>
    <rPh sb="0" eb="2">
      <t>ゼイコ</t>
    </rPh>
    <rPh sb="2" eb="3">
      <t>ガク</t>
    </rPh>
    <rPh sb="5" eb="7">
      <t>チョウセイ</t>
    </rPh>
    <phoneticPr fontId="3"/>
  </si>
  <si>
    <t>①+②+③=④</t>
    <phoneticPr fontId="3"/>
  </si>
  <si>
    <t>課税売上割合を乗じることにより控除できなくなった額③</t>
    <phoneticPr fontId="3"/>
  </si>
  <si>
    <t>特定収入に係る課税仕入れに係る消費税額②</t>
    <rPh sb="0" eb="2">
      <t>トクテイ</t>
    </rPh>
    <rPh sb="2" eb="4">
      <t>シュウニュウ</t>
    </rPh>
    <rPh sb="5" eb="6">
      <t>カカ</t>
    </rPh>
    <rPh sb="7" eb="9">
      <t>カゼイ</t>
    </rPh>
    <rPh sb="9" eb="11">
      <t>シイ</t>
    </rPh>
    <rPh sb="13" eb="14">
      <t>カカ</t>
    </rPh>
    <rPh sb="15" eb="18">
      <t>ショウヒゼイ</t>
    </rPh>
    <rPh sb="18" eb="19">
      <t>ガク</t>
    </rPh>
    <phoneticPr fontId="3"/>
  </si>
  <si>
    <t>控除不可消費税等の雑支出の配分</t>
    <rPh sb="0" eb="2">
      <t>コウジョ</t>
    </rPh>
    <rPh sb="2" eb="4">
      <t>フカ</t>
    </rPh>
    <rPh sb="4" eb="7">
      <t>ショウヒゼイ</t>
    </rPh>
    <rPh sb="7" eb="8">
      <t>トウ</t>
    </rPh>
    <rPh sb="9" eb="10">
      <t>ザツ</t>
    </rPh>
    <rPh sb="10" eb="12">
      <t>シシュツ</t>
    </rPh>
    <rPh sb="13" eb="15">
      <t>ハイブン</t>
    </rPh>
    <phoneticPr fontId="3"/>
  </si>
  <si>
    <t>差引不足額（充足は0）→</t>
    <rPh sb="0" eb="2">
      <t>サシヒキ</t>
    </rPh>
    <rPh sb="2" eb="4">
      <t>ブソク</t>
    </rPh>
    <rPh sb="4" eb="5">
      <t>ガク</t>
    </rPh>
    <rPh sb="6" eb="8">
      <t>ジュウソク</t>
    </rPh>
    <phoneticPr fontId="3"/>
  </si>
  <si>
    <t>営外</t>
  </si>
  <si>
    <t>維持</t>
  </si>
  <si>
    <t>農業集落排水費</t>
    <rPh sb="0" eb="2">
      <t>ノウギョウ</t>
    </rPh>
    <rPh sb="2" eb="4">
      <t>シュウラク</t>
    </rPh>
    <rPh sb="4" eb="6">
      <t>ハイスイ</t>
    </rPh>
    <rPh sb="6" eb="7">
      <t>ヒ</t>
    </rPh>
    <phoneticPr fontId="3"/>
  </si>
  <si>
    <t>特環公共下水道費</t>
    <rPh sb="0" eb="2">
      <t>トッカン</t>
    </rPh>
    <rPh sb="2" eb="4">
      <t>コウキョウ</t>
    </rPh>
    <rPh sb="4" eb="7">
      <t>ゲスイドウ</t>
    </rPh>
    <rPh sb="7" eb="8">
      <t>ヒ</t>
    </rPh>
    <phoneticPr fontId="3"/>
  </si>
  <si>
    <t>チェック</t>
    <phoneticPr fontId="3"/>
  </si>
  <si>
    <t>税抜決算額①</t>
    <rPh sb="0" eb="1">
      <t>ゼイ</t>
    </rPh>
    <rPh sb="1" eb="2">
      <t>ヌ</t>
    </rPh>
    <rPh sb="2" eb="4">
      <t>ケッサン</t>
    </rPh>
    <rPh sb="4" eb="5">
      <t>ガク</t>
    </rPh>
    <phoneticPr fontId="3"/>
  </si>
  <si>
    <t>税込額⓪
（支出-特財）</t>
    <rPh sb="0" eb="1">
      <t>ゼイ</t>
    </rPh>
    <rPh sb="1" eb="2">
      <t>コ</t>
    </rPh>
    <rPh sb="2" eb="3">
      <t>ガク</t>
    </rPh>
    <rPh sb="6" eb="8">
      <t>シシュツ</t>
    </rPh>
    <rPh sb="9" eb="10">
      <t>トク</t>
    </rPh>
    <rPh sb="10" eb="11">
      <t>ザイ</t>
    </rPh>
    <phoneticPr fontId="3"/>
  </si>
  <si>
    <t>一般会計繰入金　税抜き決算額　（控除不可消費税等の雑支出の配分前）</t>
    <rPh sb="0" eb="2">
      <t>イッパン</t>
    </rPh>
    <rPh sb="2" eb="4">
      <t>カイケイ</t>
    </rPh>
    <rPh sb="4" eb="6">
      <t>クリイレ</t>
    </rPh>
    <rPh sb="6" eb="7">
      <t>キン</t>
    </rPh>
    <rPh sb="8" eb="9">
      <t>シュウゼイ</t>
    </rPh>
    <rPh sb="9" eb="10">
      <t>ヌ</t>
    </rPh>
    <rPh sb="11" eb="13">
      <t>ケッサン</t>
    </rPh>
    <rPh sb="13" eb="14">
      <t>ガク</t>
    </rPh>
    <rPh sb="31" eb="32">
      <t>マエ</t>
    </rPh>
    <phoneticPr fontId="3"/>
  </si>
  <si>
    <t>【一般会計繰入金】</t>
    <rPh sb="1" eb="3">
      <t>イッパン</t>
    </rPh>
    <rPh sb="3" eb="5">
      <t>カイケイ</t>
    </rPh>
    <rPh sb="5" eb="7">
      <t>クリイレ</t>
    </rPh>
    <rPh sb="7" eb="8">
      <t>キン</t>
    </rPh>
    <phoneticPr fontId="3"/>
  </si>
  <si>
    <t>【３条支出雨汚水分け表】</t>
    <rPh sb="2" eb="3">
      <t>ジョウ</t>
    </rPh>
    <rPh sb="3" eb="5">
      <t>シシュツ</t>
    </rPh>
    <rPh sb="5" eb="6">
      <t>ウ</t>
    </rPh>
    <rPh sb="6" eb="8">
      <t>オスイ</t>
    </rPh>
    <rPh sb="8" eb="9">
      <t>ワ</t>
    </rPh>
    <rPh sb="10" eb="11">
      <t>ヒョウ</t>
    </rPh>
    <phoneticPr fontId="3"/>
  </si>
  <si>
    <t>賞与引当金戻入益</t>
  </si>
  <si>
    <t>その他特別利益</t>
  </si>
  <si>
    <t>特別利益</t>
  </si>
  <si>
    <t>下水道事業収益</t>
  </si>
  <si>
    <t>483060800</t>
  </si>
  <si>
    <t>貸倒引当金戻入益</t>
  </si>
  <si>
    <t>483060700</t>
  </si>
  <si>
    <t>483060600</t>
  </si>
  <si>
    <t>過年度損益修正益</t>
  </si>
  <si>
    <t>483040400</t>
  </si>
  <si>
    <t>その他雑収益</t>
  </si>
  <si>
    <t>雑収益</t>
  </si>
  <si>
    <t>営業外収益</t>
  </si>
  <si>
    <t>482124000</t>
  </si>
  <si>
    <t>他会計負担金</t>
  </si>
  <si>
    <t>負担金</t>
  </si>
  <si>
    <t>482093300</t>
  </si>
  <si>
    <t>施設管理負担金</t>
  </si>
  <si>
    <t>482093200</t>
  </si>
  <si>
    <t>預金利息</t>
  </si>
  <si>
    <t>482022100</t>
  </si>
  <si>
    <t>指定業者登録等手数料</t>
  </si>
  <si>
    <t>手数料</t>
  </si>
  <si>
    <t>その他営業収益</t>
  </si>
  <si>
    <t>営業収益</t>
  </si>
  <si>
    <t>481141916</t>
  </si>
  <si>
    <t>証明手数料</t>
  </si>
  <si>
    <t>481141915</t>
  </si>
  <si>
    <t>業務受託収益</t>
  </si>
  <si>
    <t>481141700</t>
  </si>
  <si>
    <t>産物売却代金</t>
  </si>
  <si>
    <t>481141500</t>
  </si>
  <si>
    <t>計</t>
    <rPh sb="0" eb="1">
      <t>ケイ</t>
    </rPh>
    <phoneticPr fontId="15"/>
  </si>
  <si>
    <t>基準外</t>
    <rPh sb="0" eb="2">
      <t>キジュン</t>
    </rPh>
    <rPh sb="2" eb="3">
      <t>ガイ</t>
    </rPh>
    <phoneticPr fontId="15"/>
  </si>
  <si>
    <t>基準内</t>
    <rPh sb="0" eb="2">
      <t>キジュン</t>
    </rPh>
    <rPh sb="2" eb="3">
      <t>ナイ</t>
    </rPh>
    <phoneticPr fontId="15"/>
  </si>
  <si>
    <t>区域外</t>
    <rPh sb="0" eb="3">
      <t>クイキガイ</t>
    </rPh>
    <phoneticPr fontId="15"/>
  </si>
  <si>
    <t>区域内</t>
    <rPh sb="0" eb="3">
      <t>クイキナイ</t>
    </rPh>
    <phoneticPr fontId="15"/>
  </si>
  <si>
    <t>集計用税率</t>
    <rPh sb="0" eb="3">
      <t>シュウケイヨウ</t>
    </rPh>
    <rPh sb="3" eb="5">
      <t>ゼイリツ</t>
    </rPh>
    <phoneticPr fontId="15"/>
  </si>
  <si>
    <t>集計用課税区分</t>
    <rPh sb="0" eb="3">
      <t>シュウケイヨウ</t>
    </rPh>
    <rPh sb="3" eb="5">
      <t>カゼイ</t>
    </rPh>
    <rPh sb="5" eb="7">
      <t>クブン</t>
    </rPh>
    <phoneticPr fontId="15"/>
  </si>
  <si>
    <t>重複</t>
    <rPh sb="0" eb="2">
      <t>チョウフク</t>
    </rPh>
    <phoneticPr fontId="15"/>
  </si>
  <si>
    <t>備考</t>
  </si>
  <si>
    <t>正しい税率</t>
    <rPh sb="3" eb="5">
      <t>ゼイリツ</t>
    </rPh>
    <phoneticPr fontId="15"/>
  </si>
  <si>
    <t>正しい課税区分</t>
  </si>
  <si>
    <t>確認状況</t>
  </si>
  <si>
    <t>複合伝票番号</t>
    <rPh sb="0" eb="2">
      <t>フクゴウ</t>
    </rPh>
    <rPh sb="2" eb="4">
      <t>デンピョウ</t>
    </rPh>
    <rPh sb="4" eb="6">
      <t>バンゴウ</t>
    </rPh>
    <phoneticPr fontId="15"/>
  </si>
  <si>
    <t>債権者</t>
  </si>
  <si>
    <t>税抜金額</t>
  </si>
  <si>
    <t>税額</t>
  </si>
  <si>
    <t>税率</t>
  </si>
  <si>
    <t>税区分</t>
  </si>
  <si>
    <t>貸方金額</t>
  </si>
  <si>
    <t>貸方勘定科目</t>
  </si>
  <si>
    <t>貸方勘定</t>
  </si>
  <si>
    <t>借方金額</t>
  </si>
  <si>
    <t>借方勘定科目</t>
  </si>
  <si>
    <t>借方勘定</t>
  </si>
  <si>
    <t>執行額</t>
  </si>
  <si>
    <t>確定額</t>
  </si>
  <si>
    <t>概算額</t>
  </si>
  <si>
    <t>予算額</t>
  </si>
  <si>
    <t>事業名</t>
  </si>
  <si>
    <t>事業コード</t>
  </si>
  <si>
    <t>細節名称</t>
  </si>
  <si>
    <t>節名称</t>
  </si>
  <si>
    <t>目名称</t>
  </si>
  <si>
    <t>項名称</t>
  </si>
  <si>
    <t>款名称</t>
  </si>
  <si>
    <t>予算科目</t>
  </si>
  <si>
    <t>現繰</t>
  </si>
  <si>
    <t>内訳番号</t>
  </si>
  <si>
    <t>枝番</t>
  </si>
  <si>
    <t>伝票番号</t>
  </si>
  <si>
    <t>種別</t>
  </si>
  <si>
    <t>事項</t>
  </si>
  <si>
    <t>振替年月日</t>
  </si>
  <si>
    <t>年月日</t>
  </si>
  <si>
    <t>主管課名</t>
  </si>
  <si>
    <t>主管課</t>
  </si>
  <si>
    <t>所属名</t>
  </si>
  <si>
    <t>所属</t>
  </si>
  <si>
    <t>事業区分</t>
  </si>
  <si>
    <t>備考</t>
    <rPh sb="0" eb="2">
      <t>ビコウ</t>
    </rPh>
    <phoneticPr fontId="3"/>
  </si>
  <si>
    <t>合計
（税抜）</t>
    <rPh sb="0" eb="2">
      <t>ゴウケイ</t>
    </rPh>
    <phoneticPr fontId="15"/>
  </si>
  <si>
    <t>汚水（税抜）</t>
    <rPh sb="0" eb="2">
      <t>オスイ</t>
    </rPh>
    <phoneticPr fontId="15"/>
  </si>
  <si>
    <t>チェック</t>
    <phoneticPr fontId="15"/>
  </si>
  <si>
    <t>合計
（税込）</t>
    <rPh sb="0" eb="2">
      <t>ゴウケイ</t>
    </rPh>
    <phoneticPr fontId="15"/>
  </si>
  <si>
    <t>汚水（税込）</t>
    <rPh sb="0" eb="2">
      <t>オスイ</t>
    </rPh>
    <phoneticPr fontId="15"/>
  </si>
  <si>
    <t>雨水（税込）</t>
    <rPh sb="0" eb="2">
      <t>ウスイ</t>
    </rPh>
    <rPh sb="3" eb="5">
      <t>ゼイコミ</t>
    </rPh>
    <phoneticPr fontId="15"/>
  </si>
  <si>
    <t/>
  </si>
  <si>
    <t>----</t>
  </si>
  <si>
    <t>固定資産売却益</t>
  </si>
  <si>
    <t>483020200</t>
  </si>
  <si>
    <t>不用品売却収益</t>
    <phoneticPr fontId="3"/>
  </si>
  <si>
    <t>482123600</t>
    <phoneticPr fontId="3"/>
  </si>
  <si>
    <t>482113700</t>
  </si>
  <si>
    <t>481121400</t>
    <phoneticPr fontId="3"/>
  </si>
  <si>
    <t>3条収入ｼｰﾄ集計値</t>
    <rPh sb="1" eb="2">
      <t>ジョウ</t>
    </rPh>
    <rPh sb="2" eb="4">
      <t>シュウニュウ</t>
    </rPh>
    <rPh sb="7" eb="9">
      <t>シュウケイ</t>
    </rPh>
    <rPh sb="9" eb="10">
      <t>チ</t>
    </rPh>
    <phoneticPr fontId="3"/>
  </si>
  <si>
    <t>税抜き
要調整額</t>
    <rPh sb="0" eb="1">
      <t>ゼイ</t>
    </rPh>
    <rPh sb="1" eb="2">
      <t>ヌ</t>
    </rPh>
    <rPh sb="4" eb="5">
      <t>ヨウ</t>
    </rPh>
    <rPh sb="5" eb="7">
      <t>チョウセイ</t>
    </rPh>
    <rPh sb="7" eb="8">
      <t>ガク</t>
    </rPh>
    <phoneticPr fontId="3"/>
  </si>
  <si>
    <t>チェック</t>
    <phoneticPr fontId="15"/>
  </si>
  <si>
    <t>不課税分に係る特定収入仮払消費税額の配賦表↓</t>
    <rPh sb="0" eb="1">
      <t>フ</t>
    </rPh>
    <rPh sb="1" eb="3">
      <t>カゼイ</t>
    </rPh>
    <rPh sb="3" eb="4">
      <t>ブン</t>
    </rPh>
    <rPh sb="5" eb="6">
      <t>カカ</t>
    </rPh>
    <rPh sb="7" eb="9">
      <t>トクテイ</t>
    </rPh>
    <rPh sb="9" eb="11">
      <t>シュウニュウ</t>
    </rPh>
    <rPh sb="11" eb="13">
      <t>カリバラ</t>
    </rPh>
    <rPh sb="13" eb="15">
      <t>ショウヒ</t>
    </rPh>
    <rPh sb="15" eb="17">
      <t>ゼイガク</t>
    </rPh>
    <rPh sb="18" eb="20">
      <t>ハイフ</t>
    </rPh>
    <rPh sb="20" eb="21">
      <t>ヒョウ</t>
    </rPh>
    <phoneticPr fontId="3"/>
  </si>
  <si>
    <t>集計表（うち、不課税分）↓</t>
    <rPh sb="0" eb="2">
      <t>シュウケイ</t>
    </rPh>
    <rPh sb="2" eb="3">
      <t>ヒョウ</t>
    </rPh>
    <rPh sb="7" eb="8">
      <t>フ</t>
    </rPh>
    <rPh sb="8" eb="10">
      <t>カゼイ</t>
    </rPh>
    <rPh sb="10" eb="11">
      <t>ブン</t>
    </rPh>
    <phoneticPr fontId="3"/>
  </si>
  <si>
    <t>集計表（全体）↓</t>
    <rPh sb="0" eb="2">
      <t>シュウケイ</t>
    </rPh>
    <rPh sb="2" eb="3">
      <t>ヒョウ</t>
    </rPh>
    <rPh sb="4" eb="5">
      <t>ゼン</t>
    </rPh>
    <rPh sb="5" eb="6">
      <t>タイ</t>
    </rPh>
    <phoneticPr fontId="3"/>
  </si>
  <si>
    <t>特別損失</t>
  </si>
  <si>
    <t>下水道事業費用</t>
  </si>
  <si>
    <t>885060600</t>
  </si>
  <si>
    <t>雑支出</t>
  </si>
  <si>
    <t>営業外費用</t>
  </si>
  <si>
    <t>884066300</t>
  </si>
  <si>
    <t>還付加算金</t>
  </si>
  <si>
    <t>884066200</t>
  </si>
  <si>
    <t>支払利息及び企業債取扱諸費</t>
  </si>
  <si>
    <t>884025400</t>
  </si>
  <si>
    <t>885080800</t>
  </si>
  <si>
    <t>固定資産売却損</t>
    <rPh sb="6" eb="7">
      <t>ソン</t>
    </rPh>
    <phoneticPr fontId="3"/>
  </si>
  <si>
    <t>885020200</t>
    <phoneticPr fontId="3"/>
  </si>
  <si>
    <t>3条支出ｼｰﾄ集計値</t>
    <rPh sb="1" eb="2">
      <t>ジョウ</t>
    </rPh>
    <rPh sb="2" eb="4">
      <t>シシュツ</t>
    </rPh>
    <rPh sb="7" eb="9">
      <t>シュウケイ</t>
    </rPh>
    <rPh sb="9" eb="10">
      <t>チ</t>
    </rPh>
    <phoneticPr fontId="3"/>
  </si>
  <si>
    <t>集計表（全体）</t>
    <rPh sb="0" eb="2">
      <t>シュウケイ</t>
    </rPh>
    <rPh sb="2" eb="3">
      <t>ヒョウ</t>
    </rPh>
    <rPh sb="4" eb="5">
      <t>ゼン</t>
    </rPh>
    <rPh sb="5" eb="6">
      <t>タイ</t>
    </rPh>
    <phoneticPr fontId="3"/>
  </si>
  <si>
    <t>浄化槽費</t>
  </si>
  <si>
    <t>営業費用</t>
  </si>
  <si>
    <t>農業集落排水費</t>
  </si>
  <si>
    <t>特環公共下水道費</t>
  </si>
  <si>
    <t>執行額</t>
    <rPh sb="0" eb="2">
      <t>シッコウ</t>
    </rPh>
    <rPh sb="2" eb="3">
      <t>ガク</t>
    </rPh>
    <phoneticPr fontId="3"/>
  </si>
  <si>
    <t>税率別税抜き額</t>
    <rPh sb="0" eb="2">
      <t>ゼイリツ</t>
    </rPh>
    <rPh sb="2" eb="3">
      <t>ベツ</t>
    </rPh>
    <rPh sb="3" eb="4">
      <t>ゼイ</t>
    </rPh>
    <rPh sb="4" eb="5">
      <t>ヌ</t>
    </rPh>
    <rPh sb="6" eb="7">
      <t>ガク</t>
    </rPh>
    <phoneticPr fontId="3"/>
  </si>
  <si>
    <t>合　　　　　計</t>
  </si>
  <si>
    <t>・その他特別損失の資本費・汚水分（受益者負担金過誤納還付金、排水設備取付管設置工事受託収入の調定誤りの修正）</t>
    <rPh sb="13" eb="15">
      <t>オスイ</t>
    </rPh>
    <phoneticPr fontId="18"/>
  </si>
  <si>
    <t>小　　　　計</t>
  </si>
  <si>
    <t>汚水</t>
    <rPh sb="0" eb="2">
      <t>オスイ</t>
    </rPh>
    <phoneticPr fontId="18"/>
  </si>
  <si>
    <t>雨水</t>
    <rPh sb="0" eb="2">
      <t>ウスイ</t>
    </rPh>
    <phoneticPr fontId="18"/>
  </si>
  <si>
    <t>水便以外</t>
    <rPh sb="0" eb="1">
      <t>スイ</t>
    </rPh>
    <rPh sb="1" eb="2">
      <t>ベン</t>
    </rPh>
    <rPh sb="2" eb="4">
      <t>イガイ</t>
    </rPh>
    <phoneticPr fontId="18"/>
  </si>
  <si>
    <t>平成２８年度決算における遊休資産に係る減損損失等総括表</t>
    <rPh sb="0" eb="2">
      <t>ヘイセイ</t>
    </rPh>
    <rPh sb="4" eb="6">
      <t>ネンド</t>
    </rPh>
    <rPh sb="6" eb="8">
      <t>ケッサン</t>
    </rPh>
    <rPh sb="12" eb="14">
      <t>ユウキュウ</t>
    </rPh>
    <rPh sb="14" eb="16">
      <t>シサン</t>
    </rPh>
    <rPh sb="17" eb="18">
      <t>カカ</t>
    </rPh>
    <rPh sb="19" eb="21">
      <t>ゲンソン</t>
    </rPh>
    <rPh sb="21" eb="24">
      <t>ソンシツナド</t>
    </rPh>
    <rPh sb="24" eb="27">
      <t>ソウカツヒョウ</t>
    </rPh>
    <phoneticPr fontId="18"/>
  </si>
  <si>
    <t>資本雨水利息</t>
  </si>
  <si>
    <t>水便</t>
  </si>
  <si>
    <t>基準外</t>
    <rPh sb="0" eb="2">
      <t>キジュン</t>
    </rPh>
    <rPh sb="2" eb="3">
      <t>ガイ</t>
    </rPh>
    <phoneticPr fontId="18"/>
  </si>
  <si>
    <t>基準内</t>
    <rPh sb="0" eb="2">
      <t>キジュン</t>
    </rPh>
    <rPh sb="2" eb="3">
      <t>ナイ</t>
    </rPh>
    <phoneticPr fontId="18"/>
  </si>
  <si>
    <t>区域外</t>
    <rPh sb="0" eb="3">
      <t>クイキガイガイ</t>
    </rPh>
    <phoneticPr fontId="18"/>
  </si>
  <si>
    <t>区域内</t>
    <rPh sb="0" eb="3">
      <t>クイキナイ</t>
    </rPh>
    <phoneticPr fontId="18"/>
  </si>
  <si>
    <t>過年度損益修正損
（減損損益含む）</t>
    <rPh sb="10" eb="12">
      <t>ゲンソン</t>
    </rPh>
    <rPh sb="12" eb="14">
      <t>ソンエキ</t>
    </rPh>
    <rPh sb="14" eb="15">
      <t>フク</t>
    </rPh>
    <phoneticPr fontId="18"/>
  </si>
  <si>
    <t>耐用年数の登録誤りによる過年度損益修正に係る雨・汚水分け</t>
    <rPh sb="0" eb="2">
      <t>タイヨウ</t>
    </rPh>
    <rPh sb="2" eb="4">
      <t>ネンスウ</t>
    </rPh>
    <rPh sb="5" eb="7">
      <t>トウロク</t>
    </rPh>
    <rPh sb="7" eb="8">
      <t>アヤマ</t>
    </rPh>
    <rPh sb="12" eb="15">
      <t>カネンド</t>
    </rPh>
    <rPh sb="15" eb="17">
      <t>ソンエキ</t>
    </rPh>
    <rPh sb="17" eb="19">
      <t>シュウセイ</t>
    </rPh>
    <rPh sb="20" eb="21">
      <t>カカ</t>
    </rPh>
    <rPh sb="22" eb="26">
      <t>ウオスイ</t>
    </rPh>
    <rPh sb="26" eb="27">
      <t>ワ</t>
    </rPh>
    <phoneticPr fontId="18"/>
  </si>
  <si>
    <t>雑支出(消費税分)</t>
  </si>
  <si>
    <t>H28決算　減償雨汚　減価償却費算定シート.xlsx]公共（全）による雨水・汚水の基準内・基準外の按分率）</t>
    <rPh sb="35" eb="37">
      <t>ウスイ</t>
    </rPh>
    <rPh sb="38" eb="40">
      <t>オスイ</t>
    </rPh>
    <rPh sb="41" eb="43">
      <t>キジュン</t>
    </rPh>
    <rPh sb="43" eb="44">
      <t>ナイ</t>
    </rPh>
    <rPh sb="45" eb="47">
      <t>キジュン</t>
    </rPh>
    <rPh sb="47" eb="48">
      <t>ガイ</t>
    </rPh>
    <rPh sb="49" eb="51">
      <t>アンブン</t>
    </rPh>
    <rPh sb="51" eb="52">
      <t>リツ</t>
    </rPh>
    <phoneticPr fontId="18"/>
  </si>
  <si>
    <t>支払利息</t>
  </si>
  <si>
    <t>資産減耗(除却)</t>
  </si>
  <si>
    <t>資本雨水減価</t>
    <rPh sb="4" eb="5">
      <t>ゲン</t>
    </rPh>
    <rPh sb="5" eb="6">
      <t>カ</t>
    </rPh>
    <phoneticPr fontId="18"/>
  </si>
  <si>
    <t>維持雨水</t>
  </si>
  <si>
    <t>予備費</t>
  </si>
  <si>
    <t>過年度損益修正損
固定資産売却損</t>
    <rPh sb="9" eb="11">
      <t>コテイ</t>
    </rPh>
    <rPh sb="11" eb="13">
      <t>シサン</t>
    </rPh>
    <rPh sb="13" eb="15">
      <t>バイキャク</t>
    </rPh>
    <rPh sb="15" eb="16">
      <t>ソン</t>
    </rPh>
    <phoneticPr fontId="18"/>
  </si>
  <si>
    <t>雑支出(災害支援経費)</t>
    <rPh sb="4" eb="6">
      <t>サイガイ</t>
    </rPh>
    <rPh sb="6" eb="8">
      <t>シエン</t>
    </rPh>
    <rPh sb="8" eb="10">
      <t>ケイヒ</t>
    </rPh>
    <phoneticPr fontId="3"/>
  </si>
  <si>
    <t>支払利息(一借)</t>
  </si>
  <si>
    <t>資産減耗(撤去)</t>
  </si>
  <si>
    <t>災害復旧費</t>
    <rPh sb="0" eb="2">
      <t>サイガイ</t>
    </rPh>
    <rPh sb="2" eb="4">
      <t>フッキュウ</t>
    </rPh>
    <rPh sb="4" eb="5">
      <t>ヒ</t>
    </rPh>
    <phoneticPr fontId="18"/>
  </si>
  <si>
    <t>浄化槽費</t>
    <rPh sb="0" eb="3">
      <t>ジョウカソウ</t>
    </rPh>
    <rPh sb="3" eb="4">
      <t>ヒ</t>
    </rPh>
    <phoneticPr fontId="18"/>
  </si>
  <si>
    <t>農業集落排水費</t>
    <rPh sb="0" eb="2">
      <t>ノウギョウ</t>
    </rPh>
    <rPh sb="2" eb="4">
      <t>シュウラク</t>
    </rPh>
    <rPh sb="4" eb="6">
      <t>ハイスイ</t>
    </rPh>
    <rPh sb="6" eb="7">
      <t>ヒ</t>
    </rPh>
    <phoneticPr fontId="18"/>
  </si>
  <si>
    <t>特環公共下水道費</t>
    <rPh sb="0" eb="2">
      <t>トッカン</t>
    </rPh>
    <rPh sb="2" eb="4">
      <t>コウキョウ</t>
    </rPh>
    <rPh sb="4" eb="6">
      <t>ゲスイ</t>
    </rPh>
    <rPh sb="6" eb="7">
      <t>ドウ</t>
    </rPh>
    <rPh sb="7" eb="8">
      <t>ヒ</t>
    </rPh>
    <phoneticPr fontId="18"/>
  </si>
  <si>
    <t>貸倒引当金を除く</t>
    <rPh sb="0" eb="2">
      <t>カシダオレ</t>
    </rPh>
    <rPh sb="2" eb="4">
      <t>ヒキアテ</t>
    </rPh>
    <rPh sb="4" eb="5">
      <t>キン</t>
    </rPh>
    <rPh sb="6" eb="7">
      <t>ノゾ</t>
    </rPh>
    <phoneticPr fontId="18"/>
  </si>
  <si>
    <t>水洗化</t>
    <rPh sb="0" eb="3">
      <t>スイセンカ</t>
    </rPh>
    <phoneticPr fontId="18"/>
  </si>
  <si>
    <t>普及</t>
  </si>
  <si>
    <t>使用料徴収
区域内</t>
  </si>
  <si>
    <t>(一般行政経費)</t>
  </si>
  <si>
    <t>使用料徴収
区域外</t>
  </si>
  <si>
    <t>計</t>
  </si>
  <si>
    <t>繰出基準外</t>
  </si>
  <si>
    <t>繰出基準内</t>
  </si>
  <si>
    <t>汚水分</t>
  </si>
  <si>
    <t>雨水分</t>
  </si>
  <si>
    <t>所 要 額</t>
  </si>
  <si>
    <t>区　　　　　分</t>
  </si>
  <si>
    <t>単位：円</t>
    <phoneticPr fontId="18"/>
  </si>
  <si>
    <t>(支出)</t>
  </si>
  <si>
    <t>資本雨水</t>
  </si>
  <si>
    <t>消費税</t>
  </si>
  <si>
    <t>平成２７年度決算における遊休資産に係る減損損失等総括表</t>
    <rPh sb="0" eb="2">
      <t>ヘイセイ</t>
    </rPh>
    <rPh sb="4" eb="6">
      <t>ネンド</t>
    </rPh>
    <rPh sb="6" eb="8">
      <t>ケッサン</t>
    </rPh>
    <rPh sb="12" eb="14">
      <t>ユウキュウ</t>
    </rPh>
    <rPh sb="14" eb="16">
      <t>シサン</t>
    </rPh>
    <rPh sb="17" eb="18">
      <t>カカ</t>
    </rPh>
    <rPh sb="19" eb="21">
      <t>ゲンソン</t>
    </rPh>
    <rPh sb="21" eb="24">
      <t>ソンシツナド</t>
    </rPh>
    <rPh sb="24" eb="27">
      <t>ソウカツヒョウ</t>
    </rPh>
    <phoneticPr fontId="18"/>
  </si>
  <si>
    <t>計　　</t>
    <rPh sb="0" eb="1">
      <t>ケイ</t>
    </rPh>
    <phoneticPr fontId="18"/>
  </si>
  <si>
    <t>支払利息分</t>
    <rPh sb="0" eb="2">
      <t>シハライ</t>
    </rPh>
    <rPh sb="2" eb="4">
      <t>リソク</t>
    </rPh>
    <rPh sb="4" eb="5">
      <t>ブン</t>
    </rPh>
    <phoneticPr fontId="18"/>
  </si>
  <si>
    <t>減価償却費分</t>
    <rPh sb="0" eb="2">
      <t>ゲンカ</t>
    </rPh>
    <rPh sb="2" eb="4">
      <t>ショウキャク</t>
    </rPh>
    <rPh sb="4" eb="5">
      <t>ヒ</t>
    </rPh>
    <rPh sb="5" eb="6">
      <t>ブン</t>
    </rPh>
    <phoneticPr fontId="18"/>
  </si>
  <si>
    <t>使用料減免分の充当額</t>
    <rPh sb="0" eb="2">
      <t>シヨウ</t>
    </rPh>
    <rPh sb="2" eb="3">
      <t>リョウ</t>
    </rPh>
    <rPh sb="3" eb="5">
      <t>ゲンメン</t>
    </rPh>
    <rPh sb="5" eb="6">
      <t>ブン</t>
    </rPh>
    <rPh sb="7" eb="9">
      <t>ジュウトウ</t>
    </rPh>
    <rPh sb="9" eb="10">
      <t>ガク</t>
    </rPh>
    <phoneticPr fontId="18"/>
  </si>
  <si>
    <t>←資本費算入率</t>
    <rPh sb="1" eb="3">
      <t>シホン</t>
    </rPh>
    <rPh sb="3" eb="4">
      <t>ヒ</t>
    </rPh>
    <rPh sb="4" eb="6">
      <t>サンニュウ</t>
    </rPh>
    <rPh sb="6" eb="7">
      <t>リツ</t>
    </rPh>
    <phoneticPr fontId="18"/>
  </si>
  <si>
    <t>支払利息分　（Ａ×Ｃ／Ｄ）</t>
    <rPh sb="0" eb="2">
      <t>シハライ</t>
    </rPh>
    <rPh sb="2" eb="4">
      <t>リソク</t>
    </rPh>
    <rPh sb="4" eb="5">
      <t>ブン</t>
    </rPh>
    <phoneticPr fontId="18"/>
  </si>
  <si>
    <t>減価償却費分（Ａ×Ｂ／Ｄ）</t>
    <rPh sb="0" eb="2">
      <t>ゲンカ</t>
    </rPh>
    <rPh sb="2" eb="4">
      <t>ショウキャク</t>
    </rPh>
    <rPh sb="4" eb="5">
      <t>ヒ</t>
    </rPh>
    <rPh sb="5" eb="6">
      <t>ブン</t>
    </rPh>
    <phoneticPr fontId="18"/>
  </si>
  <si>
    <t>（Ａ）の充当額</t>
    <rPh sb="4" eb="6">
      <t>ジュウトウ</t>
    </rPh>
    <rPh sb="6" eb="7">
      <t>ガク</t>
    </rPh>
    <phoneticPr fontId="18"/>
  </si>
  <si>
    <t>計　　　（Ｄ）</t>
    <rPh sb="0" eb="1">
      <t>ケイ</t>
    </rPh>
    <phoneticPr fontId="18"/>
  </si>
  <si>
    <t>特財充当後支払利息　（Ｃ）</t>
    <rPh sb="0" eb="1">
      <t>トク</t>
    </rPh>
    <rPh sb="1" eb="2">
      <t>ザイ</t>
    </rPh>
    <rPh sb="2" eb="4">
      <t>ジュウトウ</t>
    </rPh>
    <rPh sb="4" eb="5">
      <t>ゴ</t>
    </rPh>
    <rPh sb="5" eb="7">
      <t>シハライ</t>
    </rPh>
    <rPh sb="7" eb="9">
      <t>リソク</t>
    </rPh>
    <phoneticPr fontId="18"/>
  </si>
  <si>
    <t>特財充当後減価償却費　（Ｂ）</t>
    <rPh sb="0" eb="1">
      <t>トク</t>
    </rPh>
    <rPh sb="1" eb="2">
      <t>ザイ</t>
    </rPh>
    <rPh sb="2" eb="4">
      <t>ジュウトウ</t>
    </rPh>
    <rPh sb="4" eb="5">
      <t>ゴ</t>
    </rPh>
    <rPh sb="5" eb="7">
      <t>ゲンカ</t>
    </rPh>
    <rPh sb="7" eb="9">
      <t>ショウキャク</t>
    </rPh>
    <rPh sb="9" eb="10">
      <t>ヒ</t>
    </rPh>
    <phoneticPr fontId="18"/>
  </si>
  <si>
    <t>資本費充当可能使用料額　（Ａ）</t>
    <rPh sb="0" eb="2">
      <t>シホン</t>
    </rPh>
    <rPh sb="2" eb="3">
      <t>ヒ</t>
    </rPh>
    <rPh sb="3" eb="5">
      <t>ジュウトウ</t>
    </rPh>
    <rPh sb="5" eb="7">
      <t>カノウ</t>
    </rPh>
    <rPh sb="7" eb="9">
      <t>シヨウ</t>
    </rPh>
    <rPh sb="9" eb="10">
      <t>リョウ</t>
    </rPh>
    <rPh sb="10" eb="11">
      <t>ガク</t>
    </rPh>
    <phoneticPr fontId="18"/>
  </si>
  <si>
    <t>汚水基準外充当分</t>
    <rPh sb="0" eb="2">
      <t>オスイ</t>
    </rPh>
    <rPh sb="2" eb="4">
      <t>キジュン</t>
    </rPh>
    <rPh sb="4" eb="5">
      <t>ガイ</t>
    </rPh>
    <rPh sb="5" eb="7">
      <t>ジュウトウ</t>
    </rPh>
    <rPh sb="7" eb="8">
      <t>ブン</t>
    </rPh>
    <phoneticPr fontId="3"/>
  </si>
  <si>
    <t>その他補助金</t>
    <rPh sb="2" eb="3">
      <t>タ</t>
    </rPh>
    <rPh sb="3" eb="6">
      <t>ホジョキン</t>
    </rPh>
    <phoneticPr fontId="18"/>
  </si>
  <si>
    <t>入力忘れずに</t>
    <rPh sb="0" eb="2">
      <t>ニュウリョク</t>
    </rPh>
    <rPh sb="2" eb="3">
      <t>ワス</t>
    </rPh>
    <phoneticPr fontId="18"/>
  </si>
  <si>
    <t>使用料減免分</t>
    <rPh sb="0" eb="2">
      <t>シヨウ</t>
    </rPh>
    <rPh sb="2" eb="3">
      <t>リョウ</t>
    </rPh>
    <rPh sb="3" eb="5">
      <t>ゲンメン</t>
    </rPh>
    <rPh sb="5" eb="6">
      <t>ブン</t>
    </rPh>
    <phoneticPr fontId="3"/>
  </si>
  <si>
    <t>源</t>
  </si>
  <si>
    <t>汚水処理補助金</t>
    <rPh sb="0" eb="2">
      <t>オスイ</t>
    </rPh>
    <rPh sb="2" eb="4">
      <t>ショリ</t>
    </rPh>
    <rPh sb="4" eb="7">
      <t>ホジョキン</t>
    </rPh>
    <phoneticPr fontId="3"/>
  </si>
  <si>
    <t>特別利益</t>
    <phoneticPr fontId="18"/>
  </si>
  <si>
    <t>財</t>
  </si>
  <si>
    <t>長期前受金戻入額
（除却分）</t>
    <rPh sb="0" eb="2">
      <t>チョウキ</t>
    </rPh>
    <rPh sb="2" eb="5">
      <t>マエウケキン</t>
    </rPh>
    <rPh sb="5" eb="7">
      <t>レイニュウ</t>
    </rPh>
    <rPh sb="7" eb="8">
      <t>ガク</t>
    </rPh>
    <rPh sb="10" eb="12">
      <t>ジョキャク</t>
    </rPh>
    <rPh sb="12" eb="13">
      <t>ブン</t>
    </rPh>
    <phoneticPr fontId="18"/>
  </si>
  <si>
    <t>当</t>
  </si>
  <si>
    <t>長期前受金戻入額</t>
    <rPh sb="0" eb="2">
      <t>チョウキ</t>
    </rPh>
    <rPh sb="2" eb="5">
      <t>マエウケキン</t>
    </rPh>
    <rPh sb="5" eb="7">
      <t>レイニュウ</t>
    </rPh>
    <rPh sb="7" eb="8">
      <t>ガク</t>
    </rPh>
    <phoneticPr fontId="18"/>
  </si>
  <si>
    <t>充</t>
  </si>
  <si>
    <t>負担金</t>
    <phoneticPr fontId="18"/>
  </si>
  <si>
    <t>費</t>
  </si>
  <si>
    <t>貸付事業費負担金
〈下段は利息分を除いた額〉</t>
    <rPh sb="0" eb="2">
      <t>カシツケ</t>
    </rPh>
    <rPh sb="2" eb="5">
      <t>ジギョウヒ</t>
    </rPh>
    <rPh sb="5" eb="8">
      <t>フタンキン</t>
    </rPh>
    <rPh sb="11" eb="13">
      <t>ゲダン</t>
    </rPh>
    <rPh sb="14" eb="17">
      <t>リソクブン</t>
    </rPh>
    <rPh sb="18" eb="19">
      <t>ノゾ</t>
    </rPh>
    <rPh sb="21" eb="22">
      <t>ガク</t>
    </rPh>
    <phoneticPr fontId="3"/>
  </si>
  <si>
    <t>本</t>
  </si>
  <si>
    <t>国庫補助金</t>
  </si>
  <si>
    <t>資</t>
  </si>
  <si>
    <t>普及促進費負担金</t>
    <rPh sb="0" eb="2">
      <t>フキュウ</t>
    </rPh>
    <rPh sb="2" eb="5">
      <t>ソクシンヒ</t>
    </rPh>
    <rPh sb="5" eb="8">
      <t>フタンキン</t>
    </rPh>
    <phoneticPr fontId="3"/>
  </si>
  <si>
    <t>水質指導費負担金</t>
    <rPh sb="0" eb="2">
      <t>スイシツ</t>
    </rPh>
    <rPh sb="2" eb="4">
      <t>シドウ</t>
    </rPh>
    <rPh sb="4" eb="5">
      <t>ヒ</t>
    </rPh>
    <rPh sb="5" eb="8">
      <t>フタンキン</t>
    </rPh>
    <phoneticPr fontId="3"/>
  </si>
  <si>
    <t>　</t>
  </si>
  <si>
    <t>災害補助金</t>
    <rPh sb="0" eb="2">
      <t>サイガイ</t>
    </rPh>
    <phoneticPr fontId="18"/>
  </si>
  <si>
    <t>特別利益</t>
    <phoneticPr fontId="18"/>
  </si>
  <si>
    <t>理</t>
  </si>
  <si>
    <t>管</t>
  </si>
  <si>
    <t>持</t>
  </si>
  <si>
    <t>維持管理費分</t>
    <rPh sb="0" eb="2">
      <t>イジ</t>
    </rPh>
    <rPh sb="2" eb="5">
      <t>カンリヒ</t>
    </rPh>
    <rPh sb="5" eb="6">
      <t>ブン</t>
    </rPh>
    <phoneticPr fontId="3"/>
  </si>
  <si>
    <t>受託工事収益</t>
  </si>
  <si>
    <t>維</t>
  </si>
  <si>
    <t>下水道使用料</t>
  </si>
  <si>
    <t>雨水処理負担金</t>
    <rPh sb="0" eb="2">
      <t>ウスイ</t>
    </rPh>
    <rPh sb="2" eb="4">
      <t>ショリ</t>
    </rPh>
    <rPh sb="4" eb="7">
      <t>フタンキン</t>
    </rPh>
    <phoneticPr fontId="3"/>
  </si>
  <si>
    <t>調整後消費税
雑支出加算額</t>
    <rPh sb="0" eb="2">
      <t>チョウセイ</t>
    </rPh>
    <rPh sb="2" eb="3">
      <t>ゴ</t>
    </rPh>
    <rPh sb="3" eb="6">
      <t>ショウヒゼイ</t>
    </rPh>
    <rPh sb="7" eb="8">
      <t>ザツ</t>
    </rPh>
    <rPh sb="8" eb="10">
      <t>シシュツ</t>
    </rPh>
    <rPh sb="10" eb="13">
      <t>カサンガク</t>
    </rPh>
    <phoneticPr fontId="18"/>
  </si>
  <si>
    <t>最終繰入金額</t>
    <rPh sb="0" eb="2">
      <t>サイシュウ</t>
    </rPh>
    <rPh sb="2" eb="4">
      <t>クリイレ</t>
    </rPh>
    <rPh sb="4" eb="5">
      <t>キン</t>
    </rPh>
    <rPh sb="5" eb="6">
      <t>ガク</t>
    </rPh>
    <phoneticPr fontId="18"/>
  </si>
  <si>
    <t>税込額との
調整額</t>
    <rPh sb="0" eb="2">
      <t>ゼイコミ</t>
    </rPh>
    <rPh sb="2" eb="3">
      <t>ガク</t>
    </rPh>
    <rPh sb="6" eb="8">
      <t>チョウセイ</t>
    </rPh>
    <rPh sb="8" eb="9">
      <t>ガク</t>
    </rPh>
    <phoneticPr fontId="18"/>
  </si>
  <si>
    <t>計</t>
    <rPh sb="0" eb="1">
      <t>ケイ</t>
    </rPh>
    <phoneticPr fontId="18"/>
  </si>
  <si>
    <t>調整前消費税
雑支出加算額</t>
    <rPh sb="0" eb="2">
      <t>チョウセイ</t>
    </rPh>
    <rPh sb="2" eb="3">
      <t>ゼン</t>
    </rPh>
    <rPh sb="3" eb="6">
      <t>ショウヒゼイ</t>
    </rPh>
    <rPh sb="7" eb="8">
      <t>ザツ</t>
    </rPh>
    <rPh sb="8" eb="10">
      <t>シシュツ</t>
    </rPh>
    <rPh sb="10" eb="13">
      <t>カサンガク</t>
    </rPh>
    <phoneticPr fontId="18"/>
  </si>
  <si>
    <t>消費税雑支出
加算前</t>
    <rPh sb="0" eb="3">
      <t>ショウヒゼイ</t>
    </rPh>
    <rPh sb="3" eb="4">
      <t>ザツ</t>
    </rPh>
    <rPh sb="4" eb="6">
      <t>シシュツ</t>
    </rPh>
    <rPh sb="7" eb="9">
      <t>カサン</t>
    </rPh>
    <rPh sb="9" eb="10">
      <t>ゼン</t>
    </rPh>
    <phoneticPr fontId="18"/>
  </si>
  <si>
    <t>区　　　分</t>
  </si>
  <si>
    <t>単位：円</t>
  </si>
  <si>
    <t>（収入）</t>
  </si>
  <si>
    <t>２８年度一般会計繰入金</t>
    <rPh sb="2" eb="4">
      <t>ネンド</t>
    </rPh>
    <rPh sb="4" eb="6">
      <t>イッパン</t>
    </rPh>
    <rPh sb="6" eb="8">
      <t>カイケイ</t>
    </rPh>
    <rPh sb="8" eb="10">
      <t>クリイレ</t>
    </rPh>
    <rPh sb="10" eb="11">
      <t>キン</t>
    </rPh>
    <phoneticPr fontId="18"/>
  </si>
  <si>
    <t>特別利益</t>
    <phoneticPr fontId="18"/>
  </si>
  <si>
    <t>負担金</t>
    <phoneticPr fontId="18"/>
  </si>
  <si>
    <t>貸付事業費負担金</t>
    <rPh sb="0" eb="2">
      <t>カシツケ</t>
    </rPh>
    <rPh sb="2" eb="5">
      <t>ジギョウヒ</t>
    </rPh>
    <rPh sb="5" eb="8">
      <t>フタンキン</t>
    </rPh>
    <phoneticPr fontId="3"/>
  </si>
  <si>
    <t>支払利息分計</t>
    <rPh sb="0" eb="2">
      <t>シハライ</t>
    </rPh>
    <rPh sb="2" eb="4">
      <t>リソク</t>
    </rPh>
    <rPh sb="4" eb="5">
      <t>ブン</t>
    </rPh>
    <rPh sb="5" eb="6">
      <t>ケイ</t>
    </rPh>
    <phoneticPr fontId="18"/>
  </si>
  <si>
    <t>単位：円</t>
    <phoneticPr fontId="18"/>
  </si>
  <si>
    <t>【３条収入雨汚水分け表】（消費税雑収益加算後）</t>
    <rPh sb="2" eb="3">
      <t>ジョウ</t>
    </rPh>
    <rPh sb="3" eb="5">
      <t>シュウニュウ</t>
    </rPh>
    <rPh sb="5" eb="6">
      <t>ウ</t>
    </rPh>
    <rPh sb="6" eb="8">
      <t>オスイ</t>
    </rPh>
    <rPh sb="8" eb="9">
      <t>ワ</t>
    </rPh>
    <rPh sb="10" eb="11">
      <t>ヒョウ</t>
    </rPh>
    <rPh sb="17" eb="19">
      <t>シュウエキ</t>
    </rPh>
    <phoneticPr fontId="3"/>
  </si>
  <si>
    <t>不用品売却収益</t>
    <rPh sb="0" eb="3">
      <t>フヨウヒン</t>
    </rPh>
    <rPh sb="3" eb="5">
      <t>バイキャク</t>
    </rPh>
    <rPh sb="5" eb="7">
      <t>シュウエキ</t>
    </rPh>
    <phoneticPr fontId="2"/>
  </si>
  <si>
    <t>その他雑収益</t>
    <rPh sb="2" eb="3">
      <t>タ</t>
    </rPh>
    <rPh sb="3" eb="6">
      <t>ザツシュウエキ</t>
    </rPh>
    <phoneticPr fontId="3"/>
  </si>
  <si>
    <t>その他雑収益（消費税）</t>
    <rPh sb="3" eb="4">
      <t>ザツ</t>
    </rPh>
    <rPh sb="7" eb="10">
      <t>ショウヒゼイ</t>
    </rPh>
    <phoneticPr fontId="3"/>
  </si>
  <si>
    <t>一般行政</t>
    <phoneticPr fontId="2"/>
  </si>
  <si>
    <t>←差引不足額（充足は0）</t>
    <rPh sb="1" eb="3">
      <t>サシヒキ</t>
    </rPh>
    <rPh sb="3" eb="5">
      <t>ブソク</t>
    </rPh>
    <rPh sb="5" eb="6">
      <t>ガク</t>
    </rPh>
    <rPh sb="7" eb="9">
      <t>ジュウソク</t>
    </rPh>
    <phoneticPr fontId="3"/>
  </si>
  <si>
    <t>雑収益（消費税分）</t>
    <rPh sb="4" eb="7">
      <t>ショウヒゼイ</t>
    </rPh>
    <rPh sb="7" eb="8">
      <t>ブン</t>
    </rPh>
    <phoneticPr fontId="2"/>
  </si>
  <si>
    <t>雑収益</t>
    <phoneticPr fontId="2"/>
  </si>
  <si>
    <t>国庫補助金</t>
    <rPh sb="0" eb="2">
      <t>コッコ</t>
    </rPh>
    <rPh sb="2" eb="5">
      <t>ホジョキン</t>
    </rPh>
    <phoneticPr fontId="2"/>
  </si>
  <si>
    <t>481142000</t>
    <phoneticPr fontId="2"/>
  </si>
  <si>
    <t>482042900</t>
    <phoneticPr fontId="2"/>
  </si>
  <si>
    <t>その他国庫補助金(災害)</t>
    <rPh sb="9" eb="11">
      <t>サイガイ</t>
    </rPh>
    <phoneticPr fontId="3"/>
  </si>
  <si>
    <t>雨水（税抜）</t>
    <rPh sb="0" eb="2">
      <t>ウスイ</t>
    </rPh>
    <phoneticPr fontId="15"/>
  </si>
  <si>
    <t>うち、汚水基準外以外への充当額</t>
    <rPh sb="3" eb="5">
      <t>オスイ</t>
    </rPh>
    <rPh sb="5" eb="7">
      <t>キジュン</t>
    </rPh>
    <rPh sb="7" eb="8">
      <t>ガイ</t>
    </rPh>
    <rPh sb="8" eb="10">
      <t>イガイ</t>
    </rPh>
    <rPh sb="12" eb="14">
      <t>ジュウトウ</t>
    </rPh>
    <rPh sb="14" eb="15">
      <t>ガク</t>
    </rPh>
    <phoneticPr fontId="3"/>
  </si>
  <si>
    <t>雑収益、特別利益分の特定収入に係る課税仕入れ等に係る消費税額等の配分</t>
    <rPh sb="0" eb="3">
      <t>ザツシュウエキ</t>
    </rPh>
    <rPh sb="4" eb="6">
      <t>トクベツ</t>
    </rPh>
    <rPh sb="6" eb="8">
      <t>リエキ</t>
    </rPh>
    <rPh sb="8" eb="9">
      <t>ブン</t>
    </rPh>
    <rPh sb="10" eb="12">
      <t>トクテイ</t>
    </rPh>
    <rPh sb="12" eb="14">
      <t>シュウニュウ</t>
    </rPh>
    <rPh sb="15" eb="16">
      <t>カカ</t>
    </rPh>
    <rPh sb="22" eb="23">
      <t>トウ</t>
    </rPh>
    <rPh sb="30" eb="31">
      <t>トウ</t>
    </rPh>
    <rPh sb="32" eb="34">
      <t>ハイブン</t>
    </rPh>
    <phoneticPr fontId="3"/>
  </si>
  <si>
    <t>その他雑収益</t>
    <rPh sb="3" eb="4">
      <t>ザツ</t>
    </rPh>
    <phoneticPr fontId="3"/>
  </si>
  <si>
    <t>その他雑収益（消費税）</t>
    <rPh sb="2" eb="3">
      <t>タ</t>
    </rPh>
    <rPh sb="3" eb="6">
      <t>ザツシュウエキ</t>
    </rPh>
    <phoneticPr fontId="3"/>
  </si>
  <si>
    <t>【一般会計繰入金】（最終繰入額）</t>
    <rPh sb="1" eb="3">
      <t>イッパン</t>
    </rPh>
    <rPh sb="3" eb="5">
      <t>カイケイ</t>
    </rPh>
    <rPh sb="5" eb="7">
      <t>クリイレ</t>
    </rPh>
    <rPh sb="7" eb="8">
      <t>キン</t>
    </rPh>
    <rPh sb="10" eb="12">
      <t>サイシュウ</t>
    </rPh>
    <rPh sb="12" eb="14">
      <t>クリイレ</t>
    </rPh>
    <rPh sb="14" eb="15">
      <t>ガク</t>
    </rPh>
    <phoneticPr fontId="3"/>
  </si>
  <si>
    <t>【一般会計繰入金】（控除不可消費税等の雑支出の配分前（特定収入の算定基礎数値））</t>
    <rPh sb="1" eb="3">
      <t>イッパン</t>
    </rPh>
    <rPh sb="3" eb="5">
      <t>カイケイ</t>
    </rPh>
    <rPh sb="5" eb="7">
      <t>クリイレ</t>
    </rPh>
    <rPh sb="7" eb="8">
      <t>キン</t>
    </rPh>
    <rPh sb="27" eb="29">
      <t>トクテイ</t>
    </rPh>
    <rPh sb="29" eb="31">
      <t>シュウニュウ</t>
    </rPh>
    <rPh sb="32" eb="34">
      <t>サンテイ</t>
    </rPh>
    <rPh sb="34" eb="36">
      <t>キソ</t>
    </rPh>
    <rPh sb="36" eb="38">
      <t>スウチ</t>
    </rPh>
    <phoneticPr fontId="3"/>
  </si>
  <si>
    <t>執行額</t>
    <phoneticPr fontId="2"/>
  </si>
  <si>
    <t>雨水（税抜）</t>
    <rPh sb="0" eb="2">
      <t>ウスイ</t>
    </rPh>
    <rPh sb="3" eb="5">
      <t>ゼイヌキ</t>
    </rPh>
    <phoneticPr fontId="15"/>
  </si>
  <si>
    <t>3年度経費（雨水・汚水）区分調 (決算・税込み)</t>
    <rPh sb="1" eb="3">
      <t>ネンド</t>
    </rPh>
    <phoneticPr fontId="18"/>
  </si>
  <si>
    <t>その他雑支出</t>
    <phoneticPr fontId="2"/>
  </si>
  <si>
    <t>1</t>
  </si>
  <si>
    <t xml:space="preserve">    </t>
  </si>
  <si>
    <t>1502113000</t>
  </si>
  <si>
    <t>西部水資源再生センター</t>
  </si>
  <si>
    <t>R05/11/10</t>
  </si>
  <si>
    <t>消化ガス売却収入（令和５年１０月分）</t>
  </si>
  <si>
    <t>振替伝票（調定）</t>
  </si>
  <si>
    <t>20000946</t>
  </si>
  <si>
    <t>000</t>
  </si>
  <si>
    <t>001</t>
  </si>
  <si>
    <t>0481141500</t>
  </si>
  <si>
    <t>999999</t>
  </si>
  <si>
    <t>共通</t>
  </si>
  <si>
    <t>021402001010010000</t>
  </si>
  <si>
    <t>未収その他営業収益</t>
  </si>
  <si>
    <t>048114001015000000</t>
  </si>
  <si>
    <t>17</t>
  </si>
  <si>
    <t>10</t>
  </si>
  <si>
    <t>月島ＪＦＥアクアソリューション株式会社　中国支店</t>
  </si>
  <si>
    <t>20000946-000-001-1-0481141500-999999-17</t>
  </si>
  <si>
    <t>R05/12/08</t>
  </si>
  <si>
    <t>消化ガス売却収入（令和５年１１月分）</t>
  </si>
  <si>
    <t>20001038</t>
  </si>
  <si>
    <t>20001038-000-001-1-0481141500-999999-17</t>
  </si>
  <si>
    <t>R06/01/10</t>
  </si>
  <si>
    <t>消化ガス売却収入（令和５年１２月分）</t>
  </si>
  <si>
    <t>20001162</t>
  </si>
  <si>
    <t>20001162-000-001-1-0481141500-999999-17</t>
  </si>
  <si>
    <t>R05/05/10</t>
  </si>
  <si>
    <t>消化ガス売却収入（令和５年４月分）</t>
  </si>
  <si>
    <t>20000142</t>
  </si>
  <si>
    <t>月島アクアソリューション株式会社　広島営業所</t>
  </si>
  <si>
    <t>20000142-000-001-1-0481141500-999999-17</t>
  </si>
  <si>
    <t>R05/06/09</t>
  </si>
  <si>
    <t>消化ガス売却収入（令和５年５月分）</t>
  </si>
  <si>
    <t>20000304</t>
  </si>
  <si>
    <t>20000304-000-001-1-0481141500-999999-17</t>
  </si>
  <si>
    <t>R05/07/10</t>
  </si>
  <si>
    <t>消化ガス売却収入（令和５年６月分）</t>
  </si>
  <si>
    <t>20000438</t>
  </si>
  <si>
    <t>20000438-000-001-1-0481141500-999999-17</t>
  </si>
  <si>
    <t>R05/08/10</t>
  </si>
  <si>
    <t>消化ガス売却収入（令和５年７月分）</t>
  </si>
  <si>
    <t>20000540</t>
  </si>
  <si>
    <t>20000540-000-001-1-0481141500-999999-17</t>
  </si>
  <si>
    <t>R05/09/08</t>
  </si>
  <si>
    <t>消化ガス売却収入（令和５年８月分）</t>
  </si>
  <si>
    <t>20000686</t>
  </si>
  <si>
    <t>20000686-000-001-1-0481141500-999999-17</t>
  </si>
  <si>
    <t>R05/10/10</t>
  </si>
  <si>
    <t>消化ガス売却収入（令和５年９月分）</t>
  </si>
  <si>
    <t>20000824</t>
  </si>
  <si>
    <t>20000824-000-001-1-0481141500-999999-17</t>
  </si>
  <si>
    <t>R06/02/09</t>
  </si>
  <si>
    <t>消化ガス売却収入（令和６年１月分）</t>
  </si>
  <si>
    <t>20001276</t>
  </si>
  <si>
    <t>20001276-000-001-1-0481141500-999999-17</t>
  </si>
  <si>
    <t>R06/03/08</t>
  </si>
  <si>
    <t xml:space="preserve">消化ガス売却収入（令和６年２月分）                                              </t>
  </si>
  <si>
    <t>20001431</t>
  </si>
  <si>
    <t>20001431-000-001-1-0481141500-999999-17</t>
  </si>
  <si>
    <t>R06/03/31</t>
  </si>
  <si>
    <t xml:space="preserve">消化ガス売却収入（令和６年３月分）                                              </t>
  </si>
  <si>
    <t>20001612</t>
  </si>
  <si>
    <t>月島ＪＦＥアクアソリューション株式会社中国支店</t>
  </si>
  <si>
    <t>20001612-000-001-1-0481141500-999999-17</t>
  </si>
  <si>
    <t>燃料化物の売払い収入（令和５年１０月分）</t>
  </si>
  <si>
    <t>20000925</t>
  </si>
  <si>
    <t>（株）バイオコール広島西部　</t>
  </si>
  <si>
    <t>20000925-000-001-1-0481141500-999999-17</t>
  </si>
  <si>
    <t>燃料化物の売払い収入（令和５年１１月分）</t>
  </si>
  <si>
    <t>20001043</t>
  </si>
  <si>
    <t>20001043-000-001-1-0481141500-999999-17</t>
  </si>
  <si>
    <t>燃料化物の売払い収入（令和５年１２月分）</t>
  </si>
  <si>
    <t>20001186</t>
  </si>
  <si>
    <t>20001186-000-001-1-0481141500-999999-17</t>
  </si>
  <si>
    <t>燃料化物の売払い収入（令和５年４月分）</t>
  </si>
  <si>
    <t>20000159</t>
  </si>
  <si>
    <t>20000159-000-001-1-0481141500-999999-17</t>
  </si>
  <si>
    <t>燃料化物の売払い収入（令和５年５月分）</t>
  </si>
  <si>
    <t>20000285</t>
  </si>
  <si>
    <t>20000285-000-001-1-0481141500-999999-17</t>
  </si>
  <si>
    <t>燃料化物の売払い収入（令和５年６月分）</t>
  </si>
  <si>
    <t>20000444</t>
  </si>
  <si>
    <t>20000444-000-001-1-0481141500-999999-17</t>
  </si>
  <si>
    <t>燃料化物の売払い収入（令和５年７月分）</t>
  </si>
  <si>
    <t>20000552</t>
  </si>
  <si>
    <t>（株）バイオコール広島西部</t>
  </si>
  <si>
    <t>20000552-000-001-1-0481141500-999999-17</t>
  </si>
  <si>
    <t>燃料化物の売払い収入（令和５年８月分）</t>
  </si>
  <si>
    <t>20000680</t>
  </si>
  <si>
    <t>20000680-000-001-1-0481141500-999999-17</t>
  </si>
  <si>
    <t>燃料化物の売払い収入（令和５年９月分）</t>
  </si>
  <si>
    <t>20000814</t>
  </si>
  <si>
    <t>20000814-000-001-1-0481141500-999999-17</t>
  </si>
  <si>
    <t>燃料化物の売払い収入（令和６年１月分）</t>
  </si>
  <si>
    <t>20001280</t>
  </si>
  <si>
    <t>20001280-000-001-1-0481141500-999999-17</t>
  </si>
  <si>
    <t xml:space="preserve">燃料化物の売払い収入（令和６年２月分）                                          </t>
  </si>
  <si>
    <t>20001437</t>
  </si>
  <si>
    <t>20001437-000-001-1-0481141500-999999-17</t>
  </si>
  <si>
    <t xml:space="preserve">燃料化物の売払い収入（令和６年３月分）                                          </t>
  </si>
  <si>
    <t>20001593</t>
  </si>
  <si>
    <t>20001593-000-001-1-0481141500-999999-17</t>
  </si>
  <si>
    <t>1863110500</t>
  </si>
  <si>
    <t>安佐北・維持管理</t>
  </si>
  <si>
    <t xml:space="preserve">一級河川太田川水系指定区間落合川に存する河川管理施設（玖村樋門）操作受託収入    </t>
  </si>
  <si>
    <t>20001588</t>
  </si>
  <si>
    <t>0481141700</t>
  </si>
  <si>
    <t>048114001017000000</t>
  </si>
  <si>
    <t>広島県西部建設事務所長</t>
  </si>
  <si>
    <t>20001588-000-001-1-0481141700-999999-17</t>
  </si>
  <si>
    <t>1873110500</t>
  </si>
  <si>
    <t>安芸・維持管理</t>
  </si>
  <si>
    <t xml:space="preserve">貫道排水樋門操作受託収入                                                        </t>
  </si>
  <si>
    <t>20001525</t>
  </si>
  <si>
    <t>20001525-000-001-1-0481141700-999999-17</t>
  </si>
  <si>
    <t>1502111000</t>
  </si>
  <si>
    <t>維持課</t>
  </si>
  <si>
    <t xml:space="preserve">樋門の操作及び点検費用（下半期）                                                </t>
  </si>
  <si>
    <t>20001500</t>
  </si>
  <si>
    <t>国土交通省中国地方整備局太田川河川事務所</t>
  </si>
  <si>
    <t>20001500-000-001-1-0481141700-999999-17</t>
  </si>
  <si>
    <t>上半期は税区分が旧コードになっていた</t>
  </si>
  <si>
    <t>R05/11/16</t>
  </si>
  <si>
    <t>樋門の操作及び点検費用（上半期）</t>
  </si>
  <si>
    <t>20000970</t>
  </si>
  <si>
    <t>14</t>
  </si>
  <si>
    <t>20000970-000-001-1-0481141700-999999-14</t>
  </si>
  <si>
    <t>下半期は問題なし</t>
  </si>
  <si>
    <t>1883110500</t>
  </si>
  <si>
    <t>佐伯・維持管理</t>
  </si>
  <si>
    <t>R06/02/27</t>
  </si>
  <si>
    <t xml:space="preserve">下水道境界証明手数料                                                            </t>
  </si>
  <si>
    <t>収入伝票（事後調定・予算外）</t>
  </si>
  <si>
    <t>20001415</t>
  </si>
  <si>
    <t>0481141915</t>
  </si>
  <si>
    <t>021202001001000000</t>
  </si>
  <si>
    <t>現金</t>
  </si>
  <si>
    <t>048114001019015000</t>
  </si>
  <si>
    <t>21</t>
  </si>
  <si>
    <t>0</t>
  </si>
  <si>
    <t>堀尾　哲雄</t>
  </si>
  <si>
    <t>20001415-000-001-1-0481141915-999999-21</t>
  </si>
  <si>
    <t>R06/01/19</t>
  </si>
  <si>
    <t>下水道境界証明手数料</t>
  </si>
  <si>
    <t>20001221</t>
  </si>
  <si>
    <t>井上　宏一</t>
  </si>
  <si>
    <t>20001221-000-001-1-0481141915-999999-21</t>
  </si>
  <si>
    <t>R06/01/26</t>
  </si>
  <si>
    <t>20001262</t>
  </si>
  <si>
    <t>二井　章文</t>
  </si>
  <si>
    <t>20001262-000-001-1-0481141915-999999-21</t>
  </si>
  <si>
    <t>002</t>
  </si>
  <si>
    <t>株式会社サンエス不動産</t>
  </si>
  <si>
    <t>20001262-000-002-1-0481141915-999999-21</t>
  </si>
  <si>
    <t>R06/02/07</t>
  </si>
  <si>
    <t>20001307</t>
  </si>
  <si>
    <t>株式会社　ベストパーソン</t>
  </si>
  <si>
    <t>20001307-000-001-1-0481141915-999999-21</t>
  </si>
  <si>
    <t>R06/02/22</t>
  </si>
  <si>
    <t>20001380</t>
  </si>
  <si>
    <t>羽田野　かおり</t>
  </si>
  <si>
    <t>20001380-000-001-1-0481141915-999999-21</t>
  </si>
  <si>
    <t>1833110500</t>
  </si>
  <si>
    <t>南・維持管理課</t>
  </si>
  <si>
    <t>R06/03/05</t>
  </si>
  <si>
    <t>20001450</t>
  </si>
  <si>
    <t>20001450-000-001-1-0481141915-999999-21</t>
  </si>
  <si>
    <t>R06/03/29</t>
  </si>
  <si>
    <t>20001573</t>
  </si>
  <si>
    <t>藤井　英喜</t>
  </si>
  <si>
    <t>20001573-000-001-1-0481141915-999999-21</t>
  </si>
  <si>
    <t>橋本　浩子</t>
  </si>
  <si>
    <t>20001573-000-002-1-0481141915-999999-21</t>
  </si>
  <si>
    <t>003</t>
  </si>
  <si>
    <t>岸川　佳弘</t>
  </si>
  <si>
    <t>20001573-000-003-1-0481141915-999999-21</t>
  </si>
  <si>
    <t>004</t>
  </si>
  <si>
    <t>中本　淨子</t>
  </si>
  <si>
    <t>20001573-000-004-1-0481141915-999999-21</t>
  </si>
  <si>
    <t>R05/06/05</t>
  </si>
  <si>
    <t>20000319</t>
  </si>
  <si>
    <t>金澤　キヌエ</t>
  </si>
  <si>
    <t>20000319-000-001-1-0481141915-999999-21</t>
  </si>
  <si>
    <t>R05/06/06</t>
  </si>
  <si>
    <t>20000320</t>
  </si>
  <si>
    <t>原田　森道</t>
  </si>
  <si>
    <t>20000320-000-001-1-0481141915-999999-21</t>
  </si>
  <si>
    <t>R05/07/13</t>
  </si>
  <si>
    <t>20000487</t>
  </si>
  <si>
    <t>末石　道江</t>
  </si>
  <si>
    <t>20000487-000-001-1-0481141915-999999-21</t>
  </si>
  <si>
    <t>R05/12/18</t>
  </si>
  <si>
    <t>20001108</t>
  </si>
  <si>
    <t>國田　啓子</t>
  </si>
  <si>
    <t>20001108-000-001-1-0481141915-999999-21</t>
  </si>
  <si>
    <t>R05/12/22</t>
  </si>
  <si>
    <t>20001109</t>
  </si>
  <si>
    <t>山田　真</t>
  </si>
  <si>
    <t>20001109-000-001-1-0481141915-999999-21</t>
  </si>
  <si>
    <t>R05/04/07</t>
  </si>
  <si>
    <t>20000043</t>
  </si>
  <si>
    <t>代表取締役　神原　雅弘</t>
  </si>
  <si>
    <t>20000043-000-001-1-0481141915-999999-21</t>
  </si>
  <si>
    <t>R05/04/03</t>
  </si>
  <si>
    <t>20000045</t>
  </si>
  <si>
    <t>鈴木　順子</t>
  </si>
  <si>
    <t>20000045-000-001-1-0481141915-999999-21</t>
  </si>
  <si>
    <t>延正　絹子</t>
  </si>
  <si>
    <t>20000045-000-002-1-0481141915-999999-21</t>
  </si>
  <si>
    <t>R05/12/27</t>
  </si>
  <si>
    <t>20001158</t>
  </si>
  <si>
    <t>寄田　滿子　ほか２名</t>
  </si>
  <si>
    <t>20001158-000-001-1-0481141915-999999-21</t>
  </si>
  <si>
    <t>R05/04/11</t>
  </si>
  <si>
    <t>20000072</t>
  </si>
  <si>
    <t>澤原　克豊</t>
  </si>
  <si>
    <t>20000072-000-001-1-0481141915-999999-21</t>
  </si>
  <si>
    <t>R05/04/12</t>
  </si>
  <si>
    <t>20000073</t>
  </si>
  <si>
    <t>阿比留　時彦</t>
  </si>
  <si>
    <t>20000073-000-001-1-0481141915-999999-21</t>
  </si>
  <si>
    <t>R05/04/14</t>
  </si>
  <si>
    <t>20000074</t>
  </si>
  <si>
    <t>石本　信行</t>
  </si>
  <si>
    <t>20000074-000-001-1-0481141915-999999-21</t>
  </si>
  <si>
    <t>髙橋　一輝　</t>
  </si>
  <si>
    <t>20000074-000-002-1-0481141915-999999-21</t>
  </si>
  <si>
    <t>R05/04/26</t>
  </si>
  <si>
    <t>20000146</t>
  </si>
  <si>
    <t>寺尾　芳惠</t>
  </si>
  <si>
    <t>20000146-000-001-1-0481141915-999999-21</t>
  </si>
  <si>
    <t>R05/05/11</t>
  </si>
  <si>
    <t>20000187</t>
  </si>
  <si>
    <t>藤富　道子</t>
  </si>
  <si>
    <t>20000187-000-001-1-0481141915-999999-21</t>
  </si>
  <si>
    <t>R05/05/02</t>
  </si>
  <si>
    <t>20000155</t>
  </si>
  <si>
    <t>木野　伸一郎</t>
  </si>
  <si>
    <t>20000155-000-001-1-0481141915-999999-21</t>
  </si>
  <si>
    <t>20000971</t>
  </si>
  <si>
    <t>植西　ちよ子</t>
  </si>
  <si>
    <t>20000971-000-001-1-0481141915-999999-21</t>
  </si>
  <si>
    <t>R05/10/30</t>
  </si>
  <si>
    <t>20000933</t>
  </si>
  <si>
    <t>今中　晃</t>
  </si>
  <si>
    <t>20000933-000-001-1-0481141915-999999-21</t>
  </si>
  <si>
    <t>R05/11/15</t>
  </si>
  <si>
    <t>20000981</t>
  </si>
  <si>
    <t>畠田　恒次</t>
  </si>
  <si>
    <t>20000981-000-001-1-0481141915-999999-21</t>
  </si>
  <si>
    <t>平田　陽子</t>
  </si>
  <si>
    <t>20000981-000-002-1-0481141915-999999-21</t>
  </si>
  <si>
    <t>R05/07/27</t>
  </si>
  <si>
    <t>20000534</t>
  </si>
  <si>
    <t>20000534-000-001-1-0481141915-999999-21</t>
  </si>
  <si>
    <t>20000571</t>
  </si>
  <si>
    <t>有吉　美知子</t>
  </si>
  <si>
    <t>20000571-000-001-1-0481141915-999999-21</t>
  </si>
  <si>
    <t>R05/09/11</t>
  </si>
  <si>
    <t>20000744</t>
  </si>
  <si>
    <t>杉田　康司</t>
  </si>
  <si>
    <t>20000744-000-001-1-0481141915-999999-21</t>
  </si>
  <si>
    <t>R05/08/28</t>
  </si>
  <si>
    <t>20000682</t>
  </si>
  <si>
    <t>東陽ハウジング株式会社</t>
  </si>
  <si>
    <t>20000682-000-001-1-0481141915-999999-21</t>
  </si>
  <si>
    <t>R05/08/29</t>
  </si>
  <si>
    <t>20000683</t>
  </si>
  <si>
    <t>ライトハウス有限会社</t>
  </si>
  <si>
    <t>20000683-000-001-1-0481141915-999999-21</t>
  </si>
  <si>
    <t>R06/01/24</t>
  </si>
  <si>
    <t>下水道敷境界証明手数料</t>
  </si>
  <si>
    <t>20001219</t>
  </si>
  <si>
    <t>代表役員　アタミ一般社団法人</t>
  </si>
  <si>
    <t>20001219-000-001-1-0481141915-999999-21</t>
  </si>
  <si>
    <t>R06/01/18</t>
  </si>
  <si>
    <t>20001193</t>
  </si>
  <si>
    <t>株式会社　日本製鋼所</t>
  </si>
  <si>
    <t>20001193-000-001-1-0481141915-999999-21</t>
  </si>
  <si>
    <t>R06/01/15</t>
  </si>
  <si>
    <t>20001187</t>
  </si>
  <si>
    <t>谷本　義雄　外１名</t>
  </si>
  <si>
    <t>20001187-000-001-1-0481141915-999999-21</t>
  </si>
  <si>
    <t>R05/12/13</t>
  </si>
  <si>
    <t>20001097</t>
  </si>
  <si>
    <t>久保田　浩史</t>
  </si>
  <si>
    <t>20001097-000-001-1-0481141915-999999-21</t>
  </si>
  <si>
    <t>1853110500</t>
  </si>
  <si>
    <t>安佐南・維持管理</t>
  </si>
  <si>
    <t>R06/02/21</t>
  </si>
  <si>
    <t xml:space="preserve">下水道敷境界証明手数料                                                          </t>
  </si>
  <si>
    <t>20001364</t>
  </si>
  <si>
    <t>宮田　光惠</t>
  </si>
  <si>
    <t>20001364-000-001-1-0481141915-999999-21</t>
  </si>
  <si>
    <t>R06/01/23</t>
  </si>
  <si>
    <t>20001259</t>
  </si>
  <si>
    <t>勝田　弘司</t>
  </si>
  <si>
    <t>20001259-000-001-1-0481141915-999999-21</t>
  </si>
  <si>
    <t>R06/01/25</t>
  </si>
  <si>
    <t>20001260</t>
  </si>
  <si>
    <t>有限会社エステートはやし</t>
  </si>
  <si>
    <t>20001260-000-001-1-0481141915-999999-21</t>
  </si>
  <si>
    <t>R06/01/11</t>
  </si>
  <si>
    <t>20001181</t>
  </si>
  <si>
    <t>横林　数磨</t>
  </si>
  <si>
    <t>20001181-000-001-1-0481141915-999999-21</t>
  </si>
  <si>
    <t>R06/01/09</t>
  </si>
  <si>
    <t>20001183</t>
  </si>
  <si>
    <t>中村　俊治</t>
  </si>
  <si>
    <t>20001183-000-001-1-0481141915-999999-21</t>
  </si>
  <si>
    <t>R06/02/26</t>
  </si>
  <si>
    <t>20001347</t>
  </si>
  <si>
    <t>平原 迪枝</t>
  </si>
  <si>
    <t>20001347-000-001-1-0481141915-999999-21</t>
  </si>
  <si>
    <t>R06/02/19</t>
  </si>
  <si>
    <t>20001348</t>
  </si>
  <si>
    <t>池田　英彦　外１名</t>
  </si>
  <si>
    <t>20001348-000-001-1-0481141915-999999-21</t>
  </si>
  <si>
    <t>R06/02/20</t>
  </si>
  <si>
    <t>20001349</t>
  </si>
  <si>
    <t>保田　智子　外１名</t>
  </si>
  <si>
    <t>20001349-000-001-1-0481141915-999999-21</t>
  </si>
  <si>
    <t>R06/02/16</t>
  </si>
  <si>
    <t>20001333</t>
  </si>
  <si>
    <t>新川　芳江</t>
  </si>
  <si>
    <t>20001333-000-001-1-0481141915-999999-21</t>
  </si>
  <si>
    <t>R06/02/15</t>
  </si>
  <si>
    <t>20001306</t>
  </si>
  <si>
    <t>久保田　敦子　外１名</t>
  </si>
  <si>
    <t>20001306-000-001-1-0481141915-999999-21</t>
  </si>
  <si>
    <t>R06/02/01</t>
  </si>
  <si>
    <t>20001285</t>
  </si>
  <si>
    <t>山本　秀樹</t>
  </si>
  <si>
    <t>20001285-000-001-1-0481141915-999999-21</t>
  </si>
  <si>
    <t>西本　泉</t>
  </si>
  <si>
    <t>20001285-000-002-1-0481141915-999999-21</t>
  </si>
  <si>
    <t>R05/06/08</t>
  </si>
  <si>
    <t>20000295</t>
  </si>
  <si>
    <t>近藤　裕子</t>
  </si>
  <si>
    <t>20000295-000-001-1-0481141915-999999-21</t>
  </si>
  <si>
    <t>20001563</t>
  </si>
  <si>
    <t>広島市長</t>
  </si>
  <si>
    <t>20001563-000-001-1-0481141915-999999-21</t>
  </si>
  <si>
    <t>R06/03/06</t>
  </si>
  <si>
    <t>20001435</t>
  </si>
  <si>
    <t>曽里　忠昭</t>
  </si>
  <si>
    <t>20001435-000-001-1-0481141915-999999-21</t>
  </si>
  <si>
    <t>R06/03/14</t>
  </si>
  <si>
    <t>20001455</t>
  </si>
  <si>
    <t>矢神興産株式会社</t>
  </si>
  <si>
    <t>20001455-000-001-1-0481141915-999999-21</t>
  </si>
  <si>
    <t>R06/03/12</t>
  </si>
  <si>
    <t>20001458</t>
  </si>
  <si>
    <t>Ｓｕｎｄｏホールディングス株式会社</t>
  </si>
  <si>
    <t>20001458-000-001-1-0481141915-999999-21</t>
  </si>
  <si>
    <t>20001459</t>
  </si>
  <si>
    <t>有限会社バースト</t>
  </si>
  <si>
    <t>20001459-000-001-1-0481141915-999999-21</t>
  </si>
  <si>
    <t>20001460</t>
  </si>
  <si>
    <t>吉村　千恵美 外４名</t>
  </si>
  <si>
    <t>20001460-000-001-1-0481141915-999999-21</t>
  </si>
  <si>
    <t>R05/06/26</t>
  </si>
  <si>
    <t>20000384</t>
  </si>
  <si>
    <t>梅野　佳代子</t>
  </si>
  <si>
    <t>20000384-000-001-1-0481141915-999999-21</t>
  </si>
  <si>
    <t>R06/03/21</t>
  </si>
  <si>
    <t>20001520</t>
  </si>
  <si>
    <t>小田　省吾</t>
  </si>
  <si>
    <t>20001520-000-001-1-0481141915-999999-21</t>
  </si>
  <si>
    <t>R05/06/15</t>
  </si>
  <si>
    <t>20000347</t>
  </si>
  <si>
    <t>天満　洋子</t>
  </si>
  <si>
    <t>20000347-000-001-1-0481141915-999999-21</t>
  </si>
  <si>
    <t>沖野　光彦</t>
  </si>
  <si>
    <t>20000347-000-002-1-0481141915-999999-21</t>
  </si>
  <si>
    <t>R05/06/20</t>
  </si>
  <si>
    <t>20000348</t>
  </si>
  <si>
    <t>株式会社トーシン住宅</t>
  </si>
  <si>
    <t>20000348-000-001-1-0481141915-999999-21</t>
  </si>
  <si>
    <t>R05/06/16</t>
  </si>
  <si>
    <t>20000350</t>
  </si>
  <si>
    <t>山根　朱美</t>
  </si>
  <si>
    <t>20000350-000-001-1-0481141915-999999-21</t>
  </si>
  <si>
    <t>20001466</t>
  </si>
  <si>
    <t>三分一　努　外１名</t>
  </si>
  <si>
    <t>20001466-000-001-1-0481141915-999999-21</t>
  </si>
  <si>
    <t>R06/03/27</t>
  </si>
  <si>
    <t>20001557</t>
  </si>
  <si>
    <t>光本　ヤエコ</t>
  </si>
  <si>
    <t>20001557-000-001-1-0481141915-999999-21</t>
  </si>
  <si>
    <t>株式会社ホゼナル</t>
  </si>
  <si>
    <t>20001557-000-002-1-0481141915-999999-21</t>
  </si>
  <si>
    <t>R06/03/26</t>
  </si>
  <si>
    <t>20001529</t>
  </si>
  <si>
    <t>木村　洋</t>
  </si>
  <si>
    <t>20001529-000-001-1-0481141915-999999-21</t>
  </si>
  <si>
    <t>R05/06/28</t>
  </si>
  <si>
    <t>20000433</t>
  </si>
  <si>
    <t>遠藤　つばさ</t>
  </si>
  <si>
    <t>20000433-000-001-1-0481141915-999999-21</t>
  </si>
  <si>
    <t>20000446</t>
  </si>
  <si>
    <t>野村　美代子</t>
  </si>
  <si>
    <t>20000446-000-001-1-0481141915-999999-21</t>
  </si>
  <si>
    <t>20000447</t>
  </si>
  <si>
    <t>大林　正典</t>
  </si>
  <si>
    <t>20000447-000-001-1-0481141915-999999-21</t>
  </si>
  <si>
    <t>R05/07/14</t>
  </si>
  <si>
    <t>20000478</t>
  </si>
  <si>
    <t>天宝商事株式会社</t>
  </si>
  <si>
    <t>20000478-000-001-1-0481141915-999999-21</t>
  </si>
  <si>
    <t>R05/07/19</t>
  </si>
  <si>
    <t>20000483</t>
  </si>
  <si>
    <t>株式会社　山村不動産開発</t>
  </si>
  <si>
    <t>20000483-000-001-1-0481141915-999999-21</t>
  </si>
  <si>
    <t>R05/07/12</t>
  </si>
  <si>
    <t>20000485</t>
  </si>
  <si>
    <t>新中　康司</t>
  </si>
  <si>
    <t>20000485-000-001-1-0481141915-999999-21</t>
  </si>
  <si>
    <t>20000486</t>
  </si>
  <si>
    <t>瀬川　祐一</t>
  </si>
  <si>
    <t>20000486-000-001-1-0481141915-999999-21</t>
  </si>
  <si>
    <t>R05/06/02</t>
  </si>
  <si>
    <t>20000275</t>
  </si>
  <si>
    <t>槙林　基樹</t>
  </si>
  <si>
    <t>20000275-000-001-1-0481141915-999999-21</t>
  </si>
  <si>
    <t>R05/06/07</t>
  </si>
  <si>
    <t>20000322</t>
  </si>
  <si>
    <t>岩本　八千恵</t>
  </si>
  <si>
    <t>20000322-000-001-1-0481141915-999999-21</t>
  </si>
  <si>
    <t>R05/12/15</t>
  </si>
  <si>
    <t>20001102</t>
  </si>
  <si>
    <t>蓮池　美智子</t>
  </si>
  <si>
    <t>20001102-000-001-1-0481141915-999999-21</t>
  </si>
  <si>
    <t>20001103</t>
  </si>
  <si>
    <t>原　康彦</t>
  </si>
  <si>
    <t>20001103-000-001-1-0481141915-999999-21</t>
  </si>
  <si>
    <t>R05/12/19</t>
  </si>
  <si>
    <t>20001104</t>
  </si>
  <si>
    <t>竹岡　公男</t>
  </si>
  <si>
    <t>20001104-000-001-1-0481141915-999999-21</t>
  </si>
  <si>
    <t>R05/12/21</t>
  </si>
  <si>
    <t>20001105</t>
  </si>
  <si>
    <t>株式会社信和ホーム</t>
  </si>
  <si>
    <t>20001105-000-001-1-0481141915-999999-21</t>
  </si>
  <si>
    <t>R05/12/26</t>
  </si>
  <si>
    <t>20001106</t>
  </si>
  <si>
    <t>髙島　由佳</t>
  </si>
  <si>
    <t>20001106-000-001-1-0481141915-999999-21</t>
  </si>
  <si>
    <t>20001107</t>
  </si>
  <si>
    <t>株式会社フォルテ</t>
  </si>
  <si>
    <t>20001107-000-001-1-0481141915-999999-21</t>
  </si>
  <si>
    <t>20000011</t>
  </si>
  <si>
    <t>中道　正弘</t>
  </si>
  <si>
    <t>20000011-000-001-1-0481141915-999999-21</t>
  </si>
  <si>
    <t>R05/04/06</t>
  </si>
  <si>
    <t>20000021</t>
  </si>
  <si>
    <t>齋　邦子　外１名</t>
  </si>
  <si>
    <t>20000021-000-001-1-0481141915-999999-21</t>
  </si>
  <si>
    <t>20000022</t>
  </si>
  <si>
    <t>山口　千恵　外１名</t>
  </si>
  <si>
    <t>20000022-000-001-1-0481141915-999999-21</t>
  </si>
  <si>
    <t>R05/04/20</t>
  </si>
  <si>
    <t>20000076</t>
  </si>
  <si>
    <t>福永　秀</t>
  </si>
  <si>
    <t>20000076-000-001-1-0481141915-999999-21</t>
  </si>
  <si>
    <t>R05/04/28</t>
  </si>
  <si>
    <t>20000137</t>
  </si>
  <si>
    <t>井原　渉　ほか１名</t>
  </si>
  <si>
    <t>20000137-000-001-1-0481141915-999999-21</t>
  </si>
  <si>
    <t>20000066</t>
  </si>
  <si>
    <t>小野村　安正</t>
  </si>
  <si>
    <t>20000066-000-001-1-0481141915-999999-21</t>
  </si>
  <si>
    <t>20000088</t>
  </si>
  <si>
    <t>新澤　護</t>
  </si>
  <si>
    <t>20000088-000-001-1-0481141915-999999-21</t>
  </si>
  <si>
    <t>R05/05/31</t>
  </si>
  <si>
    <t>20000240</t>
  </si>
  <si>
    <t>菅野　隆之　外１名</t>
  </si>
  <si>
    <t>20000240-000-001-1-0481141915-999999-21</t>
  </si>
  <si>
    <t>佐久間　朋典</t>
  </si>
  <si>
    <t>20000240-000-002-1-0481141915-999999-21</t>
  </si>
  <si>
    <t>R05/05/23</t>
  </si>
  <si>
    <t>20000205</t>
  </si>
  <si>
    <t>小林　達也</t>
  </si>
  <si>
    <t>20000205-000-001-1-0481141915-999999-21</t>
  </si>
  <si>
    <t>R05/05/09</t>
  </si>
  <si>
    <t>20000167</t>
  </si>
  <si>
    <t>近藤　裕子　ほか１名</t>
  </si>
  <si>
    <t>20000167-000-001-1-0481141915-999999-21</t>
  </si>
  <si>
    <t>20000168</t>
  </si>
  <si>
    <t>岩本　ほずみ</t>
  </si>
  <si>
    <t>20000168-000-001-1-0481141915-999999-21</t>
  </si>
  <si>
    <t>R05/05/12</t>
  </si>
  <si>
    <t>20000169</t>
  </si>
  <si>
    <t>児玉　光成</t>
  </si>
  <si>
    <t>20000169-000-001-1-0481141915-999999-21</t>
  </si>
  <si>
    <t>藤本　孝実</t>
  </si>
  <si>
    <t>20000169-000-002-1-0481141915-999999-21</t>
  </si>
  <si>
    <t>20000160</t>
  </si>
  <si>
    <t>中野　美鈴</t>
  </si>
  <si>
    <t>20000160-000-001-1-0481141915-999999-21</t>
  </si>
  <si>
    <t>後藤　博文</t>
  </si>
  <si>
    <t>20000160-000-002-1-0481141915-999999-21</t>
  </si>
  <si>
    <t>R05/07/11</t>
  </si>
  <si>
    <t>20000469</t>
  </si>
  <si>
    <t>武政　志保</t>
  </si>
  <si>
    <t>20000469-000-001-1-0481141915-999999-21</t>
  </si>
  <si>
    <t>20000470</t>
  </si>
  <si>
    <t>山縣　紀子</t>
  </si>
  <si>
    <t>20000470-000-001-1-0481141915-999999-21</t>
  </si>
  <si>
    <t>R05/10/27</t>
  </si>
  <si>
    <t>20000911</t>
  </si>
  <si>
    <t>青野　重信</t>
  </si>
  <si>
    <t>20000911-000-001-1-0481141915-999999-21</t>
  </si>
  <si>
    <t>R05/10/25</t>
  </si>
  <si>
    <t>20000915</t>
  </si>
  <si>
    <t>光田　佐千子</t>
  </si>
  <si>
    <t>20000915-000-001-1-0481141915-999999-21</t>
  </si>
  <si>
    <t>R05/10/16</t>
  </si>
  <si>
    <t>20000868</t>
  </si>
  <si>
    <t>広島アルミニウム工業株式会社</t>
  </si>
  <si>
    <t>20000868-000-001-1-0481141915-999999-21</t>
  </si>
  <si>
    <t>R05/09/29</t>
  </si>
  <si>
    <t>20000796</t>
  </si>
  <si>
    <t>由茅　英次　外２名</t>
  </si>
  <si>
    <t>20000796-000-001-1-0481141915-999999-21</t>
  </si>
  <si>
    <t>眞藤　明</t>
  </si>
  <si>
    <t>20000796-000-002-1-0481141915-999999-21</t>
  </si>
  <si>
    <t>20000796-000-003-1-0481141915-999999-21</t>
  </si>
  <si>
    <t>真藤　和明</t>
  </si>
  <si>
    <t>20000796-000-004-1-0481141915-999999-21</t>
  </si>
  <si>
    <t>R05/10/04</t>
  </si>
  <si>
    <t>20000821</t>
  </si>
  <si>
    <t>小林　寿之</t>
  </si>
  <si>
    <t>20000821-000-001-1-0481141915-999999-21</t>
  </si>
  <si>
    <t>R05/10/06</t>
  </si>
  <si>
    <t>20000831</t>
  </si>
  <si>
    <t>川井建設株式会社</t>
  </si>
  <si>
    <t>20000831-000-001-1-0481141915-999999-21</t>
  </si>
  <si>
    <t>R05/11/07</t>
  </si>
  <si>
    <t>20000942</t>
  </si>
  <si>
    <t>松野　数子</t>
  </si>
  <si>
    <t>20000942-000-001-1-0481141915-999999-21</t>
  </si>
  <si>
    <t>R05/11/06</t>
  </si>
  <si>
    <t>20000943</t>
  </si>
  <si>
    <t>野北　良弘</t>
  </si>
  <si>
    <t>20000943-000-001-1-0481141915-999999-21</t>
  </si>
  <si>
    <t>R05/11/08</t>
  </si>
  <si>
    <t>20000944</t>
  </si>
  <si>
    <t>木藤　紀子　外１名</t>
  </si>
  <si>
    <t>20000944-000-001-1-0481141915-999999-21</t>
  </si>
  <si>
    <t>福永　美栄子</t>
  </si>
  <si>
    <t>20000944-000-002-1-0481141915-999999-21</t>
  </si>
  <si>
    <t>R05/09/13</t>
  </si>
  <si>
    <t>20000747</t>
  </si>
  <si>
    <t>有限会社マルケン</t>
  </si>
  <si>
    <t>20000747-000-001-1-0481141915-999999-21</t>
  </si>
  <si>
    <t>R05/11/09</t>
  </si>
  <si>
    <t>20000948</t>
  </si>
  <si>
    <t>中田　民子　外３名</t>
  </si>
  <si>
    <t>20000948-000-001-1-0481141915-999999-21</t>
  </si>
  <si>
    <t>R05/11/29</t>
  </si>
  <si>
    <t>20001060</t>
  </si>
  <si>
    <t>広島市南区建設部建築課（区）出納員　納</t>
  </si>
  <si>
    <t>20001060-000-001-1-0481141915-999999-21</t>
  </si>
  <si>
    <t>20001065</t>
  </si>
  <si>
    <t>株式会社　富士ハウス広島</t>
  </si>
  <si>
    <t>20001065-000-001-1-0481141915-999999-21</t>
  </si>
  <si>
    <t>R05/08/22</t>
  </si>
  <si>
    <t>20000611</t>
  </si>
  <si>
    <t>石山　雅子</t>
  </si>
  <si>
    <t>20000611-000-001-1-0481141915-999999-21</t>
  </si>
  <si>
    <t>R05/08/18</t>
  </si>
  <si>
    <t>20000616</t>
  </si>
  <si>
    <t>株式会社ＹＯＵＭＥコーポレーション</t>
  </si>
  <si>
    <t>20000616-000-001-1-0481141915-999999-21</t>
  </si>
  <si>
    <t>R05/08/08</t>
  </si>
  <si>
    <t>20000576</t>
  </si>
  <si>
    <t>植野　春江</t>
  </si>
  <si>
    <t>20000576-000-001-1-0481141915-999999-21</t>
  </si>
  <si>
    <t>20000742</t>
  </si>
  <si>
    <t>髙原　勝</t>
  </si>
  <si>
    <t>20000742-000-001-1-0481141915-999999-21</t>
  </si>
  <si>
    <t>R05/10/26</t>
  </si>
  <si>
    <t>20000908</t>
  </si>
  <si>
    <t>末澤　公彦</t>
  </si>
  <si>
    <t>20000908-000-001-1-0481141915-999999-21</t>
  </si>
  <si>
    <t>松井　裕</t>
  </si>
  <si>
    <t>20000908-000-002-1-0481141915-999999-21</t>
  </si>
  <si>
    <t>東　貴治</t>
  </si>
  <si>
    <t>20000908-000-003-1-0481141915-999999-21</t>
  </si>
  <si>
    <t>R05/09/19</t>
  </si>
  <si>
    <t>20000782</t>
  </si>
  <si>
    <t>養祖　秀男</t>
  </si>
  <si>
    <t>20000782-000-001-1-0481141915-999999-21</t>
  </si>
  <si>
    <t>R05/09/25</t>
  </si>
  <si>
    <t>20000792</t>
  </si>
  <si>
    <t>川本　一夫</t>
  </si>
  <si>
    <t>20000792-000-001-1-0481141915-999999-21</t>
  </si>
  <si>
    <t>20000649</t>
  </si>
  <si>
    <t>鳴本　なつ枝　外１名</t>
  </si>
  <si>
    <t>20000649-000-001-1-0481141915-999999-21</t>
  </si>
  <si>
    <t>鳴本　幸和</t>
  </si>
  <si>
    <t>20000649-000-002-1-0481141915-999999-21</t>
  </si>
  <si>
    <t>R05/09/06</t>
  </si>
  <si>
    <t>20000698</t>
  </si>
  <si>
    <t>シバタ工業株式会社</t>
  </si>
  <si>
    <t>20000698-000-001-1-0481141915-999999-21</t>
  </si>
  <si>
    <t>20000701</t>
  </si>
  <si>
    <t>成年後見人　倉田　潤平</t>
  </si>
  <si>
    <t>20000701-000-001-1-0481141915-999999-21</t>
  </si>
  <si>
    <t>R05/09/12</t>
  </si>
  <si>
    <t>20000702</t>
  </si>
  <si>
    <t>福光　信治郎　外１名</t>
  </si>
  <si>
    <t>20000702-000-001-1-0481141915-999999-21</t>
  </si>
  <si>
    <t>株式会社良和ハウス</t>
  </si>
  <si>
    <t>20000702-000-002-1-0481141915-999999-21</t>
  </si>
  <si>
    <t>1823110500</t>
  </si>
  <si>
    <t>東・維持管理課</t>
  </si>
  <si>
    <t>境界証明手数料</t>
  </si>
  <si>
    <t>20001265</t>
  </si>
  <si>
    <t>和田森　スミヨ　</t>
  </si>
  <si>
    <t>20001265-000-001-1-0481141915-999999-21</t>
  </si>
  <si>
    <t xml:space="preserve">境界証明手数料                                                                  </t>
  </si>
  <si>
    <t>20001429</t>
  </si>
  <si>
    <t>山田　博光</t>
  </si>
  <si>
    <t>20001429-000-001-1-0481141915-999999-21</t>
  </si>
  <si>
    <t>R06/02/29</t>
  </si>
  <si>
    <t>20001430</t>
  </si>
  <si>
    <t>藤田　富子</t>
  </si>
  <si>
    <t>20001430-000-001-1-0481141915-999999-21</t>
  </si>
  <si>
    <t>山田　忠義</t>
  </si>
  <si>
    <t>20001430-000-002-1-0481141915-999999-21</t>
  </si>
  <si>
    <t>R06/01/29</t>
  </si>
  <si>
    <t>20001289</t>
  </si>
  <si>
    <t>川口　洋子</t>
  </si>
  <si>
    <t>20001289-000-001-1-0481141915-999999-21</t>
  </si>
  <si>
    <t>20000445</t>
  </si>
  <si>
    <t>有限会社アスカプランニング</t>
  </si>
  <si>
    <t>20000445-000-001-1-0481141915-999999-21</t>
  </si>
  <si>
    <t>20000495</t>
  </si>
  <si>
    <t>山本　澄枝　外１名</t>
  </si>
  <si>
    <t>20000495-000-001-1-0481141915-999999-21</t>
  </si>
  <si>
    <t>R05/07/18</t>
  </si>
  <si>
    <t>20000496</t>
  </si>
  <si>
    <t>植田　耕三</t>
  </si>
  <si>
    <t>20000496-000-001-1-0481141915-999999-21</t>
  </si>
  <si>
    <t>R05/07/04</t>
  </si>
  <si>
    <t>20000479</t>
  </si>
  <si>
    <t>大原　健嗣</t>
  </si>
  <si>
    <t>20000479-000-001-1-0481141915-999999-21</t>
  </si>
  <si>
    <t>R05/05/25</t>
  </si>
  <si>
    <t>20000284</t>
  </si>
  <si>
    <t>大西　文子</t>
  </si>
  <si>
    <t>20000284-000-001-1-0481141915-999999-21</t>
  </si>
  <si>
    <t>20000143</t>
  </si>
  <si>
    <t>坂本　靖夫</t>
  </si>
  <si>
    <t>20000143-000-001-1-0481141915-999999-21</t>
  </si>
  <si>
    <t>20000144</t>
  </si>
  <si>
    <t>中土井　重治</t>
  </si>
  <si>
    <t>20000144-000-001-1-0481141915-999999-21</t>
  </si>
  <si>
    <t>中土井　重治　外１名</t>
  </si>
  <si>
    <t>20000144-000-002-1-0481141915-999999-21</t>
  </si>
  <si>
    <t>20000145</t>
  </si>
  <si>
    <t>金行　恒雄</t>
  </si>
  <si>
    <t>20000145-000-001-1-0481141915-999999-21</t>
  </si>
  <si>
    <t>吉田　考志</t>
  </si>
  <si>
    <t>20000145-000-002-1-0481141915-999999-21</t>
  </si>
  <si>
    <t>R05/04/13</t>
  </si>
  <si>
    <t>20000126</t>
  </si>
  <si>
    <t>石津　仁也　外１名</t>
  </si>
  <si>
    <t>20000126-000-001-1-0481141915-999999-21</t>
  </si>
  <si>
    <t>20000129</t>
  </si>
  <si>
    <t>宮本　章弘</t>
  </si>
  <si>
    <t>20000129-000-001-1-0481141915-999999-21</t>
  </si>
  <si>
    <t>20000972</t>
  </si>
  <si>
    <t>吉野　元章</t>
  </si>
  <si>
    <t>20000972-000-001-1-0481141915-999999-21</t>
  </si>
  <si>
    <t>20000795</t>
  </si>
  <si>
    <t>島屋不動産株式会社</t>
  </si>
  <si>
    <t>20000795-000-001-1-0481141915-999999-21</t>
  </si>
  <si>
    <t>20000815</t>
  </si>
  <si>
    <t>片山　冬樹</t>
  </si>
  <si>
    <t>20000815-000-001-1-0481141915-999999-21</t>
  </si>
  <si>
    <t>R05/09/26</t>
  </si>
  <si>
    <t>20000816</t>
  </si>
  <si>
    <t>株式会社ディライトデスク</t>
  </si>
  <si>
    <t>20000816-000-001-1-0481141915-999999-21</t>
  </si>
  <si>
    <t>20001044</t>
  </si>
  <si>
    <t>森垣　涼子</t>
  </si>
  <si>
    <t>20001044-000-001-1-0481141915-999999-21</t>
  </si>
  <si>
    <t>20000935</t>
  </si>
  <si>
    <t>有限会社トラスティ</t>
  </si>
  <si>
    <t>20000935-000-001-1-0481141915-999999-21</t>
  </si>
  <si>
    <t>20000936</t>
  </si>
  <si>
    <t>増田　亮</t>
  </si>
  <si>
    <t>20000936-000-001-1-0481141915-999999-21</t>
  </si>
  <si>
    <t>R05/11/22</t>
  </si>
  <si>
    <t>20000984</t>
  </si>
  <si>
    <t>前西　公一</t>
  </si>
  <si>
    <t>20000984-000-001-1-0481141915-999999-21</t>
  </si>
  <si>
    <t>20000985</t>
  </si>
  <si>
    <t>德本　千晶　外３名</t>
  </si>
  <si>
    <t>20000985-000-001-1-0481141915-999999-21</t>
  </si>
  <si>
    <t>R05/10/02</t>
  </si>
  <si>
    <t>20000836</t>
  </si>
  <si>
    <t>株式会社フリート</t>
  </si>
  <si>
    <t>20000836-000-001-1-0481141915-999999-21</t>
  </si>
  <si>
    <t>森田　善仁</t>
  </si>
  <si>
    <t>20000836-000-002-1-0481141915-999999-21</t>
  </si>
  <si>
    <t>R05/10/19</t>
  </si>
  <si>
    <t>20000906</t>
  </si>
  <si>
    <t>丸和不動産販売株式会社</t>
  </si>
  <si>
    <t>20000906-000-001-1-0481141915-999999-21</t>
  </si>
  <si>
    <t>R05/08/24</t>
  </si>
  <si>
    <t>20000697</t>
  </si>
  <si>
    <t>渡田　明子</t>
  </si>
  <si>
    <t>20000697-000-001-1-0481141915-999999-21</t>
  </si>
  <si>
    <t>1502112500</t>
  </si>
  <si>
    <t>旭町水資源再生センター</t>
  </si>
  <si>
    <t>境界線（区域線）証明手数料（旭町水資源再生センター）</t>
  </si>
  <si>
    <t>20000324</t>
  </si>
  <si>
    <t>仁井　和子</t>
  </si>
  <si>
    <t>20000324-000-001-1-0481141915-999999-21</t>
  </si>
  <si>
    <t>R05/06/21</t>
  </si>
  <si>
    <t>境界線（区域線）証明手数料（己斐中継ポンプ場）</t>
  </si>
  <si>
    <t>20000388</t>
  </si>
  <si>
    <t>代表取締役　春木　泰行</t>
  </si>
  <si>
    <t>20000388-000-001-1-0481141915-999999-21</t>
  </si>
  <si>
    <t>1843110500</t>
  </si>
  <si>
    <t>西・維持管理課</t>
  </si>
  <si>
    <t>境界線証明手数料　</t>
  </si>
  <si>
    <t>20001194</t>
  </si>
  <si>
    <t>楠　七海雄</t>
  </si>
  <si>
    <t>20001194-000-001-1-0481141915-999999-21</t>
  </si>
  <si>
    <t>R06/01/17</t>
  </si>
  <si>
    <t>20001225</t>
  </si>
  <si>
    <t>古川　博</t>
  </si>
  <si>
    <t>20001225-000-001-1-0481141915-999999-21</t>
  </si>
  <si>
    <t xml:space="preserve">境界線証明手数料                                                                </t>
  </si>
  <si>
    <t>20001457</t>
  </si>
  <si>
    <t>田中　淳</t>
  </si>
  <si>
    <t>20001457-000-001-1-0481141915-999999-21</t>
  </si>
  <si>
    <t>20000328</t>
  </si>
  <si>
    <t>新田　米造</t>
  </si>
  <si>
    <t>20000328-000-001-1-0481141915-999999-21</t>
  </si>
  <si>
    <t>20000331</t>
  </si>
  <si>
    <t>鈴木　清明　ほか</t>
  </si>
  <si>
    <t>20000331-000-001-1-0481141915-999999-21</t>
  </si>
  <si>
    <t>20000492</t>
  </si>
  <si>
    <t>松本　吉信　ほか１名</t>
  </si>
  <si>
    <t>20000492-000-001-1-0481141915-999999-21</t>
  </si>
  <si>
    <t>R05/07/05</t>
  </si>
  <si>
    <t>20000474</t>
  </si>
  <si>
    <t>株式会社　シニア・ハウス</t>
  </si>
  <si>
    <t>20000474-000-001-1-0481141915-999999-21</t>
  </si>
  <si>
    <t>R05/05/17</t>
  </si>
  <si>
    <t>20000268</t>
  </si>
  <si>
    <t>田村　信子　ほか１名</t>
  </si>
  <si>
    <t>20000268-000-001-1-0481141915-999999-21</t>
  </si>
  <si>
    <t>20001136</t>
  </si>
  <si>
    <t>髙野　賢二</t>
  </si>
  <si>
    <t>20001136-000-001-1-0481141915-999999-21</t>
  </si>
  <si>
    <t>R05/05/08</t>
  </si>
  <si>
    <t>20000209</t>
  </si>
  <si>
    <t>中村　慎吾</t>
  </si>
  <si>
    <t>20000209-000-001-1-0481141915-999999-21</t>
  </si>
  <si>
    <t>20000811</t>
  </si>
  <si>
    <t>濱岡　清司ほか１名</t>
  </si>
  <si>
    <t>20000811-000-001-1-0481141915-999999-21</t>
  </si>
  <si>
    <t>R05/10/05</t>
  </si>
  <si>
    <t>20000834</t>
  </si>
  <si>
    <t>和田　清明</t>
  </si>
  <si>
    <t>20000834-000-001-1-0481141915-999999-21</t>
  </si>
  <si>
    <t>20000853</t>
  </si>
  <si>
    <t>藤井　洋子</t>
  </si>
  <si>
    <t>20000853-000-001-1-0481141915-999999-21</t>
  </si>
  <si>
    <t>20000650</t>
  </si>
  <si>
    <t>金村　澄子</t>
  </si>
  <si>
    <t>20000650-000-001-1-0481141915-999999-21</t>
  </si>
  <si>
    <t>R05/07/28</t>
  </si>
  <si>
    <t>実績証明手数料</t>
  </si>
  <si>
    <t>20000532</t>
  </si>
  <si>
    <t>株式会社中尾鉄工所　</t>
  </si>
  <si>
    <t>20000532-000-001-1-0481141915-999999-21</t>
  </si>
  <si>
    <t>1502110500</t>
  </si>
  <si>
    <t>管理課</t>
  </si>
  <si>
    <t>R05/09/05</t>
  </si>
  <si>
    <t>指定工事店登録手数料収入</t>
  </si>
  <si>
    <t>20000714</t>
  </si>
  <si>
    <t>0481141916</t>
  </si>
  <si>
    <t>048114001019016000</t>
  </si>
  <si>
    <t>建装工業㈲</t>
  </si>
  <si>
    <t>20000714-000-001-1-0481141916-999999-21</t>
  </si>
  <si>
    <t>R05/09/07</t>
  </si>
  <si>
    <t>20000715</t>
  </si>
  <si>
    <t>㈲沖田住宅設備　外１件</t>
  </si>
  <si>
    <t>20000715-000-001-1-0481141916-999999-21</t>
  </si>
  <si>
    <t>R05/08/07</t>
  </si>
  <si>
    <t>20000605</t>
  </si>
  <si>
    <t>㈱ことぶき住設</t>
  </si>
  <si>
    <t>20000605-000-001-1-0481141916-999999-21</t>
  </si>
  <si>
    <t>R05/08/09</t>
  </si>
  <si>
    <t>20000606</t>
  </si>
  <si>
    <t>㈱オクマサ商事</t>
  </si>
  <si>
    <t>20000606-000-001-1-0481141916-999999-21</t>
  </si>
  <si>
    <t>R05/08/04</t>
  </si>
  <si>
    <t>20000573</t>
  </si>
  <si>
    <t>㈲Ａ・Ｙ・Ａ設備</t>
  </si>
  <si>
    <t>20000573-000-001-1-0481141916-999999-21</t>
  </si>
  <si>
    <t>R05/10/03</t>
  </si>
  <si>
    <t>20000833</t>
  </si>
  <si>
    <t>㈲ワイケイ技研</t>
  </si>
  <si>
    <t>20000833-000-001-1-0481141916-999999-21</t>
  </si>
  <si>
    <t>R05/12/06</t>
  </si>
  <si>
    <t>20001069</t>
  </si>
  <si>
    <t>㈲中本興業　外２件</t>
  </si>
  <si>
    <t>20001069-000-001-1-0481141916-999999-21</t>
  </si>
  <si>
    <t>20000938</t>
  </si>
  <si>
    <t>ソーワ工業㈲</t>
  </si>
  <si>
    <t>20000938-000-001-1-0481141916-999999-21</t>
  </si>
  <si>
    <t>20000809</t>
  </si>
  <si>
    <t>㈲三基工業</t>
  </si>
  <si>
    <t>20000809-000-001-1-0481141916-999999-21</t>
  </si>
  <si>
    <t>20000932</t>
  </si>
  <si>
    <t>ニッカホーム西日本㈱　広島安佐南営業所</t>
  </si>
  <si>
    <t>20000932-000-001-1-0481141916-999999-21</t>
  </si>
  <si>
    <t>R05/10/24</t>
  </si>
  <si>
    <t>20000927</t>
  </si>
  <si>
    <t>日本冷熱工業㈱　外１件</t>
  </si>
  <si>
    <t>20000927-000-001-1-0481141916-999999-21</t>
  </si>
  <si>
    <t>20000856</t>
  </si>
  <si>
    <t>㈲デルタコンサルタント</t>
  </si>
  <si>
    <t>20000856-000-001-1-0481141916-999999-21</t>
  </si>
  <si>
    <t>20000803</t>
  </si>
  <si>
    <t>㈱ジール　安佐支店</t>
  </si>
  <si>
    <t>20000803-000-001-1-0481141916-999999-21</t>
  </si>
  <si>
    <t>20000804</t>
  </si>
  <si>
    <t>㈱ヒロキタ</t>
  </si>
  <si>
    <t>20000804-000-001-1-0481141916-999999-21</t>
  </si>
  <si>
    <t>R05/09/27</t>
  </si>
  <si>
    <t>20000805</t>
  </si>
  <si>
    <t>㈲清水設備工業</t>
  </si>
  <si>
    <t>20000805-000-001-1-0481141916-999999-21</t>
  </si>
  <si>
    <t>R05/09/28</t>
  </si>
  <si>
    <t>20000806</t>
  </si>
  <si>
    <t>㈲河野鉄工所　外１件</t>
  </si>
  <si>
    <t>20000806-000-001-1-0481141916-999999-21</t>
  </si>
  <si>
    <t>R05/10/17</t>
  </si>
  <si>
    <t>20000874</t>
  </si>
  <si>
    <t>㈱ＳＥＩＷＡ</t>
  </si>
  <si>
    <t>20000874-000-001-1-0481141916-999999-21</t>
  </si>
  <si>
    <t>R05/10/18</t>
  </si>
  <si>
    <t>20000875</t>
  </si>
  <si>
    <t>㈲せとうち設備</t>
  </si>
  <si>
    <t>20000875-000-001-1-0481141916-999999-21</t>
  </si>
  <si>
    <t>R05/09/15</t>
  </si>
  <si>
    <t>20000746</t>
  </si>
  <si>
    <t>㈲清美工業所</t>
  </si>
  <si>
    <t>20000746-000-001-1-0481141916-999999-21</t>
  </si>
  <si>
    <t>R05/11/01</t>
  </si>
  <si>
    <t>20000960</t>
  </si>
  <si>
    <t>㈲おばた設備</t>
  </si>
  <si>
    <t>20000960-000-001-1-0481141916-999999-21</t>
  </si>
  <si>
    <t>R05/11/02</t>
  </si>
  <si>
    <t>20000961</t>
  </si>
  <si>
    <t>㈲玖田設備工業</t>
  </si>
  <si>
    <t>20000961-000-001-1-0481141916-999999-21</t>
  </si>
  <si>
    <t>20000963</t>
  </si>
  <si>
    <t>（同）ニューネクストスタイル</t>
  </si>
  <si>
    <t>20000963-000-001-1-0481141916-999999-21</t>
  </si>
  <si>
    <t>20000964</t>
  </si>
  <si>
    <t>寿総業㈱</t>
  </si>
  <si>
    <t>20000964-000-001-1-0481141916-999999-21</t>
  </si>
  <si>
    <t>R05/10/11</t>
  </si>
  <si>
    <t>20000858</t>
  </si>
  <si>
    <t>㈲クレヨン</t>
  </si>
  <si>
    <t>20000858-000-001-1-0481141916-999999-21</t>
  </si>
  <si>
    <t>R05/10/13</t>
  </si>
  <si>
    <t>20000859</t>
  </si>
  <si>
    <t>㈱サンテック</t>
  </si>
  <si>
    <t>20000859-000-001-1-0481141916-999999-21</t>
  </si>
  <si>
    <t>R05/06/19</t>
  </si>
  <si>
    <t>20000426</t>
  </si>
  <si>
    <t>㈱ムラナカ設備</t>
  </si>
  <si>
    <t>20000426-000-001-1-0481141916-999999-21</t>
  </si>
  <si>
    <t>R05/04/24</t>
  </si>
  <si>
    <t>20000151</t>
  </si>
  <si>
    <t>アイビッグチェーン広島店</t>
  </si>
  <si>
    <t>20000151-000-001-1-0481141916-999999-21</t>
  </si>
  <si>
    <t>20000153</t>
  </si>
  <si>
    <t>㈱タイト設備</t>
  </si>
  <si>
    <t>20000153-000-001-1-0481141916-999999-21</t>
  </si>
  <si>
    <t>20000165</t>
  </si>
  <si>
    <t>藍原設備㈲　外２件</t>
  </si>
  <si>
    <t>20000165-000-001-1-0481141916-999999-21</t>
  </si>
  <si>
    <t>20000054</t>
  </si>
  <si>
    <t>千代田設備</t>
  </si>
  <si>
    <t>20000054-000-001-1-0481141916-999999-21</t>
  </si>
  <si>
    <t>20000190</t>
  </si>
  <si>
    <t>㈱高政商会　外１件</t>
  </si>
  <si>
    <t>20000190-000-001-1-0481141916-999999-21</t>
  </si>
  <si>
    <t>R05/04/21</t>
  </si>
  <si>
    <t>20000130</t>
  </si>
  <si>
    <t>㈲浜崎工業所</t>
  </si>
  <si>
    <t>20000130-000-001-1-0481141916-999999-21</t>
  </si>
  <si>
    <t>20000077</t>
  </si>
  <si>
    <t>中本建設㈱　外１件</t>
  </si>
  <si>
    <t>20000077-000-001-1-0481141916-999999-21</t>
  </si>
  <si>
    <t>20000078</t>
  </si>
  <si>
    <t>㈱武田電設</t>
  </si>
  <si>
    <t>20000078-000-001-1-0481141916-999999-21</t>
  </si>
  <si>
    <t>20000051</t>
  </si>
  <si>
    <t>若山工業㈱　外２件</t>
  </si>
  <si>
    <t>20000051-000-001-1-0481141916-999999-21</t>
  </si>
  <si>
    <t>R05/12/12</t>
  </si>
  <si>
    <t>20001094</t>
  </si>
  <si>
    <t>㈲安佐企業</t>
  </si>
  <si>
    <t>20001094-000-001-1-0481141916-999999-21</t>
  </si>
  <si>
    <t>R05/12/25</t>
  </si>
  <si>
    <t>20001155</t>
  </si>
  <si>
    <t>石本設備㈱</t>
  </si>
  <si>
    <t>20001155-000-001-1-0481141916-999999-21</t>
  </si>
  <si>
    <t>20001156</t>
  </si>
  <si>
    <t>㈱カシワ設備</t>
  </si>
  <si>
    <t>20001156-000-001-1-0481141916-999999-21</t>
  </si>
  <si>
    <t>R05/05/24</t>
  </si>
  <si>
    <t>20000269</t>
  </si>
  <si>
    <t>㈱竹野工業</t>
  </si>
  <si>
    <t>20000269-000-001-1-0481141916-999999-21</t>
  </si>
  <si>
    <t>20000270</t>
  </si>
  <si>
    <t>㈱オガワ総合建設</t>
  </si>
  <si>
    <t>20000270-000-001-1-0481141916-999999-21</t>
  </si>
  <si>
    <t>R05/06/01</t>
  </si>
  <si>
    <t>20000325</t>
  </si>
  <si>
    <t>㈱興祈設備　外１件</t>
  </si>
  <si>
    <t>20000325-000-001-1-0481141916-999999-21</t>
  </si>
  <si>
    <t>20000326</t>
  </si>
  <si>
    <t>㈱伊藤組</t>
  </si>
  <si>
    <t>20000326-000-001-1-0481141916-999999-21</t>
  </si>
  <si>
    <t>R05/06/27</t>
  </si>
  <si>
    <t>20000442</t>
  </si>
  <si>
    <t>山陽空調工業㈱</t>
  </si>
  <si>
    <t>20000442-000-001-1-0481141916-999999-21</t>
  </si>
  <si>
    <t>R06/03/11</t>
  </si>
  <si>
    <t xml:space="preserve">指定工事店登録手数料収入                                                        </t>
  </si>
  <si>
    <t>20001474</t>
  </si>
  <si>
    <t>㈲相野水道工事　外１件</t>
  </si>
  <si>
    <t>20001474-000-001-1-0481141916-999999-21</t>
  </si>
  <si>
    <t>20001475</t>
  </si>
  <si>
    <t>㈲永濵工業　外１件</t>
  </si>
  <si>
    <t>20001475-000-001-1-0481141916-999999-21</t>
  </si>
  <si>
    <t>R06/03/13</t>
  </si>
  <si>
    <t>20001476</t>
  </si>
  <si>
    <t>㈱新陽建設</t>
  </si>
  <si>
    <t>20001476-000-001-1-0481141916-999999-21</t>
  </si>
  <si>
    <t>20001477</t>
  </si>
  <si>
    <t>いのもと産業㈱</t>
  </si>
  <si>
    <t>20001477-000-001-1-0481141916-999999-21</t>
  </si>
  <si>
    <t>R06/03/15</t>
  </si>
  <si>
    <t>20001478</t>
  </si>
  <si>
    <t>シロヤマ住宅設備 外１件</t>
  </si>
  <si>
    <t>20001478-000-001-1-0481141916-999999-21</t>
  </si>
  <si>
    <t>20000359</t>
  </si>
  <si>
    <t>㈱東豊建設</t>
  </si>
  <si>
    <t>20000359-000-001-1-0481141916-999999-21</t>
  </si>
  <si>
    <t>R06/03/19</t>
  </si>
  <si>
    <t>20001521</t>
  </si>
  <si>
    <t>㈲中田設備</t>
  </si>
  <si>
    <t>20001521-000-001-1-0481141916-999999-21</t>
  </si>
  <si>
    <t>20001522</t>
  </si>
  <si>
    <t>エミーコーポレーション㈱　外２件</t>
  </si>
  <si>
    <t>20001522-000-001-1-0481141916-999999-21</t>
  </si>
  <si>
    <t>R06/03/22</t>
  </si>
  <si>
    <t>20001523</t>
  </si>
  <si>
    <t>アワタ工業㈱ 外１件</t>
  </si>
  <si>
    <t>20001523-000-001-1-0481141916-999999-21</t>
  </si>
  <si>
    <t>R06/03/25</t>
  </si>
  <si>
    <t>20001584</t>
  </si>
  <si>
    <t xml:space="preserve"> ㈲商栄</t>
  </si>
  <si>
    <t>20001584-000-001-1-0481141916-999999-21</t>
  </si>
  <si>
    <t>20001585</t>
  </si>
  <si>
    <t>広島ガス高田販売㈱</t>
  </si>
  <si>
    <t>20001585-000-001-1-0481141916-999999-21</t>
  </si>
  <si>
    <t>R06/03/28</t>
  </si>
  <si>
    <t>20001586</t>
  </si>
  <si>
    <t xml:space="preserve"> イワタニ山陽㈱　外２件</t>
  </si>
  <si>
    <t>20001586-000-001-1-0481141916-999999-21</t>
  </si>
  <si>
    <t>20001587</t>
  </si>
  <si>
    <t>㈲竹之内土木　外３件</t>
  </si>
  <si>
    <t>20001587-000-001-1-0481141916-999999-21</t>
  </si>
  <si>
    <t>R06/03/04</t>
  </si>
  <si>
    <t>20001446</t>
  </si>
  <si>
    <t>広島ガス湯来販売㈱　外１件</t>
  </si>
  <si>
    <t>20001446-000-001-1-0481141916-999999-21</t>
  </si>
  <si>
    <t>20001447</t>
  </si>
  <si>
    <t>佐古建設㈱</t>
  </si>
  <si>
    <t>20001447-000-001-1-0481141916-999999-21</t>
  </si>
  <si>
    <t>20001448</t>
  </si>
  <si>
    <t>㈲上野建設　外２件</t>
  </si>
  <si>
    <t>20001448-000-001-1-0481141916-999999-21</t>
  </si>
  <si>
    <t>20001449</t>
  </si>
  <si>
    <t>㈲ヒロシ工業　外１件</t>
  </si>
  <si>
    <t>20001449-000-001-1-0481141916-999999-21</t>
  </si>
  <si>
    <t>20001383</t>
  </si>
  <si>
    <t>湯来建材㈱ 外２件</t>
  </si>
  <si>
    <t>20001383-000-001-1-0481141916-999999-21</t>
  </si>
  <si>
    <t>20001384</t>
  </si>
  <si>
    <t>㈲友和管工</t>
  </si>
  <si>
    <t>20001384-000-001-1-0481141916-999999-21</t>
  </si>
  <si>
    <t>20001385</t>
  </si>
  <si>
    <t xml:space="preserve"> ㈲森本ボーリング工業</t>
  </si>
  <si>
    <t>20001385-000-001-1-0481141916-999999-21</t>
  </si>
  <si>
    <t>20001413</t>
  </si>
  <si>
    <t>㈱田尾設備</t>
  </si>
  <si>
    <t>20001413-000-001-1-0481141916-999999-21</t>
  </si>
  <si>
    <t>R06/01/31</t>
  </si>
  <si>
    <t>20001293</t>
  </si>
  <si>
    <t>廿日市上水道工事所</t>
  </si>
  <si>
    <t>20001293-000-001-1-0481141916-999999-21</t>
  </si>
  <si>
    <t>R06/02/08</t>
  </si>
  <si>
    <t>20001308</t>
  </si>
  <si>
    <t>㈲中西組</t>
  </si>
  <si>
    <t>20001308-000-001-1-0481141916-999999-21</t>
  </si>
  <si>
    <t>20001309</t>
  </si>
  <si>
    <t>㈱アサ・テクノ</t>
  </si>
  <si>
    <t>20001309-000-001-1-0481141916-999999-21</t>
  </si>
  <si>
    <t>20001291</t>
  </si>
  <si>
    <t>㈲サンヱイ工業　外１件</t>
  </si>
  <si>
    <t>20001291-000-001-1-0481141916-999999-21</t>
  </si>
  <si>
    <t>20001342</t>
  </si>
  <si>
    <t>富士整備㈱　外１件</t>
  </si>
  <si>
    <t>20001342-000-001-1-0481141916-999999-21</t>
  </si>
  <si>
    <t>20001343</t>
  </si>
  <si>
    <t>山根水利工業㈲</t>
  </si>
  <si>
    <t>20001343-000-001-1-0481141916-999999-21</t>
  </si>
  <si>
    <t>R06/02/13</t>
  </si>
  <si>
    <t>20001339</t>
  </si>
  <si>
    <t>ホクエイ設備工業㈱</t>
  </si>
  <si>
    <t>20001339-000-001-1-0481141916-999999-21</t>
  </si>
  <si>
    <t>R06/01/16</t>
  </si>
  <si>
    <t>20001223</t>
  </si>
  <si>
    <t>㈲パンネックス　外１件</t>
  </si>
  <si>
    <t>20001223-000-001-1-0481141916-999999-21</t>
  </si>
  <si>
    <t>20001224</t>
  </si>
  <si>
    <t>㈲畑賀建設</t>
  </si>
  <si>
    <t>20001224-000-001-1-0481141916-999999-21</t>
  </si>
  <si>
    <t>20001417</t>
  </si>
  <si>
    <t>ヒロプランニング</t>
  </si>
  <si>
    <t>20001417-000-001-1-0481141916-999999-21</t>
  </si>
  <si>
    <t>20001202</t>
  </si>
  <si>
    <t>㈲鳥取工業　外１件</t>
  </si>
  <si>
    <t>20001202-000-001-1-0481141916-999999-21</t>
  </si>
  <si>
    <t>R06/02/28</t>
  </si>
  <si>
    <t>20001424</t>
  </si>
  <si>
    <t xml:space="preserve"> ㈱邦友</t>
  </si>
  <si>
    <t>20001424-000-001-1-0481141916-999999-21</t>
  </si>
  <si>
    <t>R06/01/12</t>
  </si>
  <si>
    <t>20001204</t>
  </si>
  <si>
    <t>㈱クラシアン</t>
  </si>
  <si>
    <t>20001204-000-001-1-0481141916-999999-21</t>
  </si>
  <si>
    <t>1501110500</t>
  </si>
  <si>
    <t>経営企画課</t>
  </si>
  <si>
    <t>R05/11/30</t>
  </si>
  <si>
    <t>預金利子収入（譲渡性預金：令和５年１０月３０日～１１月３０日運用分）</t>
  </si>
  <si>
    <t>20001035</t>
  </si>
  <si>
    <t>0482022100</t>
  </si>
  <si>
    <t>048202001021000000</t>
  </si>
  <si>
    <t>広島信用金庫</t>
  </si>
  <si>
    <t>20001035-000-001-1-0482022100-999999-21</t>
  </si>
  <si>
    <t>利息　非課税</t>
  </si>
  <si>
    <t>R05/08/31</t>
  </si>
  <si>
    <t>預金利子収入（大口定期：令和５年６月２９日～８月３１日運用分）</t>
  </si>
  <si>
    <t>20000676</t>
  </si>
  <si>
    <t>20000676-000-001-1-0482022100-999999-21</t>
  </si>
  <si>
    <t xml:space="preserve">預金利子収入（別段預金：令和５年１０月１日～令和６年３月３１日）                </t>
  </si>
  <si>
    <t>20001594</t>
  </si>
  <si>
    <t>021406001002000000</t>
  </si>
  <si>
    <t>未収受取利息</t>
  </si>
  <si>
    <t>広島市下水道事業出納取扱金融機関　株式会社広島銀行</t>
  </si>
  <si>
    <t>20001594-000-001-1-0482022100-999999-21</t>
  </si>
  <si>
    <t>預金利子収入（別段預金：令和５年４月１日～９月３０日）</t>
  </si>
  <si>
    <t>20000813</t>
  </si>
  <si>
    <t>20000813-000-001-1-0482022100-999999-21</t>
  </si>
  <si>
    <t>令和５年度広島市の公の施設利用に伴う海田町負担の維持管理負担金（概算請求分）</t>
  </si>
  <si>
    <t>20000843</t>
  </si>
  <si>
    <t>0482093200</t>
  </si>
  <si>
    <t>021406001008000000</t>
  </si>
  <si>
    <t>未収負担金</t>
  </si>
  <si>
    <t>048209001032000000</t>
  </si>
  <si>
    <t>11</t>
  </si>
  <si>
    <t>海田町長　西田　祐三</t>
  </si>
  <si>
    <t>20000843-000-001-1-0482093200-999999-11</t>
  </si>
  <si>
    <t>令和５年度広島市の公の施設利用に伴う坂町負担の維持管理負担金（概算請求分）</t>
  </si>
  <si>
    <t>20000844</t>
  </si>
  <si>
    <t>坂町長　吉田　隆行</t>
  </si>
  <si>
    <t>20000844-000-001-1-0482093200-999999-11</t>
  </si>
  <si>
    <t>令和５年度広島市の公の施設利用に伴う府中町負担の維持管理負担金（概算請求分）</t>
  </si>
  <si>
    <t>20000842</t>
  </si>
  <si>
    <t>府中町長　佐藤　信治</t>
  </si>
  <si>
    <t>20000842-000-001-1-0482093200-999999-17</t>
  </si>
  <si>
    <t>令和５年度府中町大須地区に係る施設維持管理負担金（概算請求分）</t>
  </si>
  <si>
    <t>20000845</t>
  </si>
  <si>
    <t>20000845-000-001-1-0482093200-999999-17</t>
  </si>
  <si>
    <t>1503110200</t>
  </si>
  <si>
    <t>計画調整課</t>
  </si>
  <si>
    <t>31</t>
  </si>
  <si>
    <t>R05/09/01</t>
  </si>
  <si>
    <t xml:space="preserve">令和５年度　下水道局鉄くず（自動車・原動機付自転車・不用物品）の売払い          </t>
  </si>
  <si>
    <t>20001334</t>
  </si>
  <si>
    <t>0482123600</t>
  </si>
  <si>
    <t>不用品売却収益</t>
  </si>
  <si>
    <t>048212001036000000</t>
  </si>
  <si>
    <t>丸本鋼材株式会社</t>
  </si>
  <si>
    <t>20001334-000-001-1-0482123600-999999-17</t>
  </si>
  <si>
    <t xml:space="preserve">ＡＩを活用した下水処理場運転操作の先進的支援技術に関する実証研究に係る研究額    </t>
  </si>
  <si>
    <t>20001524</t>
  </si>
  <si>
    <t>0482124000</t>
  </si>
  <si>
    <t>021406001011010000</t>
  </si>
  <si>
    <t>未収雑収益０</t>
  </si>
  <si>
    <t>048212001040000000</t>
  </si>
  <si>
    <t>代表者　株式会社明電舎</t>
  </si>
  <si>
    <t>20001524-000-001-1-0482124000-999999-17</t>
  </si>
  <si>
    <t>さくらサーカス駐車場用地使用料</t>
  </si>
  <si>
    <t>20001179</t>
  </si>
  <si>
    <t>ＳＡＫＵＲＡ　ＰＲＯＤＵＣＴＩＯＮ　株式会社</t>
  </si>
  <si>
    <t>20001179-000-001-1-0482124000-999999-21</t>
  </si>
  <si>
    <t xml:space="preserve">さくらサーカス駐車場用地使用料の振替                                            </t>
  </si>
  <si>
    <t>振替伝票（予算振替）</t>
  </si>
  <si>
    <t>37000322</t>
  </si>
  <si>
    <t>051806001001000000</t>
  </si>
  <si>
    <t>営業外前受金</t>
  </si>
  <si>
    <t>37000322-000-001-1-0482124000-999999-21</t>
  </si>
  <si>
    <t>さくらサーカス歩行者誘導通路使用料</t>
  </si>
  <si>
    <t>20001264</t>
  </si>
  <si>
    <t>20001264-000-001-1-0482124000-999999-21</t>
  </si>
  <si>
    <t xml:space="preserve">さくらサーカス歩行者誘導通路使用料の振替                                        </t>
  </si>
  <si>
    <t>37000323</t>
  </si>
  <si>
    <t>37000323-000-001-1-0482124000-999999-21</t>
  </si>
  <si>
    <t>R06/01/05</t>
  </si>
  <si>
    <t>し尿浄化槽廃止資金貸付金に係る延滞利子収入</t>
  </si>
  <si>
    <t>20001201</t>
  </si>
  <si>
    <t>岡　マリ子　外１件</t>
  </si>
  <si>
    <t>20001201-000-001-1-0482124000-999999-21</t>
  </si>
  <si>
    <t>貸付金に係る利息　非課税</t>
  </si>
  <si>
    <t>R06/03/01</t>
  </si>
  <si>
    <t xml:space="preserve">し尿浄化槽廃止資金貸付金に係る延滞利子収入                                      </t>
  </si>
  <si>
    <t>20001443</t>
  </si>
  <si>
    <t>20001443-000-001-1-0482124000-999999-21</t>
  </si>
  <si>
    <t>20001445</t>
  </si>
  <si>
    <t>岡田　豊</t>
  </si>
  <si>
    <t>20001445-000-001-1-0482124000-999999-21</t>
  </si>
  <si>
    <t>R05/05/30</t>
  </si>
  <si>
    <t>20000290</t>
  </si>
  <si>
    <t>岡田　豊　外１件</t>
  </si>
  <si>
    <t>20000290-000-001-1-0482124000-999999-21</t>
  </si>
  <si>
    <t>R05/07/03</t>
  </si>
  <si>
    <t>20000473</t>
  </si>
  <si>
    <t>岡　マリ子　外７件</t>
  </si>
  <si>
    <t>20000473-000-001-1-0482124000-999999-21</t>
  </si>
  <si>
    <t>20000441</t>
  </si>
  <si>
    <t>山田　春男</t>
  </si>
  <si>
    <t>20000441-000-001-1-0482124000-999999-21</t>
  </si>
  <si>
    <t>20001157</t>
  </si>
  <si>
    <t>藤元　充子</t>
  </si>
  <si>
    <t>20001157-000-001-1-0482124000-999999-21</t>
  </si>
  <si>
    <t>20001095</t>
  </si>
  <si>
    <t>宇津川　健二</t>
  </si>
  <si>
    <t>20001095-000-001-1-0482124000-999999-21</t>
  </si>
  <si>
    <t>20001139</t>
  </si>
  <si>
    <t>高山　惠</t>
  </si>
  <si>
    <t>20001139-000-001-1-0482124000-999999-21</t>
  </si>
  <si>
    <t>R05/12/20</t>
  </si>
  <si>
    <t>20001140</t>
  </si>
  <si>
    <t>20001140-000-001-1-0482124000-999999-21</t>
  </si>
  <si>
    <t>R05/12/28</t>
  </si>
  <si>
    <t>20001159</t>
  </si>
  <si>
    <t>峯本　早苗</t>
  </si>
  <si>
    <t>20001159-000-001-1-0482124000-999999-21</t>
  </si>
  <si>
    <t>R05/04/17</t>
  </si>
  <si>
    <t>20000124</t>
  </si>
  <si>
    <t>20000124-000-001-1-0482124000-999999-21</t>
  </si>
  <si>
    <t>R05/04/18</t>
  </si>
  <si>
    <t>20000125</t>
  </si>
  <si>
    <t>野上　充子</t>
  </si>
  <si>
    <t>20000125-000-001-1-0482124000-999999-21</t>
  </si>
  <si>
    <t>20000189</t>
  </si>
  <si>
    <t>岡田　豊　外２件</t>
  </si>
  <si>
    <t>20000189-000-001-1-0482124000-999999-21</t>
  </si>
  <si>
    <t>R05/05/18</t>
  </si>
  <si>
    <t>20000208</t>
  </si>
  <si>
    <t>山根　美津江　外３件</t>
  </si>
  <si>
    <t>20000208-000-001-1-0482124000-999999-21</t>
  </si>
  <si>
    <t>20000128</t>
  </si>
  <si>
    <t>20000128-000-001-1-0482124000-999999-21</t>
  </si>
  <si>
    <t>20000427</t>
  </si>
  <si>
    <t>20000427-000-001-1-0482124000-999999-21</t>
  </si>
  <si>
    <t>20000425</t>
  </si>
  <si>
    <t>20000425-000-001-1-0482124000-999999-21</t>
  </si>
  <si>
    <t>R05/05/01</t>
  </si>
  <si>
    <t>20000162</t>
  </si>
  <si>
    <t>岡　マリ子</t>
  </si>
  <si>
    <t>20000162-000-001-1-0482124000-999999-21</t>
  </si>
  <si>
    <t>20000164</t>
  </si>
  <si>
    <t>藤本　晃司　外８件</t>
  </si>
  <si>
    <t>20000164-000-001-1-0482124000-999999-21</t>
  </si>
  <si>
    <t>20000937</t>
  </si>
  <si>
    <t>20000937-000-001-1-0482124000-999999-21</t>
  </si>
  <si>
    <t>R05/12/11</t>
  </si>
  <si>
    <t>20001093</t>
  </si>
  <si>
    <t>山根　美津江　外２件</t>
  </si>
  <si>
    <t>20001093-000-001-1-0482124000-999999-21</t>
  </si>
  <si>
    <t>20001042</t>
  </si>
  <si>
    <t>20001042-000-001-1-0482124000-999999-21</t>
  </si>
  <si>
    <t>20000928</t>
  </si>
  <si>
    <t>20000928-000-001-1-0482124000-999999-21</t>
  </si>
  <si>
    <t>20000930</t>
  </si>
  <si>
    <t>20000930-000-001-1-0482124000-999999-21</t>
  </si>
  <si>
    <t>20000931</t>
  </si>
  <si>
    <t>20000931-000-001-1-0482124000-999999-21</t>
  </si>
  <si>
    <t>20000808</t>
  </si>
  <si>
    <t>20000808-000-001-1-0482124000-999999-21</t>
  </si>
  <si>
    <t>20000962</t>
  </si>
  <si>
    <t>20000962-000-001-1-0482124000-999999-21</t>
  </si>
  <si>
    <t>20000873</t>
  </si>
  <si>
    <t>20000873-000-001-1-0482124000-999999-21</t>
  </si>
  <si>
    <t>R05/08/02</t>
  </si>
  <si>
    <t>20000562</t>
  </si>
  <si>
    <t>20000562-000-001-1-0482124000-999999-21</t>
  </si>
  <si>
    <t>R05/08/03</t>
  </si>
  <si>
    <t>20000564</t>
  </si>
  <si>
    <t>20000564-000-001-1-0482124000-999999-21</t>
  </si>
  <si>
    <t>20000793</t>
  </si>
  <si>
    <t>20000793-000-001-1-0482124000-999999-21</t>
  </si>
  <si>
    <t>20000855</t>
  </si>
  <si>
    <t>20000855-000-001-1-0482124000-999999-21</t>
  </si>
  <si>
    <t>R05/08/21</t>
  </si>
  <si>
    <t>20000652</t>
  </si>
  <si>
    <t>20000652-000-001-1-0482124000-999999-21</t>
  </si>
  <si>
    <t>20000711</t>
  </si>
  <si>
    <t>20000711-000-001-1-0482124000-999999-21</t>
  </si>
  <si>
    <t>R05/09/04</t>
  </si>
  <si>
    <t>20000712</t>
  </si>
  <si>
    <t>20000712-000-001-1-0482124000-999999-21</t>
  </si>
  <si>
    <t>3</t>
  </si>
  <si>
    <t>20000690</t>
  </si>
  <si>
    <t>濵木　勝　　外８件</t>
  </si>
  <si>
    <t>20000690-000-001-1-0482124000-999999-21</t>
  </si>
  <si>
    <t>20000691</t>
  </si>
  <si>
    <t>濵木　勝　外１件</t>
  </si>
  <si>
    <t>20000691-000-001-1-0482124000-999999-21</t>
  </si>
  <si>
    <t>1502111500</t>
  </si>
  <si>
    <t>千田水資源再生センター</t>
  </si>
  <si>
    <t>R05/12/07</t>
  </si>
  <si>
    <t>屋上テニスコート自動販売機光熱水費（１０・１１月分）</t>
  </si>
  <si>
    <t>20001034</t>
  </si>
  <si>
    <t>会長　中野　徹</t>
  </si>
  <si>
    <t>20001034-000-001-1-0482124000-999999-17</t>
  </si>
  <si>
    <t>R06/02/05</t>
  </si>
  <si>
    <t>屋上テニスコート自動販売機光熱水費（１２・１月分）</t>
  </si>
  <si>
    <t>20001278</t>
  </si>
  <si>
    <t>20001278-000-001-1-0482124000-999999-17</t>
  </si>
  <si>
    <t xml:space="preserve">屋上テニスコート自動販売機光熱水費（２・３月分）                                </t>
  </si>
  <si>
    <t>20001564</t>
  </si>
  <si>
    <t>20001564-000-001-1-0482124000-999999-17</t>
  </si>
  <si>
    <t>屋上テニスコート自動販売機光熱水費（４・５月分）</t>
  </si>
  <si>
    <t>20000287</t>
  </si>
  <si>
    <t>20000287-000-001-1-0482124000-999999-17</t>
  </si>
  <si>
    <t>屋上テニスコート自動販売機光熱水費（６・７月分）</t>
  </si>
  <si>
    <t>20000533</t>
  </si>
  <si>
    <t>20000533-000-001-1-0482124000-999999-17</t>
  </si>
  <si>
    <t>屋上テニスコート自動販売機光熱水費（８・９月分）</t>
  </si>
  <si>
    <t>20000802</t>
  </si>
  <si>
    <t>20000802-000-001-1-0482124000-999999-17</t>
  </si>
  <si>
    <t>R05/11/24</t>
  </si>
  <si>
    <t>下水道事業受益者分担金に係る延滞金（農集）</t>
  </si>
  <si>
    <t>20000997</t>
  </si>
  <si>
    <t>99</t>
  </si>
  <si>
    <t>静間　五男</t>
  </si>
  <si>
    <t>20000997-000-001-1-0482124000-999999-99</t>
  </si>
  <si>
    <t>遅延損害金　非課税</t>
  </si>
  <si>
    <t>R05/05/15</t>
  </si>
  <si>
    <t>20000212</t>
  </si>
  <si>
    <t>20000212-000-001-1-0482124000-999999-99</t>
  </si>
  <si>
    <t xml:space="preserve">下水道事業受益者分担金に係る延滞金(農集）                                       </t>
  </si>
  <si>
    <t>20001340</t>
  </si>
  <si>
    <t>山口　弘司</t>
  </si>
  <si>
    <t>20001340-000-001-1-0482124000-999999-21</t>
  </si>
  <si>
    <t>下水道賠償責任保険</t>
  </si>
  <si>
    <t>20001185</t>
  </si>
  <si>
    <t>損害保険ジャパン株式会社</t>
  </si>
  <si>
    <t>20001185-000-001-1-0482124000-999999-31</t>
  </si>
  <si>
    <t>保険金や共済金収入（対価性なし）　不課税</t>
  </si>
  <si>
    <t xml:space="preserve">下水道用歩掛検討委員会に係る旅費（令和５年度下期分）                            </t>
  </si>
  <si>
    <t>20001438</t>
  </si>
  <si>
    <t>公益（社）日本下水道協会　</t>
  </si>
  <si>
    <t>20001438-000-001-1-0482124000-999999-17</t>
  </si>
  <si>
    <t>下水道用歩掛検討委員会に係る旅費（令和５年度上半期分）</t>
  </si>
  <si>
    <t>20000799</t>
  </si>
  <si>
    <t>20000799-000-001-1-0482124000-999999-17</t>
  </si>
  <si>
    <t>R05/07/25</t>
  </si>
  <si>
    <t>旧翠光台団地処理場用地賃貸借料</t>
  </si>
  <si>
    <t>20000538</t>
  </si>
  <si>
    <t>株式会社曽根川施工</t>
  </si>
  <si>
    <t>20000538-000-001-1-0482124000-999999-21</t>
  </si>
  <si>
    <t>R05/04/01</t>
  </si>
  <si>
    <t>旧東浄団地下水処理場賃貸借料（令和５年度）</t>
  </si>
  <si>
    <t>37000003</t>
  </si>
  <si>
    <t>37000003-000-001-1-0482124000-999999-21</t>
  </si>
  <si>
    <t xml:space="preserve">雇用保険料預り金の更正                                                          </t>
  </si>
  <si>
    <t>37000635</t>
  </si>
  <si>
    <t>052002001006009000</t>
  </si>
  <si>
    <t>雇用保険料</t>
  </si>
  <si>
    <t>37000635-000-001-1-0482124000-999999-21</t>
  </si>
  <si>
    <t>光熱水費等実費相当額（令和５年度１０・１１月分）</t>
  </si>
  <si>
    <t>20001055</t>
  </si>
  <si>
    <t>株式会社ウォーターエージェンシー　広島オ　ペレーションセンター広島営業所</t>
  </si>
  <si>
    <t>20001055-000-001-1-0482124000-999999-17</t>
  </si>
  <si>
    <t xml:space="preserve">光熱水費等実費相当額（令和５年度１２・１月分）                                  </t>
  </si>
  <si>
    <t>20001301</t>
  </si>
  <si>
    <t>20001301-000-001-1-0482124000-999999-17</t>
  </si>
  <si>
    <t xml:space="preserve">光熱水費等実費相当額（令和５年度２・３月分）                                    </t>
  </si>
  <si>
    <t>20001600</t>
  </si>
  <si>
    <t>株式会社ウォーターエージェンシー　広島オペレーションセンター広島営業所</t>
  </si>
  <si>
    <t>20001600-000-001-1-0482124000-999999-17</t>
  </si>
  <si>
    <t>R05/06/14</t>
  </si>
  <si>
    <t>光熱水費等実費相当額（令和５年度４・５月分）</t>
  </si>
  <si>
    <t>20000307</t>
  </si>
  <si>
    <t>株式会社ウォーターエージェンシー　広島オ　ペレーションセンター</t>
  </si>
  <si>
    <t>20000307-000-001-1-0482124000-999999-17</t>
  </si>
  <si>
    <t>光熱水費等実費相当額（令和５年度６・７月分）</t>
  </si>
  <si>
    <t>20000549</t>
  </si>
  <si>
    <t>20000549-000-001-1-0482124000-999999-17</t>
  </si>
  <si>
    <t>光熱水費等実費相当額（令和５年度８・９月分）</t>
  </si>
  <si>
    <t>20000827</t>
  </si>
  <si>
    <t>20000827-000-001-1-0482124000-999999-17</t>
  </si>
  <si>
    <t>公共下水道占用料　令和５年度</t>
  </si>
  <si>
    <t>20000345</t>
  </si>
  <si>
    <t>ヴェルディ五日市八幡リバーサイド管理組合</t>
  </si>
  <si>
    <t>20000345-000-001-1-0482124000-999999-21</t>
  </si>
  <si>
    <t>20000018</t>
  </si>
  <si>
    <t>株式会社イズミ</t>
  </si>
  <si>
    <t>20000018-000-001-1-0482124000-999999-21</t>
  </si>
  <si>
    <t>20001091</t>
  </si>
  <si>
    <t>西日本電信電話株式会社</t>
  </si>
  <si>
    <t>20001091-000-001-1-0482124000-999999-21</t>
  </si>
  <si>
    <t>公共下水道占用料（１０１１４）</t>
  </si>
  <si>
    <t>37000007</t>
  </si>
  <si>
    <t>37000007-000-001-1-0482124000-999999-21</t>
  </si>
  <si>
    <t>1502112000</t>
  </si>
  <si>
    <t>江波水資源再生センター</t>
  </si>
  <si>
    <t>公共下水道占用料（支線１条）</t>
  </si>
  <si>
    <t>20000157</t>
  </si>
  <si>
    <t>西日本電信電話　株式会社　</t>
  </si>
  <si>
    <t>20000157-000-001-1-0482124000-999999-21</t>
  </si>
  <si>
    <t>公共下水道占用料（支線２条）</t>
  </si>
  <si>
    <t>20000158</t>
  </si>
  <si>
    <t>中国電力ネットワーク株式会社　広島ネットワークセンター</t>
  </si>
  <si>
    <t>20000158-000-001-1-0482124000-999999-21</t>
  </si>
  <si>
    <t>公共下水道占用料（電柱１本、架空支線２条）</t>
  </si>
  <si>
    <t>20000156</t>
  </si>
  <si>
    <t>20000156-000-001-1-0482124000-999999-21</t>
  </si>
  <si>
    <t>公共下水道等占用料（３００３４）</t>
  </si>
  <si>
    <t>20000904</t>
  </si>
  <si>
    <t>株式会社共立　</t>
  </si>
  <si>
    <t>20000904-000-001-1-0482124000-999999-21</t>
  </si>
  <si>
    <t>公共下水道等占用料（Ｒ２－４期目）</t>
  </si>
  <si>
    <t>20000280</t>
  </si>
  <si>
    <t>西日本電信電話（株）　</t>
  </si>
  <si>
    <t>20000280-000-001-1-0482124000-999999-21</t>
  </si>
  <si>
    <t>公共下水道等占用料（ふじビレッジ）</t>
  </si>
  <si>
    <t>20000004</t>
  </si>
  <si>
    <t>中国電力ネットワーク（株）　広島北ネットワークセンター</t>
  </si>
  <si>
    <t>20000004-000-001-1-0482124000-999999-21</t>
  </si>
  <si>
    <t>公共下水道等占用料（上三田農集）</t>
  </si>
  <si>
    <t>20000008</t>
  </si>
  <si>
    <t>（株）エネルギア・コミュニケーションズ　ソリューション事業統括本部</t>
  </si>
  <si>
    <t>20000008-000-001-1-0482124000-999999-21</t>
  </si>
  <si>
    <t>20000003</t>
  </si>
  <si>
    <t>20000003-000-001-1-0482124000-999999-21</t>
  </si>
  <si>
    <t>公共下水道等占用料（須沢農集）</t>
  </si>
  <si>
    <t>20000005</t>
  </si>
  <si>
    <t>20000005-000-001-1-0482124000-999999-21</t>
  </si>
  <si>
    <t>公共下水道等占用料（太田部農集）</t>
  </si>
  <si>
    <t>20000006</t>
  </si>
  <si>
    <t>20000006-000-001-1-0482124000-999999-21</t>
  </si>
  <si>
    <t>20000007</t>
  </si>
  <si>
    <t>20000007-000-001-1-0482124000-999999-21</t>
  </si>
  <si>
    <t>20000002</t>
  </si>
  <si>
    <t>20000002-000-001-1-0482124000-999999-21</t>
  </si>
  <si>
    <t>公共下水道等占用料３９３１　令和５年度分</t>
  </si>
  <si>
    <t>20000367</t>
  </si>
  <si>
    <t>住田　智</t>
  </si>
  <si>
    <t>20000367-000-001-1-0482124000-999999-99</t>
  </si>
  <si>
    <t>公共下水道等占用料３９３７　令和５年度分</t>
  </si>
  <si>
    <t>20000368</t>
  </si>
  <si>
    <t>藤光　ユリコ</t>
  </si>
  <si>
    <t>20000368-000-001-1-0482124000-999999-99</t>
  </si>
  <si>
    <t>公共下水道等占用料３９５３－１</t>
  </si>
  <si>
    <t>20000838</t>
  </si>
  <si>
    <t>20000838-000-001-1-0482124000-999999-21</t>
  </si>
  <si>
    <t>公共下水道敷等占用料</t>
  </si>
  <si>
    <t>20000351</t>
  </si>
  <si>
    <t>20000351-000-001-1-0482124000-999999-21</t>
  </si>
  <si>
    <t>20000239</t>
  </si>
  <si>
    <t>宗教法人　眞光寺</t>
  </si>
  <si>
    <t>20000239-000-001-1-0482124000-999999-21</t>
  </si>
  <si>
    <t>20000289</t>
  </si>
  <si>
    <t>20000289-000-001-1-0482124000-999999-21</t>
  </si>
  <si>
    <t>R05/05/22</t>
  </si>
  <si>
    <t>20000203</t>
  </si>
  <si>
    <t>（株）堀田組</t>
  </si>
  <si>
    <t>20000203-000-001-1-0482124000-999999-21</t>
  </si>
  <si>
    <t>20000437</t>
  </si>
  <si>
    <t>20000437-000-001-1-0482124000-999999-21</t>
  </si>
  <si>
    <t>20000015</t>
  </si>
  <si>
    <t>株式会社ちゅピＣＯＭ</t>
  </si>
  <si>
    <t>20000015-000-001-1-0482124000-999999-21</t>
  </si>
  <si>
    <t>R05/04/04</t>
  </si>
  <si>
    <t>20000019</t>
  </si>
  <si>
    <t>株式会社堀田組</t>
  </si>
  <si>
    <t>20000019-000-001-1-0482124000-999999-21</t>
  </si>
  <si>
    <t>公共下水道敷等占用料（Ｈ３１－５期目）</t>
  </si>
  <si>
    <t>20000279</t>
  </si>
  <si>
    <t>広島ガス株式会社　</t>
  </si>
  <si>
    <t>20000279-000-001-1-0482124000-999999-21</t>
  </si>
  <si>
    <t>公共下水道敷等占用料（Ｒ４－２期目）</t>
  </si>
  <si>
    <t>20000278</t>
  </si>
  <si>
    <t>20000278-000-001-1-0482124000-999999-21</t>
  </si>
  <si>
    <t>公共下水道敷等占用料（Ｒ５―８３１３）</t>
  </si>
  <si>
    <t>20000211</t>
  </si>
  <si>
    <t>広島ガス株式会社</t>
  </si>
  <si>
    <t>20000211-000-001-1-0482124000-999999-21</t>
  </si>
  <si>
    <t>R05/07/31</t>
  </si>
  <si>
    <t>公共下水道敷等占用料（Ｒ５―８３２４）</t>
  </si>
  <si>
    <t>20000529</t>
  </si>
  <si>
    <t>20000529-000-001-1-0482124000-999999-21</t>
  </si>
  <si>
    <t>公共下水道敷等占用料（Ｒ５―８３２６）</t>
  </si>
  <si>
    <t>20000651</t>
  </si>
  <si>
    <t>20000651-000-001-1-0482124000-999999-21</t>
  </si>
  <si>
    <t>公共下水道敷等占用料（Ｒ５―８３４８）</t>
  </si>
  <si>
    <t>20001182</t>
  </si>
  <si>
    <t>20001182-000-001-1-0482124000-999999-21</t>
  </si>
  <si>
    <t>公共下水道敷等占用料（Ｒ５―Ｋ００１）</t>
  </si>
  <si>
    <t>20000387</t>
  </si>
  <si>
    <t>20000387-000-001-1-0482124000-999999-21</t>
  </si>
  <si>
    <t>公共下水道敷等占用料（Ｒ５―Ｋ００３）</t>
  </si>
  <si>
    <t>20000392</t>
  </si>
  <si>
    <t>20000392-000-001-1-0482124000-999999-21</t>
  </si>
  <si>
    <t>公共下水道敷等占用料（Ｒ５―Ｋ００４）</t>
  </si>
  <si>
    <t>20000391</t>
  </si>
  <si>
    <t>20000391-000-001-1-0482124000-999999-21</t>
  </si>
  <si>
    <t>公共下水道敷等占用料（Ｒ５―Ｋ００５）</t>
  </si>
  <si>
    <t>20000386</t>
  </si>
  <si>
    <t>株式会社エネルギア・コミュニケーションズ　</t>
  </si>
  <si>
    <t>20000386-000-001-1-0482124000-999999-21</t>
  </si>
  <si>
    <t>公共下水道敷等占用料（Ｒ５―Ｋ００６）</t>
  </si>
  <si>
    <t>20000385</t>
  </si>
  <si>
    <t>中国電力ネットワーク㈱広島北ネットワークセンター　</t>
  </si>
  <si>
    <t>20000385-000-001-1-0482124000-999999-21</t>
  </si>
  <si>
    <t>R05/05/29</t>
  </si>
  <si>
    <t>公共下水道敷等占用料（第１３２０１号）令和４年度許可分</t>
  </si>
  <si>
    <t>20000228</t>
  </si>
  <si>
    <t>20000228-000-001-1-0482124000-999999-21</t>
  </si>
  <si>
    <t>公共下水道敷等占用料（第１３２０２号）令和４年度許可分</t>
  </si>
  <si>
    <t>20000229</t>
  </si>
  <si>
    <t>中国電力ネットワーク株式会社</t>
  </si>
  <si>
    <t>20000229-000-001-1-0482124000-999999-21</t>
  </si>
  <si>
    <t>公共下水道敷等占用料（第１３２０３号）令和４年度許可分</t>
  </si>
  <si>
    <t>20000230</t>
  </si>
  <si>
    <t>20000230-000-001-1-0482124000-999999-21</t>
  </si>
  <si>
    <t>公共下水道敷等占用料（第１３２０４号）令和４年度許可分</t>
  </si>
  <si>
    <t>20000231</t>
  </si>
  <si>
    <t>20000231-000-001-1-0482124000-999999-21</t>
  </si>
  <si>
    <t>公共下水道敷等占用料（第１３２０５号）令和３年度許可分</t>
  </si>
  <si>
    <t>20000222</t>
  </si>
  <si>
    <t>山口　義利</t>
  </si>
  <si>
    <t>20000222-000-001-1-0482124000-999999-21</t>
  </si>
  <si>
    <t>公共下水道敷等占用料（第１３２０６号）令和５年度許可分</t>
  </si>
  <si>
    <t>20000087</t>
  </si>
  <si>
    <t>切戸　瑞穂</t>
  </si>
  <si>
    <t>20000087-000-001-1-0482124000-999999-21</t>
  </si>
  <si>
    <t>公共下水道敷等占用料（第１３２０７号）令和５年度許可分</t>
  </si>
  <si>
    <t>20000089</t>
  </si>
  <si>
    <t>池田　一美</t>
  </si>
  <si>
    <t>20000089-000-001-1-0482124000-999999-21</t>
  </si>
  <si>
    <t>公共下水道敷等占用料（第１３２０８号）令和３年度許可分</t>
  </si>
  <si>
    <t>20000223</t>
  </si>
  <si>
    <t>学校法人龍花学園</t>
  </si>
  <si>
    <t>20000223-000-001-1-0482124000-999999-21</t>
  </si>
  <si>
    <t>公共下水道敷等占用料（第１３２０９号）令和４年度許可分</t>
  </si>
  <si>
    <t>20000232</t>
  </si>
  <si>
    <t>池田　裕子</t>
  </si>
  <si>
    <t>20000232-000-001-1-0482124000-999999-21</t>
  </si>
  <si>
    <t>公共下水道敷等占用料（第１３２１０号）</t>
  </si>
  <si>
    <t>20000012</t>
  </si>
  <si>
    <t>20000012-000-001-1-0482124000-999999-21</t>
  </si>
  <si>
    <t>公共下水道敷等占用料（第１３２１２号）令和４年度許可分</t>
  </si>
  <si>
    <t>20000235</t>
  </si>
  <si>
    <t>ＫＤＤＩ株式会社</t>
  </si>
  <si>
    <t>20000235-000-001-1-0482124000-999999-21</t>
  </si>
  <si>
    <t>公共下水道敷等占用料（第１３２１４号）令和５年度許可分</t>
  </si>
  <si>
    <t>20000094</t>
  </si>
  <si>
    <t>株式会社菊浜</t>
  </si>
  <si>
    <t>20000094-000-001-1-0482124000-999999-21</t>
  </si>
  <si>
    <t>公共下水道敷等占用料（第１３２１５号）令和５年度許可分</t>
  </si>
  <si>
    <t>20000091</t>
  </si>
  <si>
    <t>医療法人社団仁和会　児玉病院</t>
  </si>
  <si>
    <t>20000091-000-001-1-0482124000-999999-21</t>
  </si>
  <si>
    <t>公共下水道敷等占用料（第１３２１７号）令和５年度許可分</t>
  </si>
  <si>
    <t>20000092</t>
  </si>
  <si>
    <t>久都内　壽</t>
  </si>
  <si>
    <t>20000092-000-001-1-0482124000-999999-21</t>
  </si>
  <si>
    <t>公共下水道敷等占用料（第１８２号）令和３年度許可分</t>
  </si>
  <si>
    <t>20000224</t>
  </si>
  <si>
    <t>株式会社センゴク木材</t>
  </si>
  <si>
    <t>20000224-000-001-1-0482124000-999999-21</t>
  </si>
  <si>
    <t>公共下水道敷等占用料（第１８６号）令和３年度許可分</t>
  </si>
  <si>
    <t>20000227</t>
  </si>
  <si>
    <t>鈴木　佳奈子</t>
  </si>
  <si>
    <t>20000227-000-001-1-0482124000-999999-21</t>
  </si>
  <si>
    <t>公共下水道敷等占用料（第３１０２号）</t>
  </si>
  <si>
    <t>20000349</t>
  </si>
  <si>
    <t>北来　洋子</t>
  </si>
  <si>
    <t>20000349-000-001-1-0482124000-999999-21</t>
  </si>
  <si>
    <t>公共下水道敷等占用料（第３１０４号）令和４年度許可分</t>
  </si>
  <si>
    <t>20000238</t>
  </si>
  <si>
    <t>20000238-000-001-1-0482124000-999999-21</t>
  </si>
  <si>
    <t xml:space="preserve">公共下水道敷等占用料（第３１１１号）                                            </t>
  </si>
  <si>
    <t>20001315</t>
  </si>
  <si>
    <t>住友林業ホームテック株式会社　広島支店</t>
  </si>
  <si>
    <t>20001315-000-001-1-0482124000-999999-21</t>
  </si>
  <si>
    <t>公共下水道敷等占用料（第３２００６号）令和４年度許可分</t>
  </si>
  <si>
    <t>20000233</t>
  </si>
  <si>
    <t>20000233-000-001-1-0482124000-999999-21</t>
  </si>
  <si>
    <t>公共下水道敷等占用料（第４４号）令和４年度許可分</t>
  </si>
  <si>
    <t>20000236</t>
  </si>
  <si>
    <t>株式会社片岡屋</t>
  </si>
  <si>
    <t>20000236-000-001-1-0482124000-999999-21</t>
  </si>
  <si>
    <t>公共下水道敷等占用料（第５５号）令和４年度許可分</t>
  </si>
  <si>
    <t>20000237</t>
  </si>
  <si>
    <t>20000237-000-001-1-0482124000-999999-21</t>
  </si>
  <si>
    <t>公共下水道敷等占用料（第６２号）令和３年度許可分</t>
  </si>
  <si>
    <t>20000225</t>
  </si>
  <si>
    <t>医療社団法人仁和会　児玉病院</t>
  </si>
  <si>
    <t>20000225-000-001-1-0482124000-999999-21</t>
  </si>
  <si>
    <t>公共下水道敷等占用料（第８４号）令和３年度許可分</t>
  </si>
  <si>
    <t>20000226</t>
  </si>
  <si>
    <t>株式会社匠輝</t>
  </si>
  <si>
    <t>20000226-000-001-1-0482124000-999999-21</t>
  </si>
  <si>
    <t>公共下水道敷等占用料（令和５年度―８００２）</t>
  </si>
  <si>
    <t>20000294</t>
  </si>
  <si>
    <t>（株）三輝　</t>
  </si>
  <si>
    <t>20000294-000-001-1-0482124000-999999-21</t>
  </si>
  <si>
    <t>公共下水道敷等占用料（令和５年度―８００２－２）</t>
  </si>
  <si>
    <t>20000543</t>
  </si>
  <si>
    <t>（株）　三輝　</t>
  </si>
  <si>
    <t>20000543-000-001-1-0482124000-999999-21</t>
  </si>
  <si>
    <t>公共下水道敷等占用料（令和５年度―８００３）</t>
  </si>
  <si>
    <t>20000366</t>
  </si>
  <si>
    <t>株式会社アパックスホーム</t>
  </si>
  <si>
    <t>20000366-000-001-1-0482124000-999999-21</t>
  </si>
  <si>
    <t>公共下水道敷等占用料（令和５年度―８００４）</t>
  </si>
  <si>
    <t>20000615</t>
  </si>
  <si>
    <t>20000615-000-001-1-0482124000-999999-21</t>
  </si>
  <si>
    <t>公共下水道敷等占用料（令和５年度―８００５）</t>
  </si>
  <si>
    <t>20000749</t>
  </si>
  <si>
    <t>（株）テクシード　</t>
  </si>
  <si>
    <t>20000749-000-001-1-0482124000-999999-21</t>
  </si>
  <si>
    <t xml:space="preserve">公共下水道敷等占用料（令和５年度―８００６）                                    </t>
  </si>
  <si>
    <t>20001420</t>
  </si>
  <si>
    <t>株式会社ブライトシステム</t>
  </si>
  <si>
    <t>20001420-000-001-1-0482124000-999999-21</t>
  </si>
  <si>
    <t>R05/09/14</t>
  </si>
  <si>
    <t>公共下水道敷等占用料（令和５年度―８３３２）</t>
  </si>
  <si>
    <t>20000751</t>
  </si>
  <si>
    <t>（株）信和ホーム　</t>
  </si>
  <si>
    <t>20000751-000-001-1-0482124000-999999-21</t>
  </si>
  <si>
    <t>公共下水道敷等占用料（令和５年度―８３３３）</t>
  </si>
  <si>
    <t>20000750</t>
  </si>
  <si>
    <t>20000750-000-001-1-0482124000-999999-21</t>
  </si>
  <si>
    <t>公共下水道敷等占用料（令和５年度―Ｔ７００３）</t>
  </si>
  <si>
    <t>20001137</t>
  </si>
  <si>
    <t>（株）フジ　</t>
  </si>
  <si>
    <t>20001137-000-001-1-0482124000-999999-21</t>
  </si>
  <si>
    <t>公共下水道敷等占用料（令和５年度―Ｔ７００４）</t>
  </si>
  <si>
    <t>20001142</t>
  </si>
  <si>
    <t>（株）花りあ　</t>
  </si>
  <si>
    <t>20001142-000-001-1-0482124000-999999-21</t>
  </si>
  <si>
    <t>公共下水道敷等占用料（令和５年度―Ｔ７００５）</t>
  </si>
  <si>
    <t>20001146</t>
  </si>
  <si>
    <t>（株）ツルハグループ　ドラッグ＆ファーマシー西日本</t>
  </si>
  <si>
    <t>20001146-000-001-1-0482124000-999999-21</t>
  </si>
  <si>
    <t>公共下水道敷等占用料（令和５年度―Ｔ７００６）</t>
  </si>
  <si>
    <t>20001149</t>
  </si>
  <si>
    <t>（株）ホワイト舎　</t>
  </si>
  <si>
    <t>20001149-000-001-1-0482124000-999999-21</t>
  </si>
  <si>
    <t>公共下水道敷等占用料（令和５年度―Ｔ７００７）</t>
  </si>
  <si>
    <t>20001150</t>
  </si>
  <si>
    <t>友愛不動産建設（株）　</t>
  </si>
  <si>
    <t>20001150-000-001-1-0482124000-999999-21</t>
  </si>
  <si>
    <t>江波水資源再生センター自動販売機（１階玄関口Ａ）に係る電気料金（１０・１１月分）</t>
  </si>
  <si>
    <t>20001100</t>
  </si>
  <si>
    <t>（株）フジタ商事広島支店　</t>
  </si>
  <si>
    <t>20001100-000-001-1-0482124000-999999-17</t>
  </si>
  <si>
    <t xml:space="preserve">江波水資源再生センター自動販売機（１階玄関口Ａ）に係る電気料金（１２・１月分）  </t>
  </si>
  <si>
    <t>20001310</t>
  </si>
  <si>
    <t>（株）フジタ商事広島支店</t>
  </si>
  <si>
    <t>20001310-000-001-1-0482124000-999999-17</t>
  </si>
  <si>
    <t xml:space="preserve">江波水資源再生センター自動販売機（１階玄関口Ａ）に係る電気料金（２・３月分）    </t>
  </si>
  <si>
    <t>20001605</t>
  </si>
  <si>
    <t>20001605-000-001-1-0482124000-999999-17</t>
  </si>
  <si>
    <t>江波水資源再生センター自動販売機（１階玄関口Ａ）に係る電気料金（４・５月分）</t>
  </si>
  <si>
    <t>20000342</t>
  </si>
  <si>
    <t>20000342-000-001-1-0482124000-999999-17</t>
  </si>
  <si>
    <t>R05/08/17</t>
  </si>
  <si>
    <t>江波水資源再生センター自動販売機（１階玄関口Ａ）に係る電気料金（６・７月分）</t>
  </si>
  <si>
    <t>20000580</t>
  </si>
  <si>
    <t>20000580-000-001-1-0482124000-999999-17</t>
  </si>
  <si>
    <t>江波水資源再生センター自動販売機（１階玄関口Ａ）に係る電気料金（８・９月分）</t>
  </si>
  <si>
    <t>20000840</t>
  </si>
  <si>
    <t>20000840-000-001-1-0482124000-999999-17</t>
  </si>
  <si>
    <t>江波水資源再生センター自動販売機（１階玄関口Ｂ）に係る電気料金（１０・１１月分）</t>
  </si>
  <si>
    <t>20001101</t>
  </si>
  <si>
    <t>ダイコーフーズ株式会社　</t>
  </si>
  <si>
    <t>20001101-000-001-1-0482124000-999999-17</t>
  </si>
  <si>
    <t xml:space="preserve">江波水資源再生センター自動販売機（１階玄関口Ｂ）に係る電気料金（１２・１月分）  </t>
  </si>
  <si>
    <t>20001311</t>
  </si>
  <si>
    <t>ダイコーフーズ株式会社</t>
  </si>
  <si>
    <t>20001311-000-001-1-0482124000-999999-17</t>
  </si>
  <si>
    <t xml:space="preserve">江波水資源再生センター自動販売機（１階玄関口Ｂ）に係る電気料金（２・３月分）    </t>
  </si>
  <si>
    <t>20001606</t>
  </si>
  <si>
    <t>20001606-000-001-1-0482124000-999999-17</t>
  </si>
  <si>
    <t>江波水資源再生センター自動販売機（１階玄関口Ｂ）に係る電気料金（４・５月分）</t>
  </si>
  <si>
    <t>20000343</t>
  </si>
  <si>
    <t>20000343-000-001-1-0482124000-999999-17</t>
  </si>
  <si>
    <t>江波水資源再生センター自動販売機（１階玄関口Ｂ）に係る電気料金（６・７月分）</t>
  </si>
  <si>
    <t>20000575</t>
  </si>
  <si>
    <t>20000575-000-001-1-0482124000-999999-17</t>
  </si>
  <si>
    <t>江波水資源再生センター自動販売機（１階玄関口Ｂ）に係る電気料金（８・９月分）</t>
  </si>
  <si>
    <t>20000841</t>
  </si>
  <si>
    <t>20000841-000-001-1-0482124000-999999-17</t>
  </si>
  <si>
    <t>行政財産（下水道暗渠）の使用料の納入について</t>
  </si>
  <si>
    <t>20000020</t>
  </si>
  <si>
    <t>㈱ちゅピＣＯＭ　</t>
  </si>
  <si>
    <t>20000020-000-001-1-0482124000-999999-17</t>
  </si>
  <si>
    <t>管路課に確認_構造物（管きょ）の貸付料　課税</t>
  </si>
  <si>
    <t>行政財産（下水道敷地）の使用料の納入について</t>
  </si>
  <si>
    <t>20000001</t>
  </si>
  <si>
    <t>広島市長　松井　一實　（教育委員会総務部施設課）</t>
  </si>
  <si>
    <t>20000001-000-001-1-0482124000-999999-21</t>
  </si>
  <si>
    <t xml:space="preserve">行政財産の使用に伴う請求について                                                </t>
  </si>
  <si>
    <t>20001403</t>
  </si>
  <si>
    <t>ＳＡＫＵＲＡ　ＰＲＯＤＵＣＴＩＯＮ株式会社</t>
  </si>
  <si>
    <t>20001403-000-001-1-0482124000-999999-21</t>
  </si>
  <si>
    <t>R06/03/18</t>
  </si>
  <si>
    <t xml:space="preserve">行政財産の使用料の納入について                                                  </t>
  </si>
  <si>
    <t>20001559</t>
  </si>
  <si>
    <t>20001559-000-001-1-0482124000-999999-21</t>
  </si>
  <si>
    <t>行政財産の使用料の納入について</t>
  </si>
  <si>
    <t>20000071</t>
  </si>
  <si>
    <t>広島県警察本部警備部サミット対策課長</t>
  </si>
  <si>
    <t>20000071-000-001-1-0482124000-999999-21</t>
  </si>
  <si>
    <t>20000274</t>
  </si>
  <si>
    <t>日本郵政グループ労働組合</t>
  </si>
  <si>
    <t>20000274-000-001-1-0482124000-999999-17</t>
  </si>
  <si>
    <t>20001267</t>
  </si>
  <si>
    <t>20001267-000-001-1-0482124000-999999-21</t>
  </si>
  <si>
    <t>20001404</t>
  </si>
  <si>
    <t>20001404-000-001-1-0482124000-999999-21</t>
  </si>
  <si>
    <t>20001180</t>
  </si>
  <si>
    <t>20001180-000-001-1-0482124000-999999-21</t>
  </si>
  <si>
    <t>20001079</t>
  </si>
  <si>
    <t>広島市長　松井　一實</t>
  </si>
  <si>
    <t>20001079-000-001-1-0482124000-999999-21</t>
  </si>
  <si>
    <t xml:space="preserve">行政財産の使用料の納入について（収入金の更生）                                  </t>
  </si>
  <si>
    <t>37000464</t>
  </si>
  <si>
    <t>37000464-000-001-1-0482124000-999999-21</t>
  </si>
  <si>
    <t>さくらサーカス（R6分を前受計上）</t>
  </si>
  <si>
    <t>37000465</t>
  </si>
  <si>
    <t>37000465-000-001-1-0482124000-999999-21</t>
  </si>
  <si>
    <t>37000466</t>
  </si>
  <si>
    <t>37000466-000-001-1-0482124000-999999-21</t>
  </si>
  <si>
    <t>行政財産の目的外使用料（吉見園下水道敷地）</t>
  </si>
  <si>
    <t>20000080</t>
  </si>
  <si>
    <t>ライオンズマンション吉見園管理組合</t>
  </si>
  <si>
    <t>20000080-000-001-1-0482124000-999999-21</t>
  </si>
  <si>
    <t>20000185</t>
  </si>
  <si>
    <t>株式会社プラニング・Ｋ</t>
  </si>
  <si>
    <t>20000185-000-001-1-0482124000-999999-21</t>
  </si>
  <si>
    <t xml:space="preserve">行政財産の目的外使用料（吉見園下水道敷地）                                      </t>
  </si>
  <si>
    <t>20001299</t>
  </si>
  <si>
    <t>株式会社　沖田　</t>
  </si>
  <si>
    <t>20001299-000-001-1-0482124000-999999-17</t>
  </si>
  <si>
    <t>20000812</t>
  </si>
  <si>
    <t>有限会社　リプルクリエイト</t>
  </si>
  <si>
    <t>20000812-000-001-1-0482124000-999999-21</t>
  </si>
  <si>
    <t>行政財産の目的外使用料（用悪水路）</t>
  </si>
  <si>
    <t>20000013</t>
  </si>
  <si>
    <t>大和ハウス工業株式会社</t>
  </si>
  <si>
    <t>20000013-000-001-1-0482124000-999999-21</t>
  </si>
  <si>
    <t>行政財産目的外使用許可（カープ坊や）クッション外１２件に係る使用料</t>
  </si>
  <si>
    <t>20000300</t>
  </si>
  <si>
    <t>株式会社　エイジレス</t>
  </si>
  <si>
    <t>20000300-000-001-1-0482124000-999999-17</t>
  </si>
  <si>
    <t xml:space="preserve">行政財産目的外使用許可（カープ坊やネックレス外１１件）                          </t>
  </si>
  <si>
    <t>20001418</t>
  </si>
  <si>
    <t>株式会社エイジレス</t>
  </si>
  <si>
    <t>20001418-000-001-1-0482124000-999999-17</t>
  </si>
  <si>
    <t>R05/05/16</t>
  </si>
  <si>
    <t>市有地貸付料（令和５年度～令和７年度）</t>
  </si>
  <si>
    <t>20000210</t>
  </si>
  <si>
    <t>20000210-000-001-1-0482124000-999999-21</t>
  </si>
  <si>
    <t>市有地貸付料（令和５年度～令和７年度の３か年分）</t>
  </si>
  <si>
    <t>20000477</t>
  </si>
  <si>
    <t>中国電力ネットワーク（株）</t>
  </si>
  <si>
    <t>20000477-000-001-1-0482124000-999999-21</t>
  </si>
  <si>
    <t>市有地貸付料（令和６年度～令和８年度分）</t>
  </si>
  <si>
    <t>20001257</t>
  </si>
  <si>
    <t>Ｗｉｒｅｌｅｓｓ　Ｃｉｔｙ　Ｐｌａｎｎｉｇ（株）</t>
  </si>
  <si>
    <t>20001257-000-001-1-0482124000-999999-21</t>
  </si>
  <si>
    <t>自動販売機光熱水費（ダイコーフーズ別館Ｂ　１０・１１月分）</t>
  </si>
  <si>
    <t>20001056</t>
  </si>
  <si>
    <t>ダイコーフーズ（株）　</t>
  </si>
  <si>
    <t>20001056-000-001-1-0482124000-999999-17</t>
  </si>
  <si>
    <t>自動販売機光熱水費（ダイコーフーズ別館Ｂ　１２・１月分）</t>
  </si>
  <si>
    <t>20001296</t>
  </si>
  <si>
    <t>20001296-000-001-1-0482124000-999999-17</t>
  </si>
  <si>
    <t xml:space="preserve">自動販売機光熱水費（ダイコーフーズ別館Ｂ　２・３月分）                          </t>
  </si>
  <si>
    <t>20001591</t>
  </si>
  <si>
    <t>ダイコーフーズ（株）</t>
  </si>
  <si>
    <t>20001591-000-001-1-0482124000-999999-17</t>
  </si>
  <si>
    <t>自動販売機光熱水費（ダイコーフーズ別館Ｂ　４・５月分）</t>
  </si>
  <si>
    <t>20000302</t>
  </si>
  <si>
    <t>20000302-000-001-1-0482124000-999999-17</t>
  </si>
  <si>
    <t>自動販売機光熱水費（ダイコーフーズ別館Ｂ　６・７月分）</t>
  </si>
  <si>
    <t>20000547</t>
  </si>
  <si>
    <t>20000547-000-001-1-0482124000-999999-17</t>
  </si>
  <si>
    <t>自動販売機光熱水費（ダイコーフーズ別館Ｂ　８・９月分）</t>
  </si>
  <si>
    <t>20000829</t>
  </si>
  <si>
    <t>20000829-000-001-1-0482124000-999999-17</t>
  </si>
  <si>
    <t>自動販売機光熱水費（ダイコーフーズ本館　１０・１１月分）</t>
  </si>
  <si>
    <t>20001057</t>
  </si>
  <si>
    <t>20001057-000-001-1-0482124000-999999-17</t>
  </si>
  <si>
    <t>自動販売機光熱水費（ダイコーフーズ本館　１２・１月分）</t>
  </si>
  <si>
    <t>20001297</t>
  </si>
  <si>
    <t>20001297-000-001-1-0482124000-999999-17</t>
  </si>
  <si>
    <t xml:space="preserve">自動販売機光熱水費（ダイコーフーズ本館　２・３月分）                            </t>
  </si>
  <si>
    <t>20001590</t>
  </si>
  <si>
    <t>20001590-000-001-1-0482124000-999999-17</t>
  </si>
  <si>
    <t>自動販売機光熱水費（ダイコーフーズ本館　４・５月分）</t>
  </si>
  <si>
    <t>20000303</t>
  </si>
  <si>
    <t>20000303-000-001-1-0482124000-999999-17</t>
  </si>
  <si>
    <t>自動販売機光熱水費（ダイコーフーズ本館　６・７月分）</t>
  </si>
  <si>
    <t>20000546</t>
  </si>
  <si>
    <t>20000546-000-001-1-0482124000-999999-17</t>
  </si>
  <si>
    <t>自動販売機光熱水費（ダイコーフーズ本館　８・９月分）</t>
  </si>
  <si>
    <t>20000830</t>
  </si>
  <si>
    <t>20000830-000-001-1-0482124000-999999-17</t>
  </si>
  <si>
    <t>自動販売機光熱水費（フジタ商事広島支店　１０・１１月分）</t>
  </si>
  <si>
    <t>20001058</t>
  </si>
  <si>
    <t>（株）フジタ商事　広島支店</t>
  </si>
  <si>
    <t>20001058-000-001-1-0482124000-999999-17</t>
  </si>
  <si>
    <t>自動販売機光熱水費（フジタ商事広島支店　１２・１月分）</t>
  </si>
  <si>
    <t>20001295</t>
  </si>
  <si>
    <t>20001295-000-001-1-0482124000-999999-17</t>
  </si>
  <si>
    <t xml:space="preserve">自動販売機光熱水費（フジタ商事広島支店　２・３月分）                            </t>
  </si>
  <si>
    <t>20001592</t>
  </si>
  <si>
    <t>20001592-000-001-1-0482124000-999999-17</t>
  </si>
  <si>
    <t>自動販売機光熱水費（フジタ商事広島支店　４・５月分）</t>
  </si>
  <si>
    <t>20000301</t>
  </si>
  <si>
    <t>20000301-000-001-1-0482124000-999999-17</t>
  </si>
  <si>
    <t>自動販売機光熱水費（フジタ商事広島支店　６・７月分）</t>
  </si>
  <si>
    <t>20000548</t>
  </si>
  <si>
    <t>20000548-000-001-1-0482124000-999999-17</t>
  </si>
  <si>
    <t>自動販売機光熱水費（フジタ商事広島支店　８・９月分）</t>
  </si>
  <si>
    <t>20000828</t>
  </si>
  <si>
    <t>20000828-000-001-1-0482124000-999999-17</t>
  </si>
  <si>
    <t>自動販売機使用電気料金（令和５年度１０・１１月分）</t>
  </si>
  <si>
    <t>20001053</t>
  </si>
  <si>
    <t>ダイドードリンコ株式会社　西日本第一営業部</t>
  </si>
  <si>
    <t>20001053-000-001-1-0482124000-999999-17</t>
  </si>
  <si>
    <t>20001054</t>
  </si>
  <si>
    <t>ネオス（株）　</t>
  </si>
  <si>
    <t>20001054-000-001-1-0482124000-999999-17</t>
  </si>
  <si>
    <t>R06/02/14</t>
  </si>
  <si>
    <t xml:space="preserve">自動販売機使用電気料金（令和５年度１２・１月分）                                </t>
  </si>
  <si>
    <t>20001302</t>
  </si>
  <si>
    <t>20001302-000-001-1-0482124000-999999-17</t>
  </si>
  <si>
    <t>20001303</t>
  </si>
  <si>
    <t>20001303-000-001-1-0482124000-999999-17</t>
  </si>
  <si>
    <t xml:space="preserve">自動販売機使用電気料金（令和５年度２・３月分）                                  </t>
  </si>
  <si>
    <t>20001601</t>
  </si>
  <si>
    <t>20001601-000-001-1-0482124000-999999-17</t>
  </si>
  <si>
    <t>20001602</t>
  </si>
  <si>
    <t>ネオス（株）</t>
  </si>
  <si>
    <t>20001602-000-001-1-0482124000-999999-17</t>
  </si>
  <si>
    <t>自動販売機使用電気料金（令和５年度４・５月分）</t>
  </si>
  <si>
    <t>20000305</t>
  </si>
  <si>
    <t>20000305-000-001-1-0482124000-999999-17</t>
  </si>
  <si>
    <t>20000306</t>
  </si>
  <si>
    <t>20000306-000-001-1-0482124000-999999-17</t>
  </si>
  <si>
    <t>自動販売機使用電気料金（令和５年度６・７月分）</t>
  </si>
  <si>
    <t>20000550</t>
  </si>
  <si>
    <t>20000550-000-001-1-0482124000-999999-17</t>
  </si>
  <si>
    <t>20000551</t>
  </si>
  <si>
    <t>20000551-000-001-1-0482124000-999999-17</t>
  </si>
  <si>
    <t>自動販売機使用電気料金（令和５年度８・９月分）</t>
  </si>
  <si>
    <t>20000825</t>
  </si>
  <si>
    <t>20000825-000-001-1-0482124000-999999-17</t>
  </si>
  <si>
    <t>20000826</t>
  </si>
  <si>
    <t>20000826-000-001-1-0482124000-999999-17</t>
  </si>
  <si>
    <t>自動販売機使用電力料金（１０・１１月分）</t>
  </si>
  <si>
    <t>20001049</t>
  </si>
  <si>
    <t>ダイドードリンコ（株）　中四国営業部</t>
  </si>
  <si>
    <t>20001049-000-001-1-0482124000-999999-17</t>
  </si>
  <si>
    <t>20001050</t>
  </si>
  <si>
    <t>20001050-000-001-1-0482124000-999999-17</t>
  </si>
  <si>
    <t>自動販売機使用電力料金（１２・１月分）</t>
  </si>
  <si>
    <t>20001283</t>
  </si>
  <si>
    <t>20001283-000-001-1-0482124000-999999-17</t>
  </si>
  <si>
    <t>20001284</t>
  </si>
  <si>
    <t>20001284-000-001-1-0482124000-999999-17</t>
  </si>
  <si>
    <t xml:space="preserve">自動販売機使用電力料金（２・３月分）                                            </t>
  </si>
  <si>
    <t>20001608</t>
  </si>
  <si>
    <t>ダイドードリンコ（株）中四国営業部</t>
  </si>
  <si>
    <t>20001608-000-001-1-0482124000-999999-21</t>
  </si>
  <si>
    <t>20001609</t>
  </si>
  <si>
    <t>20001609-000-001-1-0482124000-999999-21</t>
  </si>
  <si>
    <t>自動販売機使用電力料金（４・５月分）</t>
  </si>
  <si>
    <t>20000297</t>
  </si>
  <si>
    <t>ダイドードリンコ（株）西日本第一営業部　</t>
  </si>
  <si>
    <t>20000297-000-001-1-0482124000-999999-17</t>
  </si>
  <si>
    <t>20000298</t>
  </si>
  <si>
    <t>20000298-000-001-1-0482124000-999999-17</t>
  </si>
  <si>
    <t>自動販売機使用電力料金（６・７月分）</t>
  </si>
  <si>
    <t>20000544</t>
  </si>
  <si>
    <t>20000544-000-001-1-0482124000-999999-17</t>
  </si>
  <si>
    <t>20000545</t>
  </si>
  <si>
    <t>20000545-000-001-1-0482124000-999999-17</t>
  </si>
  <si>
    <t>自動販売機使用電力料金（８・９月分）</t>
  </si>
  <si>
    <t>20000817</t>
  </si>
  <si>
    <t>20000817-000-001-1-0482124000-999999-17</t>
  </si>
  <si>
    <t>20000818</t>
  </si>
  <si>
    <t>20000818-000-001-1-0482124000-999999-17</t>
  </si>
  <si>
    <t>執筆に係る原稿料</t>
  </si>
  <si>
    <t>20000849</t>
  </si>
  <si>
    <t>㈱日本水道新聞社　</t>
  </si>
  <si>
    <t>20000849-000-001-1-0482124000-999999-17</t>
  </si>
  <si>
    <t>20001032</t>
  </si>
  <si>
    <t>20001032-000-001-1-0482124000-999999-17</t>
  </si>
  <si>
    <t xml:space="preserve">収入金の更正（雇用保険料預り金）                                                </t>
  </si>
  <si>
    <t>37000574</t>
  </si>
  <si>
    <t>37000574-000-001-1-0482124000-999999-21</t>
  </si>
  <si>
    <t>修正振替（元20000120）</t>
  </si>
  <si>
    <t>消化ガス発電事業に係る工事期間中の事業用地、仮設事務所等の占用料</t>
  </si>
  <si>
    <t>20000138</t>
  </si>
  <si>
    <t>20000138-000-001-1-0482124000-999999-21</t>
  </si>
  <si>
    <t>消化ガス発電事業に係る電線類及びドレン管設置使用料</t>
  </si>
  <si>
    <t>37000031</t>
  </si>
  <si>
    <t>37000031-000-001-1-0482124000-999999-21</t>
  </si>
  <si>
    <t>水洗便所改造資金金に係る延滞利子収入</t>
  </si>
  <si>
    <t>20000152</t>
  </si>
  <si>
    <t>原尾　春義</t>
  </si>
  <si>
    <t>20000152-000-001-1-0482124000-999999-21</t>
  </si>
  <si>
    <t>水洗便所改造資金貸付金に係る延滞利子収入</t>
  </si>
  <si>
    <t>20001292</t>
  </si>
  <si>
    <t>佐々木　孝昌</t>
  </si>
  <si>
    <t>20001292-000-001-1-0482124000-999999-21</t>
  </si>
  <si>
    <t>20001203</t>
  </si>
  <si>
    <t>小田　一士</t>
  </si>
  <si>
    <t>20001203-000-001-1-0482124000-999999-21</t>
  </si>
  <si>
    <t xml:space="preserve">水洗便所改造資金貸付金に係る延滞利子収入                                        </t>
  </si>
  <si>
    <t>20001416</t>
  </si>
  <si>
    <t>原尾　春義　外１件</t>
  </si>
  <si>
    <t>20001416-000-001-1-0482124000-999999-21</t>
  </si>
  <si>
    <t>20001200</t>
  </si>
  <si>
    <t>原尾　春義　外２件</t>
  </si>
  <si>
    <t>20001200-000-001-1-0482124000-999999-21</t>
  </si>
  <si>
    <t>20001261</t>
  </si>
  <si>
    <t>富樫　順子　外１件</t>
  </si>
  <si>
    <t>20001261-000-001-1-0482124000-999999-21</t>
  </si>
  <si>
    <t>20001442</t>
  </si>
  <si>
    <t>横田　茂子</t>
  </si>
  <si>
    <t>20001442-000-001-1-0482124000-999999-21</t>
  </si>
  <si>
    <t>20001444</t>
  </si>
  <si>
    <t>平久　博</t>
  </si>
  <si>
    <t>20001444-000-001-1-0482124000-999999-21</t>
  </si>
  <si>
    <t>R05/06/29</t>
  </si>
  <si>
    <t>20000443</t>
  </si>
  <si>
    <t>中川　茂</t>
  </si>
  <si>
    <t>20000443-000-001-1-0482124000-999999-21</t>
  </si>
  <si>
    <t>20000323</t>
  </si>
  <si>
    <t>平久　博　外３件</t>
  </si>
  <si>
    <t>20000323-000-001-1-0482124000-999999-21</t>
  </si>
  <si>
    <t>20000288</t>
  </si>
  <si>
    <t>寺岡　昭彦　外２件</t>
  </si>
  <si>
    <t>20000288-000-001-1-0482124000-999999-21</t>
  </si>
  <si>
    <t>R05/05/26</t>
  </si>
  <si>
    <t>20000271</t>
  </si>
  <si>
    <t>20000271-000-001-1-0482124000-999999-21</t>
  </si>
  <si>
    <t>20000475</t>
  </si>
  <si>
    <t>20000475-000-001-1-0482124000-999999-21</t>
  </si>
  <si>
    <t>R05/07/06</t>
  </si>
  <si>
    <t>20000476</t>
  </si>
  <si>
    <t>中村　寿美</t>
  </si>
  <si>
    <t>20000476-000-001-1-0482124000-999999-21</t>
  </si>
  <si>
    <t>20000440</t>
  </si>
  <si>
    <t>富樫　順子</t>
  </si>
  <si>
    <t>20000440-000-001-1-0482124000-999999-21</t>
  </si>
  <si>
    <t>20000050</t>
  </si>
  <si>
    <t>中川　茂　外１件</t>
  </si>
  <si>
    <t>20000050-000-001-1-0482124000-999999-21</t>
  </si>
  <si>
    <t>20001138</t>
  </si>
  <si>
    <t>20001138-000-001-1-0482124000-999999-21</t>
  </si>
  <si>
    <t>20000052</t>
  </si>
  <si>
    <t>矢野　美惠子</t>
  </si>
  <si>
    <t>20000052-000-001-1-0482124000-999999-21</t>
  </si>
  <si>
    <t>R05/04/05</t>
  </si>
  <si>
    <t>20000053</t>
  </si>
  <si>
    <t>平久　博　外１件</t>
  </si>
  <si>
    <t>20000053-000-001-1-0482124000-999999-21</t>
  </si>
  <si>
    <t>20000188</t>
  </si>
  <si>
    <t>20000188-000-001-1-0482124000-999999-21</t>
  </si>
  <si>
    <t>20000161</t>
  </si>
  <si>
    <t>20000161-000-001-1-0482124000-999999-21</t>
  </si>
  <si>
    <t>20000163</t>
  </si>
  <si>
    <t>20000163-000-001-1-0482124000-999999-21</t>
  </si>
  <si>
    <t>20000150</t>
  </si>
  <si>
    <t>熊野　政之</t>
  </si>
  <si>
    <t>20000150-000-001-1-0482124000-999999-21</t>
  </si>
  <si>
    <t>R05/12/05</t>
  </si>
  <si>
    <t>20001068</t>
  </si>
  <si>
    <t>20001068-000-001-1-0482124000-999999-21</t>
  </si>
  <si>
    <t>20000929</t>
  </si>
  <si>
    <t>20000929-000-001-1-0482124000-999999-21</t>
  </si>
  <si>
    <t>20000966</t>
  </si>
  <si>
    <t>20000966-000-001-1-0482124000-999999-21</t>
  </si>
  <si>
    <t>20000807</t>
  </si>
  <si>
    <t>20000807-000-001-1-0482124000-999999-21</t>
  </si>
  <si>
    <t>20000563</t>
  </si>
  <si>
    <t>20000563-000-001-1-0482124000-999999-21</t>
  </si>
  <si>
    <t>20000854</t>
  </si>
  <si>
    <t>20000854-000-001-1-0482124000-999999-21</t>
  </si>
  <si>
    <t>20000835</t>
  </si>
  <si>
    <t>20000835-000-001-1-0482124000-999999-21</t>
  </si>
  <si>
    <t>20000837</t>
  </si>
  <si>
    <t>20000837-000-001-1-0482124000-999999-21</t>
  </si>
  <si>
    <t>R05/08/14</t>
  </si>
  <si>
    <t>20000640</t>
  </si>
  <si>
    <t>20000640-000-001-1-0482124000-999999-21</t>
  </si>
  <si>
    <t>20000689</t>
  </si>
  <si>
    <t>20000689-000-001-1-0482124000-999999-21</t>
  </si>
  <si>
    <t>R05/08/23</t>
  </si>
  <si>
    <t>20000653</t>
  </si>
  <si>
    <t>20000653-000-001-1-0482124000-999999-21</t>
  </si>
  <si>
    <t>20000710</t>
  </si>
  <si>
    <t>20000710-000-001-1-0482124000-999999-21</t>
  </si>
  <si>
    <t>20000713</t>
  </si>
  <si>
    <t>20000713-000-001-1-0482124000-999999-21</t>
  </si>
  <si>
    <t>2</t>
  </si>
  <si>
    <t>20001222</t>
  </si>
  <si>
    <t>松永　京子</t>
  </si>
  <si>
    <t>20001222-000-001-1-0482124000-999999-21</t>
  </si>
  <si>
    <t>20001341</t>
  </si>
  <si>
    <t>20001341-000-001-1-0482124000-999999-21</t>
  </si>
  <si>
    <t>20001479</t>
  </si>
  <si>
    <t>20001479-000-001-1-0482124000-999999-21</t>
  </si>
  <si>
    <t>20000327</t>
  </si>
  <si>
    <t>20000327-000-001-1-0482124000-999999-21</t>
  </si>
  <si>
    <t>20000493</t>
  </si>
  <si>
    <t>20000493-000-001-1-0482124000-999999-21</t>
  </si>
  <si>
    <t>20000191</t>
  </si>
  <si>
    <t>20000191-000-001-1-0482124000-999999-21</t>
  </si>
  <si>
    <t>20001141</t>
  </si>
  <si>
    <t>20001141-000-001-1-0482124000-999999-21</t>
  </si>
  <si>
    <t>20000965</t>
  </si>
  <si>
    <t>20000965-000-001-1-0482124000-999999-21</t>
  </si>
  <si>
    <t>R05/11/21</t>
  </si>
  <si>
    <t>20001027</t>
  </si>
  <si>
    <t>20001027-000-001-1-0482124000-999999-21</t>
  </si>
  <si>
    <t>20000857</t>
  </si>
  <si>
    <t>20000857-000-001-1-0482124000-999999-21</t>
  </si>
  <si>
    <t>20000565</t>
  </si>
  <si>
    <t>20000565-000-001-1-0482124000-999999-21</t>
  </si>
  <si>
    <t>水洗便所設備資金貸付金に係る延滞利子収入</t>
  </si>
  <si>
    <t>20000127</t>
  </si>
  <si>
    <t>20000127-000-001-1-0482124000-999999-21</t>
  </si>
  <si>
    <t>20001040</t>
  </si>
  <si>
    <t>20001040-000-001-1-0482124000-999999-21</t>
  </si>
  <si>
    <t>20001041</t>
  </si>
  <si>
    <t>20001041-000-001-1-0482124000-999999-21</t>
  </si>
  <si>
    <t>20000079</t>
  </si>
  <si>
    <t>20000079-000-001-1-0482124000-999999-21</t>
  </si>
  <si>
    <t>水道使用料金（令和５年度３期分）</t>
  </si>
  <si>
    <t>20000847</t>
  </si>
  <si>
    <t>株式会社新枝建設　</t>
  </si>
  <si>
    <t>20000847-000-001-1-0482124000-999999-17</t>
  </si>
  <si>
    <t>水道使用料金（令和５年度４期分）</t>
  </si>
  <si>
    <t>20001048</t>
  </si>
  <si>
    <t>20001048-000-001-1-0482124000-999999-17</t>
  </si>
  <si>
    <t>R06/02/06</t>
  </si>
  <si>
    <t>水道使用料金（令和５年度５期分）</t>
  </si>
  <si>
    <t>20001286</t>
  </si>
  <si>
    <t>20001286-000-001-1-0482124000-999999-17</t>
  </si>
  <si>
    <t xml:space="preserve">水道使用料金（令和５年度６期分）                                                </t>
  </si>
  <si>
    <t>20001604</t>
  </si>
  <si>
    <t>株式会社新枝建設</t>
  </si>
  <si>
    <t>20001604-000-001-1-0482124000-999999-17</t>
  </si>
  <si>
    <t xml:space="preserve">西部水資源再生センターし尿等受入業務に係る光熱水費（令和５年度分）              </t>
  </si>
  <si>
    <t>20001596</t>
  </si>
  <si>
    <t>広島市長（環境局業務部業務第二課）</t>
  </si>
  <si>
    <t>20001596-000-001-1-0482124000-999999-21</t>
  </si>
  <si>
    <t xml:space="preserve">西部水資源再生センター管理棟３階事務室等に係る光熱水費等（令和５年度）          </t>
  </si>
  <si>
    <t>20001589</t>
  </si>
  <si>
    <t>一般財団法人　広島市都市整備公社　</t>
  </si>
  <si>
    <t>20001589-000-001-1-0482124000-999999-21</t>
  </si>
  <si>
    <t xml:space="preserve">西部水資源再生センター消化ガス発電施設に係る光熱水費等（令和５年度）            </t>
  </si>
  <si>
    <t>20001597</t>
  </si>
  <si>
    <t>20001597-000-001-1-0482124000-999999-21</t>
  </si>
  <si>
    <t>占用料（可部ポンプ場）</t>
  </si>
  <si>
    <t>20000036</t>
  </si>
  <si>
    <t>20000036-000-001-1-0482124000-999999-21</t>
  </si>
  <si>
    <t>20000037</t>
  </si>
  <si>
    <t>20000037-000-001-1-0482124000-999999-21</t>
  </si>
  <si>
    <t>占用料（牛田ポンプ場ほか５か所）</t>
  </si>
  <si>
    <t>20000035</t>
  </si>
  <si>
    <t>西日本電信電話株式会社中国支店</t>
  </si>
  <si>
    <t>20000035-000-001-1-0482124000-999999-21</t>
  </si>
  <si>
    <t>R05/12/01</t>
  </si>
  <si>
    <t>占用料（舟木ポンプ場）</t>
  </si>
  <si>
    <t>20001045</t>
  </si>
  <si>
    <t>20001045-000-001-1-0482124000-999999-21</t>
  </si>
  <si>
    <t>占用料（大原ポンプ場）</t>
  </si>
  <si>
    <t>20001046</t>
  </si>
  <si>
    <t>20001046-000-001-1-0482124000-999999-21</t>
  </si>
  <si>
    <t>占用料（大州雨水貯留池ほか５か所）</t>
  </si>
  <si>
    <t>20000033</t>
  </si>
  <si>
    <t>20000033-000-001-1-0482124000-999999-21</t>
  </si>
  <si>
    <t>占用料（東原ポンプ場ほか２か所）</t>
  </si>
  <si>
    <t>20000034</t>
  </si>
  <si>
    <t>中国電力ネットワーク株式会社　広島北ネットワークセンター</t>
  </si>
  <si>
    <t>20000034-000-001-1-0482124000-999999-21</t>
  </si>
  <si>
    <t>組合事務室の使用に伴う警備料金（１０・１１月分）</t>
  </si>
  <si>
    <t>20001066</t>
  </si>
  <si>
    <t>全水道広島下水道労働組合</t>
  </si>
  <si>
    <t>20001066-000-001-1-0482124000-999999-17</t>
  </si>
  <si>
    <t>組合事務室の使用に伴う警備料金（１２・１月分）</t>
  </si>
  <si>
    <t>20001300</t>
  </si>
  <si>
    <t>20001300-000-001-1-0482124000-999999-17</t>
  </si>
  <si>
    <t xml:space="preserve">組合事務室の使用に伴う警備料金（２・３月分）                                    </t>
  </si>
  <si>
    <t>20001617</t>
  </si>
  <si>
    <t>20001617-000-001-1-0482124000-999999-17</t>
  </si>
  <si>
    <t>R05/06/13</t>
  </si>
  <si>
    <t>組合事務室の使用に伴う警備料金（４・５月分）</t>
  </si>
  <si>
    <t>20000341</t>
  </si>
  <si>
    <t>20000341-000-001-1-0482124000-999999-17</t>
  </si>
  <si>
    <t>組合事務室の使用に伴う警備料金（６・７月分）</t>
  </si>
  <si>
    <t>20000566</t>
  </si>
  <si>
    <t>20000566-000-001-1-0482124000-999999-17</t>
  </si>
  <si>
    <t>組合事務室の使用に伴う警備料金（８．９月分）</t>
  </si>
  <si>
    <t>20000850</t>
  </si>
  <si>
    <t>20000850-000-001-1-0482124000-999999-17</t>
  </si>
  <si>
    <t>組合事務室の使用に伴う光熱水費等について（１０・１１月分）</t>
  </si>
  <si>
    <t>20001059</t>
  </si>
  <si>
    <t>20001059-000-001-1-0482124000-999999-14</t>
  </si>
  <si>
    <t>組合事務室の使用に伴う光熱水費等について（１２・１月分）</t>
  </si>
  <si>
    <t>20001298</t>
  </si>
  <si>
    <t>20001298-000-001-1-0482124000-999999-14</t>
  </si>
  <si>
    <t xml:space="preserve">組合事務室の使用に伴う光熱水費等について（２・３月分）                          </t>
  </si>
  <si>
    <t>20001607</t>
  </si>
  <si>
    <t>20001607-000-001-1-0482124000-999999-17</t>
  </si>
  <si>
    <t>組合事務室の使用に伴う光熱水費等について（４・５月分）</t>
  </si>
  <si>
    <t>20000308</t>
  </si>
  <si>
    <t>20000308-000-001-1-0482124000-999999-14</t>
  </si>
  <si>
    <t>組合事務室の使用に伴う光熱水費等について（６・７月分）</t>
  </si>
  <si>
    <t>20000560</t>
  </si>
  <si>
    <t>20000560-000-001-1-0482124000-999999-14</t>
  </si>
  <si>
    <t>組合事務室の使用に伴う光熱水費等について（８・９月分）</t>
  </si>
  <si>
    <t>20000839</t>
  </si>
  <si>
    <t>20000839-000-001-1-0482124000-999999-14</t>
  </si>
  <si>
    <t>南観音遊水池賃貸借料</t>
  </si>
  <si>
    <t>20001277</t>
  </si>
  <si>
    <t>ＪＲ西日本プロパティーズ株式会社</t>
  </si>
  <si>
    <t>20001277-000-001-1-0482124000-999999-14</t>
  </si>
  <si>
    <t>1ヵ月未満の土地貸付　課税</t>
  </si>
  <si>
    <t xml:space="preserve">南観音遊水池賃貸借料                                                            </t>
  </si>
  <si>
    <t>20001423</t>
  </si>
  <si>
    <t>20001423-000-001-1-0482124000-999999-17</t>
  </si>
  <si>
    <t>20001192</t>
  </si>
  <si>
    <t>河井建設工業（株）</t>
  </si>
  <si>
    <t>20001192-000-001-1-0482124000-999999-14</t>
  </si>
  <si>
    <t>20000281</t>
  </si>
  <si>
    <t>20000281-000-001-1-0482124000-999999-21</t>
  </si>
  <si>
    <t>1ヵ月以上の土地貸付　非課税</t>
  </si>
  <si>
    <t>20000282</t>
  </si>
  <si>
    <t>20000282-000-001-1-0482124000-999999-14</t>
  </si>
  <si>
    <t>20000420</t>
  </si>
  <si>
    <t>20000420-000-001-1-0482124000-999999-14</t>
  </si>
  <si>
    <t>20000147</t>
  </si>
  <si>
    <t>株式会社　共立</t>
  </si>
  <si>
    <t>20000147-000-001-1-0482124000-999999-99</t>
  </si>
  <si>
    <t>20000206</t>
  </si>
  <si>
    <t>支出負担行為担当官　広島県警察会計担当者　森元　良幸</t>
  </si>
  <si>
    <t>20000206-000-001-1-0482124000-999999-21</t>
  </si>
  <si>
    <t>20000207</t>
  </si>
  <si>
    <t>8</t>
  </si>
  <si>
    <t>20000207-000-001-1-0482124000-999999-14</t>
  </si>
  <si>
    <t>20000095</t>
  </si>
  <si>
    <t>20000095-000-001-1-0482124000-999999-14</t>
  </si>
  <si>
    <t>R05/11/28</t>
  </si>
  <si>
    <t>20001037</t>
  </si>
  <si>
    <t>20001037-000-001-1-0482124000-999999-14</t>
  </si>
  <si>
    <t>R05/10/31</t>
  </si>
  <si>
    <t>20000934</t>
  </si>
  <si>
    <t>20000934-000-001-1-0482124000-999999-14</t>
  </si>
  <si>
    <t>20000951</t>
  </si>
  <si>
    <t>幹栄建設工業（株）</t>
  </si>
  <si>
    <t>20000951-000-001-1-0482124000-999999-17</t>
  </si>
  <si>
    <t>20000952</t>
  </si>
  <si>
    <t>ＰＥＡＣＥＳＴＯＣＫ実行委員会</t>
  </si>
  <si>
    <t>20000952-000-001-1-0482124000-999999-14</t>
  </si>
  <si>
    <t>20000748</t>
  </si>
  <si>
    <t>20000748-000-001-1-0482124000-999999-14</t>
  </si>
  <si>
    <t>20000819</t>
  </si>
  <si>
    <t>20000819-000-001-1-0482124000-999999-21</t>
  </si>
  <si>
    <t>20000539</t>
  </si>
  <si>
    <t>20000539-000-001-1-0482124000-999999-14</t>
  </si>
  <si>
    <t>20000577</t>
  </si>
  <si>
    <t>ＦＵＬＬ　ＰＯＷＥＲ　ＦＥＳＴ実行委員会</t>
  </si>
  <si>
    <t>20000577-000-001-1-0482124000-999999-14</t>
  </si>
  <si>
    <t>20000673</t>
  </si>
  <si>
    <t>20000673-000-001-1-0482124000-999999-14</t>
  </si>
  <si>
    <t>南観音遊水池賃貸借料（令和５年度）</t>
  </si>
  <si>
    <t>37000002</t>
  </si>
  <si>
    <t>37000002-000-001-1-0482124000-999999-14</t>
  </si>
  <si>
    <t>37000006</t>
  </si>
  <si>
    <t>37000006-000-001-1-0482124000-999999-21</t>
  </si>
  <si>
    <t>1813110500</t>
  </si>
  <si>
    <t>中・維持管理課</t>
  </si>
  <si>
    <t>賠償責任保険</t>
  </si>
  <si>
    <t>20000135</t>
  </si>
  <si>
    <t>日新火災海上保険株式会社　広島サービス支店</t>
  </si>
  <si>
    <t>20000135-000-001-1-0482124000-999999-99</t>
  </si>
  <si>
    <t>20000311</t>
  </si>
  <si>
    <t>20000311-000-001-1-0482124000-999999-21</t>
  </si>
  <si>
    <t>令和５年３月実績分報酬に係る雇用保険料</t>
  </si>
  <si>
    <t>20000082</t>
  </si>
  <si>
    <t>20000082-000-001-1-0482124000-999999-21</t>
  </si>
  <si>
    <t>誤り伝票</t>
  </si>
  <si>
    <t>令和５年３月分給与等に係る雇用保険料</t>
  </si>
  <si>
    <t>20000120</t>
  </si>
  <si>
    <t>20000120-000-001-1-0482124000-999999-21</t>
  </si>
  <si>
    <t>誤り伝票（正37000574）</t>
  </si>
  <si>
    <t>R05/04/19</t>
  </si>
  <si>
    <t>令和５年度　公共下水道占用料（１０００２）　</t>
  </si>
  <si>
    <t>20000075</t>
  </si>
  <si>
    <t>有限会社　新久組</t>
  </si>
  <si>
    <t>20000075-000-001-1-0482124000-999999-21</t>
  </si>
  <si>
    <t>令和５年度　公共下水道占用料（１０００４）　</t>
  </si>
  <si>
    <t>20000083</t>
  </si>
  <si>
    <t>リフォーム「ラック」廿日市店</t>
  </si>
  <si>
    <t>20000083-000-001-1-0482124000-999999-17</t>
  </si>
  <si>
    <t>令和５年度　公共下水道占用料（１０００７）　</t>
  </si>
  <si>
    <t>20000360</t>
  </si>
  <si>
    <t>広島ガス株式会社　導管事業部</t>
  </si>
  <si>
    <t>20000360-000-001-1-0482124000-999999-21</t>
  </si>
  <si>
    <t>R05/06/30</t>
  </si>
  <si>
    <t>令和５年度　公共下水道占用料（１０００９）　</t>
  </si>
  <si>
    <t>20000431</t>
  </si>
  <si>
    <t>20000431-000-001-1-0482124000-999999-21</t>
  </si>
  <si>
    <t>令和５年度　公共下水道占用料（１００１１）　</t>
  </si>
  <si>
    <t>20000600</t>
  </si>
  <si>
    <t>中国電力ネットワーク株式会社廿日市ネットワークセンター</t>
  </si>
  <si>
    <t>20000600-000-001-1-0482124000-999999-21</t>
  </si>
  <si>
    <t>令和５年度　公共下水道占用料（１００１９）　</t>
  </si>
  <si>
    <t>20001178</t>
  </si>
  <si>
    <t>ダイレックス株式会社</t>
  </si>
  <si>
    <t>20001178-000-001-1-0482124000-999999-21</t>
  </si>
  <si>
    <t>令和５年度　公共下水道敷占用料</t>
  </si>
  <si>
    <t>20000058</t>
  </si>
  <si>
    <t>20000058-000-001-1-0482124000-999999-21</t>
  </si>
  <si>
    <t>20000059</t>
  </si>
  <si>
    <t>20000059-000-001-1-0482124000-999999-21</t>
  </si>
  <si>
    <t>20000060</t>
  </si>
  <si>
    <t>広島電鉄株式会社</t>
  </si>
  <si>
    <t>20000060-000-001-1-0482124000-999999-21</t>
  </si>
  <si>
    <t>20000061</t>
  </si>
  <si>
    <t>20000061-000-001-1-0482124000-999999-21</t>
  </si>
  <si>
    <t>20000062</t>
  </si>
  <si>
    <t>20000062-000-001-1-0482124000-999999-21</t>
  </si>
  <si>
    <t>20000063</t>
  </si>
  <si>
    <t>20000063-000-001-1-0482124000-999999-21</t>
  </si>
  <si>
    <t>令和５年度下水道敷地占用料（支線２条）</t>
  </si>
  <si>
    <t>20000181</t>
  </si>
  <si>
    <t>西日本電信電話㈱中国支店　</t>
  </si>
  <si>
    <t>20000181-000-001-1-0482124000-999999-21</t>
  </si>
  <si>
    <t>令和５年度下水道敷地占用料（電柱２本）</t>
  </si>
  <si>
    <t>20000182</t>
  </si>
  <si>
    <t>中国電力ネットワーク㈱</t>
  </si>
  <si>
    <t>20000182-000-001-1-0482124000-999999-21</t>
  </si>
  <si>
    <t>令和５年度下水道敷地占用料（電柱への共架電線２本）</t>
  </si>
  <si>
    <t>20000009</t>
  </si>
  <si>
    <t>20000009-000-001-1-0482124000-999999-21</t>
  </si>
  <si>
    <t>令和５年度継続分公共下水道等占用料（２０００２）</t>
  </si>
  <si>
    <t>20000699</t>
  </si>
  <si>
    <t>20000699-000-001-1-0482124000-999999-21</t>
  </si>
  <si>
    <t>令和５年度継続分公共下水道等占用料（２０００５）</t>
  </si>
  <si>
    <t>20000700</t>
  </si>
  <si>
    <t>20000700-000-001-1-0482124000-999999-21</t>
  </si>
  <si>
    <t>令和５年度継続分公共下水道等占用料（２０００７）</t>
  </si>
  <si>
    <t>20000703</t>
  </si>
  <si>
    <t>中国電力ネットワーク（株）　広島ネットワークセンター</t>
  </si>
  <si>
    <t>20000703-000-001-1-0482124000-999999-21</t>
  </si>
  <si>
    <t>令和５年度継続分公共下水道等占用料（２００７１）</t>
  </si>
  <si>
    <t>20000064</t>
  </si>
  <si>
    <t>20000064-000-001-1-0482124000-999999-21</t>
  </si>
  <si>
    <t>令和５年度継続分公共下水道等占用料（２００７９）</t>
  </si>
  <si>
    <t>20000065</t>
  </si>
  <si>
    <t>20000065-000-001-1-0482124000-999999-21</t>
  </si>
  <si>
    <t>令和５年度公共下水道等占用に係る占用料</t>
  </si>
  <si>
    <t>20000340</t>
  </si>
  <si>
    <t>20000340-000-001-1-0482124000-999999-21</t>
  </si>
  <si>
    <t>令和５年度公共下水道等占用料３８０１</t>
  </si>
  <si>
    <t>20000369</t>
  </si>
  <si>
    <t>20000369-000-001-1-0482124000-999999-99</t>
  </si>
  <si>
    <t>令和５年度公共下水道等占用料３８０２</t>
  </si>
  <si>
    <t>20000370</t>
  </si>
  <si>
    <t>エヌ・ティ・ティ・インフラネット株式会社　西日本事業本部　中国事業部</t>
  </si>
  <si>
    <t>20000370-000-001-1-0482124000-999999-99</t>
  </si>
  <si>
    <t>令和５年度公共下水道等占用料３８０３</t>
  </si>
  <si>
    <t>20000371</t>
  </si>
  <si>
    <t>20000371-000-001-1-0482124000-999999-99</t>
  </si>
  <si>
    <t>令和５年度公共下水道等占用料３８０５</t>
  </si>
  <si>
    <t>20000373</t>
  </si>
  <si>
    <t>20000373-000-001-1-0482124000-999999-99</t>
  </si>
  <si>
    <t>令和５年度公共下水道等占用料３８０６</t>
  </si>
  <si>
    <t>20000374</t>
  </si>
  <si>
    <t>20000374-000-001-1-0482124000-999999-99</t>
  </si>
  <si>
    <t>令和５年度公共下水道等占用料３８０７</t>
  </si>
  <si>
    <t>20000375</t>
  </si>
  <si>
    <t>20000375-000-001-1-0482124000-999999-99</t>
  </si>
  <si>
    <t>令和５年度公共下水道等占用料３８１０</t>
  </si>
  <si>
    <t>20000376</t>
  </si>
  <si>
    <t>20000376-000-001-1-0482124000-999999-99</t>
  </si>
  <si>
    <t>令和５年度公共下水道等占用料３８１１</t>
  </si>
  <si>
    <t>20000377</t>
  </si>
  <si>
    <t>株式会社エネルギア・コミュニケーションズ</t>
  </si>
  <si>
    <t>20000377-000-001-1-0482124000-999999-99</t>
  </si>
  <si>
    <t>令和５年度公共下水道等占用料３８１２</t>
  </si>
  <si>
    <t>20000378</t>
  </si>
  <si>
    <t>ＫＤＤＩ株式会社　西日本テクニカルセンター</t>
  </si>
  <si>
    <t>20000378-000-001-1-0482124000-999999-99</t>
  </si>
  <si>
    <t>令和５年度公共下水道等占用料３８１３</t>
  </si>
  <si>
    <t>20000379</t>
  </si>
  <si>
    <t>ソフトバンク株式会社　エリアネットワーク本部　中国ネットワーク技術部</t>
  </si>
  <si>
    <t>20000379-000-001-1-0482124000-999999-99</t>
  </si>
  <si>
    <t>令和５年度公共下水道等占用料３８１４</t>
  </si>
  <si>
    <t>20000380</t>
  </si>
  <si>
    <t>20000380-000-001-1-0482124000-999999-99</t>
  </si>
  <si>
    <t>令和５年度公共下水道等占用料３９２１</t>
  </si>
  <si>
    <t>20000381</t>
  </si>
  <si>
    <t>マツダ株式会社</t>
  </si>
  <si>
    <t>20000381-000-001-1-0482124000-999999-99</t>
  </si>
  <si>
    <t>令和５年度公共下水道等占用料３９５１</t>
  </si>
  <si>
    <t>20000421</t>
  </si>
  <si>
    <t>20000421-000-001-1-0482124000-999999-99</t>
  </si>
  <si>
    <t>令和５年度分ＬＥＣＴ店舗出入口用通路及び案内標識占用料</t>
  </si>
  <si>
    <t>20000030</t>
  </si>
  <si>
    <t>株式会社イズミ　</t>
  </si>
  <si>
    <t>20000030-000-001-1-0482124000-999999-21</t>
  </si>
  <si>
    <t>令和５年度分屋外自動販売機設置に係る貸付料（１階玄関口Ａ）</t>
  </si>
  <si>
    <t>37000017</t>
  </si>
  <si>
    <t>37000017-000-001-1-0482124000-999999-21</t>
  </si>
  <si>
    <t>屋外自販機　土地の貸付　非課税</t>
  </si>
  <si>
    <t>令和５年度分屋外自動販売機設置に係る貸付料（１階玄関口Ｂ）</t>
  </si>
  <si>
    <t>37000011</t>
  </si>
  <si>
    <t>37000011-000-001-1-0482124000-999999-21</t>
  </si>
  <si>
    <t>令和５年度分屋内自動販売機設置に係る貸付料（管千－</t>
  </si>
  <si>
    <t>37000008</t>
  </si>
  <si>
    <t>37000008-000-001-1-0482124000-999999-17</t>
  </si>
  <si>
    <t>屋内自販機　建物の貸付　課税</t>
  </si>
  <si>
    <t>37000009</t>
  </si>
  <si>
    <t>37000009-000-001-1-0482124000-999999-17</t>
  </si>
  <si>
    <t>37000014</t>
  </si>
  <si>
    <t>37000014-000-001-1-0482124000-999999-17</t>
  </si>
  <si>
    <t>令和５年度分屋内自動販売機設置に係る貸付料（年額）</t>
  </si>
  <si>
    <t>37000001</t>
  </si>
  <si>
    <t>37000001-000-001-1-0482124000-999999-17</t>
  </si>
  <si>
    <t>37000012</t>
  </si>
  <si>
    <t>37000012-000-001-1-0482124000-999999-17</t>
  </si>
  <si>
    <t>令和５年度分己斐中継ポンプ場に係る都市ガス本管占用料（２６ｍ分）</t>
  </si>
  <si>
    <t>20000032</t>
  </si>
  <si>
    <t>広島ガス株式会社供給設備部長　</t>
  </si>
  <si>
    <t>20000032-000-001-1-0482124000-999999-21</t>
  </si>
  <si>
    <t>令和５年度分公共下水道等占用料３９１５</t>
  </si>
  <si>
    <t>20000382</t>
  </si>
  <si>
    <t>中国電力ネットワーク　広島ネットワークセンター</t>
  </si>
  <si>
    <t>20000382-000-001-1-0482124000-999999-99</t>
  </si>
  <si>
    <t>令和５年度分公共下水道等占用料３９３２</t>
  </si>
  <si>
    <t>20000383</t>
  </si>
  <si>
    <t>20000383-000-001-1-0482124000-999999-99</t>
  </si>
  <si>
    <t xml:space="preserve">令和５年度分公共下水道敷等占用料（令和３年度－８３０８）                        </t>
  </si>
  <si>
    <t>20001505</t>
  </si>
  <si>
    <t>加美　正紀</t>
  </si>
  <si>
    <t>20001505-000-001-1-0482124000-999999-21</t>
  </si>
  <si>
    <t xml:space="preserve">令和５年度分公共下水道敷等占用料（令和３年度－８３１７）                        </t>
  </si>
  <si>
    <t>20001507</t>
  </si>
  <si>
    <t>株式会社フジ</t>
  </si>
  <si>
    <t>20001507-000-001-1-0482124000-999999-21</t>
  </si>
  <si>
    <t xml:space="preserve">令和５年度分公共下水道敷等占用料（令和３年度－８３３１）                        </t>
  </si>
  <si>
    <t>20001509</t>
  </si>
  <si>
    <t>中須コーポラス管理組合</t>
  </si>
  <si>
    <t>20001509-000-001-1-0482124000-999999-21</t>
  </si>
  <si>
    <t xml:space="preserve">令和５年度分公共下水道敷等占用料（令和３年度－Ｔ５００１）                      </t>
  </si>
  <si>
    <t>20001503</t>
  </si>
  <si>
    <t>ホクエイ設備工業（株）</t>
  </si>
  <si>
    <t>20001503-000-001-1-0482124000-999999-21</t>
  </si>
  <si>
    <t xml:space="preserve">令和５年度分公共下水道敷等占用料（令和３年度－Ｔ５００２）                      </t>
  </si>
  <si>
    <t>20001504</t>
  </si>
  <si>
    <t>河部　俊行</t>
  </si>
  <si>
    <t>20001504-000-001-1-0482124000-999999-21</t>
  </si>
  <si>
    <t xml:space="preserve">令和５年度分公共下水道敷等占用料（令和３年度―８３１２）                        </t>
  </si>
  <si>
    <t>20001506</t>
  </si>
  <si>
    <t>ホクエイ設備工業株式会社</t>
  </si>
  <si>
    <t>20001506-000-001-1-0482124000-999999-21</t>
  </si>
  <si>
    <t xml:space="preserve">令和５年度分公共下水道敷等占用料（令和３年度―８３２４）                        </t>
  </si>
  <si>
    <t>20001508</t>
  </si>
  <si>
    <t>三菱ＨＣキャピタルエステートプラス株式会社</t>
  </si>
  <si>
    <t>20001508-000-001-1-0482124000-999999-21</t>
  </si>
  <si>
    <t xml:space="preserve">令和５年度分公共下水道敷等占用料（令和３年度―８３５５）                        </t>
  </si>
  <si>
    <t>20001510</t>
  </si>
  <si>
    <t>ウエルシア薬局株式会社</t>
  </si>
  <si>
    <t>20001510-000-001-1-0482124000-999999-21</t>
  </si>
  <si>
    <t xml:space="preserve">令和５年度分公共下水道敷等占用料（令和４年度－Ｔ６００１）                      </t>
  </si>
  <si>
    <t>20001513</t>
  </si>
  <si>
    <t>西村ジョイ（株）</t>
  </si>
  <si>
    <t>20001513-000-001-1-0482124000-999999-21</t>
  </si>
  <si>
    <t xml:space="preserve">令和５年度分公共下水道敷等占用料（令和４年度－Ｔ６００２）                      </t>
  </si>
  <si>
    <t>20001514</t>
  </si>
  <si>
    <t>20001514-000-001-1-0482124000-999999-21</t>
  </si>
  <si>
    <t xml:space="preserve">令和５年度分公共下水道敷等占用料（令和４年度－Ｔ６００３）                      </t>
  </si>
  <si>
    <t>20001515</t>
  </si>
  <si>
    <t>株式会社共立</t>
  </si>
  <si>
    <t>20001515-000-001-1-0482124000-999999-21</t>
  </si>
  <si>
    <t xml:space="preserve">令和５年度分公共下水道敷等占用料（令和４年度－Ｔ６００４）                      </t>
  </si>
  <si>
    <t>20001516</t>
  </si>
  <si>
    <t>中原　みどり</t>
  </si>
  <si>
    <t>20001516-000-001-1-0482124000-999999-21</t>
  </si>
  <si>
    <t xml:space="preserve">令和５年度分公共下水道敷等占用料（令和４年度－Ｔ６００５）                      </t>
  </si>
  <si>
    <t>20001517</t>
  </si>
  <si>
    <t>株式会社サコダ車輌</t>
  </si>
  <si>
    <t>20001517-000-001-1-0482124000-999999-21</t>
  </si>
  <si>
    <t xml:space="preserve">令和５年度分公共下水道敷等占用料（令和４年度－Ｔ６００６）                      </t>
  </si>
  <si>
    <t>20001518</t>
  </si>
  <si>
    <t>株式会社ＧＭアソシエ（ソシオ緑井リバーシーン）</t>
  </si>
  <si>
    <t>20001518-000-001-1-0482124000-999999-21</t>
  </si>
  <si>
    <t xml:space="preserve">令和５年度分公共下水道敷等占用料（令和４年度―８３０３－２）                    </t>
  </si>
  <si>
    <t>20001511</t>
  </si>
  <si>
    <t>（株）イズミ</t>
  </si>
  <si>
    <t>20001511-000-001-1-0482124000-999999-21</t>
  </si>
  <si>
    <t xml:space="preserve">令和５年度分公共下水道敷等占用料（令和４年度―８３０５）                        </t>
  </si>
  <si>
    <t>20001512</t>
  </si>
  <si>
    <t>20001512-000-001-1-0482124000-999999-21</t>
  </si>
  <si>
    <t>令和５年度分消化ガス発電事業に係る事業用地の貸付料</t>
  </si>
  <si>
    <t>20000016</t>
  </si>
  <si>
    <t>20000016-000-001-1-0482124000-999999-21</t>
  </si>
  <si>
    <t>R05/10/01</t>
  </si>
  <si>
    <t>令和５年度分消化ガス発電事業に係る事業用地の貸付料（増設分）</t>
  </si>
  <si>
    <t>20000797</t>
  </si>
  <si>
    <t>20000797-000-001-1-0482124000-999999-21</t>
  </si>
  <si>
    <t>令和５年度分消化ガス発電事業に係る電線類及びドレン管設置使用料（増設分）</t>
  </si>
  <si>
    <t>20000810</t>
  </si>
  <si>
    <t>20000810-000-001-1-0482124000-999999-21</t>
  </si>
  <si>
    <t>令和５年度分西部水資源再生センターに係る電柱占用料（２本分）</t>
  </si>
  <si>
    <t>20000031</t>
  </si>
  <si>
    <t>中国電力ネットワーク株式会社　広島ネットワークセンター　</t>
  </si>
  <si>
    <t>20000031-000-001-1-0482124000-999999-21</t>
  </si>
  <si>
    <t>令和５年度分西部水資源再生センター屋内自動販売機設置に係る貸付料</t>
  </si>
  <si>
    <t>37000013</t>
  </si>
  <si>
    <t>37000013-000-001-1-0482124000-999999-17</t>
  </si>
  <si>
    <t>37000015</t>
  </si>
  <si>
    <t>37000015-000-001-1-0482124000-999999-17</t>
  </si>
  <si>
    <t>給与改定に伴う公務（通勤）災害に係る休業期間中に支給した給与の返納</t>
  </si>
  <si>
    <t>20000528</t>
  </si>
  <si>
    <t>0483040400</t>
  </si>
  <si>
    <t>021408001028000000</t>
  </si>
  <si>
    <t>その他未収金</t>
  </si>
  <si>
    <t>048304001004000000</t>
  </si>
  <si>
    <t>中川　敦</t>
  </si>
  <si>
    <t>20000528-000-001-1-0483040400-999999-31</t>
  </si>
  <si>
    <t>固定資産の取得に係る修正振替（Ｒ４年度購入分）</t>
  </si>
  <si>
    <t>37000097</t>
  </si>
  <si>
    <t>011526001002000000</t>
  </si>
  <si>
    <t>工具・器具及び備品</t>
  </si>
  <si>
    <t>37000097-000-001-1-0483040400-999999-31</t>
  </si>
  <si>
    <t>R05/08/01</t>
  </si>
  <si>
    <t>固定資産の取得に係る修正振替（令和４年度購入分）</t>
  </si>
  <si>
    <t>37000129</t>
  </si>
  <si>
    <t>37000129-000-001-1-0483040400-999999-31</t>
  </si>
  <si>
    <t>37000130</t>
  </si>
  <si>
    <t>37000130-000-001-1-0483040400-999999-31</t>
  </si>
  <si>
    <t>R05/10/12</t>
  </si>
  <si>
    <t>自動車損害共済返戻金</t>
  </si>
  <si>
    <t>20000852</t>
  </si>
  <si>
    <t>（公社）全国市有物件災害共済会　中国地区事務局</t>
  </si>
  <si>
    <t>20000852-000-001-1-0483040400-999999-21</t>
  </si>
  <si>
    <t>平成３０年度下水道使用料調定　１件</t>
  </si>
  <si>
    <t>20000732</t>
  </si>
  <si>
    <t>021402001002015000</t>
  </si>
  <si>
    <t>未収下水道使用料５</t>
  </si>
  <si>
    <t>広島市水道事業管理者</t>
  </si>
  <si>
    <t>20000732-000-001-1-0483040400-999999-14</t>
  </si>
  <si>
    <t>平成３０年度下水道使用料調定　２件</t>
  </si>
  <si>
    <t>20000994</t>
  </si>
  <si>
    <t>20000994-000-001-1-0483040400-999999-14</t>
  </si>
  <si>
    <t>平成３０年度下水道使用料調定（農集）　３件</t>
  </si>
  <si>
    <t>20000735</t>
  </si>
  <si>
    <t>20000735-000-001-1-0483040400-999999-14</t>
  </si>
  <si>
    <t xml:space="preserve">平成３１年４月～令和５年３月分扶養手当対象者の減員による戻入                    </t>
  </si>
  <si>
    <t>20001451</t>
  </si>
  <si>
    <t>横山　広行</t>
  </si>
  <si>
    <t>20001451-000-001-1-0483040400-999999-31</t>
  </si>
  <si>
    <t>平成３１年度下水道使用料調定　２件</t>
  </si>
  <si>
    <t>20000993</t>
  </si>
  <si>
    <t>021402001002014000</t>
  </si>
  <si>
    <t>未収下水道使用料４</t>
  </si>
  <si>
    <t>20000993-000-001-1-0483040400-999999-14</t>
  </si>
  <si>
    <t>平成３１年度下水道使用料調定　４件</t>
  </si>
  <si>
    <t>20000992</t>
  </si>
  <si>
    <t>20000992-000-001-1-0483040400-999999-14</t>
  </si>
  <si>
    <t>平成３１年度下水道使用料調定（農集）　２件</t>
  </si>
  <si>
    <t>20000736</t>
  </si>
  <si>
    <t>20000736-000-001-1-0483040400-999999-17</t>
  </si>
  <si>
    <t>平成３１年度下水道使用料調定（農集）　４件</t>
  </si>
  <si>
    <t>20000737</t>
  </si>
  <si>
    <t>20000737-000-001-1-0483040400-999999-14</t>
  </si>
  <si>
    <t>R06/01/01</t>
  </si>
  <si>
    <t>令和２年度下水道使用料調定　１件</t>
  </si>
  <si>
    <t>20001218</t>
  </si>
  <si>
    <t>021402001002013000</t>
  </si>
  <si>
    <t>未収下水道使用料３</t>
  </si>
  <si>
    <t>20001218-000-001-1-0483040400-999999-17</t>
  </si>
  <si>
    <t>20000599</t>
  </si>
  <si>
    <t>20000599-000-001-1-0483040400-999999-17</t>
  </si>
  <si>
    <t>令和２年度下水道使用料調定　６件</t>
  </si>
  <si>
    <t>20000991</t>
  </si>
  <si>
    <t>20000991-000-001-1-0483040400-999999-17</t>
  </si>
  <si>
    <t xml:space="preserve">令和２年度下水道使用料調定　６件                                                </t>
  </si>
  <si>
    <t>20001572</t>
  </si>
  <si>
    <t>20001572-000-001-1-0483040400-999999-17</t>
  </si>
  <si>
    <t>令和２年度下水道使用料調定　８件</t>
  </si>
  <si>
    <t>20001275</t>
  </si>
  <si>
    <t>20001275-000-001-1-0483040400-999999-17</t>
  </si>
  <si>
    <t>令和２年度下水道使用料調定（農集）　６件</t>
  </si>
  <si>
    <t>20000738</t>
  </si>
  <si>
    <t>20000738-000-001-1-0483040400-999999-17</t>
  </si>
  <si>
    <t>令和３年度下水道使用料調定　１２件</t>
  </si>
  <si>
    <t>20001274</t>
  </si>
  <si>
    <t>021402001002012000</t>
  </si>
  <si>
    <t>未収下水道使用料２</t>
  </si>
  <si>
    <t>20001274-000-001-1-0483040400-999999-17</t>
  </si>
  <si>
    <t>令和３年度下水道使用料調定　１件</t>
  </si>
  <si>
    <t>20000922</t>
  </si>
  <si>
    <t>20000922-000-001-1-0483040400-999999-17</t>
  </si>
  <si>
    <t xml:space="preserve">令和３年度下水道使用料調定　５件                                                </t>
  </si>
  <si>
    <t>20001571</t>
  </si>
  <si>
    <t>20001571-000-001-1-0483040400-999999-17</t>
  </si>
  <si>
    <t>令和３年度下水道使用料調定　６件</t>
  </si>
  <si>
    <t>20000990</t>
  </si>
  <si>
    <t>20000990-000-001-1-0483040400-999999-17</t>
  </si>
  <si>
    <t>20001217</t>
  </si>
  <si>
    <t>20001217-000-001-1-0483040400-999999-17</t>
  </si>
  <si>
    <t>令和３年度下水道使用料調定（農集）　６件</t>
  </si>
  <si>
    <t>20000734</t>
  </si>
  <si>
    <t>20000734-000-001-1-0483040400-999999-17</t>
  </si>
  <si>
    <t>令和３年度労災保険料確定に伴う概算払い金の精算の更正</t>
  </si>
  <si>
    <t>37000114</t>
  </si>
  <si>
    <t>051410001001000000</t>
  </si>
  <si>
    <t>その他未払金</t>
  </si>
  <si>
    <t>37000114-000-001-1-0483040400-999999-99</t>
  </si>
  <si>
    <t>令和４年度以前分下水道使用料　下水道使用状況調査分以外　１件</t>
  </si>
  <si>
    <t>20000569</t>
  </si>
  <si>
    <t>021402001002011000</t>
  </si>
  <si>
    <t>未収下水道使用料１</t>
  </si>
  <si>
    <t>有限会社ホームドライアサヒ</t>
  </si>
  <si>
    <t>20000569-000-001-1-0483040400-999999-17</t>
  </si>
  <si>
    <t>20000570</t>
  </si>
  <si>
    <t>20000570-000-001-1-0483040400-999999-14</t>
  </si>
  <si>
    <t>令和４年度下水道使用料調定　１１件</t>
  </si>
  <si>
    <t>20000989</t>
  </si>
  <si>
    <t>20000989-000-001-1-0483040400-999999-17</t>
  </si>
  <si>
    <t>令和４年度下水道使用料調定　１２件</t>
  </si>
  <si>
    <t>20001273</t>
  </si>
  <si>
    <t>20001273-000-001-1-0483040400-999999-17</t>
  </si>
  <si>
    <t>令和４年度下水道使用料調定　１件</t>
  </si>
  <si>
    <t>20001026</t>
  </si>
  <si>
    <t>20001026-000-001-1-0483040400-999999-17</t>
  </si>
  <si>
    <t>20000726</t>
  </si>
  <si>
    <t>20000726-000-001-1-0483040400-999999-17</t>
  </si>
  <si>
    <t>20000721</t>
  </si>
  <si>
    <t>20000721-000-001-1-0483040400-999999-17</t>
  </si>
  <si>
    <t>20000672</t>
  </si>
  <si>
    <t>20000672-000-001-1-0483040400-999999-17</t>
  </si>
  <si>
    <t xml:space="preserve">令和４年度下水道使用料調定　１件                                                </t>
  </si>
  <si>
    <t>20001332</t>
  </si>
  <si>
    <t>20001332-000-001-1-0483040400-999999-17</t>
  </si>
  <si>
    <t>20001212</t>
  </si>
  <si>
    <t>20001212-000-001-1-0483040400-999999-17</t>
  </si>
  <si>
    <t>20001409</t>
  </si>
  <si>
    <t>20001409-000-001-1-0483040400-999999-17</t>
  </si>
  <si>
    <t>令和４年度下水道使用料調定　２１件</t>
  </si>
  <si>
    <t>20000595</t>
  </si>
  <si>
    <t>20000595-000-001-1-0483040400-999999-17</t>
  </si>
  <si>
    <t>R05/04/10</t>
  </si>
  <si>
    <t>令和４年度下水道使用料調定　２５件</t>
  </si>
  <si>
    <t>20000314</t>
  </si>
  <si>
    <t>20000314-000-001-1-0483040400-999999-17</t>
  </si>
  <si>
    <t>令和４年度下水道使用料調定　２件</t>
  </si>
  <si>
    <t>20000918</t>
  </si>
  <si>
    <t>20000918-000-001-1-0483040400-999999-17</t>
  </si>
  <si>
    <t>20000662</t>
  </si>
  <si>
    <t>20000662-000-001-1-0483040400-999999-17</t>
  </si>
  <si>
    <t>令和４年度下水道使用料調定　３１件</t>
  </si>
  <si>
    <t>20000591</t>
  </si>
  <si>
    <t>20000591-000-001-1-0483040400-999999-17</t>
  </si>
  <si>
    <t>令和４年度下水道使用料調定　３４件</t>
  </si>
  <si>
    <t>20000332</t>
  </si>
  <si>
    <t>20000332-000-001-1-0483040400-999999-17</t>
  </si>
  <si>
    <t>令和４年度下水道使用料調定　３件</t>
  </si>
  <si>
    <t>20000598</t>
  </si>
  <si>
    <t>20000598-000-001-1-0483040400-999999-17</t>
  </si>
  <si>
    <t>令和４年度下水道使用料調定　４件</t>
  </si>
  <si>
    <t>20001148</t>
  </si>
  <si>
    <t>20001148-000-001-1-0483040400-999999-17</t>
  </si>
  <si>
    <t>20000667</t>
  </si>
  <si>
    <t>20000667-000-001-1-0483040400-999999-17</t>
  </si>
  <si>
    <t>20000604</t>
  </si>
  <si>
    <t>20000604-000-001-1-0483040400-999999-17</t>
  </si>
  <si>
    <t>令和４年度下水道使用料調定　５件</t>
  </si>
  <si>
    <t>20000588</t>
  </si>
  <si>
    <t>20000588-000-001-1-0483040400-999999-17</t>
  </si>
  <si>
    <t>令和４年度下水道使用料調定　６件</t>
  </si>
  <si>
    <t>20000921</t>
  </si>
  <si>
    <t>20000921-000-001-1-0483040400-999999-17</t>
  </si>
  <si>
    <t>20001216</t>
  </si>
  <si>
    <t>20001216-000-001-1-0483040400-999999-17</t>
  </si>
  <si>
    <t xml:space="preserve">令和４年度下水道使用料調定　６件                                                </t>
  </si>
  <si>
    <t>20001583</t>
  </si>
  <si>
    <t>20001583-000-001-1-0483040400-999999-17</t>
  </si>
  <si>
    <t>令和４年度下水道使用料調定　８件</t>
  </si>
  <si>
    <t>20000657</t>
  </si>
  <si>
    <t>20000657-000-001-1-0483040400-999999-17</t>
  </si>
  <si>
    <t>令和４年度下水道使用料調定　９件</t>
  </si>
  <si>
    <t>20000731</t>
  </si>
  <si>
    <t>20000731-000-001-1-0483040400-999999-17</t>
  </si>
  <si>
    <t>R05/09/10</t>
  </si>
  <si>
    <t>20000787</t>
  </si>
  <si>
    <t>20000787-000-001-1-0483040400-999999-17</t>
  </si>
  <si>
    <t>R05/04/30</t>
  </si>
  <si>
    <t>20000363</t>
  </si>
  <si>
    <t>20000363-000-001-1-0483040400-999999-17</t>
  </si>
  <si>
    <t>令和４年度下水道使用料調定（特環）　１件</t>
  </si>
  <si>
    <t>20000339</t>
  </si>
  <si>
    <t>20000339-000-001-1-0483040400-999999-17</t>
  </si>
  <si>
    <t>令和４年度下水道使用料調定（農集）　６件</t>
  </si>
  <si>
    <t>20000733</t>
  </si>
  <si>
    <t>20000733-000-001-1-0483040400-999999-17</t>
  </si>
  <si>
    <t>令和４年度決算の消費税算出額と申告額の差額が生じたことによる過年度収益</t>
  </si>
  <si>
    <t>37000075</t>
  </si>
  <si>
    <t>051408001001000000</t>
  </si>
  <si>
    <t>未払消費税</t>
  </si>
  <si>
    <t>37000075-000-001-1-0483040400-999999-31</t>
  </si>
  <si>
    <t>税差額　不課税</t>
  </si>
  <si>
    <t xml:space="preserve">令和４年度分扶養手当対象者の減員による戻入                                      </t>
  </si>
  <si>
    <t>20001352</t>
  </si>
  <si>
    <t>山中　信二</t>
  </si>
  <si>
    <t>20001352-000-001-1-0483040400-999999-31</t>
  </si>
  <si>
    <t>扶養手当返納のため不課税</t>
  </si>
  <si>
    <t>令和５年１月～３月分扶養手当対象者の減員による戻入</t>
  </si>
  <si>
    <t>20000390</t>
  </si>
  <si>
    <t>藤田　章</t>
  </si>
  <si>
    <t>20000390-000-001-1-0483040400-999999-31</t>
  </si>
  <si>
    <t>地域手当、扶養手当、期末勤勉手当の返納のため不課税</t>
  </si>
  <si>
    <t>元管路施設（南区宇品海岸三丁目）の有償所属替え代金</t>
  </si>
  <si>
    <t>20000674</t>
  </si>
  <si>
    <t>0483060600</t>
  </si>
  <si>
    <t>048306001006000000</t>
  </si>
  <si>
    <t>経済観光局競輪事務局</t>
  </si>
  <si>
    <t>20000674-000-001-1-0483060600-999999-31</t>
  </si>
  <si>
    <t>官公庁同士のため不課税（旧広報ラインの整理）→この整理はおかしいので実質的な補償金であるといった整理になると思われる。</t>
  </si>
  <si>
    <t xml:space="preserve">貸倒引当金戻入益の計上（し尿浄化槽廃止資金回収金）                              </t>
  </si>
  <si>
    <t>37000631</t>
  </si>
  <si>
    <t>0483060700</t>
  </si>
  <si>
    <t>021502001002004000</t>
  </si>
  <si>
    <t>水洗便所改造資金貸付金</t>
  </si>
  <si>
    <t>048306001007000000</t>
  </si>
  <si>
    <t>37000631-000-001-1-0483060700-999999-31</t>
  </si>
  <si>
    <t>取り崩し後の賞与引当金の残額処理</t>
  </si>
  <si>
    <t>37000135</t>
  </si>
  <si>
    <t>0483060800</t>
  </si>
  <si>
    <t>051602001002002000</t>
  </si>
  <si>
    <t>法定福利費</t>
  </si>
  <si>
    <t>048306001008000000</t>
  </si>
  <si>
    <t>37000135-000-001-1-0483060800-999999-31</t>
  </si>
  <si>
    <t>下水道使用料返還金の支出</t>
  </si>
  <si>
    <t>振替伝票（未払計上）</t>
  </si>
  <si>
    <t>34005121</t>
  </si>
  <si>
    <t>0884066300</t>
  </si>
  <si>
    <t>その他雑支出</t>
  </si>
  <si>
    <t>921472</t>
  </si>
  <si>
    <t>下水道使用料賦課（返還金）</t>
  </si>
  <si>
    <t>088406001063000000</t>
  </si>
  <si>
    <t>15</t>
  </si>
  <si>
    <t>田畑　美香</t>
  </si>
  <si>
    <t>34005121-000-001-1-0884066300-921472-15</t>
  </si>
  <si>
    <t>34005121-000-002-1-0884066300-921472-31</t>
  </si>
  <si>
    <t xml:space="preserve">令和６年能登半島地震の応援派遣に伴う経費（時間外勤務手当）                      </t>
  </si>
  <si>
    <t>37000606</t>
  </si>
  <si>
    <t>912477</t>
  </si>
  <si>
    <t>災害派遣対応</t>
  </si>
  <si>
    <t>011632001003010000</t>
  </si>
  <si>
    <t>時間外勤務手当</t>
  </si>
  <si>
    <t>37000606-000-001-1-0884066300-912477-31</t>
  </si>
  <si>
    <t>011642001003010000</t>
  </si>
  <si>
    <t>37000606-000-002-1-0884066300-912477-31</t>
  </si>
  <si>
    <t>088302001003010000</t>
  </si>
  <si>
    <t>37000606-000-003-1-0884066300-912477-31</t>
  </si>
  <si>
    <t xml:space="preserve">令和６年能登半島地震の応援派遣に伴う経費（旅費等）その２                        </t>
  </si>
  <si>
    <t>37000612</t>
  </si>
  <si>
    <t>051402001002000000</t>
  </si>
  <si>
    <t>諸経費未払金</t>
  </si>
  <si>
    <t>18</t>
  </si>
  <si>
    <t>37000612-000-001-1-0884066300-912477-18</t>
  </si>
  <si>
    <t>37000612-000-002-1-0884066300-912477-31</t>
  </si>
  <si>
    <t>軽油取引税分</t>
  </si>
  <si>
    <t xml:space="preserve">市有地公募売却に伴う固定資産売却損（東区戸坂新町二丁目３０８番２６４外１筆）    </t>
  </si>
  <si>
    <t>37000359</t>
  </si>
  <si>
    <t>0885020200</t>
  </si>
  <si>
    <t>固定資産売却損</t>
  </si>
  <si>
    <t>912475</t>
  </si>
  <si>
    <t>旧団地処理場等施設管理運営　　</t>
  </si>
  <si>
    <t>088502001002000000</t>
  </si>
  <si>
    <t>011502001006000000</t>
  </si>
  <si>
    <t>施設用用地</t>
  </si>
  <si>
    <t>37000359-000-001-1-0885020200-912475-31</t>
  </si>
  <si>
    <t>下水道使用料過誤納還付金の精算（１０月分）</t>
  </si>
  <si>
    <t>37000234</t>
  </si>
  <si>
    <t>0885060600</t>
  </si>
  <si>
    <t>921481</t>
  </si>
  <si>
    <t>下水道使用料賦課徴収　　　　　</t>
  </si>
  <si>
    <t>088506001006000000</t>
  </si>
  <si>
    <t>022602001006000000</t>
  </si>
  <si>
    <t>下水道使用料還付前渡資金</t>
  </si>
  <si>
    <t>37000234-000-001-1-0885060600-921481-18</t>
  </si>
  <si>
    <t>37000235</t>
  </si>
  <si>
    <t>37000235-000-001-1-0885060600-921481-18</t>
  </si>
  <si>
    <t>37000236</t>
  </si>
  <si>
    <t>37000236-000-001-1-0885060600-921481-18</t>
  </si>
  <si>
    <t>下水道使用料過誤納還付金の精算（１１月分）</t>
  </si>
  <si>
    <t>37000266</t>
  </si>
  <si>
    <t>37000266-000-001-1-0885060600-921481-18</t>
  </si>
  <si>
    <t>37000267</t>
  </si>
  <si>
    <t>37000267-000-001-1-0885060600-921481-18</t>
  </si>
  <si>
    <t>37000268</t>
  </si>
  <si>
    <t>37000268-000-001-1-0885060600-921481-18</t>
  </si>
  <si>
    <t>下水道使用料過誤納還付金の精算（１２月分）</t>
  </si>
  <si>
    <t>37000289</t>
  </si>
  <si>
    <t>37000289-000-001-1-0885060600-921481-18</t>
  </si>
  <si>
    <t>37000290</t>
  </si>
  <si>
    <t>37000290-000-001-1-0885060600-921481-18</t>
  </si>
  <si>
    <t xml:space="preserve">下水道使用料過誤納還付金の精算（１月分）                                        </t>
  </si>
  <si>
    <t>37000354</t>
  </si>
  <si>
    <t>37000354-000-001-1-0885060600-921481-18</t>
  </si>
  <si>
    <t>37000355</t>
  </si>
  <si>
    <t>37000355-000-001-1-0885060600-921481-18</t>
  </si>
  <si>
    <t xml:space="preserve">下水道使用料過誤納還付金の精算（２月分）                                        </t>
  </si>
  <si>
    <t>37000368</t>
  </si>
  <si>
    <t>37000368-000-001-1-0885060600-921481-18</t>
  </si>
  <si>
    <t>37000369</t>
  </si>
  <si>
    <t>37000369-000-001-1-0885060600-921481-18</t>
  </si>
  <si>
    <t xml:space="preserve">下水道使用料過誤納還付金の精算（３月分）                                        </t>
  </si>
  <si>
    <t>37000505</t>
  </si>
  <si>
    <t>37000505-000-001-1-0885060600-921481-18</t>
  </si>
  <si>
    <t>下水道使用料過誤納還付金の精算（４月分）</t>
  </si>
  <si>
    <t>37000043</t>
  </si>
  <si>
    <t>37000043-000-001-1-0885060600-921481-18</t>
  </si>
  <si>
    <t>37000044</t>
  </si>
  <si>
    <t>37000044-000-001-1-0885060600-921481-18</t>
  </si>
  <si>
    <t>37000045</t>
  </si>
  <si>
    <t>37000045-000-001-1-0885060600-921481-18</t>
  </si>
  <si>
    <t>37000046</t>
  </si>
  <si>
    <t>37000046-000-001-1-0885060600-921481-18</t>
  </si>
  <si>
    <t>下水道使用料過誤納還付金の精算（５月分）</t>
  </si>
  <si>
    <t>37000061</t>
  </si>
  <si>
    <t>37000061-000-001-1-0885060600-921481-18</t>
  </si>
  <si>
    <t>37000063</t>
  </si>
  <si>
    <t>37000063-000-001-1-0885060600-921481-18</t>
  </si>
  <si>
    <t>37000064</t>
  </si>
  <si>
    <t>37000064-000-001-1-0885060600-921481-18</t>
  </si>
  <si>
    <t>37000065</t>
  </si>
  <si>
    <t>37000065-000-001-1-0885060600-921481-18</t>
  </si>
  <si>
    <t>R05/07/01</t>
  </si>
  <si>
    <t>下水道使用料過誤納還付金の精算（６月分）</t>
  </si>
  <si>
    <t>37000106</t>
  </si>
  <si>
    <t>37000106-000-001-1-0885060600-921481-18</t>
  </si>
  <si>
    <t>37000107</t>
  </si>
  <si>
    <t>37000107-000-001-1-0885060600-921481-18</t>
  </si>
  <si>
    <t>37000108</t>
  </si>
  <si>
    <t>37000108-000-001-1-0885060600-921481-18</t>
  </si>
  <si>
    <t>37000109</t>
  </si>
  <si>
    <t>37000109-000-001-1-0885060600-921481-18</t>
  </si>
  <si>
    <t>37000110</t>
  </si>
  <si>
    <t>37000110-000-001-1-0885060600-921481-18</t>
  </si>
  <si>
    <t>下水道使用料過誤納還付金の精算（７月分）</t>
  </si>
  <si>
    <t>37000157</t>
  </si>
  <si>
    <t>37000157-000-001-1-0885060600-921481-18</t>
  </si>
  <si>
    <t>37000158</t>
  </si>
  <si>
    <t>37000158-000-001-1-0885060600-921481-18</t>
  </si>
  <si>
    <t>37000159</t>
  </si>
  <si>
    <t>37000159-000-001-1-0885060600-921481-18</t>
  </si>
  <si>
    <t>37000160</t>
  </si>
  <si>
    <t>37000160-000-001-1-0885060600-921481-18</t>
  </si>
  <si>
    <t>37000161</t>
  </si>
  <si>
    <t>37000161-000-001-1-0885060600-921481-18</t>
  </si>
  <si>
    <t>下水道使用料過誤納還付金の精算（８月分）</t>
  </si>
  <si>
    <t>37000183</t>
  </si>
  <si>
    <t>37000183-000-001-1-0885060600-921481-18</t>
  </si>
  <si>
    <t>37000184</t>
  </si>
  <si>
    <t>37000184-000-001-1-0885060600-921481-18</t>
  </si>
  <si>
    <t>37000185</t>
  </si>
  <si>
    <t>37000185-000-001-1-0885060600-921481-18</t>
  </si>
  <si>
    <t>37000186</t>
  </si>
  <si>
    <t>37000186-000-001-1-0885060600-921481-18</t>
  </si>
  <si>
    <t>下水道使用料過誤納還付金の精算（９月分）</t>
  </si>
  <si>
    <t>37000205</t>
  </si>
  <si>
    <t>37000205-000-001-1-0885060600-921481-18</t>
  </si>
  <si>
    <t>37000206</t>
  </si>
  <si>
    <t>37000206-000-001-1-0885060600-921481-18</t>
  </si>
  <si>
    <t>37000207</t>
  </si>
  <si>
    <t>37000207-000-001-1-0885060600-921481-18</t>
  </si>
  <si>
    <t>37000208</t>
  </si>
  <si>
    <t>37000208-000-001-1-0885060600-921481-18</t>
  </si>
  <si>
    <t>過年度分下水道使用料過誤納還付金（口座還付分）</t>
  </si>
  <si>
    <t>37000037</t>
  </si>
  <si>
    <t>021402001002010000</t>
  </si>
  <si>
    <t>未収下水道使用料０</t>
  </si>
  <si>
    <t>37000037-000-001-1-0885060600-921481-18</t>
  </si>
  <si>
    <t>37000038</t>
  </si>
  <si>
    <t>37000038-000-001-1-0885060600-921481-15</t>
  </si>
  <si>
    <t>37000039</t>
  </si>
  <si>
    <t>37000039-000-001-1-0885060600-921481-15</t>
  </si>
  <si>
    <t xml:space="preserve">過年度分下水道使用料過誤納還付金（口座還付分）                                  </t>
  </si>
  <si>
    <t>37000411</t>
  </si>
  <si>
    <t>37000411-000-001-1-0885060600-921481-18</t>
  </si>
  <si>
    <t>37000338</t>
  </si>
  <si>
    <t>37000338-000-001-1-0885060600-921481-18</t>
  </si>
  <si>
    <t>37000356</t>
  </si>
  <si>
    <t>37000356-000-001-1-0885060600-921481-18</t>
  </si>
  <si>
    <t>37000269</t>
  </si>
  <si>
    <t>37000269-000-001-1-0885060600-921481-18</t>
  </si>
  <si>
    <t>37000296</t>
  </si>
  <si>
    <t>37000296-000-001-1-0885060600-921481-18</t>
  </si>
  <si>
    <t>37000297</t>
  </si>
  <si>
    <t>37000297-000-001-1-0885060600-921481-15</t>
  </si>
  <si>
    <t>37000302</t>
  </si>
  <si>
    <t>37000302-000-001-1-0885060600-921481-18</t>
  </si>
  <si>
    <t>37000252</t>
  </si>
  <si>
    <t>37000252-000-001-1-0885060600-921481-18</t>
  </si>
  <si>
    <t>37000237</t>
  </si>
  <si>
    <t>37000237-000-001-1-0885060600-921481-15</t>
  </si>
  <si>
    <t>37000098</t>
  </si>
  <si>
    <t>37000098-000-001-1-0885060600-921481-18</t>
  </si>
  <si>
    <t>37000099</t>
  </si>
  <si>
    <t>37000099-000-001-1-0885060600-921481-18</t>
  </si>
  <si>
    <t>37000100</t>
  </si>
  <si>
    <t>37000100-000-001-1-0885060600-921481-15</t>
  </si>
  <si>
    <t>37000101</t>
  </si>
  <si>
    <t>37000101-000-001-1-0885060600-921481-18</t>
  </si>
  <si>
    <t>37000102</t>
  </si>
  <si>
    <t>37000102-000-001-1-0885060600-921481-18</t>
  </si>
  <si>
    <t>37000103</t>
  </si>
  <si>
    <t>37000103-000-001-1-0885060600-921481-18</t>
  </si>
  <si>
    <t>37000104</t>
  </si>
  <si>
    <t>37000104-000-001-1-0885060600-921481-18</t>
  </si>
  <si>
    <t>37000194</t>
  </si>
  <si>
    <t>37000194-000-001-1-0885060600-921481-18</t>
  </si>
  <si>
    <t>37000162</t>
  </si>
  <si>
    <t>37000162-000-001-1-0885060600-921481-18</t>
  </si>
  <si>
    <t>37000163</t>
  </si>
  <si>
    <t>37000163-000-001-1-0885060600-921481-18</t>
  </si>
  <si>
    <t>37000164</t>
  </si>
  <si>
    <t>37000164-000-001-1-0885060600-921481-18</t>
  </si>
  <si>
    <t>R05/08/16</t>
  </si>
  <si>
    <t>37000165</t>
  </si>
  <si>
    <t>37000165-000-001-1-0885060600-921481-18</t>
  </si>
  <si>
    <t>37000166</t>
  </si>
  <si>
    <t>37000166-000-001-1-0885060600-921481-18</t>
  </si>
  <si>
    <t>37000182</t>
  </si>
  <si>
    <t>37000182-000-001-1-0885060600-921481-18</t>
  </si>
  <si>
    <t>37000218</t>
  </si>
  <si>
    <t>37000218-000-001-1-0885060600-921481-15</t>
  </si>
  <si>
    <t xml:space="preserve">庁舎使用料（令和４年度使用分の追加徴収）                                        </t>
  </si>
  <si>
    <t>34005568</t>
  </si>
  <si>
    <t>912500</t>
  </si>
  <si>
    <t>局の庶務事務</t>
  </si>
  <si>
    <t>34005568-000-001-1-0885060600-912500-18</t>
  </si>
  <si>
    <t>破産手続終結に伴う破産更生債権等の不納欠損処理（株式会社ホープエナジー）</t>
  </si>
  <si>
    <t>37000265</t>
  </si>
  <si>
    <t>926362</t>
  </si>
  <si>
    <t>課の総括事務（過年度修正損）</t>
  </si>
  <si>
    <t>013006001006007000</t>
  </si>
  <si>
    <t>その他破産更生債権等</t>
  </si>
  <si>
    <t>37000265-000-001-1-0885060600-926362-31</t>
  </si>
  <si>
    <t>平成３０年度下水道使用料減額調定　１件</t>
  </si>
  <si>
    <t>37000181</t>
  </si>
  <si>
    <t>37000181-000-001-1-0885060600-921481-15</t>
  </si>
  <si>
    <t xml:space="preserve">令和２年度下水道使用料減額調定　１件                                            </t>
  </si>
  <si>
    <t>37000471</t>
  </si>
  <si>
    <t>37000471-000-001-1-0885060600-921481-18</t>
  </si>
  <si>
    <t>令和２年度下水道使用料減額調定　１件</t>
  </si>
  <si>
    <t>37000240</t>
  </si>
  <si>
    <t>37000240-000-001-1-0885060600-921481-15</t>
  </si>
  <si>
    <t>37000245</t>
  </si>
  <si>
    <t>37000245-000-001-1-0885060600-921481-18</t>
  </si>
  <si>
    <t>37000145</t>
  </si>
  <si>
    <t>37000145-000-001-1-0885060600-921481-18</t>
  </si>
  <si>
    <t>令和２年度下水道使用料減額調定　３件</t>
  </si>
  <si>
    <t>37000300</t>
  </si>
  <si>
    <t>37000300-000-001-1-0885060600-921481-18</t>
  </si>
  <si>
    <t>令和３年度下水道使用料減額調定　２件</t>
  </si>
  <si>
    <t>37000180</t>
  </si>
  <si>
    <t>37000180-000-001-1-0885060600-921481-18</t>
  </si>
  <si>
    <t>R05/10/20</t>
  </si>
  <si>
    <t>令和３年度雇用保険料の修正による追加納付</t>
  </si>
  <si>
    <t>支出伝票（兼支出負担行為伺）</t>
  </si>
  <si>
    <t>34003083</t>
  </si>
  <si>
    <t>912493</t>
  </si>
  <si>
    <t>局の経理事務　　　　　　　　　</t>
  </si>
  <si>
    <t>労働保険特別会計歳入徴収官</t>
  </si>
  <si>
    <t>34003083-000-001-1-0885060600-912493-21</t>
  </si>
  <si>
    <t>雇用保険のため非課税</t>
  </si>
  <si>
    <t>令和３年度労災保険料の修正による追加納付</t>
  </si>
  <si>
    <t>34003431</t>
  </si>
  <si>
    <t>34003431-000-001-1-0885060600-912493-21</t>
  </si>
  <si>
    <t>令和４年度下水道使用料減額調定　１０件</t>
  </si>
  <si>
    <t>37000060</t>
  </si>
  <si>
    <t>37000060-000-001-1-0885060600-921481-18</t>
  </si>
  <si>
    <t>令和４年度下水道使用料減額調定　１３件</t>
  </si>
  <si>
    <t>37000059</t>
  </si>
  <si>
    <t>37000059-000-001-1-0885060600-921481-18</t>
  </si>
  <si>
    <t>令和４年度下水道使用料減額調定　１件</t>
  </si>
  <si>
    <t>37000279</t>
  </si>
  <si>
    <t>37000279-000-001-1-0885060600-921481-18</t>
  </si>
  <si>
    <t>37000301</t>
  </si>
  <si>
    <t>37000301-000-001-1-0885060600-921481-18</t>
  </si>
  <si>
    <t>37000151</t>
  </si>
  <si>
    <t>37000151-000-001-1-0885060600-921481-18</t>
  </si>
  <si>
    <t>37000147</t>
  </si>
  <si>
    <t>37000147-000-001-1-0885060600-921481-18</t>
  </si>
  <si>
    <t>37000178</t>
  </si>
  <si>
    <t>37000178-000-001-1-0885060600-921481-18</t>
  </si>
  <si>
    <t>令和４年度下水道使用料減額調定　２件</t>
  </si>
  <si>
    <t>37000153</t>
  </si>
  <si>
    <t>37000153-000-001-1-0885060600-921481-18</t>
  </si>
  <si>
    <t>令和４年度下水道使用料減額調定　３件</t>
  </si>
  <si>
    <t>37000152</t>
  </si>
  <si>
    <t>37000152-000-001-1-0885060600-921481-18</t>
  </si>
  <si>
    <t>令和４年度下水道使用料減額調定　４件</t>
  </si>
  <si>
    <t>37000142</t>
  </si>
  <si>
    <t>37000142-000-001-1-0885060600-921481-18</t>
  </si>
  <si>
    <t>37000144</t>
  </si>
  <si>
    <t>37000144-000-001-1-0885060600-921481-18</t>
  </si>
  <si>
    <t>令和４年度下水道使用料減額調定　６件</t>
  </si>
  <si>
    <t>37000146</t>
  </si>
  <si>
    <t>37000146-000-001-1-0885060600-921481-18</t>
  </si>
  <si>
    <t>令和４年度下水道使用料減額調定　７件</t>
  </si>
  <si>
    <t>37000076</t>
  </si>
  <si>
    <t>37000076-000-001-1-0885060600-921481-18</t>
  </si>
  <si>
    <t>令和４年度下水道使用料減額調定　８件</t>
  </si>
  <si>
    <t>37000150</t>
  </si>
  <si>
    <t>37000150-000-001-1-0885060600-921481-18</t>
  </si>
  <si>
    <t>37000143</t>
  </si>
  <si>
    <t>37000143-000-001-1-0885060600-921481-18</t>
  </si>
  <si>
    <t>令和４年度下水道使用料減額調定　９件</t>
  </si>
  <si>
    <t>37000179</t>
  </si>
  <si>
    <t>37000179-000-001-1-0885060600-921481-18</t>
  </si>
  <si>
    <t>令和４年度下水道使用料減額調定（特環）　１件</t>
  </si>
  <si>
    <t>37000066</t>
  </si>
  <si>
    <t>921516</t>
  </si>
  <si>
    <t>下水道使用料賦課修正損（特環）</t>
  </si>
  <si>
    <t>37000066-000-001-1-0885060600-921516-18</t>
  </si>
  <si>
    <t>令和４年度下水道使用料減額調定（農集）　０件</t>
  </si>
  <si>
    <t>37000069</t>
  </si>
  <si>
    <t>921614</t>
  </si>
  <si>
    <t>下水道使用料賦課修正損（農集）</t>
  </si>
  <si>
    <t>37000069-000-001-1-0885060600-921614-18</t>
  </si>
  <si>
    <t>R05/08/30</t>
  </si>
  <si>
    <t>令和４年度労災保険料確定の修正による支出</t>
  </si>
  <si>
    <t>34002368</t>
  </si>
  <si>
    <t>34002368-000-001-1-0885060600-912493-21</t>
  </si>
  <si>
    <t xml:space="preserve">歳計現金の一時繰替金利子                                                        </t>
  </si>
  <si>
    <t>34007041</t>
  </si>
  <si>
    <t>0884025400</t>
  </si>
  <si>
    <t>912464</t>
  </si>
  <si>
    <t>局の経理事務（一時借入金利息）</t>
  </si>
  <si>
    <t>088402001054000000</t>
  </si>
  <si>
    <t>34007041-000-001-1-0884025400-912464-21</t>
  </si>
  <si>
    <t>4</t>
  </si>
  <si>
    <t>912496</t>
  </si>
  <si>
    <t>34007041-000-002-1-0884025400-912496-21</t>
  </si>
  <si>
    <t>合流管を競輪事務局に売り払いしたもの
管きょの除却費同じ扱いとする
（雨水：汚水　＝　68％：32％）</t>
  </si>
  <si>
    <t>令和５年度経費（雨水・汚水）区分調 (決算・税込み)</t>
    <rPh sb="0" eb="2">
      <t>レイワ</t>
    </rPh>
    <rPh sb="3" eb="5">
      <t>ネンド</t>
    </rPh>
    <phoneticPr fontId="18"/>
  </si>
  <si>
    <t>一般会計負担金分</t>
    <rPh sb="0" eb="7">
      <t>イッパンカイケイフタンキン</t>
    </rPh>
    <rPh sb="7" eb="8">
      <t>ブン</t>
    </rPh>
    <phoneticPr fontId="2"/>
  </si>
  <si>
    <t>決算見込</t>
    <rPh sb="0" eb="4">
      <t>ケッサンミコミ</t>
    </rPh>
    <phoneticPr fontId="2"/>
  </si>
  <si>
    <t>#=SUM('[4-04 集計表.xlsx]3条集計(税抜)'!R24:T24)</t>
  </si>
  <si>
    <t>#=SUM('[4-04 集計表.xlsx]3条集計(税抜)'!R25:T25)</t>
  </si>
  <si>
    <t>#=SUM('[4-04 集計表.xlsx]3条集計(税抜)'!R26:T26)</t>
  </si>
  <si>
    <t>#=SUM('[4-04 集計表.xlsx]3条集計(税抜)'!R27:T27)</t>
  </si>
  <si>
    <t>#=SUM('[4-04 集計表.xlsx]3条集計(税抜)'!R28:T28)</t>
  </si>
  <si>
    <t>#=SUM('[4-04 集計表.xlsx]3条集計(税抜)'!R29:T29)</t>
  </si>
  <si>
    <t>#=SUM('[4-04 集計表.xlsx]3条集計(税抜)'!R30:T30)</t>
  </si>
  <si>
    <t>#=SUM('[4-04 集計表.xlsx]3条集計(税抜)'!R31:T31)</t>
  </si>
  <si>
    <t>#=SUM('[4-04 集計表.xlsx]3条集計(税抜)'!R32:T32)</t>
  </si>
  <si>
    <t>#=SUM('[4-04 集計表.xlsx]3条集計(税抜)'!R33:T33)</t>
  </si>
  <si>
    <t>#=SUM('[4-04 集計表.xlsx]3条集計(税抜)'!R34:T34)</t>
  </si>
  <si>
    <t>#=SUM('[4-04 集計表.xlsx]3条集計(税抜)'!R39:T39)</t>
  </si>
  <si>
    <t>#=SUM('[4-04 集計表.xlsx]3条集計(税抜)'!R40:T40)</t>
  </si>
  <si>
    <t>#=SUM('[4-04 集計表.xlsx]3条集計(税抜)'!R42:T42)</t>
  </si>
  <si>
    <t>#=SUM('[4-04 集計表.xlsx]3条集計(税抜)'!R43:T43)</t>
  </si>
  <si>
    <t>#=SUM('[4-04 集計表.xlsx]3条集計(税抜)'!R44:T44)</t>
  </si>
  <si>
    <t>#=SUM('[4-04 集計表.xlsx]3条集計(税抜)'!R45:T45)</t>
  </si>
  <si>
    <t>#=SUM('[4-04 集計表.xlsx]3条集計(税抜)'!R47:T47)</t>
  </si>
  <si>
    <t>#=SUM('[4-04 集計表.xlsx]3条集計(税抜)'!R5:T5)</t>
  </si>
  <si>
    <t>#=SUM('[4-04 集計表.xlsx]3条集計(税抜)'!R7:T7)</t>
  </si>
  <si>
    <t>#=SUM('[4-04 集計表.xlsx]3条集計(税抜)'!R8:T8)</t>
  </si>
  <si>
    <t>#=SUM('[4-04 集計表.xlsx]3条集計(税抜)'!R9:T9)</t>
  </si>
  <si>
    <t>#=SUM('[4-04 集計表.xlsx]3条集計(税抜)'!R10:T10)</t>
  </si>
  <si>
    <t>#=SUM('[4-04 集計表.xlsx]3条集計(税抜)'!R11:T11)</t>
  </si>
  <si>
    <t>#=SUM('[4-04 集計表.xlsx]3条集計(税抜)'!R17:T17)</t>
  </si>
  <si>
    <t xml:space="preserve">令和５年度広島市の公の施設利用に伴う海田町負担の維持管理費の精算（戻出）        </t>
  </si>
  <si>
    <t>37000674</t>
  </si>
  <si>
    <t>37000674-000-001-1-0482093200-999999-18</t>
  </si>
  <si>
    <t xml:space="preserve">令和５年度広島市の公の施設利用に伴う坂町負担の維持管理費の精算（戻出）          </t>
  </si>
  <si>
    <t>37000675</t>
  </si>
  <si>
    <t>37000675-000-001-1-0482093200-999999-18</t>
  </si>
  <si>
    <t>令和５年度広島市の公の施設利用に伴う府中町負担の維持管理費の精算（施設管理負担金</t>
  </si>
  <si>
    <t>20001627</t>
  </si>
  <si>
    <t>20001627-000-001-1-0482093200-999999-17</t>
  </si>
  <si>
    <t xml:space="preserve">令和５年度広島市の施設利用に伴う廿日市市負担の維持管理費（雨水分）の精算        </t>
  </si>
  <si>
    <t>20001624</t>
  </si>
  <si>
    <t>廿日市市長　松本　太郎</t>
  </si>
  <si>
    <t>20001624-000-001-1-0482093200-999999-17</t>
  </si>
  <si>
    <t xml:space="preserve">令和５年度広島市の施設利用に伴う廿日市市負担の維持管理費（汚水分）の精算        </t>
  </si>
  <si>
    <t>20001625</t>
  </si>
  <si>
    <t>20001625-000-001-1-0482093200-999999-17</t>
  </si>
  <si>
    <t xml:space="preserve">令和５年度府中町大須地区に係る維持管理費の精算（戻出）                          </t>
  </si>
  <si>
    <t>37000676</t>
  </si>
  <si>
    <t>37000676-000-001-1-0482093200-999999-18</t>
  </si>
  <si>
    <t>052002001014010000</t>
  </si>
  <si>
    <t>過誤納還付金０</t>
  </si>
  <si>
    <t>AA</t>
    <phoneticPr fontId="2"/>
  </si>
  <si>
    <t>AA</t>
    <phoneticPr fontId="2"/>
  </si>
  <si>
    <t>雑支出（免税事業者に係る控除不能額）</t>
    <rPh sb="0" eb="1">
      <t>ザツ</t>
    </rPh>
    <rPh sb="1" eb="3">
      <t>シシュツ</t>
    </rPh>
    <rPh sb="4" eb="9">
      <t>メンゼイジギョウシャ</t>
    </rPh>
    <rPh sb="10" eb="11">
      <t>カカ</t>
    </rPh>
    <rPh sb="12" eb="17">
      <t>コウジョフノウガク</t>
    </rPh>
    <phoneticPr fontId="3"/>
  </si>
  <si>
    <t>4月決見</t>
    <rPh sb="1" eb="4">
      <t>ガツケツミ</t>
    </rPh>
    <phoneticPr fontId="2"/>
  </si>
  <si>
    <t>当初予算</t>
    <rPh sb="0" eb="4">
      <t>トウショヨサン</t>
    </rPh>
    <phoneticPr fontId="2"/>
  </si>
  <si>
    <t xml:space="preserve">貸倒引当金（下水道使用料）の計上誤りの修正                                      </t>
  </si>
  <si>
    <t>37000702</t>
  </si>
  <si>
    <t>021502001002001000</t>
  </si>
  <si>
    <t>37000702-000-002-1-0483060700-999999-31</t>
  </si>
  <si>
    <t>37000703</t>
  </si>
  <si>
    <t>37000703-000-002-1-0483060700-999999-31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</si>
</sst>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0_ ;[Red]\-#,##0\ "/>
    <numFmt numFmtId="177" formatCode="#,##0.0000_ ;[Red]\-#,##0.0000\ "/>
    <numFmt numFmtId="178" formatCode="0.000_);[Red]\(0.000\)"/>
    <numFmt numFmtId="179" formatCode="#,##0.000000;[Red]\-#,##0.000000"/>
    <numFmt numFmtId="180" formatCode="0.000%"/>
  </numFmts>
  <fonts count="34">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6"/>
      <name val="ＭＳ Ｐゴシック"/>
      <family val="3"/>
      <charset val="128"/>
    </font>
    <font>
      <sz val="11"/>
      <color indexed="10"/>
      <name val="ＭＳ Ｐゴシック"/>
      <family val="3"/>
      <charset val="128"/>
    </font>
    <font>
      <b/>
      <sz val="11"/>
      <color rgb="FFFF0000"/>
      <name val="ＭＳ Ｐゴシック"/>
      <family val="3"/>
      <charset val="128"/>
    </font>
    <font>
      <sz val="9"/>
      <name val="ＭＳ Ｐゴシック"/>
      <family val="3"/>
      <charset val="128"/>
    </font>
    <font>
      <sz val="10"/>
      <name val="ＭＳ Ｐゴシック"/>
      <family val="3"/>
      <charset val="128"/>
    </font>
    <font>
      <b/>
      <sz val="9"/>
      <color indexed="81"/>
      <name val="ＭＳ Ｐゴシック"/>
      <family val="3"/>
      <charset val="128"/>
    </font>
    <font>
      <sz val="9"/>
      <color indexed="81"/>
      <name val="ＭＳ Ｐゴシック"/>
      <family val="3"/>
      <charset val="128"/>
    </font>
    <font>
      <b/>
      <sz val="9"/>
      <color indexed="10"/>
      <name val="ＭＳ Ｐゴシック"/>
      <family val="3"/>
      <charset val="128"/>
    </font>
    <font>
      <sz val="11"/>
      <color theme="1"/>
      <name val="ＭＳ Ｐゴシック"/>
      <family val="3"/>
      <charset val="128"/>
      <scheme val="minor"/>
    </font>
    <font>
      <sz val="10"/>
      <name val="ＭＳ 明朝"/>
      <family val="1"/>
      <charset val="128"/>
    </font>
    <font>
      <sz val="11"/>
      <color theme="1"/>
      <name val="ＭＳ Ｐゴシック"/>
      <family val="2"/>
      <scheme val="minor"/>
    </font>
    <font>
      <sz val="11"/>
      <name val="ＭＳ Ｐ明朝"/>
      <family val="1"/>
      <charset val="128"/>
    </font>
    <font>
      <sz val="6"/>
      <name val="ＭＳ Ｐゴシック"/>
      <family val="3"/>
      <charset val="128"/>
      <scheme val="minor"/>
    </font>
    <font>
      <b/>
      <sz val="11"/>
      <color rgb="FFFF0000"/>
      <name val="ＭＳ Ｐゴシック"/>
      <family val="3"/>
      <charset val="128"/>
      <scheme val="minor"/>
    </font>
    <font>
      <sz val="9"/>
      <name val="ＭＳ 明朝"/>
      <family val="1"/>
      <charset val="128"/>
    </font>
    <font>
      <sz val="6"/>
      <name val="ＭＳ Ｐ明朝"/>
      <family val="1"/>
      <charset val="128"/>
    </font>
    <font>
      <sz val="8"/>
      <name val="ＭＳ 明朝"/>
      <family val="1"/>
      <charset val="128"/>
    </font>
    <font>
      <sz val="7"/>
      <name val="ＭＳ 明朝"/>
      <family val="1"/>
      <charset val="128"/>
    </font>
    <font>
      <b/>
      <sz val="8"/>
      <name val="ＭＳ 明朝"/>
      <family val="1"/>
      <charset val="128"/>
    </font>
    <font>
      <sz val="9"/>
      <name val="ＭＳ ゴシック"/>
      <family val="3"/>
      <charset val="128"/>
    </font>
    <font>
      <sz val="12"/>
      <name val="ＭＳ 明朝"/>
      <family val="1"/>
      <charset val="128"/>
    </font>
    <font>
      <b/>
      <sz val="22"/>
      <color indexed="81"/>
      <name val="ＭＳ Ｐゴシック"/>
      <family val="3"/>
      <charset val="128"/>
    </font>
    <font>
      <b/>
      <sz val="12"/>
      <color indexed="81"/>
      <name val="ＭＳ Ｐゴシック"/>
      <family val="3"/>
      <charset val="128"/>
    </font>
    <font>
      <sz val="11"/>
      <color rgb="FF0000FF"/>
      <name val="ＭＳ Ｐゴシック"/>
      <family val="3"/>
      <charset val="128"/>
    </font>
    <font>
      <sz val="11"/>
      <color rgb="FF0000FF"/>
      <name val="ＭＳ Ｐゴシック"/>
      <family val="2"/>
      <charset val="128"/>
      <scheme val="minor"/>
    </font>
    <font>
      <sz val="11"/>
      <color rgb="FF0000FF"/>
      <name val="ＭＳ Ｐゴシック"/>
      <family val="3"/>
      <charset val="128"/>
      <scheme val="minor"/>
    </font>
    <font>
      <sz val="11"/>
      <color indexed="81"/>
      <name val="ＭＳ Ｐゴシック"/>
      <family val="3"/>
      <charset val="128"/>
    </font>
    <font>
      <sz val="9"/>
      <color indexed="81"/>
      <name val="MS P ゴシック"/>
      <family val="3"/>
      <charset val="128"/>
    </font>
    <font>
      <b/>
      <sz val="9"/>
      <color indexed="81"/>
      <name val="MS P ゴシック"/>
      <family val="3"/>
      <charset val="128"/>
    </font>
    <font>
      <u/>
      <sz val="9"/>
      <color indexed="81"/>
      <name val="ＭＳ Ｐゴシック"/>
      <family val="3"/>
      <charset val="128"/>
    </font>
    <font>
      <sz val="11"/>
      <color theme="1"/>
      <name val="ＭＳ Ｐゴシック"/>
      <family val="2"/>
      <charset val="128"/>
      <scheme val="minor"/>
    </font>
  </fonts>
  <fills count="1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solid">
        <fgColor theme="0" tint="-0.34998626667073579"/>
        <bgColor indexed="64"/>
      </patternFill>
    </fill>
    <fill>
      <patternFill patternType="solid">
        <fgColor rgb="FFFF7C80"/>
        <bgColor indexed="64"/>
      </patternFill>
    </fill>
    <fill>
      <patternFill patternType="solid">
        <fgColor rgb="FF92D050"/>
        <bgColor indexed="64"/>
      </patternFill>
    </fill>
    <fill>
      <patternFill patternType="solid">
        <fgColor rgb="FF00CC00"/>
        <bgColor indexed="64"/>
      </patternFill>
    </fill>
    <fill>
      <patternFill patternType="solid">
        <fgColor rgb="FFFFFF00"/>
        <bgColor indexed="64"/>
      </patternFill>
    </fill>
    <fill>
      <patternFill patternType="solid">
        <fgColor rgb="FF00B050"/>
        <bgColor indexed="64"/>
      </patternFill>
    </fill>
    <fill>
      <patternFill patternType="solid">
        <fgColor rgb="FFCCFFCC"/>
        <bgColor indexed="64"/>
      </patternFill>
    </fill>
    <fill>
      <patternFill patternType="solid">
        <fgColor rgb="FFFFFF99"/>
        <bgColor indexed="64"/>
      </patternFill>
    </fill>
    <fill>
      <patternFill patternType="solid">
        <fgColor theme="4" tint="0.39997558519241921"/>
        <bgColor indexed="64"/>
      </patternFill>
    </fill>
    <fill>
      <patternFill patternType="solid">
        <fgColor theme="9" tint="0.39997558519241921"/>
        <bgColor indexed="64"/>
      </patternFill>
    </fill>
  </fills>
  <borders count="130">
    <border>
      <left/>
      <right/>
      <top/>
      <bottom/>
      <diagonal/>
    </border>
    <border>
      <left style="thin">
        <color indexed="64"/>
      </left>
      <right style="thin">
        <color indexed="64"/>
      </right>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right style="thin">
        <color indexed="64"/>
      </right>
      <top style="hair">
        <color indexed="64"/>
      </top>
      <bottom style="double">
        <color indexed="64"/>
      </bottom>
      <diagonal/>
    </border>
    <border>
      <left/>
      <right/>
      <top style="hair">
        <color indexed="64"/>
      </top>
      <bottom style="double">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right/>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bottom/>
      <diagonal/>
    </border>
    <border>
      <left style="hair">
        <color indexed="64"/>
      </left>
      <right style="thin">
        <color indexed="64"/>
      </right>
      <top/>
      <bottom/>
      <diagonal/>
    </border>
    <border>
      <left style="hair">
        <color indexed="64"/>
      </left>
      <right style="hair">
        <color indexed="64"/>
      </right>
      <top/>
      <bottom/>
      <diagonal/>
    </border>
    <border>
      <left style="thin">
        <color indexed="64"/>
      </left>
      <right style="hair">
        <color indexed="64"/>
      </right>
      <top/>
      <bottom/>
      <diagonal/>
    </border>
    <border>
      <left/>
      <right style="thin">
        <color indexed="64"/>
      </right>
      <top/>
      <bottom/>
      <diagonal/>
    </border>
    <border>
      <left style="thin">
        <color indexed="64"/>
      </left>
      <right style="thin">
        <color indexed="64"/>
      </right>
      <top style="hair">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top style="double">
        <color indexed="64"/>
      </top>
      <bottom style="thin">
        <color indexed="64"/>
      </bottom>
      <diagonal/>
    </border>
    <border>
      <left/>
      <right style="hair">
        <color indexed="64"/>
      </right>
      <top style="double">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style="thin">
        <color indexed="64"/>
      </top>
      <bottom style="hair">
        <color indexed="64"/>
      </bottom>
      <diagonal/>
    </border>
    <border>
      <left/>
      <right style="thin">
        <color indexed="64"/>
      </right>
      <top style="double">
        <color indexed="64"/>
      </top>
      <bottom style="thin">
        <color indexed="64"/>
      </bottom>
      <diagonal/>
    </border>
    <border>
      <left style="thin">
        <color indexed="64"/>
      </left>
      <right/>
      <top style="hair">
        <color indexed="64"/>
      </top>
      <bottom style="double">
        <color indexed="64"/>
      </bottom>
      <diagonal/>
    </border>
    <border>
      <left/>
      <right style="thin">
        <color indexed="64"/>
      </right>
      <top/>
      <bottom style="hair">
        <color indexed="64"/>
      </bottom>
      <diagonal/>
    </border>
    <border>
      <left style="medium">
        <color indexed="64"/>
      </left>
      <right style="medium">
        <color indexed="64"/>
      </right>
      <top/>
      <bottom style="medium">
        <color indexed="64"/>
      </bottom>
      <diagonal/>
    </border>
    <border>
      <left style="medium">
        <color indexed="64"/>
      </left>
      <right style="hair">
        <color indexed="64"/>
      </right>
      <top style="thin">
        <color indexed="64"/>
      </top>
      <bottom/>
      <diagonal/>
    </border>
    <border>
      <left style="medium">
        <color indexed="64"/>
      </left>
      <right style="medium">
        <color indexed="64"/>
      </right>
      <top style="thin">
        <color indexed="64"/>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medium">
        <color indexed="64"/>
      </left>
      <right style="hair">
        <color indexed="64"/>
      </right>
      <top style="hair">
        <color indexed="64"/>
      </top>
      <bottom style="thin">
        <color indexed="64"/>
      </bottom>
      <diagonal/>
    </border>
    <border>
      <left style="medium">
        <color indexed="64"/>
      </left>
      <right style="medium">
        <color indexed="64"/>
      </right>
      <top style="hair">
        <color indexed="64"/>
      </top>
      <bottom style="thin">
        <color indexed="64"/>
      </bottom>
      <diagonal/>
    </border>
    <border>
      <left style="medium">
        <color indexed="64"/>
      </left>
      <right style="hair">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bottom/>
      <diagonal/>
    </border>
    <border>
      <left style="medium">
        <color indexed="64"/>
      </left>
      <right style="hair">
        <color indexed="64"/>
      </right>
      <top/>
      <bottom style="hair">
        <color indexed="64"/>
      </bottom>
      <diagonal/>
    </border>
    <border>
      <left style="medium">
        <color indexed="64"/>
      </left>
      <right style="medium">
        <color indexed="64"/>
      </right>
      <top/>
      <bottom style="hair">
        <color indexed="64"/>
      </bottom>
      <diagonal/>
    </border>
    <border>
      <left/>
      <right/>
      <top style="hair">
        <color indexed="64"/>
      </top>
      <bottom/>
      <diagonal/>
    </border>
    <border>
      <left/>
      <right style="hair">
        <color indexed="64"/>
      </right>
      <top style="hair">
        <color indexed="64"/>
      </top>
      <bottom style="hair">
        <color indexed="64"/>
      </bottom>
      <diagonal/>
    </border>
    <border>
      <left style="thin">
        <color indexed="64"/>
      </left>
      <right/>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bottom/>
      <diagonal/>
    </border>
    <border>
      <left style="medium">
        <color indexed="64"/>
      </left>
      <right/>
      <top style="thin">
        <color indexed="64"/>
      </top>
      <bottom style="hair">
        <color indexed="64"/>
      </bottom>
      <diagonal/>
    </border>
    <border>
      <left style="medium">
        <color indexed="64"/>
      </left>
      <right style="medium">
        <color indexed="64"/>
      </right>
      <top style="medium">
        <color indexed="64"/>
      </top>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right/>
      <top style="hair">
        <color indexed="64"/>
      </top>
      <bottom style="thin">
        <color indexed="64"/>
      </bottom>
      <diagonal/>
    </border>
    <border>
      <left style="medium">
        <color indexed="64"/>
      </left>
      <right style="medium">
        <color indexed="64"/>
      </right>
      <top style="hair">
        <color indexed="64"/>
      </top>
      <bottom style="medium">
        <color indexed="64"/>
      </bottom>
      <diagonal/>
    </border>
    <border>
      <left/>
      <right style="hair">
        <color indexed="64"/>
      </right>
      <top/>
      <bottom style="hair">
        <color indexed="64"/>
      </bottom>
      <diagonal/>
    </border>
    <border>
      <left style="medium">
        <color indexed="64"/>
      </left>
      <right/>
      <top/>
      <bottom style="hair">
        <color indexed="64"/>
      </bottom>
      <diagonal/>
    </border>
    <border>
      <left/>
      <right style="thin">
        <color indexed="64"/>
      </right>
      <top style="hair">
        <color indexed="64"/>
      </top>
      <bottom style="medium">
        <color indexed="64"/>
      </bottom>
      <diagonal/>
    </border>
    <border>
      <left/>
      <right/>
      <top style="hair">
        <color indexed="64"/>
      </top>
      <bottom style="medium">
        <color indexed="64"/>
      </bottom>
      <diagonal/>
    </border>
    <border>
      <left style="medium">
        <color indexed="64"/>
      </left>
      <right style="hair">
        <color indexed="64"/>
      </right>
      <top/>
      <bottom style="medium">
        <color indexed="64"/>
      </bottom>
      <diagonal/>
    </border>
    <border>
      <left style="medium">
        <color indexed="64"/>
      </left>
      <right/>
      <top/>
      <bottom/>
      <diagonal/>
    </border>
    <border>
      <left style="hair">
        <color indexed="64"/>
      </left>
      <right/>
      <top/>
      <bottom style="hair">
        <color indexed="64"/>
      </bottom>
      <diagonal/>
    </border>
    <border>
      <left style="hair">
        <color indexed="64"/>
      </left>
      <right style="thin">
        <color indexed="64"/>
      </right>
      <top/>
      <bottom style="dotted">
        <color indexed="64"/>
      </bottom>
      <diagonal/>
    </border>
    <border>
      <left style="hair">
        <color indexed="64"/>
      </left>
      <right style="hair">
        <color indexed="64"/>
      </right>
      <top/>
      <bottom style="dotted">
        <color indexed="64"/>
      </bottom>
      <diagonal/>
    </border>
    <border>
      <left style="thin">
        <color indexed="64"/>
      </left>
      <right style="hair">
        <color indexed="64"/>
      </right>
      <top/>
      <bottom style="dotted">
        <color indexed="64"/>
      </bottom>
      <diagonal/>
    </border>
    <border>
      <left style="medium">
        <color indexed="64"/>
      </left>
      <right style="hair">
        <color indexed="64"/>
      </right>
      <top/>
      <bottom style="dotted">
        <color indexed="64"/>
      </bottom>
      <diagonal/>
    </border>
    <border>
      <left style="medium">
        <color indexed="64"/>
      </left>
      <right style="medium">
        <color indexed="64"/>
      </right>
      <top/>
      <bottom style="dotted">
        <color indexed="64"/>
      </bottom>
      <diagonal/>
    </border>
    <border>
      <left/>
      <right style="thin">
        <color indexed="64"/>
      </right>
      <top style="hair">
        <color indexed="64"/>
      </top>
      <bottom/>
      <diagonal/>
    </border>
    <border>
      <left style="medium">
        <color indexed="64"/>
      </left>
      <right/>
      <top style="hair">
        <color indexed="64"/>
      </top>
      <bottom/>
      <diagonal/>
    </border>
    <border>
      <left style="hair">
        <color indexed="64"/>
      </left>
      <right/>
      <top style="hair">
        <color indexed="64"/>
      </top>
      <bottom style="medium">
        <color indexed="64"/>
      </bottom>
      <diagonal/>
    </border>
    <border>
      <left style="medium">
        <color indexed="64"/>
      </left>
      <right/>
      <top/>
      <bottom style="medium">
        <color indexed="64"/>
      </bottom>
      <diagonal/>
    </border>
    <border>
      <left style="medium">
        <color indexed="64"/>
      </left>
      <right style="hair">
        <color indexed="64"/>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hair">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hair">
        <color indexed="64"/>
      </left>
      <right/>
      <top style="hair">
        <color indexed="64"/>
      </top>
      <bottom style="thin">
        <color indexed="64"/>
      </bottom>
      <diagonal/>
    </border>
    <border>
      <left style="medium">
        <color indexed="64"/>
      </left>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right style="hair">
        <color indexed="64"/>
      </right>
      <top/>
      <bottom/>
      <diagonal/>
    </border>
    <border>
      <left/>
      <right style="hair">
        <color indexed="64"/>
      </right>
      <top style="hair">
        <color indexed="64"/>
      </top>
      <bottom style="double">
        <color indexed="64"/>
      </bottom>
      <diagonal/>
    </border>
  </borders>
  <cellStyleXfs count="14">
    <xf numFmtId="0" fontId="0" fillId="0" borderId="0">
      <alignment vertical="center"/>
    </xf>
    <xf numFmtId="38" fontId="1" fillId="0" borderId="0" applyFont="0" applyFill="0" applyBorder="0" applyAlignment="0" applyProtection="0"/>
    <xf numFmtId="9" fontId="11" fillId="0" borderId="0" applyFont="0" applyFill="0" applyBorder="0" applyAlignment="0" applyProtection="0">
      <alignment vertical="center"/>
    </xf>
    <xf numFmtId="38" fontId="11" fillId="0" borderId="0" applyFont="0" applyFill="0" applyBorder="0" applyAlignment="0" applyProtection="0">
      <alignment vertical="center"/>
    </xf>
    <xf numFmtId="38" fontId="1" fillId="0" borderId="0" applyFont="0" applyFill="0" applyBorder="0" applyAlignment="0" applyProtection="0"/>
    <xf numFmtId="38" fontId="12" fillId="0" borderId="0" applyFont="0" applyFill="0" applyBorder="0" applyAlignment="0" applyProtection="0"/>
    <xf numFmtId="38" fontId="13" fillId="0" borderId="0" applyFont="0" applyFill="0" applyBorder="0" applyAlignment="0" applyProtection="0">
      <alignment vertical="center"/>
    </xf>
    <xf numFmtId="0" fontId="11" fillId="0" borderId="0"/>
    <xf numFmtId="0" fontId="1" fillId="0" borderId="0"/>
    <xf numFmtId="0" fontId="12" fillId="0" borderId="0"/>
    <xf numFmtId="0" fontId="11" fillId="0" borderId="0">
      <alignment vertical="center"/>
    </xf>
    <xf numFmtId="0" fontId="13" fillId="0" borderId="0"/>
    <xf numFmtId="0" fontId="14" fillId="0" borderId="0"/>
    <xf numFmtId="9" fontId="33" fillId="0" borderId="0" applyFont="0" applyFill="0" applyBorder="0" applyAlignment="0" applyProtection="0">
      <alignment vertical="center"/>
    </xf>
  </cellStyleXfs>
  <cellXfs count="654">
    <xf numFmtId="0" fontId="0" fillId="0" borderId="0" xfId="0">
      <alignment vertical="center"/>
    </xf>
    <xf numFmtId="38" fontId="1" fillId="0" borderId="0" xfId="1" applyFont="1" applyAlignment="1">
      <alignment vertical="center"/>
    </xf>
    <xf numFmtId="38" fontId="1" fillId="0" borderId="0" xfId="1" applyFont="1" applyFill="1" applyAlignment="1">
      <alignment vertical="center"/>
    </xf>
    <xf numFmtId="38" fontId="1" fillId="0" borderId="0" xfId="1" applyFont="1" applyBorder="1" applyAlignment="1">
      <alignment vertical="center"/>
    </xf>
    <xf numFmtId="38" fontId="1" fillId="0" borderId="0" xfId="1" applyFont="1" applyFill="1" applyAlignment="1">
      <alignment horizontal="right" vertical="center"/>
    </xf>
    <xf numFmtId="38" fontId="1" fillId="0" borderId="0" xfId="1" applyFont="1" applyAlignment="1">
      <alignment horizontal="right" vertical="center"/>
    </xf>
    <xf numFmtId="38" fontId="1" fillId="0" borderId="1" xfId="1" applyFont="1" applyFill="1" applyBorder="1" applyAlignment="1">
      <alignment horizontal="right" vertical="center"/>
    </xf>
    <xf numFmtId="38" fontId="1" fillId="0" borderId="1" xfId="1" applyFont="1" applyBorder="1" applyAlignment="1">
      <alignment horizontal="right" vertical="center"/>
    </xf>
    <xf numFmtId="38" fontId="1" fillId="0" borderId="2" xfId="1" applyFont="1" applyFill="1" applyBorder="1" applyAlignment="1">
      <alignment horizontal="right" vertical="center"/>
    </xf>
    <xf numFmtId="38" fontId="1" fillId="0" borderId="3" xfId="1" applyFont="1" applyBorder="1" applyAlignment="1">
      <alignment horizontal="right" vertical="center"/>
    </xf>
    <xf numFmtId="38" fontId="1" fillId="0" borderId="4" xfId="1" applyFont="1" applyBorder="1" applyAlignment="1">
      <alignment horizontal="right" vertical="center"/>
    </xf>
    <xf numFmtId="38" fontId="1" fillId="0" borderId="5" xfId="1" applyFont="1" applyBorder="1" applyAlignment="1">
      <alignment horizontal="right" vertical="center"/>
    </xf>
    <xf numFmtId="38" fontId="1" fillId="0" borderId="6" xfId="1" applyFont="1" applyBorder="1" applyAlignment="1">
      <alignment horizontal="center" vertical="center" shrinkToFit="1"/>
    </xf>
    <xf numFmtId="38" fontId="1" fillId="0" borderId="8" xfId="1" applyFont="1" applyBorder="1" applyAlignment="1">
      <alignment vertical="center" shrinkToFit="1"/>
    </xf>
    <xf numFmtId="38" fontId="1" fillId="0" borderId="9" xfId="1" applyFont="1" applyBorder="1" applyAlignment="1">
      <alignment vertical="center" shrinkToFit="1"/>
    </xf>
    <xf numFmtId="38" fontId="1" fillId="0" borderId="6" xfId="1" applyFont="1" applyBorder="1" applyAlignment="1">
      <alignment horizontal="center" vertical="center"/>
    </xf>
    <xf numFmtId="38" fontId="1" fillId="0" borderId="8" xfId="1" applyFont="1" applyBorder="1" applyAlignment="1">
      <alignment vertical="center"/>
    </xf>
    <xf numFmtId="38" fontId="1" fillId="0" borderId="10" xfId="1" applyFont="1" applyFill="1" applyBorder="1" applyAlignment="1">
      <alignment horizontal="right" vertical="center"/>
    </xf>
    <xf numFmtId="38" fontId="1" fillId="0" borderId="10" xfId="1" applyFont="1" applyBorder="1" applyAlignment="1">
      <alignment horizontal="right" vertical="center"/>
    </xf>
    <xf numFmtId="38" fontId="1" fillId="0" borderId="11" xfId="1" applyFont="1" applyFill="1" applyBorder="1" applyAlignment="1">
      <alignment horizontal="right" vertical="center"/>
    </xf>
    <xf numFmtId="38" fontId="1" fillId="0" borderId="12" xfId="1" applyFont="1" applyBorder="1" applyAlignment="1">
      <alignment horizontal="right" vertical="center"/>
    </xf>
    <xf numFmtId="38" fontId="1" fillId="0" borderId="13" xfId="1" applyFont="1" applyBorder="1" applyAlignment="1">
      <alignment horizontal="right" vertical="center"/>
    </xf>
    <xf numFmtId="38" fontId="1" fillId="0" borderId="14" xfId="1" applyFont="1" applyBorder="1" applyAlignment="1">
      <alignment horizontal="right" vertical="center"/>
    </xf>
    <xf numFmtId="38" fontId="1" fillId="0" borderId="10" xfId="1" applyFont="1" applyBorder="1" applyAlignment="1">
      <alignment horizontal="center" vertical="center" shrinkToFit="1"/>
    </xf>
    <xf numFmtId="38" fontId="1" fillId="0" borderId="15" xfId="1" applyFont="1" applyBorder="1" applyAlignment="1">
      <alignment vertical="center" shrinkToFit="1"/>
    </xf>
    <xf numFmtId="38" fontId="1" fillId="0" borderId="14" xfId="1" applyFont="1" applyBorder="1" applyAlignment="1">
      <alignment vertical="center" shrinkToFit="1"/>
    </xf>
    <xf numFmtId="38" fontId="1" fillId="0" borderId="16" xfId="1" applyFont="1" applyFill="1" applyBorder="1" applyAlignment="1">
      <alignment horizontal="right" vertical="center"/>
    </xf>
    <xf numFmtId="38" fontId="1" fillId="2" borderId="17" xfId="1" applyFont="1" applyFill="1" applyBorder="1" applyAlignment="1">
      <alignment horizontal="right" vertical="center"/>
    </xf>
    <xf numFmtId="38" fontId="1" fillId="0" borderId="18" xfId="1" applyFont="1" applyFill="1" applyBorder="1" applyAlignment="1">
      <alignment horizontal="right" vertical="center"/>
    </xf>
    <xf numFmtId="38" fontId="1" fillId="0" borderId="19" xfId="1" applyFont="1" applyFill="1" applyBorder="1" applyAlignment="1">
      <alignment horizontal="right" vertical="center"/>
    </xf>
    <xf numFmtId="38" fontId="1" fillId="0" borderId="20" xfId="1" applyFont="1" applyFill="1" applyBorder="1" applyAlignment="1">
      <alignment horizontal="right" vertical="center"/>
    </xf>
    <xf numFmtId="38" fontId="1" fillId="0" borderId="16" xfId="1" applyFont="1" applyFill="1" applyBorder="1" applyAlignment="1">
      <alignment horizontal="left" vertical="center"/>
    </xf>
    <xf numFmtId="38" fontId="1" fillId="0" borderId="16" xfId="1" applyFont="1" applyFill="1" applyBorder="1" applyAlignment="1">
      <alignment vertical="center" shrinkToFit="1"/>
    </xf>
    <xf numFmtId="38" fontId="1" fillId="0" borderId="22" xfId="1" applyFont="1" applyFill="1" applyBorder="1" applyAlignment="1">
      <alignment horizontal="center" vertical="center" shrinkToFit="1"/>
    </xf>
    <xf numFmtId="38" fontId="1" fillId="0" borderId="19" xfId="1" applyFont="1" applyFill="1" applyBorder="1" applyAlignment="1">
      <alignment horizontal="center" vertical="center" shrinkToFit="1"/>
    </xf>
    <xf numFmtId="38" fontId="1" fillId="0" borderId="0" xfId="1" applyFont="1" applyFill="1" applyBorder="1" applyAlignment="1">
      <alignment vertical="center" shrinkToFit="1"/>
    </xf>
    <xf numFmtId="38" fontId="1" fillId="0" borderId="23" xfId="1" applyFont="1" applyFill="1" applyBorder="1" applyAlignment="1">
      <alignment horizontal="right" vertical="center"/>
    </xf>
    <xf numFmtId="38" fontId="1" fillId="0" borderId="24" xfId="1" applyFont="1" applyFill="1" applyBorder="1" applyAlignment="1">
      <alignment horizontal="right" vertical="center"/>
    </xf>
    <xf numFmtId="38" fontId="1" fillId="0" borderId="25" xfId="1" applyFont="1" applyFill="1" applyBorder="1" applyAlignment="1">
      <alignment horizontal="right" vertical="center"/>
    </xf>
    <xf numFmtId="38" fontId="1" fillId="0" borderId="26" xfId="1" applyFont="1" applyFill="1" applyBorder="1" applyAlignment="1">
      <alignment horizontal="right" vertical="center"/>
    </xf>
    <xf numFmtId="38" fontId="1" fillId="0" borderId="27" xfId="1" applyFont="1" applyFill="1" applyBorder="1" applyAlignment="1">
      <alignment horizontal="right" vertical="center"/>
    </xf>
    <xf numFmtId="38" fontId="1" fillId="0" borderId="23" xfId="1" applyFont="1" applyFill="1" applyBorder="1" applyAlignment="1">
      <alignment horizontal="left" vertical="center"/>
    </xf>
    <xf numFmtId="38" fontId="1" fillId="0" borderId="23" xfId="1" applyFont="1" applyFill="1" applyBorder="1" applyAlignment="1">
      <alignment vertical="center" shrinkToFit="1"/>
    </xf>
    <xf numFmtId="38" fontId="1" fillId="0" borderId="28" xfId="1" applyFont="1" applyFill="1" applyBorder="1" applyAlignment="1">
      <alignment horizontal="right" vertical="center"/>
    </xf>
    <xf numFmtId="38" fontId="1" fillId="0" borderId="29" xfId="1" applyFont="1" applyFill="1" applyBorder="1" applyAlignment="1">
      <alignment horizontal="center" vertical="center" shrinkToFit="1"/>
    </xf>
    <xf numFmtId="38" fontId="1" fillId="0" borderId="26" xfId="1" applyFont="1" applyFill="1" applyBorder="1" applyAlignment="1">
      <alignment horizontal="center" vertical="center" shrinkToFit="1"/>
    </xf>
    <xf numFmtId="38" fontId="1" fillId="3" borderId="23" xfId="1" applyFont="1" applyFill="1" applyBorder="1" applyAlignment="1">
      <alignment horizontal="right" vertical="center"/>
    </xf>
    <xf numFmtId="38" fontId="1" fillId="3" borderId="25" xfId="1" applyFont="1" applyFill="1" applyBorder="1" applyAlignment="1">
      <alignment horizontal="right" vertical="center"/>
    </xf>
    <xf numFmtId="38" fontId="1" fillId="3" borderId="26" xfId="1" applyFont="1" applyFill="1" applyBorder="1" applyAlignment="1">
      <alignment horizontal="right" vertical="center"/>
    </xf>
    <xf numFmtId="38" fontId="1" fillId="3" borderId="27" xfId="1" applyFont="1" applyFill="1" applyBorder="1" applyAlignment="1">
      <alignment horizontal="right" vertical="center"/>
    </xf>
    <xf numFmtId="38" fontId="0" fillId="0" borderId="23" xfId="1" applyFont="1" applyFill="1" applyBorder="1" applyAlignment="1">
      <alignment vertical="center" shrinkToFit="1"/>
    </xf>
    <xf numFmtId="38" fontId="1" fillId="0" borderId="30" xfId="1" applyFont="1" applyFill="1" applyBorder="1" applyAlignment="1">
      <alignment horizontal="right" vertical="center"/>
    </xf>
    <xf numFmtId="38" fontId="1" fillId="2" borderId="24" xfId="1" applyFont="1" applyFill="1" applyBorder="1" applyAlignment="1">
      <alignment horizontal="right" vertical="center"/>
    </xf>
    <xf numFmtId="38" fontId="5" fillId="0" borderId="0" xfId="1" applyFont="1" applyFill="1" applyAlignment="1">
      <alignment vertical="center"/>
    </xf>
    <xf numFmtId="38" fontId="1" fillId="0" borderId="25" xfId="1" applyFont="1" applyFill="1" applyBorder="1" applyAlignment="1">
      <alignment vertical="center"/>
    </xf>
    <xf numFmtId="38" fontId="1" fillId="0" borderId="0" xfId="1" applyFont="1" applyAlignment="1">
      <alignment horizontal="left" vertical="center"/>
    </xf>
    <xf numFmtId="38" fontId="1" fillId="4" borderId="25" xfId="1" applyFont="1" applyFill="1" applyBorder="1" applyAlignment="1">
      <alignment horizontal="right" vertical="center"/>
    </xf>
    <xf numFmtId="38" fontId="1" fillId="4" borderId="26" xfId="1" applyFont="1" applyFill="1" applyBorder="1" applyAlignment="1">
      <alignment horizontal="right" vertical="center"/>
    </xf>
    <xf numFmtId="38" fontId="1" fillId="5" borderId="23" xfId="1" applyFont="1" applyFill="1" applyBorder="1" applyAlignment="1">
      <alignment horizontal="right" vertical="center"/>
    </xf>
    <xf numFmtId="38" fontId="1" fillId="5" borderId="23" xfId="1" applyFont="1" applyFill="1" applyBorder="1" applyAlignment="1">
      <alignment horizontal="left" vertical="center" shrinkToFit="1"/>
    </xf>
    <xf numFmtId="38" fontId="1" fillId="0" borderId="23" xfId="1" applyFont="1" applyFill="1" applyBorder="1" applyAlignment="1">
      <alignment horizontal="left" vertical="center" shrinkToFit="1"/>
    </xf>
    <xf numFmtId="38" fontId="1" fillId="3" borderId="30" xfId="1" applyFont="1" applyFill="1" applyBorder="1" applyAlignment="1">
      <alignment horizontal="right" vertical="center"/>
    </xf>
    <xf numFmtId="38" fontId="1" fillId="0" borderId="10" xfId="1" applyFont="1" applyFill="1" applyBorder="1" applyAlignment="1">
      <alignment vertical="center"/>
    </xf>
    <xf numFmtId="38" fontId="1" fillId="0" borderId="11" xfId="1" applyFont="1" applyFill="1" applyBorder="1" applyAlignment="1">
      <alignment vertical="center"/>
    </xf>
    <xf numFmtId="38" fontId="1" fillId="0" borderId="12" xfId="1" applyFont="1" applyBorder="1" applyAlignment="1">
      <alignment vertical="center"/>
    </xf>
    <xf numFmtId="38" fontId="1" fillId="0" borderId="13" xfId="1" applyFont="1" applyBorder="1" applyAlignment="1">
      <alignment vertical="center"/>
    </xf>
    <xf numFmtId="38" fontId="1" fillId="0" borderId="15" xfId="1" applyFont="1" applyBorder="1" applyAlignment="1">
      <alignment vertical="center"/>
    </xf>
    <xf numFmtId="38" fontId="1" fillId="0" borderId="23" xfId="1" applyFont="1" applyFill="1" applyBorder="1" applyAlignment="1">
      <alignment vertical="center"/>
    </xf>
    <xf numFmtId="38" fontId="1" fillId="0" borderId="24" xfId="1" applyFont="1" applyFill="1" applyBorder="1" applyAlignment="1">
      <alignment vertical="center"/>
    </xf>
    <xf numFmtId="38" fontId="1" fillId="0" borderId="26" xfId="1" applyFont="1" applyFill="1" applyBorder="1" applyAlignment="1">
      <alignment vertical="center"/>
    </xf>
    <xf numFmtId="38" fontId="1" fillId="0" borderId="28" xfId="1" applyFont="1" applyFill="1" applyBorder="1" applyAlignment="1">
      <alignment vertical="center"/>
    </xf>
    <xf numFmtId="38" fontId="1" fillId="0" borderId="23" xfId="1" applyFont="1" applyBorder="1" applyAlignment="1">
      <alignment vertical="center" shrinkToFit="1"/>
    </xf>
    <xf numFmtId="38" fontId="1" fillId="0" borderId="30" xfId="1" applyFont="1" applyFill="1" applyBorder="1" applyAlignment="1">
      <alignment vertical="center"/>
    </xf>
    <xf numFmtId="38" fontId="1" fillId="0" borderId="27" xfId="1" applyFont="1" applyFill="1" applyBorder="1" applyAlignment="1">
      <alignment vertical="center"/>
    </xf>
    <xf numFmtId="38" fontId="0" fillId="0" borderId="23" xfId="1" applyFont="1" applyFill="1" applyBorder="1" applyAlignment="1">
      <alignment horizontal="left" vertical="center"/>
    </xf>
    <xf numFmtId="38" fontId="1" fillId="3" borderId="23" xfId="1" applyFont="1" applyFill="1" applyBorder="1" applyAlignment="1">
      <alignment vertical="center"/>
    </xf>
    <xf numFmtId="38" fontId="1" fillId="3" borderId="25" xfId="1" applyFont="1" applyFill="1" applyBorder="1" applyAlignment="1">
      <alignment vertical="center"/>
    </xf>
    <xf numFmtId="38" fontId="1" fillId="3" borderId="26" xfId="1" applyFont="1" applyFill="1" applyBorder="1" applyAlignment="1">
      <alignment vertical="center"/>
    </xf>
    <xf numFmtId="38" fontId="1" fillId="3" borderId="30" xfId="1" applyFont="1" applyFill="1" applyBorder="1" applyAlignment="1">
      <alignment vertical="center"/>
    </xf>
    <xf numFmtId="38" fontId="1" fillId="0" borderId="31" xfId="1" applyFont="1" applyFill="1" applyBorder="1" applyAlignment="1">
      <alignment vertical="center"/>
    </xf>
    <xf numFmtId="38" fontId="1" fillId="0" borderId="32" xfId="1" applyFont="1" applyFill="1" applyBorder="1" applyAlignment="1">
      <alignment vertical="center"/>
    </xf>
    <xf numFmtId="38" fontId="1" fillId="0" borderId="33" xfId="1" applyFont="1" applyFill="1" applyBorder="1" applyAlignment="1">
      <alignment vertical="center"/>
    </xf>
    <xf numFmtId="38" fontId="1" fillId="0" borderId="34" xfId="1" applyFont="1" applyFill="1" applyBorder="1" applyAlignment="1">
      <alignment vertical="center"/>
    </xf>
    <xf numFmtId="38" fontId="1" fillId="0" borderId="35" xfId="1" applyFont="1" applyFill="1" applyBorder="1" applyAlignment="1">
      <alignment vertical="center"/>
    </xf>
    <xf numFmtId="38" fontId="1" fillId="0" borderId="31" xfId="1" applyFont="1" applyFill="1" applyBorder="1" applyAlignment="1">
      <alignment horizontal="right" vertical="center"/>
    </xf>
    <xf numFmtId="38" fontId="1" fillId="0" borderId="31" xfId="1" applyFont="1" applyFill="1" applyBorder="1" applyAlignment="1">
      <alignment horizontal="left" vertical="center"/>
    </xf>
    <xf numFmtId="38" fontId="1" fillId="0" borderId="36" xfId="1" applyFont="1" applyFill="1" applyBorder="1" applyAlignment="1">
      <alignment vertical="center"/>
    </xf>
    <xf numFmtId="38" fontId="1" fillId="0" borderId="36" xfId="1" applyFont="1" applyBorder="1" applyAlignment="1">
      <alignment vertical="center"/>
    </xf>
    <xf numFmtId="38" fontId="1" fillId="0" borderId="37" xfId="1" applyFont="1" applyFill="1" applyBorder="1" applyAlignment="1">
      <alignment vertical="center"/>
    </xf>
    <xf numFmtId="38" fontId="1" fillId="0" borderId="38" xfId="1" applyFont="1" applyBorder="1" applyAlignment="1">
      <alignment vertical="center"/>
    </xf>
    <xf numFmtId="38" fontId="1" fillId="0" borderId="39" xfId="1" applyFont="1" applyBorder="1" applyAlignment="1">
      <alignment vertical="center"/>
    </xf>
    <xf numFmtId="38" fontId="1" fillId="0" borderId="40" xfId="1" applyFont="1" applyBorder="1" applyAlignment="1">
      <alignment vertical="center" wrapText="1"/>
    </xf>
    <xf numFmtId="38" fontId="1" fillId="0" borderId="36" xfId="1" applyFont="1" applyBorder="1" applyAlignment="1">
      <alignment vertical="center" wrapText="1"/>
    </xf>
    <xf numFmtId="38" fontId="1" fillId="0" borderId="36" xfId="1" applyFont="1" applyBorder="1" applyAlignment="1">
      <alignment horizontal="left" vertical="center"/>
    </xf>
    <xf numFmtId="38" fontId="1" fillId="0" borderId="36" xfId="1" applyFont="1" applyFill="1" applyBorder="1" applyAlignment="1">
      <alignment horizontal="right" vertical="center"/>
    </xf>
    <xf numFmtId="38" fontId="1" fillId="0" borderId="37" xfId="1" applyFont="1" applyFill="1" applyBorder="1" applyAlignment="1">
      <alignment horizontal="right" vertical="center"/>
    </xf>
    <xf numFmtId="38" fontId="1" fillId="0" borderId="38" xfId="1" applyFont="1" applyFill="1" applyBorder="1" applyAlignment="1">
      <alignment vertical="center"/>
    </xf>
    <xf numFmtId="38" fontId="1" fillId="0" borderId="39" xfId="1" applyFont="1" applyFill="1" applyBorder="1" applyAlignment="1">
      <alignment horizontal="right" vertical="center"/>
    </xf>
    <xf numFmtId="38" fontId="1" fillId="0" borderId="38" xfId="1" applyFont="1" applyFill="1" applyBorder="1" applyAlignment="1">
      <alignment horizontal="right" vertical="center"/>
    </xf>
    <xf numFmtId="38" fontId="1" fillId="0" borderId="36" xfId="1" applyFont="1" applyFill="1" applyBorder="1" applyAlignment="1">
      <alignment horizontal="left" vertical="center"/>
    </xf>
    <xf numFmtId="38" fontId="1" fillId="0" borderId="41" xfId="1" applyFont="1" applyFill="1" applyBorder="1" applyAlignment="1">
      <alignment horizontal="right" vertical="center"/>
    </xf>
    <xf numFmtId="38" fontId="1" fillId="0" borderId="42" xfId="1" applyFont="1" applyFill="1" applyBorder="1" applyAlignment="1">
      <alignment horizontal="right" vertical="center"/>
    </xf>
    <xf numFmtId="38" fontId="1" fillId="0" borderId="36" xfId="1" applyFont="1" applyFill="1" applyBorder="1" applyAlignment="1">
      <alignment vertical="center" shrinkToFit="1"/>
    </xf>
    <xf numFmtId="38" fontId="1" fillId="0" borderId="40" xfId="1" applyFont="1" applyFill="1" applyBorder="1" applyAlignment="1">
      <alignment horizontal="right" vertical="center"/>
    </xf>
    <xf numFmtId="38" fontId="1" fillId="0" borderId="43" xfId="1" applyFont="1" applyFill="1" applyBorder="1" applyAlignment="1">
      <alignment horizontal="center" vertical="center" shrinkToFit="1"/>
    </xf>
    <xf numFmtId="38" fontId="1" fillId="0" borderId="39" xfId="1" applyFont="1" applyFill="1" applyBorder="1" applyAlignment="1">
      <alignment horizontal="center" vertical="center" shrinkToFit="1"/>
    </xf>
    <xf numFmtId="38" fontId="1" fillId="0" borderId="0" xfId="1" applyFont="1" applyAlignment="1">
      <alignment horizontal="center" vertical="center"/>
    </xf>
    <xf numFmtId="38" fontId="6" fillId="0" borderId="45" xfId="1" applyFont="1" applyFill="1" applyBorder="1" applyAlignment="1">
      <alignment horizontal="center" vertical="center"/>
    </xf>
    <xf numFmtId="38" fontId="6" fillId="0" borderId="46" xfId="1" applyFont="1" applyBorder="1" applyAlignment="1">
      <alignment horizontal="center" vertical="center"/>
    </xf>
    <xf numFmtId="38" fontId="6" fillId="0" borderId="47" xfId="1" applyFont="1" applyBorder="1" applyAlignment="1">
      <alignment horizontal="center" vertical="center"/>
    </xf>
    <xf numFmtId="38" fontId="1" fillId="0" borderId="51" xfId="1" applyFont="1" applyBorder="1" applyAlignment="1">
      <alignment horizontal="center" vertical="center" wrapText="1"/>
    </xf>
    <xf numFmtId="38" fontId="1" fillId="0" borderId="52" xfId="1" applyFont="1" applyFill="1" applyBorder="1" applyAlignment="1">
      <alignment horizontal="center" vertical="center"/>
    </xf>
    <xf numFmtId="38" fontId="1" fillId="0" borderId="53" xfId="1" applyFont="1" applyBorder="1" applyAlignment="1">
      <alignment horizontal="center" vertical="center" wrapText="1"/>
    </xf>
    <xf numFmtId="38" fontId="1" fillId="0" borderId="54" xfId="1" applyFont="1" applyBorder="1" applyAlignment="1">
      <alignment horizontal="center" vertical="center"/>
    </xf>
    <xf numFmtId="38" fontId="0" fillId="0" borderId="0" xfId="1" applyFont="1" applyAlignment="1">
      <alignment vertical="center"/>
    </xf>
    <xf numFmtId="38" fontId="1" fillId="0" borderId="6" xfId="1" applyFont="1" applyFill="1" applyBorder="1" applyAlignment="1">
      <alignment horizontal="right" vertical="center"/>
    </xf>
    <xf numFmtId="38" fontId="1" fillId="0" borderId="6" xfId="1" applyFont="1" applyBorder="1" applyAlignment="1">
      <alignment horizontal="right" vertical="center"/>
    </xf>
    <xf numFmtId="38" fontId="1" fillId="0" borderId="60" xfId="1" applyFont="1" applyFill="1" applyBorder="1" applyAlignment="1">
      <alignment horizontal="right" vertical="center"/>
    </xf>
    <xf numFmtId="38" fontId="1" fillId="0" borderId="61" xfId="1" applyFont="1" applyBorder="1" applyAlignment="1">
      <alignment horizontal="right" vertical="center"/>
    </xf>
    <xf numFmtId="38" fontId="1" fillId="0" borderId="62" xfId="1" applyFont="1" applyBorder="1" applyAlignment="1">
      <alignment horizontal="right" vertical="center"/>
    </xf>
    <xf numFmtId="38" fontId="1" fillId="0" borderId="64" xfId="1" applyFont="1" applyBorder="1" applyAlignment="1">
      <alignment horizontal="right" vertical="center"/>
    </xf>
    <xf numFmtId="38" fontId="1" fillId="0" borderId="6" xfId="1" applyFont="1" applyBorder="1" applyAlignment="1">
      <alignment vertical="center"/>
    </xf>
    <xf numFmtId="38" fontId="1" fillId="0" borderId="3" xfId="1" applyFont="1" applyFill="1" applyBorder="1" applyAlignment="1">
      <alignment horizontal="right" vertical="center"/>
    </xf>
    <xf numFmtId="38" fontId="1" fillId="0" borderId="66" xfId="1" applyFont="1" applyBorder="1" applyAlignment="1">
      <alignment horizontal="right" vertical="center"/>
    </xf>
    <xf numFmtId="38" fontId="1" fillId="0" borderId="68" xfId="1" applyFont="1" applyBorder="1" applyAlignment="1">
      <alignment horizontal="right" vertical="center"/>
    </xf>
    <xf numFmtId="38" fontId="1" fillId="0" borderId="49" xfId="1" applyFont="1" applyFill="1" applyBorder="1" applyAlignment="1">
      <alignment horizontal="right" vertical="center"/>
    </xf>
    <xf numFmtId="38" fontId="1" fillId="0" borderId="49" xfId="1" applyFont="1" applyBorder="1" applyAlignment="1">
      <alignment horizontal="right" vertical="center"/>
    </xf>
    <xf numFmtId="38" fontId="1" fillId="0" borderId="69" xfId="1" applyFont="1" applyFill="1" applyBorder="1" applyAlignment="1">
      <alignment horizontal="right" vertical="center"/>
    </xf>
    <xf numFmtId="38" fontId="1" fillId="0" borderId="70" xfId="1" applyFont="1" applyBorder="1" applyAlignment="1">
      <alignment horizontal="right" vertical="center"/>
    </xf>
    <xf numFmtId="38" fontId="1" fillId="0" borderId="71" xfId="1" applyFont="1" applyBorder="1" applyAlignment="1">
      <alignment horizontal="right" vertical="center"/>
    </xf>
    <xf numFmtId="38" fontId="1" fillId="0" borderId="73" xfId="1" applyFont="1" applyBorder="1" applyAlignment="1">
      <alignment horizontal="right" vertical="center"/>
    </xf>
    <xf numFmtId="38" fontId="1" fillId="6" borderId="36" xfId="1" applyFont="1" applyFill="1" applyBorder="1" applyAlignment="1">
      <alignment horizontal="right" vertical="center"/>
    </xf>
    <xf numFmtId="38" fontId="1" fillId="6" borderId="38" xfId="1" applyFont="1" applyFill="1" applyBorder="1" applyAlignment="1">
      <alignment horizontal="right" vertical="center"/>
    </xf>
    <xf numFmtId="38" fontId="1" fillId="6" borderId="39" xfId="1" applyFont="1" applyFill="1" applyBorder="1" applyAlignment="1">
      <alignment horizontal="right" vertical="center"/>
    </xf>
    <xf numFmtId="38" fontId="1" fillId="0" borderId="43" xfId="1" applyFont="1" applyFill="1" applyBorder="1" applyAlignment="1">
      <alignment horizontal="right" vertical="center"/>
    </xf>
    <xf numFmtId="38" fontId="1" fillId="6" borderId="74" xfId="1" applyFont="1" applyFill="1" applyBorder="1" applyAlignment="1">
      <alignment horizontal="right" vertical="center"/>
    </xf>
    <xf numFmtId="38" fontId="1" fillId="0" borderId="36" xfId="1" applyFont="1" applyBorder="1" applyAlignment="1">
      <alignment horizontal="right" vertical="center"/>
    </xf>
    <xf numFmtId="38" fontId="1" fillId="7" borderId="10" xfId="1" applyFont="1" applyFill="1" applyBorder="1" applyAlignment="1">
      <alignment vertical="center"/>
    </xf>
    <xf numFmtId="38" fontId="1" fillId="0" borderId="58" xfId="1" applyFont="1" applyBorder="1" applyAlignment="1">
      <alignment vertical="center"/>
    </xf>
    <xf numFmtId="38" fontId="1" fillId="3" borderId="28" xfId="1" applyFont="1" applyFill="1" applyBorder="1" applyAlignment="1">
      <alignment vertical="center"/>
    </xf>
    <xf numFmtId="38" fontId="1" fillId="0" borderId="50" xfId="1" applyFont="1" applyBorder="1" applyAlignment="1">
      <alignment horizontal="right" vertical="center"/>
    </xf>
    <xf numFmtId="38" fontId="1" fillId="0" borderId="75" xfId="1" applyFont="1" applyBorder="1" applyAlignment="1">
      <alignment horizontal="right" vertical="center"/>
    </xf>
    <xf numFmtId="38" fontId="1" fillId="0" borderId="17" xfId="1" applyFont="1" applyFill="1" applyBorder="1" applyAlignment="1">
      <alignment horizontal="right" vertical="center"/>
    </xf>
    <xf numFmtId="38" fontId="1" fillId="2" borderId="18" xfId="1" applyFont="1" applyFill="1" applyBorder="1" applyAlignment="1">
      <alignment horizontal="right" vertical="center"/>
    </xf>
    <xf numFmtId="38" fontId="1" fillId="2" borderId="19" xfId="1" applyFont="1" applyFill="1" applyBorder="1" applyAlignment="1">
      <alignment horizontal="right" vertical="center"/>
    </xf>
    <xf numFmtId="38" fontId="1" fillId="0" borderId="20" xfId="1" applyFont="1" applyBorder="1" applyAlignment="1">
      <alignment horizontal="right" vertical="center"/>
    </xf>
    <xf numFmtId="38" fontId="1" fillId="0" borderId="16" xfId="1" applyFont="1" applyBorder="1" applyAlignment="1">
      <alignment vertical="center" shrinkToFit="1"/>
    </xf>
    <xf numFmtId="38" fontId="1" fillId="0" borderId="76" xfId="1" applyFont="1" applyBorder="1" applyAlignment="1">
      <alignment horizontal="right" vertical="center"/>
    </xf>
    <xf numFmtId="38" fontId="1" fillId="0" borderId="22" xfId="1" applyFont="1" applyBorder="1" applyAlignment="1">
      <alignment horizontal="center" vertical="center" shrinkToFit="1"/>
    </xf>
    <xf numFmtId="38" fontId="1" fillId="0" borderId="19" xfId="1" applyFont="1" applyBorder="1" applyAlignment="1">
      <alignment horizontal="center" vertical="center" shrinkToFit="1"/>
    </xf>
    <xf numFmtId="38" fontId="1" fillId="0" borderId="0" xfId="1" applyFont="1" applyBorder="1" applyAlignment="1">
      <alignment vertical="center" shrinkToFit="1"/>
    </xf>
    <xf numFmtId="38" fontId="1" fillId="8" borderId="27" xfId="1" applyFont="1" applyFill="1" applyBorder="1" applyAlignment="1">
      <alignment horizontal="right" vertical="center"/>
    </xf>
    <xf numFmtId="38" fontId="1" fillId="9" borderId="25" xfId="1" applyFont="1" applyFill="1" applyBorder="1" applyAlignment="1">
      <alignment horizontal="right" vertical="center"/>
    </xf>
    <xf numFmtId="38" fontId="1" fillId="9" borderId="26" xfId="1" applyFont="1" applyFill="1" applyBorder="1" applyAlignment="1">
      <alignment horizontal="right" vertical="center"/>
    </xf>
    <xf numFmtId="38" fontId="1" fillId="7" borderId="27" xfId="1" applyFont="1" applyFill="1" applyBorder="1" applyAlignment="1">
      <alignment horizontal="right" vertical="center"/>
    </xf>
    <xf numFmtId="38" fontId="1" fillId="7" borderId="30" xfId="1" applyFont="1" applyFill="1" applyBorder="1" applyAlignment="1">
      <alignment horizontal="right" vertical="center"/>
    </xf>
    <xf numFmtId="38" fontId="1" fillId="0" borderId="29" xfId="1" applyFont="1" applyBorder="1" applyAlignment="1">
      <alignment horizontal="center" vertical="center" shrinkToFit="1"/>
    </xf>
    <xf numFmtId="38" fontId="1" fillId="0" borderId="26" xfId="1" applyFont="1" applyBorder="1" applyAlignment="1">
      <alignment horizontal="center" vertical="center" shrinkToFit="1"/>
    </xf>
    <xf numFmtId="38" fontId="1" fillId="9" borderId="27" xfId="1" applyFont="1" applyFill="1" applyBorder="1" applyAlignment="1">
      <alignment horizontal="right" vertical="center"/>
    </xf>
    <xf numFmtId="38" fontId="1" fillId="0" borderId="26" xfId="1" applyFont="1" applyBorder="1" applyAlignment="1">
      <alignment horizontal="right" vertical="center"/>
    </xf>
    <xf numFmtId="38" fontId="1" fillId="0" borderId="25" xfId="1" applyFont="1" applyBorder="1" applyAlignment="1">
      <alignment horizontal="right" vertical="center"/>
    </xf>
    <xf numFmtId="38" fontId="1" fillId="0" borderId="27" xfId="1" applyFont="1" applyBorder="1" applyAlignment="1">
      <alignment horizontal="right" vertical="center"/>
    </xf>
    <xf numFmtId="38" fontId="1" fillId="0" borderId="30" xfId="1" applyFont="1" applyBorder="1" applyAlignment="1">
      <alignment horizontal="right" vertical="center"/>
    </xf>
    <xf numFmtId="38" fontId="0" fillId="0" borderId="23" xfId="1" applyFont="1" applyBorder="1" applyAlignment="1">
      <alignment vertical="center" shrinkToFit="1"/>
    </xf>
    <xf numFmtId="38" fontId="1" fillId="6" borderId="25" xfId="1" applyFont="1" applyFill="1" applyBorder="1" applyAlignment="1">
      <alignment horizontal="right" vertical="center"/>
    </xf>
    <xf numFmtId="38" fontId="1" fillId="6" borderId="26" xfId="1" applyFont="1" applyFill="1" applyBorder="1" applyAlignment="1">
      <alignment horizontal="right" vertical="center"/>
    </xf>
    <xf numFmtId="38" fontId="1" fillId="3" borderId="27" xfId="1" applyFont="1" applyFill="1" applyBorder="1" applyAlignment="1">
      <alignment vertical="center"/>
    </xf>
    <xf numFmtId="38" fontId="1" fillId="9" borderId="30" xfId="1" applyFont="1" applyFill="1" applyBorder="1" applyAlignment="1">
      <alignment horizontal="right" vertical="center"/>
    </xf>
    <xf numFmtId="38" fontId="1" fillId="8" borderId="30" xfId="1" applyFont="1" applyFill="1" applyBorder="1" applyAlignment="1">
      <alignment horizontal="right" vertical="center"/>
    </xf>
    <xf numFmtId="38" fontId="1" fillId="2" borderId="26" xfId="1" applyFont="1" applyFill="1" applyBorder="1" applyAlignment="1">
      <alignment horizontal="right" vertical="center"/>
    </xf>
    <xf numFmtId="38" fontId="1" fillId="0" borderId="44" xfId="1" applyFont="1" applyBorder="1" applyAlignment="1">
      <alignment horizontal="center" vertical="center" wrapText="1"/>
    </xf>
    <xf numFmtId="38" fontId="1" fillId="6" borderId="25" xfId="1" applyFont="1" applyFill="1" applyBorder="1" applyAlignment="1">
      <alignment vertical="center"/>
    </xf>
    <xf numFmtId="38" fontId="0" fillId="0" borderId="0" xfId="1" applyFont="1" applyAlignment="1">
      <alignment horizontal="right" vertical="center"/>
    </xf>
    <xf numFmtId="38" fontId="0" fillId="0" borderId="0" xfId="1" applyFont="1" applyAlignment="1">
      <alignment horizontal="left" vertical="center"/>
    </xf>
    <xf numFmtId="38" fontId="1" fillId="8" borderId="23" xfId="1" applyFont="1" applyFill="1" applyBorder="1" applyAlignment="1">
      <alignment horizontal="right" vertical="center"/>
    </xf>
    <xf numFmtId="38" fontId="1" fillId="0" borderId="26" xfId="1" applyFont="1" applyBorder="1" applyAlignment="1">
      <alignment vertical="center"/>
    </xf>
    <xf numFmtId="38" fontId="1" fillId="0" borderId="25" xfId="1" applyFont="1" applyBorder="1" applyAlignment="1">
      <alignment vertical="center"/>
    </xf>
    <xf numFmtId="38" fontId="1" fillId="0" borderId="23" xfId="1" applyFont="1" applyBorder="1" applyAlignment="1">
      <alignment vertical="center"/>
    </xf>
    <xf numFmtId="38" fontId="1" fillId="5" borderId="25" xfId="1" applyFont="1" applyFill="1" applyBorder="1" applyAlignment="1">
      <alignment horizontal="right" vertical="center"/>
    </xf>
    <xf numFmtId="38" fontId="1" fillId="5" borderId="30" xfId="1" applyFont="1" applyFill="1" applyBorder="1" applyAlignment="1">
      <alignment horizontal="right" vertical="center"/>
    </xf>
    <xf numFmtId="38" fontId="1" fillId="0" borderId="32" xfId="1" applyFont="1" applyFill="1" applyBorder="1" applyAlignment="1">
      <alignment horizontal="right" vertical="center"/>
    </xf>
    <xf numFmtId="38" fontId="1" fillId="0" borderId="33" xfId="1" applyFont="1" applyFill="1" applyBorder="1" applyAlignment="1">
      <alignment horizontal="right" vertical="center"/>
    </xf>
    <xf numFmtId="38" fontId="1" fillId="0" borderId="34" xfId="1" applyFont="1" applyFill="1" applyBorder="1" applyAlignment="1">
      <alignment horizontal="right" vertical="center"/>
    </xf>
    <xf numFmtId="38" fontId="1" fillId="0" borderId="77" xfId="1" applyFont="1" applyFill="1" applyBorder="1" applyAlignment="1">
      <alignment horizontal="right" vertical="center"/>
    </xf>
    <xf numFmtId="38" fontId="1" fillId="0" borderId="38" xfId="1" applyFont="1" applyBorder="1" applyAlignment="1">
      <alignment horizontal="right" vertical="center"/>
    </xf>
    <xf numFmtId="38" fontId="1" fillId="0" borderId="39" xfId="1" applyFont="1" applyBorder="1" applyAlignment="1">
      <alignment horizontal="right" vertical="center"/>
    </xf>
    <xf numFmtId="38" fontId="1" fillId="0" borderId="42" xfId="1" applyFont="1" applyBorder="1" applyAlignment="1">
      <alignment horizontal="right" vertical="center"/>
    </xf>
    <xf numFmtId="38" fontId="1" fillId="8" borderId="36" xfId="1" applyFont="1" applyFill="1" applyBorder="1" applyAlignment="1">
      <alignment horizontal="right" vertical="center"/>
    </xf>
    <xf numFmtId="38" fontId="1" fillId="0" borderId="36" xfId="1" applyFont="1" applyBorder="1" applyAlignment="1">
      <alignment vertical="center" shrinkToFit="1"/>
    </xf>
    <xf numFmtId="38" fontId="1" fillId="9" borderId="38" xfId="1" applyFont="1" applyFill="1" applyBorder="1" applyAlignment="1">
      <alignment horizontal="right" vertical="center"/>
    </xf>
    <xf numFmtId="38" fontId="1" fillId="9" borderId="39" xfId="1" applyFont="1" applyFill="1" applyBorder="1" applyAlignment="1">
      <alignment horizontal="right" vertical="center"/>
    </xf>
    <xf numFmtId="38" fontId="1" fillId="0" borderId="43" xfId="1" applyFont="1" applyBorder="1" applyAlignment="1">
      <alignment horizontal="center" vertical="center" shrinkToFit="1"/>
    </xf>
    <xf numFmtId="38" fontId="1" fillId="0" borderId="39" xfId="1" applyFont="1" applyBorder="1" applyAlignment="1">
      <alignment horizontal="center" vertical="center" shrinkToFit="1"/>
    </xf>
    <xf numFmtId="0" fontId="13" fillId="0" borderId="0" xfId="11"/>
    <xf numFmtId="38" fontId="0" fillId="0" borderId="0" xfId="6" applyFont="1" applyAlignment="1"/>
    <xf numFmtId="0" fontId="13" fillId="0" borderId="0" xfId="11" applyFill="1"/>
    <xf numFmtId="38" fontId="0" fillId="0" borderId="0" xfId="6" applyFont="1" applyFill="1" applyAlignment="1"/>
    <xf numFmtId="0" fontId="13" fillId="0" borderId="0" xfId="11" applyFill="1" applyAlignment="1">
      <alignment vertical="center"/>
    </xf>
    <xf numFmtId="38" fontId="0" fillId="0" borderId="0" xfId="6" applyFont="1" applyAlignment="1">
      <alignment horizontal="center"/>
    </xf>
    <xf numFmtId="0" fontId="13" fillId="9" borderId="0" xfId="11" applyFill="1"/>
    <xf numFmtId="176" fontId="13" fillId="0" borderId="0" xfId="11" applyNumberFormat="1"/>
    <xf numFmtId="0" fontId="13" fillId="0" borderId="0" xfId="11" applyAlignment="1"/>
    <xf numFmtId="38" fontId="0" fillId="0" borderId="0" xfId="6" applyFont="1" applyFill="1" applyAlignment="1">
      <alignment vertical="center"/>
    </xf>
    <xf numFmtId="38" fontId="0" fillId="8" borderId="0" xfId="6" applyFont="1" applyFill="1" applyAlignment="1"/>
    <xf numFmtId="0" fontId="1" fillId="0" borderId="0" xfId="8"/>
    <xf numFmtId="49" fontId="13" fillId="0" borderId="0" xfId="11" applyNumberFormat="1"/>
    <xf numFmtId="0" fontId="16" fillId="0" borderId="0" xfId="11" applyFont="1" applyAlignment="1">
      <alignment horizontal="right"/>
    </xf>
    <xf numFmtId="0" fontId="16" fillId="0" borderId="0" xfId="11" applyFont="1"/>
    <xf numFmtId="38" fontId="13" fillId="0" borderId="0" xfId="11" applyNumberFormat="1"/>
    <xf numFmtId="38" fontId="13" fillId="7" borderId="0" xfId="11" applyNumberFormat="1" applyFill="1"/>
    <xf numFmtId="0" fontId="1" fillId="0" borderId="0" xfId="8" applyFill="1" applyAlignment="1">
      <alignment vertical="center"/>
    </xf>
    <xf numFmtId="38" fontId="13" fillId="0" borderId="0" xfId="1" applyFont="1"/>
    <xf numFmtId="0" fontId="13" fillId="0" borderId="0" xfId="11" applyAlignment="1">
      <alignment horizontal="center"/>
    </xf>
    <xf numFmtId="0" fontId="13" fillId="0" borderId="0" xfId="11" applyAlignment="1">
      <alignment horizontal="centerContinuous"/>
    </xf>
    <xf numFmtId="38" fontId="17" fillId="0" borderId="0" xfId="9" applyNumberFormat="1" applyFont="1" applyFill="1" applyAlignment="1">
      <alignment vertical="center"/>
    </xf>
    <xf numFmtId="38" fontId="17" fillId="0" borderId="0" xfId="9" applyNumberFormat="1" applyFont="1" applyFill="1" applyBorder="1" applyAlignment="1">
      <alignment vertical="center"/>
    </xf>
    <xf numFmtId="38" fontId="17" fillId="0" borderId="0" xfId="9" applyNumberFormat="1" applyFont="1" applyFill="1" applyBorder="1" applyAlignment="1">
      <alignment horizontal="centerContinuous" vertical="center"/>
    </xf>
    <xf numFmtId="38" fontId="17" fillId="0" borderId="6" xfId="5" applyFont="1" applyFill="1" applyBorder="1" applyAlignment="1">
      <alignment horizontal="right" vertical="center"/>
    </xf>
    <xf numFmtId="38" fontId="17" fillId="0" borderId="50" xfId="9" applyNumberFormat="1" applyFont="1" applyFill="1" applyBorder="1" applyAlignment="1">
      <alignment vertical="center"/>
    </xf>
    <xf numFmtId="38" fontId="17" fillId="0" borderId="3" xfId="9" applyNumberFormat="1" applyFont="1" applyFill="1" applyBorder="1" applyAlignment="1">
      <alignment vertical="center"/>
    </xf>
    <xf numFmtId="38" fontId="17" fillId="0" borderId="66" xfId="9" applyNumberFormat="1" applyFont="1" applyFill="1" applyBorder="1" applyAlignment="1">
      <alignment vertical="center"/>
    </xf>
    <xf numFmtId="38" fontId="17" fillId="0" borderId="2" xfId="9" applyNumberFormat="1" applyFont="1" applyFill="1" applyBorder="1" applyAlignment="1">
      <alignment vertical="center"/>
    </xf>
    <xf numFmtId="38" fontId="17" fillId="0" borderId="7" xfId="9" applyNumberFormat="1" applyFont="1" applyFill="1" applyBorder="1" applyAlignment="1">
      <alignment vertical="center"/>
    </xf>
    <xf numFmtId="38" fontId="17" fillId="0" borderId="78" xfId="9" applyNumberFormat="1" applyFont="1" applyFill="1" applyBorder="1" applyAlignment="1">
      <alignment vertical="center"/>
    </xf>
    <xf numFmtId="38" fontId="17" fillId="0" borderId="66" xfId="9" applyNumberFormat="1" applyFont="1" applyFill="1" applyBorder="1" applyAlignment="1">
      <alignment horizontal="centerContinuous" vertical="center"/>
    </xf>
    <xf numFmtId="38" fontId="17" fillId="0" borderId="7" xfId="9" applyNumberFormat="1" applyFont="1" applyFill="1" applyBorder="1" applyAlignment="1">
      <alignment horizontal="centerContinuous" vertical="center"/>
    </xf>
    <xf numFmtId="38" fontId="17" fillId="0" borderId="4" xfId="9" applyNumberFormat="1" applyFont="1" applyFill="1" applyBorder="1" applyAlignment="1">
      <alignment horizontal="centerContinuous" vertical="center"/>
    </xf>
    <xf numFmtId="38" fontId="17" fillId="0" borderId="52" xfId="9" applyNumberFormat="1" applyFont="1" applyFill="1" applyBorder="1" applyAlignment="1">
      <alignment vertical="center"/>
    </xf>
    <xf numFmtId="38" fontId="17" fillId="0" borderId="53" xfId="9" applyNumberFormat="1" applyFont="1" applyFill="1" applyBorder="1" applyAlignment="1">
      <alignment vertical="center"/>
    </xf>
    <xf numFmtId="38" fontId="17" fillId="0" borderId="54" xfId="9" applyNumberFormat="1" applyFont="1" applyFill="1" applyBorder="1" applyAlignment="1">
      <alignment vertical="center"/>
    </xf>
    <xf numFmtId="38" fontId="17" fillId="0" borderId="79" xfId="9" applyNumberFormat="1" applyFont="1" applyFill="1" applyBorder="1" applyAlignment="1">
      <alignment vertical="center"/>
    </xf>
    <xf numFmtId="38" fontId="17" fillId="0" borderId="80" xfId="9" applyNumberFormat="1" applyFont="1" applyFill="1" applyBorder="1" applyAlignment="1">
      <alignment vertical="center"/>
    </xf>
    <xf numFmtId="38" fontId="17" fillId="0" borderId="58" xfId="9" applyNumberFormat="1" applyFont="1" applyFill="1" applyBorder="1" applyAlignment="1">
      <alignment horizontal="centerContinuous" vertical="center"/>
    </xf>
    <xf numFmtId="38" fontId="17" fillId="0" borderId="59" xfId="9" applyNumberFormat="1" applyFont="1" applyFill="1" applyBorder="1" applyAlignment="1">
      <alignment horizontal="centerContinuous" vertical="center"/>
    </xf>
    <xf numFmtId="38" fontId="17" fillId="0" borderId="81" xfId="9" applyNumberFormat="1" applyFont="1" applyFill="1" applyBorder="1" applyAlignment="1">
      <alignment vertical="center"/>
    </xf>
    <xf numFmtId="38" fontId="17" fillId="0" borderId="82" xfId="9" applyNumberFormat="1" applyFont="1" applyFill="1" applyBorder="1" applyAlignment="1">
      <alignment vertical="center"/>
    </xf>
    <xf numFmtId="38" fontId="17" fillId="0" borderId="83" xfId="9" applyNumberFormat="1" applyFont="1" applyFill="1" applyBorder="1" applyAlignment="1">
      <alignment vertical="center"/>
    </xf>
    <xf numFmtId="38" fontId="17" fillId="0" borderId="84" xfId="9" applyNumberFormat="1" applyFont="1" applyFill="1" applyBorder="1" applyAlignment="1">
      <alignment vertical="center"/>
    </xf>
    <xf numFmtId="38" fontId="17" fillId="0" borderId="85" xfId="9" applyNumberFormat="1" applyFont="1" applyFill="1" applyBorder="1" applyAlignment="1">
      <alignment vertical="center"/>
    </xf>
    <xf numFmtId="38" fontId="17" fillId="0" borderId="55" xfId="9" applyNumberFormat="1" applyFont="1" applyFill="1" applyBorder="1" applyAlignment="1">
      <alignment vertical="center"/>
    </xf>
    <xf numFmtId="38" fontId="17" fillId="0" borderId="6" xfId="9" applyNumberFormat="1" applyFont="1" applyFill="1" applyBorder="1" applyAlignment="1">
      <alignment horizontal="center" vertical="center"/>
    </xf>
    <xf numFmtId="38" fontId="17" fillId="0" borderId="24" xfId="9" applyNumberFormat="1" applyFont="1" applyFill="1" applyBorder="1" applyAlignment="1">
      <alignment vertical="center"/>
    </xf>
    <xf numFmtId="38" fontId="17" fillId="0" borderId="25" xfId="9" applyNumberFormat="1" applyFont="1" applyFill="1" applyBorder="1" applyAlignment="1">
      <alignment vertical="center"/>
    </xf>
    <xf numFmtId="38" fontId="17" fillId="0" borderId="26" xfId="9" applyNumberFormat="1" applyFont="1" applyFill="1" applyBorder="1" applyAlignment="1">
      <alignment vertical="center"/>
    </xf>
    <xf numFmtId="38" fontId="17" fillId="0" borderId="25" xfId="9" applyNumberFormat="1" applyFont="1" applyFill="1" applyBorder="1" applyAlignment="1">
      <alignment horizontal="right" vertical="center"/>
    </xf>
    <xf numFmtId="38" fontId="17" fillId="0" borderId="86" xfId="9" applyNumberFormat="1" applyFont="1" applyFill="1" applyBorder="1" applyAlignment="1">
      <alignment vertical="center"/>
    </xf>
    <xf numFmtId="38" fontId="17" fillId="0" borderId="87" xfId="9" applyNumberFormat="1" applyFont="1" applyFill="1" applyBorder="1" applyAlignment="1">
      <alignment vertical="center"/>
    </xf>
    <xf numFmtId="38" fontId="17" fillId="0" borderId="88" xfId="9" applyNumberFormat="1" applyFont="1" applyFill="1" applyBorder="1" applyAlignment="1">
      <alignment vertical="center"/>
    </xf>
    <xf numFmtId="38" fontId="17" fillId="0" borderId="33" xfId="9" applyNumberFormat="1" applyFont="1" applyFill="1" applyBorder="1" applyAlignment="1">
      <alignment vertical="center"/>
    </xf>
    <xf numFmtId="177" fontId="17" fillId="0" borderId="6" xfId="9" applyNumberFormat="1" applyFont="1" applyFill="1" applyBorder="1" applyAlignment="1">
      <alignment vertical="center"/>
    </xf>
    <xf numFmtId="38" fontId="19" fillId="0" borderId="25" xfId="9" applyNumberFormat="1" applyFont="1" applyFill="1" applyBorder="1" applyAlignment="1">
      <alignment vertical="center"/>
    </xf>
    <xf numFmtId="38" fontId="17" fillId="0" borderId="89" xfId="9" applyNumberFormat="1" applyFont="1" applyFill="1" applyBorder="1" applyAlignment="1">
      <alignment vertical="center"/>
    </xf>
    <xf numFmtId="38" fontId="17" fillId="0" borderId="47" xfId="9" applyNumberFormat="1" applyFont="1" applyFill="1" applyBorder="1" applyAlignment="1">
      <alignment vertical="center"/>
    </xf>
    <xf numFmtId="38" fontId="17" fillId="0" borderId="29" xfId="9" applyNumberFormat="1" applyFont="1" applyFill="1" applyBorder="1" applyAlignment="1">
      <alignment vertical="center"/>
    </xf>
    <xf numFmtId="38" fontId="19" fillId="0" borderId="70" xfId="9" applyNumberFormat="1" applyFont="1" applyFill="1" applyBorder="1" applyAlignment="1">
      <alignment vertical="center" wrapText="1"/>
    </xf>
    <xf numFmtId="38" fontId="17" fillId="0" borderId="70" xfId="9" applyNumberFormat="1" applyFont="1" applyFill="1" applyBorder="1" applyAlignment="1">
      <alignment vertical="center"/>
    </xf>
    <xf numFmtId="38" fontId="17" fillId="0" borderId="46" xfId="9" applyNumberFormat="1" applyFont="1" applyFill="1" applyBorder="1" applyAlignment="1">
      <alignment vertical="center"/>
    </xf>
    <xf numFmtId="38" fontId="17" fillId="0" borderId="73" xfId="9" applyNumberFormat="1" applyFont="1" applyFill="1" applyBorder="1" applyAlignment="1">
      <alignment vertical="center"/>
    </xf>
    <xf numFmtId="38" fontId="17" fillId="0" borderId="72" xfId="9" applyNumberFormat="1" applyFont="1" applyFill="1" applyBorder="1" applyAlignment="1">
      <alignment vertical="center"/>
    </xf>
    <xf numFmtId="38" fontId="17" fillId="0" borderId="0" xfId="9" applyNumberFormat="1" applyFont="1" applyFill="1" applyAlignment="1">
      <alignment horizontal="right" vertical="center"/>
    </xf>
    <xf numFmtId="38" fontId="17" fillId="0" borderId="32" xfId="9" applyNumberFormat="1" applyFont="1" applyFill="1" applyBorder="1" applyAlignment="1">
      <alignment vertical="center"/>
    </xf>
    <xf numFmtId="38" fontId="17" fillId="0" borderId="34" xfId="9" applyNumberFormat="1" applyFont="1" applyFill="1" applyBorder="1" applyAlignment="1">
      <alignment vertical="center"/>
    </xf>
    <xf numFmtId="38" fontId="17" fillId="0" borderId="90" xfId="9" applyNumberFormat="1" applyFont="1" applyFill="1" applyBorder="1" applyAlignment="1">
      <alignment vertical="center"/>
    </xf>
    <xf numFmtId="38" fontId="17" fillId="0" borderId="91" xfId="9" applyNumberFormat="1" applyFont="1" applyFill="1" applyBorder="1" applyAlignment="1">
      <alignment vertical="center"/>
    </xf>
    <xf numFmtId="38" fontId="17" fillId="0" borderId="92" xfId="9" applyNumberFormat="1" applyFont="1" applyFill="1" applyBorder="1" applyAlignment="1">
      <alignment vertical="center"/>
    </xf>
    <xf numFmtId="38" fontId="17" fillId="0" borderId="71" xfId="9" applyNumberFormat="1" applyFont="1" applyFill="1" applyBorder="1" applyAlignment="1">
      <alignment vertical="center"/>
    </xf>
    <xf numFmtId="38" fontId="17" fillId="0" borderId="65" xfId="9" applyNumberFormat="1" applyFont="1" applyFill="1" applyBorder="1" applyAlignment="1">
      <alignment horizontal="centerContinuous" vertical="center"/>
    </xf>
    <xf numFmtId="38" fontId="17" fillId="0" borderId="5" xfId="9" applyNumberFormat="1" applyFont="1" applyFill="1" applyBorder="1" applyAlignment="1">
      <alignment vertical="center"/>
    </xf>
    <xf numFmtId="38" fontId="20" fillId="0" borderId="70" xfId="9" applyNumberFormat="1" applyFont="1" applyFill="1" applyBorder="1" applyAlignment="1">
      <alignment vertical="center" wrapText="1"/>
    </xf>
    <xf numFmtId="38" fontId="17" fillId="0" borderId="93" xfId="9" applyNumberFormat="1" applyFont="1" applyFill="1" applyBorder="1" applyAlignment="1">
      <alignment vertical="center"/>
    </xf>
    <xf numFmtId="38" fontId="19" fillId="0" borderId="70" xfId="9" applyNumberFormat="1" applyFont="1" applyFill="1" applyBorder="1" applyAlignment="1">
      <alignment vertical="center"/>
    </xf>
    <xf numFmtId="38" fontId="17" fillId="0" borderId="6" xfId="9" applyNumberFormat="1" applyFont="1" applyFill="1" applyBorder="1" applyAlignment="1">
      <alignment vertical="center"/>
    </xf>
    <xf numFmtId="38" fontId="17" fillId="0" borderId="0" xfId="9" applyNumberFormat="1" applyFont="1" applyFill="1" applyAlignment="1">
      <alignment horizontal="center"/>
    </xf>
    <xf numFmtId="38" fontId="17" fillId="0" borderId="0" xfId="9" applyNumberFormat="1" applyFont="1" applyFill="1" applyAlignment="1">
      <alignment horizontal="center" vertical="center"/>
    </xf>
    <xf numFmtId="38" fontId="17" fillId="0" borderId="26" xfId="5" applyFont="1" applyFill="1" applyBorder="1" applyAlignment="1">
      <alignment vertical="center"/>
    </xf>
    <xf numFmtId="38" fontId="19" fillId="0" borderId="0" xfId="9" applyNumberFormat="1" applyFont="1" applyFill="1" applyAlignment="1">
      <alignment horizontal="distributed" vertical="center"/>
    </xf>
    <xf numFmtId="38" fontId="19" fillId="0" borderId="32" xfId="9" applyNumberFormat="1" applyFont="1" applyFill="1" applyBorder="1" applyAlignment="1">
      <alignment horizontal="distributed" vertical="center"/>
    </xf>
    <xf numFmtId="38" fontId="19" fillId="0" borderId="25" xfId="9" applyNumberFormat="1" applyFont="1" applyFill="1" applyBorder="1" applyAlignment="1">
      <alignment horizontal="distributed" vertical="center" wrapText="1"/>
    </xf>
    <xf numFmtId="38" fontId="19" fillId="0" borderId="26" xfId="9" applyNumberFormat="1" applyFont="1" applyFill="1" applyBorder="1" applyAlignment="1">
      <alignment horizontal="distributed" vertical="center" wrapText="1"/>
    </xf>
    <xf numFmtId="38" fontId="19" fillId="0" borderId="33" xfId="9" applyNumberFormat="1" applyFont="1" applyFill="1" applyBorder="1" applyAlignment="1">
      <alignment horizontal="distributed" vertical="center" wrapText="1"/>
    </xf>
    <xf numFmtId="38" fontId="19" fillId="0" borderId="86" xfId="9" applyNumberFormat="1" applyFont="1" applyFill="1" applyBorder="1" applyAlignment="1">
      <alignment horizontal="distributed" vertical="center" wrapText="1"/>
    </xf>
    <xf numFmtId="38" fontId="19" fillId="0" borderId="91" xfId="9" applyNumberFormat="1" applyFont="1" applyFill="1" applyBorder="1" applyAlignment="1">
      <alignment horizontal="distributed" vertical="center"/>
    </xf>
    <xf numFmtId="38" fontId="19" fillId="0" borderId="35" xfId="9" applyNumberFormat="1" applyFont="1" applyFill="1" applyBorder="1" applyAlignment="1">
      <alignment horizontal="distributed" vertical="center"/>
    </xf>
    <xf numFmtId="38" fontId="19" fillId="0" borderId="94" xfId="9" applyNumberFormat="1" applyFont="1" applyFill="1" applyBorder="1" applyAlignment="1">
      <alignment horizontal="distributed" vertical="center"/>
    </xf>
    <xf numFmtId="38" fontId="17" fillId="0" borderId="69" xfId="9" applyNumberFormat="1" applyFont="1" applyFill="1" applyBorder="1" applyAlignment="1">
      <alignment horizontal="center" vertical="center"/>
    </xf>
    <xf numFmtId="38" fontId="17" fillId="0" borderId="25" xfId="9" applyNumberFormat="1" applyFont="1" applyFill="1" applyBorder="1" applyAlignment="1">
      <alignment horizontal="center" vertical="center"/>
    </xf>
    <xf numFmtId="38" fontId="17" fillId="0" borderId="26" xfId="9" applyNumberFormat="1" applyFont="1" applyFill="1" applyBorder="1" applyAlignment="1">
      <alignment horizontal="center" vertical="center"/>
    </xf>
    <xf numFmtId="38" fontId="17" fillId="0" borderId="70" xfId="9" applyNumberFormat="1" applyFont="1" applyFill="1" applyBorder="1" applyAlignment="1">
      <alignment horizontal="center" vertical="center"/>
    </xf>
    <xf numFmtId="38" fontId="17" fillId="0" borderId="28" xfId="9" applyNumberFormat="1" applyFont="1" applyFill="1" applyBorder="1" applyAlignment="1">
      <alignment horizontal="center" vertical="center"/>
    </xf>
    <xf numFmtId="38" fontId="17" fillId="0" borderId="95" xfId="9" applyNumberFormat="1" applyFont="1" applyFill="1" applyBorder="1" applyAlignment="1">
      <alignment horizontal="center" vertical="center"/>
    </xf>
    <xf numFmtId="38" fontId="17" fillId="0" borderId="96" xfId="9" applyNumberFormat="1" applyFont="1" applyFill="1" applyBorder="1" applyAlignment="1">
      <alignment horizontal="center" vertical="center"/>
    </xf>
    <xf numFmtId="38" fontId="17" fillId="0" borderId="0" xfId="9" applyNumberFormat="1" applyFont="1" applyFill="1" applyBorder="1" applyAlignment="1">
      <alignment horizontal="center" vertical="center"/>
    </xf>
    <xf numFmtId="38" fontId="17" fillId="0" borderId="55" xfId="9" applyNumberFormat="1" applyFont="1" applyFill="1" applyBorder="1" applyAlignment="1">
      <alignment horizontal="centerContinuous" vertical="center"/>
    </xf>
    <xf numFmtId="38" fontId="17" fillId="0" borderId="42" xfId="9" applyNumberFormat="1" applyFont="1" applyFill="1" applyBorder="1" applyAlignment="1">
      <alignment vertical="center"/>
    </xf>
    <xf numFmtId="38" fontId="17" fillId="0" borderId="40" xfId="9" applyNumberFormat="1" applyFont="1" applyFill="1" applyBorder="1" applyAlignment="1">
      <alignment vertical="center"/>
    </xf>
    <xf numFmtId="38" fontId="17" fillId="0" borderId="41" xfId="9" applyNumberFormat="1" applyFont="1" applyFill="1" applyBorder="1" applyAlignment="1">
      <alignment vertical="center"/>
    </xf>
    <xf numFmtId="38" fontId="17" fillId="0" borderId="97" xfId="9" applyNumberFormat="1" applyFont="1" applyFill="1" applyBorder="1" applyAlignment="1">
      <alignment vertical="center"/>
    </xf>
    <xf numFmtId="38" fontId="17" fillId="0" borderId="98" xfId="9" applyNumberFormat="1" applyFont="1" applyFill="1" applyBorder="1" applyAlignment="1">
      <alignment horizontal="center" vertical="center"/>
    </xf>
    <xf numFmtId="38" fontId="17" fillId="0" borderId="0" xfId="9" quotePrefix="1" applyNumberFormat="1" applyFont="1" applyFill="1" applyAlignment="1">
      <alignment horizontal="left" vertical="center"/>
    </xf>
    <xf numFmtId="38" fontId="17" fillId="0" borderId="50" xfId="9" applyNumberFormat="1" applyFont="1" applyFill="1" applyBorder="1" applyAlignment="1">
      <alignment vertical="center" shrinkToFit="1"/>
    </xf>
    <xf numFmtId="38" fontId="17" fillId="0" borderId="3" xfId="9" applyNumberFormat="1" applyFont="1" applyFill="1" applyBorder="1" applyAlignment="1">
      <alignment vertical="center" shrinkToFit="1"/>
    </xf>
    <xf numFmtId="38" fontId="17" fillId="0" borderId="66" xfId="9" applyNumberFormat="1" applyFont="1" applyFill="1" applyBorder="1" applyAlignment="1">
      <alignment vertical="center" shrinkToFit="1"/>
    </xf>
    <xf numFmtId="38" fontId="17" fillId="0" borderId="2" xfId="9" applyNumberFormat="1" applyFont="1" applyFill="1" applyBorder="1" applyAlignment="1">
      <alignment vertical="center" shrinkToFit="1"/>
    </xf>
    <xf numFmtId="38" fontId="17" fillId="0" borderId="7" xfId="9" applyNumberFormat="1" applyFont="1" applyFill="1" applyBorder="1" applyAlignment="1">
      <alignment vertical="center" shrinkToFit="1"/>
    </xf>
    <xf numFmtId="38" fontId="17" fillId="0" borderId="78" xfId="9" applyNumberFormat="1" applyFont="1" applyFill="1" applyBorder="1" applyAlignment="1">
      <alignment vertical="center" shrinkToFit="1"/>
    </xf>
    <xf numFmtId="38" fontId="17" fillId="0" borderId="81" xfId="9" applyNumberFormat="1" applyFont="1" applyFill="1" applyBorder="1" applyAlignment="1">
      <alignment vertical="center" shrinkToFit="1"/>
    </xf>
    <xf numFmtId="38" fontId="17" fillId="0" borderId="82" xfId="9" applyNumberFormat="1" applyFont="1" applyFill="1" applyBorder="1" applyAlignment="1">
      <alignment vertical="center" shrinkToFit="1"/>
    </xf>
    <xf numFmtId="38" fontId="17" fillId="0" borderId="83" xfId="9" applyNumberFormat="1" applyFont="1" applyFill="1" applyBorder="1" applyAlignment="1">
      <alignment vertical="center" shrinkToFit="1"/>
    </xf>
    <xf numFmtId="38" fontId="17" fillId="0" borderId="84" xfId="9" applyNumberFormat="1" applyFont="1" applyFill="1" applyBorder="1" applyAlignment="1">
      <alignment vertical="center" shrinkToFit="1"/>
    </xf>
    <xf numFmtId="38" fontId="17" fillId="0" borderId="85" xfId="9" applyNumberFormat="1" applyFont="1" applyFill="1" applyBorder="1" applyAlignment="1">
      <alignment vertical="center" shrinkToFit="1"/>
    </xf>
    <xf numFmtId="38" fontId="17" fillId="0" borderId="26" xfId="9" applyNumberFormat="1" applyFont="1" applyFill="1" applyBorder="1" applyAlignment="1">
      <alignment vertical="center" shrinkToFit="1"/>
    </xf>
    <xf numFmtId="38" fontId="17" fillId="0" borderId="25" xfId="9" applyNumberFormat="1" applyFont="1" applyFill="1" applyBorder="1" applyAlignment="1">
      <alignment vertical="center" shrinkToFit="1"/>
    </xf>
    <xf numFmtId="38" fontId="17" fillId="0" borderId="0" xfId="9" applyNumberFormat="1" applyFont="1" applyFill="1" applyAlignment="1">
      <alignment vertical="center" shrinkToFit="1"/>
    </xf>
    <xf numFmtId="38" fontId="17" fillId="0" borderId="33" xfId="9" applyNumberFormat="1" applyFont="1" applyFill="1" applyBorder="1" applyAlignment="1">
      <alignment vertical="center" shrinkToFit="1"/>
    </xf>
    <xf numFmtId="38" fontId="19" fillId="0" borderId="0" xfId="9" applyNumberFormat="1" applyFont="1" applyFill="1" applyAlignment="1">
      <alignment horizontal="centerContinuous" vertical="center"/>
    </xf>
    <xf numFmtId="38" fontId="17" fillId="0" borderId="99" xfId="9" applyNumberFormat="1" applyFont="1" applyFill="1" applyBorder="1" applyAlignment="1">
      <alignment vertical="center"/>
    </xf>
    <xf numFmtId="38" fontId="17" fillId="0" borderId="100" xfId="9" applyNumberFormat="1" applyFont="1" applyFill="1" applyBorder="1" applyAlignment="1">
      <alignment vertical="center"/>
    </xf>
    <xf numFmtId="38" fontId="17" fillId="0" borderId="101" xfId="9" applyNumberFormat="1" applyFont="1" applyFill="1" applyBorder="1" applyAlignment="1">
      <alignment vertical="center"/>
    </xf>
    <xf numFmtId="38" fontId="17" fillId="0" borderId="102" xfId="9" applyNumberFormat="1" applyFont="1" applyFill="1" applyBorder="1" applyAlignment="1">
      <alignment vertical="center"/>
    </xf>
    <xf numFmtId="38" fontId="17" fillId="9" borderId="25" xfId="9" applyNumberFormat="1" applyFont="1" applyFill="1" applyBorder="1" applyAlignment="1">
      <alignment vertical="center"/>
    </xf>
    <xf numFmtId="38" fontId="17" fillId="9" borderId="26" xfId="9" applyNumberFormat="1" applyFont="1" applyFill="1" applyBorder="1" applyAlignment="1">
      <alignment vertical="center"/>
    </xf>
    <xf numFmtId="38" fontId="17" fillId="9" borderId="24" xfId="9" applyNumberFormat="1" applyFont="1" applyFill="1" applyBorder="1" applyAlignment="1">
      <alignment vertical="center"/>
    </xf>
    <xf numFmtId="38" fontId="17" fillId="9" borderId="86" xfId="9" applyNumberFormat="1" applyFont="1" applyFill="1" applyBorder="1" applyAlignment="1">
      <alignment vertical="center"/>
    </xf>
    <xf numFmtId="38" fontId="17" fillId="9" borderId="87" xfId="9" applyNumberFormat="1" applyFont="1" applyFill="1" applyBorder="1" applyAlignment="1">
      <alignment vertical="center"/>
    </xf>
    <xf numFmtId="38" fontId="17" fillId="0" borderId="103" xfId="9" applyNumberFormat="1" applyFont="1" applyFill="1" applyBorder="1" applyAlignment="1">
      <alignment vertical="center"/>
    </xf>
    <xf numFmtId="38" fontId="17" fillId="0" borderId="35" xfId="9" applyNumberFormat="1" applyFont="1" applyFill="1" applyBorder="1" applyAlignment="1">
      <alignment vertical="center"/>
    </xf>
    <xf numFmtId="38" fontId="17" fillId="0" borderId="104" xfId="9" applyNumberFormat="1" applyFont="1" applyFill="1" applyBorder="1" applyAlignment="1">
      <alignment vertical="center"/>
    </xf>
    <xf numFmtId="38" fontId="17" fillId="0" borderId="24" xfId="9" applyNumberFormat="1" applyFont="1" applyFill="1" applyBorder="1" applyAlignment="1">
      <alignment horizontal="right" vertical="center"/>
    </xf>
    <xf numFmtId="38" fontId="17" fillId="9" borderId="25" xfId="9" applyNumberFormat="1" applyFont="1" applyFill="1" applyBorder="1" applyAlignment="1">
      <alignment horizontal="right" vertical="center" wrapText="1"/>
    </xf>
    <xf numFmtId="38" fontId="17" fillId="9" borderId="26" xfId="9" applyNumberFormat="1" applyFont="1" applyFill="1" applyBorder="1" applyAlignment="1">
      <alignment horizontal="right" vertical="center" wrapText="1"/>
    </xf>
    <xf numFmtId="38" fontId="17" fillId="9" borderId="25" xfId="9" applyNumberFormat="1" applyFont="1" applyFill="1" applyBorder="1" applyAlignment="1">
      <alignment horizontal="right" vertical="center"/>
    </xf>
    <xf numFmtId="38" fontId="17" fillId="9" borderId="86" xfId="9" applyNumberFormat="1" applyFont="1" applyFill="1" applyBorder="1" applyAlignment="1">
      <alignment horizontal="right" vertical="center"/>
    </xf>
    <xf numFmtId="10" fontId="17" fillId="0" borderId="0" xfId="9" applyNumberFormat="1" applyFont="1" applyFill="1" applyAlignment="1">
      <alignment vertical="center"/>
    </xf>
    <xf numFmtId="3" fontId="17" fillId="0" borderId="0" xfId="9" applyNumberFormat="1" applyFont="1" applyFill="1" applyAlignment="1">
      <alignment vertical="center"/>
    </xf>
    <xf numFmtId="38" fontId="17" fillId="0" borderId="105" xfId="9" applyNumberFormat="1" applyFont="1" applyFill="1" applyBorder="1" applyAlignment="1">
      <alignment vertical="center"/>
    </xf>
    <xf numFmtId="38" fontId="17" fillId="0" borderId="106" xfId="9" applyNumberFormat="1" applyFont="1" applyFill="1" applyBorder="1" applyAlignment="1">
      <alignment vertical="center"/>
    </xf>
    <xf numFmtId="38" fontId="17" fillId="0" borderId="107" xfId="9" applyNumberFormat="1" applyFont="1" applyFill="1" applyBorder="1" applyAlignment="1">
      <alignment vertical="center"/>
    </xf>
    <xf numFmtId="38" fontId="21" fillId="0" borderId="0" xfId="9" applyNumberFormat="1" applyFont="1" applyFill="1" applyAlignment="1">
      <alignment horizontal="center" vertical="top"/>
    </xf>
    <xf numFmtId="0" fontId="22" fillId="0" borderId="89" xfId="9" applyFont="1" applyFill="1" applyBorder="1" applyAlignment="1">
      <alignment horizontal="distributed" vertical="center"/>
    </xf>
    <xf numFmtId="0" fontId="22" fillId="0" borderId="108" xfId="9" applyFont="1" applyFill="1" applyBorder="1" applyAlignment="1">
      <alignment horizontal="distributed" vertical="center"/>
    </xf>
    <xf numFmtId="38" fontId="17" fillId="9" borderId="0" xfId="9" applyNumberFormat="1" applyFont="1" applyFill="1" applyAlignment="1">
      <alignment vertical="center"/>
    </xf>
    <xf numFmtId="38" fontId="17" fillId="0" borderId="5" xfId="9" applyNumberFormat="1" applyFont="1" applyFill="1" applyBorder="1" applyAlignment="1">
      <alignment horizontal="centerContinuous" vertical="center"/>
    </xf>
    <xf numFmtId="0" fontId="12" fillId="0" borderId="0" xfId="9" applyFont="1" applyFill="1"/>
    <xf numFmtId="0" fontId="12" fillId="0" borderId="0" xfId="9" applyFont="1" applyFill="1" applyAlignment="1">
      <alignment vertical="center"/>
    </xf>
    <xf numFmtId="38" fontId="17" fillId="0" borderId="110" xfId="9" applyNumberFormat="1" applyFont="1" applyFill="1" applyBorder="1" applyAlignment="1">
      <alignment vertical="center"/>
    </xf>
    <xf numFmtId="38" fontId="17" fillId="0" borderId="111" xfId="9" applyNumberFormat="1" applyFont="1" applyFill="1" applyBorder="1" applyAlignment="1">
      <alignment vertical="center"/>
    </xf>
    <xf numFmtId="38" fontId="17" fillId="0" borderId="112" xfId="9" applyNumberFormat="1" applyFont="1" applyFill="1" applyBorder="1" applyAlignment="1">
      <alignment vertical="center"/>
    </xf>
    <xf numFmtId="38" fontId="17" fillId="0" borderId="113" xfId="9" applyNumberFormat="1" applyFont="1" applyFill="1" applyBorder="1" applyAlignment="1">
      <alignment vertical="center"/>
    </xf>
    <xf numFmtId="38" fontId="17" fillId="0" borderId="114" xfId="9" applyNumberFormat="1" applyFont="1" applyFill="1" applyBorder="1" applyAlignment="1">
      <alignment vertical="center"/>
    </xf>
    <xf numFmtId="38" fontId="17" fillId="0" borderId="0" xfId="9" quotePrefix="1" applyNumberFormat="1" applyFont="1" applyFill="1" applyBorder="1" applyAlignment="1">
      <alignment horizontal="left" vertical="center"/>
    </xf>
    <xf numFmtId="38" fontId="17" fillId="0" borderId="55" xfId="9" applyNumberFormat="1" applyFont="1" applyFill="1" applyBorder="1" applyAlignment="1">
      <alignment horizontal="left" vertical="center"/>
    </xf>
    <xf numFmtId="38" fontId="17" fillId="0" borderId="55" xfId="9" quotePrefix="1" applyNumberFormat="1" applyFont="1" applyFill="1" applyBorder="1" applyAlignment="1">
      <alignment horizontal="left" vertical="center"/>
    </xf>
    <xf numFmtId="38" fontId="17" fillId="0" borderId="70" xfId="9" applyNumberFormat="1" applyFont="1" applyFill="1" applyBorder="1" applyAlignment="1">
      <alignment vertical="center" shrinkToFit="1"/>
    </xf>
    <xf numFmtId="0" fontId="22" fillId="0" borderId="118" xfId="9" applyFont="1" applyFill="1" applyBorder="1" applyAlignment="1">
      <alignment horizontal="distributed" vertical="center"/>
    </xf>
    <xf numFmtId="38" fontId="17" fillId="0" borderId="47" xfId="9" quotePrefix="1" applyNumberFormat="1" applyFont="1" applyFill="1" applyBorder="1" applyAlignment="1">
      <alignment horizontal="left" vertical="center"/>
    </xf>
    <xf numFmtId="38" fontId="17" fillId="0" borderId="96" xfId="9" applyNumberFormat="1" applyFont="1" applyFill="1" applyBorder="1" applyAlignment="1">
      <alignment vertical="center"/>
    </xf>
    <xf numFmtId="38" fontId="17" fillId="0" borderId="37" xfId="9" applyNumberFormat="1" applyFont="1" applyFill="1" applyBorder="1" applyAlignment="1">
      <alignment vertical="center"/>
    </xf>
    <xf numFmtId="38" fontId="17" fillId="0" borderId="38" xfId="9" applyNumberFormat="1" applyFont="1" applyFill="1" applyBorder="1" applyAlignment="1">
      <alignment vertical="center"/>
    </xf>
    <xf numFmtId="38" fontId="17" fillId="0" borderId="39" xfId="9" applyNumberFormat="1" applyFont="1" applyFill="1" applyBorder="1" applyAlignment="1">
      <alignment vertical="center"/>
    </xf>
    <xf numFmtId="38" fontId="17" fillId="0" borderId="119" xfId="9" applyNumberFormat="1" applyFont="1" applyFill="1" applyBorder="1" applyAlignment="1">
      <alignment vertical="center"/>
    </xf>
    <xf numFmtId="38" fontId="17" fillId="0" borderId="120" xfId="9" applyNumberFormat="1" applyFont="1" applyFill="1" applyBorder="1" applyAlignment="1">
      <alignment vertical="center"/>
    </xf>
    <xf numFmtId="38" fontId="17" fillId="0" borderId="71" xfId="9" quotePrefix="1" applyNumberFormat="1" applyFont="1" applyFill="1" applyBorder="1" applyAlignment="1">
      <alignment horizontal="left" vertical="center"/>
    </xf>
    <xf numFmtId="38" fontId="17" fillId="0" borderId="121" xfId="9" applyNumberFormat="1" applyFont="1" applyFill="1" applyBorder="1" applyAlignment="1">
      <alignment horizontal="centerContinuous" vertical="center"/>
    </xf>
    <xf numFmtId="38" fontId="17" fillId="0" borderId="98" xfId="9" applyNumberFormat="1" applyFont="1" applyFill="1" applyBorder="1" applyAlignment="1">
      <alignment vertical="center"/>
    </xf>
    <xf numFmtId="38" fontId="17" fillId="0" borderId="27" xfId="9" applyNumberFormat="1" applyFont="1" applyFill="1" applyBorder="1" applyAlignment="1">
      <alignment vertical="center"/>
    </xf>
    <xf numFmtId="38" fontId="17" fillId="0" borderId="70" xfId="9" applyNumberFormat="1" applyFont="1" applyFill="1" applyBorder="1" applyAlignment="1">
      <alignment vertical="center" wrapText="1"/>
    </xf>
    <xf numFmtId="38" fontId="17" fillId="0" borderId="122" xfId="9" applyNumberFormat="1" applyFont="1" applyFill="1" applyBorder="1" applyAlignment="1">
      <alignment vertical="center"/>
    </xf>
    <xf numFmtId="38" fontId="17" fillId="0" borderId="123" xfId="9" applyNumberFormat="1" applyFont="1" applyFill="1" applyBorder="1" applyAlignment="1">
      <alignment vertical="center"/>
    </xf>
    <xf numFmtId="38" fontId="17" fillId="0" borderId="124" xfId="9" applyNumberFormat="1" applyFont="1" applyFill="1" applyBorder="1" applyAlignment="1">
      <alignment vertical="center"/>
    </xf>
    <xf numFmtId="38" fontId="19" fillId="0" borderId="0" xfId="9" applyNumberFormat="1" applyFont="1" applyFill="1" applyAlignment="1">
      <alignment vertical="center"/>
    </xf>
    <xf numFmtId="38" fontId="17" fillId="0" borderId="55" xfId="9" applyNumberFormat="1" applyFont="1" applyFill="1" applyBorder="1" applyAlignment="1">
      <alignment horizontal="center" vertical="center"/>
    </xf>
    <xf numFmtId="38" fontId="17" fillId="0" borderId="0" xfId="9" applyNumberFormat="1" applyFont="1" applyFill="1" applyAlignment="1">
      <alignment horizontal="center" vertical="center" wrapText="1"/>
    </xf>
    <xf numFmtId="38" fontId="17" fillId="0" borderId="123" xfId="9" applyNumberFormat="1" applyFont="1" applyFill="1" applyBorder="1" applyAlignment="1">
      <alignment horizontal="center" vertical="center"/>
    </xf>
    <xf numFmtId="38" fontId="23" fillId="0" borderId="0" xfId="9" applyNumberFormat="1" applyFont="1" applyFill="1" applyAlignment="1">
      <alignment vertical="center"/>
    </xf>
    <xf numFmtId="38" fontId="17" fillId="0" borderId="117" xfId="9" applyNumberFormat="1" applyFont="1" applyFill="1" applyBorder="1" applyAlignment="1">
      <alignment vertical="center"/>
    </xf>
    <xf numFmtId="0" fontId="0" fillId="0" borderId="0" xfId="0" applyAlignment="1"/>
    <xf numFmtId="0" fontId="0" fillId="0" borderId="0" xfId="0" applyFill="1" applyAlignment="1">
      <alignment vertical="center"/>
    </xf>
    <xf numFmtId="38" fontId="7" fillId="0" borderId="5" xfId="1" applyFont="1" applyFill="1" applyBorder="1" applyAlignment="1">
      <alignment horizontal="left" vertical="center"/>
    </xf>
    <xf numFmtId="38" fontId="7" fillId="0" borderId="9" xfId="1" applyFont="1" applyFill="1" applyBorder="1" applyAlignment="1">
      <alignment horizontal="left" vertical="center"/>
    </xf>
    <xf numFmtId="38" fontId="1" fillId="10" borderId="41" xfId="1" applyFont="1" applyFill="1" applyBorder="1" applyAlignment="1">
      <alignment horizontal="right" vertical="center"/>
    </xf>
    <xf numFmtId="38" fontId="1" fillId="10" borderId="30" xfId="1" applyFont="1" applyFill="1" applyBorder="1" applyAlignment="1">
      <alignment horizontal="right" vertical="center"/>
    </xf>
    <xf numFmtId="38" fontId="1" fillId="10" borderId="27" xfId="1" applyFont="1" applyFill="1" applyBorder="1" applyAlignment="1">
      <alignment horizontal="right" vertical="center"/>
    </xf>
    <xf numFmtId="38" fontId="1" fillId="10" borderId="42" xfId="1" applyFont="1" applyFill="1" applyBorder="1" applyAlignment="1">
      <alignment horizontal="right" vertical="center"/>
    </xf>
    <xf numFmtId="38" fontId="1" fillId="0" borderId="56" xfId="1" applyFont="1" applyFill="1" applyBorder="1" applyAlignment="1">
      <alignment horizontal="center" vertical="center"/>
    </xf>
    <xf numFmtId="38" fontId="0" fillId="0" borderId="0" xfId="6" applyFont="1" applyAlignment="1">
      <alignment horizontal="center"/>
    </xf>
    <xf numFmtId="38" fontId="1" fillId="0" borderId="126" xfId="1" applyFont="1" applyBorder="1" applyAlignment="1">
      <alignment horizontal="center" vertical="center"/>
    </xf>
    <xf numFmtId="38" fontId="6" fillId="0" borderId="89" xfId="1" applyFont="1" applyBorder="1" applyAlignment="1">
      <alignment horizontal="center" vertical="center"/>
    </xf>
    <xf numFmtId="38" fontId="1" fillId="0" borderId="43" xfId="1" applyFont="1" applyBorder="1" applyAlignment="1">
      <alignment horizontal="right" vertical="center"/>
    </xf>
    <xf numFmtId="38" fontId="1" fillId="0" borderId="109" xfId="1" applyFont="1" applyFill="1" applyBorder="1" applyAlignment="1">
      <alignment horizontal="right" vertical="center"/>
    </xf>
    <xf numFmtId="38" fontId="1" fillId="3" borderId="29" xfId="1" applyFont="1" applyFill="1" applyBorder="1" applyAlignment="1">
      <alignment horizontal="right" vertical="center"/>
    </xf>
    <xf numFmtId="38" fontId="1" fillId="0" borderId="29" xfId="1" applyFont="1" applyFill="1" applyBorder="1" applyAlignment="1">
      <alignment horizontal="right" vertical="center"/>
    </xf>
    <xf numFmtId="38" fontId="1" fillId="0" borderId="29" xfId="1" applyFont="1" applyFill="1" applyBorder="1" applyAlignment="1">
      <alignment vertical="center"/>
    </xf>
    <xf numFmtId="38" fontId="1" fillId="0" borderId="67" xfId="1" applyFont="1" applyBorder="1" applyAlignment="1">
      <alignment horizontal="right" vertical="center"/>
    </xf>
    <xf numFmtId="38" fontId="1" fillId="0" borderId="43" xfId="1" applyFont="1" applyBorder="1" applyAlignment="1">
      <alignment vertical="center"/>
    </xf>
    <xf numFmtId="38" fontId="1" fillId="0" borderId="109" xfId="1" applyFont="1" applyFill="1" applyBorder="1" applyAlignment="1">
      <alignment vertical="center"/>
    </xf>
    <xf numFmtId="38" fontId="1" fillId="0" borderId="67" xfId="1" applyFont="1" applyBorder="1" applyAlignment="1">
      <alignment vertical="center"/>
    </xf>
    <xf numFmtId="38" fontId="1" fillId="6" borderId="43" xfId="1" applyFont="1" applyFill="1" applyBorder="1" applyAlignment="1">
      <alignment horizontal="right" vertical="center"/>
    </xf>
    <xf numFmtId="38" fontId="1" fillId="0" borderId="72" xfId="1" applyFont="1" applyBorder="1" applyAlignment="1">
      <alignment horizontal="right" vertical="center"/>
    </xf>
    <xf numFmtId="38" fontId="1" fillId="0" borderId="65" xfId="1" applyFont="1" applyBorder="1" applyAlignment="1">
      <alignment horizontal="right" vertical="center"/>
    </xf>
    <xf numFmtId="38" fontId="1" fillId="0" borderId="63" xfId="1" applyFont="1" applyBorder="1" applyAlignment="1">
      <alignment horizontal="right" vertical="center"/>
    </xf>
    <xf numFmtId="38" fontId="1" fillId="3" borderId="29" xfId="1" applyFont="1" applyFill="1" applyBorder="1" applyAlignment="1">
      <alignment vertical="center"/>
    </xf>
    <xf numFmtId="38" fontId="6" fillId="0" borderId="48" xfId="1" applyFont="1" applyFill="1" applyBorder="1" applyAlignment="1">
      <alignment horizontal="center" vertical="center"/>
    </xf>
    <xf numFmtId="38" fontId="1" fillId="0" borderId="75" xfId="1" applyFont="1" applyFill="1" applyBorder="1" applyAlignment="1">
      <alignment horizontal="right" vertical="center"/>
    </xf>
    <xf numFmtId="38" fontId="1" fillId="0" borderId="42" xfId="1" applyFont="1" applyFill="1" applyBorder="1" applyAlignment="1">
      <alignment vertical="center"/>
    </xf>
    <xf numFmtId="38" fontId="1" fillId="0" borderId="77" xfId="1" applyFont="1" applyFill="1" applyBorder="1" applyAlignment="1">
      <alignment vertical="center"/>
    </xf>
    <xf numFmtId="38" fontId="1" fillId="0" borderId="75" xfId="1" applyFont="1" applyFill="1" applyBorder="1" applyAlignment="1">
      <alignment vertical="center"/>
    </xf>
    <xf numFmtId="38" fontId="1" fillId="0" borderId="92" xfId="1" applyFont="1" applyFill="1" applyBorder="1" applyAlignment="1">
      <alignment horizontal="right" vertical="center"/>
    </xf>
    <xf numFmtId="38" fontId="1" fillId="0" borderId="15" xfId="1" applyFont="1" applyFill="1" applyBorder="1" applyAlignment="1">
      <alignment horizontal="right" vertical="center"/>
    </xf>
    <xf numFmtId="38" fontId="1" fillId="0" borderId="7" xfId="1" applyFont="1" applyFill="1" applyBorder="1" applyAlignment="1">
      <alignment horizontal="right" vertical="center"/>
    </xf>
    <xf numFmtId="38" fontId="1" fillId="0" borderId="8" xfId="1" applyFont="1" applyFill="1" applyBorder="1" applyAlignment="1">
      <alignment horizontal="right" vertical="center"/>
    </xf>
    <xf numFmtId="38" fontId="1" fillId="8" borderId="25" xfId="1" applyFont="1" applyFill="1" applyBorder="1" applyAlignment="1">
      <alignment horizontal="right" vertical="center"/>
    </xf>
    <xf numFmtId="38" fontId="1" fillId="0" borderId="46" xfId="1" applyFont="1" applyBorder="1" applyAlignment="1">
      <alignment horizontal="center" vertical="center"/>
    </xf>
    <xf numFmtId="38" fontId="1" fillId="6" borderId="29" xfId="1" applyFont="1" applyFill="1" applyBorder="1" applyAlignment="1">
      <alignment horizontal="right" vertical="center"/>
    </xf>
    <xf numFmtId="38" fontId="1" fillId="0" borderId="29" xfId="1" applyFont="1" applyBorder="1" applyAlignment="1">
      <alignment vertical="center"/>
    </xf>
    <xf numFmtId="38" fontId="1" fillId="0" borderId="22" xfId="1" applyFont="1" applyFill="1" applyBorder="1" applyAlignment="1">
      <alignment horizontal="right" vertical="center"/>
    </xf>
    <xf numFmtId="38" fontId="1" fillId="4" borderId="29" xfId="1" applyFont="1" applyFill="1" applyBorder="1" applyAlignment="1">
      <alignment horizontal="right" vertical="center"/>
    </xf>
    <xf numFmtId="38" fontId="1" fillId="9" borderId="29" xfId="1" applyFont="1" applyFill="1" applyBorder="1" applyAlignment="1">
      <alignment horizontal="right" vertical="center"/>
    </xf>
    <xf numFmtId="38" fontId="1" fillId="0" borderId="29" xfId="1" applyFont="1" applyBorder="1" applyAlignment="1">
      <alignment horizontal="right" vertical="center"/>
    </xf>
    <xf numFmtId="38" fontId="1" fillId="5" borderId="29" xfId="1" applyFont="1" applyFill="1" applyBorder="1" applyAlignment="1">
      <alignment horizontal="right" vertical="center"/>
    </xf>
    <xf numFmtId="38" fontId="1" fillId="2" borderId="29" xfId="1" applyFont="1" applyFill="1" applyBorder="1" applyAlignment="1">
      <alignment horizontal="right" vertical="center"/>
    </xf>
    <xf numFmtId="38" fontId="1" fillId="2" borderId="22" xfId="1" applyFont="1" applyFill="1" applyBorder="1" applyAlignment="1">
      <alignment horizontal="right" vertical="center"/>
    </xf>
    <xf numFmtId="38" fontId="1" fillId="9" borderId="43" xfId="1" applyFont="1" applyFill="1" applyBorder="1" applyAlignment="1">
      <alignment horizontal="right" vertical="center"/>
    </xf>
    <xf numFmtId="38" fontId="1" fillId="0" borderId="50" xfId="1" applyFont="1" applyFill="1" applyBorder="1" applyAlignment="1">
      <alignment horizontal="right" vertical="center"/>
    </xf>
    <xf numFmtId="38" fontId="1" fillId="2" borderId="27" xfId="1" applyFont="1" applyFill="1" applyBorder="1" applyAlignment="1">
      <alignment horizontal="right" vertical="center"/>
    </xf>
    <xf numFmtId="38" fontId="1" fillId="2" borderId="20" xfId="1" applyFont="1" applyFill="1" applyBorder="1" applyAlignment="1">
      <alignment horizontal="right" vertical="center"/>
    </xf>
    <xf numFmtId="38" fontId="1" fillId="0" borderId="127" xfId="1" applyFont="1" applyBorder="1" applyAlignment="1">
      <alignment horizontal="center" vertical="center"/>
    </xf>
    <xf numFmtId="38" fontId="6" fillId="0" borderId="128" xfId="1" applyFont="1" applyBorder="1" applyAlignment="1">
      <alignment horizontal="center" vertical="center"/>
    </xf>
    <xf numFmtId="38" fontId="1" fillId="0" borderId="74" xfId="1" applyFont="1" applyFill="1" applyBorder="1" applyAlignment="1">
      <alignment horizontal="right" vertical="center"/>
    </xf>
    <xf numFmtId="38" fontId="1" fillId="0" borderId="93" xfId="1" applyFont="1" applyFill="1" applyBorder="1" applyAlignment="1">
      <alignment horizontal="right" vertical="center"/>
    </xf>
    <xf numFmtId="38" fontId="1" fillId="0" borderId="93" xfId="1" applyFont="1" applyBorder="1" applyAlignment="1">
      <alignment horizontal="right" vertical="center"/>
    </xf>
    <xf numFmtId="38" fontId="1" fillId="2" borderId="93" xfId="1" applyFont="1" applyFill="1" applyBorder="1" applyAlignment="1">
      <alignment horizontal="right" vertical="center"/>
    </xf>
    <xf numFmtId="38" fontId="1" fillId="6" borderId="93" xfId="1" applyFont="1" applyFill="1" applyBorder="1" applyAlignment="1">
      <alignment horizontal="right" vertical="center"/>
    </xf>
    <xf numFmtId="38" fontId="1" fillId="2" borderId="129" xfId="1" applyFont="1" applyFill="1" applyBorder="1" applyAlignment="1">
      <alignment horizontal="right" vertical="center"/>
    </xf>
    <xf numFmtId="38" fontId="1" fillId="3" borderId="93" xfId="1" applyFont="1" applyFill="1" applyBorder="1" applyAlignment="1">
      <alignment horizontal="right" vertical="center"/>
    </xf>
    <xf numFmtId="38" fontId="1" fillId="0" borderId="129" xfId="1" applyFont="1" applyFill="1" applyBorder="1" applyAlignment="1">
      <alignment horizontal="right" vertical="center"/>
    </xf>
    <xf numFmtId="38" fontId="1" fillId="0" borderId="18" xfId="1" applyFont="1" applyBorder="1" applyAlignment="1">
      <alignment horizontal="right" vertical="center"/>
    </xf>
    <xf numFmtId="38" fontId="1" fillId="7" borderId="25" xfId="1" applyFont="1" applyFill="1" applyBorder="1" applyAlignment="1">
      <alignment horizontal="right" vertical="center"/>
    </xf>
    <xf numFmtId="38" fontId="1" fillId="8" borderId="31" xfId="1" applyFont="1" applyFill="1" applyBorder="1" applyAlignment="1">
      <alignment horizontal="right" vertical="center"/>
    </xf>
    <xf numFmtId="38" fontId="1" fillId="6" borderId="34" xfId="1" applyFont="1" applyFill="1" applyBorder="1" applyAlignment="1">
      <alignment horizontal="right" vertical="center"/>
    </xf>
    <xf numFmtId="38" fontId="1" fillId="6" borderId="109" xfId="1" applyFont="1" applyFill="1" applyBorder="1" applyAlignment="1">
      <alignment horizontal="right" vertical="center"/>
    </xf>
    <xf numFmtId="38" fontId="1" fillId="6" borderId="33" xfId="1" applyFont="1" applyFill="1" applyBorder="1" applyAlignment="1">
      <alignment horizontal="right" vertical="center"/>
    </xf>
    <xf numFmtId="38" fontId="1" fillId="6" borderId="33" xfId="1" applyFont="1" applyFill="1" applyBorder="1" applyAlignment="1">
      <alignment vertical="center"/>
    </xf>
    <xf numFmtId="0" fontId="13" fillId="0" borderId="0" xfId="11" quotePrefix="1"/>
    <xf numFmtId="38" fontId="1" fillId="0" borderId="44" xfId="1" applyFont="1" applyBorder="1" applyAlignment="1">
      <alignment horizontal="center" vertical="center"/>
    </xf>
    <xf numFmtId="38" fontId="1" fillId="0" borderId="1" xfId="1" applyFont="1" applyBorder="1" applyAlignment="1">
      <alignment horizontal="center" vertical="center"/>
    </xf>
    <xf numFmtId="38" fontId="1" fillId="0" borderId="50" xfId="1" applyFont="1" applyBorder="1" applyAlignment="1">
      <alignment horizontal="center" vertical="center"/>
    </xf>
    <xf numFmtId="38" fontId="1" fillId="0" borderId="59" xfId="1" applyFont="1" applyBorder="1" applyAlignment="1">
      <alignment horizontal="center" vertical="center"/>
    </xf>
    <xf numFmtId="38" fontId="1" fillId="0" borderId="5" xfId="1" applyFont="1" applyBorder="1" applyAlignment="1">
      <alignment horizontal="center" vertical="center"/>
    </xf>
    <xf numFmtId="38" fontId="1" fillId="0" borderId="56" xfId="1" applyFont="1" applyFill="1" applyBorder="1" applyAlignment="1">
      <alignment horizontal="center" vertical="center"/>
    </xf>
    <xf numFmtId="38" fontId="1" fillId="0" borderId="0" xfId="1" applyFont="1" applyBorder="1" applyAlignment="1">
      <alignment horizontal="right" vertical="center"/>
    </xf>
    <xf numFmtId="38" fontId="1" fillId="0" borderId="8" xfId="1" applyFont="1" applyFill="1" applyBorder="1" applyAlignment="1">
      <alignment horizontal="center" vertical="center" shrinkToFit="1"/>
    </xf>
    <xf numFmtId="38" fontId="1" fillId="0" borderId="8" xfId="1" applyFont="1" applyFill="1" applyBorder="1" applyAlignment="1">
      <alignment vertical="center"/>
    </xf>
    <xf numFmtId="38" fontId="1" fillId="0" borderId="42" xfId="1" applyFont="1" applyFill="1" applyBorder="1" applyAlignment="1">
      <alignment vertical="center" shrinkToFit="1"/>
    </xf>
    <xf numFmtId="38" fontId="1" fillId="0" borderId="27" xfId="1" applyFont="1" applyFill="1" applyBorder="1" applyAlignment="1">
      <alignment vertical="center" shrinkToFit="1"/>
    </xf>
    <xf numFmtId="38" fontId="0" fillId="0" borderId="27" xfId="1" applyFont="1" applyFill="1" applyBorder="1" applyAlignment="1">
      <alignment vertical="center" shrinkToFit="1"/>
    </xf>
    <xf numFmtId="38" fontId="1" fillId="0" borderId="30" xfId="1" applyFont="1" applyBorder="1" applyAlignment="1">
      <alignment vertical="center" shrinkToFit="1"/>
    </xf>
    <xf numFmtId="38" fontId="1" fillId="0" borderId="30" xfId="1" applyFont="1" applyFill="1" applyBorder="1" applyAlignment="1">
      <alignment vertical="center" shrinkToFit="1"/>
    </xf>
    <xf numFmtId="38" fontId="0" fillId="0" borderId="30" xfId="1" applyFont="1" applyFill="1" applyBorder="1" applyAlignment="1">
      <alignment vertical="center" shrinkToFit="1"/>
    </xf>
    <xf numFmtId="38" fontId="1" fillId="0" borderId="20" xfId="1" applyFont="1" applyFill="1" applyBorder="1" applyAlignment="1">
      <alignment vertical="center" shrinkToFit="1"/>
    </xf>
    <xf numFmtId="38" fontId="1" fillId="0" borderId="14" xfId="1" applyFont="1" applyBorder="1" applyAlignment="1">
      <alignment horizontal="center" vertical="center" shrinkToFit="1"/>
    </xf>
    <xf numFmtId="38" fontId="1" fillId="0" borderId="5" xfId="1" applyFont="1" applyBorder="1" applyAlignment="1">
      <alignment horizontal="center" vertical="center" shrinkToFit="1"/>
    </xf>
    <xf numFmtId="38" fontId="1" fillId="0" borderId="27" xfId="1" applyFont="1" applyFill="1" applyBorder="1" applyAlignment="1">
      <alignment horizontal="left" vertical="center"/>
    </xf>
    <xf numFmtId="38" fontId="1" fillId="0" borderId="30" xfId="1" applyFont="1" applyFill="1" applyBorder="1" applyAlignment="1">
      <alignment horizontal="left" vertical="center"/>
    </xf>
    <xf numFmtId="38" fontId="1" fillId="0" borderId="20" xfId="1" applyFont="1" applyFill="1" applyBorder="1" applyAlignment="1">
      <alignment horizontal="left" vertical="center"/>
    </xf>
    <xf numFmtId="38" fontId="7" fillId="0" borderId="23" xfId="1" applyFont="1" applyFill="1" applyBorder="1" applyAlignment="1">
      <alignment horizontal="left" vertical="center"/>
    </xf>
    <xf numFmtId="38" fontId="1" fillId="0" borderId="28" xfId="1" applyFont="1" applyBorder="1" applyAlignment="1">
      <alignment vertical="center"/>
    </xf>
    <xf numFmtId="38" fontId="1" fillId="0" borderId="21" xfId="1" applyFont="1" applyFill="1" applyBorder="1" applyAlignment="1">
      <alignment vertical="center"/>
    </xf>
    <xf numFmtId="38" fontId="1" fillId="0" borderId="19" xfId="1" applyFont="1" applyFill="1" applyBorder="1" applyAlignment="1">
      <alignment vertical="center"/>
    </xf>
    <xf numFmtId="38" fontId="1" fillId="0" borderId="22" xfId="1" applyFont="1" applyFill="1" applyBorder="1" applyAlignment="1">
      <alignment vertical="center"/>
    </xf>
    <xf numFmtId="38" fontId="1" fillId="0" borderId="18" xfId="1" applyFont="1" applyFill="1" applyBorder="1" applyAlignment="1">
      <alignment vertical="center"/>
    </xf>
    <xf numFmtId="38" fontId="1" fillId="0" borderId="20" xfId="1" applyFont="1" applyFill="1" applyBorder="1" applyAlignment="1">
      <alignment vertical="center"/>
    </xf>
    <xf numFmtId="38" fontId="1" fillId="0" borderId="17" xfId="1" applyFont="1" applyFill="1" applyBorder="1" applyAlignment="1">
      <alignment vertical="center"/>
    </xf>
    <xf numFmtId="38" fontId="1" fillId="0" borderId="16" xfId="1" applyFont="1" applyFill="1" applyBorder="1" applyAlignment="1">
      <alignment vertical="center"/>
    </xf>
    <xf numFmtId="38" fontId="7" fillId="0" borderId="16" xfId="1" applyFont="1" applyFill="1" applyBorder="1" applyAlignment="1">
      <alignment horizontal="left" vertical="center"/>
    </xf>
    <xf numFmtId="38" fontId="1" fillId="0" borderId="21" xfId="1" applyFont="1" applyBorder="1" applyAlignment="1">
      <alignment vertical="center"/>
    </xf>
    <xf numFmtId="38" fontId="1" fillId="0" borderId="76" xfId="1" applyFont="1" applyFill="1" applyBorder="1" applyAlignment="1">
      <alignment vertical="center"/>
    </xf>
    <xf numFmtId="38" fontId="1" fillId="0" borderId="44" xfId="1" applyFont="1" applyBorder="1" applyAlignment="1">
      <alignment horizontal="center" vertical="center"/>
    </xf>
    <xf numFmtId="38" fontId="1" fillId="0" borderId="1" xfId="1" applyFont="1" applyBorder="1" applyAlignment="1">
      <alignment horizontal="center" vertical="center"/>
    </xf>
    <xf numFmtId="38" fontId="1" fillId="0" borderId="44" xfId="1" applyFont="1" applyFill="1" applyBorder="1" applyAlignment="1">
      <alignment horizontal="center" vertical="center"/>
    </xf>
    <xf numFmtId="38" fontId="1" fillId="0" borderId="1" xfId="1" applyFont="1" applyFill="1" applyBorder="1" applyAlignment="1">
      <alignment horizontal="center" vertical="center"/>
    </xf>
    <xf numFmtId="38" fontId="1" fillId="0" borderId="59" xfId="1" applyFont="1" applyBorder="1" applyAlignment="1">
      <alignment horizontal="center" vertical="center"/>
    </xf>
    <xf numFmtId="38" fontId="1" fillId="0" borderId="5" xfId="1" applyFont="1" applyBorder="1" applyAlignment="1">
      <alignment horizontal="center" vertical="center"/>
    </xf>
    <xf numFmtId="38" fontId="1" fillId="0" borderId="56" xfId="1" applyFont="1" applyFill="1" applyBorder="1" applyAlignment="1">
      <alignment horizontal="center" vertical="center"/>
    </xf>
    <xf numFmtId="38" fontId="1" fillId="0" borderId="51" xfId="1" applyFont="1" applyBorder="1" applyAlignment="1">
      <alignment horizontal="center" vertical="center" wrapText="1"/>
    </xf>
    <xf numFmtId="38" fontId="1" fillId="0" borderId="44" xfId="1" applyFont="1" applyBorder="1" applyAlignment="1">
      <alignment horizontal="center" vertical="center" wrapText="1"/>
    </xf>
    <xf numFmtId="38" fontId="17" fillId="0" borderId="6" xfId="9" applyNumberFormat="1" applyFont="1" applyFill="1" applyBorder="1" applyAlignment="1">
      <alignment horizontal="center" vertical="center"/>
    </xf>
    <xf numFmtId="38" fontId="1" fillId="0" borderId="76" xfId="1" applyFont="1" applyFill="1" applyBorder="1" applyAlignment="1">
      <alignment horizontal="right" vertical="center"/>
    </xf>
    <xf numFmtId="38" fontId="1" fillId="0" borderId="0" xfId="1" applyFont="1" applyFill="1" applyBorder="1" applyAlignment="1">
      <alignment vertical="center"/>
    </xf>
    <xf numFmtId="38" fontId="1" fillId="0" borderId="59" xfId="1" applyFont="1" applyFill="1" applyBorder="1" applyAlignment="1">
      <alignment horizontal="center" vertical="center"/>
    </xf>
    <xf numFmtId="38" fontId="1" fillId="0" borderId="54" xfId="1" applyFont="1" applyFill="1" applyBorder="1" applyAlignment="1">
      <alignment horizontal="center" vertical="center"/>
    </xf>
    <xf numFmtId="38" fontId="1" fillId="0" borderId="126" xfId="1" applyFont="1" applyFill="1" applyBorder="1" applyAlignment="1">
      <alignment horizontal="center" vertical="center"/>
    </xf>
    <xf numFmtId="38" fontId="1" fillId="0" borderId="53" xfId="1" applyFont="1" applyFill="1" applyBorder="1" applyAlignment="1">
      <alignment horizontal="center" vertical="center" wrapText="1"/>
    </xf>
    <xf numFmtId="38" fontId="1" fillId="0" borderId="127" xfId="1" applyFont="1" applyFill="1" applyBorder="1" applyAlignment="1">
      <alignment horizontal="center" vertical="center"/>
    </xf>
    <xf numFmtId="38" fontId="6" fillId="0" borderId="47" xfId="1" applyFont="1" applyFill="1" applyBorder="1" applyAlignment="1">
      <alignment horizontal="center" vertical="center"/>
    </xf>
    <xf numFmtId="38" fontId="6" fillId="0" borderId="89" xfId="1" applyFont="1" applyFill="1" applyBorder="1" applyAlignment="1">
      <alignment horizontal="center" vertical="center"/>
    </xf>
    <xf numFmtId="38" fontId="1" fillId="0" borderId="46" xfId="1" applyFont="1" applyFill="1" applyBorder="1" applyAlignment="1">
      <alignment horizontal="center" vertical="center"/>
    </xf>
    <xf numFmtId="38" fontId="6" fillId="0" borderId="46" xfId="1" applyFont="1" applyFill="1" applyBorder="1" applyAlignment="1">
      <alignment horizontal="center" vertical="center"/>
    </xf>
    <xf numFmtId="38" fontId="6" fillId="0" borderId="128" xfId="1" applyFont="1" applyFill="1" applyBorder="1" applyAlignment="1">
      <alignment horizontal="center" vertical="center"/>
    </xf>
    <xf numFmtId="38" fontId="1" fillId="0" borderId="0" xfId="1" applyFont="1" applyFill="1" applyAlignment="1">
      <alignment horizontal="center" vertical="center"/>
    </xf>
    <xf numFmtId="38" fontId="1" fillId="0" borderId="14" xfId="1" applyFont="1" applyFill="1" applyBorder="1" applyAlignment="1">
      <alignment vertical="center" shrinkToFit="1"/>
    </xf>
    <xf numFmtId="38" fontId="1" fillId="0" borderId="15" xfId="1" applyFont="1" applyFill="1" applyBorder="1" applyAlignment="1">
      <alignment vertical="center" shrinkToFit="1"/>
    </xf>
    <xf numFmtId="38" fontId="1" fillId="0" borderId="10" xfId="1" applyFont="1" applyFill="1" applyBorder="1" applyAlignment="1">
      <alignment horizontal="center" vertical="center" shrinkToFit="1"/>
    </xf>
    <xf numFmtId="38" fontId="1" fillId="0" borderId="14" xfId="1" applyFont="1" applyFill="1" applyBorder="1" applyAlignment="1">
      <alignment horizontal="right" vertical="center"/>
    </xf>
    <xf numFmtId="38" fontId="1" fillId="0" borderId="13" xfId="1" applyFont="1" applyFill="1" applyBorder="1" applyAlignment="1">
      <alignment horizontal="right" vertical="center"/>
    </xf>
    <xf numFmtId="38" fontId="1" fillId="0" borderId="67" xfId="1" applyFont="1" applyFill="1" applyBorder="1" applyAlignment="1">
      <alignment horizontal="right" vertical="center"/>
    </xf>
    <xf numFmtId="38" fontId="1" fillId="0" borderId="12" xfId="1" applyFont="1" applyFill="1" applyBorder="1" applyAlignment="1">
      <alignment horizontal="right" vertical="center"/>
    </xf>
    <xf numFmtId="38" fontId="1" fillId="0" borderId="68" xfId="1" applyFont="1" applyFill="1" applyBorder="1" applyAlignment="1">
      <alignment horizontal="right" vertical="center"/>
    </xf>
    <xf numFmtId="38" fontId="1" fillId="0" borderId="14" xfId="1" applyFont="1" applyFill="1" applyBorder="1" applyAlignment="1">
      <alignment horizontal="center" vertical="center" shrinkToFit="1"/>
    </xf>
    <xf numFmtId="38" fontId="1" fillId="0" borderId="9" xfId="1" applyFont="1" applyFill="1" applyBorder="1" applyAlignment="1">
      <alignment vertical="center" shrinkToFit="1"/>
    </xf>
    <xf numFmtId="38" fontId="1" fillId="0" borderId="6" xfId="1" applyFont="1" applyFill="1" applyBorder="1" applyAlignment="1">
      <alignment horizontal="center" vertical="center"/>
    </xf>
    <xf numFmtId="38" fontId="1" fillId="0" borderId="5" xfId="1" applyFont="1" applyFill="1" applyBorder="1" applyAlignment="1">
      <alignment horizontal="right" vertical="center"/>
    </xf>
    <xf numFmtId="38" fontId="1" fillId="0" borderId="4" xfId="1" applyFont="1" applyFill="1" applyBorder="1" applyAlignment="1">
      <alignment horizontal="right" vertical="center"/>
    </xf>
    <xf numFmtId="38" fontId="1" fillId="0" borderId="65" xfId="1" applyFont="1" applyFill="1" applyBorder="1" applyAlignment="1">
      <alignment horizontal="right" vertical="center"/>
    </xf>
    <xf numFmtId="38" fontId="1" fillId="0" borderId="66" xfId="1" applyFont="1" applyFill="1" applyBorder="1" applyAlignment="1">
      <alignment horizontal="right" vertical="center"/>
    </xf>
    <xf numFmtId="38" fontId="1" fillId="0" borderId="5" xfId="1" applyFont="1" applyFill="1" applyBorder="1" applyAlignment="1">
      <alignment horizontal="center" vertical="center"/>
    </xf>
    <xf numFmtId="38" fontId="1" fillId="0" borderId="8" xfId="1" applyFont="1" applyFill="1" applyBorder="1" applyAlignment="1">
      <alignment vertical="center" shrinkToFit="1"/>
    </xf>
    <xf numFmtId="38" fontId="1" fillId="0" borderId="6" xfId="1" applyFont="1" applyFill="1" applyBorder="1" applyAlignment="1">
      <alignment horizontal="center" vertical="center" shrinkToFit="1"/>
    </xf>
    <xf numFmtId="38" fontId="1" fillId="0" borderId="5" xfId="1" applyFont="1" applyFill="1" applyBorder="1" applyAlignment="1">
      <alignment horizontal="center" vertical="center" shrinkToFit="1"/>
    </xf>
    <xf numFmtId="38" fontId="1" fillId="0" borderId="58" xfId="1" applyFont="1" applyFill="1" applyBorder="1" applyAlignment="1">
      <alignment vertical="center"/>
    </xf>
    <xf numFmtId="38" fontId="1" fillId="0" borderId="50" xfId="1" applyFont="1" applyFill="1" applyBorder="1" applyAlignment="1">
      <alignment horizontal="center" vertical="center"/>
    </xf>
    <xf numFmtId="38" fontId="0" fillId="0" borderId="0" xfId="1" applyFont="1" applyFill="1" applyAlignment="1">
      <alignment vertical="center"/>
    </xf>
    <xf numFmtId="38" fontId="1" fillId="0" borderId="51" xfId="1" applyFont="1" applyFill="1" applyBorder="1" applyAlignment="1">
      <alignment horizontal="center" vertical="center" wrapText="1"/>
    </xf>
    <xf numFmtId="38" fontId="1" fillId="0" borderId="44" xfId="1" applyFont="1" applyFill="1" applyBorder="1" applyAlignment="1">
      <alignment horizontal="center" vertical="center" wrapText="1"/>
    </xf>
    <xf numFmtId="38" fontId="1" fillId="0" borderId="40" xfId="1" applyFont="1" applyFill="1" applyBorder="1" applyAlignment="1">
      <alignment vertical="center" wrapText="1"/>
    </xf>
    <xf numFmtId="38" fontId="1" fillId="0" borderId="39" xfId="1" applyFont="1" applyFill="1" applyBorder="1" applyAlignment="1">
      <alignment vertical="center"/>
    </xf>
    <xf numFmtId="38" fontId="1" fillId="0" borderId="43" xfId="1" applyFont="1" applyFill="1" applyBorder="1" applyAlignment="1">
      <alignment vertical="center"/>
    </xf>
    <xf numFmtId="38" fontId="1" fillId="0" borderId="36" xfId="1" applyFont="1" applyFill="1" applyBorder="1" applyAlignment="1">
      <alignment vertical="center" wrapText="1"/>
    </xf>
    <xf numFmtId="38" fontId="1" fillId="0" borderId="15" xfId="1" applyFont="1" applyFill="1" applyBorder="1" applyAlignment="1">
      <alignment vertical="center"/>
    </xf>
    <xf numFmtId="38" fontId="1" fillId="0" borderId="13" xfId="1" applyFont="1" applyFill="1" applyBorder="1" applyAlignment="1">
      <alignment vertical="center"/>
    </xf>
    <xf numFmtId="38" fontId="1" fillId="0" borderId="67" xfId="1" applyFont="1" applyFill="1" applyBorder="1" applyAlignment="1">
      <alignment vertical="center"/>
    </xf>
    <xf numFmtId="38" fontId="1" fillId="0" borderId="12" xfId="1" applyFont="1" applyFill="1" applyBorder="1" applyAlignment="1">
      <alignment vertical="center"/>
    </xf>
    <xf numFmtId="38" fontId="1" fillId="0" borderId="0" xfId="1" applyFont="1" applyFill="1" applyBorder="1" applyAlignment="1">
      <alignment horizontal="right" vertical="center"/>
    </xf>
    <xf numFmtId="38" fontId="1" fillId="0" borderId="0" xfId="1" applyFont="1" applyFill="1" applyAlignment="1">
      <alignment horizontal="left" vertical="center"/>
    </xf>
    <xf numFmtId="38" fontId="0" fillId="0" borderId="0" xfId="1" applyFont="1" applyFill="1" applyAlignment="1">
      <alignment horizontal="right" vertical="center"/>
    </xf>
    <xf numFmtId="38" fontId="1" fillId="0" borderId="73" xfId="1" applyFont="1" applyFill="1" applyBorder="1" applyAlignment="1">
      <alignment horizontal="right" vertical="center"/>
    </xf>
    <xf numFmtId="38" fontId="1" fillId="0" borderId="72" xfId="1" applyFont="1" applyFill="1" applyBorder="1" applyAlignment="1">
      <alignment horizontal="right" vertical="center"/>
    </xf>
    <xf numFmtId="38" fontId="1" fillId="0" borderId="70" xfId="1" applyFont="1" applyFill="1" applyBorder="1" applyAlignment="1">
      <alignment horizontal="right" vertical="center"/>
    </xf>
    <xf numFmtId="38" fontId="1" fillId="0" borderId="71" xfId="1" applyFont="1" applyFill="1" applyBorder="1" applyAlignment="1">
      <alignment horizontal="right" vertical="center"/>
    </xf>
    <xf numFmtId="38" fontId="1" fillId="0" borderId="6" xfId="1" applyFont="1" applyFill="1" applyBorder="1" applyAlignment="1">
      <alignment vertical="center"/>
    </xf>
    <xf numFmtId="38" fontId="1" fillId="0" borderId="64" xfId="1" applyFont="1" applyFill="1" applyBorder="1" applyAlignment="1">
      <alignment horizontal="right" vertical="center"/>
    </xf>
    <xf numFmtId="38" fontId="1" fillId="0" borderId="63" xfId="1" applyFont="1" applyFill="1" applyBorder="1" applyAlignment="1">
      <alignment horizontal="right" vertical="center"/>
    </xf>
    <xf numFmtId="38" fontId="1" fillId="0" borderId="61" xfId="1" applyFont="1" applyFill="1" applyBorder="1" applyAlignment="1">
      <alignment horizontal="right" vertical="center"/>
    </xf>
    <xf numFmtId="38" fontId="1" fillId="0" borderId="62" xfId="1" applyFont="1" applyFill="1" applyBorder="1" applyAlignment="1">
      <alignment horizontal="right" vertical="center"/>
    </xf>
    <xf numFmtId="38" fontId="0" fillId="0" borderId="0" xfId="1" applyFont="1" applyFill="1" applyAlignment="1">
      <alignment horizontal="left" vertical="center"/>
    </xf>
    <xf numFmtId="38" fontId="26" fillId="6" borderId="25" xfId="1" applyFont="1" applyFill="1" applyBorder="1" applyAlignment="1">
      <alignment horizontal="right" vertical="center"/>
    </xf>
    <xf numFmtId="38" fontId="26" fillId="5" borderId="30" xfId="1" applyFont="1" applyFill="1" applyBorder="1" applyAlignment="1">
      <alignment horizontal="right" vertical="center"/>
    </xf>
    <xf numFmtId="38" fontId="26" fillId="5" borderId="29" xfId="1" applyFont="1" applyFill="1" applyBorder="1" applyAlignment="1">
      <alignment horizontal="right" vertical="center"/>
    </xf>
    <xf numFmtId="38" fontId="26" fillId="0" borderId="25" xfId="1" applyFont="1" applyFill="1" applyBorder="1" applyAlignment="1">
      <alignment horizontal="right" vertical="center"/>
    </xf>
    <xf numFmtId="38" fontId="27" fillId="0" borderId="0" xfId="6" applyFont="1" applyAlignment="1">
      <alignment horizontal="center"/>
    </xf>
    <xf numFmtId="38" fontId="28" fillId="0" borderId="0" xfId="6" applyFont="1" applyAlignment="1"/>
    <xf numFmtId="38" fontId="28" fillId="0" borderId="0" xfId="6" applyFont="1" applyFill="1" applyAlignment="1"/>
    <xf numFmtId="38" fontId="27" fillId="0" borderId="0" xfId="6" applyFont="1" applyAlignment="1"/>
    <xf numFmtId="38" fontId="27" fillId="0" borderId="0" xfId="6" applyFont="1" applyFill="1" applyAlignment="1"/>
    <xf numFmtId="38" fontId="28" fillId="0" borderId="0" xfId="6" applyFont="1" applyFill="1" applyAlignment="1">
      <alignment horizontal="center"/>
    </xf>
    <xf numFmtId="38" fontId="0" fillId="11" borderId="0" xfId="6" applyFont="1" applyFill="1" applyAlignment="1"/>
    <xf numFmtId="38" fontId="0" fillId="9" borderId="0" xfId="6" applyFont="1" applyFill="1" applyAlignment="1"/>
    <xf numFmtId="38" fontId="17" fillId="12" borderId="70" xfId="9" applyNumberFormat="1" applyFont="1" applyFill="1" applyBorder="1" applyAlignment="1">
      <alignment vertical="center"/>
    </xf>
    <xf numFmtId="38" fontId="17" fillId="12" borderId="87" xfId="9" applyNumberFormat="1" applyFont="1" applyFill="1" applyBorder="1" applyAlignment="1">
      <alignment vertical="center"/>
    </xf>
    <xf numFmtId="38" fontId="17" fillId="12" borderId="86" xfId="9" applyNumberFormat="1" applyFont="1" applyFill="1" applyBorder="1" applyAlignment="1">
      <alignment vertical="center"/>
    </xf>
    <xf numFmtId="38" fontId="17" fillId="12" borderId="25" xfId="9" applyNumberFormat="1" applyFont="1" applyFill="1" applyBorder="1" applyAlignment="1">
      <alignment vertical="center"/>
    </xf>
    <xf numFmtId="38" fontId="17" fillId="12" borderId="24" xfId="9" applyNumberFormat="1" applyFont="1" applyFill="1" applyBorder="1" applyAlignment="1">
      <alignment vertical="center"/>
    </xf>
    <xf numFmtId="38" fontId="17" fillId="12" borderId="26" xfId="9" applyNumberFormat="1" applyFont="1" applyFill="1" applyBorder="1" applyAlignment="1">
      <alignment vertical="center"/>
    </xf>
    <xf numFmtId="38" fontId="0" fillId="0" borderId="0" xfId="6" applyFont="1" applyAlignment="1">
      <alignment wrapText="1"/>
    </xf>
    <xf numFmtId="38" fontId="28" fillId="0" borderId="0" xfId="6" applyFont="1" applyFill="1" applyAlignment="1">
      <alignment wrapText="1"/>
    </xf>
    <xf numFmtId="38" fontId="1" fillId="13" borderId="26" xfId="1" applyFont="1" applyFill="1" applyBorder="1" applyAlignment="1">
      <alignment horizontal="right" vertical="center"/>
    </xf>
    <xf numFmtId="0" fontId="13" fillId="0" borderId="0" xfId="11" applyFill="1" applyAlignment="1">
      <alignment horizontal="left" vertical="center"/>
    </xf>
    <xf numFmtId="0" fontId="13" fillId="0" borderId="0" xfId="11" applyAlignment="1">
      <alignment horizontal="left"/>
    </xf>
    <xf numFmtId="178" fontId="0" fillId="0" borderId="0" xfId="1" applyNumberFormat="1" applyFont="1" applyAlignment="1"/>
    <xf numFmtId="0" fontId="13" fillId="0" borderId="0" xfId="11" applyFill="1" applyAlignment="1">
      <alignment horizontal="left"/>
    </xf>
    <xf numFmtId="179" fontId="1" fillId="0" borderId="0" xfId="1" applyNumberFormat="1" applyFont="1" applyAlignment="1">
      <alignment vertical="center"/>
    </xf>
    <xf numFmtId="180" fontId="1" fillId="0" borderId="0" xfId="13" applyNumberFormat="1" applyFont="1" applyAlignment="1">
      <alignment vertical="center"/>
    </xf>
    <xf numFmtId="38" fontId="0" fillId="0" borderId="0" xfId="6" applyFont="1" applyAlignment="1">
      <alignment horizontal="right" wrapText="1"/>
    </xf>
    <xf numFmtId="0" fontId="13" fillId="9" borderId="0" xfId="11" applyFill="1" applyAlignment="1"/>
    <xf numFmtId="38" fontId="27" fillId="14" borderId="0" xfId="6" applyFont="1" applyFill="1" applyAlignment="1"/>
    <xf numFmtId="38" fontId="28" fillId="14" borderId="0" xfId="6" applyFont="1" applyFill="1" applyAlignment="1"/>
    <xf numFmtId="0" fontId="16" fillId="0" borderId="0" xfId="11" applyFont="1" applyAlignment="1">
      <alignment horizontal="center"/>
    </xf>
    <xf numFmtId="38" fontId="1" fillId="0" borderId="51" xfId="1" applyFont="1" applyBorder="1" applyAlignment="1">
      <alignment horizontal="center" vertical="center"/>
    </xf>
    <xf numFmtId="38" fontId="1" fillId="0" borderId="44" xfId="1" applyFont="1" applyBorder="1" applyAlignment="1">
      <alignment horizontal="center" vertical="center"/>
    </xf>
    <xf numFmtId="38" fontId="1" fillId="0" borderId="1" xfId="1" applyFont="1" applyBorder="1" applyAlignment="1">
      <alignment horizontal="center" vertical="center"/>
    </xf>
    <xf numFmtId="38" fontId="1" fillId="0" borderId="51" xfId="1" applyFont="1" applyFill="1" applyBorder="1" applyAlignment="1">
      <alignment horizontal="center" vertical="center"/>
    </xf>
    <xf numFmtId="38" fontId="1" fillId="0" borderId="44" xfId="1" applyFont="1" applyFill="1" applyBorder="1" applyAlignment="1">
      <alignment horizontal="center" vertical="center"/>
    </xf>
    <xf numFmtId="38" fontId="1" fillId="0" borderId="1" xfId="1" applyFont="1" applyFill="1" applyBorder="1" applyAlignment="1">
      <alignment horizontal="center" vertical="center"/>
    </xf>
    <xf numFmtId="38" fontId="1" fillId="0" borderId="48" xfId="1" applyFont="1" applyBorder="1" applyAlignment="1">
      <alignment horizontal="center" vertical="center"/>
    </xf>
    <xf numFmtId="38" fontId="1" fillId="0" borderId="59" xfId="1" applyFont="1" applyBorder="1" applyAlignment="1">
      <alignment horizontal="center" vertical="center"/>
    </xf>
    <xf numFmtId="38" fontId="1" fillId="0" borderId="58" xfId="1" applyFont="1" applyBorder="1" applyAlignment="1">
      <alignment horizontal="center" vertical="center"/>
    </xf>
    <xf numFmtId="38" fontId="1" fillId="0" borderId="55" xfId="1" applyFont="1" applyBorder="1" applyAlignment="1">
      <alignment horizontal="center" vertical="center"/>
    </xf>
    <xf numFmtId="38" fontId="1" fillId="0" borderId="0" xfId="1" applyFont="1" applyBorder="1" applyAlignment="1">
      <alignment horizontal="center" vertical="center"/>
    </xf>
    <xf numFmtId="38" fontId="1" fillId="0" borderId="5" xfId="1" applyFont="1" applyBorder="1" applyAlignment="1">
      <alignment horizontal="center" vertical="center"/>
    </xf>
    <xf numFmtId="38" fontId="1" fillId="0" borderId="7" xfId="1" applyFont="1" applyBorder="1" applyAlignment="1">
      <alignment horizontal="center" vertical="center"/>
    </xf>
    <xf numFmtId="38" fontId="1" fillId="0" borderId="9" xfId="1" applyFont="1" applyBorder="1" applyAlignment="1">
      <alignment horizontal="center" vertical="center"/>
    </xf>
    <xf numFmtId="38" fontId="1" fillId="0" borderId="8" xfId="1" applyFont="1" applyBorder="1" applyAlignment="1">
      <alignment horizontal="center" vertical="center"/>
    </xf>
    <xf numFmtId="38" fontId="1" fillId="0" borderId="57" xfId="1" applyFont="1" applyBorder="1" applyAlignment="1">
      <alignment horizontal="center" vertical="center"/>
    </xf>
    <xf numFmtId="38" fontId="1" fillId="0" borderId="56" xfId="1" applyFont="1" applyBorder="1" applyAlignment="1">
      <alignment horizontal="center" vertical="center" wrapText="1"/>
    </xf>
    <xf numFmtId="38" fontId="1" fillId="0" borderId="48" xfId="1" applyFont="1" applyBorder="1" applyAlignment="1">
      <alignment horizontal="center" vertical="center" wrapText="1"/>
    </xf>
    <xf numFmtId="38" fontId="1" fillId="0" borderId="56" xfId="1" applyFont="1" applyFill="1" applyBorder="1" applyAlignment="1">
      <alignment horizontal="center" vertical="center"/>
    </xf>
    <xf numFmtId="38" fontId="6" fillId="0" borderId="51" xfId="1" applyFont="1" applyFill="1" applyBorder="1" applyAlignment="1">
      <alignment horizontal="left" vertical="center" wrapText="1"/>
    </xf>
    <xf numFmtId="38" fontId="6" fillId="0" borderId="44" xfId="1" applyFont="1" applyFill="1" applyBorder="1" applyAlignment="1">
      <alignment horizontal="left" vertical="center" wrapText="1"/>
    </xf>
    <xf numFmtId="38" fontId="6" fillId="0" borderId="1" xfId="1" applyFont="1" applyFill="1" applyBorder="1" applyAlignment="1">
      <alignment horizontal="left" vertical="center" wrapText="1"/>
    </xf>
    <xf numFmtId="38" fontId="1" fillId="0" borderId="56" xfId="1" applyFont="1" applyBorder="1" applyAlignment="1">
      <alignment horizontal="center" vertical="center"/>
    </xf>
    <xf numFmtId="38" fontId="1" fillId="0" borderId="51" xfId="1" applyFont="1" applyBorder="1" applyAlignment="1">
      <alignment horizontal="center" vertical="center" wrapText="1"/>
    </xf>
    <xf numFmtId="38" fontId="1" fillId="0" borderId="44" xfId="1" applyFont="1" applyBorder="1" applyAlignment="1">
      <alignment horizontal="center" vertical="center" wrapText="1"/>
    </xf>
    <xf numFmtId="38" fontId="6" fillId="0" borderId="36" xfId="1" applyFont="1" applyBorder="1" applyAlignment="1">
      <alignment horizontal="center" vertical="center" wrapText="1"/>
    </xf>
    <xf numFmtId="38" fontId="6" fillId="0" borderId="23" xfId="1" applyFont="1" applyBorder="1" applyAlignment="1">
      <alignment horizontal="center" vertical="center" wrapText="1"/>
    </xf>
    <xf numFmtId="38" fontId="6" fillId="0" borderId="49" xfId="1" applyFont="1" applyBorder="1" applyAlignment="1">
      <alignment horizontal="center" vertical="center" wrapText="1"/>
    </xf>
    <xf numFmtId="38" fontId="1" fillId="0" borderId="36" xfId="1" applyFont="1" applyBorder="1" applyAlignment="1">
      <alignment horizontal="center" vertical="center" wrapText="1"/>
    </xf>
    <xf numFmtId="38" fontId="1" fillId="0" borderId="23" xfId="1" applyFont="1" applyBorder="1" applyAlignment="1">
      <alignment horizontal="center" vertical="center" wrapText="1"/>
    </xf>
    <xf numFmtId="38" fontId="1" fillId="0" borderId="49" xfId="1" applyFont="1" applyBorder="1" applyAlignment="1">
      <alignment horizontal="center" vertical="center" wrapText="1"/>
    </xf>
    <xf numFmtId="38" fontId="0" fillId="0" borderId="0" xfId="6" applyFont="1" applyAlignment="1">
      <alignment horizontal="center"/>
    </xf>
    <xf numFmtId="38" fontId="27" fillId="0" borderId="0" xfId="6" applyFont="1" applyFill="1" applyAlignment="1">
      <alignment horizontal="center"/>
    </xf>
    <xf numFmtId="38" fontId="0" fillId="0" borderId="0" xfId="6" applyFont="1" applyAlignment="1">
      <alignment horizontal="center" wrapText="1"/>
    </xf>
    <xf numFmtId="38" fontId="17" fillId="0" borderId="6" xfId="9" applyNumberFormat="1" applyFont="1" applyFill="1" applyBorder="1" applyAlignment="1">
      <alignment vertical="center" wrapText="1"/>
    </xf>
    <xf numFmtId="38" fontId="19" fillId="0" borderId="6" xfId="9" applyNumberFormat="1" applyFont="1" applyFill="1" applyBorder="1" applyAlignment="1">
      <alignment vertical="center" wrapText="1"/>
    </xf>
    <xf numFmtId="38" fontId="17" fillId="0" borderId="6" xfId="9" applyNumberFormat="1" applyFont="1" applyFill="1" applyBorder="1" applyAlignment="1">
      <alignment horizontal="center" vertical="center"/>
    </xf>
    <xf numFmtId="0" fontId="22" fillId="0" borderId="29" xfId="9" applyFont="1" applyFill="1" applyBorder="1" applyAlignment="1">
      <alignment horizontal="distributed" vertical="center"/>
    </xf>
    <xf numFmtId="0" fontId="22" fillId="0" borderId="27" xfId="9" applyFont="1" applyFill="1" applyBorder="1" applyAlignment="1">
      <alignment horizontal="distributed" vertical="center"/>
    </xf>
    <xf numFmtId="0" fontId="22" fillId="0" borderId="125" xfId="9" applyFont="1" applyFill="1" applyBorder="1" applyAlignment="1">
      <alignment horizontal="distributed" vertical="center"/>
    </xf>
    <xf numFmtId="0" fontId="22" fillId="0" borderId="58" xfId="9" applyFont="1" applyFill="1" applyBorder="1" applyAlignment="1">
      <alignment horizontal="distributed" vertical="center"/>
    </xf>
    <xf numFmtId="0" fontId="22" fillId="0" borderId="56" xfId="9" applyFont="1" applyFill="1" applyBorder="1" applyAlignment="1">
      <alignment horizontal="distributed" vertical="center"/>
    </xf>
    <xf numFmtId="0" fontId="22" fillId="0" borderId="104" xfId="9" applyFont="1" applyFill="1" applyBorder="1" applyAlignment="1">
      <alignment horizontal="distributed" vertical="center"/>
    </xf>
    <xf numFmtId="0" fontId="22" fillId="0" borderId="35" xfId="9" applyFont="1" applyFill="1" applyBorder="1" applyAlignment="1">
      <alignment horizontal="distributed" vertical="center"/>
    </xf>
    <xf numFmtId="0" fontId="22" fillId="0" borderId="77" xfId="9" applyFont="1" applyFill="1" applyBorder="1" applyAlignment="1">
      <alignment horizontal="distributed" vertical="center"/>
    </xf>
    <xf numFmtId="0" fontId="22" fillId="0" borderId="72" xfId="9" applyFont="1" applyFill="1" applyBorder="1" applyAlignment="1">
      <alignment horizontal="distributed" vertical="center"/>
    </xf>
    <xf numFmtId="0" fontId="22" fillId="0" borderId="115" xfId="9" applyFont="1" applyFill="1" applyBorder="1" applyAlignment="1">
      <alignment horizontal="distributed" vertical="center"/>
    </xf>
    <xf numFmtId="0" fontId="22" fillId="0" borderId="109" xfId="9" applyFont="1" applyFill="1" applyBorder="1" applyAlignment="1">
      <alignment horizontal="distributed" vertical="center"/>
    </xf>
    <xf numFmtId="0" fontId="22" fillId="0" borderId="69" xfId="9" applyFont="1" applyFill="1" applyBorder="1" applyAlignment="1">
      <alignment horizontal="distributed" vertical="center"/>
    </xf>
    <xf numFmtId="0" fontId="22" fillId="0" borderId="45" xfId="9" applyFont="1" applyFill="1" applyBorder="1" applyAlignment="1">
      <alignment horizontal="distributed" vertical="center"/>
    </xf>
    <xf numFmtId="0" fontId="22" fillId="0" borderId="32" xfId="9" applyFont="1" applyFill="1" applyBorder="1" applyAlignment="1">
      <alignment horizontal="distributed" vertical="center"/>
    </xf>
    <xf numFmtId="0" fontId="12" fillId="0" borderId="45" xfId="9" applyFont="1" applyFill="1" applyBorder="1"/>
    <xf numFmtId="0" fontId="12" fillId="0" borderId="32" xfId="9" applyFont="1" applyFill="1" applyBorder="1"/>
    <xf numFmtId="0" fontId="22" fillId="0" borderId="29" xfId="9" applyFont="1" applyFill="1" applyBorder="1" applyAlignment="1">
      <alignment horizontal="distributed" vertical="center" wrapText="1"/>
    </xf>
    <xf numFmtId="0" fontId="22" fillId="0" borderId="117" xfId="9" applyFont="1" applyFill="1" applyBorder="1" applyAlignment="1">
      <alignment horizontal="distributed" vertical="center"/>
    </xf>
    <xf numFmtId="0" fontId="22" fillId="0" borderId="105" xfId="9" applyFont="1" applyFill="1" applyBorder="1" applyAlignment="1">
      <alignment horizontal="distributed" vertical="center"/>
    </xf>
    <xf numFmtId="0" fontId="22" fillId="0" borderId="116" xfId="9" applyFont="1" applyFill="1" applyBorder="1" applyAlignment="1">
      <alignment horizontal="distributed" vertical="center"/>
    </xf>
    <xf numFmtId="0" fontId="22" fillId="0" borderId="92" xfId="9" applyFont="1" applyFill="1" applyBorder="1" applyAlignment="1">
      <alignment horizontal="distributed" vertical="center"/>
    </xf>
    <xf numFmtId="38" fontId="1" fillId="0" borderId="9" xfId="1" applyFont="1" applyFill="1" applyBorder="1" applyAlignment="1">
      <alignment horizontal="center" vertical="center"/>
    </xf>
    <xf numFmtId="38" fontId="1" fillId="0" borderId="8" xfId="1" applyFont="1" applyFill="1" applyBorder="1" applyAlignment="1">
      <alignment horizontal="center" vertical="center"/>
    </xf>
    <xf numFmtId="38" fontId="1" fillId="0" borderId="57" xfId="1" applyFont="1" applyFill="1" applyBorder="1" applyAlignment="1">
      <alignment horizontal="center" vertical="center"/>
    </xf>
    <xf numFmtId="38" fontId="1" fillId="0" borderId="36" xfId="1" applyFont="1" applyFill="1" applyBorder="1" applyAlignment="1">
      <alignment horizontal="center" vertical="center" wrapText="1"/>
    </xf>
    <xf numFmtId="38" fontId="1" fillId="0" borderId="23" xfId="1" applyFont="1" applyFill="1" applyBorder="1" applyAlignment="1">
      <alignment horizontal="center" vertical="center" wrapText="1"/>
    </xf>
    <xf numFmtId="38" fontId="1" fillId="0" borderId="49" xfId="1" applyFont="1" applyFill="1" applyBorder="1" applyAlignment="1">
      <alignment horizontal="center" vertical="center" wrapText="1"/>
    </xf>
    <xf numFmtId="38" fontId="1" fillId="0" borderId="48" xfId="1" applyFont="1" applyFill="1" applyBorder="1" applyAlignment="1">
      <alignment horizontal="center" vertical="center"/>
    </xf>
    <xf numFmtId="38" fontId="1" fillId="0" borderId="56" xfId="1" applyFont="1" applyFill="1" applyBorder="1" applyAlignment="1">
      <alignment horizontal="center" vertical="center" wrapText="1"/>
    </xf>
    <xf numFmtId="38" fontId="1" fillId="0" borderId="48" xfId="1" applyFont="1" applyFill="1" applyBorder="1" applyAlignment="1">
      <alignment horizontal="center" vertical="center" wrapText="1"/>
    </xf>
    <xf numFmtId="38" fontId="1" fillId="0" borderId="51" xfId="1" applyFont="1" applyFill="1" applyBorder="1" applyAlignment="1">
      <alignment horizontal="center" vertical="center" wrapText="1"/>
    </xf>
    <xf numFmtId="38" fontId="1" fillId="0" borderId="44" xfId="1" applyFont="1" applyFill="1" applyBorder="1" applyAlignment="1">
      <alignment horizontal="center" vertical="center" wrapText="1"/>
    </xf>
    <xf numFmtId="38" fontId="6" fillId="0" borderId="36" xfId="1" applyFont="1" applyFill="1" applyBorder="1" applyAlignment="1">
      <alignment horizontal="center" vertical="center" wrapText="1"/>
    </xf>
    <xf numFmtId="38" fontId="6" fillId="0" borderId="23" xfId="1" applyFont="1" applyFill="1" applyBorder="1" applyAlignment="1">
      <alignment horizontal="center" vertical="center" wrapText="1"/>
    </xf>
    <xf numFmtId="38" fontId="6" fillId="0" borderId="49" xfId="1" applyFont="1" applyFill="1" applyBorder="1" applyAlignment="1">
      <alignment horizontal="center" vertical="center" wrapText="1"/>
    </xf>
    <xf numFmtId="38" fontId="1" fillId="0" borderId="0" xfId="1" applyFont="1" applyFill="1" applyBorder="1" applyAlignment="1">
      <alignment horizontal="center" vertical="center"/>
    </xf>
    <xf numFmtId="38" fontId="1" fillId="0" borderId="59" xfId="1" applyFont="1" applyFill="1" applyBorder="1" applyAlignment="1">
      <alignment horizontal="center" vertical="center"/>
    </xf>
    <xf numFmtId="38" fontId="1" fillId="0" borderId="58" xfId="1" applyFont="1" applyFill="1" applyBorder="1" applyAlignment="1">
      <alignment horizontal="center" vertical="center"/>
    </xf>
    <xf numFmtId="38" fontId="1" fillId="0" borderId="55" xfId="1" applyFont="1" applyFill="1" applyBorder="1" applyAlignment="1">
      <alignment horizontal="center" vertical="center"/>
    </xf>
    <xf numFmtId="38" fontId="1" fillId="0" borderId="5" xfId="1" applyFont="1" applyFill="1" applyBorder="1" applyAlignment="1">
      <alignment horizontal="center" vertical="center"/>
    </xf>
    <xf numFmtId="38" fontId="1" fillId="0" borderId="7" xfId="1" applyFont="1" applyFill="1" applyBorder="1" applyAlignment="1">
      <alignment horizontal="center" vertical="center"/>
    </xf>
  </cellXfs>
  <cellStyles count="14">
    <cellStyle name="パーセント" xfId="13" builtinId="5"/>
    <cellStyle name="パーセント 2" xfId="2"/>
    <cellStyle name="桁区切り" xfId="1" builtinId="6"/>
    <cellStyle name="桁区切り 2" xfId="3"/>
    <cellStyle name="桁区切り 2 2" xfId="4"/>
    <cellStyle name="桁区切り 3" xfId="5"/>
    <cellStyle name="桁区切り 4" xfId="6"/>
    <cellStyle name="標準" xfId="0" builtinId="0"/>
    <cellStyle name="標準 2" xfId="7"/>
    <cellStyle name="標準 2 2" xfId="8"/>
    <cellStyle name="標準 3" xfId="9"/>
    <cellStyle name="標準 4" xfId="10"/>
    <cellStyle name="標準 5" xfId="11"/>
    <cellStyle name="標準 6" xfId="12"/>
  </cellStyles>
  <dxfs count="67">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fgColor rgb="FFFFFF00"/>
          <bgColor rgb="FF00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FFF99"/>
      <color rgb="FFFFFFCC"/>
      <color rgb="FFCC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43</xdr:col>
      <xdr:colOff>224117</xdr:colOff>
      <xdr:row>0</xdr:row>
      <xdr:rowOff>100853</xdr:rowOff>
    </xdr:from>
    <xdr:to>
      <xdr:col>51</xdr:col>
      <xdr:colOff>112058</xdr:colOff>
      <xdr:row>5</xdr:row>
      <xdr:rowOff>0</xdr:rowOff>
    </xdr:to>
    <xdr:sp macro="" textlink="">
      <xdr:nvSpPr>
        <xdr:cNvPr id="2" name="テキスト ボックス 1"/>
        <xdr:cNvSpPr txBox="1"/>
      </xdr:nvSpPr>
      <xdr:spPr>
        <a:xfrm>
          <a:off x="41988441" y="100853"/>
          <a:ext cx="5883088" cy="739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維持管理費の増加分　</a:t>
          </a:r>
          <a:r>
            <a:rPr kumimoji="1" lang="en-US" altLang="ja-JP" sz="1100"/>
            <a:t>4,390</a:t>
          </a:r>
          <a:r>
            <a:rPr kumimoji="1" lang="ja-JP" altLang="en-US" sz="1100"/>
            <a:t>（当初予算比）</a:t>
          </a:r>
          <a:endParaRPr kumimoji="1" lang="en-US" altLang="ja-JP" sz="1100"/>
        </a:p>
        <a:p>
          <a:r>
            <a:rPr kumimoji="1" lang="en-US" altLang="ja-JP" sz="1100"/>
            <a:t>12</a:t>
          </a:r>
          <a:r>
            <a:rPr kumimoji="1" lang="ja-JP" altLang="en-US" sz="1100"/>
            <a:t>月補正分　</a:t>
          </a:r>
          <a:r>
            <a:rPr kumimoji="1" lang="en-US" altLang="ja-JP" sz="1100"/>
            <a:t>-4,934</a:t>
          </a:r>
        </a:p>
        <a:p>
          <a:r>
            <a:rPr kumimoji="1" lang="ja-JP" altLang="en-US" sz="1100"/>
            <a:t>２月補正分　</a:t>
          </a:r>
          <a:r>
            <a:rPr kumimoji="1" lang="en-US" altLang="ja-JP" sz="1100"/>
            <a:t>-52,311  total -52,855</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46</xdr:col>
      <xdr:colOff>392206</xdr:colOff>
      <xdr:row>8</xdr:row>
      <xdr:rowOff>1</xdr:rowOff>
    </xdr:from>
    <xdr:to>
      <xdr:col>55</xdr:col>
      <xdr:colOff>22412</xdr:colOff>
      <xdr:row>16</xdr:row>
      <xdr:rowOff>22413</xdr:rowOff>
    </xdr:to>
    <xdr:sp macro="" textlink="">
      <xdr:nvSpPr>
        <xdr:cNvPr id="2" name="テキスト ボックス 1"/>
        <xdr:cNvSpPr txBox="1"/>
      </xdr:nvSpPr>
      <xdr:spPr>
        <a:xfrm>
          <a:off x="8090647" y="1344707"/>
          <a:ext cx="5782236" cy="1367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i="0" u="none" strike="noStrike">
              <a:solidFill>
                <a:schemeClr val="dk1"/>
              </a:solidFill>
              <a:effectLst/>
              <a:latin typeface="+mn-lt"/>
              <a:ea typeface="+mn-ea"/>
              <a:cs typeface="+mn-cs"/>
            </a:rPr>
            <a:t>921393</a:t>
          </a:r>
          <a:r>
            <a:rPr lang="ja-JP" altLang="en-US" sz="1100" b="0" i="0" u="none" strike="noStrike">
              <a:solidFill>
                <a:schemeClr val="dk1"/>
              </a:solidFill>
              <a:effectLst/>
              <a:latin typeface="+mn-lt"/>
              <a:ea typeface="+mn-ea"/>
              <a:cs typeface="+mn-cs"/>
            </a:rPr>
            <a:t>生活扶助世帯水洗化工事費補助　　　　　</a:t>
          </a:r>
          <a:r>
            <a:rPr lang="en-US" altLang="ja-JP" sz="1100" b="0" i="0" u="none" strike="noStrike">
              <a:solidFill>
                <a:schemeClr val="dk1"/>
              </a:solidFill>
              <a:effectLst/>
              <a:latin typeface="+mn-lt"/>
              <a:ea typeface="+mn-ea"/>
              <a:cs typeface="+mn-cs"/>
            </a:rPr>
            <a:t>921394</a:t>
          </a:r>
          <a:r>
            <a:rPr lang="ja-JP" altLang="en-US" sz="1100" b="0" i="0" u="none" strike="noStrike">
              <a:solidFill>
                <a:schemeClr val="dk1"/>
              </a:solidFill>
              <a:effectLst/>
              <a:latin typeface="+mn-lt"/>
              <a:ea typeface="+mn-ea"/>
              <a:cs typeface="+mn-cs"/>
            </a:rPr>
            <a:t>私道内排水設備布設工事費補助</a:t>
          </a:r>
          <a:endParaRPr lang="en-US" altLang="ja-JP" sz="1100" b="0" i="0" u="none" strike="noStrike">
            <a:solidFill>
              <a:schemeClr val="dk1"/>
            </a:solidFill>
            <a:effectLst/>
            <a:latin typeface="+mn-lt"/>
            <a:ea typeface="+mn-ea"/>
            <a:cs typeface="+mn-cs"/>
          </a:endParaRPr>
        </a:p>
        <a:p>
          <a:r>
            <a:rPr lang="en-US" altLang="ja-JP" sz="1100" b="0" i="0" u="none" strike="noStrike">
              <a:solidFill>
                <a:schemeClr val="dk1"/>
              </a:solidFill>
              <a:effectLst/>
              <a:latin typeface="+mn-lt"/>
              <a:ea typeface="+mn-ea"/>
              <a:cs typeface="+mn-cs"/>
            </a:rPr>
            <a:t>921514</a:t>
          </a:r>
          <a:r>
            <a:rPr lang="ja-JP" altLang="en-US" sz="1100" b="0" i="0" u="none" strike="noStrike">
              <a:solidFill>
                <a:schemeClr val="dk1"/>
              </a:solidFill>
              <a:effectLst/>
              <a:latin typeface="+mn-lt"/>
              <a:ea typeface="+mn-ea"/>
              <a:cs typeface="+mn-cs"/>
            </a:rPr>
            <a:t>水洗便所改造資金貸付等事務（特環）　　</a:t>
          </a:r>
          <a:r>
            <a:rPr lang="en-US" altLang="ja-JP" sz="1100" b="0" i="0" u="none" strike="noStrike">
              <a:solidFill>
                <a:schemeClr val="dk1"/>
              </a:solidFill>
              <a:effectLst/>
              <a:latin typeface="+mn-lt"/>
              <a:ea typeface="+mn-ea"/>
              <a:cs typeface="+mn-cs"/>
            </a:rPr>
            <a:t>921613</a:t>
          </a:r>
          <a:r>
            <a:rPr lang="ja-JP" altLang="en-US" sz="1100" b="0" i="0" u="none" strike="noStrike">
              <a:solidFill>
                <a:schemeClr val="dk1"/>
              </a:solidFill>
              <a:effectLst/>
              <a:latin typeface="+mn-lt"/>
              <a:ea typeface="+mn-ea"/>
              <a:cs typeface="+mn-cs"/>
            </a:rPr>
            <a:t>水洗便所改造資金貸付等事務（農集）</a:t>
          </a:r>
          <a:endParaRPr lang="en-US" altLang="ja-JP" sz="1100" b="0" i="0" u="none" strike="noStrike">
            <a:solidFill>
              <a:schemeClr val="dk1"/>
            </a:solidFill>
            <a:effectLst/>
            <a:latin typeface="+mn-lt"/>
            <a:ea typeface="+mn-ea"/>
            <a:cs typeface="+mn-cs"/>
          </a:endParaRPr>
        </a:p>
        <a:p>
          <a:r>
            <a:rPr lang="en-US" altLang="ja-JP" sz="1100" b="0" i="0" u="none" strike="noStrike">
              <a:solidFill>
                <a:schemeClr val="dk1"/>
              </a:solidFill>
              <a:effectLst/>
              <a:latin typeface="+mn-lt"/>
              <a:ea typeface="+mn-ea"/>
              <a:cs typeface="+mn-cs"/>
            </a:rPr>
            <a:t>921805</a:t>
          </a:r>
          <a:r>
            <a:rPr lang="ja-JP" altLang="en-US" sz="1100" b="0" i="0" u="none" strike="noStrike">
              <a:solidFill>
                <a:schemeClr val="dk1"/>
              </a:solidFill>
              <a:effectLst/>
              <a:latin typeface="+mn-lt"/>
              <a:ea typeface="+mn-ea"/>
              <a:cs typeface="+mn-cs"/>
            </a:rPr>
            <a:t>水洗便所改造資金貸付等事務（浄化槽）　</a:t>
          </a:r>
          <a:r>
            <a:rPr lang="en-US" altLang="ja-JP" sz="1100" b="0" i="0" u="none" strike="noStrike">
              <a:solidFill>
                <a:schemeClr val="dk1"/>
              </a:solidFill>
              <a:effectLst/>
              <a:latin typeface="+mn-lt"/>
              <a:ea typeface="+mn-ea"/>
              <a:cs typeface="+mn-cs"/>
            </a:rPr>
            <a:t>921605</a:t>
          </a:r>
          <a:r>
            <a:rPr lang="ja-JP" altLang="en-US" sz="1100" b="0" i="0" u="none" strike="noStrike">
              <a:solidFill>
                <a:schemeClr val="dk1"/>
              </a:solidFill>
              <a:effectLst/>
              <a:latin typeface="+mn-lt"/>
              <a:ea typeface="+mn-ea"/>
              <a:cs typeface="+mn-cs"/>
            </a:rPr>
            <a:t>排水設備改造資金利子補給（農集）</a:t>
          </a:r>
          <a:r>
            <a:rPr lang="ja-JP" altLang="en-US"/>
            <a:t> </a:t>
          </a:r>
          <a:endParaRPr kumimoji="1" lang="en-US" altLang="ja-JP" sz="1100" b="0" i="0" u="none" strike="noStrike">
            <a:solidFill>
              <a:srgbClr val="FF0000"/>
            </a:solidFill>
            <a:latin typeface="ＭＳ Ｐゴシック"/>
            <a:ea typeface="+mn-ea"/>
          </a:endParaRPr>
        </a:p>
        <a:p>
          <a:r>
            <a:rPr kumimoji="1" lang="ja-JP" altLang="en-US" sz="1100" b="0" i="0" u="none" strike="noStrike">
              <a:solidFill>
                <a:srgbClr val="000000"/>
              </a:solidFill>
              <a:latin typeface="ＭＳ Ｐゴシック"/>
              <a:ea typeface="+mn-ea"/>
            </a:rPr>
            <a:t>上記が、ここでの集計対象科目。</a:t>
          </a:r>
          <a:endParaRPr kumimoji="1" lang="en-US" altLang="ja-JP" sz="1100" b="0" i="0" u="none" strike="noStrike">
            <a:solidFill>
              <a:srgbClr val="000000"/>
            </a:solidFill>
            <a:latin typeface="ＭＳ Ｐゴシック"/>
            <a:ea typeface="+mn-ea"/>
          </a:endParaRPr>
        </a:p>
        <a:p>
          <a:r>
            <a:rPr kumimoji="1" lang="ja-JP" altLang="en-US" sz="1100" b="0" i="0" u="none" strike="noStrike">
              <a:solidFill>
                <a:srgbClr val="000000"/>
              </a:solidFill>
              <a:latin typeface="ＭＳ Ｐゴシック"/>
              <a:ea typeface="+mn-ea"/>
            </a:rPr>
            <a:t>以下は、財計繰出基準のメニューに明記されていないため、２８年度から除いているが、次期財計では、明記して算入すべき。</a:t>
          </a:r>
          <a:endParaRPr kumimoji="1" lang="en-US" altLang="ja-JP" sz="1100" b="0" i="0" u="none" strike="noStrike">
            <a:solidFill>
              <a:srgbClr val="000000"/>
            </a:solidFill>
            <a:latin typeface="ＭＳ Ｐゴシック"/>
            <a:ea typeface="+mn-ea"/>
          </a:endParaRPr>
        </a:p>
        <a:p>
          <a:r>
            <a:rPr kumimoji="1" lang="en-US" altLang="ja-JP" sz="1100" b="0" i="0" u="none" strike="noStrike">
              <a:solidFill>
                <a:srgbClr val="FF0000"/>
              </a:solidFill>
              <a:latin typeface="ＭＳ Ｐゴシック"/>
              <a:ea typeface="+mn-ea"/>
            </a:rPr>
            <a:t>921605</a:t>
          </a:r>
          <a:r>
            <a:rPr kumimoji="1" lang="ja-JP" altLang="en-US" sz="1100" b="0" i="0" u="none" strike="noStrike">
              <a:solidFill>
                <a:srgbClr val="FF0000"/>
              </a:solidFill>
              <a:latin typeface="ＭＳ Ｐゴシック"/>
              <a:ea typeface="+mn-ea"/>
            </a:rPr>
            <a:t>排水設備改造資金利子補給（農集） </a:t>
          </a:r>
          <a:endParaRPr kumimoji="1" lang="en-US" altLang="en-US" sz="1100" b="0" i="0" u="none" strike="noStrike">
            <a:solidFill>
              <a:srgbClr val="FF0000"/>
            </a:solidFill>
            <a:latin typeface="ＭＳ Ｐゴシック"/>
            <a:ea typeface="ＭＳ Ｐゴシック"/>
          </a:endParaRPr>
        </a:p>
      </xdr:txBody>
    </xdr:sp>
    <xdr:clientData/>
  </xdr:twoCellAnchor>
  <xdr:twoCellAnchor>
    <xdr:from>
      <xdr:col>15</xdr:col>
      <xdr:colOff>224118</xdr:colOff>
      <xdr:row>16</xdr:row>
      <xdr:rowOff>123264</xdr:rowOff>
    </xdr:from>
    <xdr:to>
      <xdr:col>24</xdr:col>
      <xdr:colOff>145677</xdr:colOff>
      <xdr:row>21</xdr:row>
      <xdr:rowOff>22412</xdr:rowOff>
    </xdr:to>
    <xdr:sp macro="" textlink="">
      <xdr:nvSpPr>
        <xdr:cNvPr id="3" name="角丸四角形 2"/>
        <xdr:cNvSpPr/>
      </xdr:nvSpPr>
      <xdr:spPr>
        <a:xfrm>
          <a:off x="5703794" y="2812676"/>
          <a:ext cx="5266765" cy="739589"/>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3600">
              <a:solidFill>
                <a:srgbClr val="FF0000"/>
              </a:solidFill>
              <a:latin typeface="+mn-ea"/>
              <a:ea typeface="+mn-ea"/>
            </a:rPr>
            <a:t>H30</a:t>
          </a:r>
          <a:r>
            <a:rPr kumimoji="1" lang="ja-JP" altLang="en-US" sz="3600">
              <a:solidFill>
                <a:srgbClr val="FF0000"/>
              </a:solidFill>
              <a:latin typeface="+mn-ea"/>
              <a:ea typeface="+mn-ea"/>
            </a:rPr>
            <a:t>から廃止</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1295400"/>
          <a:ext cx="142875" cy="33051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5524500"/>
          <a:ext cx="161925" cy="1409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7543800" y="2105025"/>
          <a:ext cx="0" cy="15240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7886700"/>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7886700"/>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7543800" y="923925"/>
          <a:ext cx="0" cy="10953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7543800" y="2466975"/>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twoCellAnchor>
    <xdr:from>
      <xdr:col>13</xdr:col>
      <xdr:colOff>95250</xdr:colOff>
      <xdr:row>33</xdr:row>
      <xdr:rowOff>142875</xdr:rowOff>
    </xdr:from>
    <xdr:to>
      <xdr:col>15</xdr:col>
      <xdr:colOff>180975</xdr:colOff>
      <xdr:row>35</xdr:row>
      <xdr:rowOff>57150</xdr:rowOff>
    </xdr:to>
    <xdr:sp macro="" textlink="">
      <xdr:nvSpPr>
        <xdr:cNvPr id="9" name="四角形吹き出し 8"/>
        <xdr:cNvSpPr/>
      </xdr:nvSpPr>
      <xdr:spPr>
        <a:xfrm>
          <a:off x="9010650" y="5800725"/>
          <a:ext cx="1457325" cy="257175"/>
        </a:xfrm>
        <a:prstGeom prst="wedgeRectCallout">
          <a:avLst>
            <a:gd name="adj1" fmla="val -38439"/>
            <a:gd name="adj2" fmla="val 838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latin typeface="+mj-ea"/>
              <a:ea typeface="+mj-ea"/>
            </a:rPr>
            <a:t>固定資産担当作成</a:t>
          </a:r>
          <a:endParaRPr kumimoji="1" lang="en-US" altLang="ja-JP" sz="800">
            <a:latin typeface="+mj-ea"/>
            <a:ea typeface="+mj-ea"/>
          </a:endParaRPr>
        </a:p>
        <a:p>
          <a:pPr algn="l"/>
          <a:r>
            <a:rPr kumimoji="1" lang="ja-JP" altLang="en-US" sz="800">
              <a:latin typeface="+mj-ea"/>
              <a:ea typeface="+mj-ea"/>
            </a:rPr>
            <a:t>「平成</a:t>
          </a:r>
          <a:r>
            <a:rPr kumimoji="1" lang="en-US" altLang="ja-JP" sz="800">
              <a:latin typeface="+mj-ea"/>
              <a:ea typeface="+mj-ea"/>
            </a:rPr>
            <a:t>27</a:t>
          </a:r>
          <a:r>
            <a:rPr kumimoji="1" lang="ja-JP" altLang="en-US" sz="800">
              <a:latin typeface="+mj-ea"/>
              <a:ea typeface="+mj-ea"/>
            </a:rPr>
            <a:t>年度決算　耐用年数の登録誤りによる過年度損益修正に係る雨汚水分け」等より</a:t>
          </a:r>
        </a:p>
      </xdr:txBody>
    </xdr:sp>
    <xdr:clientData/>
  </xdr:twoCellAnchor>
  <xdr:twoCellAnchor>
    <xdr:from>
      <xdr:col>1</xdr:col>
      <xdr:colOff>0</xdr:colOff>
      <xdr:row>20</xdr:row>
      <xdr:rowOff>0</xdr:rowOff>
    </xdr:from>
    <xdr:to>
      <xdr:col>11</xdr:col>
      <xdr:colOff>0</xdr:colOff>
      <xdr:row>44</xdr:row>
      <xdr:rowOff>0</xdr:rowOff>
    </xdr:to>
    <xdr:sp macro="" textlink="">
      <xdr:nvSpPr>
        <xdr:cNvPr id="10" name="正方形/長方形 9"/>
        <xdr:cNvSpPr/>
      </xdr:nvSpPr>
      <xdr:spPr>
        <a:xfrm>
          <a:off x="201083" y="6350000"/>
          <a:ext cx="8688917" cy="762000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3600" b="1">
              <a:solidFill>
                <a:sysClr val="windowText" lastClr="000000"/>
              </a:solidFill>
            </a:rPr>
            <a:t>営業外費用以下未確定（精査中）</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1295400"/>
          <a:ext cx="142875" cy="33051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5524500"/>
          <a:ext cx="161925" cy="1409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7543800" y="2105025"/>
          <a:ext cx="0" cy="15240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7886700"/>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7886700"/>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7543800" y="923925"/>
          <a:ext cx="0" cy="10953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7543800" y="2466975"/>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1295400"/>
          <a:ext cx="142875" cy="33051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5524500"/>
          <a:ext cx="161925" cy="1409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7543800" y="2105025"/>
          <a:ext cx="0" cy="15240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7886700"/>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7886700"/>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7543800" y="923925"/>
          <a:ext cx="0" cy="10953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7543800" y="2466975"/>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95250</xdr:rowOff>
    </xdr:from>
    <xdr:to>
      <xdr:col>0</xdr:col>
      <xdr:colOff>0</xdr:colOff>
      <xdr:row>15</xdr:row>
      <xdr:rowOff>0</xdr:rowOff>
    </xdr:to>
    <xdr:sp macro="" textlink="">
      <xdr:nvSpPr>
        <xdr:cNvPr id="2" name="テキスト 1"/>
        <xdr:cNvSpPr txBox="1">
          <a:spLocks noChangeArrowheads="1"/>
        </xdr:cNvSpPr>
      </xdr:nvSpPr>
      <xdr:spPr bwMode="auto">
        <a:xfrm>
          <a:off x="0" y="1295400"/>
          <a:ext cx="0" cy="12763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0</xdr:colOff>
      <xdr:row>18</xdr:row>
      <xdr:rowOff>38100</xdr:rowOff>
    </xdr:from>
    <xdr:to>
      <xdr:col>0</xdr:col>
      <xdr:colOff>0</xdr:colOff>
      <xdr:row>22</xdr:row>
      <xdr:rowOff>76200</xdr:rowOff>
    </xdr:to>
    <xdr:sp macro="" textlink="">
      <xdr:nvSpPr>
        <xdr:cNvPr id="3" name="テキスト 2"/>
        <xdr:cNvSpPr txBox="1">
          <a:spLocks noChangeArrowheads="1"/>
        </xdr:cNvSpPr>
      </xdr:nvSpPr>
      <xdr:spPr bwMode="auto">
        <a:xfrm>
          <a:off x="0" y="3124200"/>
          <a:ext cx="0" cy="7239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12</xdr:row>
      <xdr:rowOff>47625</xdr:rowOff>
    </xdr:from>
    <xdr:to>
      <xdr:col>10</xdr:col>
      <xdr:colOff>0</xdr:colOff>
      <xdr:row>13</xdr:row>
      <xdr:rowOff>28575</xdr:rowOff>
    </xdr:to>
    <xdr:sp macro="" textlink="">
      <xdr:nvSpPr>
        <xdr:cNvPr id="4" name="テキスト 3"/>
        <xdr:cNvSpPr txBox="1">
          <a:spLocks noChangeArrowheads="1"/>
        </xdr:cNvSpPr>
      </xdr:nvSpPr>
      <xdr:spPr bwMode="auto">
        <a:xfrm>
          <a:off x="6858000" y="2105025"/>
          <a:ext cx="0" cy="15240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5" name="テキスト 5"/>
        <xdr:cNvSpPr txBox="1">
          <a:spLocks noChangeArrowheads="1"/>
        </xdr:cNvSpPr>
      </xdr:nvSpPr>
      <xdr:spPr bwMode="auto">
        <a:xfrm>
          <a:off x="0" y="4800600"/>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6" name="テキスト 6"/>
        <xdr:cNvSpPr txBox="1">
          <a:spLocks noChangeArrowheads="1"/>
        </xdr:cNvSpPr>
      </xdr:nvSpPr>
      <xdr:spPr bwMode="auto">
        <a:xfrm>
          <a:off x="0" y="4800600"/>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5</xdr:row>
      <xdr:rowOff>66675</xdr:rowOff>
    </xdr:from>
    <xdr:to>
      <xdr:col>10</xdr:col>
      <xdr:colOff>0</xdr:colOff>
      <xdr:row>11</xdr:row>
      <xdr:rowOff>133350</xdr:rowOff>
    </xdr:to>
    <xdr:sp macro="" textlink="">
      <xdr:nvSpPr>
        <xdr:cNvPr id="7" name="テキスト 7"/>
        <xdr:cNvSpPr txBox="1">
          <a:spLocks noChangeArrowheads="1"/>
        </xdr:cNvSpPr>
      </xdr:nvSpPr>
      <xdr:spPr bwMode="auto">
        <a:xfrm>
          <a:off x="6858000" y="923925"/>
          <a:ext cx="0" cy="10953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10</xdr:col>
      <xdr:colOff>0</xdr:colOff>
      <xdr:row>14</xdr:row>
      <xdr:rowOff>66675</xdr:rowOff>
    </xdr:from>
    <xdr:to>
      <xdr:col>10</xdr:col>
      <xdr:colOff>0</xdr:colOff>
      <xdr:row>15</xdr:row>
      <xdr:rowOff>0</xdr:rowOff>
    </xdr:to>
    <xdr:sp macro="" textlink="">
      <xdr:nvSpPr>
        <xdr:cNvPr id="8" name="テキスト 8"/>
        <xdr:cNvSpPr txBox="1">
          <a:spLocks noChangeArrowheads="1"/>
        </xdr:cNvSpPr>
      </xdr:nvSpPr>
      <xdr:spPr bwMode="auto">
        <a:xfrm>
          <a:off x="6858000" y="2466975"/>
          <a:ext cx="0" cy="1047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twoCellAnchor>
    <xdr:from>
      <xdr:col>18</xdr:col>
      <xdr:colOff>47625</xdr:colOff>
      <xdr:row>29</xdr:row>
      <xdr:rowOff>95250</xdr:rowOff>
    </xdr:from>
    <xdr:to>
      <xdr:col>18</xdr:col>
      <xdr:colOff>428625</xdr:colOff>
      <xdr:row>31</xdr:row>
      <xdr:rowOff>38100</xdr:rowOff>
    </xdr:to>
    <xdr:sp macro="" textlink="">
      <xdr:nvSpPr>
        <xdr:cNvPr id="9" name="左矢印 8"/>
        <xdr:cNvSpPr>
          <a:spLocks noChangeArrowheads="1"/>
        </xdr:cNvSpPr>
      </xdr:nvSpPr>
      <xdr:spPr bwMode="auto">
        <a:xfrm>
          <a:off x="12392025" y="5067300"/>
          <a:ext cx="381000" cy="285750"/>
        </a:xfrm>
        <a:prstGeom prst="leftArrow">
          <a:avLst>
            <a:gd name="adj1" fmla="val 50000"/>
            <a:gd name="adj2" fmla="val 49784"/>
          </a:avLst>
        </a:prstGeom>
        <a:solidFill>
          <a:srgbClr val="FF0000"/>
        </a:solidFill>
        <a:ln w="9525" algn="ctr">
          <a:solidFill>
            <a:srgbClr val="000000"/>
          </a:solidFill>
          <a:round/>
          <a:headEnd/>
          <a:tailEnd/>
        </a:ln>
      </xdr:spPr>
    </xdr:sp>
    <xdr:clientData/>
  </xdr:twoCellAnchor>
  <xdr:twoCellAnchor>
    <xdr:from>
      <xdr:col>24</xdr:col>
      <xdr:colOff>571499</xdr:colOff>
      <xdr:row>19</xdr:row>
      <xdr:rowOff>202406</xdr:rowOff>
    </xdr:from>
    <xdr:to>
      <xdr:col>25</xdr:col>
      <xdr:colOff>559593</xdr:colOff>
      <xdr:row>20</xdr:row>
      <xdr:rowOff>238125</xdr:rowOff>
    </xdr:to>
    <xdr:sp macro="" textlink="">
      <xdr:nvSpPr>
        <xdr:cNvPr id="10" name="下カーブ矢印 9"/>
        <xdr:cNvSpPr/>
      </xdr:nvSpPr>
      <xdr:spPr bwMode="auto">
        <a:xfrm flipH="1">
          <a:off x="17030699" y="3431381"/>
          <a:ext cx="673894" cy="169069"/>
        </a:xfrm>
        <a:prstGeom prst="curvedDown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en-US" altLang="ja-JP" sz="1100"/>
        </a:p>
        <a:p>
          <a:pPr algn="l"/>
          <a:r>
            <a:rPr kumimoji="1" lang="ja-JP" altLang="en-US" sz="1100"/>
            <a:t>　　　　</a:t>
          </a:r>
          <a:r>
            <a:rPr kumimoji="1" lang="ja-JP" altLang="en-US" sz="1100">
              <a:solidFill>
                <a:schemeClr val="bg1"/>
              </a:solidFill>
            </a:rPr>
            <a:t>値貼付</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7</xdr:row>
      <xdr:rowOff>95250</xdr:rowOff>
    </xdr:from>
    <xdr:to>
      <xdr:col>0</xdr:col>
      <xdr:colOff>0</xdr:colOff>
      <xdr:row>15</xdr:row>
      <xdr:rowOff>0</xdr:rowOff>
    </xdr:to>
    <xdr:sp macro="" textlink="">
      <xdr:nvSpPr>
        <xdr:cNvPr id="2" name="テキスト 1"/>
        <xdr:cNvSpPr txBox="1">
          <a:spLocks noChangeArrowheads="1"/>
        </xdr:cNvSpPr>
      </xdr:nvSpPr>
      <xdr:spPr bwMode="auto">
        <a:xfrm>
          <a:off x="0" y="1295400"/>
          <a:ext cx="0" cy="12763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0</xdr:colOff>
      <xdr:row>18</xdr:row>
      <xdr:rowOff>38100</xdr:rowOff>
    </xdr:from>
    <xdr:to>
      <xdr:col>0</xdr:col>
      <xdr:colOff>0</xdr:colOff>
      <xdr:row>22</xdr:row>
      <xdr:rowOff>76200</xdr:rowOff>
    </xdr:to>
    <xdr:sp macro="" textlink="">
      <xdr:nvSpPr>
        <xdr:cNvPr id="3" name="テキスト 2"/>
        <xdr:cNvSpPr txBox="1">
          <a:spLocks noChangeArrowheads="1"/>
        </xdr:cNvSpPr>
      </xdr:nvSpPr>
      <xdr:spPr bwMode="auto">
        <a:xfrm>
          <a:off x="0" y="3124200"/>
          <a:ext cx="0" cy="7239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12</xdr:row>
      <xdr:rowOff>47625</xdr:rowOff>
    </xdr:from>
    <xdr:to>
      <xdr:col>10</xdr:col>
      <xdr:colOff>0</xdr:colOff>
      <xdr:row>13</xdr:row>
      <xdr:rowOff>28575</xdr:rowOff>
    </xdr:to>
    <xdr:sp macro="" textlink="">
      <xdr:nvSpPr>
        <xdr:cNvPr id="4" name="テキスト 3"/>
        <xdr:cNvSpPr txBox="1">
          <a:spLocks noChangeArrowheads="1"/>
        </xdr:cNvSpPr>
      </xdr:nvSpPr>
      <xdr:spPr bwMode="auto">
        <a:xfrm>
          <a:off x="6858000" y="2105025"/>
          <a:ext cx="0" cy="15240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5" name="テキスト 5"/>
        <xdr:cNvSpPr txBox="1">
          <a:spLocks noChangeArrowheads="1"/>
        </xdr:cNvSpPr>
      </xdr:nvSpPr>
      <xdr:spPr bwMode="auto">
        <a:xfrm>
          <a:off x="0" y="4800600"/>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6" name="テキスト 6"/>
        <xdr:cNvSpPr txBox="1">
          <a:spLocks noChangeArrowheads="1"/>
        </xdr:cNvSpPr>
      </xdr:nvSpPr>
      <xdr:spPr bwMode="auto">
        <a:xfrm>
          <a:off x="0" y="4800600"/>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5</xdr:row>
      <xdr:rowOff>66675</xdr:rowOff>
    </xdr:from>
    <xdr:to>
      <xdr:col>10</xdr:col>
      <xdr:colOff>0</xdr:colOff>
      <xdr:row>11</xdr:row>
      <xdr:rowOff>133350</xdr:rowOff>
    </xdr:to>
    <xdr:sp macro="" textlink="">
      <xdr:nvSpPr>
        <xdr:cNvPr id="7" name="テキスト 7"/>
        <xdr:cNvSpPr txBox="1">
          <a:spLocks noChangeArrowheads="1"/>
        </xdr:cNvSpPr>
      </xdr:nvSpPr>
      <xdr:spPr bwMode="auto">
        <a:xfrm>
          <a:off x="6858000" y="923925"/>
          <a:ext cx="0" cy="10953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10</xdr:col>
      <xdr:colOff>0</xdr:colOff>
      <xdr:row>14</xdr:row>
      <xdr:rowOff>66675</xdr:rowOff>
    </xdr:from>
    <xdr:to>
      <xdr:col>10</xdr:col>
      <xdr:colOff>0</xdr:colOff>
      <xdr:row>15</xdr:row>
      <xdr:rowOff>0</xdr:rowOff>
    </xdr:to>
    <xdr:sp macro="" textlink="">
      <xdr:nvSpPr>
        <xdr:cNvPr id="8" name="テキスト 8"/>
        <xdr:cNvSpPr txBox="1">
          <a:spLocks noChangeArrowheads="1"/>
        </xdr:cNvSpPr>
      </xdr:nvSpPr>
      <xdr:spPr bwMode="auto">
        <a:xfrm>
          <a:off x="6858000" y="2466975"/>
          <a:ext cx="0" cy="1047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twoCellAnchor>
    <xdr:from>
      <xdr:col>21</xdr:col>
      <xdr:colOff>428625</xdr:colOff>
      <xdr:row>19</xdr:row>
      <xdr:rowOff>261938</xdr:rowOff>
    </xdr:from>
    <xdr:to>
      <xdr:col>22</xdr:col>
      <xdr:colOff>607218</xdr:colOff>
      <xdr:row>20</xdr:row>
      <xdr:rowOff>297657</xdr:rowOff>
    </xdr:to>
    <xdr:sp macro="" textlink="">
      <xdr:nvSpPr>
        <xdr:cNvPr id="9" name="下カーブ矢印 8"/>
        <xdr:cNvSpPr/>
      </xdr:nvSpPr>
      <xdr:spPr bwMode="auto">
        <a:xfrm flipH="1">
          <a:off x="14830425" y="3424238"/>
          <a:ext cx="864393" cy="178594"/>
        </a:xfrm>
        <a:prstGeom prst="curvedDown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en-US" altLang="ja-JP" sz="1100"/>
        </a:p>
        <a:p>
          <a:pPr algn="l"/>
          <a:r>
            <a:rPr kumimoji="1" lang="ja-JP" altLang="en-US" sz="1100"/>
            <a:t>　　　　</a:t>
          </a:r>
          <a:r>
            <a:rPr kumimoji="1" lang="ja-JP" altLang="en-US" sz="1100">
              <a:solidFill>
                <a:schemeClr val="bg1"/>
              </a:solidFill>
            </a:rPr>
            <a:t>値貼付</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xdr:row>
      <xdr:rowOff>95250</xdr:rowOff>
    </xdr:from>
    <xdr:to>
      <xdr:col>0</xdr:col>
      <xdr:colOff>0</xdr:colOff>
      <xdr:row>15</xdr:row>
      <xdr:rowOff>0</xdr:rowOff>
    </xdr:to>
    <xdr:sp macro="" textlink="">
      <xdr:nvSpPr>
        <xdr:cNvPr id="2" name="テキスト 1"/>
        <xdr:cNvSpPr txBox="1">
          <a:spLocks noChangeArrowheads="1"/>
        </xdr:cNvSpPr>
      </xdr:nvSpPr>
      <xdr:spPr bwMode="auto">
        <a:xfrm>
          <a:off x="0" y="2495550"/>
          <a:ext cx="0" cy="26479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0</xdr:colOff>
      <xdr:row>18</xdr:row>
      <xdr:rowOff>38100</xdr:rowOff>
    </xdr:from>
    <xdr:to>
      <xdr:col>0</xdr:col>
      <xdr:colOff>0</xdr:colOff>
      <xdr:row>22</xdr:row>
      <xdr:rowOff>76200</xdr:rowOff>
    </xdr:to>
    <xdr:sp macro="" textlink="">
      <xdr:nvSpPr>
        <xdr:cNvPr id="3" name="テキスト 2"/>
        <xdr:cNvSpPr txBox="1">
          <a:spLocks noChangeArrowheads="1"/>
        </xdr:cNvSpPr>
      </xdr:nvSpPr>
      <xdr:spPr bwMode="auto">
        <a:xfrm>
          <a:off x="0" y="6210300"/>
          <a:ext cx="0" cy="1409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12</xdr:row>
      <xdr:rowOff>47625</xdr:rowOff>
    </xdr:from>
    <xdr:to>
      <xdr:col>10</xdr:col>
      <xdr:colOff>0</xdr:colOff>
      <xdr:row>13</xdr:row>
      <xdr:rowOff>28575</xdr:rowOff>
    </xdr:to>
    <xdr:sp macro="" textlink="">
      <xdr:nvSpPr>
        <xdr:cNvPr id="4" name="テキスト 3"/>
        <xdr:cNvSpPr txBox="1">
          <a:spLocks noChangeArrowheads="1"/>
        </xdr:cNvSpPr>
      </xdr:nvSpPr>
      <xdr:spPr bwMode="auto">
        <a:xfrm>
          <a:off x="8410575" y="4162425"/>
          <a:ext cx="0" cy="323850"/>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5" name="テキスト 5"/>
        <xdr:cNvSpPr txBox="1">
          <a:spLocks noChangeArrowheads="1"/>
        </xdr:cNvSpPr>
      </xdr:nvSpPr>
      <xdr:spPr bwMode="auto">
        <a:xfrm>
          <a:off x="0" y="9324975"/>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0</xdr:colOff>
      <xdr:row>28</xdr:row>
      <xdr:rowOff>0</xdr:rowOff>
    </xdr:from>
    <xdr:to>
      <xdr:col>0</xdr:col>
      <xdr:colOff>0</xdr:colOff>
      <xdr:row>28</xdr:row>
      <xdr:rowOff>0</xdr:rowOff>
    </xdr:to>
    <xdr:sp macro="" textlink="">
      <xdr:nvSpPr>
        <xdr:cNvPr id="6" name="テキスト 6"/>
        <xdr:cNvSpPr txBox="1">
          <a:spLocks noChangeArrowheads="1"/>
        </xdr:cNvSpPr>
      </xdr:nvSpPr>
      <xdr:spPr bwMode="auto">
        <a:xfrm>
          <a:off x="0" y="9324975"/>
          <a:ext cx="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10</xdr:col>
      <xdr:colOff>0</xdr:colOff>
      <xdr:row>5</xdr:row>
      <xdr:rowOff>66675</xdr:rowOff>
    </xdr:from>
    <xdr:to>
      <xdr:col>10</xdr:col>
      <xdr:colOff>0</xdr:colOff>
      <xdr:row>11</xdr:row>
      <xdr:rowOff>133350</xdr:rowOff>
    </xdr:to>
    <xdr:sp macro="" textlink="">
      <xdr:nvSpPr>
        <xdr:cNvPr id="7" name="テキスト 7"/>
        <xdr:cNvSpPr txBox="1">
          <a:spLocks noChangeArrowheads="1"/>
        </xdr:cNvSpPr>
      </xdr:nvSpPr>
      <xdr:spPr bwMode="auto">
        <a:xfrm>
          <a:off x="8410575" y="1781175"/>
          <a:ext cx="0" cy="212407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10</xdr:col>
      <xdr:colOff>0</xdr:colOff>
      <xdr:row>14</xdr:row>
      <xdr:rowOff>66675</xdr:rowOff>
    </xdr:from>
    <xdr:to>
      <xdr:col>10</xdr:col>
      <xdr:colOff>0</xdr:colOff>
      <xdr:row>15</xdr:row>
      <xdr:rowOff>0</xdr:rowOff>
    </xdr:to>
    <xdr:sp macro="" textlink="">
      <xdr:nvSpPr>
        <xdr:cNvPr id="8" name="テキスト 8"/>
        <xdr:cNvSpPr txBox="1">
          <a:spLocks noChangeArrowheads="1"/>
        </xdr:cNvSpPr>
      </xdr:nvSpPr>
      <xdr:spPr bwMode="auto">
        <a:xfrm>
          <a:off x="8410575" y="4867275"/>
          <a:ext cx="0" cy="2762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twoCellAnchor>
    <xdr:from>
      <xdr:col>21</xdr:col>
      <xdr:colOff>428625</xdr:colOff>
      <xdr:row>19</xdr:row>
      <xdr:rowOff>261938</xdr:rowOff>
    </xdr:from>
    <xdr:to>
      <xdr:col>22</xdr:col>
      <xdr:colOff>607218</xdr:colOff>
      <xdr:row>20</xdr:row>
      <xdr:rowOff>297657</xdr:rowOff>
    </xdr:to>
    <xdr:sp macro="" textlink="">
      <xdr:nvSpPr>
        <xdr:cNvPr id="9" name="下カーブ矢印 8"/>
        <xdr:cNvSpPr/>
      </xdr:nvSpPr>
      <xdr:spPr bwMode="auto">
        <a:xfrm flipH="1">
          <a:off x="16087725" y="6777038"/>
          <a:ext cx="1178718" cy="378619"/>
        </a:xfrm>
        <a:prstGeom prst="curvedDown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en-US" altLang="ja-JP" sz="1100"/>
        </a:p>
        <a:p>
          <a:pPr algn="l"/>
          <a:r>
            <a:rPr kumimoji="1" lang="ja-JP" altLang="en-US" sz="1100"/>
            <a:t>　　　　</a:t>
          </a:r>
          <a:r>
            <a:rPr kumimoji="1" lang="ja-JP" altLang="en-US" sz="1100">
              <a:solidFill>
                <a:schemeClr val="bg1"/>
              </a:solidFill>
            </a:rPr>
            <a:t>値貼付</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964407</xdr:colOff>
      <xdr:row>13</xdr:row>
      <xdr:rowOff>107156</xdr:rowOff>
    </xdr:from>
    <xdr:to>
      <xdr:col>12</xdr:col>
      <xdr:colOff>873359</xdr:colOff>
      <xdr:row>23</xdr:row>
      <xdr:rowOff>83343</xdr:rowOff>
    </xdr:to>
    <xdr:sp macro="" textlink="">
      <xdr:nvSpPr>
        <xdr:cNvPr id="3" name="角丸四角形 2"/>
        <xdr:cNvSpPr/>
      </xdr:nvSpPr>
      <xdr:spPr>
        <a:xfrm>
          <a:off x="7441407" y="2274094"/>
          <a:ext cx="5266765" cy="1643062"/>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3600">
              <a:solidFill>
                <a:srgbClr val="FF0000"/>
              </a:solidFill>
              <a:latin typeface="+mn-ea"/>
              <a:ea typeface="+mn-ea"/>
            </a:rPr>
            <a:t>このシート以降右</a:t>
          </a:r>
          <a:endParaRPr kumimoji="1" lang="en-US" altLang="ja-JP" sz="3600">
            <a:solidFill>
              <a:srgbClr val="FF0000"/>
            </a:solidFill>
            <a:latin typeface="+mn-ea"/>
            <a:ea typeface="+mn-ea"/>
          </a:endParaRPr>
        </a:p>
        <a:p>
          <a:pPr algn="ctr"/>
          <a:r>
            <a:rPr kumimoji="1" lang="ja-JP" altLang="en-US" sz="3600">
              <a:solidFill>
                <a:srgbClr val="FF0000"/>
              </a:solidFill>
              <a:latin typeface="+mn-ea"/>
              <a:ea typeface="+mn-ea"/>
            </a:rPr>
            <a:t>現在は使用していない。</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2295525"/>
          <a:ext cx="142875" cy="60198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10096500"/>
          <a:ext cx="161925" cy="2552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8867775" y="3819525"/>
          <a:ext cx="0" cy="295275"/>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14239875"/>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14239875"/>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8867775" y="1638300"/>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8867775" y="4467225"/>
          <a:ext cx="0" cy="35242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twoCellAnchor>
    <xdr:from>
      <xdr:col>13</xdr:col>
      <xdr:colOff>95250</xdr:colOff>
      <xdr:row>33</xdr:row>
      <xdr:rowOff>142875</xdr:rowOff>
    </xdr:from>
    <xdr:to>
      <xdr:col>15</xdr:col>
      <xdr:colOff>180975</xdr:colOff>
      <xdr:row>35</xdr:row>
      <xdr:rowOff>57150</xdr:rowOff>
    </xdr:to>
    <xdr:sp macro="" textlink="">
      <xdr:nvSpPr>
        <xdr:cNvPr id="9" name="四角形吹き出し 8"/>
        <xdr:cNvSpPr/>
      </xdr:nvSpPr>
      <xdr:spPr>
        <a:xfrm>
          <a:off x="10744200" y="10515600"/>
          <a:ext cx="2028825" cy="542925"/>
        </a:xfrm>
        <a:prstGeom prst="wedgeRectCallout">
          <a:avLst>
            <a:gd name="adj1" fmla="val -38439"/>
            <a:gd name="adj2" fmla="val 838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latin typeface="+mj-ea"/>
              <a:ea typeface="+mj-ea"/>
            </a:rPr>
            <a:t>固定資産担当作成</a:t>
          </a:r>
          <a:endParaRPr kumimoji="1" lang="en-US" altLang="ja-JP" sz="800">
            <a:latin typeface="+mj-ea"/>
            <a:ea typeface="+mj-ea"/>
          </a:endParaRPr>
        </a:p>
        <a:p>
          <a:pPr algn="l"/>
          <a:r>
            <a:rPr kumimoji="1" lang="ja-JP" altLang="en-US" sz="800">
              <a:latin typeface="+mj-ea"/>
              <a:ea typeface="+mj-ea"/>
            </a:rPr>
            <a:t>「平成</a:t>
          </a:r>
          <a:r>
            <a:rPr kumimoji="1" lang="en-US" altLang="ja-JP" sz="800">
              <a:latin typeface="+mj-ea"/>
              <a:ea typeface="+mj-ea"/>
            </a:rPr>
            <a:t>27</a:t>
          </a:r>
          <a:r>
            <a:rPr kumimoji="1" lang="ja-JP" altLang="en-US" sz="800">
              <a:latin typeface="+mj-ea"/>
              <a:ea typeface="+mj-ea"/>
            </a:rPr>
            <a:t>年度決算　耐用年数の登録誤りによる過年度損益修正に係る雨汚水分け」等より</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2295525"/>
          <a:ext cx="142875" cy="60198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10096500"/>
          <a:ext cx="161925" cy="2552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8867775" y="3819525"/>
          <a:ext cx="0" cy="295275"/>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14239875"/>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14239875"/>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8867775" y="1638300"/>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8867775" y="4467225"/>
          <a:ext cx="0" cy="35242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38100</xdr:colOff>
      <xdr:row>7</xdr:row>
      <xdr:rowOff>95250</xdr:rowOff>
    </xdr:from>
    <xdr:to>
      <xdr:col>0</xdr:col>
      <xdr:colOff>180975</xdr:colOff>
      <xdr:row>26</xdr:row>
      <xdr:rowOff>142875</xdr:rowOff>
    </xdr:to>
    <xdr:sp macro="" textlink="">
      <xdr:nvSpPr>
        <xdr:cNvPr id="2" name="テキスト 1"/>
        <xdr:cNvSpPr txBox="1">
          <a:spLocks noChangeArrowheads="1"/>
        </xdr:cNvSpPr>
      </xdr:nvSpPr>
      <xdr:spPr bwMode="auto">
        <a:xfrm>
          <a:off x="38100" y="2295525"/>
          <a:ext cx="142875" cy="60198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0</xdr:col>
      <xdr:colOff>28575</xdr:colOff>
      <xdr:row>32</xdr:row>
      <xdr:rowOff>38100</xdr:rowOff>
    </xdr:from>
    <xdr:to>
      <xdr:col>0</xdr:col>
      <xdr:colOff>190500</xdr:colOff>
      <xdr:row>40</xdr:row>
      <xdr:rowOff>76200</xdr:rowOff>
    </xdr:to>
    <xdr:sp macro="" textlink="">
      <xdr:nvSpPr>
        <xdr:cNvPr id="3" name="テキスト 2"/>
        <xdr:cNvSpPr txBox="1">
          <a:spLocks noChangeArrowheads="1"/>
        </xdr:cNvSpPr>
      </xdr:nvSpPr>
      <xdr:spPr bwMode="auto">
        <a:xfrm>
          <a:off x="28575" y="10096500"/>
          <a:ext cx="161925" cy="255270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12</xdr:row>
      <xdr:rowOff>47625</xdr:rowOff>
    </xdr:from>
    <xdr:to>
      <xdr:col>11</xdr:col>
      <xdr:colOff>0</xdr:colOff>
      <xdr:row>13</xdr:row>
      <xdr:rowOff>28575</xdr:rowOff>
    </xdr:to>
    <xdr:sp macro="" textlink="">
      <xdr:nvSpPr>
        <xdr:cNvPr id="4" name="テキスト 3"/>
        <xdr:cNvSpPr txBox="1">
          <a:spLocks noChangeArrowheads="1"/>
        </xdr:cNvSpPr>
      </xdr:nvSpPr>
      <xdr:spPr bwMode="auto">
        <a:xfrm>
          <a:off x="8858250" y="3819525"/>
          <a:ext cx="0" cy="295275"/>
        </a:xfrm>
        <a:prstGeom prst="rect">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減免分</a:t>
          </a:r>
          <a:r>
            <a:rPr lang="en-US" altLang="ja-JP" sz="800" b="0" i="0" u="none" strike="noStrike" baseline="0">
              <a:solidFill>
                <a:srgbClr val="000000"/>
              </a:solidFill>
              <a:latin typeface="ＭＳ 明朝"/>
              <a:ea typeface="ＭＳ 明朝"/>
            </a:rPr>
            <a:t>)</a:t>
          </a:r>
        </a:p>
      </xdr:txBody>
    </xdr:sp>
    <xdr:clientData/>
  </xdr:twoCellAnchor>
  <xdr:twoCellAnchor>
    <xdr:from>
      <xdr:col>0</xdr:col>
      <xdr:colOff>28575</xdr:colOff>
      <xdr:row>46</xdr:row>
      <xdr:rowOff>0</xdr:rowOff>
    </xdr:from>
    <xdr:to>
      <xdr:col>0</xdr:col>
      <xdr:colOff>190500</xdr:colOff>
      <xdr:row>46</xdr:row>
      <xdr:rowOff>0</xdr:rowOff>
    </xdr:to>
    <xdr:sp macro="" textlink="">
      <xdr:nvSpPr>
        <xdr:cNvPr id="5" name="テキスト 5"/>
        <xdr:cNvSpPr txBox="1">
          <a:spLocks noChangeArrowheads="1"/>
        </xdr:cNvSpPr>
      </xdr:nvSpPr>
      <xdr:spPr bwMode="auto">
        <a:xfrm>
          <a:off x="28575" y="14363700"/>
          <a:ext cx="161925"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維持管理費充当</a:t>
          </a:r>
        </a:p>
      </xdr:txBody>
    </xdr:sp>
    <xdr:clientData/>
  </xdr:twoCellAnchor>
  <xdr:twoCellAnchor>
    <xdr:from>
      <xdr:col>0</xdr:col>
      <xdr:colOff>28575</xdr:colOff>
      <xdr:row>46</xdr:row>
      <xdr:rowOff>0</xdr:rowOff>
    </xdr:from>
    <xdr:to>
      <xdr:col>0</xdr:col>
      <xdr:colOff>180975</xdr:colOff>
      <xdr:row>46</xdr:row>
      <xdr:rowOff>0</xdr:rowOff>
    </xdr:to>
    <xdr:sp macro="" textlink="">
      <xdr:nvSpPr>
        <xdr:cNvPr id="6" name="テキスト 6"/>
        <xdr:cNvSpPr txBox="1">
          <a:spLocks noChangeArrowheads="1"/>
        </xdr:cNvSpPr>
      </xdr:nvSpPr>
      <xdr:spPr bwMode="auto">
        <a:xfrm>
          <a:off x="28575" y="14363700"/>
          <a:ext cx="152400" cy="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資本費</a:t>
          </a:r>
        </a:p>
      </xdr:txBody>
    </xdr:sp>
    <xdr:clientData/>
  </xdr:twoCellAnchor>
  <xdr:twoCellAnchor>
    <xdr:from>
      <xdr:col>11</xdr:col>
      <xdr:colOff>0</xdr:colOff>
      <xdr:row>5</xdr:row>
      <xdr:rowOff>66675</xdr:rowOff>
    </xdr:from>
    <xdr:to>
      <xdr:col>11</xdr:col>
      <xdr:colOff>0</xdr:colOff>
      <xdr:row>11</xdr:row>
      <xdr:rowOff>133350</xdr:rowOff>
    </xdr:to>
    <xdr:sp macro="" textlink="">
      <xdr:nvSpPr>
        <xdr:cNvPr id="7" name="テキスト 7"/>
        <xdr:cNvSpPr txBox="1">
          <a:spLocks noChangeArrowheads="1"/>
        </xdr:cNvSpPr>
      </xdr:nvSpPr>
      <xdr:spPr bwMode="auto">
        <a:xfrm>
          <a:off x="8858250" y="1638300"/>
          <a:ext cx="0" cy="1952625"/>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汚水経費</a:t>
          </a:r>
        </a:p>
      </xdr:txBody>
    </xdr:sp>
    <xdr:clientData/>
  </xdr:twoCellAnchor>
  <xdr:twoCellAnchor>
    <xdr:from>
      <xdr:col>11</xdr:col>
      <xdr:colOff>0</xdr:colOff>
      <xdr:row>14</xdr:row>
      <xdr:rowOff>66675</xdr:rowOff>
    </xdr:from>
    <xdr:to>
      <xdr:col>11</xdr:col>
      <xdr:colOff>0</xdr:colOff>
      <xdr:row>25</xdr:row>
      <xdr:rowOff>133350</xdr:rowOff>
    </xdr:to>
    <xdr:sp macro="" textlink="">
      <xdr:nvSpPr>
        <xdr:cNvPr id="8" name="テキスト 8"/>
        <xdr:cNvSpPr txBox="1">
          <a:spLocks noChangeArrowheads="1"/>
        </xdr:cNvSpPr>
      </xdr:nvSpPr>
      <xdr:spPr bwMode="auto">
        <a:xfrm>
          <a:off x="8858250" y="4467225"/>
          <a:ext cx="0" cy="3524250"/>
        </a:xfrm>
        <a:prstGeom prst="rect">
          <a:avLst/>
        </a:prstGeom>
        <a:solidFill>
          <a:srgbClr val="FFFFFF"/>
        </a:solid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財源</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9312;R5%20&#65299;&#26465;&#25903;&#2098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9313;R5%20&#65299;&#26465;&#21454;&#2083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9318;R5%20&#28040;&#36027;&#3124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年度"/>
      <sheetName val="全伝票"/>
      <sheetName val="災害伝票"/>
      <sheetName val="3条支出"/>
      <sheetName val="管"/>
      <sheetName val="水質"/>
      <sheetName val="ポ"/>
      <sheetName val="処"/>
      <sheetName val="受工"/>
      <sheetName val="普及"/>
      <sheetName val="貸付"/>
      <sheetName val="業務"/>
      <sheetName val="総係"/>
      <sheetName val="特環"/>
      <sheetName val="農集"/>
      <sheetName val="浄化"/>
      <sheetName val="災"/>
      <sheetName val="減価"/>
      <sheetName val="減耗"/>
      <sheetName val="営外"/>
      <sheetName val="特損"/>
      <sheetName val="3条支出(共通按分後)"/>
      <sheetName val="総係(共通按分後)"/>
      <sheetName val="特環(共通按分後)"/>
      <sheetName val="農集(共通按分後)"/>
      <sheetName val="浄化(共通按分後)"/>
    </sheetNames>
    <sheetDataSet>
      <sheetData sheetId="0"/>
      <sheetData sheetId="1"/>
      <sheetData sheetId="2"/>
      <sheetData sheetId="3">
        <row r="1">
          <cell r="D1" t="str">
            <v>令和５年度決算　消費税算出資料</v>
          </cell>
        </row>
        <row r="6">
          <cell r="E6">
            <v>611819957</v>
          </cell>
          <cell r="T6">
            <v>564664608</v>
          </cell>
        </row>
        <row r="7">
          <cell r="E7">
            <v>52443869</v>
          </cell>
          <cell r="T7">
            <v>51313295</v>
          </cell>
        </row>
        <row r="8">
          <cell r="E8">
            <v>2356040225</v>
          </cell>
          <cell r="T8">
            <v>2251657967</v>
          </cell>
        </row>
        <row r="9">
          <cell r="E9">
            <v>6557703864</v>
          </cell>
          <cell r="T9">
            <v>6037810078</v>
          </cell>
        </row>
        <row r="10">
          <cell r="E10">
            <v>0</v>
          </cell>
          <cell r="T10">
            <v>0</v>
          </cell>
        </row>
        <row r="11">
          <cell r="E11">
            <v>88849549</v>
          </cell>
          <cell r="T11">
            <v>87134052</v>
          </cell>
        </row>
        <row r="12">
          <cell r="E12">
            <v>10483859</v>
          </cell>
          <cell r="T12">
            <v>10396270</v>
          </cell>
        </row>
        <row r="13">
          <cell r="E13">
            <v>1019945143</v>
          </cell>
          <cell r="T13">
            <v>929691714</v>
          </cell>
        </row>
        <row r="14">
          <cell r="E14">
            <v>483965214</v>
          </cell>
          <cell r="T14">
            <v>466286409</v>
          </cell>
        </row>
        <row r="15">
          <cell r="E15">
            <v>106990906</v>
          </cell>
          <cell r="T15">
            <v>97276922</v>
          </cell>
        </row>
        <row r="16">
          <cell r="E16">
            <v>247654024</v>
          </cell>
          <cell r="T16">
            <v>225167795</v>
          </cell>
        </row>
        <row r="17">
          <cell r="E17">
            <v>76388330</v>
          </cell>
          <cell r="T17">
            <v>69941329</v>
          </cell>
        </row>
        <row r="18">
          <cell r="E18">
            <v>0</v>
          </cell>
          <cell r="T18">
            <v>0</v>
          </cell>
        </row>
        <row r="19">
          <cell r="E19">
            <v>26551442230</v>
          </cell>
          <cell r="T19">
            <v>26551442230</v>
          </cell>
        </row>
        <row r="20">
          <cell r="E20">
            <v>503761871</v>
          </cell>
          <cell r="T20">
            <v>503761871</v>
          </cell>
        </row>
        <row r="28">
          <cell r="E28">
            <v>10679943</v>
          </cell>
          <cell r="T28">
            <v>9711499</v>
          </cell>
        </row>
        <row r="29">
          <cell r="E29">
            <v>0</v>
          </cell>
          <cell r="T29">
            <v>0</v>
          </cell>
        </row>
        <row r="30">
          <cell r="E30">
            <v>10315355</v>
          </cell>
          <cell r="T30">
            <v>10315355</v>
          </cell>
        </row>
        <row r="31">
          <cell r="E31">
            <v>0</v>
          </cell>
          <cell r="T31">
            <v>0</v>
          </cell>
        </row>
        <row r="41">
          <cell r="T41">
            <v>42028134935</v>
          </cell>
        </row>
        <row r="42">
          <cell r="E42">
            <v>42643669657</v>
          </cell>
          <cell r="T42">
            <v>41815647458</v>
          </cell>
        </row>
      </sheetData>
      <sheetData sheetId="4"/>
      <sheetData sheetId="5"/>
      <sheetData sheetId="6"/>
      <sheetData sheetId="7"/>
      <sheetData sheetId="8"/>
      <sheetData sheetId="9">
        <row r="5">
          <cell r="E5">
            <v>19274556</v>
          </cell>
          <cell r="T5">
            <v>19274556</v>
          </cell>
        </row>
      </sheetData>
      <sheetData sheetId="10"/>
      <sheetData sheetId="11">
        <row r="5">
          <cell r="E5">
            <v>2132308</v>
          </cell>
          <cell r="T5">
            <v>2132308</v>
          </cell>
        </row>
        <row r="6">
          <cell r="E6">
            <v>12502020</v>
          </cell>
          <cell r="T6">
            <v>12502020</v>
          </cell>
        </row>
        <row r="7">
          <cell r="E7">
            <v>7395331</v>
          </cell>
          <cell r="T7">
            <v>7341944</v>
          </cell>
        </row>
        <row r="8">
          <cell r="E8">
            <v>4205489</v>
          </cell>
          <cell r="T8">
            <v>4205489</v>
          </cell>
        </row>
        <row r="9">
          <cell r="E9">
            <v>0</v>
          </cell>
          <cell r="T9">
            <v>0</v>
          </cell>
        </row>
        <row r="34">
          <cell r="E34">
            <v>1499000</v>
          </cell>
          <cell r="T34">
            <v>1499000</v>
          </cell>
        </row>
      </sheetData>
      <sheetData sheetId="12">
        <row r="35">
          <cell r="E35">
            <v>16172000</v>
          </cell>
          <cell r="T35">
            <v>16172000</v>
          </cell>
        </row>
        <row r="36">
          <cell r="E36">
            <v>1676445</v>
          </cell>
          <cell r="T36">
            <v>1676445</v>
          </cell>
        </row>
        <row r="37">
          <cell r="E37">
            <v>483965214</v>
          </cell>
          <cell r="T37">
            <v>466286409</v>
          </cell>
        </row>
      </sheetData>
      <sheetData sheetId="13"/>
      <sheetData sheetId="14"/>
      <sheetData sheetId="15"/>
      <sheetData sheetId="16"/>
      <sheetData sheetId="17"/>
      <sheetData sheetId="18">
        <row r="7">
          <cell r="E7">
            <v>0</v>
          </cell>
          <cell r="T7">
            <v>0</v>
          </cell>
        </row>
      </sheetData>
      <sheetData sheetId="19">
        <row r="6">
          <cell r="E6">
            <v>3884144913</v>
          </cell>
          <cell r="T6">
            <v>3884144913</v>
          </cell>
        </row>
        <row r="9">
          <cell r="E9">
            <v>61813753</v>
          </cell>
          <cell r="T9">
            <v>56194321</v>
          </cell>
        </row>
        <row r="11">
          <cell r="E11">
            <v>2483</v>
          </cell>
          <cell r="T11">
            <v>2483</v>
          </cell>
        </row>
        <row r="15">
          <cell r="E15">
            <v>0</v>
          </cell>
          <cell r="T15">
            <v>0</v>
          </cell>
        </row>
        <row r="16">
          <cell r="E16">
            <v>9224169</v>
          </cell>
          <cell r="T16">
            <v>8734347</v>
          </cell>
        </row>
        <row r="17">
          <cell r="T17">
            <v>210253123</v>
          </cell>
        </row>
        <row r="18">
          <cell r="T18">
            <v>2233725</v>
          </cell>
        </row>
        <row r="19">
          <cell r="T19">
            <v>629</v>
          </cell>
        </row>
        <row r="20">
          <cell r="E20">
            <v>9198273</v>
          </cell>
          <cell r="T20">
            <v>8710224</v>
          </cell>
        </row>
      </sheetData>
      <sheetData sheetId="20">
        <row r="5">
          <cell r="T5">
            <v>9711499</v>
          </cell>
        </row>
        <row r="14">
          <cell r="T14">
            <v>0</v>
          </cell>
        </row>
        <row r="32">
          <cell r="T32">
            <v>10315355</v>
          </cell>
        </row>
      </sheetData>
      <sheetData sheetId="21">
        <row r="14">
          <cell r="E14">
            <v>914982582</v>
          </cell>
          <cell r="T14">
            <v>858656553</v>
          </cell>
        </row>
        <row r="15">
          <cell r="E15">
            <v>0</v>
          </cell>
          <cell r="T15">
            <v>0</v>
          </cell>
        </row>
        <row r="16">
          <cell r="E16">
            <v>0</v>
          </cell>
          <cell r="T16">
            <v>0</v>
          </cell>
        </row>
        <row r="17">
          <cell r="E17">
            <v>0</v>
          </cell>
          <cell r="T17">
            <v>0</v>
          </cell>
        </row>
      </sheetData>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条収入"/>
    </sheetNames>
    <sheetDataSet>
      <sheetData sheetId="0">
        <row r="6">
          <cell r="AH6" t="str">
            <v>計</v>
          </cell>
        </row>
        <row r="7">
          <cell r="AH7">
            <v>0</v>
          </cell>
          <cell r="AI7">
            <v>18626337467</v>
          </cell>
        </row>
        <row r="8">
          <cell r="C8">
            <v>481020200</v>
          </cell>
          <cell r="E8">
            <v>20488962528</v>
          </cell>
          <cell r="AH8">
            <v>0</v>
          </cell>
          <cell r="AI8">
            <v>18626337467</v>
          </cell>
        </row>
        <row r="9">
          <cell r="E9">
            <v>14187102335</v>
          </cell>
          <cell r="AH9">
            <v>209741730</v>
          </cell>
          <cell r="AI9">
            <v>14187102335</v>
          </cell>
        </row>
        <row r="10">
          <cell r="AH10">
            <v>207707484</v>
          </cell>
          <cell r="AI10">
            <v>14079749832</v>
          </cell>
        </row>
        <row r="11">
          <cell r="C11">
            <v>481040411</v>
          </cell>
          <cell r="AH11">
            <v>205180690</v>
          </cell>
          <cell r="AI11">
            <v>3591522898</v>
          </cell>
        </row>
        <row r="12">
          <cell r="C12">
            <v>481040412</v>
          </cell>
          <cell r="AH12">
            <v>0</v>
          </cell>
          <cell r="AI12">
            <v>8476549651</v>
          </cell>
        </row>
        <row r="13">
          <cell r="C13">
            <v>481040413</v>
          </cell>
          <cell r="AH13">
            <v>2526794</v>
          </cell>
          <cell r="AI13">
            <v>2011677283</v>
          </cell>
        </row>
        <row r="14">
          <cell r="C14">
            <v>481040600</v>
          </cell>
          <cell r="AH14">
            <v>1106201</v>
          </cell>
          <cell r="AI14">
            <v>52443869</v>
          </cell>
        </row>
        <row r="15">
          <cell r="C15">
            <v>481040800</v>
          </cell>
          <cell r="AH15">
            <v>841187</v>
          </cell>
          <cell r="AI15">
            <v>44424775</v>
          </cell>
        </row>
        <row r="16">
          <cell r="C16">
            <v>481040900</v>
          </cell>
          <cell r="AH16">
            <v>86858</v>
          </cell>
          <cell r="AI16">
            <v>10483859</v>
          </cell>
        </row>
        <row r="17">
          <cell r="E17">
            <v>0</v>
          </cell>
          <cell r="AH17">
            <v>0</v>
          </cell>
          <cell r="AI17">
            <v>0</v>
          </cell>
        </row>
        <row r="18">
          <cell r="C18">
            <v>481121400</v>
          </cell>
          <cell r="AH18">
            <v>0</v>
          </cell>
          <cell r="AI18">
            <v>0</v>
          </cell>
        </row>
        <row r="19">
          <cell r="AH19">
            <v>0</v>
          </cell>
          <cell r="AI19">
            <v>172643606</v>
          </cell>
        </row>
        <row r="20">
          <cell r="C20">
            <v>481141500</v>
          </cell>
          <cell r="E20">
            <v>187826166</v>
          </cell>
          <cell r="AH20">
            <v>0</v>
          </cell>
          <cell r="AI20">
            <v>170751060</v>
          </cell>
        </row>
        <row r="21">
          <cell r="C21">
            <v>481141700</v>
          </cell>
          <cell r="E21">
            <v>1409733</v>
          </cell>
          <cell r="AH21">
            <v>0</v>
          </cell>
          <cell r="AI21">
            <v>1281576</v>
          </cell>
        </row>
        <row r="22">
          <cell r="AH22">
            <v>0</v>
          </cell>
          <cell r="AI22">
            <v>610970</v>
          </cell>
        </row>
        <row r="23">
          <cell r="C23">
            <v>481141915</v>
          </cell>
          <cell r="E23">
            <v>71970</v>
          </cell>
          <cell r="AH23">
            <v>0</v>
          </cell>
          <cell r="AI23">
            <v>71970</v>
          </cell>
        </row>
        <row r="24">
          <cell r="C24">
            <v>481141916</v>
          </cell>
          <cell r="E24">
            <v>539000</v>
          </cell>
          <cell r="AH24">
            <v>0</v>
          </cell>
          <cell r="AI24">
            <v>539000</v>
          </cell>
        </row>
        <row r="25">
          <cell r="C25">
            <v>481141917</v>
          </cell>
          <cell r="AH25">
            <v>0</v>
          </cell>
          <cell r="AI25">
            <v>0</v>
          </cell>
        </row>
        <row r="26">
          <cell r="C26">
            <v>481142000</v>
          </cell>
          <cell r="E26">
            <v>0</v>
          </cell>
          <cell r="AH26">
            <v>0</v>
          </cell>
          <cell r="AI26">
            <v>0</v>
          </cell>
        </row>
        <row r="27">
          <cell r="AH27">
            <v>209741730</v>
          </cell>
          <cell r="AI27">
            <v>32986083408</v>
          </cell>
        </row>
        <row r="28">
          <cell r="AH28">
            <v>0</v>
          </cell>
          <cell r="AI28">
            <v>88770</v>
          </cell>
        </row>
        <row r="29">
          <cell r="C29">
            <v>482022100</v>
          </cell>
          <cell r="E29">
            <v>88770</v>
          </cell>
          <cell r="AH29">
            <v>0</v>
          </cell>
          <cell r="AI29">
            <v>88770</v>
          </cell>
        </row>
        <row r="30">
          <cell r="C30">
            <v>482022200</v>
          </cell>
          <cell r="AH30">
            <v>0</v>
          </cell>
          <cell r="AI30">
            <v>0</v>
          </cell>
        </row>
        <row r="31">
          <cell r="C31">
            <v>482022400</v>
          </cell>
          <cell r="AH31">
            <v>0</v>
          </cell>
          <cell r="AI31">
            <v>0</v>
          </cell>
        </row>
        <row r="32">
          <cell r="AH32">
            <v>0</v>
          </cell>
          <cell r="AI32">
            <v>0</v>
          </cell>
        </row>
        <row r="33">
          <cell r="C33">
            <v>482042700</v>
          </cell>
          <cell r="AH33">
            <v>0</v>
          </cell>
          <cell r="AI33">
            <v>0</v>
          </cell>
        </row>
        <row r="34">
          <cell r="E34">
            <v>0</v>
          </cell>
          <cell r="AH34">
            <v>0</v>
          </cell>
          <cell r="AI34">
            <v>0</v>
          </cell>
        </row>
        <row r="35">
          <cell r="C35">
            <v>482042900</v>
          </cell>
          <cell r="AH35">
            <v>0</v>
          </cell>
          <cell r="AI35">
            <v>0</v>
          </cell>
        </row>
        <row r="36">
          <cell r="C36">
            <v>482042900</v>
          </cell>
          <cell r="AH36">
            <v>0</v>
          </cell>
          <cell r="AI36">
            <v>0</v>
          </cell>
        </row>
        <row r="37">
          <cell r="C37">
            <v>482042900</v>
          </cell>
          <cell r="AH37">
            <v>0</v>
          </cell>
          <cell r="AI37">
            <v>0</v>
          </cell>
        </row>
        <row r="38">
          <cell r="C38">
            <v>482042900</v>
          </cell>
          <cell r="AH38">
            <v>0</v>
          </cell>
          <cell r="AI38">
            <v>0</v>
          </cell>
        </row>
        <row r="39">
          <cell r="AH39">
            <v>0</v>
          </cell>
          <cell r="AI39">
            <v>50128048</v>
          </cell>
        </row>
        <row r="40">
          <cell r="C40">
            <v>482093200</v>
          </cell>
          <cell r="E40">
            <v>37016600</v>
          </cell>
          <cell r="AH40">
            <v>0</v>
          </cell>
          <cell r="AI40">
            <v>33651455</v>
          </cell>
        </row>
        <row r="41">
          <cell r="C41">
            <v>482093300</v>
          </cell>
          <cell r="E41">
            <v>16476593</v>
          </cell>
          <cell r="AH41">
            <v>0</v>
          </cell>
          <cell r="AI41">
            <v>16476593</v>
          </cell>
        </row>
        <row r="42">
          <cell r="E42">
            <v>9203253</v>
          </cell>
          <cell r="AH42">
            <v>488049</v>
          </cell>
          <cell r="AI42">
            <v>9203253</v>
          </cell>
        </row>
        <row r="43">
          <cell r="AH43">
            <v>0</v>
          </cell>
          <cell r="AI43">
            <v>4980</v>
          </cell>
        </row>
        <row r="44">
          <cell r="C44">
            <v>482103411</v>
          </cell>
          <cell r="AH44">
            <v>0</v>
          </cell>
          <cell r="AI44">
            <v>0</v>
          </cell>
        </row>
        <row r="45">
          <cell r="C45">
            <v>482103412</v>
          </cell>
          <cell r="AH45">
            <v>0</v>
          </cell>
          <cell r="AI45">
            <v>0</v>
          </cell>
        </row>
        <row r="46">
          <cell r="C46">
            <v>482103413</v>
          </cell>
          <cell r="AH46">
            <v>0</v>
          </cell>
          <cell r="AI46">
            <v>0</v>
          </cell>
        </row>
        <row r="47">
          <cell r="C47">
            <v>482103414</v>
          </cell>
          <cell r="E47">
            <v>4980</v>
          </cell>
          <cell r="V47">
            <v>4980</v>
          </cell>
          <cell r="AH47">
            <v>0</v>
          </cell>
          <cell r="AI47">
            <v>4980</v>
          </cell>
        </row>
        <row r="48">
          <cell r="C48">
            <v>482104000</v>
          </cell>
          <cell r="AH48">
            <v>488049</v>
          </cell>
          <cell r="AI48">
            <v>9198273</v>
          </cell>
        </row>
        <row r="49">
          <cell r="AH49">
            <v>0</v>
          </cell>
          <cell r="AI49">
            <v>0</v>
          </cell>
        </row>
        <row r="50">
          <cell r="C50">
            <v>482113700</v>
          </cell>
          <cell r="E50">
            <v>0</v>
          </cell>
          <cell r="AH50">
            <v>0</v>
          </cell>
          <cell r="AI50">
            <v>0</v>
          </cell>
        </row>
        <row r="51">
          <cell r="AH51">
            <v>23344</v>
          </cell>
          <cell r="AI51">
            <v>37130542</v>
          </cell>
        </row>
        <row r="52">
          <cell r="C52">
            <v>482123600</v>
          </cell>
          <cell r="E52">
            <v>408100</v>
          </cell>
          <cell r="AH52">
            <v>0</v>
          </cell>
          <cell r="AI52">
            <v>371000</v>
          </cell>
        </row>
        <row r="53">
          <cell r="C53">
            <v>482124000</v>
          </cell>
          <cell r="E53">
            <v>36052234</v>
          </cell>
          <cell r="AH53">
            <v>23344</v>
          </cell>
          <cell r="AI53">
            <v>34878977</v>
          </cell>
        </row>
        <row r="54">
          <cell r="AI54">
            <v>1880565</v>
          </cell>
        </row>
        <row r="55">
          <cell r="AH55">
            <v>0</v>
          </cell>
          <cell r="AI55">
            <v>9485355002</v>
          </cell>
        </row>
        <row r="56">
          <cell r="E56">
            <v>9485355002</v>
          </cell>
          <cell r="AH56">
            <v>0</v>
          </cell>
          <cell r="AI56">
            <v>9485355002</v>
          </cell>
        </row>
        <row r="57">
          <cell r="AH57">
            <v>511393</v>
          </cell>
          <cell r="AI57">
            <v>9581905615</v>
          </cell>
        </row>
        <row r="58">
          <cell r="AH58">
            <v>0</v>
          </cell>
          <cell r="AI58">
            <v>0</v>
          </cell>
        </row>
        <row r="59">
          <cell r="C59">
            <v>483020200</v>
          </cell>
          <cell r="E59">
            <v>0</v>
          </cell>
          <cell r="AH59">
            <v>0</v>
          </cell>
          <cell r="AI59">
            <v>0</v>
          </cell>
        </row>
        <row r="60">
          <cell r="AH60">
            <v>0</v>
          </cell>
          <cell r="AI60">
            <v>2623682</v>
          </cell>
        </row>
        <row r="61">
          <cell r="C61">
            <v>483040400</v>
          </cell>
          <cell r="E61">
            <v>2769570</v>
          </cell>
          <cell r="AH61">
            <v>0</v>
          </cell>
          <cell r="AI61">
            <v>2623682</v>
          </cell>
        </row>
        <row r="62">
          <cell r="AH62">
            <v>0</v>
          </cell>
          <cell r="AI62">
            <v>1429429</v>
          </cell>
        </row>
        <row r="63">
          <cell r="C63">
            <v>483060600</v>
          </cell>
          <cell r="E63">
            <v>864807</v>
          </cell>
          <cell r="AH63">
            <v>0</v>
          </cell>
          <cell r="AI63">
            <v>864807</v>
          </cell>
        </row>
        <row r="64">
          <cell r="C64">
            <v>483060700</v>
          </cell>
          <cell r="E64">
            <v>455622</v>
          </cell>
          <cell r="AH64">
            <v>0</v>
          </cell>
          <cell r="AI64">
            <v>455622</v>
          </cell>
        </row>
        <row r="65">
          <cell r="C65">
            <v>483060800</v>
          </cell>
          <cell r="E65">
            <v>109000</v>
          </cell>
          <cell r="AH65">
            <v>0</v>
          </cell>
          <cell r="AI65">
            <v>109000</v>
          </cell>
        </row>
        <row r="66">
          <cell r="E66">
            <v>0</v>
          </cell>
          <cell r="AH66">
            <v>0</v>
          </cell>
          <cell r="AI66">
            <v>0</v>
          </cell>
        </row>
        <row r="67">
          <cell r="C67">
            <v>483080800</v>
          </cell>
          <cell r="AH67">
            <v>0</v>
          </cell>
          <cell r="AI67">
            <v>0</v>
          </cell>
        </row>
        <row r="68">
          <cell r="AH68">
            <v>0</v>
          </cell>
          <cell r="AI68">
            <v>4053111</v>
          </cell>
        </row>
        <row r="69">
          <cell r="AH69">
            <v>210253123</v>
          </cell>
          <cell r="AI69">
            <v>42572042134</v>
          </cell>
        </row>
        <row r="70">
          <cell r="E70">
            <v>44454711283</v>
          </cell>
          <cell r="AH70">
            <v>210253123</v>
          </cell>
          <cell r="AI70">
            <v>42570161569</v>
          </cell>
        </row>
        <row r="74">
          <cell r="AI74">
            <v>543907199</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申)3%"/>
      <sheetName val="(申)5%"/>
      <sheetName val="(申)8%"/>
      <sheetName val="(申)軽8%"/>
      <sheetName val="(申)10%"/>
      <sheetName val="(申)計"/>
      <sheetName val="消費税旧"/>
      <sheetName val="対価返還"/>
      <sheetName val="基礎数値"/>
      <sheetName val="消費税"/>
      <sheetName val="4条圧縮"/>
      <sheetName val="仮受仮払"/>
      <sheetName val="精算表"/>
      <sheetName val="振替表"/>
    </sheetNames>
    <sheetDataSet>
      <sheetData sheetId="0"/>
      <sheetData sheetId="1"/>
      <sheetData sheetId="2"/>
      <sheetData sheetId="3"/>
      <sheetData sheetId="4"/>
      <sheetData sheetId="5"/>
      <sheetData sheetId="6"/>
      <sheetData sheetId="7">
        <row r="14">
          <cell r="AX14">
            <v>0</v>
          </cell>
          <cell r="BH14">
            <v>0</v>
          </cell>
        </row>
      </sheetData>
      <sheetData sheetId="8"/>
      <sheetData sheetId="9">
        <row r="125">
          <cell r="Z125">
            <v>1880565</v>
          </cell>
        </row>
      </sheetData>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AT167"/>
  <sheetViews>
    <sheetView tabSelected="1" view="pageBreakPreview" zoomScale="70" zoomScaleNormal="100" zoomScaleSheetLayoutView="70" workbookViewId="0">
      <pane xSplit="4" ySplit="6" topLeftCell="E85" activePane="bottomRight" state="frozen"/>
      <selection pane="topRight" activeCell="E1" sqref="E1"/>
      <selection pane="bottomLeft" activeCell="A7" sqref="A7"/>
      <selection pane="bottomRight" activeCell="K136" sqref="K136"/>
    </sheetView>
  </sheetViews>
  <sheetFormatPr defaultColWidth="9" defaultRowHeight="13.5" outlineLevelCol="1"/>
  <cols>
    <col min="1" max="1" width="4" style="3" customWidth="1"/>
    <col min="2" max="3" width="4" style="1" customWidth="1"/>
    <col min="4" max="4" width="30.625" style="1" customWidth="1"/>
    <col min="5" max="8" width="14.125" style="1" customWidth="1"/>
    <col min="9" max="9" width="14.125" style="2" customWidth="1"/>
    <col min="10" max="11" width="14.125" style="1" customWidth="1"/>
    <col min="12" max="13" width="14.125" style="2" customWidth="1"/>
    <col min="14" max="14" width="30.625" style="1" customWidth="1"/>
    <col min="15" max="18" width="14.125" style="1" customWidth="1"/>
    <col min="19" max="19" width="14.125" style="2" customWidth="1"/>
    <col min="20" max="21" width="14.125" style="1" customWidth="1"/>
    <col min="22" max="23" width="14.125" style="2" customWidth="1"/>
    <col min="24" max="24" width="30.625" style="2" customWidth="1"/>
    <col min="25" max="29" width="14.125" style="2" hidden="1" customWidth="1" outlineLevel="1"/>
    <col min="30" max="30" width="14.125" style="1" customWidth="1" collapsed="1"/>
    <col min="31" max="33" width="14.125" style="1" customWidth="1"/>
    <col min="34" max="34" width="14.125" style="2" customWidth="1"/>
    <col min="35" max="36" width="14.125" style="1" customWidth="1"/>
    <col min="37" max="38" width="14.125" style="2" customWidth="1"/>
    <col min="39" max="39" width="15.375" style="1" customWidth="1"/>
    <col min="40" max="41" width="14" style="1" bestFit="1" customWidth="1"/>
    <col min="42" max="42" width="4.375" style="1" customWidth="1"/>
    <col min="43" max="43" width="15.375" style="1" customWidth="1"/>
    <col min="44" max="44" width="14" style="1" bestFit="1" customWidth="1"/>
    <col min="45" max="45" width="4.375" style="1" customWidth="1"/>
    <col min="46" max="46" width="15.375" style="1" customWidth="1"/>
    <col min="47" max="16384" width="9" style="1"/>
  </cols>
  <sheetData>
    <row r="1" spans="1:46">
      <c r="D1" s="1" t="str">
        <f>+'[1]3条支出'!$D$1</f>
        <v>令和５年度決算　消費税算出資料</v>
      </c>
      <c r="F1" s="2"/>
      <c r="G1" s="2"/>
      <c r="J1" s="2"/>
      <c r="N1" s="1" t="str">
        <f>+$D$1</f>
        <v>令和５年度決算　消費税算出資料</v>
      </c>
      <c r="P1" s="569"/>
      <c r="X1" s="1" t="str">
        <f>+$D$1</f>
        <v>令和５年度決算　消費税算出資料</v>
      </c>
      <c r="Y1" s="1"/>
      <c r="Z1" s="1"/>
      <c r="AA1" s="1"/>
      <c r="AB1" s="1"/>
      <c r="AC1" s="1"/>
    </row>
    <row r="2" spans="1:46">
      <c r="D2" s="1" t="s">
        <v>125</v>
      </c>
      <c r="F2" s="2"/>
      <c r="G2" s="2"/>
      <c r="J2" s="2"/>
      <c r="M2" s="53" t="str">
        <f>+IF(COUNTIF(M7:M45,0)=COUNT(M7:M45),"","↓エラーあり")</f>
        <v/>
      </c>
      <c r="N2" s="1" t="s">
        <v>125</v>
      </c>
      <c r="W2" s="53" t="str">
        <f>+IF(COUNTIF(W7:W45,0)=COUNT(W7:W45),"","↓エラーあり")</f>
        <v/>
      </c>
      <c r="X2" s="1" t="s">
        <v>101</v>
      </c>
      <c r="Y2" s="1"/>
      <c r="Z2" s="1"/>
      <c r="AA2" s="1"/>
      <c r="AB2" s="1"/>
      <c r="AC2" s="1"/>
      <c r="AL2" s="53" t="str">
        <f>+IF(COUNTIF(AL7:AL45,0)=COUNT(AL7:AL45),"","↓エラーあり")</f>
        <v/>
      </c>
    </row>
    <row r="3" spans="1:46">
      <c r="B3" s="583" t="s">
        <v>99</v>
      </c>
      <c r="C3" s="584"/>
      <c r="D3" s="576" t="s">
        <v>95</v>
      </c>
      <c r="E3" s="589" t="s">
        <v>98</v>
      </c>
      <c r="F3" s="590"/>
      <c r="G3" s="590"/>
      <c r="H3" s="590"/>
      <c r="I3" s="590"/>
      <c r="J3" s="590"/>
      <c r="K3" s="590"/>
      <c r="L3" s="590"/>
      <c r="M3" s="591"/>
      <c r="N3" s="576" t="s">
        <v>95</v>
      </c>
      <c r="O3" s="589" t="s">
        <v>97</v>
      </c>
      <c r="P3" s="590"/>
      <c r="Q3" s="590"/>
      <c r="R3" s="590"/>
      <c r="S3" s="590"/>
      <c r="T3" s="590"/>
      <c r="U3" s="590"/>
      <c r="V3" s="590"/>
      <c r="W3" s="591"/>
      <c r="X3" s="576" t="s">
        <v>95</v>
      </c>
      <c r="Y3" s="446"/>
      <c r="Z3" s="446"/>
      <c r="AA3" s="446"/>
      <c r="AB3" s="446"/>
      <c r="AC3" s="446"/>
      <c r="AD3" s="589" t="s">
        <v>97</v>
      </c>
      <c r="AE3" s="590"/>
      <c r="AF3" s="590"/>
      <c r="AG3" s="590"/>
      <c r="AH3" s="590"/>
      <c r="AI3" s="590"/>
      <c r="AJ3" s="590"/>
      <c r="AK3" s="590"/>
      <c r="AL3" s="591"/>
    </row>
    <row r="4" spans="1:46">
      <c r="B4" s="585"/>
      <c r="C4" s="586"/>
      <c r="D4" s="577"/>
      <c r="E4" s="576" t="s">
        <v>90</v>
      </c>
      <c r="F4" s="589" t="s">
        <v>86</v>
      </c>
      <c r="G4" s="590"/>
      <c r="H4" s="590"/>
      <c r="I4" s="591"/>
      <c r="J4" s="589" t="s">
        <v>85</v>
      </c>
      <c r="K4" s="590"/>
      <c r="L4" s="591"/>
      <c r="M4" s="579" t="s">
        <v>83</v>
      </c>
      <c r="N4" s="577"/>
      <c r="O4" s="576" t="s">
        <v>91</v>
      </c>
      <c r="P4" s="589" t="s">
        <v>86</v>
      </c>
      <c r="Q4" s="590"/>
      <c r="R4" s="590"/>
      <c r="S4" s="591"/>
      <c r="T4" s="590" t="s">
        <v>85</v>
      </c>
      <c r="U4" s="590"/>
      <c r="V4" s="591"/>
      <c r="W4" s="579" t="s">
        <v>83</v>
      </c>
      <c r="X4" s="577"/>
      <c r="Y4" s="443"/>
      <c r="Z4" s="443"/>
      <c r="AA4" s="443"/>
      <c r="AB4" s="443"/>
      <c r="AC4" s="443"/>
      <c r="AD4" s="576" t="s">
        <v>91</v>
      </c>
      <c r="AE4" s="589" t="s">
        <v>86</v>
      </c>
      <c r="AF4" s="590"/>
      <c r="AG4" s="590"/>
      <c r="AH4" s="591"/>
      <c r="AI4" s="590" t="s">
        <v>85</v>
      </c>
      <c r="AJ4" s="590"/>
      <c r="AK4" s="591"/>
      <c r="AL4" s="579" t="s">
        <v>83</v>
      </c>
    </row>
    <row r="5" spans="1:46">
      <c r="A5" s="586"/>
      <c r="B5" s="585"/>
      <c r="C5" s="586"/>
      <c r="D5" s="577"/>
      <c r="E5" s="577"/>
      <c r="F5" s="113" t="s">
        <v>82</v>
      </c>
      <c r="G5" s="385" t="s">
        <v>82</v>
      </c>
      <c r="H5" s="112" t="s">
        <v>80</v>
      </c>
      <c r="I5" s="383" t="s">
        <v>81</v>
      </c>
      <c r="J5" s="113" t="s">
        <v>82</v>
      </c>
      <c r="K5" s="112" t="s">
        <v>80</v>
      </c>
      <c r="L5" s="111" t="s">
        <v>81</v>
      </c>
      <c r="M5" s="580"/>
      <c r="N5" s="577"/>
      <c r="O5" s="577"/>
      <c r="P5" s="113" t="s">
        <v>82</v>
      </c>
      <c r="Q5" s="385" t="s">
        <v>82</v>
      </c>
      <c r="R5" s="112" t="s">
        <v>80</v>
      </c>
      <c r="S5" s="448" t="s">
        <v>81</v>
      </c>
      <c r="T5" s="425" t="s">
        <v>82</v>
      </c>
      <c r="U5" s="112" t="s">
        <v>80</v>
      </c>
      <c r="V5" s="111" t="s">
        <v>81</v>
      </c>
      <c r="W5" s="580"/>
      <c r="X5" s="577"/>
      <c r="Y5" s="443"/>
      <c r="Z5" s="443"/>
      <c r="AA5" s="443"/>
      <c r="AB5" s="443"/>
      <c r="AC5" s="443"/>
      <c r="AD5" s="577"/>
      <c r="AE5" s="113" t="s">
        <v>82</v>
      </c>
      <c r="AF5" s="385" t="s">
        <v>82</v>
      </c>
      <c r="AG5" s="112" t="s">
        <v>80</v>
      </c>
      <c r="AH5" s="448" t="s">
        <v>81</v>
      </c>
      <c r="AI5" s="425" t="s">
        <v>82</v>
      </c>
      <c r="AJ5" s="112" t="s">
        <v>80</v>
      </c>
      <c r="AK5" s="111" t="s">
        <v>81</v>
      </c>
      <c r="AL5" s="580"/>
      <c r="AM5" s="1" t="s">
        <v>3344</v>
      </c>
      <c r="AQ5" s="1" t="s">
        <v>3345</v>
      </c>
    </row>
    <row r="6" spans="1:46" s="106" customFormat="1">
      <c r="A6" s="586"/>
      <c r="B6" s="585"/>
      <c r="C6" s="586"/>
      <c r="D6" s="577"/>
      <c r="E6" s="578"/>
      <c r="F6" s="109" t="s">
        <v>78</v>
      </c>
      <c r="G6" s="386" t="s">
        <v>79</v>
      </c>
      <c r="H6" s="411" t="s">
        <v>84</v>
      </c>
      <c r="I6" s="401"/>
      <c r="J6" s="109" t="s">
        <v>78</v>
      </c>
      <c r="K6" s="108" t="s">
        <v>78</v>
      </c>
      <c r="L6" s="107"/>
      <c r="M6" s="580"/>
      <c r="N6" s="577"/>
      <c r="O6" s="578"/>
      <c r="P6" s="109" t="s">
        <v>78</v>
      </c>
      <c r="Q6" s="386" t="s">
        <v>79</v>
      </c>
      <c r="R6" s="411" t="s">
        <v>84</v>
      </c>
      <c r="S6" s="401"/>
      <c r="T6" s="426" t="s">
        <v>78</v>
      </c>
      <c r="U6" s="108" t="s">
        <v>78</v>
      </c>
      <c r="V6" s="107"/>
      <c r="W6" s="580"/>
      <c r="X6" s="578"/>
      <c r="Y6" s="444"/>
      <c r="Z6" s="444"/>
      <c r="AA6" s="444"/>
      <c r="AB6" s="444"/>
      <c r="AC6" s="444"/>
      <c r="AD6" s="578"/>
      <c r="AE6" s="109" t="s">
        <v>78</v>
      </c>
      <c r="AF6" s="386" t="s">
        <v>79</v>
      </c>
      <c r="AG6" s="411" t="s">
        <v>84</v>
      </c>
      <c r="AH6" s="401"/>
      <c r="AI6" s="426" t="s">
        <v>78</v>
      </c>
      <c r="AJ6" s="108" t="s">
        <v>78</v>
      </c>
      <c r="AK6" s="107"/>
      <c r="AL6" s="581"/>
      <c r="AM6" s="106" t="s">
        <v>3293</v>
      </c>
      <c r="AN6" s="106" t="s">
        <v>3294</v>
      </c>
      <c r="AQ6" s="1" t="s">
        <v>3345</v>
      </c>
      <c r="AT6" s="106" t="s">
        <v>3294</v>
      </c>
    </row>
    <row r="7" spans="1:46">
      <c r="A7" s="150"/>
      <c r="B7" s="192" t="s">
        <v>4</v>
      </c>
      <c r="C7" s="191" t="s">
        <v>21</v>
      </c>
      <c r="D7" s="188" t="s">
        <v>77</v>
      </c>
      <c r="E7" s="379">
        <f>+'[1]3条支出'!E6</f>
        <v>611819957</v>
      </c>
      <c r="F7" s="190">
        <v>285727057</v>
      </c>
      <c r="G7" s="421">
        <v>60054665</v>
      </c>
      <c r="H7" s="189">
        <v>0</v>
      </c>
      <c r="I7" s="101">
        <f>+SUM(F7:H7)</f>
        <v>345781722</v>
      </c>
      <c r="J7" s="190"/>
      <c r="K7" s="189">
        <v>266038235</v>
      </c>
      <c r="L7" s="95">
        <f t="shared" ref="L7:L44" si="0">+SUM(J7:K7)</f>
        <v>266038235</v>
      </c>
      <c r="M7" s="94">
        <f t="shared" ref="M7:M44" si="1">E7-SUM(I7,L7)</f>
        <v>0</v>
      </c>
      <c r="N7" s="188" t="s">
        <v>77</v>
      </c>
      <c r="O7" s="382">
        <f>+'[1]3条支出'!T6</f>
        <v>564664608</v>
      </c>
      <c r="P7" s="100">
        <f t="shared" ref="P7:R11" si="2">+IFERROR(ROUND(F7*$O7/$E7,0),0)</f>
        <v>263704959</v>
      </c>
      <c r="Q7" s="134">
        <f t="shared" si="2"/>
        <v>55426018</v>
      </c>
      <c r="R7" s="98">
        <f t="shared" si="2"/>
        <v>0</v>
      </c>
      <c r="S7" s="95">
        <f>+SUM(P7:R7)</f>
        <v>319130977</v>
      </c>
      <c r="T7" s="427">
        <f>+IFERROR(ROUND(J7*$O7/$E7,0),0)</f>
        <v>0</v>
      </c>
      <c r="U7" s="98">
        <f t="shared" ref="U7:U19" si="3">+O7-S7-T7</f>
        <v>245533631</v>
      </c>
      <c r="V7" s="95">
        <f t="shared" ref="V7:V44" si="4">+SUM(T7:U7)</f>
        <v>245533631</v>
      </c>
      <c r="W7" s="94">
        <f>O7-SUM(S7,V7)</f>
        <v>0</v>
      </c>
      <c r="X7" s="102" t="s">
        <v>77</v>
      </c>
      <c r="Y7" s="452"/>
      <c r="Z7" s="452"/>
      <c r="AA7" s="452"/>
      <c r="AB7" s="452"/>
      <c r="AC7" s="452"/>
      <c r="AD7" s="101">
        <f t="shared" ref="AD7:AD20" si="5">+O7</f>
        <v>564664608</v>
      </c>
      <c r="AE7" s="100">
        <f t="shared" ref="AE7:AE20" si="6">+P7</f>
        <v>263704959</v>
      </c>
      <c r="AF7" s="134">
        <f t="shared" ref="AF7:AF20" si="7">+Q7</f>
        <v>55426018</v>
      </c>
      <c r="AG7" s="98">
        <f t="shared" ref="AG7:AG20" si="8">+R7</f>
        <v>0</v>
      </c>
      <c r="AH7" s="95">
        <f t="shared" ref="AH7:AH44" si="9">+SUM(AE7:AG7)</f>
        <v>319130977</v>
      </c>
      <c r="AI7" s="427">
        <f t="shared" ref="AI7:AI20" si="10">+T7</f>
        <v>0</v>
      </c>
      <c r="AJ7" s="98">
        <f t="shared" ref="AJ7:AJ20" si="11">+U7</f>
        <v>245533631</v>
      </c>
      <c r="AK7" s="95">
        <f t="shared" ref="AK7:AK44" si="12">+SUM(AI7:AJ7)</f>
        <v>245533631</v>
      </c>
      <c r="AL7" s="94">
        <f t="shared" ref="AL7:AL44" si="13">AD7-SUM(AH7,AK7)</f>
        <v>0</v>
      </c>
      <c r="AM7" s="1">
        <f>SUM(AE7:AG7,AI7)</f>
        <v>319130977</v>
      </c>
      <c r="AN7" s="1">
        <v>336288000</v>
      </c>
      <c r="AO7" s="1">
        <f>AM7-AN7</f>
        <v>-17157023</v>
      </c>
      <c r="AQ7" s="1">
        <v>345982000</v>
      </c>
      <c r="AR7" s="1">
        <f t="shared" ref="AR7:AR50" si="14">AM7-AQ7</f>
        <v>-26851023</v>
      </c>
      <c r="AT7" s="1" t="s">
        <v>3295</v>
      </c>
    </row>
    <row r="8" spans="1:46">
      <c r="A8" s="150"/>
      <c r="B8" s="157" t="s">
        <v>4</v>
      </c>
      <c r="C8" s="156" t="s">
        <v>21</v>
      </c>
      <c r="D8" s="71" t="s">
        <v>74</v>
      </c>
      <c r="E8" s="380">
        <f>+'[1]3条支出'!E7</f>
        <v>52443869</v>
      </c>
      <c r="F8" s="39"/>
      <c r="G8" s="390"/>
      <c r="H8" s="38"/>
      <c r="I8" s="40">
        <f t="shared" ref="I8:I44" si="15">+SUM(F8:H8)</f>
        <v>0</v>
      </c>
      <c r="J8" s="39">
        <f>+E8</f>
        <v>52443869</v>
      </c>
      <c r="K8" s="38">
        <f>+E8-I8-J8</f>
        <v>0</v>
      </c>
      <c r="L8" s="37">
        <f t="shared" si="0"/>
        <v>52443869</v>
      </c>
      <c r="M8" s="36">
        <f t="shared" si="1"/>
        <v>0</v>
      </c>
      <c r="N8" s="71" t="s">
        <v>74</v>
      </c>
      <c r="O8" s="381">
        <f>+'[1]3条支出'!T7</f>
        <v>51313295</v>
      </c>
      <c r="P8" s="39">
        <f t="shared" si="2"/>
        <v>0</v>
      </c>
      <c r="Q8" s="390">
        <f t="shared" si="2"/>
        <v>0</v>
      </c>
      <c r="R8" s="38">
        <f t="shared" si="2"/>
        <v>0</v>
      </c>
      <c r="S8" s="37">
        <f t="shared" ref="S8:S44" si="16">+SUM(P8:R8)</f>
        <v>0</v>
      </c>
      <c r="T8" s="428">
        <f>+IFERROR(ROUND(J8*$O8/$E8,0),0)</f>
        <v>51313295</v>
      </c>
      <c r="U8" s="38">
        <f t="shared" si="3"/>
        <v>0</v>
      </c>
      <c r="V8" s="37">
        <f t="shared" si="4"/>
        <v>51313295</v>
      </c>
      <c r="W8" s="36">
        <f t="shared" ref="W8:W44" si="17">O8-SUM(S8,V8)</f>
        <v>0</v>
      </c>
      <c r="X8" s="42" t="s">
        <v>74</v>
      </c>
      <c r="Y8" s="453"/>
      <c r="Z8" s="453"/>
      <c r="AA8" s="453"/>
      <c r="AB8" s="453"/>
      <c r="AC8" s="453"/>
      <c r="AD8" s="40">
        <f t="shared" si="5"/>
        <v>51313295</v>
      </c>
      <c r="AE8" s="39">
        <f t="shared" si="6"/>
        <v>0</v>
      </c>
      <c r="AF8" s="390">
        <f t="shared" si="7"/>
        <v>0</v>
      </c>
      <c r="AG8" s="38">
        <f t="shared" si="8"/>
        <v>0</v>
      </c>
      <c r="AH8" s="37">
        <f t="shared" si="9"/>
        <v>0</v>
      </c>
      <c r="AI8" s="428">
        <f t="shared" si="10"/>
        <v>51313295</v>
      </c>
      <c r="AJ8" s="38">
        <f t="shared" si="11"/>
        <v>0</v>
      </c>
      <c r="AK8" s="37">
        <f t="shared" si="12"/>
        <v>51313295</v>
      </c>
      <c r="AL8" s="36">
        <f t="shared" si="13"/>
        <v>0</v>
      </c>
      <c r="AM8" s="1">
        <f t="shared" ref="AM8:AM45" si="18">SUM(AE8:AG8,AI8)</f>
        <v>51313295</v>
      </c>
      <c r="AN8" s="1">
        <v>51456000</v>
      </c>
      <c r="AO8" s="1">
        <f t="shared" ref="AO8:AO50" si="19">AM8-AN8</f>
        <v>-142705</v>
      </c>
      <c r="AQ8" s="1">
        <v>60255000</v>
      </c>
      <c r="AR8" s="1">
        <f t="shared" si="14"/>
        <v>-8941705</v>
      </c>
      <c r="AT8" s="1" t="s">
        <v>3296</v>
      </c>
    </row>
    <row r="9" spans="1:46">
      <c r="A9" s="150"/>
      <c r="B9" s="157" t="s">
        <v>4</v>
      </c>
      <c r="C9" s="156" t="s">
        <v>21</v>
      </c>
      <c r="D9" s="71" t="s">
        <v>71</v>
      </c>
      <c r="E9" s="380">
        <f>+'[1]3条支出'!E8</f>
        <v>2356040225</v>
      </c>
      <c r="F9" s="153">
        <v>1724925338</v>
      </c>
      <c r="G9" s="416">
        <v>55051811</v>
      </c>
      <c r="H9" s="152"/>
      <c r="I9" s="40">
        <f t="shared" si="15"/>
        <v>1779977149</v>
      </c>
      <c r="J9" s="153"/>
      <c r="K9" s="152">
        <v>576063076</v>
      </c>
      <c r="L9" s="37">
        <f t="shared" si="0"/>
        <v>576063076</v>
      </c>
      <c r="M9" s="36">
        <f t="shared" si="1"/>
        <v>0</v>
      </c>
      <c r="N9" s="71" t="s">
        <v>71</v>
      </c>
      <c r="O9" s="381">
        <f>+'[1]3条支出'!T8</f>
        <v>2251657967</v>
      </c>
      <c r="P9" s="39">
        <f t="shared" si="2"/>
        <v>1648504061</v>
      </c>
      <c r="Q9" s="390">
        <f>+IFERROR(ROUND(G9*$O9/$E9,0),0)</f>
        <v>52612790</v>
      </c>
      <c r="R9" s="38">
        <f t="shared" si="2"/>
        <v>0</v>
      </c>
      <c r="S9" s="37">
        <f t="shared" si="16"/>
        <v>1701116851</v>
      </c>
      <c r="T9" s="428">
        <f>+IFERROR(ROUND(J9*$O9/$E9,0),0)</f>
        <v>0</v>
      </c>
      <c r="U9" s="38">
        <f t="shared" si="3"/>
        <v>550541116</v>
      </c>
      <c r="V9" s="37">
        <f t="shared" si="4"/>
        <v>550541116</v>
      </c>
      <c r="W9" s="36">
        <f t="shared" si="17"/>
        <v>0</v>
      </c>
      <c r="X9" s="42" t="s">
        <v>71</v>
      </c>
      <c r="Y9" s="453"/>
      <c r="Z9" s="453"/>
      <c r="AA9" s="453"/>
      <c r="AB9" s="453"/>
      <c r="AC9" s="453"/>
      <c r="AD9" s="40">
        <f t="shared" si="5"/>
        <v>2251657967</v>
      </c>
      <c r="AE9" s="39">
        <f t="shared" si="6"/>
        <v>1648504061</v>
      </c>
      <c r="AF9" s="390">
        <f t="shared" si="7"/>
        <v>52612790</v>
      </c>
      <c r="AG9" s="38">
        <f t="shared" si="8"/>
        <v>0</v>
      </c>
      <c r="AH9" s="37">
        <f t="shared" si="9"/>
        <v>1701116851</v>
      </c>
      <c r="AI9" s="428">
        <f t="shared" si="10"/>
        <v>0</v>
      </c>
      <c r="AJ9" s="38">
        <f t="shared" si="11"/>
        <v>550541116</v>
      </c>
      <c r="AK9" s="37">
        <f t="shared" si="12"/>
        <v>550541116</v>
      </c>
      <c r="AL9" s="36">
        <f t="shared" si="13"/>
        <v>0</v>
      </c>
      <c r="AM9" s="1">
        <f t="shared" si="18"/>
        <v>1701116851</v>
      </c>
      <c r="AN9" s="1">
        <v>1645552000</v>
      </c>
      <c r="AO9" s="1">
        <f t="shared" si="19"/>
        <v>55564851</v>
      </c>
      <c r="AQ9" s="1">
        <v>1697315000</v>
      </c>
      <c r="AR9" s="1">
        <f t="shared" si="14"/>
        <v>3801851</v>
      </c>
      <c r="AT9" s="1" t="s">
        <v>3297</v>
      </c>
    </row>
    <row r="10" spans="1:46">
      <c r="A10" s="150"/>
      <c r="B10" s="157" t="s">
        <v>4</v>
      </c>
      <c r="C10" s="156" t="s">
        <v>21</v>
      </c>
      <c r="D10" s="71" t="s">
        <v>69</v>
      </c>
      <c r="E10" s="380">
        <f>+'[1]3条支出'!E9</f>
        <v>6557703864</v>
      </c>
      <c r="F10" s="153">
        <v>703775367</v>
      </c>
      <c r="G10" s="416">
        <v>144110894</v>
      </c>
      <c r="H10" s="152">
        <v>445816778</v>
      </c>
      <c r="I10" s="40">
        <f t="shared" si="15"/>
        <v>1293703039</v>
      </c>
      <c r="J10" s="153">
        <f>83018974+51475850</f>
        <v>134494824</v>
      </c>
      <c r="K10" s="152">
        <f>5180981851-51475850</f>
        <v>5129506001</v>
      </c>
      <c r="L10" s="37">
        <f t="shared" si="0"/>
        <v>5264000825</v>
      </c>
      <c r="M10" s="36">
        <f>E10-SUM(I10,L10)</f>
        <v>0</v>
      </c>
      <c r="N10" s="71" t="s">
        <v>69</v>
      </c>
      <c r="O10" s="381">
        <f>+'[1]3条支出'!T9</f>
        <v>6037810078</v>
      </c>
      <c r="P10" s="39">
        <f t="shared" si="2"/>
        <v>647980161</v>
      </c>
      <c r="Q10" s="390">
        <f t="shared" si="2"/>
        <v>132685804</v>
      </c>
      <c r="R10" s="38">
        <f t="shared" si="2"/>
        <v>410472490</v>
      </c>
      <c r="S10" s="37">
        <f t="shared" si="16"/>
        <v>1191138455</v>
      </c>
      <c r="T10" s="428">
        <f>+IFERROR(ROUND(J10*$O10/$E10,0),0)</f>
        <v>123832094</v>
      </c>
      <c r="U10" s="38">
        <f t="shared" si="3"/>
        <v>4722839529</v>
      </c>
      <c r="V10" s="37">
        <f t="shared" si="4"/>
        <v>4846671623</v>
      </c>
      <c r="W10" s="36">
        <f t="shared" si="17"/>
        <v>0</v>
      </c>
      <c r="X10" s="42" t="s">
        <v>69</v>
      </c>
      <c r="Y10" s="453"/>
      <c r="Z10" s="453"/>
      <c r="AA10" s="453"/>
      <c r="AB10" s="453"/>
      <c r="AC10" s="453"/>
      <c r="AD10" s="40">
        <f t="shared" si="5"/>
        <v>6037810078</v>
      </c>
      <c r="AE10" s="39">
        <f t="shared" si="6"/>
        <v>647980161</v>
      </c>
      <c r="AF10" s="390">
        <f t="shared" si="7"/>
        <v>132685804</v>
      </c>
      <c r="AG10" s="38">
        <f t="shared" si="8"/>
        <v>410472490</v>
      </c>
      <c r="AH10" s="37">
        <f t="shared" si="9"/>
        <v>1191138455</v>
      </c>
      <c r="AI10" s="428">
        <f t="shared" si="10"/>
        <v>123832094</v>
      </c>
      <c r="AJ10" s="38">
        <f t="shared" si="11"/>
        <v>4722839529</v>
      </c>
      <c r="AK10" s="37">
        <f t="shared" si="12"/>
        <v>4846671623</v>
      </c>
      <c r="AL10" s="36">
        <f t="shared" si="13"/>
        <v>0</v>
      </c>
      <c r="AM10" s="1">
        <f t="shared" si="18"/>
        <v>1314970549</v>
      </c>
      <c r="AN10" s="1">
        <v>1151544454</v>
      </c>
      <c r="AO10" s="1">
        <f t="shared" si="19"/>
        <v>163426095</v>
      </c>
      <c r="AQ10" s="1">
        <v>1274316000</v>
      </c>
      <c r="AR10" s="1">
        <f t="shared" si="14"/>
        <v>40654549</v>
      </c>
      <c r="AT10" s="1" t="s">
        <v>3298</v>
      </c>
    </row>
    <row r="11" spans="1:46">
      <c r="A11" s="150"/>
      <c r="B11" s="157" t="s">
        <v>4</v>
      </c>
      <c r="C11" s="156" t="s">
        <v>21</v>
      </c>
      <c r="D11" s="71" t="s">
        <v>67</v>
      </c>
      <c r="E11" s="380">
        <f>+'[1]3条支出'!E10</f>
        <v>0</v>
      </c>
      <c r="F11" s="39"/>
      <c r="G11" s="390"/>
      <c r="H11" s="38"/>
      <c r="I11" s="40">
        <f t="shared" si="15"/>
        <v>0</v>
      </c>
      <c r="J11" s="39"/>
      <c r="K11" s="38">
        <f t="shared" ref="K11:K19" si="20">+E11-I11-J11</f>
        <v>0</v>
      </c>
      <c r="L11" s="37">
        <f t="shared" si="0"/>
        <v>0</v>
      </c>
      <c r="M11" s="36">
        <f t="shared" si="1"/>
        <v>0</v>
      </c>
      <c r="N11" s="71" t="s">
        <v>67</v>
      </c>
      <c r="O11" s="381">
        <f>+'[1]3条支出'!T10</f>
        <v>0</v>
      </c>
      <c r="P11" s="39">
        <f t="shared" si="2"/>
        <v>0</v>
      </c>
      <c r="Q11" s="390">
        <f t="shared" si="2"/>
        <v>0</v>
      </c>
      <c r="R11" s="38">
        <f t="shared" si="2"/>
        <v>0</v>
      </c>
      <c r="S11" s="37">
        <f t="shared" si="16"/>
        <v>0</v>
      </c>
      <c r="T11" s="428">
        <f>+IFERROR(ROUND(J11*$O11/$E11,0),0)</f>
        <v>0</v>
      </c>
      <c r="U11" s="38">
        <f t="shared" si="3"/>
        <v>0</v>
      </c>
      <c r="V11" s="37">
        <f t="shared" si="4"/>
        <v>0</v>
      </c>
      <c r="W11" s="36">
        <f t="shared" si="17"/>
        <v>0</v>
      </c>
      <c r="X11" s="42" t="s">
        <v>67</v>
      </c>
      <c r="Y11" s="453"/>
      <c r="Z11" s="453"/>
      <c r="AA11" s="453"/>
      <c r="AB11" s="453"/>
      <c r="AC11" s="453"/>
      <c r="AD11" s="40">
        <f t="shared" si="5"/>
        <v>0</v>
      </c>
      <c r="AE11" s="39">
        <f t="shared" si="6"/>
        <v>0</v>
      </c>
      <c r="AF11" s="390">
        <f t="shared" si="7"/>
        <v>0</v>
      </c>
      <c r="AG11" s="38">
        <f t="shared" si="8"/>
        <v>0</v>
      </c>
      <c r="AH11" s="37">
        <f t="shared" si="9"/>
        <v>0</v>
      </c>
      <c r="AI11" s="428">
        <f t="shared" si="10"/>
        <v>0</v>
      </c>
      <c r="AJ11" s="38">
        <f t="shared" si="11"/>
        <v>0</v>
      </c>
      <c r="AK11" s="37">
        <f t="shared" si="12"/>
        <v>0</v>
      </c>
      <c r="AL11" s="36">
        <f t="shared" si="13"/>
        <v>0</v>
      </c>
      <c r="AM11" s="1">
        <f t="shared" si="18"/>
        <v>0</v>
      </c>
      <c r="AO11" s="1">
        <f t="shared" si="19"/>
        <v>0</v>
      </c>
      <c r="AR11" s="1">
        <f t="shared" si="14"/>
        <v>0</v>
      </c>
    </row>
    <row r="12" spans="1:46">
      <c r="A12" s="150"/>
      <c r="B12" s="157" t="s">
        <v>4</v>
      </c>
      <c r="C12" s="156" t="s">
        <v>21</v>
      </c>
      <c r="D12" s="71" t="s">
        <v>65</v>
      </c>
      <c r="E12" s="380">
        <f>+'[1]3条支出'!E11</f>
        <v>88849549</v>
      </c>
      <c r="F12" s="39"/>
      <c r="G12" s="390"/>
      <c r="H12" s="544">
        <f>+補助補給!Y4</f>
        <v>0</v>
      </c>
      <c r="I12" s="40">
        <f t="shared" si="15"/>
        <v>0</v>
      </c>
      <c r="J12" s="39">
        <f>ROUND((E12-H12)/2,0)</f>
        <v>44424775</v>
      </c>
      <c r="K12" s="38">
        <f t="shared" si="20"/>
        <v>44424774</v>
      </c>
      <c r="L12" s="37">
        <f t="shared" si="0"/>
        <v>88849549</v>
      </c>
      <c r="M12" s="36">
        <f t="shared" si="1"/>
        <v>0</v>
      </c>
      <c r="N12" s="71" t="s">
        <v>65</v>
      </c>
      <c r="O12" s="381">
        <f>+'[1]3条支出'!T11</f>
        <v>87134052</v>
      </c>
      <c r="P12" s="159"/>
      <c r="Q12" s="417"/>
      <c r="R12" s="164">
        <f>+補助補給!AZ4</f>
        <v>0</v>
      </c>
      <c r="S12" s="37">
        <f t="shared" si="16"/>
        <v>0</v>
      </c>
      <c r="T12" s="428">
        <f>+ROUND((O12-R12)/2,0)</f>
        <v>43567026</v>
      </c>
      <c r="U12" s="38">
        <f t="shared" si="3"/>
        <v>43567026</v>
      </c>
      <c r="V12" s="37">
        <f t="shared" si="4"/>
        <v>87134052</v>
      </c>
      <c r="W12" s="36">
        <f t="shared" si="17"/>
        <v>0</v>
      </c>
      <c r="X12" s="42" t="s">
        <v>65</v>
      </c>
      <c r="Y12" s="453"/>
      <c r="Z12" s="453"/>
      <c r="AA12" s="453"/>
      <c r="AB12" s="453"/>
      <c r="AC12" s="453"/>
      <c r="AD12" s="40">
        <f t="shared" si="5"/>
        <v>87134052</v>
      </c>
      <c r="AE12" s="39">
        <f t="shared" si="6"/>
        <v>0</v>
      </c>
      <c r="AF12" s="390">
        <f t="shared" si="7"/>
        <v>0</v>
      </c>
      <c r="AG12" s="38">
        <f t="shared" si="8"/>
        <v>0</v>
      </c>
      <c r="AH12" s="37">
        <f t="shared" si="9"/>
        <v>0</v>
      </c>
      <c r="AI12" s="428">
        <f t="shared" si="10"/>
        <v>43567026</v>
      </c>
      <c r="AJ12" s="38">
        <f t="shared" si="11"/>
        <v>43567026</v>
      </c>
      <c r="AK12" s="37">
        <f t="shared" si="12"/>
        <v>87134052</v>
      </c>
      <c r="AL12" s="36">
        <f t="shared" si="13"/>
        <v>0</v>
      </c>
      <c r="AM12" s="1">
        <f t="shared" si="18"/>
        <v>43567026</v>
      </c>
      <c r="AN12" s="1">
        <v>42873000</v>
      </c>
      <c r="AO12" s="1">
        <f t="shared" si="19"/>
        <v>694026</v>
      </c>
      <c r="AQ12" s="1">
        <v>39027000</v>
      </c>
      <c r="AR12" s="1">
        <f t="shared" si="14"/>
        <v>4540026</v>
      </c>
      <c r="AT12" s="1" t="s">
        <v>3299</v>
      </c>
    </row>
    <row r="13" spans="1:46">
      <c r="A13" s="150"/>
      <c r="B13" s="157" t="s">
        <v>4</v>
      </c>
      <c r="C13" s="156" t="s">
        <v>21</v>
      </c>
      <c r="D13" s="71" t="s">
        <v>62</v>
      </c>
      <c r="E13" s="380">
        <f>+'[1]3条支出'!E12</f>
        <v>10483859</v>
      </c>
      <c r="F13" s="39"/>
      <c r="G13" s="390"/>
      <c r="H13" s="547">
        <f>+E13</f>
        <v>10483859</v>
      </c>
      <c r="I13" s="40">
        <f t="shared" si="15"/>
        <v>10483859</v>
      </c>
      <c r="J13" s="39"/>
      <c r="K13" s="38">
        <f t="shared" si="20"/>
        <v>0</v>
      </c>
      <c r="L13" s="37">
        <f t="shared" si="0"/>
        <v>0</v>
      </c>
      <c r="M13" s="36">
        <f t="shared" si="1"/>
        <v>0</v>
      </c>
      <c r="N13" s="71" t="s">
        <v>62</v>
      </c>
      <c r="O13" s="381">
        <f>+'[1]3条支出'!T12</f>
        <v>10396270</v>
      </c>
      <c r="P13" s="159"/>
      <c r="Q13" s="417"/>
      <c r="R13" s="38">
        <f>+O13</f>
        <v>10396270</v>
      </c>
      <c r="S13" s="37">
        <f t="shared" si="16"/>
        <v>10396270</v>
      </c>
      <c r="T13" s="429"/>
      <c r="U13" s="160">
        <f t="shared" si="3"/>
        <v>0</v>
      </c>
      <c r="V13" s="37">
        <f t="shared" si="4"/>
        <v>0</v>
      </c>
      <c r="W13" s="36">
        <f t="shared" si="17"/>
        <v>0</v>
      </c>
      <c r="X13" s="42" t="s">
        <v>62</v>
      </c>
      <c r="Y13" s="453"/>
      <c r="Z13" s="453"/>
      <c r="AA13" s="453"/>
      <c r="AB13" s="453"/>
      <c r="AC13" s="453"/>
      <c r="AD13" s="40">
        <f t="shared" si="5"/>
        <v>10396270</v>
      </c>
      <c r="AE13" s="39">
        <f t="shared" si="6"/>
        <v>0</v>
      </c>
      <c r="AF13" s="390">
        <f t="shared" si="7"/>
        <v>0</v>
      </c>
      <c r="AG13" s="38">
        <f t="shared" si="8"/>
        <v>10396270</v>
      </c>
      <c r="AH13" s="37">
        <f t="shared" si="9"/>
        <v>10396270</v>
      </c>
      <c r="AI13" s="428">
        <f t="shared" si="10"/>
        <v>0</v>
      </c>
      <c r="AJ13" s="38">
        <f t="shared" si="11"/>
        <v>0</v>
      </c>
      <c r="AK13" s="37">
        <f t="shared" si="12"/>
        <v>0</v>
      </c>
      <c r="AL13" s="36">
        <f t="shared" si="13"/>
        <v>0</v>
      </c>
      <c r="AM13" s="1">
        <f t="shared" si="18"/>
        <v>10396270</v>
      </c>
      <c r="AN13" s="1">
        <v>10612000</v>
      </c>
      <c r="AO13" s="1">
        <f t="shared" si="19"/>
        <v>-215730</v>
      </c>
      <c r="AQ13" s="1">
        <v>14660000</v>
      </c>
      <c r="AR13" s="1">
        <f t="shared" si="14"/>
        <v>-4263730</v>
      </c>
      <c r="AT13" s="1" t="s">
        <v>3300</v>
      </c>
    </row>
    <row r="14" spans="1:46">
      <c r="A14" s="150"/>
      <c r="B14" s="157" t="s">
        <v>4</v>
      </c>
      <c r="C14" s="156" t="s">
        <v>21</v>
      </c>
      <c r="D14" s="71" t="s">
        <v>60</v>
      </c>
      <c r="E14" s="380">
        <f>+'[1]3条支出'!E13</f>
        <v>1019945143</v>
      </c>
      <c r="F14" s="39"/>
      <c r="G14" s="390"/>
      <c r="H14" s="38"/>
      <c r="I14" s="40">
        <f t="shared" si="15"/>
        <v>0</v>
      </c>
      <c r="J14" s="39"/>
      <c r="K14" s="38">
        <f t="shared" si="20"/>
        <v>1019945143</v>
      </c>
      <c r="L14" s="37">
        <f t="shared" si="0"/>
        <v>1019945143</v>
      </c>
      <c r="M14" s="36">
        <f t="shared" si="1"/>
        <v>0</v>
      </c>
      <c r="N14" s="71" t="s">
        <v>60</v>
      </c>
      <c r="O14" s="381">
        <f>+'[1]3条支出'!T13</f>
        <v>929691714</v>
      </c>
      <c r="P14" s="159"/>
      <c r="Q14" s="417"/>
      <c r="R14" s="436">
        <f>+IFERROR(ROUND(H14/SUM([1]業務!E5:E9,[1]業務!E34)*SUM([1]業務!T5:T9,[1]業務!T34),0),0)</f>
        <v>0</v>
      </c>
      <c r="S14" s="37">
        <f t="shared" si="16"/>
        <v>0</v>
      </c>
      <c r="T14" s="429"/>
      <c r="U14" s="160">
        <f t="shared" si="3"/>
        <v>929691714</v>
      </c>
      <c r="V14" s="37">
        <f t="shared" si="4"/>
        <v>929691714</v>
      </c>
      <c r="W14" s="36">
        <f t="shared" si="17"/>
        <v>0</v>
      </c>
      <c r="X14" s="42" t="s">
        <v>60</v>
      </c>
      <c r="Y14" s="453"/>
      <c r="Z14" s="453"/>
      <c r="AA14" s="453"/>
      <c r="AB14" s="453"/>
      <c r="AC14" s="453"/>
      <c r="AD14" s="40">
        <f t="shared" si="5"/>
        <v>929691714</v>
      </c>
      <c r="AE14" s="39">
        <f t="shared" si="6"/>
        <v>0</v>
      </c>
      <c r="AF14" s="390">
        <f t="shared" si="7"/>
        <v>0</v>
      </c>
      <c r="AG14" s="38">
        <f t="shared" si="8"/>
        <v>0</v>
      </c>
      <c r="AH14" s="37">
        <f t="shared" si="9"/>
        <v>0</v>
      </c>
      <c r="AI14" s="428">
        <f t="shared" si="10"/>
        <v>0</v>
      </c>
      <c r="AJ14" s="38">
        <f t="shared" si="11"/>
        <v>929691714</v>
      </c>
      <c r="AK14" s="37">
        <f t="shared" si="12"/>
        <v>929691714</v>
      </c>
      <c r="AL14" s="36">
        <f t="shared" si="13"/>
        <v>0</v>
      </c>
      <c r="AM14" s="1">
        <f t="shared" si="18"/>
        <v>0</v>
      </c>
      <c r="AN14" s="1">
        <v>0</v>
      </c>
      <c r="AO14" s="1">
        <f t="shared" si="19"/>
        <v>0</v>
      </c>
      <c r="AQ14" s="1">
        <v>0</v>
      </c>
      <c r="AR14" s="1">
        <f t="shared" si="14"/>
        <v>0</v>
      </c>
      <c r="AT14" s="1" t="s">
        <v>3301</v>
      </c>
    </row>
    <row r="15" spans="1:46">
      <c r="A15" s="150"/>
      <c r="B15" s="157" t="s">
        <v>4</v>
      </c>
      <c r="C15" s="156" t="s">
        <v>21</v>
      </c>
      <c r="D15" s="71" t="s">
        <v>58</v>
      </c>
      <c r="E15" s="380">
        <f>+'[1]3条支出'!E14</f>
        <v>483965214</v>
      </c>
      <c r="F15" s="545">
        <f>+IFERROR(ROUND(([1]総係!$E$37-[1]総係!$E$36)*SUM(F7:F14)/SUM($F$7:$H$14,$J$7:$K$14),0),0)</f>
        <v>122380384</v>
      </c>
      <c r="G15" s="546">
        <f>+IFERROR(ROUND(([1]総係!$E$37-[1]総係!$E$36)*SUM(G7:G14)/SUM($F$7:$H$14,$J$7:$K$14),0),0)</f>
        <v>11686854</v>
      </c>
      <c r="H15" s="547"/>
      <c r="I15" s="73">
        <f t="shared" si="15"/>
        <v>134067238</v>
      </c>
      <c r="J15" s="159"/>
      <c r="K15" s="38">
        <f t="shared" si="20"/>
        <v>349897976</v>
      </c>
      <c r="L15" s="37">
        <f t="shared" si="0"/>
        <v>349897976</v>
      </c>
      <c r="M15" s="36">
        <f t="shared" si="1"/>
        <v>0</v>
      </c>
      <c r="N15" s="71" t="s">
        <v>58</v>
      </c>
      <c r="O15" s="381">
        <f>+'[1]3条支出'!T14</f>
        <v>466286409</v>
      </c>
      <c r="P15" s="179">
        <f>+IFERROR(ROUND(([1]総係!$T$37-[1]総係!$T$36)*SUM(P7:P14)/SUM($P$7:$R$14,$T$7:$U$14),0),0)</f>
        <v>119755277</v>
      </c>
      <c r="Q15" s="418">
        <f>+IFERROR(ROUND(([1]総係!$T$37-[1]総係!$T$36)*SUM(Q7:Q14)/SUM($P$7:$R$14,$T$7:$U$14),0),0)</f>
        <v>11260122</v>
      </c>
      <c r="R15" s="38"/>
      <c r="S15" s="68">
        <f t="shared" si="16"/>
        <v>131015399</v>
      </c>
      <c r="T15" s="429"/>
      <c r="U15" s="38">
        <f t="shared" si="3"/>
        <v>335271010</v>
      </c>
      <c r="V15" s="37">
        <f t="shared" si="4"/>
        <v>335271010</v>
      </c>
      <c r="W15" s="36">
        <f t="shared" si="17"/>
        <v>0</v>
      </c>
      <c r="X15" s="42" t="s">
        <v>58</v>
      </c>
      <c r="Y15" s="453"/>
      <c r="Z15" s="453"/>
      <c r="AA15" s="453"/>
      <c r="AB15" s="453"/>
      <c r="AC15" s="453"/>
      <c r="AD15" s="40">
        <f t="shared" si="5"/>
        <v>466286409</v>
      </c>
      <c r="AE15" s="51">
        <f t="shared" si="6"/>
        <v>119755277</v>
      </c>
      <c r="AF15" s="390">
        <f t="shared" si="7"/>
        <v>11260122</v>
      </c>
      <c r="AG15" s="38">
        <f t="shared" si="8"/>
        <v>0</v>
      </c>
      <c r="AH15" s="37">
        <f t="shared" si="9"/>
        <v>131015399</v>
      </c>
      <c r="AI15" s="428">
        <f t="shared" si="10"/>
        <v>0</v>
      </c>
      <c r="AJ15" s="38">
        <f t="shared" si="11"/>
        <v>335271010</v>
      </c>
      <c r="AK15" s="37">
        <f t="shared" si="12"/>
        <v>335271010</v>
      </c>
      <c r="AL15" s="36">
        <f t="shared" si="13"/>
        <v>0</v>
      </c>
      <c r="AM15" s="1">
        <f t="shared" si="18"/>
        <v>131015399</v>
      </c>
      <c r="AN15" s="1">
        <v>121395000</v>
      </c>
      <c r="AO15" s="1">
        <f t="shared" si="19"/>
        <v>9620399</v>
      </c>
      <c r="AQ15" s="1">
        <v>135565000</v>
      </c>
      <c r="AR15" s="1">
        <f t="shared" si="14"/>
        <v>-4549601</v>
      </c>
      <c r="AT15" s="1" t="s">
        <v>3302</v>
      </c>
    </row>
    <row r="16" spans="1:46">
      <c r="A16" s="150"/>
      <c r="B16" s="157" t="s">
        <v>4</v>
      </c>
      <c r="C16" s="156" t="s">
        <v>21</v>
      </c>
      <c r="D16" s="163" t="s">
        <v>119</v>
      </c>
      <c r="E16" s="380">
        <f>+'[1]3条支出'!E15</f>
        <v>106990906</v>
      </c>
      <c r="F16" s="159"/>
      <c r="G16" s="417"/>
      <c r="H16" s="544"/>
      <c r="I16" s="73">
        <f t="shared" si="15"/>
        <v>0</v>
      </c>
      <c r="J16" s="564">
        <v>0</v>
      </c>
      <c r="K16" s="38">
        <f>+E16-I16-J16</f>
        <v>106990906</v>
      </c>
      <c r="L16" s="37">
        <f>+SUM(J16:K16)</f>
        <v>106990906</v>
      </c>
      <c r="M16" s="36">
        <f>E16-SUM(I16,L16)</f>
        <v>0</v>
      </c>
      <c r="N16" s="163" t="s">
        <v>119</v>
      </c>
      <c r="O16" s="381">
        <f>+'[1]3条支出'!T15</f>
        <v>97276922</v>
      </c>
      <c r="P16" s="159"/>
      <c r="Q16" s="417"/>
      <c r="R16" s="164">
        <f>+補助補給!AZ5</f>
        <v>0</v>
      </c>
      <c r="S16" s="68">
        <f t="shared" si="16"/>
        <v>0</v>
      </c>
      <c r="T16" s="564"/>
      <c r="U16" s="160">
        <f>+O16-S16-T16</f>
        <v>97276922</v>
      </c>
      <c r="V16" s="37">
        <f t="shared" si="4"/>
        <v>97276922</v>
      </c>
      <c r="W16" s="36">
        <f t="shared" si="17"/>
        <v>0</v>
      </c>
      <c r="X16" s="42" t="s">
        <v>55</v>
      </c>
      <c r="Y16" s="453"/>
      <c r="Z16" s="453"/>
      <c r="AA16" s="453"/>
      <c r="AB16" s="453"/>
      <c r="AC16" s="453"/>
      <c r="AD16" s="40">
        <f t="shared" si="5"/>
        <v>97276922</v>
      </c>
      <c r="AE16" s="39">
        <f t="shared" si="6"/>
        <v>0</v>
      </c>
      <c r="AF16" s="390">
        <f t="shared" si="7"/>
        <v>0</v>
      </c>
      <c r="AG16" s="38">
        <f t="shared" si="8"/>
        <v>0</v>
      </c>
      <c r="AH16" s="37">
        <f t="shared" si="9"/>
        <v>0</v>
      </c>
      <c r="AI16" s="428">
        <f t="shared" si="10"/>
        <v>0</v>
      </c>
      <c r="AJ16" s="38">
        <f t="shared" si="11"/>
        <v>97276922</v>
      </c>
      <c r="AK16" s="37">
        <f t="shared" si="12"/>
        <v>97276922</v>
      </c>
      <c r="AL16" s="36">
        <f t="shared" si="13"/>
        <v>0</v>
      </c>
      <c r="AM16" s="1">
        <f t="shared" si="18"/>
        <v>0</v>
      </c>
      <c r="AN16" s="1">
        <v>566363</v>
      </c>
      <c r="AO16" s="1">
        <f t="shared" si="19"/>
        <v>-566363</v>
      </c>
      <c r="AQ16" s="1">
        <v>0</v>
      </c>
      <c r="AR16" s="1">
        <f t="shared" si="14"/>
        <v>0</v>
      </c>
      <c r="AT16" s="1" t="s">
        <v>3303</v>
      </c>
    </row>
    <row r="17" spans="1:46">
      <c r="A17" s="150"/>
      <c r="B17" s="157" t="s">
        <v>4</v>
      </c>
      <c r="C17" s="156" t="s">
        <v>21</v>
      </c>
      <c r="D17" s="163" t="s">
        <v>118</v>
      </c>
      <c r="E17" s="380">
        <f>+'[1]3条支出'!E16</f>
        <v>247654024</v>
      </c>
      <c r="F17" s="159"/>
      <c r="G17" s="417"/>
      <c r="H17" s="544"/>
      <c r="I17" s="73">
        <f t="shared" si="15"/>
        <v>0</v>
      </c>
      <c r="J17" s="564">
        <v>0</v>
      </c>
      <c r="K17" s="38">
        <f t="shared" si="20"/>
        <v>247654024</v>
      </c>
      <c r="L17" s="37">
        <f t="shared" si="0"/>
        <v>247654024</v>
      </c>
      <c r="M17" s="36">
        <f t="shared" si="1"/>
        <v>0</v>
      </c>
      <c r="N17" s="163" t="s">
        <v>118</v>
      </c>
      <c r="O17" s="381">
        <f>+'[1]3条支出'!T16</f>
        <v>225167795</v>
      </c>
      <c r="P17" s="159"/>
      <c r="Q17" s="417"/>
      <c r="R17" s="164">
        <f>+補助補給!AZ6</f>
        <v>0</v>
      </c>
      <c r="S17" s="68">
        <f t="shared" si="16"/>
        <v>0</v>
      </c>
      <c r="T17" s="564"/>
      <c r="U17" s="160">
        <f t="shared" si="3"/>
        <v>225167795</v>
      </c>
      <c r="V17" s="37">
        <f t="shared" si="4"/>
        <v>225167795</v>
      </c>
      <c r="W17" s="36">
        <f t="shared" si="17"/>
        <v>0</v>
      </c>
      <c r="X17" s="42" t="s">
        <v>53</v>
      </c>
      <c r="Y17" s="453"/>
      <c r="Z17" s="453"/>
      <c r="AA17" s="453"/>
      <c r="AB17" s="453"/>
      <c r="AC17" s="453"/>
      <c r="AD17" s="40">
        <f t="shared" si="5"/>
        <v>225167795</v>
      </c>
      <c r="AE17" s="39">
        <f t="shared" si="6"/>
        <v>0</v>
      </c>
      <c r="AF17" s="390">
        <f t="shared" si="7"/>
        <v>0</v>
      </c>
      <c r="AG17" s="38">
        <f t="shared" si="8"/>
        <v>0</v>
      </c>
      <c r="AH17" s="37">
        <f t="shared" si="9"/>
        <v>0</v>
      </c>
      <c r="AI17" s="428">
        <f t="shared" si="10"/>
        <v>0</v>
      </c>
      <c r="AJ17" s="38">
        <f t="shared" si="11"/>
        <v>225167795</v>
      </c>
      <c r="AK17" s="37">
        <f t="shared" si="12"/>
        <v>225167795</v>
      </c>
      <c r="AL17" s="36">
        <f t="shared" si="13"/>
        <v>0</v>
      </c>
      <c r="AM17" s="1">
        <f t="shared" si="18"/>
        <v>0</v>
      </c>
      <c r="AN17" s="1">
        <v>3919090</v>
      </c>
      <c r="AO17" s="1">
        <f t="shared" si="19"/>
        <v>-3919090</v>
      </c>
      <c r="AQ17" s="1">
        <v>0</v>
      </c>
      <c r="AR17" s="1">
        <f t="shared" si="14"/>
        <v>0</v>
      </c>
      <c r="AT17" s="1" t="s">
        <v>3304</v>
      </c>
    </row>
    <row r="18" spans="1:46">
      <c r="A18" s="150"/>
      <c r="B18" s="157" t="s">
        <v>4</v>
      </c>
      <c r="C18" s="156" t="s">
        <v>21</v>
      </c>
      <c r="D18" s="71" t="s">
        <v>51</v>
      </c>
      <c r="E18" s="380">
        <f>+'[1]3条支出'!E17</f>
        <v>76388330</v>
      </c>
      <c r="F18" s="159"/>
      <c r="G18" s="417"/>
      <c r="H18" s="544"/>
      <c r="I18" s="40">
        <f t="shared" si="15"/>
        <v>0</v>
      </c>
      <c r="J18" s="159"/>
      <c r="K18" s="38">
        <f t="shared" si="20"/>
        <v>76388330</v>
      </c>
      <c r="L18" s="37">
        <f t="shared" si="0"/>
        <v>76388330</v>
      </c>
      <c r="M18" s="36">
        <f t="shared" si="1"/>
        <v>0</v>
      </c>
      <c r="N18" s="71" t="s">
        <v>51</v>
      </c>
      <c r="O18" s="381">
        <f>+'[1]3条支出'!T17</f>
        <v>69941329</v>
      </c>
      <c r="P18" s="159"/>
      <c r="Q18" s="417"/>
      <c r="R18" s="164">
        <f>+補助補給!AZ7</f>
        <v>0</v>
      </c>
      <c r="S18" s="37">
        <f t="shared" si="16"/>
        <v>0</v>
      </c>
      <c r="T18" s="429"/>
      <c r="U18" s="160">
        <f t="shared" si="3"/>
        <v>69941329</v>
      </c>
      <c r="V18" s="37">
        <f t="shared" si="4"/>
        <v>69941329</v>
      </c>
      <c r="W18" s="36">
        <f t="shared" si="17"/>
        <v>0</v>
      </c>
      <c r="X18" s="42" t="s">
        <v>51</v>
      </c>
      <c r="Y18" s="453"/>
      <c r="Z18" s="453"/>
      <c r="AA18" s="453"/>
      <c r="AB18" s="453"/>
      <c r="AC18" s="453"/>
      <c r="AD18" s="40">
        <f t="shared" si="5"/>
        <v>69941329</v>
      </c>
      <c r="AE18" s="39">
        <f t="shared" si="6"/>
        <v>0</v>
      </c>
      <c r="AF18" s="390">
        <f t="shared" si="7"/>
        <v>0</v>
      </c>
      <c r="AG18" s="38">
        <f t="shared" si="8"/>
        <v>0</v>
      </c>
      <c r="AH18" s="37">
        <f t="shared" si="9"/>
        <v>0</v>
      </c>
      <c r="AI18" s="428">
        <f t="shared" si="10"/>
        <v>0</v>
      </c>
      <c r="AJ18" s="38">
        <f t="shared" si="11"/>
        <v>69941329</v>
      </c>
      <c r="AK18" s="37">
        <f t="shared" si="12"/>
        <v>69941329</v>
      </c>
      <c r="AL18" s="36">
        <f t="shared" si="13"/>
        <v>0</v>
      </c>
      <c r="AM18" s="1">
        <f t="shared" si="18"/>
        <v>0</v>
      </c>
      <c r="AN18" s="1">
        <v>0</v>
      </c>
      <c r="AO18" s="1">
        <f t="shared" si="19"/>
        <v>0</v>
      </c>
      <c r="AQ18" s="1">
        <v>0</v>
      </c>
      <c r="AR18" s="1">
        <f t="shared" si="14"/>
        <v>0</v>
      </c>
      <c r="AT18" s="1" t="s">
        <v>3305</v>
      </c>
    </row>
    <row r="19" spans="1:46">
      <c r="A19" s="150"/>
      <c r="B19" s="157" t="s">
        <v>4</v>
      </c>
      <c r="C19" s="156" t="s">
        <v>21</v>
      </c>
      <c r="D19" s="71" t="s">
        <v>49</v>
      </c>
      <c r="E19" s="380">
        <f>+'[1]3条支出'!E18</f>
        <v>0</v>
      </c>
      <c r="F19" s="159"/>
      <c r="G19" s="417"/>
      <c r="H19" s="160"/>
      <c r="I19" s="40">
        <f t="shared" si="15"/>
        <v>0</v>
      </c>
      <c r="J19" s="159"/>
      <c r="K19" s="38">
        <f t="shared" si="20"/>
        <v>0</v>
      </c>
      <c r="L19" s="37">
        <f t="shared" si="0"/>
        <v>0</v>
      </c>
      <c r="M19" s="36">
        <f t="shared" si="1"/>
        <v>0</v>
      </c>
      <c r="N19" s="71" t="s">
        <v>49</v>
      </c>
      <c r="O19" s="381">
        <f>+'[1]3条支出'!T18</f>
        <v>0</v>
      </c>
      <c r="P19" s="159"/>
      <c r="Q19" s="417"/>
      <c r="R19" s="160"/>
      <c r="S19" s="37">
        <f t="shared" si="16"/>
        <v>0</v>
      </c>
      <c r="T19" s="429"/>
      <c r="U19" s="160">
        <f t="shared" si="3"/>
        <v>0</v>
      </c>
      <c r="V19" s="37">
        <f t="shared" si="4"/>
        <v>0</v>
      </c>
      <c r="W19" s="36">
        <f t="shared" si="17"/>
        <v>0</v>
      </c>
      <c r="X19" s="42" t="s">
        <v>49</v>
      </c>
      <c r="Y19" s="453"/>
      <c r="Z19" s="453"/>
      <c r="AA19" s="453"/>
      <c r="AB19" s="453"/>
      <c r="AC19" s="453"/>
      <c r="AD19" s="40">
        <f t="shared" si="5"/>
        <v>0</v>
      </c>
      <c r="AE19" s="39">
        <f t="shared" si="6"/>
        <v>0</v>
      </c>
      <c r="AF19" s="390">
        <f t="shared" si="7"/>
        <v>0</v>
      </c>
      <c r="AG19" s="38">
        <f t="shared" si="8"/>
        <v>0</v>
      </c>
      <c r="AH19" s="37">
        <f t="shared" si="9"/>
        <v>0</v>
      </c>
      <c r="AI19" s="428">
        <f t="shared" si="10"/>
        <v>0</v>
      </c>
      <c r="AJ19" s="38">
        <f t="shared" si="11"/>
        <v>0</v>
      </c>
      <c r="AK19" s="37">
        <f t="shared" si="12"/>
        <v>0</v>
      </c>
      <c r="AL19" s="36">
        <f t="shared" si="13"/>
        <v>0</v>
      </c>
      <c r="AM19" s="1">
        <f t="shared" si="18"/>
        <v>0</v>
      </c>
      <c r="AO19" s="1">
        <f t="shared" si="19"/>
        <v>0</v>
      </c>
      <c r="AR19" s="1">
        <f t="shared" si="14"/>
        <v>0</v>
      </c>
    </row>
    <row r="20" spans="1:46">
      <c r="A20" s="150"/>
      <c r="B20" s="157" t="s">
        <v>4</v>
      </c>
      <c r="C20" s="156" t="s">
        <v>21</v>
      </c>
      <c r="D20" s="163" t="s">
        <v>46</v>
      </c>
      <c r="E20" s="155">
        <f>+[1]減耗!$E$7</f>
        <v>0</v>
      </c>
      <c r="F20" s="153">
        <v>0</v>
      </c>
      <c r="G20" s="417"/>
      <c r="H20" s="38"/>
      <c r="I20" s="73">
        <f t="shared" si="15"/>
        <v>0</v>
      </c>
      <c r="J20" s="159"/>
      <c r="K20" s="152">
        <v>0</v>
      </c>
      <c r="L20" s="37">
        <f t="shared" si="0"/>
        <v>0</v>
      </c>
      <c r="M20" s="36">
        <f t="shared" si="1"/>
        <v>0</v>
      </c>
      <c r="N20" s="163" t="s">
        <v>46</v>
      </c>
      <c r="O20" s="154">
        <f>+[1]減耗!T7</f>
        <v>0</v>
      </c>
      <c r="P20" s="39">
        <f>+IFERROR(ROUND(F20*$O20/$E20,0),0)</f>
        <v>0</v>
      </c>
      <c r="Q20" s="417">
        <f>+IFERROR(ROUND(G20*$O20/$E20,0),0)</f>
        <v>0</v>
      </c>
      <c r="R20" s="160">
        <f>+IFERROR(ROUND(H20*$O20/$E20,0),0)</f>
        <v>0</v>
      </c>
      <c r="S20" s="68">
        <f t="shared" si="16"/>
        <v>0</v>
      </c>
      <c r="T20" s="429">
        <f>+IFERROR(ROUND(J20*$O20/$E20,0),0)</f>
        <v>0</v>
      </c>
      <c r="U20" s="160">
        <f>+O20-S20-T20</f>
        <v>0</v>
      </c>
      <c r="V20" s="37">
        <f t="shared" si="4"/>
        <v>0</v>
      </c>
      <c r="W20" s="36">
        <f t="shared" si="17"/>
        <v>0</v>
      </c>
      <c r="X20" s="50" t="s">
        <v>46</v>
      </c>
      <c r="Y20" s="454"/>
      <c r="Z20" s="454"/>
      <c r="AA20" s="454"/>
      <c r="AB20" s="454"/>
      <c r="AC20" s="454"/>
      <c r="AD20" s="40">
        <f t="shared" si="5"/>
        <v>0</v>
      </c>
      <c r="AE20" s="39">
        <f t="shared" si="6"/>
        <v>0</v>
      </c>
      <c r="AF20" s="390">
        <f t="shared" si="7"/>
        <v>0</v>
      </c>
      <c r="AG20" s="38">
        <f t="shared" si="8"/>
        <v>0</v>
      </c>
      <c r="AH20" s="37">
        <f t="shared" si="9"/>
        <v>0</v>
      </c>
      <c r="AI20" s="428">
        <f t="shared" si="10"/>
        <v>0</v>
      </c>
      <c r="AJ20" s="38">
        <f t="shared" si="11"/>
        <v>0</v>
      </c>
      <c r="AK20" s="37">
        <f t="shared" si="12"/>
        <v>0</v>
      </c>
      <c r="AL20" s="36">
        <f t="shared" si="13"/>
        <v>0</v>
      </c>
      <c r="AM20" s="1">
        <f t="shared" si="18"/>
        <v>0</v>
      </c>
      <c r="AO20" s="1">
        <f t="shared" si="19"/>
        <v>0</v>
      </c>
      <c r="AR20" s="1">
        <f t="shared" si="14"/>
        <v>0</v>
      </c>
    </row>
    <row r="21" spans="1:46">
      <c r="A21" s="150"/>
      <c r="B21" s="157"/>
      <c r="C21" s="156"/>
      <c r="D21" s="71"/>
      <c r="E21" s="162"/>
      <c r="F21" s="169"/>
      <c r="G21" s="419"/>
      <c r="H21" s="160"/>
      <c r="I21" s="40"/>
      <c r="J21" s="169"/>
      <c r="K21" s="38"/>
      <c r="L21" s="37"/>
      <c r="M21" s="36"/>
      <c r="N21" s="71"/>
      <c r="O21" s="161"/>
      <c r="P21" s="169"/>
      <c r="Q21" s="419"/>
      <c r="R21" s="160"/>
      <c r="S21" s="37"/>
      <c r="T21" s="430"/>
      <c r="U21" s="160"/>
      <c r="V21" s="37"/>
      <c r="W21" s="36"/>
      <c r="X21" s="42"/>
      <c r="Y21" s="453"/>
      <c r="Z21" s="453"/>
      <c r="AA21" s="453"/>
      <c r="AB21" s="453"/>
      <c r="AC21" s="453"/>
      <c r="AD21" s="40"/>
      <c r="AE21" s="39"/>
      <c r="AF21" s="390"/>
      <c r="AG21" s="38"/>
      <c r="AH21" s="52"/>
      <c r="AI21" s="428"/>
      <c r="AJ21" s="38"/>
      <c r="AK21" s="52"/>
      <c r="AL21" s="36"/>
      <c r="AM21" s="1">
        <f t="shared" si="18"/>
        <v>0</v>
      </c>
      <c r="AO21" s="1">
        <f t="shared" si="19"/>
        <v>0</v>
      </c>
      <c r="AR21" s="1">
        <f t="shared" si="14"/>
        <v>0</v>
      </c>
    </row>
    <row r="22" spans="1:46">
      <c r="A22" s="150"/>
      <c r="B22" s="157" t="s">
        <v>4</v>
      </c>
      <c r="C22" s="156" t="s">
        <v>14</v>
      </c>
      <c r="D22" s="71" t="s">
        <v>43</v>
      </c>
      <c r="E22" s="155">
        <f>+[1]営外!E11</f>
        <v>2483</v>
      </c>
      <c r="F22" s="165">
        <f>+雨汚支出!AV3</f>
        <v>0</v>
      </c>
      <c r="G22" s="412">
        <f>+雨汚支出!AW3</f>
        <v>0</v>
      </c>
      <c r="H22" s="164">
        <f>+雨汚支出!AX3</f>
        <v>0</v>
      </c>
      <c r="I22" s="40">
        <f t="shared" si="15"/>
        <v>0</v>
      </c>
      <c r="J22" s="165">
        <f>+雨汚支出!AZ3</f>
        <v>0</v>
      </c>
      <c r="K22" s="164">
        <f>+雨汚支出!BA3</f>
        <v>2483</v>
      </c>
      <c r="L22" s="37">
        <f t="shared" si="0"/>
        <v>2483</v>
      </c>
      <c r="M22" s="36">
        <f t="shared" si="1"/>
        <v>0</v>
      </c>
      <c r="N22" s="71" t="s">
        <v>43</v>
      </c>
      <c r="O22" s="154">
        <f>+[1]営外!T11</f>
        <v>2483</v>
      </c>
      <c r="P22" s="165">
        <f>+雨汚支出!BF3</f>
        <v>0</v>
      </c>
      <c r="Q22" s="412">
        <f>+雨汚支出!BG3</f>
        <v>0</v>
      </c>
      <c r="R22" s="164">
        <f>+雨汚支出!BH3</f>
        <v>0</v>
      </c>
      <c r="S22" s="37">
        <f t="shared" si="16"/>
        <v>0</v>
      </c>
      <c r="T22" s="431">
        <f>+雨汚支出!BJ3</f>
        <v>0</v>
      </c>
      <c r="U22" s="164">
        <f>+雨汚支出!BK3</f>
        <v>2483</v>
      </c>
      <c r="V22" s="37">
        <f t="shared" si="4"/>
        <v>2483</v>
      </c>
      <c r="W22" s="36">
        <f t="shared" si="17"/>
        <v>0</v>
      </c>
      <c r="X22" s="42" t="s">
        <v>43</v>
      </c>
      <c r="Y22" s="453"/>
      <c r="Z22" s="453"/>
      <c r="AA22" s="453"/>
      <c r="AB22" s="453"/>
      <c r="AC22" s="453"/>
      <c r="AD22" s="40">
        <f t="shared" ref="AD22:AG24" si="21">+O22</f>
        <v>2483</v>
      </c>
      <c r="AE22" s="39">
        <f t="shared" si="21"/>
        <v>0</v>
      </c>
      <c r="AF22" s="390">
        <f t="shared" si="21"/>
        <v>0</v>
      </c>
      <c r="AG22" s="38">
        <f t="shared" si="21"/>
        <v>0</v>
      </c>
      <c r="AH22" s="37">
        <f t="shared" si="9"/>
        <v>0</v>
      </c>
      <c r="AI22" s="428">
        <f t="shared" ref="AI22:AJ24" si="22">+T22</f>
        <v>0</v>
      </c>
      <c r="AJ22" s="38">
        <f t="shared" si="22"/>
        <v>2483</v>
      </c>
      <c r="AK22" s="37">
        <f t="shared" si="12"/>
        <v>2483</v>
      </c>
      <c r="AL22" s="36">
        <f t="shared" si="13"/>
        <v>0</v>
      </c>
      <c r="AM22" s="1">
        <f t="shared" si="18"/>
        <v>0</v>
      </c>
      <c r="AO22" s="1">
        <f t="shared" si="19"/>
        <v>0</v>
      </c>
      <c r="AR22" s="1">
        <f t="shared" si="14"/>
        <v>0</v>
      </c>
    </row>
    <row r="23" spans="1:46">
      <c r="A23" s="150"/>
      <c r="B23" s="157" t="s">
        <v>4</v>
      </c>
      <c r="C23" s="156" t="s">
        <v>14</v>
      </c>
      <c r="D23" s="71" t="s">
        <v>40</v>
      </c>
      <c r="E23" s="155">
        <f>+[1]営外!E15+[1]営外!E16-E24</f>
        <v>25896</v>
      </c>
      <c r="F23" s="165">
        <f>+雨汚支出!AV4+雨汚支出!AV5-F24</f>
        <v>0</v>
      </c>
      <c r="G23" s="412">
        <f>+雨汚支出!AW4+雨汚支出!AW5-G24</f>
        <v>0</v>
      </c>
      <c r="H23" s="164">
        <f>+雨汚支出!AX4+雨汚支出!AX5-H24</f>
        <v>0</v>
      </c>
      <c r="I23" s="40">
        <f t="shared" si="15"/>
        <v>0</v>
      </c>
      <c r="J23" s="165">
        <f>+雨汚支出!AZ4+雨汚支出!AZ5-J24</f>
        <v>0</v>
      </c>
      <c r="K23" s="164">
        <f>+雨汚支出!BA4+雨汚支出!BA5-K24</f>
        <v>25896</v>
      </c>
      <c r="L23" s="37">
        <f t="shared" si="0"/>
        <v>25896</v>
      </c>
      <c r="M23" s="36">
        <f t="shared" si="1"/>
        <v>0</v>
      </c>
      <c r="N23" s="71" t="s">
        <v>40</v>
      </c>
      <c r="O23" s="155">
        <f>+[1]営外!T15+[1]営外!T16-O24</f>
        <v>24123</v>
      </c>
      <c r="P23" s="165">
        <f>+雨汚支出!BF4+雨汚支出!BF5-P24</f>
        <v>0</v>
      </c>
      <c r="Q23" s="412">
        <f>+雨汚支出!BG4+雨汚支出!BG5-Q24</f>
        <v>0</v>
      </c>
      <c r="R23" s="164">
        <f>+雨汚支出!BH4+雨汚支出!BH5-R24</f>
        <v>0</v>
      </c>
      <c r="S23" s="37">
        <f t="shared" si="16"/>
        <v>0</v>
      </c>
      <c r="T23" s="431">
        <f>+雨汚支出!BJ4+雨汚支出!BJ5-T24</f>
        <v>0</v>
      </c>
      <c r="U23" s="164">
        <f>+雨汚支出!BK4+雨汚支出!BK5-U24</f>
        <v>24123</v>
      </c>
      <c r="V23" s="37">
        <f t="shared" si="4"/>
        <v>24123</v>
      </c>
      <c r="W23" s="36">
        <f t="shared" si="17"/>
        <v>0</v>
      </c>
      <c r="X23" s="71" t="s">
        <v>40</v>
      </c>
      <c r="Y23" s="455"/>
      <c r="Z23" s="455"/>
      <c r="AA23" s="455"/>
      <c r="AB23" s="455"/>
      <c r="AC23" s="455"/>
      <c r="AD23" s="51">
        <f t="shared" si="21"/>
        <v>24123</v>
      </c>
      <c r="AE23" s="39">
        <f t="shared" si="21"/>
        <v>0</v>
      </c>
      <c r="AF23" s="390">
        <f t="shared" si="21"/>
        <v>0</v>
      </c>
      <c r="AG23" s="38">
        <f t="shared" si="21"/>
        <v>0</v>
      </c>
      <c r="AH23" s="37">
        <f t="shared" si="9"/>
        <v>0</v>
      </c>
      <c r="AI23" s="428">
        <f t="shared" si="22"/>
        <v>0</v>
      </c>
      <c r="AJ23" s="38">
        <f t="shared" si="22"/>
        <v>24123</v>
      </c>
      <c r="AK23" s="37">
        <f t="shared" si="12"/>
        <v>24123</v>
      </c>
      <c r="AL23" s="36">
        <f t="shared" si="13"/>
        <v>0</v>
      </c>
      <c r="AM23" s="1">
        <f t="shared" si="18"/>
        <v>0</v>
      </c>
      <c r="AO23" s="1">
        <f t="shared" si="19"/>
        <v>0</v>
      </c>
      <c r="AR23" s="1">
        <f t="shared" si="14"/>
        <v>0</v>
      </c>
    </row>
    <row r="24" spans="1:46">
      <c r="A24" s="150"/>
      <c r="B24" s="157" t="s">
        <v>117</v>
      </c>
      <c r="C24" s="156" t="s">
        <v>116</v>
      </c>
      <c r="D24" s="71" t="s">
        <v>38</v>
      </c>
      <c r="E24" s="155">
        <f>+[1]営外!E20</f>
        <v>9198273</v>
      </c>
      <c r="F24" s="39"/>
      <c r="G24" s="390"/>
      <c r="H24" s="38"/>
      <c r="I24" s="40">
        <f t="shared" si="15"/>
        <v>0</v>
      </c>
      <c r="J24" s="39"/>
      <c r="K24" s="38">
        <f>+E24-I24-J24</f>
        <v>9198273</v>
      </c>
      <c r="L24" s="37">
        <f t="shared" si="0"/>
        <v>9198273</v>
      </c>
      <c r="M24" s="36">
        <f t="shared" si="1"/>
        <v>0</v>
      </c>
      <c r="N24" s="71" t="s">
        <v>38</v>
      </c>
      <c r="O24" s="155">
        <f>+[1]営外!T20</f>
        <v>8710224</v>
      </c>
      <c r="P24" s="159"/>
      <c r="Q24" s="390"/>
      <c r="R24" s="38"/>
      <c r="S24" s="37">
        <f t="shared" si="16"/>
        <v>0</v>
      </c>
      <c r="T24" s="428"/>
      <c r="U24" s="160">
        <f t="shared" ref="U24:U28" si="23">+O24-S24-T24</f>
        <v>8710224</v>
      </c>
      <c r="V24" s="37">
        <f t="shared" si="4"/>
        <v>8710224</v>
      </c>
      <c r="W24" s="36">
        <f t="shared" si="17"/>
        <v>0</v>
      </c>
      <c r="X24" s="42" t="s">
        <v>38</v>
      </c>
      <c r="Y24" s="456"/>
      <c r="Z24" s="456"/>
      <c r="AA24" s="456"/>
      <c r="AB24" s="456"/>
      <c r="AC24" s="456"/>
      <c r="AD24" s="51">
        <f t="shared" si="21"/>
        <v>8710224</v>
      </c>
      <c r="AE24" s="39">
        <f t="shared" si="21"/>
        <v>0</v>
      </c>
      <c r="AF24" s="390">
        <f t="shared" si="21"/>
        <v>0</v>
      </c>
      <c r="AG24" s="38">
        <f t="shared" si="21"/>
        <v>0</v>
      </c>
      <c r="AH24" s="37">
        <f t="shared" si="9"/>
        <v>0</v>
      </c>
      <c r="AI24" s="428">
        <f t="shared" si="22"/>
        <v>0</v>
      </c>
      <c r="AJ24" s="38">
        <f t="shared" si="22"/>
        <v>8710224</v>
      </c>
      <c r="AK24" s="37">
        <f t="shared" si="12"/>
        <v>8710224</v>
      </c>
      <c r="AL24" s="36">
        <f t="shared" si="13"/>
        <v>0</v>
      </c>
      <c r="AM24" s="1">
        <f t="shared" si="18"/>
        <v>0</v>
      </c>
      <c r="AN24" s="1">
        <v>7273000</v>
      </c>
      <c r="AO24" s="1">
        <f t="shared" si="19"/>
        <v>-7273000</v>
      </c>
      <c r="AQ24" s="1">
        <v>0</v>
      </c>
      <c r="AR24" s="1">
        <f t="shared" si="14"/>
        <v>0</v>
      </c>
      <c r="AT24" s="1" t="s">
        <v>3306</v>
      </c>
    </row>
    <row r="25" spans="1:46">
      <c r="A25" s="150"/>
      <c r="B25" s="157" t="s">
        <v>4</v>
      </c>
      <c r="C25" s="156" t="s">
        <v>14</v>
      </c>
      <c r="D25" s="163" t="s">
        <v>35</v>
      </c>
      <c r="E25" s="51"/>
      <c r="F25" s="159"/>
      <c r="G25" s="417"/>
      <c r="H25" s="160"/>
      <c r="I25" s="40">
        <f t="shared" si="15"/>
        <v>0</v>
      </c>
      <c r="J25" s="159"/>
      <c r="K25" s="38">
        <f>+E25-I25-J25</f>
        <v>0</v>
      </c>
      <c r="L25" s="37">
        <f t="shared" si="0"/>
        <v>0</v>
      </c>
      <c r="M25" s="36">
        <f t="shared" si="1"/>
        <v>0</v>
      </c>
      <c r="N25" s="163" t="s">
        <v>35</v>
      </c>
      <c r="O25" s="51"/>
      <c r="P25" s="159"/>
      <c r="Q25" s="417"/>
      <c r="R25" s="160"/>
      <c r="S25" s="37">
        <f t="shared" si="16"/>
        <v>0</v>
      </c>
      <c r="T25" s="429"/>
      <c r="U25" s="160">
        <f t="shared" si="23"/>
        <v>0</v>
      </c>
      <c r="V25" s="37">
        <f t="shared" si="4"/>
        <v>0</v>
      </c>
      <c r="W25" s="36">
        <f t="shared" si="17"/>
        <v>0</v>
      </c>
      <c r="X25" s="50" t="s">
        <v>35</v>
      </c>
      <c r="Y25" s="457"/>
      <c r="Z25" s="457"/>
      <c r="AA25" s="457"/>
      <c r="AB25" s="457"/>
      <c r="AC25" s="457"/>
      <c r="AD25" s="61">
        <f>+AD130-AD39</f>
        <v>209933209</v>
      </c>
      <c r="AE25" s="48">
        <f>+AE130-AE39</f>
        <v>161840742</v>
      </c>
      <c r="AF25" s="389">
        <f>+AF130-AF39</f>
        <v>15449991</v>
      </c>
      <c r="AG25" s="47">
        <f>+AG130-AG39</f>
        <v>23053301</v>
      </c>
      <c r="AH25" s="37">
        <f t="shared" si="9"/>
        <v>200344034</v>
      </c>
      <c r="AI25" s="433">
        <f>+AI130-AI39</f>
        <v>9576435</v>
      </c>
      <c r="AJ25" s="47">
        <f>+AJ130-AJ39</f>
        <v>12740</v>
      </c>
      <c r="AK25" s="37">
        <f t="shared" si="12"/>
        <v>9589175</v>
      </c>
      <c r="AL25" s="36">
        <f t="shared" si="13"/>
        <v>0</v>
      </c>
      <c r="AM25" s="1">
        <f t="shared" si="18"/>
        <v>209920469</v>
      </c>
      <c r="AN25" s="1">
        <v>191121651</v>
      </c>
      <c r="AO25" s="1">
        <f t="shared" si="19"/>
        <v>18798818</v>
      </c>
      <c r="AQ25" s="1">
        <v>210556000</v>
      </c>
      <c r="AR25" s="1">
        <f t="shared" si="14"/>
        <v>-635531</v>
      </c>
      <c r="AT25" s="1" t="s">
        <v>3307</v>
      </c>
    </row>
    <row r="26" spans="1:46">
      <c r="A26" s="150"/>
      <c r="B26" s="157" t="s">
        <v>4</v>
      </c>
      <c r="C26" s="156" t="s">
        <v>14</v>
      </c>
      <c r="D26" s="71" t="s">
        <v>3343</v>
      </c>
      <c r="E26" s="51"/>
      <c r="F26" s="159"/>
      <c r="G26" s="417"/>
      <c r="H26" s="160"/>
      <c r="I26" s="40"/>
      <c r="J26" s="159"/>
      <c r="K26" s="38"/>
      <c r="L26" s="37"/>
      <c r="M26" s="36"/>
      <c r="N26" s="71" t="s">
        <v>3343</v>
      </c>
      <c r="O26" s="51"/>
      <c r="P26" s="159"/>
      <c r="Q26" s="417"/>
      <c r="R26" s="160"/>
      <c r="S26" s="37"/>
      <c r="T26" s="429"/>
      <c r="U26" s="160"/>
      <c r="V26" s="37"/>
      <c r="W26" s="36"/>
      <c r="X26" s="71" t="s">
        <v>3343</v>
      </c>
      <c r="Y26" s="453"/>
      <c r="Z26" s="453"/>
      <c r="AA26" s="453"/>
      <c r="AB26" s="453"/>
      <c r="AC26" s="453"/>
      <c r="AD26" s="38">
        <f>[1]営外!$T$19</f>
        <v>629</v>
      </c>
      <c r="AE26" s="39"/>
      <c r="AF26" s="390"/>
      <c r="AG26" s="38"/>
      <c r="AH26" s="37">
        <f t="shared" si="9"/>
        <v>0</v>
      </c>
      <c r="AI26" s="428"/>
      <c r="AJ26" s="38">
        <f>[1]営外!$T$19</f>
        <v>629</v>
      </c>
      <c r="AK26" s="37">
        <f t="shared" si="12"/>
        <v>629</v>
      </c>
      <c r="AL26" s="36">
        <f t="shared" si="13"/>
        <v>0</v>
      </c>
      <c r="AM26" s="1">
        <f t="shared" si="18"/>
        <v>0</v>
      </c>
      <c r="AO26" s="1">
        <f t="shared" si="19"/>
        <v>0</v>
      </c>
      <c r="AR26" s="1">
        <f t="shared" si="14"/>
        <v>0</v>
      </c>
    </row>
    <row r="27" spans="1:46">
      <c r="A27" s="150"/>
      <c r="B27" s="157"/>
      <c r="C27" s="156"/>
      <c r="D27" s="71"/>
      <c r="E27" s="162"/>
      <c r="F27" s="159"/>
      <c r="G27" s="417"/>
      <c r="H27" s="160"/>
      <c r="I27" s="40"/>
      <c r="J27" s="159"/>
      <c r="K27" s="38"/>
      <c r="L27" s="37"/>
      <c r="M27" s="36"/>
      <c r="N27" s="71"/>
      <c r="O27" s="161"/>
      <c r="P27" s="159"/>
      <c r="Q27" s="417"/>
      <c r="R27" s="160"/>
      <c r="S27" s="37"/>
      <c r="T27" s="429"/>
      <c r="U27" s="160"/>
      <c r="V27" s="37"/>
      <c r="W27" s="36"/>
      <c r="X27" s="42"/>
      <c r="Y27" s="453"/>
      <c r="Z27" s="453"/>
      <c r="AA27" s="453"/>
      <c r="AB27" s="453"/>
      <c r="AC27" s="453"/>
      <c r="AD27" s="40"/>
      <c r="AE27" s="39"/>
      <c r="AF27" s="390"/>
      <c r="AG27" s="38"/>
      <c r="AH27" s="37"/>
      <c r="AI27" s="428"/>
      <c r="AJ27" s="38"/>
      <c r="AK27" s="37"/>
      <c r="AL27" s="36"/>
      <c r="AM27" s="1">
        <f t="shared" si="18"/>
        <v>0</v>
      </c>
      <c r="AO27" s="1">
        <f t="shared" si="19"/>
        <v>0</v>
      </c>
      <c r="AR27" s="1">
        <f t="shared" si="14"/>
        <v>0</v>
      </c>
    </row>
    <row r="28" spans="1:46">
      <c r="A28" s="150"/>
      <c r="B28" s="157" t="s">
        <v>4</v>
      </c>
      <c r="C28" s="156" t="s">
        <v>8</v>
      </c>
      <c r="D28" s="71" t="s">
        <v>30</v>
      </c>
      <c r="E28" s="380">
        <f>+'[1]3条支出'!$E$30</f>
        <v>10315355</v>
      </c>
      <c r="F28" s="165">
        <f>+雨汚支出!AV6</f>
        <v>0</v>
      </c>
      <c r="G28" s="412">
        <f>+雨汚支出!AW6</f>
        <v>0</v>
      </c>
      <c r="H28" s="164">
        <f>+雨汚支出!AX6</f>
        <v>0</v>
      </c>
      <c r="I28" s="40">
        <f t="shared" si="15"/>
        <v>0</v>
      </c>
      <c r="J28" s="165">
        <f>+雨汚支出!AZ6</f>
        <v>0</v>
      </c>
      <c r="K28" s="164">
        <f>+雨汚支出!BA6</f>
        <v>10315355</v>
      </c>
      <c r="L28" s="37">
        <f t="shared" si="0"/>
        <v>10315355</v>
      </c>
      <c r="M28" s="36">
        <f t="shared" si="1"/>
        <v>0</v>
      </c>
      <c r="N28" s="71" t="s">
        <v>30</v>
      </c>
      <c r="O28" s="381">
        <f>+'[1]3条支出'!$T$30</f>
        <v>10315355</v>
      </c>
      <c r="P28" s="39">
        <f>+F28</f>
        <v>0</v>
      </c>
      <c r="Q28" s="390">
        <f>+G28</f>
        <v>0</v>
      </c>
      <c r="R28" s="160"/>
      <c r="S28" s="37">
        <f t="shared" si="16"/>
        <v>0</v>
      </c>
      <c r="T28" s="428">
        <f>+J28</f>
        <v>0</v>
      </c>
      <c r="U28" s="38">
        <f t="shared" si="23"/>
        <v>10315355</v>
      </c>
      <c r="V28" s="37">
        <f t="shared" si="4"/>
        <v>10315355</v>
      </c>
      <c r="W28" s="36">
        <f t="shared" si="17"/>
        <v>0</v>
      </c>
      <c r="X28" s="42" t="s">
        <v>30</v>
      </c>
      <c r="Y28" s="453"/>
      <c r="Z28" s="453"/>
      <c r="AA28" s="453"/>
      <c r="AB28" s="453"/>
      <c r="AC28" s="453"/>
      <c r="AD28" s="40">
        <f t="shared" ref="AD28:AG32" si="24">+O28</f>
        <v>10315355</v>
      </c>
      <c r="AE28" s="39">
        <f t="shared" si="24"/>
        <v>0</v>
      </c>
      <c r="AF28" s="390">
        <f t="shared" si="24"/>
        <v>0</v>
      </c>
      <c r="AG28" s="38">
        <f t="shared" si="24"/>
        <v>0</v>
      </c>
      <c r="AH28" s="52">
        <f t="shared" si="9"/>
        <v>0</v>
      </c>
      <c r="AI28" s="428">
        <f t="shared" ref="AI28:AJ32" si="25">+T28</f>
        <v>0</v>
      </c>
      <c r="AJ28" s="38">
        <f t="shared" si="25"/>
        <v>10315355</v>
      </c>
      <c r="AK28" s="52">
        <f t="shared" si="12"/>
        <v>10315355</v>
      </c>
      <c r="AL28" s="36">
        <f t="shared" si="13"/>
        <v>0</v>
      </c>
      <c r="AM28" s="1">
        <f t="shared" si="18"/>
        <v>0</v>
      </c>
      <c r="AO28" s="1">
        <f t="shared" si="19"/>
        <v>0</v>
      </c>
      <c r="AR28" s="1">
        <f t="shared" si="14"/>
        <v>0</v>
      </c>
    </row>
    <row r="29" spans="1:46">
      <c r="A29" s="150"/>
      <c r="B29" s="157" t="s">
        <v>4</v>
      </c>
      <c r="C29" s="156" t="s">
        <v>8</v>
      </c>
      <c r="D29" s="71" t="s">
        <v>27</v>
      </c>
      <c r="E29" s="380">
        <f>+'[1]3条支出'!$E$28-E42</f>
        <v>10679943</v>
      </c>
      <c r="F29" s="165">
        <f>+雨汚支出!AV7-F42</f>
        <v>6760</v>
      </c>
      <c r="G29" s="412">
        <f>+雨汚支出!AW7-G42</f>
        <v>0</v>
      </c>
      <c r="H29" s="164">
        <f>+雨汚支出!AX7-H42</f>
        <v>0</v>
      </c>
      <c r="I29" s="40">
        <f t="shared" si="15"/>
        <v>6760</v>
      </c>
      <c r="J29" s="165">
        <f>+雨汚支出!AZ7-J42</f>
        <v>0</v>
      </c>
      <c r="K29" s="164">
        <f>+雨汚支出!BA7-K42</f>
        <v>10673183</v>
      </c>
      <c r="L29" s="37">
        <f t="shared" si="0"/>
        <v>10673183</v>
      </c>
      <c r="M29" s="36">
        <f t="shared" si="1"/>
        <v>0</v>
      </c>
      <c r="N29" s="71" t="s">
        <v>27</v>
      </c>
      <c r="O29" s="381">
        <f>+'[1]3条支出'!$T$28-O42</f>
        <v>9711499</v>
      </c>
      <c r="P29" s="165">
        <f>+雨汚支出!BF7-P42</f>
        <v>6733</v>
      </c>
      <c r="Q29" s="412">
        <f>+雨汚支出!BG7-Q42</f>
        <v>0</v>
      </c>
      <c r="R29" s="164">
        <f>+雨汚支出!BH7-R42</f>
        <v>0</v>
      </c>
      <c r="S29" s="37">
        <f t="shared" si="16"/>
        <v>6733</v>
      </c>
      <c r="T29" s="431">
        <f>+雨汚支出!BJ7-T42</f>
        <v>0</v>
      </c>
      <c r="U29" s="164">
        <f>+雨汚支出!BK7-U42</f>
        <v>9704766</v>
      </c>
      <c r="V29" s="37">
        <f t="shared" si="4"/>
        <v>9704766</v>
      </c>
      <c r="W29" s="36">
        <f t="shared" si="17"/>
        <v>0</v>
      </c>
      <c r="X29" s="42" t="s">
        <v>27</v>
      </c>
      <c r="Y29" s="453"/>
      <c r="Z29" s="453"/>
      <c r="AA29" s="453"/>
      <c r="AB29" s="453"/>
      <c r="AC29" s="453"/>
      <c r="AD29" s="40">
        <f t="shared" si="24"/>
        <v>9711499</v>
      </c>
      <c r="AE29" s="39">
        <f t="shared" si="24"/>
        <v>6733</v>
      </c>
      <c r="AF29" s="390">
        <f t="shared" si="24"/>
        <v>0</v>
      </c>
      <c r="AG29" s="38">
        <f t="shared" si="24"/>
        <v>0</v>
      </c>
      <c r="AH29" s="37">
        <f t="shared" si="9"/>
        <v>6733</v>
      </c>
      <c r="AI29" s="428">
        <f t="shared" si="25"/>
        <v>0</v>
      </c>
      <c r="AJ29" s="38">
        <f t="shared" si="25"/>
        <v>9704766</v>
      </c>
      <c r="AK29" s="37">
        <f t="shared" si="12"/>
        <v>9704766</v>
      </c>
      <c r="AL29" s="36">
        <f>AD29-SUM(AH29,AK29)</f>
        <v>0</v>
      </c>
      <c r="AM29" s="1">
        <f t="shared" si="18"/>
        <v>6733</v>
      </c>
      <c r="AO29" s="1">
        <f t="shared" si="19"/>
        <v>6733</v>
      </c>
      <c r="AR29" s="1">
        <f t="shared" si="14"/>
        <v>6733</v>
      </c>
    </row>
    <row r="30" spans="1:46">
      <c r="A30" s="150"/>
      <c r="B30" s="157" t="s">
        <v>4</v>
      </c>
      <c r="C30" s="156" t="s">
        <v>8</v>
      </c>
      <c r="D30" s="71" t="s">
        <v>10</v>
      </c>
      <c r="E30" s="380">
        <f>+'[1]3条支出'!$E$29-E43</f>
        <v>0</v>
      </c>
      <c r="F30" s="165">
        <f>+雨汚支出!AV8-F43</f>
        <v>0</v>
      </c>
      <c r="G30" s="412">
        <f>+雨汚支出!AW8-G43</f>
        <v>0</v>
      </c>
      <c r="H30" s="164">
        <f>+雨汚支出!AX8-H43</f>
        <v>0</v>
      </c>
      <c r="I30" s="40">
        <f t="shared" si="15"/>
        <v>0</v>
      </c>
      <c r="J30" s="165">
        <f>+雨汚支出!AZ8-J43</f>
        <v>0</v>
      </c>
      <c r="K30" s="164">
        <f>+雨汚支出!BA8-K43</f>
        <v>0</v>
      </c>
      <c r="L30" s="37">
        <f t="shared" si="0"/>
        <v>0</v>
      </c>
      <c r="M30" s="36">
        <f t="shared" si="1"/>
        <v>0</v>
      </c>
      <c r="N30" s="71" t="s">
        <v>10</v>
      </c>
      <c r="O30" s="381">
        <f>+'[1]3条支出'!$T$29-O43</f>
        <v>0</v>
      </c>
      <c r="P30" s="165">
        <f>+雨汚支出!BF8-P43</f>
        <v>0</v>
      </c>
      <c r="Q30" s="412">
        <f>+雨汚支出!BG8-Q43</f>
        <v>0</v>
      </c>
      <c r="R30" s="164">
        <f>+雨汚支出!BH8-R43</f>
        <v>0</v>
      </c>
      <c r="S30" s="37">
        <f t="shared" si="16"/>
        <v>0</v>
      </c>
      <c r="T30" s="431">
        <f>+雨汚支出!BJ8-T43</f>
        <v>0</v>
      </c>
      <c r="U30" s="164">
        <f>+雨汚支出!BK8-U43</f>
        <v>0</v>
      </c>
      <c r="V30" s="37">
        <f t="shared" si="4"/>
        <v>0</v>
      </c>
      <c r="W30" s="36">
        <f t="shared" si="17"/>
        <v>0</v>
      </c>
      <c r="X30" s="42" t="s">
        <v>10</v>
      </c>
      <c r="Y30" s="453"/>
      <c r="Z30" s="453"/>
      <c r="AA30" s="453"/>
      <c r="AB30" s="453"/>
      <c r="AC30" s="453"/>
      <c r="AD30" s="40">
        <f t="shared" si="24"/>
        <v>0</v>
      </c>
      <c r="AE30" s="39">
        <f t="shared" si="24"/>
        <v>0</v>
      </c>
      <c r="AF30" s="390">
        <f t="shared" si="24"/>
        <v>0</v>
      </c>
      <c r="AG30" s="38">
        <f t="shared" si="24"/>
        <v>0</v>
      </c>
      <c r="AH30" s="37">
        <f t="shared" si="9"/>
        <v>0</v>
      </c>
      <c r="AI30" s="428">
        <f t="shared" si="25"/>
        <v>0</v>
      </c>
      <c r="AJ30" s="38">
        <f t="shared" si="25"/>
        <v>0</v>
      </c>
      <c r="AK30" s="37">
        <f t="shared" si="12"/>
        <v>0</v>
      </c>
      <c r="AL30" s="36">
        <f t="shared" si="13"/>
        <v>0</v>
      </c>
      <c r="AM30" s="1">
        <f t="shared" si="18"/>
        <v>0</v>
      </c>
      <c r="AO30" s="1">
        <f t="shared" si="19"/>
        <v>0</v>
      </c>
      <c r="AR30" s="1">
        <f t="shared" si="14"/>
        <v>0</v>
      </c>
    </row>
    <row r="31" spans="1:46">
      <c r="A31" s="150"/>
      <c r="B31" s="157" t="s">
        <v>4</v>
      </c>
      <c r="C31" s="156" t="s">
        <v>8</v>
      </c>
      <c r="D31" s="71"/>
      <c r="E31" s="162"/>
      <c r="F31" s="159"/>
      <c r="G31" s="417"/>
      <c r="H31" s="160"/>
      <c r="I31" s="40">
        <f t="shared" si="15"/>
        <v>0</v>
      </c>
      <c r="J31" s="159"/>
      <c r="K31" s="38">
        <f>+E31-I31-J31</f>
        <v>0</v>
      </c>
      <c r="L31" s="37">
        <f t="shared" si="0"/>
        <v>0</v>
      </c>
      <c r="M31" s="36">
        <f t="shared" si="1"/>
        <v>0</v>
      </c>
      <c r="N31" s="71"/>
      <c r="O31" s="161"/>
      <c r="P31" s="159"/>
      <c r="Q31" s="417"/>
      <c r="R31" s="160"/>
      <c r="S31" s="37">
        <f t="shared" si="16"/>
        <v>0</v>
      </c>
      <c r="T31" s="429"/>
      <c r="U31" s="38">
        <f t="shared" ref="U31:U44" si="26">+O31-S31-T31</f>
        <v>0</v>
      </c>
      <c r="V31" s="37">
        <f t="shared" si="4"/>
        <v>0</v>
      </c>
      <c r="W31" s="36">
        <f t="shared" si="17"/>
        <v>0</v>
      </c>
      <c r="X31" s="42"/>
      <c r="Y31" s="453"/>
      <c r="Z31" s="453"/>
      <c r="AA31" s="453"/>
      <c r="AB31" s="453"/>
      <c r="AC31" s="453"/>
      <c r="AD31" s="40">
        <f t="shared" si="24"/>
        <v>0</v>
      </c>
      <c r="AE31" s="39">
        <f t="shared" si="24"/>
        <v>0</v>
      </c>
      <c r="AF31" s="390">
        <f t="shared" si="24"/>
        <v>0</v>
      </c>
      <c r="AG31" s="38">
        <f t="shared" si="24"/>
        <v>0</v>
      </c>
      <c r="AH31" s="37">
        <f t="shared" si="9"/>
        <v>0</v>
      </c>
      <c r="AI31" s="428">
        <f t="shared" si="25"/>
        <v>0</v>
      </c>
      <c r="AJ31" s="38">
        <f t="shared" si="25"/>
        <v>0</v>
      </c>
      <c r="AK31" s="37">
        <f t="shared" si="12"/>
        <v>0</v>
      </c>
      <c r="AL31" s="36">
        <f t="shared" si="13"/>
        <v>0</v>
      </c>
      <c r="AM31" s="1">
        <f t="shared" si="18"/>
        <v>0</v>
      </c>
      <c r="AO31" s="1">
        <f t="shared" si="19"/>
        <v>0</v>
      </c>
      <c r="AR31" s="1">
        <f t="shared" si="14"/>
        <v>0</v>
      </c>
    </row>
    <row r="32" spans="1:46">
      <c r="A32" s="150"/>
      <c r="B32" s="157" t="s">
        <v>4</v>
      </c>
      <c r="C32" s="156" t="s">
        <v>8</v>
      </c>
      <c r="D32" s="71"/>
      <c r="E32" s="162"/>
      <c r="F32" s="159"/>
      <c r="G32" s="417"/>
      <c r="H32" s="160"/>
      <c r="I32" s="40">
        <f t="shared" si="15"/>
        <v>0</v>
      </c>
      <c r="J32" s="159"/>
      <c r="K32" s="38">
        <f>+E32-I32-J32</f>
        <v>0</v>
      </c>
      <c r="L32" s="37">
        <f t="shared" si="0"/>
        <v>0</v>
      </c>
      <c r="M32" s="36">
        <f t="shared" si="1"/>
        <v>0</v>
      </c>
      <c r="N32" s="71"/>
      <c r="O32" s="161"/>
      <c r="P32" s="159"/>
      <c r="Q32" s="417"/>
      <c r="R32" s="160"/>
      <c r="S32" s="37">
        <f t="shared" si="16"/>
        <v>0</v>
      </c>
      <c r="T32" s="429"/>
      <c r="U32" s="38">
        <f t="shared" si="26"/>
        <v>0</v>
      </c>
      <c r="V32" s="37">
        <f t="shared" si="4"/>
        <v>0</v>
      </c>
      <c r="W32" s="36">
        <f t="shared" si="17"/>
        <v>0</v>
      </c>
      <c r="X32" s="42"/>
      <c r="Y32" s="453"/>
      <c r="Z32" s="453"/>
      <c r="AA32" s="453"/>
      <c r="AB32" s="453"/>
      <c r="AC32" s="453"/>
      <c r="AD32" s="40">
        <f t="shared" si="24"/>
        <v>0</v>
      </c>
      <c r="AE32" s="39">
        <f t="shared" si="24"/>
        <v>0</v>
      </c>
      <c r="AF32" s="390">
        <f t="shared" si="24"/>
        <v>0</v>
      </c>
      <c r="AG32" s="38">
        <f t="shared" si="24"/>
        <v>0</v>
      </c>
      <c r="AH32" s="37">
        <f t="shared" si="9"/>
        <v>0</v>
      </c>
      <c r="AI32" s="428">
        <f t="shared" si="25"/>
        <v>0</v>
      </c>
      <c r="AJ32" s="38">
        <f t="shared" si="25"/>
        <v>0</v>
      </c>
      <c r="AK32" s="37">
        <f t="shared" si="12"/>
        <v>0</v>
      </c>
      <c r="AL32" s="36">
        <f t="shared" si="13"/>
        <v>0</v>
      </c>
      <c r="AM32" s="1">
        <f t="shared" si="18"/>
        <v>0</v>
      </c>
      <c r="AO32" s="1">
        <f t="shared" si="19"/>
        <v>0</v>
      </c>
      <c r="AR32" s="1">
        <f t="shared" si="14"/>
        <v>0</v>
      </c>
    </row>
    <row r="33" spans="1:46">
      <c r="A33" s="150"/>
      <c r="B33" s="157"/>
      <c r="C33" s="156"/>
      <c r="D33" s="71"/>
      <c r="E33" s="162"/>
      <c r="F33" s="169"/>
      <c r="G33" s="419"/>
      <c r="H33" s="160"/>
      <c r="I33" s="40"/>
      <c r="J33" s="169"/>
      <c r="K33" s="38"/>
      <c r="L33" s="37"/>
      <c r="M33" s="36"/>
      <c r="N33" s="71"/>
      <c r="O33" s="161"/>
      <c r="P33" s="169"/>
      <c r="Q33" s="419"/>
      <c r="R33" s="160"/>
      <c r="S33" s="37"/>
      <c r="T33" s="430"/>
      <c r="U33" s="160"/>
      <c r="V33" s="37"/>
      <c r="W33" s="36"/>
      <c r="X33" s="42"/>
      <c r="Y33" s="453"/>
      <c r="Z33" s="453"/>
      <c r="AA33" s="453"/>
      <c r="AB33" s="453"/>
      <c r="AC33" s="453"/>
      <c r="AD33" s="40"/>
      <c r="AE33" s="39"/>
      <c r="AF33" s="390"/>
      <c r="AG33" s="38"/>
      <c r="AH33" s="52"/>
      <c r="AI33" s="428"/>
      <c r="AJ33" s="38"/>
      <c r="AK33" s="52"/>
      <c r="AL33" s="36"/>
      <c r="AM33" s="1">
        <f t="shared" si="18"/>
        <v>0</v>
      </c>
      <c r="AO33" s="1">
        <f t="shared" si="19"/>
        <v>0</v>
      </c>
      <c r="AR33" s="1">
        <f t="shared" si="14"/>
        <v>0</v>
      </c>
    </row>
    <row r="34" spans="1:46">
      <c r="A34" s="150"/>
      <c r="B34" s="157" t="s">
        <v>2</v>
      </c>
      <c r="C34" s="156" t="s">
        <v>21</v>
      </c>
      <c r="D34" s="71" t="s">
        <v>23</v>
      </c>
      <c r="E34" s="380">
        <f>'[1]3条支出'!$E$19</f>
        <v>26551442230</v>
      </c>
      <c r="F34" s="153">
        <v>12571100990</v>
      </c>
      <c r="G34" s="416">
        <v>122404286</v>
      </c>
      <c r="H34" s="38"/>
      <c r="I34" s="40">
        <f t="shared" si="15"/>
        <v>12693505276</v>
      </c>
      <c r="J34" s="153">
        <v>17206476</v>
      </c>
      <c r="K34" s="152">
        <f>13857936954-17206476</f>
        <v>13840730478</v>
      </c>
      <c r="L34" s="37">
        <f t="shared" si="0"/>
        <v>13857936954</v>
      </c>
      <c r="M34" s="36">
        <f t="shared" si="1"/>
        <v>0</v>
      </c>
      <c r="N34" s="71" t="s">
        <v>23</v>
      </c>
      <c r="O34" s="381">
        <f>+'[1]3条支出'!$T$19</f>
        <v>26551442230</v>
      </c>
      <c r="P34" s="39">
        <f>+F34</f>
        <v>12571100990</v>
      </c>
      <c r="Q34" s="390">
        <f>+G34</f>
        <v>122404286</v>
      </c>
      <c r="R34" s="38">
        <f>+H34</f>
        <v>0</v>
      </c>
      <c r="S34" s="37">
        <f t="shared" si="16"/>
        <v>12693505276</v>
      </c>
      <c r="T34" s="428">
        <f>+J34</f>
        <v>17206476</v>
      </c>
      <c r="U34" s="38">
        <f>+K34</f>
        <v>13840730478</v>
      </c>
      <c r="V34" s="37">
        <f t="shared" si="4"/>
        <v>13857936954</v>
      </c>
      <c r="W34" s="36">
        <f t="shared" si="17"/>
        <v>0</v>
      </c>
      <c r="X34" s="42" t="s">
        <v>23</v>
      </c>
      <c r="Y34" s="453"/>
      <c r="Z34" s="453"/>
      <c r="AA34" s="453"/>
      <c r="AB34" s="453"/>
      <c r="AC34" s="453"/>
      <c r="AD34" s="40">
        <f t="shared" ref="AD34:AG35" si="27">+O34</f>
        <v>26551442230</v>
      </c>
      <c r="AE34" s="39">
        <f t="shared" si="27"/>
        <v>12571100990</v>
      </c>
      <c r="AF34" s="390">
        <f t="shared" si="27"/>
        <v>122404286</v>
      </c>
      <c r="AG34" s="38">
        <f t="shared" si="27"/>
        <v>0</v>
      </c>
      <c r="AH34" s="37">
        <f t="shared" si="9"/>
        <v>12693505276</v>
      </c>
      <c r="AI34" s="428">
        <f>+T34</f>
        <v>17206476</v>
      </c>
      <c r="AJ34" s="38">
        <f>+U34</f>
        <v>13840730478</v>
      </c>
      <c r="AK34" s="37">
        <f t="shared" si="12"/>
        <v>13857936954</v>
      </c>
      <c r="AL34" s="36">
        <f t="shared" si="13"/>
        <v>0</v>
      </c>
      <c r="AM34" s="1">
        <f t="shared" si="18"/>
        <v>12710711752</v>
      </c>
      <c r="AN34" s="1">
        <v>12722677000</v>
      </c>
      <c r="AO34" s="1">
        <f t="shared" si="19"/>
        <v>-11965248</v>
      </c>
      <c r="AQ34" s="1">
        <v>12322171000</v>
      </c>
      <c r="AR34" s="1">
        <f t="shared" si="14"/>
        <v>388540752</v>
      </c>
      <c r="AT34" s="1" t="s">
        <v>3308</v>
      </c>
    </row>
    <row r="35" spans="1:46">
      <c r="A35" s="150"/>
      <c r="B35" s="157" t="s">
        <v>2</v>
      </c>
      <c r="C35" s="156" t="s">
        <v>21</v>
      </c>
      <c r="D35" s="163" t="s">
        <v>20</v>
      </c>
      <c r="E35" s="380">
        <f>'[1]3条支出'!$E$20-E20</f>
        <v>503761871</v>
      </c>
      <c r="F35" s="39">
        <f>+E35-L35-G35</f>
        <v>304154336</v>
      </c>
      <c r="G35" s="390">
        <f>+IFERROR(ROUND((E35-L35)*G34/I34,0),0)</f>
        <v>2961538</v>
      </c>
      <c r="H35" s="160"/>
      <c r="I35" s="40">
        <f t="shared" si="15"/>
        <v>307115874</v>
      </c>
      <c r="J35" s="39"/>
      <c r="K35" s="152">
        <f>4976419+191669578</f>
        <v>196645997</v>
      </c>
      <c r="L35" s="37">
        <f t="shared" si="0"/>
        <v>196645997</v>
      </c>
      <c r="M35" s="36">
        <f t="shared" si="1"/>
        <v>0</v>
      </c>
      <c r="N35" s="163" t="s">
        <v>20</v>
      </c>
      <c r="O35" s="381">
        <f>+'[1]3条支出'!$T$20-O20</f>
        <v>503761871</v>
      </c>
      <c r="P35" s="39">
        <f>+F35</f>
        <v>304154336</v>
      </c>
      <c r="Q35" s="390">
        <f>+G35</f>
        <v>2961538</v>
      </c>
      <c r="R35" s="160"/>
      <c r="S35" s="37">
        <f t="shared" si="16"/>
        <v>307115874</v>
      </c>
      <c r="T35" s="428">
        <f>+J35</f>
        <v>0</v>
      </c>
      <c r="U35" s="38">
        <f>+K35</f>
        <v>196645997</v>
      </c>
      <c r="V35" s="37">
        <f t="shared" si="4"/>
        <v>196645997</v>
      </c>
      <c r="W35" s="36">
        <f t="shared" si="17"/>
        <v>0</v>
      </c>
      <c r="X35" s="50" t="s">
        <v>20</v>
      </c>
      <c r="Y35" s="454"/>
      <c r="Z35" s="454"/>
      <c r="AA35" s="454"/>
      <c r="AB35" s="454"/>
      <c r="AC35" s="454"/>
      <c r="AD35" s="40">
        <f t="shared" si="27"/>
        <v>503761871</v>
      </c>
      <c r="AE35" s="39">
        <f t="shared" si="27"/>
        <v>304154336</v>
      </c>
      <c r="AF35" s="390">
        <f t="shared" si="27"/>
        <v>2961538</v>
      </c>
      <c r="AG35" s="38">
        <f t="shared" si="27"/>
        <v>0</v>
      </c>
      <c r="AH35" s="37">
        <f t="shared" si="9"/>
        <v>307115874</v>
      </c>
      <c r="AI35" s="428">
        <f>+T35</f>
        <v>0</v>
      </c>
      <c r="AJ35" s="38">
        <f>+U35</f>
        <v>196645997</v>
      </c>
      <c r="AK35" s="37">
        <f t="shared" si="12"/>
        <v>196645997</v>
      </c>
      <c r="AL35" s="36">
        <f t="shared" si="13"/>
        <v>0</v>
      </c>
      <c r="AM35" s="1">
        <f t="shared" si="18"/>
        <v>307115874</v>
      </c>
      <c r="AN35" s="1">
        <v>285010000</v>
      </c>
      <c r="AO35" s="1">
        <f t="shared" si="19"/>
        <v>22105874</v>
      </c>
      <c r="AQ35" s="1">
        <v>162051000</v>
      </c>
      <c r="AR35" s="1">
        <f t="shared" si="14"/>
        <v>145064874</v>
      </c>
      <c r="AT35" s="1" t="s">
        <v>3309</v>
      </c>
    </row>
    <row r="36" spans="1:46">
      <c r="A36" s="150"/>
      <c r="B36" s="157"/>
      <c r="C36" s="156"/>
      <c r="D36" s="71"/>
      <c r="E36" s="162"/>
      <c r="F36" s="159"/>
      <c r="G36" s="417"/>
      <c r="H36" s="160"/>
      <c r="I36" s="40"/>
      <c r="J36" s="159"/>
      <c r="K36" s="38"/>
      <c r="L36" s="37"/>
      <c r="M36" s="36"/>
      <c r="N36" s="71"/>
      <c r="O36" s="161"/>
      <c r="P36" s="39"/>
      <c r="Q36" s="390"/>
      <c r="R36" s="160"/>
      <c r="S36" s="37"/>
      <c r="T36" s="428"/>
      <c r="U36" s="38"/>
      <c r="V36" s="37"/>
      <c r="W36" s="36"/>
      <c r="X36" s="42"/>
      <c r="Y36" s="453"/>
      <c r="Z36" s="453"/>
      <c r="AA36" s="453"/>
      <c r="AB36" s="453"/>
      <c r="AC36" s="453"/>
      <c r="AD36" s="40"/>
      <c r="AE36" s="39"/>
      <c r="AF36" s="390"/>
      <c r="AG36" s="38"/>
      <c r="AH36" s="37"/>
      <c r="AI36" s="428"/>
      <c r="AJ36" s="38"/>
      <c r="AK36" s="37"/>
      <c r="AL36" s="36"/>
      <c r="AM36" s="1">
        <f t="shared" si="18"/>
        <v>0</v>
      </c>
      <c r="AO36" s="1">
        <f t="shared" si="19"/>
        <v>0</v>
      </c>
      <c r="AR36" s="1">
        <f t="shared" si="14"/>
        <v>0</v>
      </c>
    </row>
    <row r="37" spans="1:46">
      <c r="A37" s="150"/>
      <c r="B37" s="157" t="s">
        <v>2</v>
      </c>
      <c r="C37" s="156" t="s">
        <v>14</v>
      </c>
      <c r="D37" s="71" t="s">
        <v>106</v>
      </c>
      <c r="E37" s="155">
        <f>+[1]営外!E6</f>
        <v>3884144913</v>
      </c>
      <c r="F37" s="153">
        <v>1638072143</v>
      </c>
      <c r="G37" s="416">
        <v>0</v>
      </c>
      <c r="H37" s="152">
        <v>36375158</v>
      </c>
      <c r="I37" s="40">
        <f t="shared" si="15"/>
        <v>1674447301</v>
      </c>
      <c r="J37" s="153">
        <v>315322238</v>
      </c>
      <c r="K37" s="152">
        <v>1894375374</v>
      </c>
      <c r="L37" s="37">
        <f t="shared" si="0"/>
        <v>2209697612</v>
      </c>
      <c r="M37" s="36">
        <f t="shared" si="1"/>
        <v>0</v>
      </c>
      <c r="N37" s="71" t="s">
        <v>106</v>
      </c>
      <c r="O37" s="154">
        <f>+[1]営外!T6</f>
        <v>3884144913</v>
      </c>
      <c r="P37" s="39">
        <f>+F37</f>
        <v>1638072143</v>
      </c>
      <c r="Q37" s="390">
        <f>+G37</f>
        <v>0</v>
      </c>
      <c r="R37" s="38">
        <f>+H37</f>
        <v>36375158</v>
      </c>
      <c r="S37" s="37">
        <f t="shared" si="16"/>
        <v>1674447301</v>
      </c>
      <c r="T37" s="428">
        <f>+J37</f>
        <v>315322238</v>
      </c>
      <c r="U37" s="38">
        <f>+O37-S37-T37</f>
        <v>1894375374</v>
      </c>
      <c r="V37" s="37">
        <f t="shared" si="4"/>
        <v>2209697612</v>
      </c>
      <c r="W37" s="36">
        <f t="shared" si="17"/>
        <v>0</v>
      </c>
      <c r="X37" s="50" t="s">
        <v>18</v>
      </c>
      <c r="Y37" s="454"/>
      <c r="Z37" s="454"/>
      <c r="AA37" s="454"/>
      <c r="AB37" s="454"/>
      <c r="AC37" s="454"/>
      <c r="AD37" s="40">
        <f t="shared" ref="AD37:AG38" si="28">+O37</f>
        <v>3884144913</v>
      </c>
      <c r="AE37" s="39">
        <f t="shared" si="28"/>
        <v>1638072143</v>
      </c>
      <c r="AF37" s="390">
        <f t="shared" si="28"/>
        <v>0</v>
      </c>
      <c r="AG37" s="38">
        <f t="shared" si="28"/>
        <v>36375158</v>
      </c>
      <c r="AH37" s="37">
        <f t="shared" si="9"/>
        <v>1674447301</v>
      </c>
      <c r="AI37" s="428">
        <f>+T37</f>
        <v>315322238</v>
      </c>
      <c r="AJ37" s="38">
        <f>+U37</f>
        <v>1894375374</v>
      </c>
      <c r="AK37" s="37">
        <f t="shared" si="12"/>
        <v>2209697612</v>
      </c>
      <c r="AL37" s="36">
        <f t="shared" si="13"/>
        <v>0</v>
      </c>
      <c r="AM37" s="1">
        <f t="shared" si="18"/>
        <v>1989769539</v>
      </c>
      <c r="AN37" s="1">
        <v>1991724000</v>
      </c>
      <c r="AO37" s="1">
        <f t="shared" si="19"/>
        <v>-1954461</v>
      </c>
      <c r="AQ37" s="1">
        <v>2104635000</v>
      </c>
      <c r="AR37" s="1">
        <f t="shared" si="14"/>
        <v>-114865461</v>
      </c>
      <c r="AT37" s="1" t="s">
        <v>3310</v>
      </c>
    </row>
    <row r="38" spans="1:46">
      <c r="A38" s="150"/>
      <c r="B38" s="157" t="s">
        <v>2</v>
      </c>
      <c r="C38" s="156" t="s">
        <v>14</v>
      </c>
      <c r="D38" s="71" t="s">
        <v>16</v>
      </c>
      <c r="E38" s="155">
        <f>+[1]営外!E9</f>
        <v>61813753</v>
      </c>
      <c r="F38" s="153">
        <v>30574206</v>
      </c>
      <c r="G38" s="416"/>
      <c r="H38" s="160"/>
      <c r="I38" s="40">
        <f t="shared" si="15"/>
        <v>30574206</v>
      </c>
      <c r="J38" s="153"/>
      <c r="K38" s="152">
        <v>31239547</v>
      </c>
      <c r="L38" s="37">
        <f t="shared" si="0"/>
        <v>31239547</v>
      </c>
      <c r="M38" s="36">
        <f t="shared" si="1"/>
        <v>0</v>
      </c>
      <c r="N38" s="71" t="s">
        <v>16</v>
      </c>
      <c r="O38" s="154">
        <f>+[1]営外!T9</f>
        <v>56194321</v>
      </c>
      <c r="P38" s="39">
        <f>+IFERROR(ROUND(F38*$O38/$E38,0),0)</f>
        <v>27794733</v>
      </c>
      <c r="Q38" s="390">
        <f>+IFERROR(ROUND(G38*$O38/$E38,0),0)</f>
        <v>0</v>
      </c>
      <c r="R38" s="38">
        <f>+IFERROR(ROUND(H38*$O38/$E38,0),0)</f>
        <v>0</v>
      </c>
      <c r="S38" s="37">
        <f t="shared" si="16"/>
        <v>27794733</v>
      </c>
      <c r="T38" s="428">
        <f>+IFERROR(ROUND(J38*$O38/$E38,0),0)</f>
        <v>0</v>
      </c>
      <c r="U38" s="38">
        <f>+O38-S38-T38</f>
        <v>28399588</v>
      </c>
      <c r="V38" s="37">
        <f t="shared" si="4"/>
        <v>28399588</v>
      </c>
      <c r="W38" s="36">
        <f t="shared" si="17"/>
        <v>0</v>
      </c>
      <c r="X38" s="42" t="s">
        <v>16</v>
      </c>
      <c r="Y38" s="453"/>
      <c r="Z38" s="453"/>
      <c r="AA38" s="453"/>
      <c r="AB38" s="453"/>
      <c r="AC38" s="453"/>
      <c r="AD38" s="40">
        <f t="shared" si="28"/>
        <v>56194321</v>
      </c>
      <c r="AE38" s="39">
        <f t="shared" si="28"/>
        <v>27794733</v>
      </c>
      <c r="AF38" s="390">
        <f t="shared" si="28"/>
        <v>0</v>
      </c>
      <c r="AG38" s="38">
        <f t="shared" si="28"/>
        <v>0</v>
      </c>
      <c r="AH38" s="37">
        <f t="shared" si="9"/>
        <v>27794733</v>
      </c>
      <c r="AI38" s="428">
        <f>+T38</f>
        <v>0</v>
      </c>
      <c r="AJ38" s="38">
        <f>+U38</f>
        <v>28399588</v>
      </c>
      <c r="AK38" s="37">
        <f t="shared" si="12"/>
        <v>28399588</v>
      </c>
      <c r="AL38" s="36">
        <f t="shared" si="13"/>
        <v>0</v>
      </c>
      <c r="AM38" s="1">
        <f t="shared" si="18"/>
        <v>27794733</v>
      </c>
      <c r="AN38" s="1">
        <v>27828000</v>
      </c>
      <c r="AO38" s="1">
        <f t="shared" si="19"/>
        <v>-33267</v>
      </c>
      <c r="AQ38" s="1">
        <v>38809000</v>
      </c>
      <c r="AR38" s="1">
        <f t="shared" si="14"/>
        <v>-11014267</v>
      </c>
      <c r="AT38" s="1" t="s">
        <v>3311</v>
      </c>
    </row>
    <row r="39" spans="1:46">
      <c r="A39" s="150"/>
      <c r="B39" s="157" t="s">
        <v>2</v>
      </c>
      <c r="C39" s="156" t="s">
        <v>14</v>
      </c>
      <c r="D39" s="163" t="s">
        <v>13</v>
      </c>
      <c r="E39" s="162"/>
      <c r="F39" s="159"/>
      <c r="G39" s="417"/>
      <c r="H39" s="160"/>
      <c r="I39" s="40">
        <f t="shared" si="15"/>
        <v>0</v>
      </c>
      <c r="J39" s="159"/>
      <c r="K39" s="38">
        <f>+E39-I39-J39</f>
        <v>0</v>
      </c>
      <c r="L39" s="37">
        <f t="shared" ref="L39" si="29">+SUM(J39:K39)</f>
        <v>0</v>
      </c>
      <c r="M39" s="36">
        <f t="shared" si="1"/>
        <v>0</v>
      </c>
      <c r="N39" s="163" t="s">
        <v>13</v>
      </c>
      <c r="O39" s="161"/>
      <c r="P39" s="159"/>
      <c r="Q39" s="417"/>
      <c r="R39" s="160"/>
      <c r="S39" s="37">
        <f t="shared" si="16"/>
        <v>0</v>
      </c>
      <c r="T39" s="429"/>
      <c r="U39" s="160">
        <f t="shared" si="26"/>
        <v>0</v>
      </c>
      <c r="V39" s="37">
        <f t="shared" si="4"/>
        <v>0</v>
      </c>
      <c r="W39" s="36">
        <f t="shared" si="17"/>
        <v>0</v>
      </c>
      <c r="X39" s="42" t="s">
        <v>13</v>
      </c>
      <c r="Y39" s="453"/>
      <c r="Z39" s="453"/>
      <c r="AA39" s="453"/>
      <c r="AB39" s="453"/>
      <c r="AC39" s="453"/>
      <c r="AD39" s="49">
        <f>+SUM(AD113,AD124)</f>
        <v>2553639</v>
      </c>
      <c r="AE39" s="48">
        <f>+SUM(AE113,AE124)</f>
        <v>2553639</v>
      </c>
      <c r="AF39" s="389">
        <f>+SUM(AF113,AF124)</f>
        <v>0</v>
      </c>
      <c r="AG39" s="47">
        <f>+SUM(AG113,AG124)</f>
        <v>0</v>
      </c>
      <c r="AH39" s="37">
        <f t="shared" si="9"/>
        <v>2553639</v>
      </c>
      <c r="AI39" s="433">
        <f>+SUM(AI113,AI124)</f>
        <v>0</v>
      </c>
      <c r="AJ39" s="47">
        <f>+SUM(AJ113,AJ124)</f>
        <v>0</v>
      </c>
      <c r="AK39" s="37">
        <f t="shared" si="12"/>
        <v>0</v>
      </c>
      <c r="AL39" s="36">
        <f t="shared" si="13"/>
        <v>0</v>
      </c>
      <c r="AM39" s="1">
        <f t="shared" si="18"/>
        <v>2553639</v>
      </c>
      <c r="AN39" s="1">
        <v>2774706</v>
      </c>
      <c r="AO39" s="1">
        <f t="shared" si="19"/>
        <v>-221067</v>
      </c>
      <c r="AQ39" s="1">
        <v>3873000</v>
      </c>
      <c r="AR39" s="1">
        <f t="shared" si="14"/>
        <v>-1319361</v>
      </c>
      <c r="AT39" s="1" t="s">
        <v>3312</v>
      </c>
    </row>
    <row r="40" spans="1:46">
      <c r="A40" s="150"/>
      <c r="B40" s="157"/>
      <c r="C40" s="156"/>
      <c r="D40" s="71"/>
      <c r="E40" s="162"/>
      <c r="F40" s="159"/>
      <c r="G40" s="417"/>
      <c r="H40" s="160"/>
      <c r="I40" s="40"/>
      <c r="J40" s="159"/>
      <c r="K40" s="38"/>
      <c r="L40" s="37"/>
      <c r="M40" s="36"/>
      <c r="N40" s="71"/>
      <c r="O40" s="161"/>
      <c r="P40" s="159"/>
      <c r="Q40" s="417"/>
      <c r="R40" s="160"/>
      <c r="S40" s="37"/>
      <c r="T40" s="429"/>
      <c r="U40" s="160"/>
      <c r="V40" s="37"/>
      <c r="W40" s="36"/>
      <c r="X40" s="42"/>
      <c r="Y40" s="453"/>
      <c r="Z40" s="453"/>
      <c r="AA40" s="453"/>
      <c r="AB40" s="453"/>
      <c r="AC40" s="453"/>
      <c r="AD40" s="40"/>
      <c r="AE40" s="39"/>
      <c r="AF40" s="390"/>
      <c r="AG40" s="38"/>
      <c r="AH40" s="37"/>
      <c r="AI40" s="428"/>
      <c r="AJ40" s="38"/>
      <c r="AK40" s="37"/>
      <c r="AL40" s="36"/>
      <c r="AM40" s="1">
        <f t="shared" si="18"/>
        <v>0</v>
      </c>
      <c r="AO40" s="1">
        <f t="shared" si="19"/>
        <v>0</v>
      </c>
      <c r="AR40" s="1">
        <f t="shared" si="14"/>
        <v>0</v>
      </c>
    </row>
    <row r="41" spans="1:46">
      <c r="A41" s="150"/>
      <c r="B41" s="157" t="s">
        <v>2</v>
      </c>
      <c r="C41" s="156" t="s">
        <v>8</v>
      </c>
      <c r="D41" s="71"/>
      <c r="E41" s="51"/>
      <c r="F41" s="39"/>
      <c r="G41" s="390"/>
      <c r="H41" s="38"/>
      <c r="I41" s="40">
        <f t="shared" si="15"/>
        <v>0</v>
      </c>
      <c r="J41" s="39"/>
      <c r="K41" s="38"/>
      <c r="L41" s="37">
        <f t="shared" ref="L41" si="30">+SUM(J41:K41)</f>
        <v>0</v>
      </c>
      <c r="M41" s="36">
        <f t="shared" si="1"/>
        <v>0</v>
      </c>
      <c r="N41" s="71"/>
      <c r="O41" s="161"/>
      <c r="P41" s="159"/>
      <c r="Q41" s="417"/>
      <c r="R41" s="160"/>
      <c r="S41" s="37">
        <f t="shared" si="16"/>
        <v>0</v>
      </c>
      <c r="T41" s="429"/>
      <c r="U41" s="160">
        <f t="shared" si="26"/>
        <v>0</v>
      </c>
      <c r="V41" s="37">
        <f t="shared" si="4"/>
        <v>0</v>
      </c>
      <c r="W41" s="36">
        <f t="shared" si="17"/>
        <v>0</v>
      </c>
      <c r="X41" s="42"/>
      <c r="Y41" s="453"/>
      <c r="Z41" s="453"/>
      <c r="AA41" s="453"/>
      <c r="AB41" s="453"/>
      <c r="AC41" s="453"/>
      <c r="AD41" s="40">
        <f t="shared" ref="AD41:AG44" si="31">+O41</f>
        <v>0</v>
      </c>
      <c r="AE41" s="39">
        <f t="shared" si="31"/>
        <v>0</v>
      </c>
      <c r="AF41" s="390">
        <f t="shared" si="31"/>
        <v>0</v>
      </c>
      <c r="AG41" s="38">
        <f t="shared" si="31"/>
        <v>0</v>
      </c>
      <c r="AH41" s="37">
        <f t="shared" si="9"/>
        <v>0</v>
      </c>
      <c r="AI41" s="428">
        <f t="shared" ref="AI41:AJ44" si="32">+T41</f>
        <v>0</v>
      </c>
      <c r="AJ41" s="38">
        <f t="shared" si="32"/>
        <v>0</v>
      </c>
      <c r="AK41" s="37">
        <f t="shared" si="12"/>
        <v>0</v>
      </c>
      <c r="AL41" s="36">
        <f t="shared" si="13"/>
        <v>0</v>
      </c>
      <c r="AM41" s="1">
        <f t="shared" si="18"/>
        <v>0</v>
      </c>
      <c r="AO41" s="1">
        <f t="shared" si="19"/>
        <v>0</v>
      </c>
      <c r="AR41" s="1">
        <f t="shared" si="14"/>
        <v>0</v>
      </c>
    </row>
    <row r="42" spans="1:46">
      <c r="A42" s="150"/>
      <c r="B42" s="157" t="s">
        <v>2</v>
      </c>
      <c r="C42" s="156" t="s">
        <v>8</v>
      </c>
      <c r="D42" s="71" t="s">
        <v>104</v>
      </c>
      <c r="E42" s="51">
        <f>+SUM(I42,L42:L42)</f>
        <v>0</v>
      </c>
      <c r="F42" s="153">
        <v>0</v>
      </c>
      <c r="G42" s="416">
        <v>0</v>
      </c>
      <c r="H42" s="160"/>
      <c r="I42" s="40">
        <f t="shared" si="15"/>
        <v>0</v>
      </c>
      <c r="J42" s="153">
        <v>0</v>
      </c>
      <c r="K42" s="152">
        <v>0</v>
      </c>
      <c r="L42" s="37">
        <f t="shared" si="0"/>
        <v>0</v>
      </c>
      <c r="M42" s="36">
        <f t="shared" si="1"/>
        <v>0</v>
      </c>
      <c r="N42" s="71" t="s">
        <v>104</v>
      </c>
      <c r="O42" s="51">
        <f t="shared" ref="O42:Q43" si="33">+E42</f>
        <v>0</v>
      </c>
      <c r="P42" s="39">
        <f t="shared" si="33"/>
        <v>0</v>
      </c>
      <c r="Q42" s="390">
        <f t="shared" si="33"/>
        <v>0</v>
      </c>
      <c r="R42" s="38"/>
      <c r="S42" s="37">
        <f t="shared" si="16"/>
        <v>0</v>
      </c>
      <c r="T42" s="428">
        <f>+J42</f>
        <v>0</v>
      </c>
      <c r="U42" s="38">
        <f t="shared" si="26"/>
        <v>0</v>
      </c>
      <c r="V42" s="37">
        <f t="shared" si="4"/>
        <v>0</v>
      </c>
      <c r="W42" s="36">
        <f t="shared" si="17"/>
        <v>0</v>
      </c>
      <c r="X42" s="42" t="s">
        <v>12</v>
      </c>
      <c r="Y42" s="453"/>
      <c r="Z42" s="453"/>
      <c r="AA42" s="453"/>
      <c r="AB42" s="453"/>
      <c r="AC42" s="453"/>
      <c r="AD42" s="40">
        <f t="shared" si="31"/>
        <v>0</v>
      </c>
      <c r="AE42" s="39">
        <f t="shared" si="31"/>
        <v>0</v>
      </c>
      <c r="AF42" s="390">
        <f t="shared" si="31"/>
        <v>0</v>
      </c>
      <c r="AG42" s="38">
        <f t="shared" si="31"/>
        <v>0</v>
      </c>
      <c r="AH42" s="37">
        <f t="shared" si="9"/>
        <v>0</v>
      </c>
      <c r="AI42" s="428">
        <f t="shared" si="32"/>
        <v>0</v>
      </c>
      <c r="AJ42" s="38">
        <f t="shared" si="32"/>
        <v>0</v>
      </c>
      <c r="AK42" s="37">
        <f t="shared" si="12"/>
        <v>0</v>
      </c>
      <c r="AL42" s="36">
        <f t="shared" si="13"/>
        <v>0</v>
      </c>
      <c r="AM42" s="1">
        <f t="shared" si="18"/>
        <v>0</v>
      </c>
      <c r="AO42" s="1">
        <f t="shared" si="19"/>
        <v>0</v>
      </c>
      <c r="AR42" s="1">
        <f t="shared" si="14"/>
        <v>0</v>
      </c>
    </row>
    <row r="43" spans="1:46">
      <c r="A43" s="150"/>
      <c r="B43" s="157" t="s">
        <v>2</v>
      </c>
      <c r="C43" s="156" t="s">
        <v>8</v>
      </c>
      <c r="D43" s="71" t="s">
        <v>10</v>
      </c>
      <c r="E43" s="51">
        <f>+SUM(I43,L43:L43)</f>
        <v>0</v>
      </c>
      <c r="F43" s="153"/>
      <c r="G43" s="416"/>
      <c r="H43" s="160"/>
      <c r="I43" s="40">
        <f t="shared" si="15"/>
        <v>0</v>
      </c>
      <c r="J43" s="153"/>
      <c r="K43" s="152"/>
      <c r="L43" s="37">
        <f t="shared" si="0"/>
        <v>0</v>
      </c>
      <c r="M43" s="36">
        <f t="shared" si="1"/>
        <v>0</v>
      </c>
      <c r="N43" s="71" t="s">
        <v>10</v>
      </c>
      <c r="O43" s="51">
        <f t="shared" si="33"/>
        <v>0</v>
      </c>
      <c r="P43" s="39">
        <f t="shared" si="33"/>
        <v>0</v>
      </c>
      <c r="Q43" s="390">
        <f t="shared" si="33"/>
        <v>0</v>
      </c>
      <c r="R43" s="38"/>
      <c r="S43" s="37">
        <f t="shared" si="16"/>
        <v>0</v>
      </c>
      <c r="T43" s="428">
        <f>+J43</f>
        <v>0</v>
      </c>
      <c r="U43" s="38">
        <f t="shared" si="26"/>
        <v>0</v>
      </c>
      <c r="V43" s="37">
        <f t="shared" si="4"/>
        <v>0</v>
      </c>
      <c r="W43" s="36">
        <f t="shared" si="17"/>
        <v>0</v>
      </c>
      <c r="X43" s="42" t="s">
        <v>10</v>
      </c>
      <c r="Y43" s="453"/>
      <c r="Z43" s="453"/>
      <c r="AA43" s="453"/>
      <c r="AB43" s="453"/>
      <c r="AC43" s="453"/>
      <c r="AD43" s="40">
        <f t="shared" si="31"/>
        <v>0</v>
      </c>
      <c r="AE43" s="39">
        <f t="shared" si="31"/>
        <v>0</v>
      </c>
      <c r="AF43" s="390">
        <f t="shared" si="31"/>
        <v>0</v>
      </c>
      <c r="AG43" s="38">
        <f t="shared" si="31"/>
        <v>0</v>
      </c>
      <c r="AH43" s="37">
        <f t="shared" si="9"/>
        <v>0</v>
      </c>
      <c r="AI43" s="428">
        <f t="shared" si="32"/>
        <v>0</v>
      </c>
      <c r="AJ43" s="38">
        <f t="shared" si="32"/>
        <v>0</v>
      </c>
      <c r="AK43" s="37">
        <f t="shared" si="12"/>
        <v>0</v>
      </c>
      <c r="AL43" s="36">
        <f t="shared" si="13"/>
        <v>0</v>
      </c>
      <c r="AM43" s="1">
        <f t="shared" si="18"/>
        <v>0</v>
      </c>
      <c r="AO43" s="1">
        <f t="shared" si="19"/>
        <v>0</v>
      </c>
      <c r="AR43" s="1">
        <f t="shared" si="14"/>
        <v>0</v>
      </c>
    </row>
    <row r="44" spans="1:46">
      <c r="A44" s="150"/>
      <c r="B44" s="157" t="s">
        <v>2</v>
      </c>
      <c r="C44" s="156" t="s">
        <v>8</v>
      </c>
      <c r="D44" s="71" t="s">
        <v>7</v>
      </c>
      <c r="E44" s="380">
        <f>+'[1]3条支出'!$E$31</f>
        <v>0</v>
      </c>
      <c r="F44" s="153">
        <v>0</v>
      </c>
      <c r="G44" s="390"/>
      <c r="H44" s="160"/>
      <c r="I44" s="40">
        <f t="shared" si="15"/>
        <v>0</v>
      </c>
      <c r="J44" s="39"/>
      <c r="K44" s="152">
        <v>0</v>
      </c>
      <c r="L44" s="37">
        <f t="shared" si="0"/>
        <v>0</v>
      </c>
      <c r="M44" s="36">
        <f t="shared" si="1"/>
        <v>0</v>
      </c>
      <c r="N44" s="71" t="s">
        <v>7</v>
      </c>
      <c r="O44" s="381">
        <f>'[1]3条支出'!$T$31</f>
        <v>0</v>
      </c>
      <c r="P44" s="39">
        <f>+F44</f>
        <v>0</v>
      </c>
      <c r="Q44" s="390"/>
      <c r="R44" s="160"/>
      <c r="S44" s="37">
        <f t="shared" si="16"/>
        <v>0</v>
      </c>
      <c r="T44" s="428"/>
      <c r="U44" s="38">
        <f t="shared" si="26"/>
        <v>0</v>
      </c>
      <c r="V44" s="37">
        <f t="shared" si="4"/>
        <v>0</v>
      </c>
      <c r="W44" s="36">
        <f t="shared" si="17"/>
        <v>0</v>
      </c>
      <c r="X44" s="42" t="s">
        <v>7</v>
      </c>
      <c r="Y44" s="453"/>
      <c r="Z44" s="453"/>
      <c r="AA44" s="453"/>
      <c r="AB44" s="453"/>
      <c r="AC44" s="453"/>
      <c r="AD44" s="40">
        <f t="shared" si="31"/>
        <v>0</v>
      </c>
      <c r="AE44" s="39">
        <f t="shared" si="31"/>
        <v>0</v>
      </c>
      <c r="AF44" s="390">
        <f t="shared" si="31"/>
        <v>0</v>
      </c>
      <c r="AG44" s="38">
        <f t="shared" si="31"/>
        <v>0</v>
      </c>
      <c r="AH44" s="37">
        <f t="shared" si="9"/>
        <v>0</v>
      </c>
      <c r="AI44" s="428">
        <f t="shared" si="32"/>
        <v>0</v>
      </c>
      <c r="AJ44" s="38">
        <f t="shared" si="32"/>
        <v>0</v>
      </c>
      <c r="AK44" s="37">
        <f t="shared" si="12"/>
        <v>0</v>
      </c>
      <c r="AL44" s="36">
        <f t="shared" si="13"/>
        <v>0</v>
      </c>
      <c r="AM44" s="1">
        <f t="shared" si="18"/>
        <v>0</v>
      </c>
      <c r="AO44" s="1">
        <f t="shared" si="19"/>
        <v>0</v>
      </c>
      <c r="AR44" s="1">
        <f t="shared" si="14"/>
        <v>0</v>
      </c>
    </row>
    <row r="45" spans="1:46" ht="14.25" thickBot="1">
      <c r="A45" s="150"/>
      <c r="B45" s="149"/>
      <c r="C45" s="148"/>
      <c r="D45" s="146"/>
      <c r="E45" s="147"/>
      <c r="F45" s="144"/>
      <c r="G45" s="420"/>
      <c r="H45" s="435"/>
      <c r="I45" s="30"/>
      <c r="J45" s="144"/>
      <c r="K45" s="143"/>
      <c r="L45" s="142"/>
      <c r="M45" s="26"/>
      <c r="N45" s="146"/>
      <c r="O45" s="145"/>
      <c r="P45" s="144"/>
      <c r="Q45" s="420"/>
      <c r="R45" s="435"/>
      <c r="S45" s="142"/>
      <c r="T45" s="432"/>
      <c r="U45" s="143"/>
      <c r="V45" s="142"/>
      <c r="W45" s="26"/>
      <c r="X45" s="32"/>
      <c r="Y45" s="458"/>
      <c r="Z45" s="458"/>
      <c r="AA45" s="458"/>
      <c r="AB45" s="458"/>
      <c r="AC45" s="458"/>
      <c r="AD45" s="30"/>
      <c r="AE45" s="29"/>
      <c r="AF45" s="414"/>
      <c r="AG45" s="28"/>
      <c r="AH45" s="27"/>
      <c r="AI45" s="434"/>
      <c r="AJ45" s="28"/>
      <c r="AK45" s="27"/>
      <c r="AL45" s="26"/>
      <c r="AM45" s="1">
        <f t="shared" si="18"/>
        <v>0</v>
      </c>
      <c r="AO45" s="1">
        <f t="shared" si="19"/>
        <v>0</v>
      </c>
      <c r="AR45" s="1">
        <f t="shared" si="14"/>
        <v>0</v>
      </c>
    </row>
    <row r="46" spans="1:46" ht="14.25" thickTop="1">
      <c r="B46" s="25"/>
      <c r="C46" s="24"/>
      <c r="D46" s="23" t="s">
        <v>5</v>
      </c>
      <c r="E46" s="22">
        <f t="shared" ref="E46:L46" si="34">+SUM(E7:E45)</f>
        <v>42643669657</v>
      </c>
      <c r="F46" s="21">
        <f t="shared" si="34"/>
        <v>17380716581</v>
      </c>
      <c r="G46" s="392">
        <f t="shared" si="34"/>
        <v>396270048</v>
      </c>
      <c r="H46" s="20">
        <f>+SUM(H7:H45)</f>
        <v>492675795</v>
      </c>
      <c r="I46" s="402">
        <f t="shared" ref="I46" si="35">+SUM(I7:I45)</f>
        <v>18269662424</v>
      </c>
      <c r="J46" s="21">
        <f t="shared" si="34"/>
        <v>563892182</v>
      </c>
      <c r="K46" s="20">
        <f t="shared" si="34"/>
        <v>23810115051</v>
      </c>
      <c r="L46" s="19">
        <f t="shared" si="34"/>
        <v>24374007233</v>
      </c>
      <c r="M46" s="17">
        <f t="shared" ref="M46" si="36">+SUM(M7:M45)</f>
        <v>0</v>
      </c>
      <c r="N46" s="23" t="s">
        <v>5</v>
      </c>
      <c r="O46" s="141">
        <f t="shared" ref="O46:V46" si="37">+SUM(O7:O45)</f>
        <v>41815647458</v>
      </c>
      <c r="P46" s="21">
        <f t="shared" si="37"/>
        <v>17221073393</v>
      </c>
      <c r="Q46" s="392">
        <f t="shared" si="37"/>
        <v>377350558</v>
      </c>
      <c r="R46" s="20">
        <f>+SUM(R7:R45)</f>
        <v>457243918</v>
      </c>
      <c r="S46" s="19">
        <f t="shared" ref="S46" si="38">+SUM(S7:S45)</f>
        <v>18055667869</v>
      </c>
      <c r="T46" s="124">
        <f t="shared" si="37"/>
        <v>551241129</v>
      </c>
      <c r="U46" s="20">
        <f t="shared" si="37"/>
        <v>23208738460</v>
      </c>
      <c r="V46" s="19">
        <f t="shared" si="37"/>
        <v>23759979589</v>
      </c>
      <c r="W46" s="17">
        <f t="shared" ref="W46" si="39">+SUM(W7:W45)</f>
        <v>0</v>
      </c>
      <c r="X46" s="23" t="s">
        <v>5</v>
      </c>
      <c r="Y46" s="459"/>
      <c r="Z46" s="459"/>
      <c r="AA46" s="459"/>
      <c r="AB46" s="459"/>
      <c r="AC46" s="459"/>
      <c r="AD46" s="22">
        <f t="shared" ref="AD46:AK46" si="40">+SUM(AD7:AD45)</f>
        <v>42028134935</v>
      </c>
      <c r="AE46" s="21">
        <f t="shared" si="40"/>
        <v>17385467774</v>
      </c>
      <c r="AF46" s="392">
        <f t="shared" si="40"/>
        <v>392800549</v>
      </c>
      <c r="AG46" s="20">
        <f>+SUM(AG7:AG45)</f>
        <v>480297219</v>
      </c>
      <c r="AH46" s="19">
        <f t="shared" ref="AH46" si="41">+SUM(AH7:AH45)</f>
        <v>18258565542</v>
      </c>
      <c r="AI46" s="124">
        <f t="shared" si="40"/>
        <v>560817564</v>
      </c>
      <c r="AJ46" s="20">
        <f t="shared" si="40"/>
        <v>23208751829</v>
      </c>
      <c r="AK46" s="19">
        <f t="shared" si="40"/>
        <v>23769569393</v>
      </c>
      <c r="AL46" s="17">
        <f t="shared" ref="AL46" si="42">+SUM(AL7:AL45)</f>
        <v>0</v>
      </c>
      <c r="AO46" s="1">
        <f t="shared" si="19"/>
        <v>0</v>
      </c>
      <c r="AR46" s="1">
        <f t="shared" si="14"/>
        <v>0</v>
      </c>
    </row>
    <row r="47" spans="1:46">
      <c r="B47" s="14" t="s">
        <v>4</v>
      </c>
      <c r="C47" s="16"/>
      <c r="D47" s="15" t="s">
        <v>3</v>
      </c>
      <c r="E47" s="11">
        <f t="shared" ref="E47:T48" si="43">+SUMIFS(E$7:E$45,$B$7:$B$45,$B47)</f>
        <v>11642506890</v>
      </c>
      <c r="F47" s="10">
        <f t="shared" si="43"/>
        <v>2836814906</v>
      </c>
      <c r="G47" s="398">
        <f t="shared" si="43"/>
        <v>270904224</v>
      </c>
      <c r="H47" s="9">
        <f t="shared" si="43"/>
        <v>456300637</v>
      </c>
      <c r="I47" s="422">
        <f t="shared" si="43"/>
        <v>3564019767</v>
      </c>
      <c r="J47" s="10">
        <f t="shared" si="43"/>
        <v>231363468</v>
      </c>
      <c r="K47" s="9">
        <f t="shared" si="43"/>
        <v>7847123655</v>
      </c>
      <c r="L47" s="8">
        <f t="shared" si="43"/>
        <v>8078487123</v>
      </c>
      <c r="M47" s="6">
        <f t="shared" si="43"/>
        <v>0</v>
      </c>
      <c r="N47" s="15" t="s">
        <v>3</v>
      </c>
      <c r="O47" s="11">
        <f t="shared" si="43"/>
        <v>10820104123</v>
      </c>
      <c r="P47" s="10">
        <f t="shared" si="43"/>
        <v>2679951191</v>
      </c>
      <c r="Q47" s="398">
        <f t="shared" si="43"/>
        <v>251984734</v>
      </c>
      <c r="R47" s="9">
        <f t="shared" si="43"/>
        <v>420868760</v>
      </c>
      <c r="S47" s="422">
        <f t="shared" si="43"/>
        <v>3352804685</v>
      </c>
      <c r="T47" s="123">
        <f t="shared" si="43"/>
        <v>218712415</v>
      </c>
      <c r="U47" s="9">
        <f t="shared" ref="O47:W48" si="44">+SUMIFS(U$7:U$45,$B$7:$B$45,$B47)</f>
        <v>7248587023</v>
      </c>
      <c r="V47" s="8">
        <f t="shared" si="44"/>
        <v>7467299438</v>
      </c>
      <c r="W47" s="6">
        <f t="shared" si="44"/>
        <v>0</v>
      </c>
      <c r="X47" s="15" t="s">
        <v>3</v>
      </c>
      <c r="Y47" s="447"/>
      <c r="Z47" s="447"/>
      <c r="AA47" s="447"/>
      <c r="AB47" s="447"/>
      <c r="AC47" s="447"/>
      <c r="AD47" s="11">
        <f t="shared" ref="AD47:AL48" si="45">+SUMIFS(AD$7:AD$45,$B$7:$B$45,$B47)</f>
        <v>11030037961</v>
      </c>
      <c r="AE47" s="10">
        <f t="shared" si="45"/>
        <v>2841791933</v>
      </c>
      <c r="AF47" s="398">
        <f t="shared" si="45"/>
        <v>267434725</v>
      </c>
      <c r="AG47" s="9">
        <f t="shared" si="45"/>
        <v>443922061</v>
      </c>
      <c r="AH47" s="422">
        <f t="shared" si="45"/>
        <v>3553148719</v>
      </c>
      <c r="AI47" s="123">
        <f t="shared" si="45"/>
        <v>228288850</v>
      </c>
      <c r="AJ47" s="9">
        <f t="shared" si="45"/>
        <v>7248600392</v>
      </c>
      <c r="AK47" s="8">
        <f t="shared" si="45"/>
        <v>7476889242</v>
      </c>
      <c r="AL47" s="6">
        <f t="shared" si="45"/>
        <v>0</v>
      </c>
      <c r="AO47" s="1">
        <f t="shared" si="19"/>
        <v>0</v>
      </c>
      <c r="AR47" s="1">
        <f t="shared" si="14"/>
        <v>0</v>
      </c>
    </row>
    <row r="48" spans="1:46">
      <c r="B48" s="14" t="s">
        <v>2</v>
      </c>
      <c r="C48" s="16"/>
      <c r="D48" s="15" t="s">
        <v>1</v>
      </c>
      <c r="E48" s="11">
        <f t="shared" si="43"/>
        <v>31001162767</v>
      </c>
      <c r="F48" s="10">
        <f t="shared" si="43"/>
        <v>14543901675</v>
      </c>
      <c r="G48" s="398">
        <f t="shared" si="43"/>
        <v>125365824</v>
      </c>
      <c r="H48" s="9">
        <f t="shared" si="43"/>
        <v>36375158</v>
      </c>
      <c r="I48" s="422">
        <f t="shared" si="43"/>
        <v>14705642657</v>
      </c>
      <c r="J48" s="10">
        <f t="shared" si="43"/>
        <v>332528714</v>
      </c>
      <c r="K48" s="9">
        <f t="shared" si="43"/>
        <v>15962991396</v>
      </c>
      <c r="L48" s="8">
        <f t="shared" si="43"/>
        <v>16295520110</v>
      </c>
      <c r="M48" s="6">
        <f t="shared" si="43"/>
        <v>0</v>
      </c>
      <c r="N48" s="15" t="s">
        <v>1</v>
      </c>
      <c r="O48" s="11">
        <f t="shared" si="44"/>
        <v>30995543335</v>
      </c>
      <c r="P48" s="10">
        <f>+SUMIFS(P$7:P$45,$B$7:$B$45,$B48)</f>
        <v>14541122202</v>
      </c>
      <c r="Q48" s="398">
        <f t="shared" si="44"/>
        <v>125365824</v>
      </c>
      <c r="R48" s="9">
        <f t="shared" si="44"/>
        <v>36375158</v>
      </c>
      <c r="S48" s="422">
        <f t="shared" si="44"/>
        <v>14702863184</v>
      </c>
      <c r="T48" s="123">
        <f t="shared" si="44"/>
        <v>332528714</v>
      </c>
      <c r="U48" s="9">
        <f t="shared" si="44"/>
        <v>15960151437</v>
      </c>
      <c r="V48" s="8">
        <f t="shared" si="44"/>
        <v>16292680151</v>
      </c>
      <c r="W48" s="6">
        <f t="shared" si="44"/>
        <v>0</v>
      </c>
      <c r="X48" s="15" t="s">
        <v>1</v>
      </c>
      <c r="Y48" s="447"/>
      <c r="Z48" s="447"/>
      <c r="AA48" s="447"/>
      <c r="AB48" s="447"/>
      <c r="AC48" s="447"/>
      <c r="AD48" s="11">
        <f t="shared" si="45"/>
        <v>30998096974</v>
      </c>
      <c r="AE48" s="10">
        <f t="shared" si="45"/>
        <v>14543675841</v>
      </c>
      <c r="AF48" s="398">
        <f t="shared" si="45"/>
        <v>125365824</v>
      </c>
      <c r="AG48" s="9">
        <f t="shared" si="45"/>
        <v>36375158</v>
      </c>
      <c r="AH48" s="422">
        <f t="shared" si="45"/>
        <v>14705416823</v>
      </c>
      <c r="AI48" s="123">
        <f t="shared" si="45"/>
        <v>332528714</v>
      </c>
      <c r="AJ48" s="9">
        <f t="shared" si="45"/>
        <v>15960151437</v>
      </c>
      <c r="AK48" s="8">
        <f t="shared" si="45"/>
        <v>16292680151</v>
      </c>
      <c r="AL48" s="6">
        <f t="shared" si="45"/>
        <v>0</v>
      </c>
      <c r="AO48" s="1">
        <f t="shared" si="19"/>
        <v>0</v>
      </c>
      <c r="AR48" s="1">
        <f t="shared" si="14"/>
        <v>0</v>
      </c>
    </row>
    <row r="49" spans="1:46">
      <c r="B49" s="14"/>
      <c r="C49" s="13"/>
      <c r="D49" s="12" t="s">
        <v>0</v>
      </c>
      <c r="E49" s="11">
        <f>+SUM(E7:E45)</f>
        <v>42643669657</v>
      </c>
      <c r="F49" s="10">
        <f t="shared" ref="F49:M49" si="46">+SUM(F7:F45)</f>
        <v>17380716581</v>
      </c>
      <c r="G49" s="398">
        <f t="shared" si="46"/>
        <v>396270048</v>
      </c>
      <c r="H49" s="9">
        <f t="shared" si="46"/>
        <v>492675795</v>
      </c>
      <c r="I49" s="422">
        <f t="shared" si="46"/>
        <v>18269662424</v>
      </c>
      <c r="J49" s="10">
        <f t="shared" si="46"/>
        <v>563892182</v>
      </c>
      <c r="K49" s="9">
        <f t="shared" si="46"/>
        <v>23810115051</v>
      </c>
      <c r="L49" s="8">
        <f t="shared" si="46"/>
        <v>24374007233</v>
      </c>
      <c r="M49" s="6">
        <f t="shared" si="46"/>
        <v>0</v>
      </c>
      <c r="N49" s="12" t="s">
        <v>0</v>
      </c>
      <c r="O49" s="11">
        <f>+SUM(O7:O45)</f>
        <v>41815647458</v>
      </c>
      <c r="P49" s="10">
        <f t="shared" ref="P49:V49" si="47">+SUM(P7:P45)</f>
        <v>17221073393</v>
      </c>
      <c r="Q49" s="398">
        <f t="shared" si="47"/>
        <v>377350558</v>
      </c>
      <c r="R49" s="9">
        <f t="shared" si="47"/>
        <v>457243918</v>
      </c>
      <c r="S49" s="422">
        <f t="shared" si="47"/>
        <v>18055667869</v>
      </c>
      <c r="T49" s="123">
        <f t="shared" si="47"/>
        <v>551241129</v>
      </c>
      <c r="U49" s="9">
        <f t="shared" si="47"/>
        <v>23208738460</v>
      </c>
      <c r="V49" s="8">
        <f t="shared" si="47"/>
        <v>23759979589</v>
      </c>
      <c r="W49" s="6">
        <f t="shared" ref="W49" si="48">+SUM(W7:W21,W22:W27,W28:W33,W34:W36,W37:W40,W41:W45)</f>
        <v>0</v>
      </c>
      <c r="X49" s="12" t="s">
        <v>0</v>
      </c>
      <c r="Y49" s="460"/>
      <c r="Z49" s="460"/>
      <c r="AA49" s="460"/>
      <c r="AB49" s="460"/>
      <c r="AC49" s="460"/>
      <c r="AD49" s="11">
        <f>+SUM(AD7:AD45)</f>
        <v>42028134935</v>
      </c>
      <c r="AE49" s="10">
        <f t="shared" ref="AE49:AK49" si="49">+SUM(AE7:AE45)</f>
        <v>17385467774</v>
      </c>
      <c r="AF49" s="398">
        <f t="shared" si="49"/>
        <v>392800549</v>
      </c>
      <c r="AG49" s="9">
        <f t="shared" si="49"/>
        <v>480297219</v>
      </c>
      <c r="AH49" s="422">
        <f t="shared" si="49"/>
        <v>18258565542</v>
      </c>
      <c r="AI49" s="123">
        <f t="shared" si="49"/>
        <v>560817564</v>
      </c>
      <c r="AJ49" s="9">
        <f t="shared" si="49"/>
        <v>23208751829</v>
      </c>
      <c r="AK49" s="8">
        <f t="shared" si="49"/>
        <v>23769569393</v>
      </c>
      <c r="AL49" s="6">
        <f t="shared" ref="AL49" si="50">+SUM(AL7:AL21,AL22:AL27,AL28:AL33,AL34:AL36,AL37:AL40,AL41:AL45)</f>
        <v>0</v>
      </c>
      <c r="AO49" s="1">
        <f t="shared" si="19"/>
        <v>0</v>
      </c>
      <c r="AR49" s="1">
        <f t="shared" si="14"/>
        <v>0</v>
      </c>
    </row>
    <row r="50" spans="1:46" ht="13.5" customHeight="1">
      <c r="D50" s="138"/>
      <c r="E50" s="5">
        <f>E49-'[1]3条支出'!$E$42</f>
        <v>0</v>
      </c>
      <c r="F50" s="5"/>
      <c r="G50" s="5"/>
      <c r="H50" s="5"/>
      <c r="I50" s="4"/>
      <c r="J50" s="5"/>
      <c r="K50" s="5"/>
      <c r="L50" s="4"/>
      <c r="M50" s="5"/>
      <c r="O50" s="5">
        <f>+O49-'[1]3条支出'!$T$42</f>
        <v>0</v>
      </c>
      <c r="P50" s="5"/>
      <c r="Q50" s="5"/>
      <c r="R50" s="5"/>
      <c r="S50" s="4"/>
      <c r="T50" s="5"/>
      <c r="U50" s="5"/>
      <c r="V50" s="4"/>
      <c r="W50" s="5"/>
      <c r="X50" s="1"/>
      <c r="Y50" s="1"/>
      <c r="Z50" s="1"/>
      <c r="AA50" s="1"/>
      <c r="AB50" s="1"/>
      <c r="AC50" s="1"/>
      <c r="AD50" s="5">
        <f>+AD49-'[1]3条支出'!$T$41</f>
        <v>0</v>
      </c>
      <c r="AE50" s="5"/>
      <c r="AF50" s="5"/>
      <c r="AG50" s="5"/>
      <c r="AH50" s="4"/>
      <c r="AI50" s="5"/>
      <c r="AJ50" s="5"/>
      <c r="AK50" s="4"/>
      <c r="AL50" s="4"/>
      <c r="AO50" s="1">
        <f t="shared" si="19"/>
        <v>0</v>
      </c>
      <c r="AR50" s="1">
        <f t="shared" si="14"/>
        <v>0</v>
      </c>
    </row>
    <row r="51" spans="1:46">
      <c r="D51" s="3"/>
      <c r="E51" s="5"/>
      <c r="F51" s="5"/>
      <c r="G51" s="5"/>
      <c r="H51" s="5"/>
      <c r="I51" s="4"/>
      <c r="J51" s="5"/>
      <c r="K51" s="5"/>
      <c r="L51" s="4"/>
      <c r="M51" s="5"/>
      <c r="O51" s="5"/>
      <c r="P51" s="5"/>
      <c r="Q51" s="5"/>
      <c r="R51" s="5"/>
      <c r="S51" s="4"/>
      <c r="T51" s="5"/>
      <c r="U51" s="5"/>
      <c r="V51" s="4"/>
      <c r="W51" s="5"/>
      <c r="X51" s="4"/>
      <c r="Y51" s="4"/>
      <c r="Z51" s="4"/>
      <c r="AA51" s="4"/>
      <c r="AB51" s="4"/>
      <c r="AC51" s="4"/>
      <c r="AD51" s="5"/>
      <c r="AE51" s="5"/>
      <c r="AF51" s="5"/>
      <c r="AG51" s="5"/>
      <c r="AH51" s="4"/>
      <c r="AI51" s="5"/>
      <c r="AJ51" s="5"/>
      <c r="AK51" s="4"/>
      <c r="AL51" s="5"/>
    </row>
    <row r="52" spans="1:46">
      <c r="D52" s="1" t="str">
        <f>+$D$1</f>
        <v>令和５年度決算　消費税算出資料</v>
      </c>
      <c r="N52" s="1" t="str">
        <f>+$D$1</f>
        <v>令和５年度決算　消費税算出資料</v>
      </c>
      <c r="X52" s="1" t="str">
        <f>+$D$1</f>
        <v>令和５年度決算　消費税算出資料</v>
      </c>
      <c r="Y52" s="1"/>
      <c r="Z52" s="1"/>
      <c r="AA52" s="1"/>
      <c r="AB52" s="1"/>
      <c r="AC52" s="1"/>
    </row>
    <row r="53" spans="1:46">
      <c r="D53" s="1" t="s">
        <v>100</v>
      </c>
      <c r="M53" s="53" t="str">
        <f>+IF(COUNTIF(M58:M96,0)=COUNT(M58:M96),"","↓エラーあり")</f>
        <v/>
      </c>
      <c r="N53" s="1" t="s">
        <v>100</v>
      </c>
      <c r="W53" s="53" t="str">
        <f>+IF(COUNTIF(W58:W96,0)=COUNT(W58:W96),"","↓エラーあり")</f>
        <v/>
      </c>
      <c r="X53" s="1" t="s">
        <v>355</v>
      </c>
      <c r="Y53" s="1"/>
      <c r="Z53" s="1"/>
      <c r="AA53" s="1"/>
      <c r="AB53" s="1"/>
      <c r="AC53" s="1"/>
      <c r="AL53" s="53" t="str">
        <f>+IF(COUNTIF(AL58:AL96,0)=COUNT(AL58:AL96),"","↓エラーあり")</f>
        <v/>
      </c>
    </row>
    <row r="54" spans="1:46">
      <c r="B54" s="583"/>
      <c r="C54" s="584"/>
      <c r="D54" s="576" t="s">
        <v>95</v>
      </c>
      <c r="E54" s="589" t="s">
        <v>96</v>
      </c>
      <c r="F54" s="590"/>
      <c r="G54" s="590"/>
      <c r="H54" s="590"/>
      <c r="I54" s="590"/>
      <c r="J54" s="590"/>
      <c r="K54" s="590"/>
      <c r="L54" s="590"/>
      <c r="M54" s="591"/>
      <c r="N54" s="576" t="s">
        <v>95</v>
      </c>
      <c r="O54" s="589" t="s">
        <v>94</v>
      </c>
      <c r="P54" s="590"/>
      <c r="Q54" s="590"/>
      <c r="R54" s="590"/>
      <c r="S54" s="590"/>
      <c r="T54" s="590"/>
      <c r="U54" s="590"/>
      <c r="V54" s="590"/>
      <c r="W54" s="591"/>
      <c r="X54" s="576" t="s">
        <v>95</v>
      </c>
      <c r="Y54" s="446"/>
      <c r="Z54" s="446"/>
      <c r="AA54" s="446"/>
      <c r="AB54" s="446"/>
      <c r="AC54" s="446"/>
      <c r="AD54" s="589" t="s">
        <v>94</v>
      </c>
      <c r="AE54" s="590"/>
      <c r="AF54" s="590"/>
      <c r="AG54" s="590"/>
      <c r="AH54" s="590"/>
      <c r="AI54" s="590"/>
      <c r="AJ54" s="590"/>
      <c r="AK54" s="590"/>
      <c r="AL54" s="591"/>
    </row>
    <row r="55" spans="1:46">
      <c r="B55" s="585"/>
      <c r="C55" s="586"/>
      <c r="D55" s="577"/>
      <c r="E55" s="576" t="s">
        <v>90</v>
      </c>
      <c r="F55" s="589" t="s">
        <v>86</v>
      </c>
      <c r="G55" s="590"/>
      <c r="H55" s="590"/>
      <c r="I55" s="591"/>
      <c r="J55" s="589" t="s">
        <v>85</v>
      </c>
      <c r="K55" s="590"/>
      <c r="L55" s="591"/>
      <c r="M55" s="579" t="s">
        <v>83</v>
      </c>
      <c r="N55" s="577"/>
      <c r="O55" s="576" t="s">
        <v>89</v>
      </c>
      <c r="P55" s="589" t="s">
        <v>86</v>
      </c>
      <c r="Q55" s="590"/>
      <c r="R55" s="590"/>
      <c r="S55" s="591"/>
      <c r="T55" s="589" t="s">
        <v>85</v>
      </c>
      <c r="U55" s="590"/>
      <c r="V55" s="591"/>
      <c r="W55" s="579" t="s">
        <v>88</v>
      </c>
      <c r="X55" s="577"/>
      <c r="Y55" s="443"/>
      <c r="Z55" s="443"/>
      <c r="AA55" s="443"/>
      <c r="AB55" s="443"/>
      <c r="AC55" s="443"/>
      <c r="AD55" s="576" t="s">
        <v>89</v>
      </c>
      <c r="AE55" s="589" t="s">
        <v>86</v>
      </c>
      <c r="AF55" s="590"/>
      <c r="AG55" s="590"/>
      <c r="AH55" s="591"/>
      <c r="AI55" s="589" t="s">
        <v>85</v>
      </c>
      <c r="AJ55" s="590"/>
      <c r="AK55" s="591"/>
      <c r="AL55" s="579" t="s">
        <v>88</v>
      </c>
    </row>
    <row r="56" spans="1:46">
      <c r="A56" s="582"/>
      <c r="B56" s="585"/>
      <c r="C56" s="586"/>
      <c r="D56" s="577"/>
      <c r="E56" s="577"/>
      <c r="F56" s="113" t="s">
        <v>82</v>
      </c>
      <c r="G56" s="385" t="s">
        <v>82</v>
      </c>
      <c r="H56" s="112" t="s">
        <v>80</v>
      </c>
      <c r="I56" s="383" t="s">
        <v>81</v>
      </c>
      <c r="J56" s="113" t="s">
        <v>82</v>
      </c>
      <c r="K56" s="112" t="s">
        <v>80</v>
      </c>
      <c r="L56" s="111" t="s">
        <v>81</v>
      </c>
      <c r="M56" s="580"/>
      <c r="N56" s="577"/>
      <c r="O56" s="577"/>
      <c r="P56" s="113" t="s">
        <v>82</v>
      </c>
      <c r="Q56" s="385" t="s">
        <v>82</v>
      </c>
      <c r="R56" s="112" t="s">
        <v>80</v>
      </c>
      <c r="S56" s="383" t="s">
        <v>81</v>
      </c>
      <c r="T56" s="113" t="s">
        <v>82</v>
      </c>
      <c r="U56" s="112" t="s">
        <v>80</v>
      </c>
      <c r="V56" s="111" t="s">
        <v>81</v>
      </c>
      <c r="W56" s="580"/>
      <c r="X56" s="577"/>
      <c r="Y56" s="443"/>
      <c r="Z56" s="443"/>
      <c r="AA56" s="443"/>
      <c r="AB56" s="443"/>
      <c r="AC56" s="443"/>
      <c r="AD56" s="577"/>
      <c r="AE56" s="113" t="s">
        <v>82</v>
      </c>
      <c r="AF56" s="385" t="s">
        <v>82</v>
      </c>
      <c r="AG56" s="112" t="s">
        <v>80</v>
      </c>
      <c r="AH56" s="383" t="s">
        <v>81</v>
      </c>
      <c r="AI56" s="113" t="s">
        <v>82</v>
      </c>
      <c r="AJ56" s="112" t="s">
        <v>80</v>
      </c>
      <c r="AK56" s="111" t="s">
        <v>81</v>
      </c>
      <c r="AL56" s="580"/>
    </row>
    <row r="57" spans="1:46" s="106" customFormat="1">
      <c r="A57" s="582"/>
      <c r="B57" s="587"/>
      <c r="C57" s="588"/>
      <c r="D57" s="577"/>
      <c r="E57" s="577"/>
      <c r="F57" s="109" t="s">
        <v>78</v>
      </c>
      <c r="G57" s="386" t="s">
        <v>79</v>
      </c>
      <c r="H57" s="411" t="s">
        <v>84</v>
      </c>
      <c r="I57" s="401"/>
      <c r="J57" s="109" t="s">
        <v>78</v>
      </c>
      <c r="K57" s="108" t="s">
        <v>78</v>
      </c>
      <c r="L57" s="107"/>
      <c r="M57" s="580"/>
      <c r="N57" s="577"/>
      <c r="O57" s="577"/>
      <c r="P57" s="109" t="s">
        <v>78</v>
      </c>
      <c r="Q57" s="386" t="s">
        <v>79</v>
      </c>
      <c r="R57" s="411" t="s">
        <v>84</v>
      </c>
      <c r="S57" s="401"/>
      <c r="T57" s="109" t="s">
        <v>78</v>
      </c>
      <c r="U57" s="108" t="s">
        <v>78</v>
      </c>
      <c r="V57" s="107"/>
      <c r="W57" s="580"/>
      <c r="X57" s="578"/>
      <c r="Y57" s="444"/>
      <c r="Z57" s="444"/>
      <c r="AA57" s="444"/>
      <c r="AB57" s="444"/>
      <c r="AC57" s="444"/>
      <c r="AD57" s="578"/>
      <c r="AE57" s="109" t="s">
        <v>78</v>
      </c>
      <c r="AF57" s="386" t="s">
        <v>79</v>
      </c>
      <c r="AG57" s="411" t="s">
        <v>84</v>
      </c>
      <c r="AH57" s="401"/>
      <c r="AI57" s="109" t="s">
        <v>78</v>
      </c>
      <c r="AJ57" s="108" t="s">
        <v>78</v>
      </c>
      <c r="AK57" s="107"/>
      <c r="AL57" s="581"/>
    </row>
    <row r="58" spans="1:46" s="2" customFormat="1">
      <c r="A58" s="35"/>
      <c r="B58" s="105" t="s">
        <v>4</v>
      </c>
      <c r="C58" s="104" t="s">
        <v>21</v>
      </c>
      <c r="D58" s="99" t="s">
        <v>57</v>
      </c>
      <c r="E58" s="187">
        <f>+'[2]3条収入'!E8</f>
        <v>20488962528</v>
      </c>
      <c r="F58" s="97"/>
      <c r="G58" s="134"/>
      <c r="H58" s="98"/>
      <c r="I58" s="101">
        <f>+SUM(F58:H58)</f>
        <v>0</v>
      </c>
      <c r="J58" s="97"/>
      <c r="K58" s="98">
        <f>+E58</f>
        <v>20488962528</v>
      </c>
      <c r="L58" s="95">
        <f>+SUM(J58:K58)</f>
        <v>20488962528</v>
      </c>
      <c r="M58" s="94">
        <f>E58-SUM(I58,L58)</f>
        <v>0</v>
      </c>
      <c r="N58" s="99" t="s">
        <v>57</v>
      </c>
      <c r="O58" s="187">
        <f>+'[2]3条収入'!AI8</f>
        <v>18626337467</v>
      </c>
      <c r="P58" s="97">
        <f>+IFERROR(ROUND(F58*$O58/$E58,0),0)</f>
        <v>0</v>
      </c>
      <c r="Q58" s="134">
        <f>+IFERROR(ROUND(G58*$O58/$E58,0),0)</f>
        <v>0</v>
      </c>
      <c r="R58" s="98">
        <f>+IFERROR(ROUND(H58*$O58/$E58,0),0)</f>
        <v>0</v>
      </c>
      <c r="S58" s="101">
        <f t="shared" ref="S58:S95" si="51">+SUM(P58:R58)</f>
        <v>0</v>
      </c>
      <c r="T58" s="97">
        <f>+IFERROR(ROUND(J58*$O58/$E58,0),0)</f>
        <v>0</v>
      </c>
      <c r="U58" s="98">
        <f>+O58-S58-T58</f>
        <v>18626337467</v>
      </c>
      <c r="V58" s="95">
        <f t="shared" ref="V58:V73" si="52">+SUM(T58:U58)</f>
        <v>18626337467</v>
      </c>
      <c r="W58" s="94">
        <f t="shared" ref="W58:W95" si="53">O58-SUM(S58,V58)</f>
        <v>0</v>
      </c>
      <c r="X58" s="99" t="s">
        <v>57</v>
      </c>
      <c r="Y58" s="99"/>
      <c r="Z58" s="99"/>
      <c r="AA58" s="99"/>
      <c r="AB58" s="99"/>
      <c r="AC58" s="99"/>
      <c r="AD58" s="94">
        <f>+O58</f>
        <v>18626337467</v>
      </c>
      <c r="AE58" s="97">
        <f>+P58</f>
        <v>0</v>
      </c>
      <c r="AF58" s="134">
        <f>+Q58</f>
        <v>0</v>
      </c>
      <c r="AG58" s="98">
        <f>+R58</f>
        <v>0</v>
      </c>
      <c r="AH58" s="101">
        <f t="shared" ref="AH58:AH95" si="54">+SUM(AE58:AG58)</f>
        <v>0</v>
      </c>
      <c r="AI58" s="97">
        <f>+T58</f>
        <v>0</v>
      </c>
      <c r="AJ58" s="96">
        <f>+U58</f>
        <v>18626337467</v>
      </c>
      <c r="AK58" s="95">
        <f t="shared" ref="AK58:AK95" si="55">+SUM(AI58:AJ58)</f>
        <v>18626337467</v>
      </c>
      <c r="AL58" s="94">
        <f t="shared" ref="AL58:AL95" si="56">AD58-SUM(AH58,AK58)</f>
        <v>0</v>
      </c>
      <c r="AM58" s="1">
        <f t="shared" ref="AM58:AM96" si="57">SUM(AE58:AG58,AI58)</f>
        <v>0</v>
      </c>
      <c r="AN58" s="2">
        <v>0</v>
      </c>
      <c r="AO58" s="1">
        <f t="shared" ref="AO58:AO96" si="58">-(AM58-AN58)</f>
        <v>0</v>
      </c>
      <c r="AQ58" s="1">
        <v>0</v>
      </c>
      <c r="AR58" s="1">
        <f t="shared" ref="AR58:AR96" si="59">-(AM58-AQ58)</f>
        <v>0</v>
      </c>
      <c r="AT58" s="1" t="s">
        <v>3313</v>
      </c>
    </row>
    <row r="59" spans="1:46" s="2" customFormat="1">
      <c r="A59" s="35"/>
      <c r="B59" s="45"/>
      <c r="C59" s="44"/>
      <c r="D59" s="41"/>
      <c r="E59" s="36"/>
      <c r="F59" s="39"/>
      <c r="G59" s="390"/>
      <c r="H59" s="38"/>
      <c r="I59" s="40"/>
      <c r="J59" s="39"/>
      <c r="K59" s="38"/>
      <c r="L59" s="37"/>
      <c r="M59" s="36"/>
      <c r="N59" s="41"/>
      <c r="O59" s="36"/>
      <c r="P59" s="39"/>
      <c r="Q59" s="390"/>
      <c r="R59" s="38"/>
      <c r="S59" s="40"/>
      <c r="T59" s="39"/>
      <c r="U59" s="38"/>
      <c r="V59" s="37"/>
      <c r="W59" s="36"/>
      <c r="X59" s="41"/>
      <c r="Y59" s="41"/>
      <c r="Z59" s="41"/>
      <c r="AA59" s="41"/>
      <c r="AB59" s="41"/>
      <c r="AC59" s="41"/>
      <c r="AD59" s="36"/>
      <c r="AE59" s="39"/>
      <c r="AF59" s="390"/>
      <c r="AG59" s="38"/>
      <c r="AH59" s="40"/>
      <c r="AI59" s="39"/>
      <c r="AJ59" s="38"/>
      <c r="AK59" s="37"/>
      <c r="AL59" s="36"/>
      <c r="AM59" s="1">
        <f t="shared" si="57"/>
        <v>0</v>
      </c>
      <c r="AO59" s="1">
        <f t="shared" si="58"/>
        <v>0</v>
      </c>
      <c r="AR59" s="1">
        <f t="shared" si="59"/>
        <v>0</v>
      </c>
    </row>
    <row r="60" spans="1:46" s="2" customFormat="1">
      <c r="A60" s="35"/>
      <c r="B60" s="45" t="s">
        <v>4</v>
      </c>
      <c r="C60" s="44" t="s">
        <v>21</v>
      </c>
      <c r="D60" s="41" t="s">
        <v>66</v>
      </c>
      <c r="E60" s="174">
        <f>+'[2]3条収入'!E17</f>
        <v>0</v>
      </c>
      <c r="F60" s="165">
        <f>+雨汚収入!AV3</f>
        <v>0</v>
      </c>
      <c r="G60" s="412">
        <f>+雨汚収入!AW3</f>
        <v>0</v>
      </c>
      <c r="H60" s="164">
        <f>+雨汚収入!AX3</f>
        <v>0</v>
      </c>
      <c r="I60" s="40">
        <f t="shared" ref="I60:I65" si="60">+SUM(F60:H60)</f>
        <v>0</v>
      </c>
      <c r="J60" s="165">
        <f>+雨汚収入!AZ3</f>
        <v>0</v>
      </c>
      <c r="K60" s="164">
        <f>+雨汚収入!BA3</f>
        <v>0</v>
      </c>
      <c r="L60" s="37">
        <f t="shared" ref="L60:L65" si="61">+SUM(J60:K60)</f>
        <v>0</v>
      </c>
      <c r="M60" s="36">
        <f t="shared" ref="M60:M65" si="62">E60-SUM(I60,L60)</f>
        <v>0</v>
      </c>
      <c r="N60" s="41" t="s">
        <v>66</v>
      </c>
      <c r="O60" s="174">
        <f>+'[2]3条収入'!AI17</f>
        <v>0</v>
      </c>
      <c r="P60" s="165">
        <f>+雨汚収入!BF3</f>
        <v>0</v>
      </c>
      <c r="Q60" s="412">
        <f>+雨汚収入!BG3</f>
        <v>0</v>
      </c>
      <c r="R60" s="164">
        <f>+雨汚収入!BH3</f>
        <v>0</v>
      </c>
      <c r="S60" s="40">
        <f t="shared" ref="S60:S73" si="63">+SUM(P60:R60)</f>
        <v>0</v>
      </c>
      <c r="T60" s="165">
        <f>+雨汚収入!BJ3</f>
        <v>0</v>
      </c>
      <c r="U60" s="164">
        <f>+雨汚収入!BK3</f>
        <v>0</v>
      </c>
      <c r="V60" s="37">
        <f t="shared" si="52"/>
        <v>0</v>
      </c>
      <c r="W60" s="36">
        <f t="shared" ref="W60:W73" si="64">O60-SUM(S60,V60)</f>
        <v>0</v>
      </c>
      <c r="X60" s="41" t="s">
        <v>66</v>
      </c>
      <c r="Y60" s="41"/>
      <c r="Z60" s="41"/>
      <c r="AA60" s="41"/>
      <c r="AB60" s="41"/>
      <c r="AC60" s="41"/>
      <c r="AD60" s="36">
        <f t="shared" ref="AD60:AG65" si="65">+O60</f>
        <v>0</v>
      </c>
      <c r="AE60" s="39">
        <f t="shared" si="65"/>
        <v>0</v>
      </c>
      <c r="AF60" s="390">
        <f t="shared" si="65"/>
        <v>0</v>
      </c>
      <c r="AG60" s="38">
        <f t="shared" si="65"/>
        <v>0</v>
      </c>
      <c r="AH60" s="40">
        <f t="shared" si="54"/>
        <v>0</v>
      </c>
      <c r="AI60" s="39">
        <f t="shared" ref="AI60:AJ65" si="66">+T60</f>
        <v>0</v>
      </c>
      <c r="AJ60" s="38">
        <f t="shared" si="66"/>
        <v>0</v>
      </c>
      <c r="AK60" s="37">
        <f t="shared" si="55"/>
        <v>0</v>
      </c>
      <c r="AL60" s="36">
        <f t="shared" si="56"/>
        <v>0</v>
      </c>
      <c r="AM60" s="1">
        <f t="shared" si="57"/>
        <v>0</v>
      </c>
      <c r="AO60" s="1">
        <f t="shared" si="58"/>
        <v>0</v>
      </c>
      <c r="AR60" s="1">
        <f t="shared" si="59"/>
        <v>0</v>
      </c>
    </row>
    <row r="61" spans="1:46" s="2" customFormat="1">
      <c r="A61" s="35"/>
      <c r="B61" s="45" t="s">
        <v>4</v>
      </c>
      <c r="C61" s="44" t="s">
        <v>21</v>
      </c>
      <c r="D61" s="41" t="s">
        <v>68</v>
      </c>
      <c r="E61" s="174">
        <f>+'[2]3条収入'!E20</f>
        <v>187826166</v>
      </c>
      <c r="F61" s="165">
        <f>+雨汚収入!AV4</f>
        <v>0</v>
      </c>
      <c r="G61" s="412">
        <f>+雨汚収入!AW4</f>
        <v>0</v>
      </c>
      <c r="H61" s="171">
        <f>+雨汚収入!AX4</f>
        <v>37753060</v>
      </c>
      <c r="I61" s="40">
        <f t="shared" si="60"/>
        <v>37753060</v>
      </c>
      <c r="J61" s="165">
        <f>+雨汚収入!AZ4</f>
        <v>0</v>
      </c>
      <c r="K61" s="164">
        <f>+雨汚収入!BA4</f>
        <v>150073106</v>
      </c>
      <c r="L61" s="37">
        <f t="shared" si="61"/>
        <v>150073106</v>
      </c>
      <c r="M61" s="36">
        <f t="shared" si="62"/>
        <v>0</v>
      </c>
      <c r="N61" s="41" t="s">
        <v>68</v>
      </c>
      <c r="O61" s="174">
        <f>+'[2]3条収入'!AI20</f>
        <v>170751060</v>
      </c>
      <c r="P61" s="165">
        <f>+雨汚収入!BF4</f>
        <v>0</v>
      </c>
      <c r="Q61" s="412">
        <f>+雨汚収入!BG4</f>
        <v>0</v>
      </c>
      <c r="R61" s="171">
        <f>+雨汚収入!BH4</f>
        <v>34320964</v>
      </c>
      <c r="S61" s="40">
        <f t="shared" si="63"/>
        <v>34320964</v>
      </c>
      <c r="T61" s="165">
        <f>+雨汚収入!BJ4</f>
        <v>0</v>
      </c>
      <c r="U61" s="164">
        <f>+雨汚収入!BK4</f>
        <v>136430096</v>
      </c>
      <c r="V61" s="37">
        <f t="shared" si="52"/>
        <v>136430096</v>
      </c>
      <c r="W61" s="36">
        <f>O61-SUM(S61,V61)</f>
        <v>0</v>
      </c>
      <c r="X61" s="41" t="s">
        <v>68</v>
      </c>
      <c r="Y61" s="41"/>
      <c r="Z61" s="41"/>
      <c r="AA61" s="41"/>
      <c r="AB61" s="41"/>
      <c r="AC61" s="41"/>
      <c r="AD61" s="36">
        <f t="shared" si="65"/>
        <v>170751060</v>
      </c>
      <c r="AE61" s="39">
        <f t="shared" si="65"/>
        <v>0</v>
      </c>
      <c r="AF61" s="390">
        <f t="shared" si="65"/>
        <v>0</v>
      </c>
      <c r="AG61" s="54">
        <f t="shared" si="65"/>
        <v>34320964</v>
      </c>
      <c r="AH61" s="40">
        <f t="shared" si="54"/>
        <v>34320964</v>
      </c>
      <c r="AI61" s="39">
        <f t="shared" si="66"/>
        <v>0</v>
      </c>
      <c r="AJ61" s="38">
        <f t="shared" si="66"/>
        <v>136430096</v>
      </c>
      <c r="AK61" s="37">
        <f t="shared" si="55"/>
        <v>136430096</v>
      </c>
      <c r="AL61" s="36">
        <f>AD61-SUM(AH61,AK61)</f>
        <v>0</v>
      </c>
      <c r="AM61" s="1">
        <f t="shared" si="57"/>
        <v>34320964</v>
      </c>
      <c r="AN61" s="2">
        <v>0</v>
      </c>
      <c r="AO61" s="1">
        <f t="shared" si="58"/>
        <v>-34320964</v>
      </c>
      <c r="AQ61" s="1">
        <v>0</v>
      </c>
      <c r="AR61" s="1">
        <f t="shared" si="59"/>
        <v>-34320964</v>
      </c>
      <c r="AT61" s="1" t="s">
        <v>3314</v>
      </c>
    </row>
    <row r="62" spans="1:46" s="2" customFormat="1">
      <c r="A62" s="35"/>
      <c r="B62" s="45" t="s">
        <v>4</v>
      </c>
      <c r="C62" s="44" t="s">
        <v>21</v>
      </c>
      <c r="D62" s="41" t="s">
        <v>73</v>
      </c>
      <c r="E62" s="174">
        <f>+'[2]3条収入'!E21</f>
        <v>1409733</v>
      </c>
      <c r="F62" s="165">
        <f>+雨汚収入!AV5</f>
        <v>902422</v>
      </c>
      <c r="G62" s="412">
        <f>+雨汚収入!AW5</f>
        <v>507311</v>
      </c>
      <c r="H62" s="164">
        <f>+雨汚収入!AX5</f>
        <v>0</v>
      </c>
      <c r="I62" s="40">
        <f t="shared" si="60"/>
        <v>1409733</v>
      </c>
      <c r="J62" s="165">
        <f>+雨汚収入!AZ5</f>
        <v>0</v>
      </c>
      <c r="K62" s="164">
        <f>+雨汚収入!BA5</f>
        <v>0</v>
      </c>
      <c r="L62" s="37">
        <f t="shared" si="61"/>
        <v>0</v>
      </c>
      <c r="M62" s="36">
        <f t="shared" si="62"/>
        <v>0</v>
      </c>
      <c r="N62" s="41" t="s">
        <v>73</v>
      </c>
      <c r="O62" s="174">
        <f>+'[2]3条収入'!AI21</f>
        <v>1281576</v>
      </c>
      <c r="P62" s="165">
        <f>+雨汚収入!BF5</f>
        <v>820384</v>
      </c>
      <c r="Q62" s="412">
        <f>+雨汚収入!BG5</f>
        <v>461192</v>
      </c>
      <c r="R62" s="164">
        <f>+雨汚収入!BH5</f>
        <v>0</v>
      </c>
      <c r="S62" s="40">
        <f t="shared" si="63"/>
        <v>1281576</v>
      </c>
      <c r="T62" s="165">
        <f>+雨汚収入!BJ5</f>
        <v>0</v>
      </c>
      <c r="U62" s="164">
        <f>+雨汚収入!BK5</f>
        <v>0</v>
      </c>
      <c r="V62" s="37">
        <f t="shared" si="52"/>
        <v>0</v>
      </c>
      <c r="W62" s="36">
        <f t="shared" si="64"/>
        <v>0</v>
      </c>
      <c r="X62" s="41" t="s">
        <v>73</v>
      </c>
      <c r="Y62" s="41"/>
      <c r="Z62" s="41"/>
      <c r="AA62" s="41"/>
      <c r="AB62" s="41"/>
      <c r="AC62" s="41"/>
      <c r="AD62" s="36">
        <f t="shared" si="65"/>
        <v>1281576</v>
      </c>
      <c r="AE62" s="39">
        <f t="shared" si="65"/>
        <v>820384</v>
      </c>
      <c r="AF62" s="390">
        <f t="shared" si="65"/>
        <v>461192</v>
      </c>
      <c r="AG62" s="38">
        <f t="shared" si="65"/>
        <v>0</v>
      </c>
      <c r="AH62" s="40">
        <f t="shared" si="54"/>
        <v>1281576</v>
      </c>
      <c r="AI62" s="39">
        <f t="shared" si="66"/>
        <v>0</v>
      </c>
      <c r="AJ62" s="38">
        <f t="shared" si="66"/>
        <v>0</v>
      </c>
      <c r="AK62" s="37">
        <f t="shared" si="55"/>
        <v>0</v>
      </c>
      <c r="AL62" s="36">
        <f t="shared" si="56"/>
        <v>0</v>
      </c>
      <c r="AM62" s="1">
        <f t="shared" si="57"/>
        <v>1281576</v>
      </c>
      <c r="AN62" s="2">
        <v>1456000</v>
      </c>
      <c r="AO62" s="1">
        <f t="shared" si="58"/>
        <v>174424</v>
      </c>
      <c r="AQ62" s="1">
        <v>1599000</v>
      </c>
      <c r="AR62" s="1">
        <f t="shared" si="59"/>
        <v>317424</v>
      </c>
      <c r="AT62" s="1" t="s">
        <v>3315</v>
      </c>
    </row>
    <row r="63" spans="1:46" s="2" customFormat="1">
      <c r="A63" s="35"/>
      <c r="B63" s="45" t="s">
        <v>4</v>
      </c>
      <c r="C63" s="44" t="s">
        <v>21</v>
      </c>
      <c r="D63" s="85" t="s">
        <v>76</v>
      </c>
      <c r="E63" s="437">
        <f>+'[2]3条収入'!E23</f>
        <v>71970</v>
      </c>
      <c r="F63" s="438">
        <f>+雨汚収入!AV6</f>
        <v>32943</v>
      </c>
      <c r="G63" s="439">
        <f>+雨汚収入!AW6</f>
        <v>0</v>
      </c>
      <c r="H63" s="440">
        <f>+雨汚収入!AX6</f>
        <v>0</v>
      </c>
      <c r="I63" s="183">
        <f t="shared" si="60"/>
        <v>32943</v>
      </c>
      <c r="J63" s="438">
        <f>+雨汚収入!AZ6</f>
        <v>0</v>
      </c>
      <c r="K63" s="441">
        <f>+雨汚収入!BA6</f>
        <v>39027</v>
      </c>
      <c r="L63" s="180">
        <f t="shared" si="61"/>
        <v>39027</v>
      </c>
      <c r="M63" s="84">
        <f t="shared" si="62"/>
        <v>0</v>
      </c>
      <c r="N63" s="85" t="s">
        <v>76</v>
      </c>
      <c r="O63" s="437">
        <f>+'[2]3条収入'!AI23</f>
        <v>71970</v>
      </c>
      <c r="P63" s="438">
        <f>+雨汚収入!BF6</f>
        <v>32943</v>
      </c>
      <c r="Q63" s="439">
        <f>+雨汚収入!BG6</f>
        <v>0</v>
      </c>
      <c r="R63" s="440">
        <f>+雨汚収入!BH6</f>
        <v>0</v>
      </c>
      <c r="S63" s="183">
        <f t="shared" si="63"/>
        <v>32943</v>
      </c>
      <c r="T63" s="438">
        <f>+雨汚収入!BJ6</f>
        <v>0</v>
      </c>
      <c r="U63" s="441">
        <f>+雨汚収入!BK6</f>
        <v>39027</v>
      </c>
      <c r="V63" s="180">
        <f t="shared" si="52"/>
        <v>39027</v>
      </c>
      <c r="W63" s="84">
        <f t="shared" si="64"/>
        <v>0</v>
      </c>
      <c r="X63" s="41" t="s">
        <v>76</v>
      </c>
      <c r="Y63" s="41"/>
      <c r="Z63" s="41"/>
      <c r="AA63" s="41"/>
      <c r="AB63" s="41"/>
      <c r="AC63" s="41"/>
      <c r="AD63" s="36">
        <f t="shared" si="65"/>
        <v>71970</v>
      </c>
      <c r="AE63" s="39">
        <f t="shared" si="65"/>
        <v>32943</v>
      </c>
      <c r="AF63" s="390">
        <f t="shared" si="65"/>
        <v>0</v>
      </c>
      <c r="AG63" s="38">
        <f t="shared" si="65"/>
        <v>0</v>
      </c>
      <c r="AH63" s="40">
        <f t="shared" si="54"/>
        <v>32943</v>
      </c>
      <c r="AI63" s="39">
        <f t="shared" si="66"/>
        <v>0</v>
      </c>
      <c r="AJ63" s="38">
        <f t="shared" si="66"/>
        <v>39027</v>
      </c>
      <c r="AK63" s="37">
        <f t="shared" si="55"/>
        <v>39027</v>
      </c>
      <c r="AL63" s="36">
        <f t="shared" si="56"/>
        <v>0</v>
      </c>
      <c r="AM63" s="1">
        <f t="shared" si="57"/>
        <v>32943</v>
      </c>
      <c r="AO63" s="1">
        <f t="shared" si="58"/>
        <v>-32943</v>
      </c>
      <c r="AR63" s="1">
        <f t="shared" si="59"/>
        <v>-32943</v>
      </c>
    </row>
    <row r="64" spans="1:46" s="2" customFormat="1">
      <c r="A64" s="35"/>
      <c r="B64" s="45" t="s">
        <v>4</v>
      </c>
      <c r="C64" s="44" t="s">
        <v>21</v>
      </c>
      <c r="D64" s="41" t="s">
        <v>64</v>
      </c>
      <c r="E64" s="174">
        <f>+'[2]3条収入'!E24</f>
        <v>539000</v>
      </c>
      <c r="F64" s="165">
        <f>+雨汚収入!AV7</f>
        <v>0</v>
      </c>
      <c r="G64" s="412">
        <f>+雨汚収入!AW7</f>
        <v>0</v>
      </c>
      <c r="H64" s="164">
        <f>+雨汚収入!AX7</f>
        <v>0</v>
      </c>
      <c r="I64" s="40">
        <f t="shared" si="60"/>
        <v>0</v>
      </c>
      <c r="J64" s="165">
        <f>+雨汚収入!AZ7</f>
        <v>269500</v>
      </c>
      <c r="K64" s="164">
        <f>+雨汚収入!BA7</f>
        <v>269500</v>
      </c>
      <c r="L64" s="37">
        <f t="shared" si="61"/>
        <v>539000</v>
      </c>
      <c r="M64" s="36">
        <f t="shared" si="62"/>
        <v>0</v>
      </c>
      <c r="N64" s="41" t="s">
        <v>64</v>
      </c>
      <c r="O64" s="174">
        <f>+'[2]3条収入'!AI24</f>
        <v>539000</v>
      </c>
      <c r="P64" s="165">
        <f>+雨汚収入!BF7</f>
        <v>0</v>
      </c>
      <c r="Q64" s="412">
        <f>+雨汚収入!BG7</f>
        <v>0</v>
      </c>
      <c r="R64" s="164">
        <f>+雨汚収入!BH7</f>
        <v>0</v>
      </c>
      <c r="S64" s="40">
        <f t="shared" si="63"/>
        <v>0</v>
      </c>
      <c r="T64" s="165">
        <f>+雨汚収入!BJ7</f>
        <v>269500</v>
      </c>
      <c r="U64" s="164">
        <f>+雨汚収入!BK7</f>
        <v>269500</v>
      </c>
      <c r="V64" s="37">
        <f t="shared" si="52"/>
        <v>539000</v>
      </c>
      <c r="W64" s="36">
        <f t="shared" si="64"/>
        <v>0</v>
      </c>
      <c r="X64" s="41" t="s">
        <v>64</v>
      </c>
      <c r="Y64" s="41"/>
      <c r="Z64" s="41"/>
      <c r="AA64" s="41"/>
      <c r="AB64" s="41"/>
      <c r="AC64" s="41"/>
      <c r="AD64" s="36">
        <f t="shared" si="65"/>
        <v>539000</v>
      </c>
      <c r="AE64" s="39">
        <f t="shared" si="65"/>
        <v>0</v>
      </c>
      <c r="AF64" s="390">
        <f t="shared" si="65"/>
        <v>0</v>
      </c>
      <c r="AG64" s="38">
        <f t="shared" si="65"/>
        <v>0</v>
      </c>
      <c r="AH64" s="40">
        <f t="shared" si="54"/>
        <v>0</v>
      </c>
      <c r="AI64" s="39">
        <f t="shared" si="66"/>
        <v>269500</v>
      </c>
      <c r="AJ64" s="38">
        <f t="shared" si="66"/>
        <v>269500</v>
      </c>
      <c r="AK64" s="37">
        <f t="shared" si="55"/>
        <v>539000</v>
      </c>
      <c r="AL64" s="36">
        <f t="shared" si="56"/>
        <v>0</v>
      </c>
      <c r="AM64" s="1">
        <f t="shared" si="57"/>
        <v>269500</v>
      </c>
      <c r="AN64" s="2">
        <v>0</v>
      </c>
      <c r="AO64" s="1">
        <f t="shared" si="58"/>
        <v>-269500</v>
      </c>
      <c r="AQ64" s="1">
        <v>0</v>
      </c>
      <c r="AR64" s="1">
        <f t="shared" si="59"/>
        <v>-269500</v>
      </c>
      <c r="AT64" s="1" t="s">
        <v>3316</v>
      </c>
    </row>
    <row r="65" spans="1:46" s="2" customFormat="1">
      <c r="A65" s="35"/>
      <c r="B65" s="45" t="s">
        <v>4</v>
      </c>
      <c r="C65" s="44" t="s">
        <v>21</v>
      </c>
      <c r="D65" s="41" t="s">
        <v>37</v>
      </c>
      <c r="E65" s="174">
        <f>+'[2]3条収入'!E26</f>
        <v>0</v>
      </c>
      <c r="F65" s="165">
        <f>+雨汚収入!AV8</f>
        <v>0</v>
      </c>
      <c r="G65" s="412">
        <f>+雨汚収入!AW8</f>
        <v>0</v>
      </c>
      <c r="H65" s="164">
        <f>+雨汚収入!AX8</f>
        <v>0</v>
      </c>
      <c r="I65" s="40">
        <f t="shared" si="60"/>
        <v>0</v>
      </c>
      <c r="J65" s="165">
        <f>+雨汚収入!AZ8</f>
        <v>0</v>
      </c>
      <c r="K65" s="164">
        <f>+雨汚収入!BA8</f>
        <v>0</v>
      </c>
      <c r="L65" s="37">
        <f t="shared" si="61"/>
        <v>0</v>
      </c>
      <c r="M65" s="36">
        <f t="shared" si="62"/>
        <v>0</v>
      </c>
      <c r="N65" s="41" t="s">
        <v>37</v>
      </c>
      <c r="O65" s="174">
        <f>+'[2]3条収入'!AI26</f>
        <v>0</v>
      </c>
      <c r="P65" s="165">
        <f>+雨汚収入!BF8</f>
        <v>0</v>
      </c>
      <c r="Q65" s="412">
        <f>+雨汚収入!BG8</f>
        <v>0</v>
      </c>
      <c r="R65" s="164">
        <f>+雨汚収入!BH8</f>
        <v>0</v>
      </c>
      <c r="S65" s="40">
        <f t="shared" ref="S65" si="67">+SUM(P65:R65)</f>
        <v>0</v>
      </c>
      <c r="T65" s="165">
        <f>+雨汚収入!BJ8</f>
        <v>0</v>
      </c>
      <c r="U65" s="164">
        <f>+雨汚収入!BK8</f>
        <v>0</v>
      </c>
      <c r="V65" s="68">
        <f t="shared" si="52"/>
        <v>0</v>
      </c>
      <c r="W65" s="36">
        <f t="shared" si="64"/>
        <v>0</v>
      </c>
      <c r="X65" s="41" t="s">
        <v>37</v>
      </c>
      <c r="Y65" s="41"/>
      <c r="Z65" s="41"/>
      <c r="AA65" s="41"/>
      <c r="AB65" s="41"/>
      <c r="AC65" s="41"/>
      <c r="AD65" s="36">
        <f t="shared" si="65"/>
        <v>0</v>
      </c>
      <c r="AE65" s="39">
        <f t="shared" si="65"/>
        <v>0</v>
      </c>
      <c r="AF65" s="390">
        <f t="shared" si="65"/>
        <v>0</v>
      </c>
      <c r="AG65" s="38">
        <f t="shared" si="65"/>
        <v>0</v>
      </c>
      <c r="AH65" s="40">
        <f t="shared" si="54"/>
        <v>0</v>
      </c>
      <c r="AI65" s="39">
        <f t="shared" si="66"/>
        <v>0</v>
      </c>
      <c r="AJ65" s="38">
        <f t="shared" si="66"/>
        <v>0</v>
      </c>
      <c r="AK65" s="37">
        <f>+SUM(AI65:AJ65)</f>
        <v>0</v>
      </c>
      <c r="AL65" s="36">
        <f t="shared" si="56"/>
        <v>0</v>
      </c>
      <c r="AM65" s="1">
        <f t="shared" si="57"/>
        <v>0</v>
      </c>
      <c r="AO65" s="1">
        <f t="shared" si="58"/>
        <v>0</v>
      </c>
      <c r="AR65" s="1">
        <f t="shared" si="59"/>
        <v>0</v>
      </c>
    </row>
    <row r="66" spans="1:46" s="2" customFormat="1">
      <c r="A66" s="35"/>
      <c r="B66" s="45"/>
      <c r="C66" s="44"/>
      <c r="D66" s="67"/>
      <c r="E66" s="177"/>
      <c r="F66" s="175"/>
      <c r="G66" s="413"/>
      <c r="H66" s="176"/>
      <c r="I66" s="73"/>
      <c r="J66" s="175"/>
      <c r="K66" s="176"/>
      <c r="L66" s="68"/>
      <c r="M66" s="36"/>
      <c r="N66" s="67"/>
      <c r="O66" s="177"/>
      <c r="P66" s="175"/>
      <c r="Q66" s="413"/>
      <c r="R66" s="54"/>
      <c r="S66" s="73"/>
      <c r="T66" s="175"/>
      <c r="U66" s="54"/>
      <c r="V66" s="68"/>
      <c r="W66" s="36"/>
      <c r="X66" s="67"/>
      <c r="Y66" s="67"/>
      <c r="Z66" s="67"/>
      <c r="AA66" s="67"/>
      <c r="AB66" s="67"/>
      <c r="AC66" s="67"/>
      <c r="AD66" s="67"/>
      <c r="AE66" s="69"/>
      <c r="AF66" s="391"/>
      <c r="AG66" s="54"/>
      <c r="AH66" s="40"/>
      <c r="AI66" s="69"/>
      <c r="AJ66" s="54"/>
      <c r="AK66" s="37"/>
      <c r="AL66" s="36"/>
      <c r="AM66" s="1">
        <f t="shared" si="57"/>
        <v>0</v>
      </c>
      <c r="AO66" s="1">
        <f t="shared" si="58"/>
        <v>0</v>
      </c>
      <c r="AR66" s="1">
        <f t="shared" si="59"/>
        <v>0</v>
      </c>
    </row>
    <row r="67" spans="1:46" s="2" customFormat="1">
      <c r="A67" s="35"/>
      <c r="B67" s="45"/>
      <c r="C67" s="44"/>
      <c r="D67" s="67"/>
      <c r="E67" s="177"/>
      <c r="F67" s="175"/>
      <c r="G67" s="413"/>
      <c r="H67" s="176"/>
      <c r="I67" s="73"/>
      <c r="J67" s="175"/>
      <c r="K67" s="176"/>
      <c r="L67" s="68"/>
      <c r="M67" s="36"/>
      <c r="N67" s="67"/>
      <c r="O67" s="177"/>
      <c r="P67" s="175"/>
      <c r="Q67" s="413"/>
      <c r="R67" s="54"/>
      <c r="S67" s="73"/>
      <c r="T67" s="175"/>
      <c r="U67" s="54"/>
      <c r="V67" s="68"/>
      <c r="W67" s="36"/>
      <c r="X67" s="67"/>
      <c r="Y67" s="67"/>
      <c r="Z67" s="67"/>
      <c r="AA67" s="67"/>
      <c r="AB67" s="67"/>
      <c r="AC67" s="67"/>
      <c r="AD67" s="67"/>
      <c r="AE67" s="69"/>
      <c r="AF67" s="391"/>
      <c r="AG67" s="54"/>
      <c r="AH67" s="40"/>
      <c r="AI67" s="69"/>
      <c r="AJ67" s="54"/>
      <c r="AK67" s="37"/>
      <c r="AL67" s="36"/>
      <c r="AM67" s="1">
        <f t="shared" si="57"/>
        <v>0</v>
      </c>
      <c r="AO67" s="1">
        <f t="shared" si="58"/>
        <v>0</v>
      </c>
      <c r="AR67" s="1">
        <f t="shared" si="59"/>
        <v>0</v>
      </c>
    </row>
    <row r="68" spans="1:46" s="2" customFormat="1">
      <c r="A68" s="35"/>
      <c r="B68" s="45" t="s">
        <v>4</v>
      </c>
      <c r="C68" s="44" t="s">
        <v>14</v>
      </c>
      <c r="D68" s="41" t="s">
        <v>42</v>
      </c>
      <c r="E68" s="174">
        <f>+'[2]3条収入'!E29</f>
        <v>88770</v>
      </c>
      <c r="F68" s="165">
        <f>+雨汚収入!AV9</f>
        <v>44385</v>
      </c>
      <c r="G68" s="412">
        <f>+雨汚収入!AW9</f>
        <v>0</v>
      </c>
      <c r="H68" s="164">
        <f>+雨汚収入!AX9</f>
        <v>0</v>
      </c>
      <c r="I68" s="40">
        <f t="shared" ref="I68:I77" si="68">+SUM(F68:H68)</f>
        <v>44385</v>
      </c>
      <c r="J68" s="165">
        <f>+雨汚収入!AZ9</f>
        <v>0</v>
      </c>
      <c r="K68" s="164">
        <f>+雨汚収入!BA9</f>
        <v>44385</v>
      </c>
      <c r="L68" s="37">
        <f>+SUM(J68:K68)</f>
        <v>44385</v>
      </c>
      <c r="M68" s="36">
        <f t="shared" ref="M68:M77" si="69">E68-SUM(I68,L68)</f>
        <v>0</v>
      </c>
      <c r="N68" s="41" t="s">
        <v>42</v>
      </c>
      <c r="O68" s="174">
        <f>+'[2]3条収入'!AI29</f>
        <v>88770</v>
      </c>
      <c r="P68" s="165">
        <f>+雨汚収入!BF9</f>
        <v>44385</v>
      </c>
      <c r="Q68" s="412">
        <f>+雨汚収入!BG9</f>
        <v>0</v>
      </c>
      <c r="R68" s="164">
        <f>+雨汚収入!BH9</f>
        <v>0</v>
      </c>
      <c r="S68" s="40">
        <f t="shared" si="63"/>
        <v>44385</v>
      </c>
      <c r="T68" s="165">
        <f>+雨汚収入!BJ9</f>
        <v>0</v>
      </c>
      <c r="U68" s="164">
        <f>+雨汚収入!BK9</f>
        <v>44385</v>
      </c>
      <c r="V68" s="37">
        <f t="shared" si="52"/>
        <v>44385</v>
      </c>
      <c r="W68" s="36">
        <f t="shared" si="64"/>
        <v>0</v>
      </c>
      <c r="X68" s="67" t="s">
        <v>42</v>
      </c>
      <c r="Y68" s="67"/>
      <c r="Z68" s="67"/>
      <c r="AA68" s="67"/>
      <c r="AB68" s="67"/>
      <c r="AC68" s="67"/>
      <c r="AD68" s="67">
        <f t="shared" ref="AD68:AD76" si="70">+O68</f>
        <v>88770</v>
      </c>
      <c r="AE68" s="69">
        <f t="shared" ref="AE68:AE76" si="71">+P68</f>
        <v>44385</v>
      </c>
      <c r="AF68" s="391">
        <f t="shared" ref="AF68:AF76" si="72">+Q68</f>
        <v>0</v>
      </c>
      <c r="AG68" s="54">
        <f t="shared" ref="AG68:AG76" si="73">+R68</f>
        <v>0</v>
      </c>
      <c r="AH68" s="40">
        <f t="shared" si="54"/>
        <v>44385</v>
      </c>
      <c r="AI68" s="69">
        <f t="shared" ref="AI68:AI76" si="74">+T68</f>
        <v>0</v>
      </c>
      <c r="AJ68" s="54">
        <f t="shared" ref="AJ68:AJ76" si="75">+U68</f>
        <v>44385</v>
      </c>
      <c r="AK68" s="37">
        <f t="shared" si="55"/>
        <v>44385</v>
      </c>
      <c r="AL68" s="36">
        <f t="shared" si="56"/>
        <v>0</v>
      </c>
      <c r="AM68" s="1">
        <f t="shared" si="57"/>
        <v>44385</v>
      </c>
      <c r="AN68" s="2">
        <v>0</v>
      </c>
      <c r="AO68" s="1">
        <f t="shared" si="58"/>
        <v>-44385</v>
      </c>
      <c r="AQ68" s="1">
        <v>0</v>
      </c>
      <c r="AR68" s="1">
        <f t="shared" si="59"/>
        <v>-44385</v>
      </c>
      <c r="AT68" s="1" t="s">
        <v>3317</v>
      </c>
    </row>
    <row r="69" spans="1:46" s="2" customFormat="1">
      <c r="A69" s="35"/>
      <c r="B69" s="45" t="s">
        <v>4</v>
      </c>
      <c r="C69" s="44" t="s">
        <v>14</v>
      </c>
      <c r="D69" s="41" t="s">
        <v>48</v>
      </c>
      <c r="E69" s="174">
        <f>+'[2]3条収入'!E34</f>
        <v>0</v>
      </c>
      <c r="F69" s="165">
        <f>+雨汚収入!AV10</f>
        <v>0</v>
      </c>
      <c r="G69" s="412">
        <f>+雨汚収入!AW10</f>
        <v>0</v>
      </c>
      <c r="H69" s="164">
        <f>+雨汚収入!AX10</f>
        <v>0</v>
      </c>
      <c r="I69" s="40">
        <f t="shared" si="68"/>
        <v>0</v>
      </c>
      <c r="J69" s="165">
        <f>+雨汚収入!AZ10</f>
        <v>0</v>
      </c>
      <c r="K69" s="164">
        <f>+雨汚収入!BA10</f>
        <v>0</v>
      </c>
      <c r="L69" s="37">
        <f>+SUM(J69:K69)</f>
        <v>0</v>
      </c>
      <c r="M69" s="36">
        <f t="shared" si="69"/>
        <v>0</v>
      </c>
      <c r="N69" s="41" t="s">
        <v>48</v>
      </c>
      <c r="O69" s="174">
        <f>+'[2]3条収入'!AI34</f>
        <v>0</v>
      </c>
      <c r="P69" s="165">
        <f>+雨汚収入!BF10</f>
        <v>0</v>
      </c>
      <c r="Q69" s="412">
        <f>+雨汚収入!BG10</f>
        <v>0</v>
      </c>
      <c r="R69" s="164">
        <f>+雨汚収入!BH10</f>
        <v>0</v>
      </c>
      <c r="S69" s="40">
        <f t="shared" ref="S69" si="76">+SUM(P69:R69)</f>
        <v>0</v>
      </c>
      <c r="T69" s="165">
        <f>+雨汚収入!BJ10</f>
        <v>0</v>
      </c>
      <c r="U69" s="164">
        <f>+雨汚収入!BK10</f>
        <v>0</v>
      </c>
      <c r="V69" s="37">
        <f t="shared" si="52"/>
        <v>0</v>
      </c>
      <c r="W69" s="36">
        <f t="shared" si="64"/>
        <v>0</v>
      </c>
      <c r="X69" s="41" t="s">
        <v>48</v>
      </c>
      <c r="Y69" s="41"/>
      <c r="Z69" s="41"/>
      <c r="AA69" s="41"/>
      <c r="AB69" s="41"/>
      <c r="AC69" s="41"/>
      <c r="AD69" s="36">
        <f t="shared" si="70"/>
        <v>0</v>
      </c>
      <c r="AE69" s="39">
        <f t="shared" si="71"/>
        <v>0</v>
      </c>
      <c r="AF69" s="390">
        <f t="shared" si="72"/>
        <v>0</v>
      </c>
      <c r="AG69" s="38">
        <f t="shared" si="73"/>
        <v>0</v>
      </c>
      <c r="AH69" s="40">
        <f t="shared" si="54"/>
        <v>0</v>
      </c>
      <c r="AI69" s="39">
        <f t="shared" si="74"/>
        <v>0</v>
      </c>
      <c r="AJ69" s="38">
        <f t="shared" si="75"/>
        <v>0</v>
      </c>
      <c r="AK69" s="37">
        <f t="shared" si="55"/>
        <v>0</v>
      </c>
      <c r="AL69" s="36">
        <f t="shared" si="56"/>
        <v>0</v>
      </c>
      <c r="AM69" s="1">
        <f t="shared" si="57"/>
        <v>0</v>
      </c>
      <c r="AO69" s="1">
        <f t="shared" si="58"/>
        <v>0</v>
      </c>
      <c r="AR69" s="1">
        <f t="shared" si="59"/>
        <v>0</v>
      </c>
    </row>
    <row r="70" spans="1:46" s="2" customFormat="1">
      <c r="A70" s="35"/>
      <c r="B70" s="45" t="s">
        <v>4</v>
      </c>
      <c r="C70" s="44" t="s">
        <v>14</v>
      </c>
      <c r="D70" s="41" t="s">
        <v>70</v>
      </c>
      <c r="E70" s="174">
        <f>+'[2]3条収入'!E40</f>
        <v>37016600</v>
      </c>
      <c r="F70" s="165">
        <f>+雨汚収入!AV11</f>
        <v>36785219</v>
      </c>
      <c r="G70" s="412">
        <f>+雨汚収入!AW11</f>
        <v>0</v>
      </c>
      <c r="H70" s="164">
        <f>+雨汚収入!AX11</f>
        <v>0</v>
      </c>
      <c r="I70" s="40">
        <f t="shared" si="68"/>
        <v>36785219</v>
      </c>
      <c r="J70" s="165">
        <f>+雨汚収入!AZ11</f>
        <v>0</v>
      </c>
      <c r="K70" s="164">
        <f>+雨汚収入!BA11</f>
        <v>231381</v>
      </c>
      <c r="L70" s="37">
        <f>+SUM(J70:K70)</f>
        <v>231381</v>
      </c>
      <c r="M70" s="36">
        <f t="shared" si="69"/>
        <v>0</v>
      </c>
      <c r="N70" s="41" t="s">
        <v>70</v>
      </c>
      <c r="O70" s="174">
        <f>+'[2]3条収入'!AI40</f>
        <v>33651455</v>
      </c>
      <c r="P70" s="165">
        <f>+雨汚収入!BF11</f>
        <v>33441108</v>
      </c>
      <c r="Q70" s="412">
        <f>+雨汚収入!BG11</f>
        <v>0</v>
      </c>
      <c r="R70" s="164">
        <f>+雨汚収入!BH11</f>
        <v>0</v>
      </c>
      <c r="S70" s="40">
        <f t="shared" si="63"/>
        <v>33441108</v>
      </c>
      <c r="T70" s="165">
        <f>+雨汚収入!BJ11</f>
        <v>0</v>
      </c>
      <c r="U70" s="164">
        <f>+雨汚収入!BK11</f>
        <v>210347</v>
      </c>
      <c r="V70" s="37">
        <f t="shared" si="52"/>
        <v>210347</v>
      </c>
      <c r="W70" s="36">
        <f t="shared" si="64"/>
        <v>0</v>
      </c>
      <c r="X70" s="41" t="s">
        <v>70</v>
      </c>
      <c r="Y70" s="41"/>
      <c r="Z70" s="41"/>
      <c r="AA70" s="41"/>
      <c r="AB70" s="41"/>
      <c r="AC70" s="41"/>
      <c r="AD70" s="36">
        <f t="shared" si="70"/>
        <v>33651455</v>
      </c>
      <c r="AE70" s="39">
        <f t="shared" si="71"/>
        <v>33441108</v>
      </c>
      <c r="AF70" s="390">
        <f t="shared" si="72"/>
        <v>0</v>
      </c>
      <c r="AG70" s="38">
        <f t="shared" si="73"/>
        <v>0</v>
      </c>
      <c r="AH70" s="40">
        <f t="shared" si="54"/>
        <v>33441108</v>
      </c>
      <c r="AI70" s="39">
        <f t="shared" si="74"/>
        <v>0</v>
      </c>
      <c r="AJ70" s="38">
        <f t="shared" si="75"/>
        <v>210347</v>
      </c>
      <c r="AK70" s="37">
        <f t="shared" si="55"/>
        <v>210347</v>
      </c>
      <c r="AL70" s="36">
        <f t="shared" si="56"/>
        <v>0</v>
      </c>
      <c r="AM70" s="1">
        <f t="shared" si="57"/>
        <v>33441108</v>
      </c>
      <c r="AN70" s="2">
        <v>29944000</v>
      </c>
      <c r="AO70" s="1">
        <f t="shared" si="58"/>
        <v>-3497108</v>
      </c>
      <c r="AQ70" s="1">
        <v>29944000</v>
      </c>
      <c r="AR70" s="1">
        <f t="shared" si="59"/>
        <v>-3497108</v>
      </c>
      <c r="AT70" s="1" t="s">
        <v>3318</v>
      </c>
    </row>
    <row r="71" spans="1:46" s="2" customFormat="1">
      <c r="A71" s="35"/>
      <c r="B71" s="45" t="s">
        <v>4</v>
      </c>
      <c r="C71" s="44"/>
      <c r="D71" s="41"/>
      <c r="E71" s="36"/>
      <c r="F71" s="39"/>
      <c r="G71" s="390"/>
      <c r="H71" s="38"/>
      <c r="I71" s="40">
        <f t="shared" si="68"/>
        <v>0</v>
      </c>
      <c r="J71" s="39"/>
      <c r="K71" s="38"/>
      <c r="L71" s="37"/>
      <c r="M71" s="36">
        <f t="shared" si="69"/>
        <v>0</v>
      </c>
      <c r="N71" s="41"/>
      <c r="O71" s="36"/>
      <c r="P71" s="39">
        <f t="shared" ref="P71:R72" si="77">+IFERROR(ROUND(F71*$O71/$E71,0),0)</f>
        <v>0</v>
      </c>
      <c r="Q71" s="390">
        <f t="shared" si="77"/>
        <v>0</v>
      </c>
      <c r="R71" s="38">
        <f t="shared" si="77"/>
        <v>0</v>
      </c>
      <c r="S71" s="40">
        <f t="shared" si="63"/>
        <v>0</v>
      </c>
      <c r="T71" s="39">
        <f>+IFERROR(ROUND(J71*$O71/$E71,0),0)</f>
        <v>0</v>
      </c>
      <c r="U71" s="38">
        <f t="shared" ref="U71:U72" si="78">+O71-S71-T71</f>
        <v>0</v>
      </c>
      <c r="V71" s="37">
        <f t="shared" si="52"/>
        <v>0</v>
      </c>
      <c r="W71" s="36">
        <f t="shared" si="64"/>
        <v>0</v>
      </c>
      <c r="X71" s="41"/>
      <c r="Y71" s="41"/>
      <c r="Z71" s="41"/>
      <c r="AA71" s="41"/>
      <c r="AB71" s="41"/>
      <c r="AC71" s="41"/>
      <c r="AD71" s="67">
        <f t="shared" si="70"/>
        <v>0</v>
      </c>
      <c r="AE71" s="69">
        <f t="shared" si="71"/>
        <v>0</v>
      </c>
      <c r="AF71" s="391">
        <f t="shared" si="72"/>
        <v>0</v>
      </c>
      <c r="AG71" s="54">
        <f t="shared" si="73"/>
        <v>0</v>
      </c>
      <c r="AH71" s="40">
        <f t="shared" si="54"/>
        <v>0</v>
      </c>
      <c r="AI71" s="69">
        <f t="shared" si="74"/>
        <v>0</v>
      </c>
      <c r="AJ71" s="54">
        <f t="shared" si="75"/>
        <v>0</v>
      </c>
      <c r="AK71" s="37">
        <f t="shared" si="55"/>
        <v>0</v>
      </c>
      <c r="AL71" s="36">
        <f t="shared" si="56"/>
        <v>0</v>
      </c>
      <c r="AM71" s="1">
        <f t="shared" si="57"/>
        <v>0</v>
      </c>
      <c r="AO71" s="1">
        <f t="shared" si="58"/>
        <v>0</v>
      </c>
      <c r="AR71" s="1">
        <f t="shared" si="59"/>
        <v>0</v>
      </c>
    </row>
    <row r="72" spans="1:46" s="2" customFormat="1">
      <c r="A72" s="35"/>
      <c r="B72" s="45" t="s">
        <v>4</v>
      </c>
      <c r="C72" s="44"/>
      <c r="D72" s="67"/>
      <c r="E72" s="177"/>
      <c r="F72" s="175"/>
      <c r="G72" s="413"/>
      <c r="H72" s="176"/>
      <c r="I72" s="73">
        <f t="shared" si="68"/>
        <v>0</v>
      </c>
      <c r="J72" s="175"/>
      <c r="K72" s="176"/>
      <c r="L72" s="68"/>
      <c r="M72" s="36">
        <f t="shared" si="69"/>
        <v>0</v>
      </c>
      <c r="N72" s="67"/>
      <c r="O72" s="177"/>
      <c r="P72" s="175">
        <f t="shared" si="77"/>
        <v>0</v>
      </c>
      <c r="Q72" s="413">
        <f t="shared" si="77"/>
        <v>0</v>
      </c>
      <c r="R72" s="54">
        <f t="shared" si="77"/>
        <v>0</v>
      </c>
      <c r="S72" s="73">
        <f t="shared" si="63"/>
        <v>0</v>
      </c>
      <c r="T72" s="175">
        <f>+IFERROR(ROUND(J72*$O72/$E72,0),0)</f>
        <v>0</v>
      </c>
      <c r="U72" s="54">
        <f t="shared" si="78"/>
        <v>0</v>
      </c>
      <c r="V72" s="68">
        <f t="shared" si="52"/>
        <v>0</v>
      </c>
      <c r="W72" s="36">
        <f t="shared" si="64"/>
        <v>0</v>
      </c>
      <c r="X72" s="41"/>
      <c r="Y72" s="41"/>
      <c r="Z72" s="41"/>
      <c r="AA72" s="41"/>
      <c r="AB72" s="41"/>
      <c r="AC72" s="41"/>
      <c r="AD72" s="36">
        <f t="shared" si="70"/>
        <v>0</v>
      </c>
      <c r="AE72" s="39">
        <f t="shared" si="71"/>
        <v>0</v>
      </c>
      <c r="AF72" s="390">
        <f t="shared" si="72"/>
        <v>0</v>
      </c>
      <c r="AG72" s="38">
        <f t="shared" si="73"/>
        <v>0</v>
      </c>
      <c r="AH72" s="423">
        <f t="shared" si="54"/>
        <v>0</v>
      </c>
      <c r="AI72" s="39">
        <f t="shared" si="74"/>
        <v>0</v>
      </c>
      <c r="AJ72" s="38">
        <f t="shared" si="75"/>
        <v>0</v>
      </c>
      <c r="AK72" s="52">
        <f t="shared" si="55"/>
        <v>0</v>
      </c>
      <c r="AL72" s="36">
        <f t="shared" si="56"/>
        <v>0</v>
      </c>
      <c r="AM72" s="1">
        <f t="shared" si="57"/>
        <v>0</v>
      </c>
      <c r="AO72" s="1">
        <f t="shared" si="58"/>
        <v>0</v>
      </c>
      <c r="AR72" s="1">
        <f t="shared" si="59"/>
        <v>0</v>
      </c>
    </row>
    <row r="73" spans="1:46" s="2" customFormat="1">
      <c r="A73" s="35"/>
      <c r="B73" s="45" t="s">
        <v>4</v>
      </c>
      <c r="C73" s="44" t="s">
        <v>14</v>
      </c>
      <c r="D73" s="41" t="s">
        <v>36</v>
      </c>
      <c r="E73" s="174">
        <f>+'[2]3条収入'!E50</f>
        <v>0</v>
      </c>
      <c r="F73" s="165">
        <f>+雨汚収入!AV13</f>
        <v>0</v>
      </c>
      <c r="G73" s="412">
        <f>+雨汚収入!AW13</f>
        <v>0</v>
      </c>
      <c r="H73" s="164">
        <f>+雨汚収入!AX13</f>
        <v>0</v>
      </c>
      <c r="I73" s="40">
        <f t="shared" si="68"/>
        <v>0</v>
      </c>
      <c r="J73" s="165">
        <f>+雨汚収入!AZ13</f>
        <v>0</v>
      </c>
      <c r="K73" s="164">
        <f>+雨汚収入!BA13</f>
        <v>0</v>
      </c>
      <c r="L73" s="37">
        <f>+SUM(J73:K73)</f>
        <v>0</v>
      </c>
      <c r="M73" s="36">
        <f t="shared" si="69"/>
        <v>0</v>
      </c>
      <c r="N73" s="41" t="s">
        <v>36</v>
      </c>
      <c r="O73" s="174">
        <f>+'[2]3条収入'!AI50</f>
        <v>0</v>
      </c>
      <c r="P73" s="165">
        <f>+雨汚収入!BF13</f>
        <v>0</v>
      </c>
      <c r="Q73" s="412">
        <f>+雨汚収入!BG13</f>
        <v>0</v>
      </c>
      <c r="R73" s="164">
        <f>+雨汚収入!BH13</f>
        <v>0</v>
      </c>
      <c r="S73" s="40">
        <f t="shared" si="63"/>
        <v>0</v>
      </c>
      <c r="T73" s="165">
        <f>+雨汚収入!BJ13</f>
        <v>0</v>
      </c>
      <c r="U73" s="171">
        <f>+雨汚収入!BK13</f>
        <v>0</v>
      </c>
      <c r="V73" s="37">
        <f t="shared" si="52"/>
        <v>0</v>
      </c>
      <c r="W73" s="36">
        <f t="shared" si="64"/>
        <v>0</v>
      </c>
      <c r="X73" s="41" t="s">
        <v>36</v>
      </c>
      <c r="Y73" s="41"/>
      <c r="Z73" s="41"/>
      <c r="AA73" s="41"/>
      <c r="AB73" s="41"/>
      <c r="AC73" s="41"/>
      <c r="AD73" s="36">
        <f t="shared" si="70"/>
        <v>0</v>
      </c>
      <c r="AE73" s="39">
        <f t="shared" si="71"/>
        <v>0</v>
      </c>
      <c r="AF73" s="390">
        <f t="shared" si="72"/>
        <v>0</v>
      </c>
      <c r="AG73" s="38">
        <f t="shared" si="73"/>
        <v>0</v>
      </c>
      <c r="AH73" s="40">
        <f t="shared" si="54"/>
        <v>0</v>
      </c>
      <c r="AI73" s="39">
        <f t="shared" si="74"/>
        <v>0</v>
      </c>
      <c r="AJ73" s="38">
        <f t="shared" si="75"/>
        <v>0</v>
      </c>
      <c r="AK73" s="37">
        <f t="shared" si="55"/>
        <v>0</v>
      </c>
      <c r="AL73" s="36">
        <f t="shared" si="56"/>
        <v>0</v>
      </c>
      <c r="AM73" s="1">
        <f t="shared" si="57"/>
        <v>0</v>
      </c>
      <c r="AO73" s="1">
        <f t="shared" si="58"/>
        <v>0</v>
      </c>
      <c r="AR73" s="1">
        <f t="shared" si="59"/>
        <v>0</v>
      </c>
    </row>
    <row r="74" spans="1:46" s="2" customFormat="1">
      <c r="A74" s="35"/>
      <c r="B74" s="45" t="s">
        <v>4</v>
      </c>
      <c r="C74" s="44" t="s">
        <v>14</v>
      </c>
      <c r="D74" s="41"/>
      <c r="E74" s="36"/>
      <c r="F74" s="39"/>
      <c r="G74" s="390"/>
      <c r="H74" s="38"/>
      <c r="I74" s="40">
        <f t="shared" si="68"/>
        <v>0</v>
      </c>
      <c r="J74" s="39"/>
      <c r="K74" s="38"/>
      <c r="L74" s="37">
        <f>+SUM(J74:K74)</f>
        <v>0</v>
      </c>
      <c r="M74" s="36">
        <f t="shared" si="69"/>
        <v>0</v>
      </c>
      <c r="N74" s="41"/>
      <c r="O74" s="36"/>
      <c r="P74" s="39">
        <f>+IFERROR(ROUND(F74*$O74/$E74,0),0)</f>
        <v>0</v>
      </c>
      <c r="Q74" s="390">
        <f>+IFERROR(ROUND(G74*$O74/$E74,0),0)</f>
        <v>0</v>
      </c>
      <c r="R74" s="38">
        <f>+IFERROR(ROUND(H74*$O74/$E74,0),0)</f>
        <v>0</v>
      </c>
      <c r="S74" s="40">
        <f t="shared" si="51"/>
        <v>0</v>
      </c>
      <c r="T74" s="39">
        <f>+IFERROR(ROUND(J74*$O74/$E74,0),0)</f>
        <v>0</v>
      </c>
      <c r="U74" s="38">
        <f>+O74-S74-T74</f>
        <v>0</v>
      </c>
      <c r="V74" s="37">
        <f t="shared" ref="V74:V95" si="79">+SUM(T74:U74)</f>
        <v>0</v>
      </c>
      <c r="W74" s="36">
        <f t="shared" si="53"/>
        <v>0</v>
      </c>
      <c r="X74" s="41"/>
      <c r="Y74" s="41"/>
      <c r="Z74" s="41"/>
      <c r="AA74" s="41"/>
      <c r="AB74" s="41"/>
      <c r="AC74" s="41"/>
      <c r="AD74" s="36">
        <f t="shared" si="70"/>
        <v>0</v>
      </c>
      <c r="AE74" s="39">
        <f t="shared" si="71"/>
        <v>0</v>
      </c>
      <c r="AF74" s="390">
        <f t="shared" si="72"/>
        <v>0</v>
      </c>
      <c r="AG74" s="38">
        <f t="shared" si="73"/>
        <v>0</v>
      </c>
      <c r="AH74" s="40">
        <f t="shared" si="54"/>
        <v>0</v>
      </c>
      <c r="AI74" s="39">
        <f t="shared" si="74"/>
        <v>0</v>
      </c>
      <c r="AJ74" s="38">
        <f t="shared" si="75"/>
        <v>0</v>
      </c>
      <c r="AK74" s="37">
        <f>+SUM(AI74:AJ74)</f>
        <v>0</v>
      </c>
      <c r="AL74" s="36">
        <f t="shared" si="56"/>
        <v>0</v>
      </c>
      <c r="AM74" s="1">
        <f t="shared" si="57"/>
        <v>0</v>
      </c>
      <c r="AO74" s="1">
        <f t="shared" si="58"/>
        <v>0</v>
      </c>
      <c r="AR74" s="1">
        <f t="shared" si="59"/>
        <v>0</v>
      </c>
    </row>
    <row r="75" spans="1:46" s="2" customFormat="1">
      <c r="A75" s="35"/>
      <c r="B75" s="45" t="s">
        <v>117</v>
      </c>
      <c r="C75" s="44" t="s">
        <v>116</v>
      </c>
      <c r="D75" s="41" t="s">
        <v>356</v>
      </c>
      <c r="E75" s="174">
        <f>+'[2]3条収入'!E52</f>
        <v>408100</v>
      </c>
      <c r="F75" s="165">
        <f>+雨汚収入!AV14</f>
        <v>0</v>
      </c>
      <c r="G75" s="412">
        <f>+雨汚収入!AW14</f>
        <v>0</v>
      </c>
      <c r="H75" s="164">
        <f>+雨汚収入!AX14</f>
        <v>408100</v>
      </c>
      <c r="I75" s="40">
        <f t="shared" si="68"/>
        <v>408100</v>
      </c>
      <c r="J75" s="165">
        <f>+雨汚収入!AZ14</f>
        <v>0</v>
      </c>
      <c r="K75" s="164">
        <f>+雨汚収入!BA14</f>
        <v>0</v>
      </c>
      <c r="L75" s="37">
        <f>+SUM(J75:K75)</f>
        <v>0</v>
      </c>
      <c r="M75" s="36">
        <f t="shared" si="69"/>
        <v>0</v>
      </c>
      <c r="N75" s="41" t="s">
        <v>356</v>
      </c>
      <c r="O75" s="174">
        <f>+'[2]3条収入'!AI52</f>
        <v>371000</v>
      </c>
      <c r="P75" s="165">
        <f>+雨汚収入!BF14</f>
        <v>0</v>
      </c>
      <c r="Q75" s="412">
        <f>+雨汚収入!BG14</f>
        <v>0</v>
      </c>
      <c r="R75" s="164">
        <f>+雨汚収入!BH14</f>
        <v>371000</v>
      </c>
      <c r="S75" s="40">
        <f t="shared" si="51"/>
        <v>371000</v>
      </c>
      <c r="T75" s="165">
        <f>+雨汚収入!BJ14</f>
        <v>0</v>
      </c>
      <c r="U75" s="171">
        <f>+雨汚収入!BK14</f>
        <v>0</v>
      </c>
      <c r="V75" s="37">
        <f t="shared" ref="V75" si="80">+SUM(T75:U75)</f>
        <v>0</v>
      </c>
      <c r="W75" s="36">
        <f t="shared" si="53"/>
        <v>0</v>
      </c>
      <c r="X75" s="41" t="s">
        <v>356</v>
      </c>
      <c r="Y75" s="41"/>
      <c r="Z75" s="41"/>
      <c r="AA75" s="41"/>
      <c r="AB75" s="41"/>
      <c r="AC75" s="41"/>
      <c r="AD75" s="36">
        <f t="shared" si="70"/>
        <v>371000</v>
      </c>
      <c r="AE75" s="39">
        <f t="shared" si="71"/>
        <v>0</v>
      </c>
      <c r="AF75" s="390">
        <f t="shared" si="72"/>
        <v>0</v>
      </c>
      <c r="AG75" s="38">
        <f t="shared" si="73"/>
        <v>371000</v>
      </c>
      <c r="AH75" s="40">
        <f t="shared" si="54"/>
        <v>371000</v>
      </c>
      <c r="AI75" s="39">
        <f t="shared" si="74"/>
        <v>0</v>
      </c>
      <c r="AJ75" s="54">
        <f t="shared" si="75"/>
        <v>0</v>
      </c>
      <c r="AK75" s="37">
        <f t="shared" si="55"/>
        <v>0</v>
      </c>
      <c r="AL75" s="36">
        <f t="shared" si="56"/>
        <v>0</v>
      </c>
      <c r="AM75" s="1">
        <f t="shared" si="57"/>
        <v>371000</v>
      </c>
      <c r="AO75" s="1">
        <f t="shared" si="58"/>
        <v>-371000</v>
      </c>
      <c r="AR75" s="1">
        <f t="shared" si="59"/>
        <v>-371000</v>
      </c>
    </row>
    <row r="76" spans="1:46" s="2" customFormat="1">
      <c r="A76" s="35"/>
      <c r="B76" s="45" t="s">
        <v>4</v>
      </c>
      <c r="C76" s="44" t="s">
        <v>14</v>
      </c>
      <c r="D76" s="41" t="s">
        <v>357</v>
      </c>
      <c r="E76" s="174">
        <f>+'[2]3条収入'!E53</f>
        <v>36052234</v>
      </c>
      <c r="F76" s="165">
        <f>+雨汚収入!AV15</f>
        <v>10360569</v>
      </c>
      <c r="G76" s="412">
        <f>+雨汚収入!AW15</f>
        <v>0</v>
      </c>
      <c r="H76" s="164">
        <f>+雨汚収入!AX15</f>
        <v>1399670</v>
      </c>
      <c r="I76" s="40">
        <f t="shared" si="68"/>
        <v>11760239</v>
      </c>
      <c r="J76" s="165">
        <f>+雨汚収入!AZ15</f>
        <v>0</v>
      </c>
      <c r="K76" s="164">
        <f>+雨汚収入!BA15</f>
        <v>24291995</v>
      </c>
      <c r="L76" s="37">
        <f>+SUM(J76:K76)</f>
        <v>24291995</v>
      </c>
      <c r="M76" s="36">
        <f t="shared" si="69"/>
        <v>0</v>
      </c>
      <c r="N76" s="41" t="s">
        <v>357</v>
      </c>
      <c r="O76" s="174">
        <f>+'[2]3条収入'!AI53</f>
        <v>34878977</v>
      </c>
      <c r="P76" s="165">
        <f>+雨汚収入!BF15</f>
        <v>10155799</v>
      </c>
      <c r="Q76" s="412">
        <f>+雨汚収入!BG15</f>
        <v>0</v>
      </c>
      <c r="R76" s="164">
        <f>+雨汚収入!BH15</f>
        <v>1397864</v>
      </c>
      <c r="S76" s="40">
        <f t="shared" si="51"/>
        <v>11553663</v>
      </c>
      <c r="T76" s="165">
        <f>+雨汚収入!BJ15</f>
        <v>0</v>
      </c>
      <c r="U76" s="171">
        <f>+雨汚収入!BK15</f>
        <v>23325314</v>
      </c>
      <c r="V76" s="37">
        <f t="shared" si="79"/>
        <v>23325314</v>
      </c>
      <c r="W76" s="36">
        <f t="shared" si="53"/>
        <v>0</v>
      </c>
      <c r="X76" s="41" t="s">
        <v>370</v>
      </c>
      <c r="Y76" s="41"/>
      <c r="Z76" s="41"/>
      <c r="AA76" s="41"/>
      <c r="AB76" s="41"/>
      <c r="AC76" s="41"/>
      <c r="AD76" s="36">
        <f t="shared" si="70"/>
        <v>34878977</v>
      </c>
      <c r="AE76" s="39">
        <f t="shared" si="71"/>
        <v>10155799</v>
      </c>
      <c r="AF76" s="390">
        <f t="shared" si="72"/>
        <v>0</v>
      </c>
      <c r="AG76" s="38">
        <f t="shared" si="73"/>
        <v>1397864</v>
      </c>
      <c r="AH76" s="40">
        <f t="shared" si="54"/>
        <v>11553663</v>
      </c>
      <c r="AI76" s="39">
        <f t="shared" si="74"/>
        <v>0</v>
      </c>
      <c r="AJ76" s="54">
        <f t="shared" si="75"/>
        <v>23325314</v>
      </c>
      <c r="AK76" s="37">
        <f>+SUM(AI76:AJ76)</f>
        <v>23325314</v>
      </c>
      <c r="AL76" s="36">
        <f t="shared" si="56"/>
        <v>0</v>
      </c>
      <c r="AM76" s="1">
        <f t="shared" si="57"/>
        <v>11553663</v>
      </c>
      <c r="AN76" s="2">
        <v>31400000</v>
      </c>
      <c r="AO76" s="1">
        <f t="shared" si="58"/>
        <v>19846337</v>
      </c>
      <c r="AQ76" s="1">
        <v>31543000</v>
      </c>
      <c r="AR76" s="1">
        <f t="shared" si="59"/>
        <v>19989337</v>
      </c>
      <c r="AT76" s="1" t="s">
        <v>3319</v>
      </c>
    </row>
    <row r="77" spans="1:46" s="2" customFormat="1">
      <c r="A77" s="35"/>
      <c r="B77" s="45" t="s">
        <v>4</v>
      </c>
      <c r="C77" s="44" t="s">
        <v>14</v>
      </c>
      <c r="D77" s="60" t="s">
        <v>358</v>
      </c>
      <c r="E77" s="36"/>
      <c r="F77" s="39"/>
      <c r="G77" s="390"/>
      <c r="H77" s="38"/>
      <c r="I77" s="40">
        <f t="shared" si="68"/>
        <v>0</v>
      </c>
      <c r="J77" s="39"/>
      <c r="K77" s="38"/>
      <c r="L77" s="37">
        <f>+SUM(J77:K77)</f>
        <v>0</v>
      </c>
      <c r="M77" s="36">
        <f t="shared" si="69"/>
        <v>0</v>
      </c>
      <c r="N77" s="60" t="s">
        <v>358</v>
      </c>
      <c r="O77" s="36"/>
      <c r="P77" s="39"/>
      <c r="Q77" s="390"/>
      <c r="R77" s="38"/>
      <c r="S77" s="40">
        <f t="shared" si="51"/>
        <v>0</v>
      </c>
      <c r="T77" s="39"/>
      <c r="U77" s="38"/>
      <c r="V77" s="37">
        <f t="shared" si="79"/>
        <v>0</v>
      </c>
      <c r="W77" s="36">
        <f t="shared" si="53"/>
        <v>0</v>
      </c>
      <c r="X77" s="60" t="s">
        <v>371</v>
      </c>
      <c r="Y77" s="59"/>
      <c r="Z77" s="59"/>
      <c r="AA77" s="59"/>
      <c r="AB77" s="59"/>
      <c r="AC77" s="59"/>
      <c r="AD77" s="58">
        <f>+SUM(AH77,AK77:AK77)</f>
        <v>1880565</v>
      </c>
      <c r="AE77" s="57"/>
      <c r="AF77" s="415"/>
      <c r="AG77" s="56">
        <f>+[3]対価返還!AX14-[3]対価返還!BH14</f>
        <v>0</v>
      </c>
      <c r="AH77" s="40">
        <f>+SUM(AE77:AG77)</f>
        <v>0</v>
      </c>
      <c r="AI77" s="57"/>
      <c r="AJ77" s="56">
        <f>+[3]消費税!Z125</f>
        <v>1880565</v>
      </c>
      <c r="AK77" s="37">
        <f>+SUM(AI77:AJ77)</f>
        <v>1880565</v>
      </c>
      <c r="AL77" s="36">
        <f>AD77-SUM(AH77,AK77)</f>
        <v>0</v>
      </c>
      <c r="AM77" s="1">
        <f t="shared" si="57"/>
        <v>0</v>
      </c>
      <c r="AO77" s="1">
        <f t="shared" si="58"/>
        <v>0</v>
      </c>
      <c r="AR77" s="1">
        <f t="shared" si="59"/>
        <v>0</v>
      </c>
    </row>
    <row r="78" spans="1:46" s="2" customFormat="1">
      <c r="A78" s="35"/>
      <c r="B78" s="45"/>
      <c r="C78" s="44"/>
      <c r="D78" s="41"/>
      <c r="E78" s="36"/>
      <c r="F78" s="39"/>
      <c r="G78" s="390"/>
      <c r="H78" s="38"/>
      <c r="I78" s="40"/>
      <c r="J78" s="39"/>
      <c r="K78" s="38"/>
      <c r="L78" s="37"/>
      <c r="M78" s="36"/>
      <c r="N78" s="41"/>
      <c r="O78" s="36"/>
      <c r="P78" s="39"/>
      <c r="Q78" s="390"/>
      <c r="R78" s="38"/>
      <c r="S78" s="40"/>
      <c r="T78" s="39"/>
      <c r="U78" s="38"/>
      <c r="V78" s="37"/>
      <c r="W78" s="36"/>
      <c r="X78" s="41"/>
      <c r="Y78" s="41"/>
      <c r="Z78" s="41"/>
      <c r="AA78" s="41"/>
      <c r="AB78" s="41"/>
      <c r="AC78" s="41"/>
      <c r="AD78" s="36"/>
      <c r="AE78" s="39"/>
      <c r="AF78" s="390"/>
      <c r="AG78" s="38"/>
      <c r="AH78" s="40"/>
      <c r="AI78" s="39"/>
      <c r="AJ78" s="38"/>
      <c r="AK78" s="37"/>
      <c r="AL78" s="36"/>
      <c r="AM78" s="1">
        <f t="shared" si="57"/>
        <v>0</v>
      </c>
      <c r="AO78" s="1">
        <f t="shared" si="58"/>
        <v>0</v>
      </c>
      <c r="AR78" s="1">
        <f t="shared" si="59"/>
        <v>0</v>
      </c>
    </row>
    <row r="79" spans="1:46" s="2" customFormat="1">
      <c r="A79" s="35"/>
      <c r="B79" s="45" t="s">
        <v>4</v>
      </c>
      <c r="C79" s="44" t="s">
        <v>8</v>
      </c>
      <c r="D79" s="41" t="s">
        <v>29</v>
      </c>
      <c r="E79" s="151">
        <f>+'[2]3条収入'!E59</f>
        <v>0</v>
      </c>
      <c r="F79" s="165">
        <f>+雨汚収入!AV16</f>
        <v>0</v>
      </c>
      <c r="G79" s="412">
        <f>+雨汚収入!AW16</f>
        <v>0</v>
      </c>
      <c r="H79" s="164">
        <f>+雨汚収入!AX16</f>
        <v>0</v>
      </c>
      <c r="I79" s="40">
        <f>+SUM(F79:H79)</f>
        <v>0</v>
      </c>
      <c r="J79" s="165">
        <f>+雨汚収入!AZ16</f>
        <v>0</v>
      </c>
      <c r="K79" s="164">
        <f>+雨汚収入!BA16</f>
        <v>0</v>
      </c>
      <c r="L79" s="37">
        <f>+SUM(J79:K79)</f>
        <v>0</v>
      </c>
      <c r="M79" s="36">
        <f>E79-SUM(I79,L79)</f>
        <v>0</v>
      </c>
      <c r="N79" s="41" t="s">
        <v>29</v>
      </c>
      <c r="O79" s="151">
        <f>+'[2]3条収入'!AI59</f>
        <v>0</v>
      </c>
      <c r="P79" s="165">
        <f>+雨汚収入!BF16</f>
        <v>0</v>
      </c>
      <c r="Q79" s="412">
        <f>+雨汚収入!BG16</f>
        <v>0</v>
      </c>
      <c r="R79" s="164">
        <f>+雨汚収入!BH16</f>
        <v>0</v>
      </c>
      <c r="S79" s="40">
        <f t="shared" si="51"/>
        <v>0</v>
      </c>
      <c r="T79" s="165">
        <f>+雨汚収入!BJ16</f>
        <v>0</v>
      </c>
      <c r="U79" s="164">
        <f>+雨汚収入!BK16</f>
        <v>0</v>
      </c>
      <c r="V79" s="37">
        <f t="shared" si="79"/>
        <v>0</v>
      </c>
      <c r="W79" s="36">
        <f t="shared" si="53"/>
        <v>0</v>
      </c>
      <c r="X79" s="41" t="s">
        <v>29</v>
      </c>
      <c r="Y79" s="461"/>
      <c r="Z79" s="461"/>
      <c r="AA79" s="461"/>
      <c r="AB79" s="461"/>
      <c r="AC79" s="461"/>
      <c r="AD79" s="40">
        <f t="shared" ref="AD79:AG83" si="81">+O79</f>
        <v>0</v>
      </c>
      <c r="AE79" s="39">
        <f t="shared" si="81"/>
        <v>0</v>
      </c>
      <c r="AF79" s="390">
        <f t="shared" si="81"/>
        <v>0</v>
      </c>
      <c r="AG79" s="38">
        <f t="shared" si="81"/>
        <v>0</v>
      </c>
      <c r="AH79" s="423">
        <f t="shared" si="54"/>
        <v>0</v>
      </c>
      <c r="AI79" s="39">
        <f t="shared" ref="AI79:AJ83" si="82">+T79</f>
        <v>0</v>
      </c>
      <c r="AJ79" s="38">
        <f t="shared" si="82"/>
        <v>0</v>
      </c>
      <c r="AK79" s="52">
        <f t="shared" si="55"/>
        <v>0</v>
      </c>
      <c r="AL79" s="36">
        <f t="shared" si="56"/>
        <v>0</v>
      </c>
      <c r="AM79" s="1">
        <f t="shared" si="57"/>
        <v>0</v>
      </c>
      <c r="AO79" s="1">
        <f t="shared" si="58"/>
        <v>0</v>
      </c>
      <c r="AR79" s="1">
        <f t="shared" si="59"/>
        <v>0</v>
      </c>
    </row>
    <row r="80" spans="1:46" s="2" customFormat="1">
      <c r="A80" s="35"/>
      <c r="B80" s="45" t="s">
        <v>4</v>
      </c>
      <c r="C80" s="44" t="s">
        <v>8</v>
      </c>
      <c r="D80" s="41" t="s">
        <v>11</v>
      </c>
      <c r="E80" s="151">
        <f>+'[2]3条収入'!E61-E93</f>
        <v>2435350</v>
      </c>
      <c r="F80" s="165">
        <f>+雨汚収入!AV17-F93</f>
        <v>70892</v>
      </c>
      <c r="G80" s="412">
        <f>+雨汚収入!AW17-G93</f>
        <v>0</v>
      </c>
      <c r="H80" s="164">
        <f>+雨汚収入!AX17-H93</f>
        <v>487974</v>
      </c>
      <c r="I80" s="40">
        <f>+SUM(F80:H80)</f>
        <v>558866</v>
      </c>
      <c r="J80" s="165">
        <f>+雨汚収入!AZ17-J93</f>
        <v>29260</v>
      </c>
      <c r="K80" s="164">
        <f>+雨汚収入!BA17-K93</f>
        <v>1847224</v>
      </c>
      <c r="L80" s="37">
        <f>+SUM(J80:K80)</f>
        <v>1876484</v>
      </c>
      <c r="M80" s="36">
        <f>E80-SUM(I80,L80)</f>
        <v>0</v>
      </c>
      <c r="N80" s="41" t="s">
        <v>11</v>
      </c>
      <c r="O80" s="151">
        <f>+'[2]3条収入'!AI61-O93</f>
        <v>2289462</v>
      </c>
      <c r="P80" s="165">
        <f>+雨汚収入!BF17-P93</f>
        <v>70892</v>
      </c>
      <c r="Q80" s="412">
        <f>+雨汚収入!BG17-Q93</f>
        <v>0</v>
      </c>
      <c r="R80" s="164">
        <f>+雨汚収入!BH17-R93</f>
        <v>487974</v>
      </c>
      <c r="S80" s="40">
        <f t="shared" si="51"/>
        <v>558866</v>
      </c>
      <c r="T80" s="165">
        <f>+雨汚収入!BJ17-T93</f>
        <v>29260</v>
      </c>
      <c r="U80" s="171">
        <f>+雨汚収入!BK17-U93</f>
        <v>1701336</v>
      </c>
      <c r="V80" s="37">
        <f t="shared" si="79"/>
        <v>1730596</v>
      </c>
      <c r="W80" s="36">
        <f t="shared" si="53"/>
        <v>0</v>
      </c>
      <c r="X80" s="41" t="s">
        <v>11</v>
      </c>
      <c r="Y80" s="461"/>
      <c r="Z80" s="461"/>
      <c r="AA80" s="461"/>
      <c r="AB80" s="461"/>
      <c r="AC80" s="461"/>
      <c r="AD80" s="40">
        <f t="shared" si="81"/>
        <v>2289462</v>
      </c>
      <c r="AE80" s="39">
        <f t="shared" si="81"/>
        <v>70892</v>
      </c>
      <c r="AF80" s="390">
        <f t="shared" si="81"/>
        <v>0</v>
      </c>
      <c r="AG80" s="38">
        <f t="shared" si="81"/>
        <v>487974</v>
      </c>
      <c r="AH80" s="40">
        <f t="shared" si="54"/>
        <v>558866</v>
      </c>
      <c r="AI80" s="39">
        <f t="shared" si="82"/>
        <v>29260</v>
      </c>
      <c r="AJ80" s="54">
        <f t="shared" si="82"/>
        <v>1701336</v>
      </c>
      <c r="AK80" s="37">
        <f t="shared" si="55"/>
        <v>1730596</v>
      </c>
      <c r="AL80" s="36">
        <f t="shared" si="56"/>
        <v>0</v>
      </c>
      <c r="AM80" s="1">
        <f t="shared" si="57"/>
        <v>588126</v>
      </c>
      <c r="AO80" s="1">
        <f t="shared" si="58"/>
        <v>-588126</v>
      </c>
      <c r="AQ80" s="1"/>
      <c r="AR80" s="1">
        <f t="shared" si="59"/>
        <v>-588126</v>
      </c>
    </row>
    <row r="81" spans="1:44" s="2" customFormat="1">
      <c r="A81" s="35"/>
      <c r="B81" s="45" t="s">
        <v>4</v>
      </c>
      <c r="C81" s="44" t="s">
        <v>8</v>
      </c>
      <c r="D81" s="41" t="s">
        <v>26</v>
      </c>
      <c r="E81" s="151">
        <f>+'[2]3条収入'!E63-E94</f>
        <v>864807</v>
      </c>
      <c r="F81" s="165">
        <f>+雨汚収入!AV18-F94</f>
        <v>588069</v>
      </c>
      <c r="G81" s="412">
        <f>+雨汚収入!AW18-G94</f>
        <v>0</v>
      </c>
      <c r="H81" s="164">
        <f>+雨汚収入!AX18-H94</f>
        <v>0</v>
      </c>
      <c r="I81" s="40">
        <f>+SUM(F81:H81)</f>
        <v>588069</v>
      </c>
      <c r="J81" s="165">
        <f>+雨汚収入!AZ18-J94</f>
        <v>0</v>
      </c>
      <c r="K81" s="164">
        <f>+雨汚収入!BA18-K94</f>
        <v>276738</v>
      </c>
      <c r="L81" s="37">
        <f>+SUM(J81:K81)</f>
        <v>276738</v>
      </c>
      <c r="M81" s="36">
        <f>E81-SUM(I81,L81)</f>
        <v>0</v>
      </c>
      <c r="N81" s="41" t="s">
        <v>26</v>
      </c>
      <c r="O81" s="151">
        <f>+'[2]3条収入'!AI63-O94</f>
        <v>864807</v>
      </c>
      <c r="P81" s="165">
        <f>+雨汚収入!BF18-P94</f>
        <v>588069</v>
      </c>
      <c r="Q81" s="412">
        <f>+雨汚収入!BG18-Q94</f>
        <v>0</v>
      </c>
      <c r="R81" s="164">
        <f>+雨汚収入!BH18-R94</f>
        <v>0</v>
      </c>
      <c r="S81" s="40">
        <f t="shared" si="51"/>
        <v>588069</v>
      </c>
      <c r="T81" s="165">
        <f>+雨汚収入!BJ18-T94</f>
        <v>0</v>
      </c>
      <c r="U81" s="164">
        <f>+雨汚収入!BK18-U94</f>
        <v>276738</v>
      </c>
      <c r="V81" s="37">
        <f t="shared" si="79"/>
        <v>276738</v>
      </c>
      <c r="W81" s="36">
        <f t="shared" si="53"/>
        <v>0</v>
      </c>
      <c r="X81" s="41" t="s">
        <v>26</v>
      </c>
      <c r="Y81" s="461"/>
      <c r="Z81" s="461"/>
      <c r="AA81" s="461"/>
      <c r="AB81" s="461"/>
      <c r="AC81" s="461"/>
      <c r="AD81" s="40">
        <f t="shared" si="81"/>
        <v>864807</v>
      </c>
      <c r="AE81" s="39">
        <f t="shared" si="81"/>
        <v>588069</v>
      </c>
      <c r="AF81" s="390">
        <f t="shared" si="81"/>
        <v>0</v>
      </c>
      <c r="AG81" s="38">
        <f t="shared" si="81"/>
        <v>0</v>
      </c>
      <c r="AH81" s="40">
        <f t="shared" si="54"/>
        <v>588069</v>
      </c>
      <c r="AI81" s="39">
        <f t="shared" si="82"/>
        <v>0</v>
      </c>
      <c r="AJ81" s="38">
        <f t="shared" si="82"/>
        <v>276738</v>
      </c>
      <c r="AK81" s="37">
        <f t="shared" si="55"/>
        <v>276738</v>
      </c>
      <c r="AL81" s="36">
        <f t="shared" si="56"/>
        <v>0</v>
      </c>
      <c r="AM81" s="1">
        <f t="shared" si="57"/>
        <v>588069</v>
      </c>
      <c r="AO81" s="1">
        <f t="shared" si="58"/>
        <v>-588069</v>
      </c>
      <c r="AQ81" s="1"/>
      <c r="AR81" s="1">
        <f t="shared" si="59"/>
        <v>-588069</v>
      </c>
    </row>
    <row r="82" spans="1:44" s="2" customFormat="1">
      <c r="A82" s="35"/>
      <c r="B82" s="45" t="s">
        <v>4</v>
      </c>
      <c r="C82" s="44" t="s">
        <v>8</v>
      </c>
      <c r="D82" s="41" t="s">
        <v>25</v>
      </c>
      <c r="E82" s="151">
        <f>+'[2]3条収入'!E64</f>
        <v>455622</v>
      </c>
      <c r="F82" s="165">
        <f>+雨汚収入!AV19</f>
        <v>0</v>
      </c>
      <c r="G82" s="412">
        <f>+雨汚収入!AW19</f>
        <v>0</v>
      </c>
      <c r="H82" s="164">
        <f>+雨汚収入!AX19</f>
        <v>16334</v>
      </c>
      <c r="I82" s="40">
        <f>+SUM(F82:H82)</f>
        <v>16334</v>
      </c>
      <c r="J82" s="165">
        <f>+雨汚収入!AZ19</f>
        <v>0</v>
      </c>
      <c r="K82" s="164">
        <f>+雨汚収入!BA19</f>
        <v>439288</v>
      </c>
      <c r="L82" s="37">
        <f>+SUM(J82:K82)</f>
        <v>439288</v>
      </c>
      <c r="M82" s="36">
        <f>E82-SUM(I82,L82)</f>
        <v>0</v>
      </c>
      <c r="N82" s="41" t="s">
        <v>25</v>
      </c>
      <c r="O82" s="151">
        <f>+'[2]3条収入'!AI64</f>
        <v>455622</v>
      </c>
      <c r="P82" s="165">
        <f>+雨汚収入!BF19</f>
        <v>0</v>
      </c>
      <c r="Q82" s="412">
        <f>+雨汚収入!BG19</f>
        <v>0</v>
      </c>
      <c r="R82" s="164">
        <f>+雨汚収入!BH19</f>
        <v>16334</v>
      </c>
      <c r="S82" s="40">
        <f t="shared" si="51"/>
        <v>16334</v>
      </c>
      <c r="T82" s="165">
        <f>+雨汚収入!BJ19</f>
        <v>0</v>
      </c>
      <c r="U82" s="164">
        <f>+雨汚収入!BK19</f>
        <v>439288</v>
      </c>
      <c r="V82" s="37">
        <f t="shared" si="79"/>
        <v>439288</v>
      </c>
      <c r="W82" s="36">
        <f t="shared" si="53"/>
        <v>0</v>
      </c>
      <c r="X82" s="41" t="s">
        <v>25</v>
      </c>
      <c r="Y82" s="461"/>
      <c r="Z82" s="461"/>
      <c r="AA82" s="461"/>
      <c r="AB82" s="461"/>
      <c r="AC82" s="461"/>
      <c r="AD82" s="40">
        <f t="shared" si="81"/>
        <v>455622</v>
      </c>
      <c r="AE82" s="39">
        <f t="shared" si="81"/>
        <v>0</v>
      </c>
      <c r="AF82" s="390">
        <f t="shared" si="81"/>
        <v>0</v>
      </c>
      <c r="AG82" s="38">
        <f t="shared" si="81"/>
        <v>16334</v>
      </c>
      <c r="AH82" s="40">
        <f t="shared" si="54"/>
        <v>16334</v>
      </c>
      <c r="AI82" s="39">
        <f t="shared" si="82"/>
        <v>0</v>
      </c>
      <c r="AJ82" s="38">
        <f t="shared" si="82"/>
        <v>439288</v>
      </c>
      <c r="AK82" s="37">
        <f t="shared" si="55"/>
        <v>439288</v>
      </c>
      <c r="AL82" s="36">
        <f t="shared" si="56"/>
        <v>0</v>
      </c>
      <c r="AM82" s="1">
        <f t="shared" si="57"/>
        <v>16334</v>
      </c>
      <c r="AO82" s="1">
        <f t="shared" si="58"/>
        <v>-16334</v>
      </c>
      <c r="AQ82" s="1"/>
      <c r="AR82" s="1">
        <f t="shared" si="59"/>
        <v>-16334</v>
      </c>
    </row>
    <row r="83" spans="1:44" s="2" customFormat="1">
      <c r="A83" s="35"/>
      <c r="B83" s="45" t="s">
        <v>4</v>
      </c>
      <c r="C83" s="44" t="s">
        <v>8</v>
      </c>
      <c r="D83" s="41" t="s">
        <v>24</v>
      </c>
      <c r="E83" s="151">
        <f>+'[2]3条収入'!E65</f>
        <v>109000</v>
      </c>
      <c r="F83" s="165">
        <f>+雨汚収入!AV20</f>
        <v>54500</v>
      </c>
      <c r="G83" s="412">
        <f>+雨汚収入!AW20</f>
        <v>0</v>
      </c>
      <c r="H83" s="164">
        <f>+雨汚収入!AX20</f>
        <v>0</v>
      </c>
      <c r="I83" s="40">
        <f>+SUM(F83:H83)</f>
        <v>54500</v>
      </c>
      <c r="J83" s="165">
        <f>+雨汚収入!AZ20</f>
        <v>0</v>
      </c>
      <c r="K83" s="164">
        <f>+雨汚収入!BA20</f>
        <v>54500</v>
      </c>
      <c r="L83" s="37">
        <f>+SUM(J83:K83)</f>
        <v>54500</v>
      </c>
      <c r="M83" s="36">
        <f>E83-SUM(I83,L83)</f>
        <v>0</v>
      </c>
      <c r="N83" s="41" t="s">
        <v>24</v>
      </c>
      <c r="O83" s="151">
        <f>+'[2]3条収入'!AI65</f>
        <v>109000</v>
      </c>
      <c r="P83" s="165">
        <f>+雨汚収入!BF20</f>
        <v>54500</v>
      </c>
      <c r="Q83" s="412">
        <f>+雨汚収入!BG20</f>
        <v>0</v>
      </c>
      <c r="R83" s="164">
        <f>+雨汚収入!BH20</f>
        <v>0</v>
      </c>
      <c r="S83" s="40">
        <f t="shared" si="51"/>
        <v>54500</v>
      </c>
      <c r="T83" s="165">
        <f>+雨汚収入!BJ20</f>
        <v>0</v>
      </c>
      <c r="U83" s="164">
        <f>+雨汚収入!BK20</f>
        <v>54500</v>
      </c>
      <c r="V83" s="37">
        <f t="shared" si="79"/>
        <v>54500</v>
      </c>
      <c r="W83" s="36">
        <f t="shared" si="53"/>
        <v>0</v>
      </c>
      <c r="X83" s="41" t="s">
        <v>24</v>
      </c>
      <c r="Y83" s="461"/>
      <c r="Z83" s="461"/>
      <c r="AA83" s="461"/>
      <c r="AB83" s="461"/>
      <c r="AC83" s="461"/>
      <c r="AD83" s="40">
        <f t="shared" si="81"/>
        <v>109000</v>
      </c>
      <c r="AE83" s="39">
        <f t="shared" si="81"/>
        <v>54500</v>
      </c>
      <c r="AF83" s="390">
        <f t="shared" si="81"/>
        <v>0</v>
      </c>
      <c r="AG83" s="38">
        <f t="shared" si="81"/>
        <v>0</v>
      </c>
      <c r="AH83" s="40">
        <f t="shared" si="54"/>
        <v>54500</v>
      </c>
      <c r="AI83" s="39">
        <f t="shared" si="82"/>
        <v>0</v>
      </c>
      <c r="AJ83" s="38">
        <f t="shared" si="82"/>
        <v>54500</v>
      </c>
      <c r="AK83" s="37">
        <f t="shared" si="55"/>
        <v>54500</v>
      </c>
      <c r="AL83" s="36">
        <f t="shared" si="56"/>
        <v>0</v>
      </c>
      <c r="AM83" s="1">
        <f t="shared" si="57"/>
        <v>54500</v>
      </c>
      <c r="AO83" s="1">
        <f t="shared" si="58"/>
        <v>-54500</v>
      </c>
      <c r="AQ83" s="1"/>
      <c r="AR83" s="1">
        <f t="shared" si="59"/>
        <v>-54500</v>
      </c>
    </row>
    <row r="84" spans="1:44" s="2" customFormat="1">
      <c r="A84" s="35"/>
      <c r="B84" s="45"/>
      <c r="C84" s="44"/>
      <c r="D84" s="41"/>
      <c r="E84" s="40"/>
      <c r="F84" s="39"/>
      <c r="G84" s="390"/>
      <c r="H84" s="38"/>
      <c r="I84" s="40"/>
      <c r="J84" s="39"/>
      <c r="K84" s="38"/>
      <c r="L84" s="37"/>
      <c r="M84" s="36"/>
      <c r="N84" s="41"/>
      <c r="O84" s="40"/>
      <c r="P84" s="39"/>
      <c r="Q84" s="390"/>
      <c r="R84" s="38"/>
      <c r="S84" s="40"/>
      <c r="T84" s="39"/>
      <c r="U84" s="38"/>
      <c r="V84" s="37"/>
      <c r="W84" s="36"/>
      <c r="X84" s="41"/>
      <c r="Y84" s="461"/>
      <c r="Z84" s="461"/>
      <c r="AA84" s="461"/>
      <c r="AB84" s="461"/>
      <c r="AC84" s="461"/>
      <c r="AD84" s="40"/>
      <c r="AE84" s="39"/>
      <c r="AF84" s="390"/>
      <c r="AG84" s="38"/>
      <c r="AH84" s="423"/>
      <c r="AI84" s="39"/>
      <c r="AJ84" s="38"/>
      <c r="AK84" s="52"/>
      <c r="AL84" s="36"/>
      <c r="AM84" s="1">
        <f t="shared" si="57"/>
        <v>0</v>
      </c>
      <c r="AO84" s="1">
        <f t="shared" si="58"/>
        <v>0</v>
      </c>
      <c r="AR84" s="1">
        <f t="shared" si="59"/>
        <v>0</v>
      </c>
    </row>
    <row r="85" spans="1:44" s="2" customFormat="1">
      <c r="A85" s="35"/>
      <c r="B85" s="45" t="s">
        <v>2</v>
      </c>
      <c r="C85" s="44" t="s">
        <v>21</v>
      </c>
      <c r="D85" s="41" t="s">
        <v>22</v>
      </c>
      <c r="E85" s="168">
        <f>+'[2]3条収入'!E56-E86</f>
        <v>9364620277</v>
      </c>
      <c r="F85" s="153">
        <v>4482094461</v>
      </c>
      <c r="G85" s="416">
        <v>2428480</v>
      </c>
      <c r="H85" s="38"/>
      <c r="I85" s="40">
        <f t="shared" ref="I85:I90" si="83">+SUM(F85:H85)</f>
        <v>4484522941</v>
      </c>
      <c r="J85" s="153">
        <f>ROUND(17206476/13857936954*4880097336,0)</f>
        <v>6059291</v>
      </c>
      <c r="K85" s="152">
        <f>4880097336-J85</f>
        <v>4874038045</v>
      </c>
      <c r="L85" s="37">
        <f t="shared" ref="L85:L90" si="84">+SUM(J85:K85)</f>
        <v>4880097336</v>
      </c>
      <c r="M85" s="36">
        <f t="shared" ref="M85:M90" si="85">E85-SUM(I85,L85)</f>
        <v>0</v>
      </c>
      <c r="N85" s="41" t="s">
        <v>22</v>
      </c>
      <c r="O85" s="168">
        <f>+'[2]3条収入'!AI56-O86</f>
        <v>9364620277</v>
      </c>
      <c r="P85" s="39">
        <f t="shared" ref="P85:R86" si="86">+F85</f>
        <v>4482094461</v>
      </c>
      <c r="Q85" s="390">
        <f t="shared" si="86"/>
        <v>2428480</v>
      </c>
      <c r="R85" s="38">
        <f t="shared" si="86"/>
        <v>0</v>
      </c>
      <c r="S85" s="40">
        <f t="shared" si="51"/>
        <v>4484522941</v>
      </c>
      <c r="T85" s="39">
        <f>+J85</f>
        <v>6059291</v>
      </c>
      <c r="U85" s="38">
        <f t="shared" ref="U85:U86" si="87">+O85-S85-T85</f>
        <v>4874038045</v>
      </c>
      <c r="V85" s="37">
        <f t="shared" si="79"/>
        <v>4880097336</v>
      </c>
      <c r="W85" s="36">
        <f t="shared" si="53"/>
        <v>0</v>
      </c>
      <c r="X85" s="41" t="s">
        <v>22</v>
      </c>
      <c r="Y85" s="462"/>
      <c r="Z85" s="462"/>
      <c r="AA85" s="462"/>
      <c r="AB85" s="462"/>
      <c r="AC85" s="462"/>
      <c r="AD85" s="51">
        <f t="shared" ref="AD85:AG90" si="88">+O85</f>
        <v>9364620277</v>
      </c>
      <c r="AE85" s="39">
        <f t="shared" si="88"/>
        <v>4482094461</v>
      </c>
      <c r="AF85" s="390">
        <f t="shared" si="88"/>
        <v>2428480</v>
      </c>
      <c r="AG85" s="38">
        <f t="shared" si="88"/>
        <v>0</v>
      </c>
      <c r="AH85" s="40">
        <f t="shared" si="54"/>
        <v>4484522941</v>
      </c>
      <c r="AI85" s="39">
        <f t="shared" ref="AI85:AJ90" si="89">+T85</f>
        <v>6059291</v>
      </c>
      <c r="AJ85" s="38">
        <f t="shared" si="89"/>
        <v>4874038045</v>
      </c>
      <c r="AK85" s="37">
        <f t="shared" si="55"/>
        <v>4880097336</v>
      </c>
      <c r="AL85" s="36">
        <f t="shared" si="56"/>
        <v>0</v>
      </c>
      <c r="AM85" s="1">
        <f t="shared" si="57"/>
        <v>4490582232</v>
      </c>
      <c r="AO85" s="1">
        <f t="shared" si="58"/>
        <v>-4490582232</v>
      </c>
      <c r="AQ85" s="1">
        <v>4526816000</v>
      </c>
      <c r="AR85" s="1">
        <f t="shared" si="59"/>
        <v>36233768</v>
      </c>
    </row>
    <row r="86" spans="1:44" s="2" customFormat="1">
      <c r="A86" s="35"/>
      <c r="B86" s="45" t="s">
        <v>2</v>
      </c>
      <c r="C86" s="44" t="s">
        <v>21</v>
      </c>
      <c r="D86" s="41" t="s">
        <v>19</v>
      </c>
      <c r="E86" s="167">
        <v>120734725</v>
      </c>
      <c r="F86" s="39">
        <f>+E86-L86-G86</f>
        <v>49928323</v>
      </c>
      <c r="G86" s="390">
        <f>+IFERROR(ROUND((E86-L86)*G35/I35,0),0)</f>
        <v>486150</v>
      </c>
      <c r="H86" s="38"/>
      <c r="I86" s="40">
        <f t="shared" si="83"/>
        <v>50414473</v>
      </c>
      <c r="J86" s="39"/>
      <c r="K86" s="152">
        <v>70320252</v>
      </c>
      <c r="L86" s="37">
        <f>+SUM(J86:K86)</f>
        <v>70320252</v>
      </c>
      <c r="M86" s="36">
        <f t="shared" si="85"/>
        <v>0</v>
      </c>
      <c r="N86" s="41" t="s">
        <v>19</v>
      </c>
      <c r="O86" s="51">
        <f>+E86</f>
        <v>120734725</v>
      </c>
      <c r="P86" s="39">
        <f t="shared" si="86"/>
        <v>49928323</v>
      </c>
      <c r="Q86" s="390">
        <f t="shared" si="86"/>
        <v>486150</v>
      </c>
      <c r="R86" s="38">
        <f t="shared" si="86"/>
        <v>0</v>
      </c>
      <c r="S86" s="40">
        <f t="shared" si="51"/>
        <v>50414473</v>
      </c>
      <c r="T86" s="39">
        <f>+J86</f>
        <v>0</v>
      </c>
      <c r="U86" s="38">
        <f t="shared" si="87"/>
        <v>70320252</v>
      </c>
      <c r="V86" s="37">
        <f t="shared" si="79"/>
        <v>70320252</v>
      </c>
      <c r="W86" s="36">
        <f t="shared" si="53"/>
        <v>0</v>
      </c>
      <c r="X86" s="41" t="s">
        <v>19</v>
      </c>
      <c r="Y86" s="462"/>
      <c r="Z86" s="462"/>
      <c r="AA86" s="462"/>
      <c r="AB86" s="462"/>
      <c r="AC86" s="462"/>
      <c r="AD86" s="51">
        <f t="shared" si="88"/>
        <v>120734725</v>
      </c>
      <c r="AE86" s="39">
        <f t="shared" si="88"/>
        <v>49928323</v>
      </c>
      <c r="AF86" s="390">
        <f t="shared" si="88"/>
        <v>486150</v>
      </c>
      <c r="AG86" s="38">
        <f t="shared" si="88"/>
        <v>0</v>
      </c>
      <c r="AH86" s="40">
        <f t="shared" si="54"/>
        <v>50414473</v>
      </c>
      <c r="AI86" s="39">
        <f t="shared" si="89"/>
        <v>0</v>
      </c>
      <c r="AJ86" s="38">
        <f t="shared" si="89"/>
        <v>70320252</v>
      </c>
      <c r="AK86" s="37">
        <f t="shared" si="55"/>
        <v>70320252</v>
      </c>
      <c r="AL86" s="36">
        <f t="shared" si="56"/>
        <v>0</v>
      </c>
      <c r="AM86" s="1">
        <f t="shared" si="57"/>
        <v>50414473</v>
      </c>
      <c r="AO86" s="1">
        <f t="shared" si="58"/>
        <v>-50414473</v>
      </c>
      <c r="AQ86" s="1">
        <v>44696000</v>
      </c>
      <c r="AR86" s="1">
        <f t="shared" si="59"/>
        <v>-5718473</v>
      </c>
    </row>
    <row r="87" spans="1:44" s="2" customFormat="1">
      <c r="A87" s="35"/>
      <c r="B87" s="45" t="s">
        <v>2</v>
      </c>
      <c r="C87" s="44"/>
      <c r="D87" s="41"/>
      <c r="E87" s="40"/>
      <c r="F87" s="39"/>
      <c r="G87" s="390"/>
      <c r="H87" s="38"/>
      <c r="I87" s="40">
        <f t="shared" si="83"/>
        <v>0</v>
      </c>
      <c r="J87" s="39"/>
      <c r="K87" s="38"/>
      <c r="L87" s="37">
        <f t="shared" si="84"/>
        <v>0</v>
      </c>
      <c r="M87" s="36">
        <f t="shared" si="85"/>
        <v>0</v>
      </c>
      <c r="N87" s="41"/>
      <c r="O87" s="40"/>
      <c r="P87" s="39"/>
      <c r="Q87" s="390"/>
      <c r="R87" s="38"/>
      <c r="S87" s="40">
        <f t="shared" si="51"/>
        <v>0</v>
      </c>
      <c r="T87" s="39"/>
      <c r="U87" s="38"/>
      <c r="V87" s="37">
        <f t="shared" si="79"/>
        <v>0</v>
      </c>
      <c r="W87" s="36">
        <f t="shared" si="53"/>
        <v>0</v>
      </c>
      <c r="X87" s="41"/>
      <c r="Y87" s="461"/>
      <c r="Z87" s="461"/>
      <c r="AA87" s="461"/>
      <c r="AB87" s="461"/>
      <c r="AC87" s="461"/>
      <c r="AD87" s="40">
        <f t="shared" si="88"/>
        <v>0</v>
      </c>
      <c r="AE87" s="39">
        <f t="shared" si="88"/>
        <v>0</v>
      </c>
      <c r="AF87" s="390">
        <f t="shared" si="88"/>
        <v>0</v>
      </c>
      <c r="AG87" s="38">
        <f t="shared" si="88"/>
        <v>0</v>
      </c>
      <c r="AH87" s="40">
        <f t="shared" si="54"/>
        <v>0</v>
      </c>
      <c r="AI87" s="39">
        <f t="shared" si="89"/>
        <v>0</v>
      </c>
      <c r="AJ87" s="38">
        <f t="shared" si="89"/>
        <v>0</v>
      </c>
      <c r="AK87" s="37">
        <f t="shared" si="55"/>
        <v>0</v>
      </c>
      <c r="AL87" s="36">
        <f t="shared" si="56"/>
        <v>0</v>
      </c>
      <c r="AM87" s="1">
        <f t="shared" si="57"/>
        <v>0</v>
      </c>
      <c r="AO87" s="1">
        <f t="shared" si="58"/>
        <v>0</v>
      </c>
      <c r="AR87" s="1">
        <f t="shared" si="59"/>
        <v>0</v>
      </c>
    </row>
    <row r="88" spans="1:44" s="2" customFormat="1">
      <c r="A88" s="35"/>
      <c r="B88" s="45" t="s">
        <v>2</v>
      </c>
      <c r="C88" s="44" t="s">
        <v>14</v>
      </c>
      <c r="D88" s="41" t="s">
        <v>17</v>
      </c>
      <c r="E88" s="151">
        <f>+'[2]3条収入'!E41-E89</f>
        <v>16476593</v>
      </c>
      <c r="F88" s="39">
        <f>+E88-K88</f>
        <v>8440628</v>
      </c>
      <c r="G88" s="390"/>
      <c r="H88" s="38"/>
      <c r="I88" s="40">
        <f t="shared" si="83"/>
        <v>8440628</v>
      </c>
      <c r="J88" s="39"/>
      <c r="K88" s="38">
        <f>+ROUND(E88*K37/E37,0)</f>
        <v>8035965</v>
      </c>
      <c r="L88" s="37">
        <f t="shared" si="84"/>
        <v>8035965</v>
      </c>
      <c r="M88" s="36">
        <f t="shared" si="85"/>
        <v>0</v>
      </c>
      <c r="N88" s="41" t="s">
        <v>17</v>
      </c>
      <c r="O88" s="151">
        <f>E88</f>
        <v>16476593</v>
      </c>
      <c r="P88" s="39">
        <f>+F88</f>
        <v>8440628</v>
      </c>
      <c r="Q88" s="390"/>
      <c r="R88" s="38"/>
      <c r="S88" s="40">
        <f t="shared" si="51"/>
        <v>8440628</v>
      </c>
      <c r="T88" s="38"/>
      <c r="U88" s="38">
        <f t="shared" ref="U88" si="90">+O88-S88-T88</f>
        <v>8035965</v>
      </c>
      <c r="V88" s="37">
        <f t="shared" si="79"/>
        <v>8035965</v>
      </c>
      <c r="W88" s="36">
        <f t="shared" si="53"/>
        <v>0</v>
      </c>
      <c r="X88" s="41" t="s">
        <v>17</v>
      </c>
      <c r="Y88" s="461"/>
      <c r="Z88" s="461"/>
      <c r="AA88" s="461"/>
      <c r="AB88" s="461"/>
      <c r="AC88" s="461"/>
      <c r="AD88" s="40">
        <f t="shared" si="88"/>
        <v>16476593</v>
      </c>
      <c r="AE88" s="39">
        <f t="shared" si="88"/>
        <v>8440628</v>
      </c>
      <c r="AF88" s="390">
        <f t="shared" si="88"/>
        <v>0</v>
      </c>
      <c r="AG88" s="38">
        <f t="shared" si="88"/>
        <v>0</v>
      </c>
      <c r="AH88" s="40">
        <f t="shared" si="54"/>
        <v>8440628</v>
      </c>
      <c r="AI88" s="39">
        <f t="shared" si="89"/>
        <v>0</v>
      </c>
      <c r="AJ88" s="38">
        <f t="shared" si="89"/>
        <v>8035965</v>
      </c>
      <c r="AK88" s="37">
        <f t="shared" si="55"/>
        <v>8035965</v>
      </c>
      <c r="AL88" s="36">
        <f t="shared" si="56"/>
        <v>0</v>
      </c>
      <c r="AM88" s="1">
        <f t="shared" si="57"/>
        <v>8440628</v>
      </c>
      <c r="AO88" s="1">
        <f t="shared" si="58"/>
        <v>-8440628</v>
      </c>
      <c r="AR88" s="1">
        <f t="shared" si="59"/>
        <v>-8440628</v>
      </c>
    </row>
    <row r="89" spans="1:44" s="2" customFormat="1">
      <c r="A89" s="35"/>
      <c r="B89" s="45" t="s">
        <v>2</v>
      </c>
      <c r="C89" s="44" t="s">
        <v>14</v>
      </c>
      <c r="D89" s="41" t="s">
        <v>15</v>
      </c>
      <c r="E89" s="40">
        <f>+K89</f>
        <v>0</v>
      </c>
      <c r="F89" s="165">
        <f>+雨汚収入!AV12</f>
        <v>0</v>
      </c>
      <c r="G89" s="412">
        <f>+雨汚収入!AW12</f>
        <v>0</v>
      </c>
      <c r="H89" s="164">
        <f>+雨汚収入!AX12</f>
        <v>0</v>
      </c>
      <c r="I89" s="40">
        <f t="shared" si="83"/>
        <v>0</v>
      </c>
      <c r="J89" s="165">
        <f>+雨汚収入!AZ12</f>
        <v>0</v>
      </c>
      <c r="K89" s="164">
        <f>+雨汚収入!BA12</f>
        <v>0</v>
      </c>
      <c r="L89" s="37">
        <f t="shared" si="84"/>
        <v>0</v>
      </c>
      <c r="M89" s="36">
        <f t="shared" si="85"/>
        <v>0</v>
      </c>
      <c r="N89" s="41" t="s">
        <v>15</v>
      </c>
      <c r="O89" s="40">
        <f>+'[2]3条収入'!AI41-O88</f>
        <v>0</v>
      </c>
      <c r="P89" s="165">
        <f>+雨汚収入!BF12</f>
        <v>0</v>
      </c>
      <c r="Q89" s="412">
        <f>+雨汚収入!BG12</f>
        <v>0</v>
      </c>
      <c r="R89" s="164">
        <f>+雨汚収入!BH12</f>
        <v>0</v>
      </c>
      <c r="S89" s="40">
        <f t="shared" si="51"/>
        <v>0</v>
      </c>
      <c r="T89" s="165">
        <f>+雨汚収入!BJ12</f>
        <v>0</v>
      </c>
      <c r="U89" s="164">
        <f>+雨汚収入!BK12</f>
        <v>0</v>
      </c>
      <c r="V89" s="37">
        <f t="shared" si="79"/>
        <v>0</v>
      </c>
      <c r="W89" s="36">
        <f t="shared" si="53"/>
        <v>0</v>
      </c>
      <c r="X89" s="41" t="s">
        <v>15</v>
      </c>
      <c r="Y89" s="461"/>
      <c r="Z89" s="461"/>
      <c r="AA89" s="461"/>
      <c r="AB89" s="461"/>
      <c r="AC89" s="461"/>
      <c r="AD89" s="40">
        <f t="shared" si="88"/>
        <v>0</v>
      </c>
      <c r="AE89" s="39">
        <f t="shared" si="88"/>
        <v>0</v>
      </c>
      <c r="AF89" s="390">
        <f t="shared" si="88"/>
        <v>0</v>
      </c>
      <c r="AG89" s="38">
        <f t="shared" si="88"/>
        <v>0</v>
      </c>
      <c r="AH89" s="40">
        <f t="shared" si="54"/>
        <v>0</v>
      </c>
      <c r="AI89" s="39">
        <f t="shared" si="89"/>
        <v>0</v>
      </c>
      <c r="AJ89" s="38">
        <f t="shared" si="89"/>
        <v>0</v>
      </c>
      <c r="AK89" s="37">
        <f t="shared" si="55"/>
        <v>0</v>
      </c>
      <c r="AL89" s="36">
        <f t="shared" si="56"/>
        <v>0</v>
      </c>
      <c r="AM89" s="1">
        <f t="shared" si="57"/>
        <v>0</v>
      </c>
      <c r="AO89" s="1">
        <f t="shared" si="58"/>
        <v>0</v>
      </c>
      <c r="AR89" s="1">
        <f t="shared" si="59"/>
        <v>0</v>
      </c>
    </row>
    <row r="90" spans="1:44" s="2" customFormat="1">
      <c r="A90" s="35"/>
      <c r="B90" s="45" t="s">
        <v>2</v>
      </c>
      <c r="C90" s="44" t="s">
        <v>14</v>
      </c>
      <c r="D90" s="41"/>
      <c r="E90" s="40"/>
      <c r="F90" s="39"/>
      <c r="G90" s="390"/>
      <c r="H90" s="38"/>
      <c r="I90" s="40">
        <f t="shared" si="83"/>
        <v>0</v>
      </c>
      <c r="J90" s="39"/>
      <c r="K90" s="38"/>
      <c r="L90" s="37">
        <f t="shared" si="84"/>
        <v>0</v>
      </c>
      <c r="M90" s="36">
        <f t="shared" si="85"/>
        <v>0</v>
      </c>
      <c r="N90" s="41"/>
      <c r="O90" s="40"/>
      <c r="P90" s="39"/>
      <c r="Q90" s="390"/>
      <c r="R90" s="38"/>
      <c r="S90" s="40">
        <f t="shared" si="51"/>
        <v>0</v>
      </c>
      <c r="T90" s="39"/>
      <c r="U90" s="38"/>
      <c r="V90" s="37">
        <f t="shared" si="79"/>
        <v>0</v>
      </c>
      <c r="W90" s="36">
        <f t="shared" si="53"/>
        <v>0</v>
      </c>
      <c r="X90" s="41"/>
      <c r="Y90" s="461"/>
      <c r="Z90" s="461"/>
      <c r="AA90" s="461"/>
      <c r="AB90" s="461"/>
      <c r="AC90" s="461"/>
      <c r="AD90" s="40">
        <f t="shared" si="88"/>
        <v>0</v>
      </c>
      <c r="AE90" s="39">
        <f t="shared" si="88"/>
        <v>0</v>
      </c>
      <c r="AF90" s="390">
        <f t="shared" si="88"/>
        <v>0</v>
      </c>
      <c r="AG90" s="38">
        <f t="shared" si="88"/>
        <v>0</v>
      </c>
      <c r="AH90" s="40">
        <f t="shared" si="54"/>
        <v>0</v>
      </c>
      <c r="AI90" s="39">
        <f t="shared" si="89"/>
        <v>0</v>
      </c>
      <c r="AJ90" s="38">
        <f t="shared" si="89"/>
        <v>0</v>
      </c>
      <c r="AK90" s="37">
        <f t="shared" si="55"/>
        <v>0</v>
      </c>
      <c r="AL90" s="36">
        <f t="shared" si="56"/>
        <v>0</v>
      </c>
      <c r="AM90" s="1">
        <f t="shared" si="57"/>
        <v>0</v>
      </c>
      <c r="AO90" s="1">
        <f t="shared" si="58"/>
        <v>0</v>
      </c>
      <c r="AR90" s="1">
        <f t="shared" si="59"/>
        <v>0</v>
      </c>
    </row>
    <row r="91" spans="1:44" s="2" customFormat="1">
      <c r="A91" s="35"/>
      <c r="B91" s="45"/>
      <c r="C91" s="44"/>
      <c r="D91" s="41"/>
      <c r="E91" s="40"/>
      <c r="F91" s="39"/>
      <c r="G91" s="390"/>
      <c r="H91" s="38"/>
      <c r="I91" s="40"/>
      <c r="J91" s="39"/>
      <c r="K91" s="38"/>
      <c r="L91" s="37"/>
      <c r="M91" s="36"/>
      <c r="N91" s="41"/>
      <c r="O91" s="40"/>
      <c r="P91" s="39"/>
      <c r="Q91" s="390"/>
      <c r="R91" s="38"/>
      <c r="S91" s="40"/>
      <c r="T91" s="39"/>
      <c r="U91" s="38"/>
      <c r="V91" s="37"/>
      <c r="W91" s="36"/>
      <c r="X91" s="41"/>
      <c r="Y91" s="461"/>
      <c r="Z91" s="461"/>
      <c r="AA91" s="461"/>
      <c r="AB91" s="461"/>
      <c r="AC91" s="461"/>
      <c r="AD91" s="40"/>
      <c r="AE91" s="39"/>
      <c r="AF91" s="390"/>
      <c r="AG91" s="38"/>
      <c r="AH91" s="40"/>
      <c r="AI91" s="39"/>
      <c r="AJ91" s="38"/>
      <c r="AK91" s="37"/>
      <c r="AL91" s="36"/>
      <c r="AM91" s="1">
        <f t="shared" si="57"/>
        <v>0</v>
      </c>
      <c r="AO91" s="1">
        <f t="shared" si="58"/>
        <v>0</v>
      </c>
      <c r="AR91" s="1">
        <f t="shared" si="59"/>
        <v>0</v>
      </c>
    </row>
    <row r="92" spans="1:44" s="2" customFormat="1">
      <c r="A92" s="35"/>
      <c r="B92" s="45" t="s">
        <v>2</v>
      </c>
      <c r="C92" s="44" t="s">
        <v>8</v>
      </c>
      <c r="D92" s="41"/>
      <c r="E92" s="40"/>
      <c r="F92" s="39"/>
      <c r="G92" s="390"/>
      <c r="H92" s="38"/>
      <c r="I92" s="40">
        <f>+SUM(F92:H92)</f>
        <v>0</v>
      </c>
      <c r="J92" s="39"/>
      <c r="K92" s="38"/>
      <c r="L92" s="37">
        <f>+SUM(J92:K92)</f>
        <v>0</v>
      </c>
      <c r="M92" s="36">
        <f>E92-SUM(I92,L92)</f>
        <v>0</v>
      </c>
      <c r="N92" s="41"/>
      <c r="O92" s="40"/>
      <c r="P92" s="39"/>
      <c r="Q92" s="390"/>
      <c r="R92" s="38"/>
      <c r="S92" s="40">
        <f t="shared" si="51"/>
        <v>0</v>
      </c>
      <c r="T92" s="39"/>
      <c r="U92" s="38"/>
      <c r="V92" s="37">
        <f t="shared" si="79"/>
        <v>0</v>
      </c>
      <c r="W92" s="36">
        <f t="shared" si="53"/>
        <v>0</v>
      </c>
      <c r="X92" s="41"/>
      <c r="Y92" s="461"/>
      <c r="Z92" s="461"/>
      <c r="AA92" s="461"/>
      <c r="AB92" s="461"/>
      <c r="AC92" s="461"/>
      <c r="AD92" s="40">
        <f t="shared" ref="AD92:AG95" si="91">+O92</f>
        <v>0</v>
      </c>
      <c r="AE92" s="39">
        <f t="shared" si="91"/>
        <v>0</v>
      </c>
      <c r="AF92" s="390">
        <f t="shared" si="91"/>
        <v>0</v>
      </c>
      <c r="AG92" s="38">
        <f t="shared" si="91"/>
        <v>0</v>
      </c>
      <c r="AH92" s="40">
        <f t="shared" si="54"/>
        <v>0</v>
      </c>
      <c r="AI92" s="39">
        <f t="shared" ref="AI92:AJ95" si="92">+T92</f>
        <v>0</v>
      </c>
      <c r="AJ92" s="38">
        <f t="shared" si="92"/>
        <v>0</v>
      </c>
      <c r="AK92" s="37">
        <f t="shared" si="55"/>
        <v>0</v>
      </c>
      <c r="AL92" s="36">
        <f t="shared" si="56"/>
        <v>0</v>
      </c>
      <c r="AM92" s="1">
        <f t="shared" si="57"/>
        <v>0</v>
      </c>
      <c r="AO92" s="1">
        <f t="shared" si="58"/>
        <v>0</v>
      </c>
      <c r="AR92" s="1">
        <f t="shared" si="59"/>
        <v>0</v>
      </c>
    </row>
    <row r="93" spans="1:44" s="2" customFormat="1">
      <c r="A93" s="35"/>
      <c r="B93" s="45" t="s">
        <v>2</v>
      </c>
      <c r="C93" s="44" t="s">
        <v>8</v>
      </c>
      <c r="D93" s="41" t="s">
        <v>11</v>
      </c>
      <c r="E93" s="158">
        <v>334220</v>
      </c>
      <c r="F93" s="153">
        <v>281270</v>
      </c>
      <c r="G93" s="416"/>
      <c r="H93" s="38"/>
      <c r="I93" s="40">
        <f>+SUM(F93:H93)</f>
        <v>281270</v>
      </c>
      <c r="J93" s="153"/>
      <c r="K93" s="152">
        <v>52950</v>
      </c>
      <c r="L93" s="37">
        <f>+SUM(J93:K93)</f>
        <v>52950</v>
      </c>
      <c r="M93" s="36">
        <f>E93-SUM(I93,L93)</f>
        <v>0</v>
      </c>
      <c r="N93" s="41" t="s">
        <v>11</v>
      </c>
      <c r="O93" s="51">
        <f t="shared" ref="O93:Q94" si="93">+E93</f>
        <v>334220</v>
      </c>
      <c r="P93" s="39">
        <f t="shared" si="93"/>
        <v>281270</v>
      </c>
      <c r="Q93" s="390">
        <f t="shared" si="93"/>
        <v>0</v>
      </c>
      <c r="R93" s="38"/>
      <c r="S93" s="40">
        <f t="shared" si="51"/>
        <v>281270</v>
      </c>
      <c r="T93" s="39">
        <f>+J93</f>
        <v>0</v>
      </c>
      <c r="U93" s="38">
        <f t="shared" ref="U93:U95" si="94">+O93-S93-T93</f>
        <v>52950</v>
      </c>
      <c r="V93" s="37">
        <f t="shared" si="79"/>
        <v>52950</v>
      </c>
      <c r="W93" s="36">
        <f t="shared" si="53"/>
        <v>0</v>
      </c>
      <c r="X93" s="41" t="s">
        <v>11</v>
      </c>
      <c r="Y93" s="461"/>
      <c r="Z93" s="461"/>
      <c r="AA93" s="461"/>
      <c r="AB93" s="461"/>
      <c r="AC93" s="461"/>
      <c r="AD93" s="40">
        <f t="shared" si="91"/>
        <v>334220</v>
      </c>
      <c r="AE93" s="39">
        <f t="shared" si="91"/>
        <v>281270</v>
      </c>
      <c r="AF93" s="390">
        <f t="shared" si="91"/>
        <v>0</v>
      </c>
      <c r="AG93" s="38">
        <f t="shared" si="91"/>
        <v>0</v>
      </c>
      <c r="AH93" s="40">
        <f t="shared" si="54"/>
        <v>281270</v>
      </c>
      <c r="AI93" s="39">
        <f t="shared" si="92"/>
        <v>0</v>
      </c>
      <c r="AJ93" s="38">
        <f t="shared" si="92"/>
        <v>52950</v>
      </c>
      <c r="AK93" s="37">
        <f t="shared" si="55"/>
        <v>52950</v>
      </c>
      <c r="AL93" s="36">
        <f t="shared" si="56"/>
        <v>0</v>
      </c>
      <c r="AM93" s="1">
        <f t="shared" si="57"/>
        <v>281270</v>
      </c>
      <c r="AO93" s="1">
        <f t="shared" si="58"/>
        <v>-281270</v>
      </c>
      <c r="AR93" s="1">
        <f t="shared" si="59"/>
        <v>-281270</v>
      </c>
    </row>
    <row r="94" spans="1:44" s="2" customFormat="1">
      <c r="A94" s="35"/>
      <c r="B94" s="45" t="s">
        <v>2</v>
      </c>
      <c r="C94" s="44" t="s">
        <v>8</v>
      </c>
      <c r="D94" s="41" t="s">
        <v>9</v>
      </c>
      <c r="E94" s="158"/>
      <c r="F94" s="153"/>
      <c r="G94" s="416"/>
      <c r="H94" s="38"/>
      <c r="I94" s="40">
        <f>+SUM(F94:H94)</f>
        <v>0</v>
      </c>
      <c r="J94" s="153"/>
      <c r="K94" s="152"/>
      <c r="L94" s="37">
        <f>+SUM(J94:K94)</f>
        <v>0</v>
      </c>
      <c r="M94" s="36">
        <f>E94-SUM(I94,L94)</f>
        <v>0</v>
      </c>
      <c r="N94" s="41" t="s">
        <v>9</v>
      </c>
      <c r="O94" s="51">
        <f t="shared" si="93"/>
        <v>0</v>
      </c>
      <c r="P94" s="39">
        <f t="shared" si="93"/>
        <v>0</v>
      </c>
      <c r="Q94" s="390">
        <f t="shared" si="93"/>
        <v>0</v>
      </c>
      <c r="R94" s="38"/>
      <c r="S94" s="40">
        <f t="shared" si="51"/>
        <v>0</v>
      </c>
      <c r="T94" s="39">
        <f>+J94</f>
        <v>0</v>
      </c>
      <c r="U94" s="38">
        <f t="shared" si="94"/>
        <v>0</v>
      </c>
      <c r="V94" s="37">
        <f t="shared" si="79"/>
        <v>0</v>
      </c>
      <c r="W94" s="36">
        <f t="shared" si="53"/>
        <v>0</v>
      </c>
      <c r="X94" s="41" t="s">
        <v>9</v>
      </c>
      <c r="Y94" s="461"/>
      <c r="Z94" s="461"/>
      <c r="AA94" s="461"/>
      <c r="AB94" s="461"/>
      <c r="AC94" s="461"/>
      <c r="AD94" s="40">
        <f t="shared" si="91"/>
        <v>0</v>
      </c>
      <c r="AE94" s="39">
        <f t="shared" si="91"/>
        <v>0</v>
      </c>
      <c r="AF94" s="390">
        <f t="shared" si="91"/>
        <v>0</v>
      </c>
      <c r="AG94" s="38">
        <f t="shared" si="91"/>
        <v>0</v>
      </c>
      <c r="AH94" s="40">
        <f t="shared" si="54"/>
        <v>0</v>
      </c>
      <c r="AI94" s="39">
        <f t="shared" si="92"/>
        <v>0</v>
      </c>
      <c r="AJ94" s="38">
        <f t="shared" si="92"/>
        <v>0</v>
      </c>
      <c r="AK94" s="37">
        <f t="shared" si="55"/>
        <v>0</v>
      </c>
      <c r="AL94" s="36">
        <f t="shared" si="56"/>
        <v>0</v>
      </c>
      <c r="AM94" s="1">
        <f t="shared" si="57"/>
        <v>0</v>
      </c>
      <c r="AO94" s="1">
        <f t="shared" si="58"/>
        <v>0</v>
      </c>
      <c r="AR94" s="1">
        <f t="shared" si="59"/>
        <v>0</v>
      </c>
    </row>
    <row r="95" spans="1:44" s="2" customFormat="1">
      <c r="A95" s="35"/>
      <c r="B95" s="45" t="s">
        <v>2</v>
      </c>
      <c r="C95" s="44" t="s">
        <v>8</v>
      </c>
      <c r="D95" s="41" t="s">
        <v>6</v>
      </c>
      <c r="E95" s="40">
        <f>+'[2]3条収入'!E66</f>
        <v>0</v>
      </c>
      <c r="F95" s="153">
        <v>0</v>
      </c>
      <c r="G95" s="390"/>
      <c r="H95" s="38"/>
      <c r="I95" s="40">
        <f>+SUM(F95:H95)</f>
        <v>0</v>
      </c>
      <c r="J95" s="39"/>
      <c r="K95" s="152">
        <v>0</v>
      </c>
      <c r="L95" s="37">
        <f>+SUM(J95:K95)</f>
        <v>0</v>
      </c>
      <c r="M95" s="36">
        <f>E95-SUM(I95,L95)</f>
        <v>0</v>
      </c>
      <c r="N95" s="41" t="s">
        <v>6</v>
      </c>
      <c r="O95" s="151">
        <f>+'[2]3条収入'!AI66</f>
        <v>0</v>
      </c>
      <c r="P95" s="39">
        <f>+F95</f>
        <v>0</v>
      </c>
      <c r="Q95" s="390"/>
      <c r="R95" s="38"/>
      <c r="S95" s="40">
        <f t="shared" si="51"/>
        <v>0</v>
      </c>
      <c r="T95" s="39"/>
      <c r="U95" s="38">
        <f t="shared" si="94"/>
        <v>0</v>
      </c>
      <c r="V95" s="37">
        <f t="shared" si="79"/>
        <v>0</v>
      </c>
      <c r="W95" s="36">
        <f t="shared" si="53"/>
        <v>0</v>
      </c>
      <c r="X95" s="41" t="s">
        <v>6</v>
      </c>
      <c r="Y95" s="461"/>
      <c r="Z95" s="461"/>
      <c r="AA95" s="461"/>
      <c r="AB95" s="461"/>
      <c r="AC95" s="461"/>
      <c r="AD95" s="40">
        <f t="shared" si="91"/>
        <v>0</v>
      </c>
      <c r="AE95" s="39">
        <f t="shared" si="91"/>
        <v>0</v>
      </c>
      <c r="AF95" s="390">
        <f t="shared" si="91"/>
        <v>0</v>
      </c>
      <c r="AG95" s="38">
        <f t="shared" si="91"/>
        <v>0</v>
      </c>
      <c r="AH95" s="40">
        <f t="shared" si="54"/>
        <v>0</v>
      </c>
      <c r="AI95" s="39">
        <f t="shared" si="92"/>
        <v>0</v>
      </c>
      <c r="AJ95" s="38">
        <f t="shared" si="92"/>
        <v>0</v>
      </c>
      <c r="AK95" s="37">
        <f t="shared" si="55"/>
        <v>0</v>
      </c>
      <c r="AL95" s="36">
        <f t="shared" si="56"/>
        <v>0</v>
      </c>
      <c r="AM95" s="1">
        <f t="shared" si="57"/>
        <v>0</v>
      </c>
      <c r="AO95" s="1">
        <f t="shared" si="58"/>
        <v>0</v>
      </c>
      <c r="AR95" s="1">
        <f t="shared" si="59"/>
        <v>0</v>
      </c>
    </row>
    <row r="96" spans="1:44" s="2" customFormat="1" ht="14.25" thickBot="1">
      <c r="A96" s="35"/>
      <c r="B96" s="34"/>
      <c r="C96" s="33"/>
      <c r="D96" s="31"/>
      <c r="E96" s="30"/>
      <c r="F96" s="29"/>
      <c r="G96" s="414"/>
      <c r="H96" s="28"/>
      <c r="I96" s="30"/>
      <c r="J96" s="29"/>
      <c r="K96" s="28"/>
      <c r="L96" s="142"/>
      <c r="M96" s="26"/>
      <c r="N96" s="31"/>
      <c r="O96" s="30"/>
      <c r="P96" s="29"/>
      <c r="Q96" s="414"/>
      <c r="R96" s="28"/>
      <c r="S96" s="30"/>
      <c r="T96" s="29"/>
      <c r="U96" s="28"/>
      <c r="V96" s="142"/>
      <c r="W96" s="26"/>
      <c r="X96" s="31"/>
      <c r="Y96" s="463"/>
      <c r="Z96" s="463"/>
      <c r="AA96" s="463"/>
      <c r="AB96" s="463"/>
      <c r="AC96" s="463"/>
      <c r="AD96" s="30"/>
      <c r="AE96" s="29"/>
      <c r="AF96" s="414"/>
      <c r="AG96" s="28"/>
      <c r="AH96" s="424"/>
      <c r="AI96" s="29"/>
      <c r="AJ96" s="28"/>
      <c r="AK96" s="27"/>
      <c r="AL96" s="26"/>
      <c r="AM96" s="1">
        <f t="shared" si="57"/>
        <v>0</v>
      </c>
      <c r="AO96" s="1">
        <f t="shared" si="58"/>
        <v>0</v>
      </c>
      <c r="AR96" s="1">
        <f t="shared" si="59"/>
        <v>0</v>
      </c>
    </row>
    <row r="97" spans="2:38" ht="14.25" thickTop="1">
      <c r="B97" s="25"/>
      <c r="C97" s="24"/>
      <c r="D97" s="23" t="s">
        <v>5</v>
      </c>
      <c r="E97" s="141">
        <f t="shared" ref="E97:M97" si="95">+SUM(E58:E96)</f>
        <v>30258405695</v>
      </c>
      <c r="F97" s="21">
        <f t="shared" si="95"/>
        <v>4589583681</v>
      </c>
      <c r="G97" s="392">
        <f t="shared" si="95"/>
        <v>3421941</v>
      </c>
      <c r="H97" s="20">
        <f t="shared" si="95"/>
        <v>40065138</v>
      </c>
      <c r="I97" s="402">
        <f t="shared" si="95"/>
        <v>4633070760</v>
      </c>
      <c r="J97" s="21">
        <f t="shared" si="95"/>
        <v>6358051</v>
      </c>
      <c r="K97" s="20">
        <f t="shared" si="95"/>
        <v>25618976884</v>
      </c>
      <c r="L97" s="19">
        <f t="shared" si="95"/>
        <v>25625334935</v>
      </c>
      <c r="M97" s="17">
        <f t="shared" si="95"/>
        <v>0</v>
      </c>
      <c r="N97" s="23" t="s">
        <v>5</v>
      </c>
      <c r="O97" s="141">
        <f t="shared" ref="O97:W97" si="96">+SUM(O58:O96)</f>
        <v>28373855981</v>
      </c>
      <c r="P97" s="21">
        <f t="shared" si="96"/>
        <v>4585952762</v>
      </c>
      <c r="Q97" s="392">
        <f t="shared" si="96"/>
        <v>3375822</v>
      </c>
      <c r="R97" s="20">
        <f t="shared" si="96"/>
        <v>36594136</v>
      </c>
      <c r="S97" s="402">
        <f t="shared" si="96"/>
        <v>4625922720</v>
      </c>
      <c r="T97" s="21">
        <f t="shared" si="96"/>
        <v>6358051</v>
      </c>
      <c r="U97" s="20">
        <f t="shared" si="96"/>
        <v>23741575210</v>
      </c>
      <c r="V97" s="19">
        <f t="shared" si="96"/>
        <v>23747933261</v>
      </c>
      <c r="W97" s="17">
        <f t="shared" si="96"/>
        <v>0</v>
      </c>
      <c r="X97" s="23" t="s">
        <v>5</v>
      </c>
      <c r="Y97" s="459"/>
      <c r="Z97" s="459"/>
      <c r="AA97" s="459"/>
      <c r="AB97" s="459"/>
      <c r="AC97" s="459"/>
      <c r="AD97" s="22">
        <f t="shared" ref="AD97:AL97" si="97">+SUM(AD58:AD96)</f>
        <v>28375736546</v>
      </c>
      <c r="AE97" s="21">
        <f t="shared" si="97"/>
        <v>4585952762</v>
      </c>
      <c r="AF97" s="392">
        <f t="shared" si="97"/>
        <v>3375822</v>
      </c>
      <c r="AG97" s="20">
        <f t="shared" si="97"/>
        <v>36594136</v>
      </c>
      <c r="AH97" s="402">
        <f t="shared" si="97"/>
        <v>4625922720</v>
      </c>
      <c r="AI97" s="21">
        <f t="shared" si="97"/>
        <v>6358051</v>
      </c>
      <c r="AJ97" s="20">
        <f t="shared" si="97"/>
        <v>23743455775</v>
      </c>
      <c r="AK97" s="19">
        <f t="shared" si="97"/>
        <v>23749813826</v>
      </c>
      <c r="AL97" s="17">
        <f t="shared" si="97"/>
        <v>0</v>
      </c>
    </row>
    <row r="98" spans="2:38">
      <c r="B98" s="14" t="s">
        <v>4</v>
      </c>
      <c r="C98" s="16"/>
      <c r="D98" s="15" t="s">
        <v>3</v>
      </c>
      <c r="E98" s="140">
        <f>+SUMIFS(E$58:E$96,$B$58:$B$96,$B98)</f>
        <v>20756239880</v>
      </c>
      <c r="F98" s="10">
        <f t="shared" ref="F98:M99" si="98">+SUMIFS(F$58:F$96,$B$58:$B$96,$B98)</f>
        <v>48838999</v>
      </c>
      <c r="G98" s="398">
        <f t="shared" si="98"/>
        <v>507311</v>
      </c>
      <c r="H98" s="9">
        <f t="shared" si="98"/>
        <v>40065138</v>
      </c>
      <c r="I98" s="422">
        <f t="shared" si="98"/>
        <v>89411448</v>
      </c>
      <c r="J98" s="10">
        <f t="shared" si="98"/>
        <v>298760</v>
      </c>
      <c r="K98" s="9">
        <f t="shared" si="98"/>
        <v>20666529672</v>
      </c>
      <c r="L98" s="8">
        <f t="shared" si="98"/>
        <v>20666828432</v>
      </c>
      <c r="M98" s="6">
        <f t="shared" si="98"/>
        <v>0</v>
      </c>
      <c r="N98" s="15" t="s">
        <v>3</v>
      </c>
      <c r="O98" s="140">
        <f>+SUMIFS(O$58:O$96,$B$58:$B$96,$B98)</f>
        <v>18871690166</v>
      </c>
      <c r="P98" s="10">
        <f>+SUMIFS(P$58:P$96,$B$58:$B$96,$B98)</f>
        <v>45208080</v>
      </c>
      <c r="Q98" s="398">
        <f t="shared" ref="P98:W99" si="99">+SUMIFS(Q$58:Q$96,$B$58:$B$96,$B98)</f>
        <v>461192</v>
      </c>
      <c r="R98" s="9">
        <f t="shared" si="99"/>
        <v>36594136</v>
      </c>
      <c r="S98" s="422">
        <f t="shared" si="99"/>
        <v>82263408</v>
      </c>
      <c r="T98" s="10">
        <f>+SUMIFS(T$58:T$96,$B$58:$B$96,$B98)</f>
        <v>298760</v>
      </c>
      <c r="U98" s="9">
        <f t="shared" si="99"/>
        <v>18789127998</v>
      </c>
      <c r="V98" s="8">
        <f t="shared" si="99"/>
        <v>18789426758</v>
      </c>
      <c r="W98" s="6">
        <f t="shared" si="99"/>
        <v>0</v>
      </c>
      <c r="X98" s="15" t="s">
        <v>3</v>
      </c>
      <c r="Y98" s="445"/>
      <c r="Z98" s="445"/>
      <c r="AA98" s="445"/>
      <c r="AB98" s="445"/>
      <c r="AC98" s="445"/>
      <c r="AD98" s="140">
        <f>+SUMIFS(AD$58:AD$96,$B$58:$B$96,$B98)</f>
        <v>18873570731</v>
      </c>
      <c r="AE98" s="10">
        <f t="shared" ref="AE98:AL99" si="100">+SUMIFS(AE$58:AE$96,$B$58:$B$96,$B98)</f>
        <v>45208080</v>
      </c>
      <c r="AF98" s="398">
        <f t="shared" si="100"/>
        <v>461192</v>
      </c>
      <c r="AG98" s="9">
        <f t="shared" si="100"/>
        <v>36594136</v>
      </c>
      <c r="AH98" s="422">
        <f t="shared" si="100"/>
        <v>82263408</v>
      </c>
      <c r="AI98" s="10">
        <f t="shared" si="100"/>
        <v>298760</v>
      </c>
      <c r="AJ98" s="9">
        <f t="shared" si="100"/>
        <v>18791008563</v>
      </c>
      <c r="AK98" s="8">
        <f t="shared" si="100"/>
        <v>18791307323</v>
      </c>
      <c r="AL98" s="6">
        <f t="shared" si="100"/>
        <v>0</v>
      </c>
    </row>
    <row r="99" spans="2:38">
      <c r="B99" s="14" t="s">
        <v>2</v>
      </c>
      <c r="C99" s="16"/>
      <c r="D99" s="15" t="s">
        <v>1</v>
      </c>
      <c r="E99" s="140">
        <f t="shared" ref="E99:O99" si="101">+SUMIFS(E$58:E$96,$B$58:$B$96,$B99)</f>
        <v>9502165815</v>
      </c>
      <c r="F99" s="10">
        <f t="shared" si="98"/>
        <v>4540744682</v>
      </c>
      <c r="G99" s="398">
        <f t="shared" si="98"/>
        <v>2914630</v>
      </c>
      <c r="H99" s="9">
        <f t="shared" si="98"/>
        <v>0</v>
      </c>
      <c r="I99" s="422">
        <f t="shared" si="98"/>
        <v>4543659312</v>
      </c>
      <c r="J99" s="10">
        <f t="shared" si="98"/>
        <v>6059291</v>
      </c>
      <c r="K99" s="9">
        <f t="shared" si="98"/>
        <v>4952447212</v>
      </c>
      <c r="L99" s="8">
        <f t="shared" si="98"/>
        <v>4958506503</v>
      </c>
      <c r="M99" s="6">
        <f t="shared" si="98"/>
        <v>0</v>
      </c>
      <c r="N99" s="15" t="s">
        <v>1</v>
      </c>
      <c r="O99" s="140">
        <f t="shared" si="101"/>
        <v>9502165815</v>
      </c>
      <c r="P99" s="10">
        <f t="shared" si="99"/>
        <v>4540744682</v>
      </c>
      <c r="Q99" s="398">
        <f t="shared" si="99"/>
        <v>2914630</v>
      </c>
      <c r="R99" s="9">
        <f t="shared" si="99"/>
        <v>0</v>
      </c>
      <c r="S99" s="422">
        <f t="shared" si="99"/>
        <v>4543659312</v>
      </c>
      <c r="T99" s="10">
        <f t="shared" si="99"/>
        <v>6059291</v>
      </c>
      <c r="U99" s="9">
        <f t="shared" si="99"/>
        <v>4952447212</v>
      </c>
      <c r="V99" s="8">
        <f t="shared" si="99"/>
        <v>4958506503</v>
      </c>
      <c r="W99" s="6">
        <f t="shared" si="99"/>
        <v>0</v>
      </c>
      <c r="X99" s="15" t="s">
        <v>1</v>
      </c>
      <c r="Y99" s="445"/>
      <c r="Z99" s="445"/>
      <c r="AA99" s="445"/>
      <c r="AB99" s="445"/>
      <c r="AC99" s="445"/>
      <c r="AD99" s="140">
        <f t="shared" ref="AD99" si="102">+SUMIFS(AD$58:AD$96,$B$58:$B$96,$B99)</f>
        <v>9502165815</v>
      </c>
      <c r="AE99" s="10">
        <f t="shared" si="100"/>
        <v>4540744682</v>
      </c>
      <c r="AF99" s="398">
        <f t="shared" si="100"/>
        <v>2914630</v>
      </c>
      <c r="AG99" s="9">
        <f t="shared" si="100"/>
        <v>0</v>
      </c>
      <c r="AH99" s="422">
        <f t="shared" si="100"/>
        <v>4543659312</v>
      </c>
      <c r="AI99" s="10">
        <f t="shared" si="100"/>
        <v>6059291</v>
      </c>
      <c r="AJ99" s="9">
        <f t="shared" si="100"/>
        <v>4952447212</v>
      </c>
      <c r="AK99" s="8">
        <f t="shared" si="100"/>
        <v>4958506503</v>
      </c>
      <c r="AL99" s="6">
        <f t="shared" si="100"/>
        <v>0</v>
      </c>
    </row>
    <row r="100" spans="2:38">
      <c r="B100" s="14"/>
      <c r="C100" s="13"/>
      <c r="D100" s="12" t="s">
        <v>0</v>
      </c>
      <c r="E100" s="11">
        <f t="shared" ref="E100:L100" si="103">+SUM(E58:E96)</f>
        <v>30258405695</v>
      </c>
      <c r="F100" s="10">
        <f t="shared" si="103"/>
        <v>4589583681</v>
      </c>
      <c r="G100" s="398">
        <f t="shared" si="103"/>
        <v>3421941</v>
      </c>
      <c r="H100" s="9">
        <f t="shared" si="103"/>
        <v>40065138</v>
      </c>
      <c r="I100" s="422">
        <f t="shared" si="103"/>
        <v>4633070760</v>
      </c>
      <c r="J100" s="10">
        <f t="shared" si="103"/>
        <v>6358051</v>
      </c>
      <c r="K100" s="9">
        <f t="shared" si="103"/>
        <v>25618976884</v>
      </c>
      <c r="L100" s="8">
        <f t="shared" si="103"/>
        <v>25625334935</v>
      </c>
      <c r="M100" s="6">
        <f>+SUM(M58:M74,M68:M78,M79:M84,M85:M87,M88:M91,M92:M96)</f>
        <v>0</v>
      </c>
      <c r="N100" s="12" t="s">
        <v>0</v>
      </c>
      <c r="O100" s="11">
        <f>+SUM(O58:O96)</f>
        <v>28373855981</v>
      </c>
      <c r="P100" s="10">
        <f t="shared" ref="P100:V100" si="104">+SUM(P58:P96)</f>
        <v>4585952762</v>
      </c>
      <c r="Q100" s="398">
        <f t="shared" si="104"/>
        <v>3375822</v>
      </c>
      <c r="R100" s="9">
        <f t="shared" si="104"/>
        <v>36594136</v>
      </c>
      <c r="S100" s="422">
        <f t="shared" si="104"/>
        <v>4625922720</v>
      </c>
      <c r="T100" s="10">
        <f t="shared" si="104"/>
        <v>6358051</v>
      </c>
      <c r="U100" s="9">
        <f t="shared" si="104"/>
        <v>23741575210</v>
      </c>
      <c r="V100" s="8">
        <f t="shared" si="104"/>
        <v>23747933261</v>
      </c>
      <c r="W100" s="6">
        <f>+SUM(W58:W74,W68:W78,W79:W84,W85:W87,W88:W91,W92:W96)</f>
        <v>0</v>
      </c>
      <c r="X100" s="12" t="s">
        <v>0</v>
      </c>
      <c r="Y100" s="460"/>
      <c r="Z100" s="460"/>
      <c r="AA100" s="460"/>
      <c r="AB100" s="460"/>
      <c r="AC100" s="460"/>
      <c r="AD100" s="11">
        <f>+SUM(AD58:AD96)</f>
        <v>28375736546</v>
      </c>
      <c r="AE100" s="10">
        <f t="shared" ref="AE100:AK100" si="105">+SUM(AE58:AE96)</f>
        <v>4585952762</v>
      </c>
      <c r="AF100" s="398">
        <f t="shared" si="105"/>
        <v>3375822</v>
      </c>
      <c r="AG100" s="9">
        <f t="shared" si="105"/>
        <v>36594136</v>
      </c>
      <c r="AH100" s="422">
        <f t="shared" si="105"/>
        <v>4625922720</v>
      </c>
      <c r="AI100" s="10">
        <f t="shared" si="105"/>
        <v>6358051</v>
      </c>
      <c r="AJ100" s="9">
        <f t="shared" si="105"/>
        <v>23743455775</v>
      </c>
      <c r="AK100" s="8">
        <f t="shared" si="105"/>
        <v>23749813826</v>
      </c>
      <c r="AL100" s="6">
        <f>+SUM(AL58:AL72,AL73:AL78,AL79:AL84,AL85:AL87,AL88:AL91,AL92:AL96)</f>
        <v>0</v>
      </c>
    </row>
    <row r="101" spans="2:38">
      <c r="D101" s="4"/>
      <c r="E101" s="5">
        <f>+E100-('[2]3条収入'!$E$70-'[2]3条収入'!$E$9-'[2]3条収入'!$E$42)</f>
        <v>0</v>
      </c>
      <c r="F101" s="5"/>
      <c r="G101" s="5"/>
      <c r="H101" s="5"/>
      <c r="I101" s="4"/>
      <c r="J101" s="5"/>
      <c r="K101" s="5"/>
      <c r="L101" s="4"/>
      <c r="M101" s="5"/>
      <c r="N101" s="4"/>
      <c r="O101" s="5">
        <f>+O100-('[2]3条収入'!$AI$70-'[2]3条収入'!$AI$9-'[2]3条収入'!$AI$42)</f>
        <v>0</v>
      </c>
      <c r="P101" s="5"/>
      <c r="Q101" s="5"/>
      <c r="R101" s="5"/>
      <c r="S101" s="4"/>
      <c r="T101" s="5"/>
      <c r="U101" s="5"/>
      <c r="V101" s="4"/>
      <c r="W101" s="5"/>
      <c r="X101" s="4"/>
      <c r="Y101" s="4"/>
      <c r="Z101" s="4"/>
      <c r="AA101" s="4"/>
      <c r="AB101" s="4"/>
      <c r="AC101" s="4"/>
      <c r="AD101" s="5">
        <f>+AD100-('[2]3条収入'!$AI$69-'[2]3条収入'!$AI$9-'[2]3条収入'!$AI$42)</f>
        <v>0</v>
      </c>
      <c r="AE101" s="5"/>
      <c r="AF101" s="5"/>
      <c r="AG101" s="5"/>
      <c r="AH101" s="4"/>
      <c r="AI101" s="5"/>
      <c r="AJ101" s="5"/>
      <c r="AK101" s="4"/>
      <c r="AL101" s="4"/>
    </row>
    <row r="103" spans="2:38">
      <c r="D103" s="1" t="str">
        <f>+$D$1</f>
        <v>令和５年度決算　消費税算出資料</v>
      </c>
      <c r="E103" s="5"/>
      <c r="F103" s="5"/>
      <c r="G103" s="5"/>
      <c r="H103" s="5"/>
      <c r="I103" s="5"/>
      <c r="J103" s="5"/>
      <c r="K103" s="5"/>
      <c r="L103" s="5"/>
      <c r="M103" s="5"/>
      <c r="N103" s="1" t="str">
        <f>+$D$1</f>
        <v>令和５年度決算　消費税算出資料</v>
      </c>
      <c r="O103" s="2"/>
      <c r="U103" s="2"/>
      <c r="V103" s="1"/>
      <c r="W103" s="1"/>
      <c r="X103" s="1" t="str">
        <f>+$D$1</f>
        <v>令和５年度決算　消費税算出資料</v>
      </c>
      <c r="AA103" s="1"/>
      <c r="AB103" s="1"/>
      <c r="AC103" s="1"/>
      <c r="AE103" s="2"/>
      <c r="AI103" s="2"/>
    </row>
    <row r="104" spans="2:38">
      <c r="D104" s="114" t="s">
        <v>372</v>
      </c>
      <c r="E104" s="5"/>
      <c r="F104" s="5"/>
      <c r="G104" s="5"/>
      <c r="H104" s="5"/>
      <c r="I104" s="5"/>
      <c r="J104" s="5"/>
      <c r="K104" s="5"/>
      <c r="L104" s="5"/>
      <c r="M104" s="53" t="str">
        <f>+IF(COUNTIF(M109:M130,0)=COUNT(M109:M130),"","↓エラーあり")</f>
        <v/>
      </c>
      <c r="N104" s="1" t="s">
        <v>373</v>
      </c>
      <c r="O104" s="2"/>
      <c r="U104" s="2"/>
      <c r="V104" s="1"/>
      <c r="W104" s="53" t="str">
        <f>+IF(COUNTIF(W109:W130,0)=COUNT(W109:W130),"","↓エラーあり")</f>
        <v/>
      </c>
      <c r="X104" s="1" t="s">
        <v>124</v>
      </c>
      <c r="AA104" s="1"/>
      <c r="AB104" s="1"/>
      <c r="AC104" s="1"/>
      <c r="AE104" s="2"/>
      <c r="AI104" s="2"/>
      <c r="AL104" s="53" t="str">
        <f>+IF(COUNTIF(AL109:AL137,0)=COUNT(AL109:AL137),"","↓エラーあり")</f>
        <v/>
      </c>
    </row>
    <row r="105" spans="2:38">
      <c r="D105" s="576" t="s">
        <v>93</v>
      </c>
      <c r="E105" s="589" t="s">
        <v>92</v>
      </c>
      <c r="F105" s="590"/>
      <c r="G105" s="590"/>
      <c r="H105" s="590"/>
      <c r="I105" s="590"/>
      <c r="J105" s="590"/>
      <c r="K105" s="590"/>
      <c r="L105" s="590"/>
      <c r="M105" s="591"/>
      <c r="N105" s="576" t="s">
        <v>93</v>
      </c>
      <c r="O105" s="589" t="s">
        <v>123</v>
      </c>
      <c r="P105" s="590"/>
      <c r="Q105" s="590"/>
      <c r="R105" s="590"/>
      <c r="S105" s="590"/>
      <c r="T105" s="590"/>
      <c r="U105" s="590"/>
      <c r="V105" s="590"/>
      <c r="W105" s="591"/>
      <c r="X105" s="576" t="s">
        <v>93</v>
      </c>
      <c r="Y105" s="589" t="s">
        <v>114</v>
      </c>
      <c r="Z105" s="590"/>
      <c r="AA105" s="590"/>
      <c r="AB105" s="590"/>
      <c r="AC105" s="590"/>
      <c r="AD105" s="590"/>
      <c r="AE105" s="590"/>
      <c r="AF105" s="590"/>
      <c r="AG105" s="590"/>
      <c r="AH105" s="590"/>
      <c r="AI105" s="590"/>
      <c r="AJ105" s="590"/>
      <c r="AK105" s="590"/>
      <c r="AL105" s="591"/>
    </row>
    <row r="106" spans="2:38">
      <c r="D106" s="577"/>
      <c r="E106" s="592" t="s">
        <v>87</v>
      </c>
      <c r="F106" s="589" t="s">
        <v>86</v>
      </c>
      <c r="G106" s="590"/>
      <c r="H106" s="590"/>
      <c r="I106" s="591"/>
      <c r="J106" s="589" t="s">
        <v>85</v>
      </c>
      <c r="K106" s="590"/>
      <c r="L106" s="591"/>
      <c r="M106" s="594" t="s">
        <v>83</v>
      </c>
      <c r="N106" s="577"/>
      <c r="O106" s="598" t="s">
        <v>121</v>
      </c>
      <c r="P106" s="589" t="s">
        <v>86</v>
      </c>
      <c r="Q106" s="590"/>
      <c r="R106" s="590"/>
      <c r="S106" s="591"/>
      <c r="T106" s="589" t="s">
        <v>85</v>
      </c>
      <c r="U106" s="590"/>
      <c r="V106" s="591"/>
      <c r="W106" s="579" t="s">
        <v>120</v>
      </c>
      <c r="X106" s="577"/>
      <c r="Y106" s="599" t="s">
        <v>122</v>
      </c>
      <c r="Z106" s="599" t="s">
        <v>113</v>
      </c>
      <c r="AA106" s="601" t="s">
        <v>112</v>
      </c>
      <c r="AB106" s="604" t="s">
        <v>111</v>
      </c>
      <c r="AC106" s="110" t="s">
        <v>110</v>
      </c>
      <c r="AD106" s="592" t="s">
        <v>109</v>
      </c>
      <c r="AE106" s="589" t="s">
        <v>86</v>
      </c>
      <c r="AF106" s="590"/>
      <c r="AG106" s="590"/>
      <c r="AH106" s="591"/>
      <c r="AI106" s="589" t="s">
        <v>85</v>
      </c>
      <c r="AJ106" s="590"/>
      <c r="AK106" s="591"/>
      <c r="AL106" s="579" t="s">
        <v>108</v>
      </c>
    </row>
    <row r="107" spans="2:38">
      <c r="D107" s="577"/>
      <c r="E107" s="593"/>
      <c r="F107" s="113" t="s">
        <v>82</v>
      </c>
      <c r="G107" s="385" t="s">
        <v>82</v>
      </c>
      <c r="H107" s="112" t="s">
        <v>80</v>
      </c>
      <c r="I107" s="383" t="s">
        <v>81</v>
      </c>
      <c r="J107" s="113" t="s">
        <v>82</v>
      </c>
      <c r="K107" s="112" t="s">
        <v>80</v>
      </c>
      <c r="L107" s="111" t="s">
        <v>81</v>
      </c>
      <c r="M107" s="580"/>
      <c r="N107" s="577"/>
      <c r="O107" s="582"/>
      <c r="P107" s="113" t="s">
        <v>82</v>
      </c>
      <c r="Q107" s="385" t="s">
        <v>82</v>
      </c>
      <c r="R107" s="112" t="s">
        <v>80</v>
      </c>
      <c r="S107" s="383" t="s">
        <v>81</v>
      </c>
      <c r="T107" s="113" t="s">
        <v>82</v>
      </c>
      <c r="U107" s="112" t="s">
        <v>80</v>
      </c>
      <c r="V107" s="111" t="s">
        <v>81</v>
      </c>
      <c r="W107" s="580"/>
      <c r="X107" s="577"/>
      <c r="Y107" s="577"/>
      <c r="Z107" s="600"/>
      <c r="AA107" s="602"/>
      <c r="AB107" s="605"/>
      <c r="AC107" s="170" t="s">
        <v>107</v>
      </c>
      <c r="AD107" s="593"/>
      <c r="AE107" s="113" t="s">
        <v>82</v>
      </c>
      <c r="AF107" s="385" t="s">
        <v>82</v>
      </c>
      <c r="AG107" s="112" t="s">
        <v>80</v>
      </c>
      <c r="AH107" s="383" t="s">
        <v>81</v>
      </c>
      <c r="AI107" s="113" t="s">
        <v>82</v>
      </c>
      <c r="AJ107" s="112" t="s">
        <v>80</v>
      </c>
      <c r="AK107" s="111" t="s">
        <v>81</v>
      </c>
      <c r="AL107" s="580"/>
    </row>
    <row r="108" spans="2:38">
      <c r="D108" s="577"/>
      <c r="E108" s="593"/>
      <c r="F108" s="109" t="s">
        <v>78</v>
      </c>
      <c r="G108" s="386" t="s">
        <v>79</v>
      </c>
      <c r="H108" s="411" t="s">
        <v>84</v>
      </c>
      <c r="I108" s="401"/>
      <c r="J108" s="109" t="s">
        <v>78</v>
      </c>
      <c r="K108" s="108" t="s">
        <v>78</v>
      </c>
      <c r="L108" s="107"/>
      <c r="M108" s="580"/>
      <c r="N108" s="577"/>
      <c r="O108" s="582"/>
      <c r="P108" s="109" t="s">
        <v>78</v>
      </c>
      <c r="Q108" s="386" t="s">
        <v>79</v>
      </c>
      <c r="R108" s="411" t="s">
        <v>84</v>
      </c>
      <c r="S108" s="401"/>
      <c r="T108" s="109" t="s">
        <v>78</v>
      </c>
      <c r="U108" s="108" t="s">
        <v>78</v>
      </c>
      <c r="V108" s="107"/>
      <c r="W108" s="580"/>
      <c r="X108" s="577"/>
      <c r="Y108" s="577"/>
      <c r="Z108" s="600"/>
      <c r="AA108" s="603"/>
      <c r="AB108" s="606"/>
      <c r="AC108" s="170"/>
      <c r="AD108" s="593"/>
      <c r="AE108" s="109" t="s">
        <v>78</v>
      </c>
      <c r="AF108" s="386" t="s">
        <v>79</v>
      </c>
      <c r="AG108" s="411" t="s">
        <v>84</v>
      </c>
      <c r="AH108" s="401"/>
      <c r="AI108" s="109" t="s">
        <v>78</v>
      </c>
      <c r="AJ108" s="108" t="s">
        <v>78</v>
      </c>
      <c r="AK108" s="107"/>
      <c r="AL108" s="580"/>
    </row>
    <row r="109" spans="2:38">
      <c r="D109" s="93" t="s">
        <v>75</v>
      </c>
      <c r="E109" s="91">
        <f>+SUM(E110,E116:E118)</f>
        <v>14187102335</v>
      </c>
      <c r="F109" s="90">
        <f>+SUM(F110,F116:F118)</f>
        <v>12799515012</v>
      </c>
      <c r="G109" s="393">
        <f>+SUM(G110,G116:G118)</f>
        <v>389424727</v>
      </c>
      <c r="H109" s="89">
        <f>+SUM(H110,H116:H118)</f>
        <v>443703083</v>
      </c>
      <c r="I109" s="403">
        <f>+SUM(F109:H109)</f>
        <v>13632642822</v>
      </c>
      <c r="J109" s="90">
        <f>+SUM(J110,J116:J118)</f>
        <v>554459513</v>
      </c>
      <c r="K109" s="89">
        <f>+SUM(K110,K116:K118)</f>
        <v>0</v>
      </c>
      <c r="L109" s="88">
        <f t="shared" ref="L109:L126" si="106">+SUM(J109:K109)</f>
        <v>554459513</v>
      </c>
      <c r="M109" s="86">
        <f>E109-SUM(I109,L109)</f>
        <v>0</v>
      </c>
      <c r="N109" s="93" t="s">
        <v>75</v>
      </c>
      <c r="O109" s="186">
        <f>+SUM(O110,O116:O118)</f>
        <v>13974628227</v>
      </c>
      <c r="P109" s="185">
        <f>+SUM(P110,P116:P118)</f>
        <v>12635120631</v>
      </c>
      <c r="Q109" s="387">
        <f>+SUM(Q110,Q116:Q118)</f>
        <v>373974736</v>
      </c>
      <c r="R109" s="184">
        <f>+SUM(R110,R116:R118)</f>
        <v>420649782</v>
      </c>
      <c r="S109" s="101">
        <f t="shared" ref="S109:S115" si="107">+SUM(P109:R109)</f>
        <v>13429745149</v>
      </c>
      <c r="T109" s="185">
        <f>+SUM(T110,T116:T118)</f>
        <v>544883078</v>
      </c>
      <c r="U109" s="184">
        <f>+SUM(U110,U116:U118)</f>
        <v>0</v>
      </c>
      <c r="V109" s="95">
        <f t="shared" ref="V109:V124" si="108">+SUM(T109:U109)</f>
        <v>544883078</v>
      </c>
      <c r="W109" s="94">
        <f>O109-SUM(S109,V109)</f>
        <v>0</v>
      </c>
      <c r="X109" s="93" t="s">
        <v>75</v>
      </c>
      <c r="Y109" s="136">
        <f>+SUM(Y110,Y116:Y118)</f>
        <v>14184927522</v>
      </c>
      <c r="Z109" s="92">
        <f>+SUM(Z110,Z116:Z118)</f>
        <v>209752468</v>
      </c>
      <c r="AA109" s="92">
        <f>+SUM(AA110,AA116:AA118)</f>
        <v>2228406</v>
      </c>
      <c r="AB109" s="92">
        <f>+O109+Z109+AA109</f>
        <v>14186609101</v>
      </c>
      <c r="AC109" s="92">
        <f>+SUM(AC110,AC116:AC118)</f>
        <v>493234</v>
      </c>
      <c r="AD109" s="91">
        <f>+SUM(AD110,AD116:AD118)</f>
        <v>212474108</v>
      </c>
      <c r="AE109" s="90">
        <f>+SUM(AE110,AE116:AE118)</f>
        <v>164394381</v>
      </c>
      <c r="AF109" s="393">
        <f>+SUM(AF110,AF116:AF118)</f>
        <v>15449991</v>
      </c>
      <c r="AG109" s="89">
        <f>+SUM(AG110,AG116:AG118)</f>
        <v>23053301</v>
      </c>
      <c r="AH109" s="403">
        <f>+SUM(AE109:AG109)</f>
        <v>202897673</v>
      </c>
      <c r="AI109" s="90">
        <f>+SUM(AI110,AI116:AI118)</f>
        <v>9576435</v>
      </c>
      <c r="AJ109" s="89">
        <f>+SUM(AJ110,AJ116:AJ118)</f>
        <v>0</v>
      </c>
      <c r="AK109" s="88">
        <f t="shared" ref="AK109:AK128" si="109">+SUM(AI109:AJ109)</f>
        <v>9576435</v>
      </c>
      <c r="AL109" s="86">
        <f>AD109-SUM(AH109,AK109)</f>
        <v>0</v>
      </c>
    </row>
    <row r="110" spans="2:38">
      <c r="D110" s="85" t="s">
        <v>72</v>
      </c>
      <c r="E110" s="83">
        <f>+SUM(E111:E113)</f>
        <v>14079749832</v>
      </c>
      <c r="F110" s="82">
        <f>+SUM(F111:F113)</f>
        <v>12799515012</v>
      </c>
      <c r="G110" s="394">
        <f>+SUM(G111:G113)</f>
        <v>389424727</v>
      </c>
      <c r="H110" s="81">
        <f>+SUM(H111:H113)</f>
        <v>433219224</v>
      </c>
      <c r="I110" s="404">
        <f t="shared" ref="I110:I126" si="110">+SUM(F110:H110)</f>
        <v>13622158963</v>
      </c>
      <c r="J110" s="82">
        <f>+SUM(J111:J113)</f>
        <v>457590869</v>
      </c>
      <c r="K110" s="81">
        <f>+SUM(K111:K113)</f>
        <v>0</v>
      </c>
      <c r="L110" s="80">
        <f t="shared" si="106"/>
        <v>457590869</v>
      </c>
      <c r="M110" s="79">
        <f t="shared" ref="M110:M126" si="111">E110-SUM(I110,L110)</f>
        <v>0</v>
      </c>
      <c r="N110" s="85" t="s">
        <v>72</v>
      </c>
      <c r="O110" s="183">
        <f>+SUM(O111:O113)</f>
        <v>13869351636</v>
      </c>
      <c r="P110" s="182">
        <f>+SUM(P111:P113)</f>
        <v>12635120631</v>
      </c>
      <c r="Q110" s="388">
        <f>+SUM(Q111:Q113)</f>
        <v>373974736</v>
      </c>
      <c r="R110" s="181">
        <f>+SUM(R111:R113)</f>
        <v>410253512</v>
      </c>
      <c r="S110" s="183">
        <f t="shared" si="107"/>
        <v>13419348879</v>
      </c>
      <c r="T110" s="182">
        <f>+SUM(T111:T113)</f>
        <v>450002757</v>
      </c>
      <c r="U110" s="181">
        <f>+SUM(U111:U113)</f>
        <v>0</v>
      </c>
      <c r="V110" s="180">
        <f t="shared" si="108"/>
        <v>450002757</v>
      </c>
      <c r="W110" s="84">
        <f t="shared" ref="W110:W126" si="112">O110-SUM(S110,V110)</f>
        <v>0</v>
      </c>
      <c r="X110" s="85" t="s">
        <v>72</v>
      </c>
      <c r="Y110" s="84">
        <f>+SUM(Y111:Y113)</f>
        <v>14077575019</v>
      </c>
      <c r="Z110" s="79">
        <f>+SUM(Z111:Z113)</f>
        <v>207718222</v>
      </c>
      <c r="AA110" s="79">
        <f>+SUM(AA111:AA113)</f>
        <v>2206794</v>
      </c>
      <c r="AB110" s="79">
        <f>+O110+Z110+AA110</f>
        <v>14079276652</v>
      </c>
      <c r="AC110" s="79">
        <f>+SUM(AC111:AC113)</f>
        <v>473180</v>
      </c>
      <c r="AD110" s="83">
        <f>+SUM(AD111:AD113)</f>
        <v>210398196</v>
      </c>
      <c r="AE110" s="82">
        <f>+SUM(AE111:AE113)</f>
        <v>164394381</v>
      </c>
      <c r="AF110" s="394">
        <f>+SUM(AF111:AF113)</f>
        <v>15449991</v>
      </c>
      <c r="AG110" s="81">
        <f>+SUM(AG111:AG113)</f>
        <v>22965712</v>
      </c>
      <c r="AH110" s="404">
        <f t="shared" ref="AH110:AH128" si="113">+SUM(AE110:AG110)</f>
        <v>202810084</v>
      </c>
      <c r="AI110" s="82">
        <f>+SUM(AI111:AI113)</f>
        <v>7588112</v>
      </c>
      <c r="AJ110" s="81">
        <f>+SUM(AJ111:AJ113)</f>
        <v>0</v>
      </c>
      <c r="AK110" s="80">
        <f t="shared" si="109"/>
        <v>7588112</v>
      </c>
      <c r="AL110" s="79">
        <f t="shared" ref="AL110:AL137" si="114">AD110-SUM(AH110,AK110)</f>
        <v>0</v>
      </c>
    </row>
    <row r="111" spans="2:38">
      <c r="D111" s="41" t="s">
        <v>47</v>
      </c>
      <c r="E111" s="73">
        <f>+SUM(I111,L111)</f>
        <v>3591522898</v>
      </c>
      <c r="F111" s="78">
        <f>+P111+AE111+AE137</f>
        <v>2796583853</v>
      </c>
      <c r="G111" s="400">
        <f>+Q111+AF111+AF137</f>
        <v>266973533</v>
      </c>
      <c r="H111" s="76">
        <f>+R111+AG111+AG137</f>
        <v>396844066</v>
      </c>
      <c r="I111" s="73">
        <f t="shared" si="110"/>
        <v>3460401452</v>
      </c>
      <c r="J111" s="77">
        <f>+T111+AI111+AI137</f>
        <v>131121446</v>
      </c>
      <c r="K111" s="76">
        <f>IF(U131&lt;0,IF(SUM(U131:U133,-U125)&gt;=0,U111+AJ111,U111+AJ111+AJ135+AJ137),0)</f>
        <v>0</v>
      </c>
      <c r="L111" s="68">
        <f t="shared" si="106"/>
        <v>131121446</v>
      </c>
      <c r="M111" s="67">
        <f t="shared" si="111"/>
        <v>0</v>
      </c>
      <c r="N111" s="41" t="s">
        <v>47</v>
      </c>
      <c r="O111" s="40">
        <f>+SUM(S111,V111)</f>
        <v>3383678341</v>
      </c>
      <c r="P111" s="48">
        <f>+P47-P98-SUM(P116:P118,P126)</f>
        <v>2634743111</v>
      </c>
      <c r="Q111" s="389">
        <f>+Q47-Q98-SUM(Q116:Q118,Q126)</f>
        <v>251523542</v>
      </c>
      <c r="R111" s="38">
        <f>+R47-R98-SUM(R116:R118,R126)</f>
        <v>373878354</v>
      </c>
      <c r="S111" s="40">
        <f t="shared" si="107"/>
        <v>3260145007</v>
      </c>
      <c r="T111" s="48">
        <f>+T47-T98-SUM(T116:T118,T126)</f>
        <v>123533334</v>
      </c>
      <c r="U111" s="47">
        <f>+IF(OR(U134&gt;=0,U131&gt;=0),0,-U131)</f>
        <v>0</v>
      </c>
      <c r="V111" s="37">
        <f t="shared" si="108"/>
        <v>123533334</v>
      </c>
      <c r="W111" s="36">
        <f t="shared" si="112"/>
        <v>0</v>
      </c>
      <c r="X111" s="41" t="s">
        <v>47</v>
      </c>
      <c r="Y111" s="46">
        <f>+E47-K47-(E98-K98)-SUM(Y116:Y118,Y126)+IF(Y141&gt;0,0,-Y141-U112-U113)</f>
        <v>3589122251</v>
      </c>
      <c r="Z111" s="75">
        <f>+Z130-SUM(Z112:Z113,Z116:Z120,Z128)</f>
        <v>205191428</v>
      </c>
      <c r="AA111" s="75">
        <f>+AA130-SUM(AA112:AA113,AA116:AA120,AA128)</f>
        <v>2179949</v>
      </c>
      <c r="AB111" s="67">
        <f>+O111+Z111+AA111</f>
        <v>3591049718</v>
      </c>
      <c r="AC111" s="75">
        <f>-SUM(AC112:AC113,AC116:AC120)</f>
        <v>473180</v>
      </c>
      <c r="AD111" s="166">
        <f>+AD130-SUM(AD112:AD113,AD116:AD120,AD128)</f>
        <v>207844557</v>
      </c>
      <c r="AE111" s="72">
        <f t="shared" ref="AE111:AG112" si="115">+IFERROR(ROUND($AD111*P111/$O111,0),0)</f>
        <v>161840742</v>
      </c>
      <c r="AF111" s="391">
        <f t="shared" si="115"/>
        <v>15449991</v>
      </c>
      <c r="AG111" s="54">
        <f t="shared" si="115"/>
        <v>22965712</v>
      </c>
      <c r="AH111" s="73">
        <f t="shared" si="113"/>
        <v>200256445</v>
      </c>
      <c r="AI111" s="69">
        <f>+IFERROR(ROUND($AD111*T111/$O111,0),0)</f>
        <v>7588112</v>
      </c>
      <c r="AJ111" s="54">
        <f>+IFERROR(ROUND($AD111*U111/$O111,0),0)</f>
        <v>0</v>
      </c>
      <c r="AK111" s="68">
        <f t="shared" si="109"/>
        <v>7588112</v>
      </c>
      <c r="AL111" s="67">
        <f t="shared" si="114"/>
        <v>0</v>
      </c>
    </row>
    <row r="112" spans="2:38">
      <c r="D112" s="41" t="s">
        <v>45</v>
      </c>
      <c r="E112" s="73">
        <f>+SUM(I112,L112)</f>
        <v>8476549651</v>
      </c>
      <c r="F112" s="72">
        <f>+P112+AE112</f>
        <v>8342951272</v>
      </c>
      <c r="G112" s="391">
        <f>+Q112+AF112</f>
        <v>122451194</v>
      </c>
      <c r="H112" s="54">
        <f>+R112+AG112</f>
        <v>0</v>
      </c>
      <c r="I112" s="73">
        <f>+SUM(F112:H112)</f>
        <v>8465402466</v>
      </c>
      <c r="J112" s="69">
        <f>+T112+AI112</f>
        <v>11147185</v>
      </c>
      <c r="K112" s="54">
        <f>IF(U131&lt;0,U112+AJ112,U112+AJ112+IF(SUM(U131:U133,-U125)&gt;=0,U111+AJ111,U111+AJ111+AJ135+AJ137))</f>
        <v>0</v>
      </c>
      <c r="L112" s="68">
        <f t="shared" si="106"/>
        <v>11147185</v>
      </c>
      <c r="M112" s="67">
        <f t="shared" si="111"/>
        <v>0</v>
      </c>
      <c r="N112" s="41" t="s">
        <v>45</v>
      </c>
      <c r="O112" s="40">
        <f>+SUM(S112,V112)</f>
        <v>8476549651</v>
      </c>
      <c r="P112" s="39">
        <f>+P48-P99-P113</f>
        <v>8342951272</v>
      </c>
      <c r="Q112" s="390">
        <f>+Q48-Q99-Q113</f>
        <v>122451194</v>
      </c>
      <c r="R112" s="38">
        <f>+R48-R99-R113</f>
        <v>0</v>
      </c>
      <c r="S112" s="40">
        <f t="shared" si="107"/>
        <v>8465402466</v>
      </c>
      <c r="T112" s="39">
        <f>+T48-T99-T113</f>
        <v>11147185</v>
      </c>
      <c r="U112" s="38">
        <f>+IF(U134&gt;=0,0,IF(U131&gt;0,-(ROUND(U131*U132/(U132+U133),0)+U132),-U132))</f>
        <v>0</v>
      </c>
      <c r="V112" s="37">
        <f t="shared" si="108"/>
        <v>11147185</v>
      </c>
      <c r="W112" s="36">
        <f t="shared" si="112"/>
        <v>0</v>
      </c>
      <c r="X112" s="41" t="s">
        <v>45</v>
      </c>
      <c r="Y112" s="36">
        <f>+E48-K48-(E99-K99)-((E37-K37)-(E88-K88)+(E38-K38)-(E89-K89))+IF(U134&lt;0,U112,0)</f>
        <v>8476549651</v>
      </c>
      <c r="Z112" s="67">
        <f>+'[2]3条収入'!AH12</f>
        <v>0</v>
      </c>
      <c r="AA112" s="67">
        <f>+ROUND($AA$130*$Z112/$Z$130,0)</f>
        <v>0</v>
      </c>
      <c r="AB112" s="67">
        <f>+O112+Z112+AA112</f>
        <v>8476549651</v>
      </c>
      <c r="AC112" s="67">
        <f>+IF((Y112-AB112)&lt;0,(Y112-AB112),0)</f>
        <v>0</v>
      </c>
      <c r="AD112" s="70">
        <f>+IF(AC112&lt;0,SUM(Z112:AA112,AC112),SUM(Z112:AA112))</f>
        <v>0</v>
      </c>
      <c r="AE112" s="72">
        <f>+IFERROR(ROUND($AD112*P112/$O112,0),0)</f>
        <v>0</v>
      </c>
      <c r="AF112" s="391">
        <f t="shared" si="115"/>
        <v>0</v>
      </c>
      <c r="AG112" s="54">
        <f t="shared" si="115"/>
        <v>0</v>
      </c>
      <c r="AH112" s="73">
        <f t="shared" si="113"/>
        <v>0</v>
      </c>
      <c r="AI112" s="69">
        <f>+IFERROR(ROUND($AD112*T112/$O112,0),0)</f>
        <v>0</v>
      </c>
      <c r="AJ112" s="54">
        <f>+IFERROR(ROUND($AD112*U112/$O112,0),0)</f>
        <v>0</v>
      </c>
      <c r="AK112" s="68">
        <f t="shared" si="109"/>
        <v>0</v>
      </c>
      <c r="AL112" s="67">
        <f t="shared" si="114"/>
        <v>0</v>
      </c>
    </row>
    <row r="113" spans="4:38">
      <c r="D113" s="41" t="s">
        <v>44</v>
      </c>
      <c r="E113" s="36">
        <f>+SUM(E114:E115)</f>
        <v>2011677283</v>
      </c>
      <c r="F113" s="51">
        <f>+SUM(F114:F115)</f>
        <v>1659979887</v>
      </c>
      <c r="G113" s="390">
        <f>+SUM(G114:G115)</f>
        <v>0</v>
      </c>
      <c r="H113" s="54">
        <f>+SUM(H114:H115)</f>
        <v>36375158</v>
      </c>
      <c r="I113" s="73">
        <f t="shared" si="110"/>
        <v>1696355045</v>
      </c>
      <c r="J113" s="69">
        <f>+SUM(J114:J115)</f>
        <v>315322238</v>
      </c>
      <c r="K113" s="54">
        <f>+SUM(K114:K115)</f>
        <v>0</v>
      </c>
      <c r="L113" s="68">
        <f t="shared" si="106"/>
        <v>315322238</v>
      </c>
      <c r="M113" s="67">
        <f t="shared" si="111"/>
        <v>0</v>
      </c>
      <c r="N113" s="41" t="s">
        <v>44</v>
      </c>
      <c r="O113" s="40">
        <f>+SUM(O114:O115)</f>
        <v>2009123644</v>
      </c>
      <c r="P113" s="39">
        <f>+SUM(P114:P115)</f>
        <v>1657426248</v>
      </c>
      <c r="Q113" s="390">
        <f>+SUM(Q114:Q115)</f>
        <v>0</v>
      </c>
      <c r="R113" s="54">
        <f>+SUM(R114:R115)</f>
        <v>36375158</v>
      </c>
      <c r="S113" s="40">
        <f t="shared" si="107"/>
        <v>1693801406</v>
      </c>
      <c r="T113" s="39">
        <f>+SUM(T114:T115)</f>
        <v>315322238</v>
      </c>
      <c r="U113" s="38">
        <f>+SUM(U114:U115)</f>
        <v>0</v>
      </c>
      <c r="V113" s="37">
        <f t="shared" si="108"/>
        <v>315322238</v>
      </c>
      <c r="W113" s="36">
        <f t="shared" si="112"/>
        <v>0</v>
      </c>
      <c r="X113" s="41" t="s">
        <v>44</v>
      </c>
      <c r="Y113" s="36">
        <f>+SUM(Y114:Y115)</f>
        <v>2011903117</v>
      </c>
      <c r="Z113" s="36">
        <f t="shared" ref="Z113:AF113" si="116">+SUM(Z114:Z115)</f>
        <v>2526794</v>
      </c>
      <c r="AA113" s="67">
        <f t="shared" si="116"/>
        <v>26845</v>
      </c>
      <c r="AB113" s="36">
        <f t="shared" si="116"/>
        <v>2011677283</v>
      </c>
      <c r="AC113" s="36">
        <f t="shared" si="116"/>
        <v>0</v>
      </c>
      <c r="AD113" s="36">
        <f t="shared" si="116"/>
        <v>2553639</v>
      </c>
      <c r="AE113" s="51">
        <f t="shared" si="116"/>
        <v>2553639</v>
      </c>
      <c r="AF113" s="390">
        <f t="shared" si="116"/>
        <v>0</v>
      </c>
      <c r="AG113" s="54">
        <f>+SUM(AG114:AG115)</f>
        <v>0</v>
      </c>
      <c r="AH113" s="73">
        <f t="shared" si="113"/>
        <v>2553639</v>
      </c>
      <c r="AI113" s="69">
        <f>+SUM(AI114:AI115)</f>
        <v>0</v>
      </c>
      <c r="AJ113" s="54">
        <f>+SUM(AJ114:AJ115)</f>
        <v>0</v>
      </c>
      <c r="AK113" s="68">
        <f t="shared" si="109"/>
        <v>0</v>
      </c>
      <c r="AL113" s="67">
        <f t="shared" si="114"/>
        <v>0</v>
      </c>
    </row>
    <row r="114" spans="4:38">
      <c r="D114" s="41" t="s">
        <v>63</v>
      </c>
      <c r="E114" s="73">
        <f>+SUM(I114,L114)</f>
        <v>1981328911</v>
      </c>
      <c r="F114" s="72">
        <f t="shared" ref="F114:H118" si="117">+P114+AE114</f>
        <v>1629631515</v>
      </c>
      <c r="G114" s="391">
        <f t="shared" si="117"/>
        <v>0</v>
      </c>
      <c r="H114" s="54">
        <f t="shared" si="117"/>
        <v>36375158</v>
      </c>
      <c r="I114" s="73">
        <f t="shared" si="110"/>
        <v>1666006673</v>
      </c>
      <c r="J114" s="69">
        <f t="shared" ref="J114:K118" si="118">+T114+AI114</f>
        <v>315322238</v>
      </c>
      <c r="K114" s="54">
        <f t="shared" si="118"/>
        <v>0</v>
      </c>
      <c r="L114" s="68">
        <f t="shared" si="106"/>
        <v>315322238</v>
      </c>
      <c r="M114" s="67">
        <f t="shared" si="111"/>
        <v>0</v>
      </c>
      <c r="N114" s="41" t="s">
        <v>63</v>
      </c>
      <c r="O114" s="40">
        <f>+SUM(S114,V114)</f>
        <v>1981328911</v>
      </c>
      <c r="P114" s="39">
        <f t="shared" ref="P114:R115" si="119">+P37-P88</f>
        <v>1629631515</v>
      </c>
      <c r="Q114" s="390">
        <f t="shared" si="119"/>
        <v>0</v>
      </c>
      <c r="R114" s="54">
        <f t="shared" si="119"/>
        <v>36375158</v>
      </c>
      <c r="S114" s="40">
        <f t="shared" si="107"/>
        <v>1666006673</v>
      </c>
      <c r="T114" s="39">
        <f>+T37-T88</f>
        <v>315322238</v>
      </c>
      <c r="U114" s="38">
        <f>+IF(U134&gt;=0,0,IF(U131&gt;0,-(ROUND(U131*U133/(U133+U132),0)+U133),-U133))</f>
        <v>0</v>
      </c>
      <c r="V114" s="37">
        <f t="shared" si="108"/>
        <v>315322238</v>
      </c>
      <c r="W114" s="36">
        <f t="shared" si="112"/>
        <v>0</v>
      </c>
      <c r="X114" s="41" t="s">
        <v>63</v>
      </c>
      <c r="Y114" s="36">
        <f>+(E37-K37)-(E88-K88)+IF(U134&lt;0,U114,0)</f>
        <v>1981328911</v>
      </c>
      <c r="Z114" s="67"/>
      <c r="AA114" s="67">
        <f>+ROUND($AA$130*$Z114/$Z$130,0)</f>
        <v>0</v>
      </c>
      <c r="AB114" s="67">
        <f>+O114+Z114+AA114</f>
        <v>1981328911</v>
      </c>
      <c r="AC114" s="67">
        <f>+IF((Y114-AB114)&lt;0,(Y114-AB114),0)</f>
        <v>0</v>
      </c>
      <c r="AD114" s="70">
        <f>+IF(AC114&lt;0,SUM(Z114:AA114,AC114),SUM(Z114:AA114))</f>
        <v>0</v>
      </c>
      <c r="AE114" s="72">
        <f t="shared" ref="AE114:AG118" si="120">+IFERROR(ROUND($AD114*P114/$O114,0),0)</f>
        <v>0</v>
      </c>
      <c r="AF114" s="391">
        <f t="shared" si="120"/>
        <v>0</v>
      </c>
      <c r="AG114" s="54">
        <f t="shared" si="120"/>
        <v>0</v>
      </c>
      <c r="AH114" s="73">
        <f t="shared" si="113"/>
        <v>0</v>
      </c>
      <c r="AI114" s="69">
        <f t="shared" ref="AI114:AJ118" si="121">+IFERROR(ROUND($AD114*T114/$O114,0),0)</f>
        <v>0</v>
      </c>
      <c r="AJ114" s="54">
        <f t="shared" si="121"/>
        <v>0</v>
      </c>
      <c r="AK114" s="68">
        <f t="shared" si="109"/>
        <v>0</v>
      </c>
      <c r="AL114" s="67">
        <f t="shared" si="114"/>
        <v>0</v>
      </c>
    </row>
    <row r="115" spans="4:38">
      <c r="D115" s="74" t="s">
        <v>61</v>
      </c>
      <c r="E115" s="73">
        <f>+SUM(I115,L115)</f>
        <v>30348372</v>
      </c>
      <c r="F115" s="72">
        <f t="shared" si="117"/>
        <v>30348372</v>
      </c>
      <c r="G115" s="391">
        <f t="shared" si="117"/>
        <v>0</v>
      </c>
      <c r="H115" s="54">
        <f t="shared" si="117"/>
        <v>0</v>
      </c>
      <c r="I115" s="73">
        <f t="shared" si="110"/>
        <v>30348372</v>
      </c>
      <c r="J115" s="69">
        <f t="shared" si="118"/>
        <v>0</v>
      </c>
      <c r="K115" s="54">
        <f t="shared" si="118"/>
        <v>0</v>
      </c>
      <c r="L115" s="68">
        <f t="shared" si="106"/>
        <v>0</v>
      </c>
      <c r="M115" s="67">
        <f t="shared" si="111"/>
        <v>0</v>
      </c>
      <c r="N115" s="74" t="s">
        <v>61</v>
      </c>
      <c r="O115" s="40">
        <f t="shared" ref="O115:O118" si="122">+SUM(S115,V115)</f>
        <v>27794733</v>
      </c>
      <c r="P115" s="39">
        <f t="shared" si="119"/>
        <v>27794733</v>
      </c>
      <c r="Q115" s="390">
        <f t="shared" si="119"/>
        <v>0</v>
      </c>
      <c r="R115" s="54">
        <f t="shared" si="119"/>
        <v>0</v>
      </c>
      <c r="S115" s="40">
        <f t="shared" si="107"/>
        <v>27794733</v>
      </c>
      <c r="T115" s="39">
        <f>+T38-T89</f>
        <v>0</v>
      </c>
      <c r="U115" s="38"/>
      <c r="V115" s="37">
        <f t="shared" si="108"/>
        <v>0</v>
      </c>
      <c r="W115" s="36">
        <f t="shared" si="112"/>
        <v>0</v>
      </c>
      <c r="X115" s="74" t="s">
        <v>61</v>
      </c>
      <c r="Y115" s="36">
        <f>+(E38-K38)-(E89-K89)+IF(U134&lt;0,U115,0)</f>
        <v>30574206</v>
      </c>
      <c r="Z115" s="67">
        <f>+'[2]3条収入'!AH13</f>
        <v>2526794</v>
      </c>
      <c r="AA115" s="67">
        <f>+ROUND($AA$130*$Z115/$Z$130,0)</f>
        <v>26845</v>
      </c>
      <c r="AB115" s="67">
        <f>+O115+Z115+AA115</f>
        <v>30348372</v>
      </c>
      <c r="AC115" s="67">
        <f>+IF((Y115-AB115)&lt;0,(Y115-AB115),0)</f>
        <v>0</v>
      </c>
      <c r="AD115" s="70">
        <f>+IF(AC115&lt;0,SUM(Z115:AA115,AC115),SUM(Z115:AA115))</f>
        <v>2553639</v>
      </c>
      <c r="AE115" s="72">
        <f t="shared" si="120"/>
        <v>2553639</v>
      </c>
      <c r="AF115" s="391">
        <f t="shared" si="120"/>
        <v>0</v>
      </c>
      <c r="AG115" s="54">
        <f t="shared" si="120"/>
        <v>0</v>
      </c>
      <c r="AH115" s="73">
        <f t="shared" si="113"/>
        <v>2553639</v>
      </c>
      <c r="AI115" s="69">
        <f t="shared" si="121"/>
        <v>0</v>
      </c>
      <c r="AJ115" s="54">
        <f t="shared" si="121"/>
        <v>0</v>
      </c>
      <c r="AK115" s="68">
        <f t="shared" si="109"/>
        <v>0</v>
      </c>
      <c r="AL115" s="67">
        <f t="shared" si="114"/>
        <v>0</v>
      </c>
    </row>
    <row r="116" spans="4:38">
      <c r="D116" s="41" t="s">
        <v>59</v>
      </c>
      <c r="E116" s="73">
        <f>+SUM(I116,L116)</f>
        <v>52443869</v>
      </c>
      <c r="F116" s="72">
        <f t="shared" si="117"/>
        <v>0</v>
      </c>
      <c r="G116" s="391">
        <f t="shared" si="117"/>
        <v>0</v>
      </c>
      <c r="H116" s="54">
        <f t="shared" si="117"/>
        <v>0</v>
      </c>
      <c r="I116" s="73">
        <f t="shared" si="110"/>
        <v>0</v>
      </c>
      <c r="J116" s="69">
        <f t="shared" si="118"/>
        <v>52443869</v>
      </c>
      <c r="K116" s="54">
        <f t="shared" si="118"/>
        <v>0</v>
      </c>
      <c r="L116" s="68">
        <f t="shared" si="106"/>
        <v>52443869</v>
      </c>
      <c r="M116" s="67">
        <f t="shared" si="111"/>
        <v>0</v>
      </c>
      <c r="N116" s="41" t="s">
        <v>59</v>
      </c>
      <c r="O116" s="40">
        <f t="shared" si="122"/>
        <v>51313295</v>
      </c>
      <c r="P116" s="39">
        <f>+P8</f>
        <v>0</v>
      </c>
      <c r="Q116" s="390">
        <f>+Q8</f>
        <v>0</v>
      </c>
      <c r="R116" s="38">
        <f>+R8</f>
        <v>0</v>
      </c>
      <c r="S116" s="40">
        <f t="shared" ref="S116:S118" si="123">+SUM(P116:R116)</f>
        <v>0</v>
      </c>
      <c r="T116" s="39">
        <f>+T8</f>
        <v>51313295</v>
      </c>
      <c r="U116" s="38"/>
      <c r="V116" s="37">
        <f t="shared" si="108"/>
        <v>51313295</v>
      </c>
      <c r="W116" s="36">
        <f t="shared" si="112"/>
        <v>0</v>
      </c>
      <c r="X116" s="41" t="s">
        <v>59</v>
      </c>
      <c r="Y116" s="36">
        <f>+E8-K8</f>
        <v>52443869</v>
      </c>
      <c r="Z116" s="67">
        <f>+'[2]3条収入'!AH14</f>
        <v>1106201</v>
      </c>
      <c r="AA116" s="67">
        <f>+ROUND($AA$130*$Z116/$Z$130,0)</f>
        <v>11752</v>
      </c>
      <c r="AB116" s="67">
        <f>+O116+Z116+AA116</f>
        <v>52431248</v>
      </c>
      <c r="AC116" s="75">
        <f>Y116-AB116</f>
        <v>12621</v>
      </c>
      <c r="AD116" s="139">
        <f>SUM(Z116:AA116,AC116)</f>
        <v>1130574</v>
      </c>
      <c r="AE116" s="72">
        <f t="shared" si="120"/>
        <v>0</v>
      </c>
      <c r="AF116" s="391">
        <f t="shared" si="120"/>
        <v>0</v>
      </c>
      <c r="AG116" s="54">
        <f t="shared" si="120"/>
        <v>0</v>
      </c>
      <c r="AH116" s="73">
        <f t="shared" si="113"/>
        <v>0</v>
      </c>
      <c r="AI116" s="69">
        <f>+IFERROR(ROUND($AD116*T116/$O116,0),0)</f>
        <v>1130574</v>
      </c>
      <c r="AJ116" s="54">
        <f t="shared" si="121"/>
        <v>0</v>
      </c>
      <c r="AK116" s="68">
        <f t="shared" si="109"/>
        <v>1130574</v>
      </c>
      <c r="AL116" s="67">
        <f t="shared" si="114"/>
        <v>0</v>
      </c>
    </row>
    <row r="117" spans="4:38">
      <c r="D117" s="41" t="s">
        <v>56</v>
      </c>
      <c r="E117" s="73">
        <f>+SUM(I117,L117)</f>
        <v>44424775</v>
      </c>
      <c r="F117" s="72">
        <f t="shared" si="117"/>
        <v>0</v>
      </c>
      <c r="G117" s="391">
        <f t="shared" si="117"/>
        <v>0</v>
      </c>
      <c r="H117" s="54">
        <f t="shared" si="117"/>
        <v>0</v>
      </c>
      <c r="I117" s="73">
        <f t="shared" si="110"/>
        <v>0</v>
      </c>
      <c r="J117" s="69">
        <f t="shared" si="118"/>
        <v>44424775</v>
      </c>
      <c r="K117" s="54">
        <f t="shared" si="118"/>
        <v>0</v>
      </c>
      <c r="L117" s="68">
        <f t="shared" si="106"/>
        <v>44424775</v>
      </c>
      <c r="M117" s="67">
        <f t="shared" si="111"/>
        <v>0</v>
      </c>
      <c r="N117" s="41" t="s">
        <v>56</v>
      </c>
      <c r="O117" s="40">
        <f t="shared" si="122"/>
        <v>43567026</v>
      </c>
      <c r="P117" s="39">
        <f t="shared" ref="P117:R118" si="124">+P12</f>
        <v>0</v>
      </c>
      <c r="Q117" s="390">
        <f t="shared" si="124"/>
        <v>0</v>
      </c>
      <c r="R117" s="38">
        <f t="shared" si="124"/>
        <v>0</v>
      </c>
      <c r="S117" s="40">
        <f t="shared" si="123"/>
        <v>0</v>
      </c>
      <c r="T117" s="39">
        <f>+T12</f>
        <v>43567026</v>
      </c>
      <c r="U117" s="38"/>
      <c r="V117" s="37">
        <f t="shared" si="108"/>
        <v>43567026</v>
      </c>
      <c r="W117" s="36">
        <f t="shared" si="112"/>
        <v>0</v>
      </c>
      <c r="X117" s="41" t="s">
        <v>105</v>
      </c>
      <c r="Y117" s="36">
        <f>+E12-K12</f>
        <v>44424775</v>
      </c>
      <c r="Z117" s="67">
        <f>+'[2]3条収入'!AH15</f>
        <v>841187</v>
      </c>
      <c r="AA117" s="67">
        <f>+ROUND($AA$130*$Z117/$Z$130,0)</f>
        <v>8937</v>
      </c>
      <c r="AB117" s="67">
        <f>+O117+Z117+AA117</f>
        <v>44417150</v>
      </c>
      <c r="AC117" s="75">
        <f>Y117-AB117</f>
        <v>7625</v>
      </c>
      <c r="AD117" s="139">
        <f>SUM(Z117:AA117,AC117)</f>
        <v>857749</v>
      </c>
      <c r="AE117" s="72">
        <f t="shared" si="120"/>
        <v>0</v>
      </c>
      <c r="AF117" s="391">
        <f t="shared" si="120"/>
        <v>0</v>
      </c>
      <c r="AG117" s="54">
        <f t="shared" si="120"/>
        <v>0</v>
      </c>
      <c r="AH117" s="73">
        <f t="shared" si="113"/>
        <v>0</v>
      </c>
      <c r="AI117" s="69">
        <f>+IFERROR(ROUND($AD117*T117/$O117,0),0)</f>
        <v>857749</v>
      </c>
      <c r="AJ117" s="54">
        <f t="shared" si="121"/>
        <v>0</v>
      </c>
      <c r="AK117" s="68">
        <f t="shared" si="109"/>
        <v>857749</v>
      </c>
      <c r="AL117" s="67">
        <f t="shared" si="114"/>
        <v>0</v>
      </c>
    </row>
    <row r="118" spans="4:38">
      <c r="D118" s="67" t="s">
        <v>54</v>
      </c>
      <c r="E118" s="73">
        <f>+SUM(I118,L118)</f>
        <v>10483859</v>
      </c>
      <c r="F118" s="72">
        <f t="shared" si="117"/>
        <v>0</v>
      </c>
      <c r="G118" s="391">
        <f t="shared" si="117"/>
        <v>0</v>
      </c>
      <c r="H118" s="54">
        <f>+R118+AG118</f>
        <v>10483859</v>
      </c>
      <c r="I118" s="73">
        <f t="shared" si="110"/>
        <v>10483859</v>
      </c>
      <c r="J118" s="69">
        <f t="shared" si="118"/>
        <v>0</v>
      </c>
      <c r="K118" s="54">
        <f t="shared" si="118"/>
        <v>0</v>
      </c>
      <c r="L118" s="68">
        <f t="shared" si="106"/>
        <v>0</v>
      </c>
      <c r="M118" s="67">
        <f t="shared" si="111"/>
        <v>0</v>
      </c>
      <c r="N118" s="67" t="s">
        <v>54</v>
      </c>
      <c r="O118" s="40">
        <f t="shared" si="122"/>
        <v>10396270</v>
      </c>
      <c r="P118" s="39">
        <f t="shared" si="124"/>
        <v>0</v>
      </c>
      <c r="Q118" s="391">
        <f t="shared" si="124"/>
        <v>0</v>
      </c>
      <c r="R118" s="54">
        <f t="shared" si="124"/>
        <v>10396270</v>
      </c>
      <c r="S118" s="73">
        <f t="shared" si="123"/>
        <v>10396270</v>
      </c>
      <c r="T118" s="69">
        <f>+T13</f>
        <v>0</v>
      </c>
      <c r="U118" s="54"/>
      <c r="V118" s="68">
        <f t="shared" si="108"/>
        <v>0</v>
      </c>
      <c r="W118" s="36">
        <f t="shared" si="112"/>
        <v>0</v>
      </c>
      <c r="X118" s="67" t="s">
        <v>54</v>
      </c>
      <c r="Y118" s="36">
        <f>+E13-K13</f>
        <v>10483859</v>
      </c>
      <c r="Z118" s="67">
        <f>+'[2]3条収入'!AH16</f>
        <v>86858</v>
      </c>
      <c r="AA118" s="67">
        <f>+ROUND($AA$130*$Z118/$Z$130,0)</f>
        <v>923</v>
      </c>
      <c r="AB118" s="67">
        <f>+O118+Z118+AA118</f>
        <v>10484051</v>
      </c>
      <c r="AC118" s="75">
        <f>Y118-AB118</f>
        <v>-192</v>
      </c>
      <c r="AD118" s="139">
        <f>SUM(Z118:AA118,AC118)</f>
        <v>87589</v>
      </c>
      <c r="AE118" s="72">
        <f t="shared" si="120"/>
        <v>0</v>
      </c>
      <c r="AF118" s="391">
        <f t="shared" si="120"/>
        <v>0</v>
      </c>
      <c r="AG118" s="54">
        <f t="shared" si="120"/>
        <v>87589</v>
      </c>
      <c r="AH118" s="73">
        <f t="shared" si="113"/>
        <v>87589</v>
      </c>
      <c r="AI118" s="69">
        <f>+IFERROR(ROUND($AD118*T118/$O118,0),0)</f>
        <v>0</v>
      </c>
      <c r="AJ118" s="54">
        <f t="shared" si="121"/>
        <v>0</v>
      </c>
      <c r="AK118" s="68">
        <f t="shared" si="109"/>
        <v>0</v>
      </c>
      <c r="AL118" s="67">
        <f t="shared" si="114"/>
        <v>0</v>
      </c>
    </row>
    <row r="119" spans="4:38">
      <c r="D119" s="67"/>
      <c r="E119" s="70"/>
      <c r="F119" s="72"/>
      <c r="G119" s="391"/>
      <c r="H119" s="54"/>
      <c r="I119" s="73"/>
      <c r="J119" s="69"/>
      <c r="K119" s="54"/>
      <c r="L119" s="68"/>
      <c r="M119" s="67"/>
      <c r="N119" s="67"/>
      <c r="O119" s="40"/>
      <c r="P119" s="39"/>
      <c r="Q119" s="391"/>
      <c r="R119" s="54"/>
      <c r="S119" s="73"/>
      <c r="T119" s="69"/>
      <c r="U119" s="54"/>
      <c r="V119" s="68"/>
      <c r="W119" s="36"/>
      <c r="X119" s="67"/>
      <c r="Y119" s="36"/>
      <c r="Z119" s="67"/>
      <c r="AA119" s="67"/>
      <c r="AB119" s="67"/>
      <c r="AC119" s="75"/>
      <c r="AD119" s="70"/>
      <c r="AE119" s="72"/>
      <c r="AF119" s="391"/>
      <c r="AG119" s="54"/>
      <c r="AH119" s="73"/>
      <c r="AI119" s="69"/>
      <c r="AJ119" s="54"/>
      <c r="AK119" s="68"/>
      <c r="AL119" s="67"/>
    </row>
    <row r="120" spans="4:38">
      <c r="D120" s="67" t="s">
        <v>52</v>
      </c>
      <c r="E120" s="70">
        <f>+SUM(E121,E126)</f>
        <v>9203253</v>
      </c>
      <c r="F120" s="69">
        <f>+SUM(F121,F126)</f>
        <v>0</v>
      </c>
      <c r="G120" s="391">
        <f>+SUM(G121,G126)</f>
        <v>0</v>
      </c>
      <c r="H120" s="54">
        <f>+SUM(H121,H126)</f>
        <v>0</v>
      </c>
      <c r="I120" s="73">
        <f t="shared" si="110"/>
        <v>0</v>
      </c>
      <c r="J120" s="69">
        <f>+SUM(J121,J126)</f>
        <v>0</v>
      </c>
      <c r="K120" s="54">
        <f>+SUM(K121,K126)</f>
        <v>9203253</v>
      </c>
      <c r="L120" s="68">
        <f t="shared" si="106"/>
        <v>9203253</v>
      </c>
      <c r="M120" s="67">
        <f t="shared" si="111"/>
        <v>0</v>
      </c>
      <c r="N120" s="67" t="s">
        <v>52</v>
      </c>
      <c r="O120" s="73">
        <f>+SUM(O121,O126)</f>
        <v>9203253</v>
      </c>
      <c r="P120" s="69">
        <f>+SUM(P121,P126)</f>
        <v>0</v>
      </c>
      <c r="Q120" s="391">
        <f>+SUM(Q121,Q126)</f>
        <v>0</v>
      </c>
      <c r="R120" s="54">
        <f>+SUM(R121,R126)</f>
        <v>0</v>
      </c>
      <c r="S120" s="73">
        <f>+SUM(P120:R120)</f>
        <v>0</v>
      </c>
      <c r="T120" s="69">
        <f>+SUM(T121,T126)</f>
        <v>0</v>
      </c>
      <c r="U120" s="54">
        <f>+SUM(U121,U126)</f>
        <v>9203253</v>
      </c>
      <c r="V120" s="68">
        <f t="shared" si="108"/>
        <v>9203253</v>
      </c>
      <c r="W120" s="36">
        <f t="shared" si="112"/>
        <v>0</v>
      </c>
      <c r="X120" s="67" t="s">
        <v>52</v>
      </c>
      <c r="Y120" s="67">
        <f>+SUM(Y121,Y126)</f>
        <v>9203253</v>
      </c>
      <c r="Z120" s="67">
        <f>+SUM(Z121,Z126)</f>
        <v>488049</v>
      </c>
      <c r="AA120" s="67">
        <f>+SUM(AA121,AA126)</f>
        <v>5185</v>
      </c>
      <c r="AB120" s="67">
        <f t="shared" ref="AB120:AB126" si="125">+O120+Z120+AA120</f>
        <v>9696487</v>
      </c>
      <c r="AC120" s="67">
        <f>+SUM(AC121,AC126)</f>
        <v>-493234</v>
      </c>
      <c r="AD120" s="70">
        <f>+SUM(AD121,AD126)</f>
        <v>0</v>
      </c>
      <c r="AE120" s="69">
        <f>+SUM(AE121,AE126)</f>
        <v>0</v>
      </c>
      <c r="AF120" s="391">
        <f>+SUM(AF121,AF126)</f>
        <v>0</v>
      </c>
      <c r="AG120" s="54">
        <f>+SUM(AG121,AG126)</f>
        <v>0</v>
      </c>
      <c r="AH120" s="73">
        <f t="shared" si="113"/>
        <v>0</v>
      </c>
      <c r="AI120" s="69">
        <f>+SUM(AI121,AI126)</f>
        <v>0</v>
      </c>
      <c r="AJ120" s="54">
        <f>+SUM(AJ121,AJ126)</f>
        <v>0</v>
      </c>
      <c r="AK120" s="68">
        <f t="shared" si="109"/>
        <v>0</v>
      </c>
      <c r="AL120" s="67">
        <f t="shared" si="114"/>
        <v>0</v>
      </c>
    </row>
    <row r="121" spans="4:38">
      <c r="D121" s="67" t="s">
        <v>50</v>
      </c>
      <c r="E121" s="70">
        <f>+SUM(E122:E125)</f>
        <v>4980</v>
      </c>
      <c r="F121" s="69">
        <f>+SUM(F122:F125)</f>
        <v>0</v>
      </c>
      <c r="G121" s="391">
        <f>+SUM(G122:G125)</f>
        <v>0</v>
      </c>
      <c r="H121" s="54">
        <f>+SUM(H122:H125)</f>
        <v>0</v>
      </c>
      <c r="I121" s="73">
        <f t="shared" si="110"/>
        <v>0</v>
      </c>
      <c r="J121" s="69">
        <f>+SUM(J122:J125)</f>
        <v>0</v>
      </c>
      <c r="K121" s="54">
        <f>+SUM(K122:K125)</f>
        <v>4980</v>
      </c>
      <c r="L121" s="68">
        <f t="shared" si="106"/>
        <v>4980</v>
      </c>
      <c r="M121" s="67">
        <f t="shared" si="111"/>
        <v>0</v>
      </c>
      <c r="N121" s="67" t="s">
        <v>50</v>
      </c>
      <c r="O121" s="73">
        <f>+SUM(O122:O125)</f>
        <v>4980</v>
      </c>
      <c r="P121" s="69">
        <f>+SUM(P122:P125)</f>
        <v>0</v>
      </c>
      <c r="Q121" s="391">
        <f>+SUM(Q122:Q125)</f>
        <v>0</v>
      </c>
      <c r="R121" s="54">
        <f>+SUM(R122:R125)</f>
        <v>0</v>
      </c>
      <c r="S121" s="73">
        <f>+SUM(P121:R121)</f>
        <v>0</v>
      </c>
      <c r="T121" s="69">
        <f>+SUM(T122:T125)</f>
        <v>0</v>
      </c>
      <c r="U121" s="54">
        <f>+SUM(U122:U125)</f>
        <v>4980</v>
      </c>
      <c r="V121" s="68">
        <f t="shared" si="108"/>
        <v>4980</v>
      </c>
      <c r="W121" s="36">
        <f t="shared" si="112"/>
        <v>0</v>
      </c>
      <c r="X121" s="67" t="s">
        <v>50</v>
      </c>
      <c r="Y121" s="67">
        <f>+SUM(Y122:Y125)</f>
        <v>4980</v>
      </c>
      <c r="Z121" s="67">
        <f>+SUM(Z122:Z125)</f>
        <v>0</v>
      </c>
      <c r="AA121" s="67">
        <f>+SUM(AA122:AA125)</f>
        <v>0</v>
      </c>
      <c r="AB121" s="67">
        <f t="shared" si="125"/>
        <v>4980</v>
      </c>
      <c r="AC121" s="67">
        <f>+SUM(AC122:AC125)</f>
        <v>0</v>
      </c>
      <c r="AD121" s="70">
        <f>+SUM(AD122:AD125)</f>
        <v>0</v>
      </c>
      <c r="AE121" s="69">
        <f>+SUM(AE122:AE125)</f>
        <v>0</v>
      </c>
      <c r="AF121" s="391">
        <f>+SUM(AF122:AF125)</f>
        <v>0</v>
      </c>
      <c r="AG121" s="54">
        <f>+SUM(AG122:AG125)</f>
        <v>0</v>
      </c>
      <c r="AH121" s="73">
        <f t="shared" si="113"/>
        <v>0</v>
      </c>
      <c r="AI121" s="69">
        <f>+SUM(AI122:AI125)</f>
        <v>0</v>
      </c>
      <c r="AJ121" s="54">
        <f>+SUM(AJ122:AJ125)</f>
        <v>0</v>
      </c>
      <c r="AK121" s="68">
        <f t="shared" si="109"/>
        <v>0</v>
      </c>
      <c r="AL121" s="67">
        <f t="shared" si="114"/>
        <v>0</v>
      </c>
    </row>
    <row r="122" spans="4:38">
      <c r="D122" s="41" t="s">
        <v>47</v>
      </c>
      <c r="E122" s="73">
        <f>+SUM(I122,L122)</f>
        <v>0</v>
      </c>
      <c r="F122" s="69">
        <f t="shared" ref="F122:H126" si="126">+P122+AE122</f>
        <v>0</v>
      </c>
      <c r="G122" s="391">
        <f t="shared" si="126"/>
        <v>0</v>
      </c>
      <c r="H122" s="54">
        <f t="shared" si="126"/>
        <v>0</v>
      </c>
      <c r="I122" s="73">
        <f t="shared" si="110"/>
        <v>0</v>
      </c>
      <c r="J122" s="69">
        <f>+T122+AI122</f>
        <v>0</v>
      </c>
      <c r="K122" s="76">
        <f>+U122+AJ122+IF(SUM(U131:U133,-U125)&gt;=0,U111+AJ111,U111+AJ111+AJ135+AJ137)</f>
        <v>0</v>
      </c>
      <c r="L122" s="68">
        <f t="shared" si="106"/>
        <v>0</v>
      </c>
      <c r="M122" s="67">
        <f t="shared" si="111"/>
        <v>0</v>
      </c>
      <c r="N122" s="41" t="s">
        <v>47</v>
      </c>
      <c r="O122" s="40">
        <f t="shared" ref="O122:O126" si="127">+SUM(S122,V122)</f>
        <v>0</v>
      </c>
      <c r="P122" s="39"/>
      <c r="Q122" s="390"/>
      <c r="R122" s="38"/>
      <c r="S122" s="40">
        <f>+SUM(P122:R122)</f>
        <v>0</v>
      </c>
      <c r="T122" s="39"/>
      <c r="U122" s="76">
        <f>-IF($U$134=0,0,IF($U$131&gt;0,0,U131))</f>
        <v>0</v>
      </c>
      <c r="V122" s="37">
        <f t="shared" si="108"/>
        <v>0</v>
      </c>
      <c r="W122" s="36">
        <f t="shared" si="112"/>
        <v>0</v>
      </c>
      <c r="X122" s="41" t="s">
        <v>47</v>
      </c>
      <c r="Y122" s="75">
        <f>-IF($Y$141=0,0,IF($Y$138&gt;0,0,Y138))</f>
        <v>0</v>
      </c>
      <c r="Z122" s="67">
        <f>+'[2]3条収入'!AH44</f>
        <v>0</v>
      </c>
      <c r="AA122" s="67">
        <f>+ROUND($AA$130*$Z122/$Z$130,0)</f>
        <v>0</v>
      </c>
      <c r="AB122" s="67">
        <f t="shared" si="125"/>
        <v>0</v>
      </c>
      <c r="AC122" s="67">
        <f>+IF((Y122-AB122)&lt;0,(Y122-AB122),0)</f>
        <v>0</v>
      </c>
      <c r="AD122" s="70">
        <f>+IF(AC122&lt;0,SUM(Z122:AA122,AC122),SUM(Z122:AA122))</f>
        <v>0</v>
      </c>
      <c r="AE122" s="72">
        <f t="shared" ref="AE122:AG126" si="128">+IFERROR(ROUND($AD122*P122/$O122,0),0)</f>
        <v>0</v>
      </c>
      <c r="AF122" s="391">
        <f t="shared" si="128"/>
        <v>0</v>
      </c>
      <c r="AG122" s="54">
        <f t="shared" si="128"/>
        <v>0</v>
      </c>
      <c r="AH122" s="73">
        <f t="shared" si="113"/>
        <v>0</v>
      </c>
      <c r="AI122" s="69">
        <f t="shared" ref="AI122:AJ126" si="129">+IFERROR(ROUND($AD122*T122/$O122,0),0)</f>
        <v>0</v>
      </c>
      <c r="AJ122" s="54">
        <f t="shared" si="129"/>
        <v>0</v>
      </c>
      <c r="AK122" s="68">
        <f t="shared" si="109"/>
        <v>0</v>
      </c>
      <c r="AL122" s="67">
        <f t="shared" si="114"/>
        <v>0</v>
      </c>
    </row>
    <row r="123" spans="4:38">
      <c r="D123" s="41" t="s">
        <v>45</v>
      </c>
      <c r="E123" s="73">
        <f>+SUM(I123,L123)</f>
        <v>0</v>
      </c>
      <c r="F123" s="69">
        <f t="shared" si="126"/>
        <v>0</v>
      </c>
      <c r="G123" s="391">
        <f t="shared" si="126"/>
        <v>0</v>
      </c>
      <c r="H123" s="54">
        <f t="shared" si="126"/>
        <v>0</v>
      </c>
      <c r="I123" s="73">
        <f t="shared" si="110"/>
        <v>0</v>
      </c>
      <c r="J123" s="69">
        <f>+T123+AI123</f>
        <v>0</v>
      </c>
      <c r="K123" s="76">
        <f>+U123+AJ123</f>
        <v>0</v>
      </c>
      <c r="L123" s="68">
        <f t="shared" si="106"/>
        <v>0</v>
      </c>
      <c r="M123" s="67">
        <f t="shared" si="111"/>
        <v>0</v>
      </c>
      <c r="N123" s="41" t="s">
        <v>45</v>
      </c>
      <c r="O123" s="40">
        <f t="shared" si="127"/>
        <v>0</v>
      </c>
      <c r="P123" s="39"/>
      <c r="Q123" s="390"/>
      <c r="R123" s="38"/>
      <c r="S123" s="40">
        <f>+SUM(P123:Q123)</f>
        <v>0</v>
      </c>
      <c r="T123" s="39"/>
      <c r="U123" s="76">
        <f>-IF($U$134=0,0,IF($U$131&gt;0,ROUND($U$134*U132/($U$132+$U$133),0),U132))</f>
        <v>0</v>
      </c>
      <c r="V123" s="37">
        <f t="shared" si="108"/>
        <v>0</v>
      </c>
      <c r="W123" s="36">
        <f t="shared" si="112"/>
        <v>0</v>
      </c>
      <c r="X123" s="41" t="s">
        <v>45</v>
      </c>
      <c r="Y123" s="75">
        <f>-IF($Y$141=0,0,IF($Y$138&gt;0,ROUND($Y$141*Y139/($Y$139+$Y$140),0),Y139))</f>
        <v>0</v>
      </c>
      <c r="Z123" s="67">
        <f>+'[2]3条収入'!AH45</f>
        <v>0</v>
      </c>
      <c r="AA123" s="67">
        <f>+ROUND($AA$130*$Z123/$Z$130,0)</f>
        <v>0</v>
      </c>
      <c r="AB123" s="67">
        <f t="shared" si="125"/>
        <v>0</v>
      </c>
      <c r="AC123" s="75"/>
      <c r="AD123" s="70">
        <f>+IF(AC123&lt;0,SUM(Z123:AA123,AC123),SUM(Z123:AA123))</f>
        <v>0</v>
      </c>
      <c r="AE123" s="72">
        <f t="shared" si="128"/>
        <v>0</v>
      </c>
      <c r="AF123" s="391">
        <f t="shared" si="128"/>
        <v>0</v>
      </c>
      <c r="AG123" s="54">
        <f t="shared" si="128"/>
        <v>0</v>
      </c>
      <c r="AH123" s="73">
        <f t="shared" si="113"/>
        <v>0</v>
      </c>
      <c r="AI123" s="69">
        <f t="shared" si="129"/>
        <v>0</v>
      </c>
      <c r="AJ123" s="54">
        <f t="shared" si="129"/>
        <v>0</v>
      </c>
      <c r="AK123" s="68">
        <f t="shared" si="109"/>
        <v>0</v>
      </c>
      <c r="AL123" s="67">
        <f t="shared" si="114"/>
        <v>0</v>
      </c>
    </row>
    <row r="124" spans="4:38">
      <c r="D124" s="41" t="s">
        <v>44</v>
      </c>
      <c r="E124" s="73">
        <f>+SUM(I124,L124)</f>
        <v>0</v>
      </c>
      <c r="F124" s="69">
        <f t="shared" si="126"/>
        <v>0</v>
      </c>
      <c r="G124" s="391">
        <f t="shared" si="126"/>
        <v>0</v>
      </c>
      <c r="H124" s="54">
        <f t="shared" si="126"/>
        <v>0</v>
      </c>
      <c r="I124" s="73">
        <f t="shared" si="110"/>
        <v>0</v>
      </c>
      <c r="J124" s="69">
        <f>+T124+AI124</f>
        <v>0</v>
      </c>
      <c r="K124" s="76">
        <f>+U124+AJ124</f>
        <v>0</v>
      </c>
      <c r="L124" s="68">
        <f t="shared" si="106"/>
        <v>0</v>
      </c>
      <c r="M124" s="67">
        <f t="shared" si="111"/>
        <v>0</v>
      </c>
      <c r="N124" s="41" t="s">
        <v>44</v>
      </c>
      <c r="O124" s="40">
        <f t="shared" si="127"/>
        <v>0</v>
      </c>
      <c r="P124" s="69"/>
      <c r="Q124" s="391"/>
      <c r="R124" s="38"/>
      <c r="S124" s="40">
        <f>+SUM(P124:Q124)</f>
        <v>0</v>
      </c>
      <c r="T124" s="39"/>
      <c r="U124" s="76">
        <f>-IF($U$134=0,0,IF($U$131&gt;0,U134+U123,U133))</f>
        <v>0</v>
      </c>
      <c r="V124" s="37">
        <f t="shared" si="108"/>
        <v>0</v>
      </c>
      <c r="W124" s="36">
        <f t="shared" si="112"/>
        <v>0</v>
      </c>
      <c r="X124" s="41" t="s">
        <v>44</v>
      </c>
      <c r="Y124" s="75">
        <f>-IF($Y$141=0,0,IF($Y$138&gt;0,Y141+Y123,Y140))</f>
        <v>0</v>
      </c>
      <c r="Z124" s="67">
        <f>+'[2]3条収入'!AH46</f>
        <v>0</v>
      </c>
      <c r="AA124" s="67">
        <f>+ROUND($AA$130*$Z124/$Z$130,0)</f>
        <v>0</v>
      </c>
      <c r="AB124" s="67">
        <f t="shared" si="125"/>
        <v>0</v>
      </c>
      <c r="AC124" s="75"/>
      <c r="AD124" s="70">
        <f>+IF(AC124&lt;0,SUM(Z124:AA124,AC124),SUM(Z124:AA124))</f>
        <v>0</v>
      </c>
      <c r="AE124" s="72">
        <f t="shared" si="128"/>
        <v>0</v>
      </c>
      <c r="AF124" s="391">
        <f t="shared" si="128"/>
        <v>0</v>
      </c>
      <c r="AG124" s="54">
        <f t="shared" si="128"/>
        <v>0</v>
      </c>
      <c r="AH124" s="73">
        <f t="shared" si="113"/>
        <v>0</v>
      </c>
      <c r="AI124" s="69">
        <f t="shared" si="129"/>
        <v>0</v>
      </c>
      <c r="AJ124" s="54">
        <f t="shared" si="129"/>
        <v>0</v>
      </c>
      <c r="AK124" s="68">
        <f t="shared" si="109"/>
        <v>0</v>
      </c>
      <c r="AL124" s="67">
        <f t="shared" si="114"/>
        <v>0</v>
      </c>
    </row>
    <row r="125" spans="4:38">
      <c r="D125" s="41" t="s">
        <v>41</v>
      </c>
      <c r="E125" s="73">
        <f>+SUM(I125,L125)</f>
        <v>4980</v>
      </c>
      <c r="F125" s="69">
        <f t="shared" si="126"/>
        <v>0</v>
      </c>
      <c r="G125" s="391">
        <f t="shared" si="126"/>
        <v>0</v>
      </c>
      <c r="H125" s="54">
        <f t="shared" si="126"/>
        <v>0</v>
      </c>
      <c r="I125" s="73">
        <f t="shared" si="110"/>
        <v>0</v>
      </c>
      <c r="J125" s="69">
        <f>+T125+AI125</f>
        <v>0</v>
      </c>
      <c r="K125" s="54">
        <f>+U125+AJ125</f>
        <v>4980</v>
      </c>
      <c r="L125" s="68">
        <f t="shared" si="106"/>
        <v>4980</v>
      </c>
      <c r="M125" s="67">
        <f t="shared" si="111"/>
        <v>0</v>
      </c>
      <c r="N125" s="41" t="s">
        <v>41</v>
      </c>
      <c r="O125" s="40">
        <f t="shared" si="127"/>
        <v>4980</v>
      </c>
      <c r="P125" s="39"/>
      <c r="Q125" s="390"/>
      <c r="R125" s="38"/>
      <c r="S125" s="40">
        <f>+SUM(P125:R125)</f>
        <v>0</v>
      </c>
      <c r="T125" s="39"/>
      <c r="U125" s="410">
        <f>+'[2]3条収入'!V47</f>
        <v>4980</v>
      </c>
      <c r="V125" s="37">
        <f>+SUM(T125:U125)</f>
        <v>4980</v>
      </c>
      <c r="W125" s="36">
        <f t="shared" si="112"/>
        <v>0</v>
      </c>
      <c r="X125" s="41" t="s">
        <v>41</v>
      </c>
      <c r="Y125" s="46">
        <f>+O125</f>
        <v>4980</v>
      </c>
      <c r="Z125" s="67">
        <f>+'[2]3条収入'!AH47</f>
        <v>0</v>
      </c>
      <c r="AA125" s="67">
        <f>+ROUND($AA$130*$Z125/$Z$130,0)</f>
        <v>0</v>
      </c>
      <c r="AB125" s="67">
        <f t="shared" si="125"/>
        <v>4980</v>
      </c>
      <c r="AC125" s="67">
        <f>+IF((Y125-AB125)&lt;0,(Y125-AB125),0)</f>
        <v>0</v>
      </c>
      <c r="AD125" s="70">
        <f>+IF(AC125&lt;0,SUM(Z125:AA125,AC125),SUM(Z125:AA125))</f>
        <v>0</v>
      </c>
      <c r="AE125" s="72">
        <f t="shared" si="128"/>
        <v>0</v>
      </c>
      <c r="AF125" s="391">
        <f t="shared" si="128"/>
        <v>0</v>
      </c>
      <c r="AG125" s="54">
        <f t="shared" si="128"/>
        <v>0</v>
      </c>
      <c r="AH125" s="73">
        <f t="shared" si="113"/>
        <v>0</v>
      </c>
      <c r="AI125" s="69">
        <f t="shared" si="129"/>
        <v>0</v>
      </c>
      <c r="AJ125" s="54">
        <f t="shared" si="129"/>
        <v>0</v>
      </c>
      <c r="AK125" s="68">
        <f t="shared" si="109"/>
        <v>0</v>
      </c>
      <c r="AL125" s="67">
        <f t="shared" si="114"/>
        <v>0</v>
      </c>
    </row>
    <row r="126" spans="4:38">
      <c r="D126" s="41" t="s">
        <v>39</v>
      </c>
      <c r="E126" s="70">
        <f>+SUM(I126,L126)</f>
        <v>9198273</v>
      </c>
      <c r="F126" s="69">
        <f t="shared" si="126"/>
        <v>0</v>
      </c>
      <c r="G126" s="391">
        <f t="shared" si="126"/>
        <v>0</v>
      </c>
      <c r="H126" s="54">
        <f t="shared" si="126"/>
        <v>0</v>
      </c>
      <c r="I126" s="73">
        <f t="shared" si="110"/>
        <v>0</v>
      </c>
      <c r="J126" s="69">
        <f>+T126+AI126</f>
        <v>0</v>
      </c>
      <c r="K126" s="54">
        <f>+U126+AJ126</f>
        <v>9198273</v>
      </c>
      <c r="L126" s="68">
        <f t="shared" si="106"/>
        <v>9198273</v>
      </c>
      <c r="M126" s="67">
        <f t="shared" si="111"/>
        <v>0</v>
      </c>
      <c r="N126" s="41" t="s">
        <v>39</v>
      </c>
      <c r="O126" s="40">
        <f t="shared" si="127"/>
        <v>9198273</v>
      </c>
      <c r="P126" s="39">
        <f>+P24</f>
        <v>0</v>
      </c>
      <c r="Q126" s="390">
        <f>+Q24</f>
        <v>0</v>
      </c>
      <c r="R126" s="38"/>
      <c r="S126" s="40">
        <f>+SUM(P126:R126)</f>
        <v>0</v>
      </c>
      <c r="T126" s="39">
        <f>+T24</f>
        <v>0</v>
      </c>
      <c r="U126" s="410">
        <f>E24</f>
        <v>9198273</v>
      </c>
      <c r="V126" s="37">
        <f>+SUM(T126:U126)</f>
        <v>9198273</v>
      </c>
      <c r="W126" s="36">
        <f t="shared" si="112"/>
        <v>0</v>
      </c>
      <c r="X126" s="41" t="s">
        <v>39</v>
      </c>
      <c r="Y126" s="36">
        <f>+E24</f>
        <v>9198273</v>
      </c>
      <c r="Z126" s="67">
        <f>+'[2]3条収入'!AH48</f>
        <v>488049</v>
      </c>
      <c r="AA126" s="67">
        <f>+ROUND($AA$130*$Z126/$Z$130,0)</f>
        <v>5185</v>
      </c>
      <c r="AB126" s="67">
        <f t="shared" si="125"/>
        <v>9691507</v>
      </c>
      <c r="AC126" s="75">
        <f>Y126-AB126</f>
        <v>-493234</v>
      </c>
      <c r="AD126" s="139">
        <f>SUM(Z126:AA126,AC126)</f>
        <v>0</v>
      </c>
      <c r="AE126" s="72">
        <f t="shared" si="128"/>
        <v>0</v>
      </c>
      <c r="AF126" s="391">
        <f t="shared" si="128"/>
        <v>0</v>
      </c>
      <c r="AG126" s="54">
        <f t="shared" si="128"/>
        <v>0</v>
      </c>
      <c r="AH126" s="73">
        <f t="shared" si="113"/>
        <v>0</v>
      </c>
      <c r="AI126" s="69">
        <f t="shared" si="129"/>
        <v>0</v>
      </c>
      <c r="AJ126" s="54">
        <f t="shared" si="129"/>
        <v>0</v>
      </c>
      <c r="AK126" s="68">
        <f t="shared" si="109"/>
        <v>0</v>
      </c>
      <c r="AL126" s="67">
        <f t="shared" si="114"/>
        <v>0</v>
      </c>
    </row>
    <row r="127" spans="4:38">
      <c r="D127" s="41"/>
      <c r="E127" s="70"/>
      <c r="F127" s="69"/>
      <c r="G127" s="391"/>
      <c r="H127" s="54"/>
      <c r="I127" s="73"/>
      <c r="J127" s="69"/>
      <c r="K127" s="54"/>
      <c r="L127" s="68"/>
      <c r="M127" s="67"/>
      <c r="N127" s="41"/>
      <c r="O127" s="40"/>
      <c r="P127" s="39"/>
      <c r="Q127" s="390"/>
      <c r="R127" s="38"/>
      <c r="S127" s="40"/>
      <c r="T127" s="39"/>
      <c r="U127" s="38"/>
      <c r="V127" s="37"/>
      <c r="W127" s="36"/>
      <c r="X127" s="41"/>
      <c r="Y127" s="43"/>
      <c r="Z127" s="67"/>
      <c r="AA127" s="67"/>
      <c r="AB127" s="67"/>
      <c r="AC127" s="75"/>
      <c r="AD127" s="70"/>
      <c r="AE127" s="72"/>
      <c r="AF127" s="391"/>
      <c r="AG127" s="54"/>
      <c r="AH127" s="73"/>
      <c r="AI127" s="69"/>
      <c r="AJ127" s="54"/>
      <c r="AK127" s="68"/>
      <c r="AL127" s="67"/>
    </row>
    <row r="128" spans="4:38">
      <c r="D128" s="41"/>
      <c r="E128" s="70"/>
      <c r="F128" s="69"/>
      <c r="G128" s="391"/>
      <c r="H128" s="54"/>
      <c r="I128" s="73"/>
      <c r="J128" s="69"/>
      <c r="K128" s="54"/>
      <c r="L128" s="68"/>
      <c r="M128" s="67"/>
      <c r="N128" s="41"/>
      <c r="O128" s="40"/>
      <c r="P128" s="39"/>
      <c r="Q128" s="390"/>
      <c r="R128" s="38"/>
      <c r="S128" s="40"/>
      <c r="T128" s="39"/>
      <c r="U128" s="38"/>
      <c r="V128" s="37"/>
      <c r="W128" s="36"/>
      <c r="X128" s="464" t="s">
        <v>103</v>
      </c>
      <c r="Y128" s="465"/>
      <c r="Z128" s="67">
        <f>+AJ133</f>
        <v>12606</v>
      </c>
      <c r="AA128" s="67">
        <f>+AJ134</f>
        <v>134</v>
      </c>
      <c r="AB128" s="67">
        <f>+Z128+AA128</f>
        <v>12740</v>
      </c>
      <c r="AC128" s="67"/>
      <c r="AD128" s="70">
        <f>SUM(Z128:AA128,AC128)</f>
        <v>12740</v>
      </c>
      <c r="AE128" s="72"/>
      <c r="AF128" s="391"/>
      <c r="AG128" s="54"/>
      <c r="AH128" s="73">
        <f t="shared" si="113"/>
        <v>0</v>
      </c>
      <c r="AI128" s="69"/>
      <c r="AJ128" s="76">
        <f t="shared" ref="AJ128" si="130">+AD128-AH128-AI128</f>
        <v>12740</v>
      </c>
      <c r="AK128" s="68">
        <f t="shared" si="109"/>
        <v>12740</v>
      </c>
      <c r="AL128" s="67">
        <f t="shared" si="114"/>
        <v>0</v>
      </c>
    </row>
    <row r="129" spans="4:38" ht="14.25" thickBot="1">
      <c r="D129" s="31"/>
      <c r="E129" s="466"/>
      <c r="F129" s="467"/>
      <c r="G129" s="468"/>
      <c r="H129" s="469"/>
      <c r="I129" s="470"/>
      <c r="J129" s="467"/>
      <c r="K129" s="469"/>
      <c r="L129" s="471"/>
      <c r="M129" s="472"/>
      <c r="N129" s="31"/>
      <c r="O129" s="30"/>
      <c r="P129" s="29"/>
      <c r="Q129" s="414"/>
      <c r="R129" s="28"/>
      <c r="S129" s="30"/>
      <c r="T129" s="29"/>
      <c r="U129" s="28"/>
      <c r="V129" s="142"/>
      <c r="W129" s="26"/>
      <c r="X129" s="473"/>
      <c r="Y129" s="474"/>
      <c r="Z129" s="472"/>
      <c r="AA129" s="472"/>
      <c r="AB129" s="472"/>
      <c r="AC129" s="472"/>
      <c r="AD129" s="466"/>
      <c r="AE129" s="475"/>
      <c r="AF129" s="468"/>
      <c r="AG129" s="469"/>
      <c r="AH129" s="470"/>
      <c r="AI129" s="467"/>
      <c r="AJ129" s="469"/>
      <c r="AK129" s="471"/>
      <c r="AL129" s="472"/>
    </row>
    <row r="130" spans="4:38" ht="14.25" thickTop="1">
      <c r="D130" s="23" t="s">
        <v>5</v>
      </c>
      <c r="E130" s="66">
        <f t="shared" ref="E130:M130" si="131">+SUM(E109,E120)</f>
        <v>14196305588</v>
      </c>
      <c r="F130" s="65">
        <f t="shared" si="131"/>
        <v>12799515012</v>
      </c>
      <c r="G130" s="395">
        <f t="shared" si="131"/>
        <v>389424727</v>
      </c>
      <c r="H130" s="64">
        <f>+SUM(H109,H120)</f>
        <v>443703083</v>
      </c>
      <c r="I130" s="405">
        <f t="shared" si="131"/>
        <v>13632642822</v>
      </c>
      <c r="J130" s="65">
        <f t="shared" si="131"/>
        <v>554459513</v>
      </c>
      <c r="K130" s="64">
        <f t="shared" si="131"/>
        <v>9203253</v>
      </c>
      <c r="L130" s="63">
        <f t="shared" si="131"/>
        <v>563662766</v>
      </c>
      <c r="M130" s="62">
        <f t="shared" si="131"/>
        <v>0</v>
      </c>
      <c r="N130" s="23" t="s">
        <v>5</v>
      </c>
      <c r="O130" s="141">
        <f t="shared" ref="O130:W130" si="132">+SUM(O109,O120)</f>
        <v>13983831480</v>
      </c>
      <c r="P130" s="21">
        <f t="shared" si="132"/>
        <v>12635120631</v>
      </c>
      <c r="Q130" s="392">
        <f t="shared" si="132"/>
        <v>373974736</v>
      </c>
      <c r="R130" s="20">
        <f t="shared" si="132"/>
        <v>420649782</v>
      </c>
      <c r="S130" s="402">
        <f t="shared" si="132"/>
        <v>13429745149</v>
      </c>
      <c r="T130" s="21">
        <f t="shared" si="132"/>
        <v>544883078</v>
      </c>
      <c r="U130" s="20">
        <f t="shared" si="132"/>
        <v>9203253</v>
      </c>
      <c r="V130" s="19">
        <f t="shared" si="132"/>
        <v>554086331</v>
      </c>
      <c r="W130" s="17">
        <f t="shared" si="132"/>
        <v>0</v>
      </c>
      <c r="X130" s="23" t="s">
        <v>5</v>
      </c>
      <c r="Y130" s="18">
        <f>+SUM(Y109,Y120)</f>
        <v>14194130775</v>
      </c>
      <c r="Z130" s="137">
        <f>+[1]営外!T17</f>
        <v>210253123</v>
      </c>
      <c r="AA130" s="137">
        <f>+[1]営外!T18</f>
        <v>2233725</v>
      </c>
      <c r="AB130" s="18">
        <f>+SUM(AB109,AB120,AB128)</f>
        <v>14196318328</v>
      </c>
      <c r="AC130" s="18">
        <f>+SUM(AC109,AC120,AC128)</f>
        <v>0</v>
      </c>
      <c r="AD130" s="66">
        <f>+Z130+AA130</f>
        <v>212486848</v>
      </c>
      <c r="AE130" s="65">
        <f>+SUM(AE109,AE120,AE128)</f>
        <v>164394381</v>
      </c>
      <c r="AF130" s="395">
        <f>+SUM(AF109,AF120,AF128)</f>
        <v>15449991</v>
      </c>
      <c r="AG130" s="64">
        <f>+SUM(AG109,AG120,AG128)</f>
        <v>23053301</v>
      </c>
      <c r="AH130" s="405">
        <f>+SUM(AH109,AH120)</f>
        <v>202897673</v>
      </c>
      <c r="AI130" s="65">
        <f>+SUM(AI109,AI120,AI128)</f>
        <v>9576435</v>
      </c>
      <c r="AJ130" s="64">
        <f>+SUM(AJ109,AJ120,AJ128)</f>
        <v>12740</v>
      </c>
      <c r="AK130" s="63">
        <f>+SUM(AK109,AK120)</f>
        <v>9576435</v>
      </c>
      <c r="AL130" s="62">
        <f>+SUM(AL109,AL120)</f>
        <v>0</v>
      </c>
    </row>
    <row r="131" spans="4:38">
      <c r="D131" s="2"/>
      <c r="E131" s="5"/>
      <c r="H131" s="2"/>
      <c r="I131" s="4"/>
      <c r="J131" s="5" t="s">
        <v>34</v>
      </c>
      <c r="K131" s="4">
        <f>AJ97-AJ46-(AJ99-AJ48-((AJ88+AJ89)-(AJ37+AJ38)+K124)+K123)-((AJ88+AJ89)-(AJ37+AJ38)+K124)+K120+K111</f>
        <v>11551611424</v>
      </c>
      <c r="L131" s="5"/>
      <c r="M131" s="1"/>
      <c r="O131" s="449"/>
      <c r="P131" s="449"/>
      <c r="R131" s="5"/>
      <c r="T131" s="5" t="s">
        <v>34</v>
      </c>
      <c r="U131" s="4">
        <f>U97-U46-U132-U133+U125</f>
        <v>11540545955</v>
      </c>
      <c r="V131" s="5"/>
      <c r="W131" s="5"/>
      <c r="X131" s="377" t="s">
        <v>368</v>
      </c>
      <c r="Y131" s="377"/>
      <c r="Z131" s="7">
        <f t="shared" ref="Z131:AG131" si="133">+Z130-Z128</f>
        <v>210240517</v>
      </c>
      <c r="AA131" s="7">
        <f t="shared" si="133"/>
        <v>2233591</v>
      </c>
      <c r="AB131" s="7">
        <f t="shared" si="133"/>
        <v>14196305588</v>
      </c>
      <c r="AC131" s="7">
        <f t="shared" si="133"/>
        <v>0</v>
      </c>
      <c r="AD131" s="7">
        <f t="shared" si="133"/>
        <v>212474108</v>
      </c>
      <c r="AE131" s="123">
        <f t="shared" si="133"/>
        <v>164394381</v>
      </c>
      <c r="AF131" s="398">
        <f t="shared" si="133"/>
        <v>15449991</v>
      </c>
      <c r="AG131" s="9">
        <f t="shared" si="133"/>
        <v>23053301</v>
      </c>
      <c r="AH131" s="408">
        <f>+SUM(AE131:AG131)</f>
        <v>202897673</v>
      </c>
      <c r="AI131" s="10">
        <f>+AI130-AI128</f>
        <v>9576435</v>
      </c>
      <c r="AJ131" s="122">
        <f>+AJ130-AJ128</f>
        <v>0</v>
      </c>
      <c r="AK131" s="8">
        <f>+SUM(AI131:AJ131)</f>
        <v>9576435</v>
      </c>
      <c r="AL131" s="6">
        <f>AD131-SUM(AH131,AK131)</f>
        <v>0</v>
      </c>
    </row>
    <row r="132" spans="4:38">
      <c r="D132" s="2"/>
      <c r="E132" s="2"/>
      <c r="I132" s="4" t="s">
        <v>33</v>
      </c>
      <c r="J132" s="4" t="s">
        <v>32</v>
      </c>
      <c r="K132" s="1">
        <f>+AJ99-AJ48-((AJ88+AJ89)-(AJ37+AJ38)+K124)+K123+K112</f>
        <v>-9092965228</v>
      </c>
      <c r="L132" s="55"/>
      <c r="M132" s="1"/>
      <c r="O132" s="449"/>
      <c r="P132" s="449"/>
      <c r="R132" s="5"/>
      <c r="T132" s="4" t="s">
        <v>32</v>
      </c>
      <c r="U132" s="1">
        <f>+U99-U48-U133</f>
        <v>-9092965228</v>
      </c>
      <c r="V132" s="55"/>
      <c r="W132" s="5"/>
      <c r="X132" s="450"/>
      <c r="Y132" s="409"/>
      <c r="Z132" s="451"/>
      <c r="AA132" s="451"/>
      <c r="AB132" s="409"/>
      <c r="AC132" s="409"/>
      <c r="AD132" s="451"/>
      <c r="AE132" s="451"/>
      <c r="AF132" s="451"/>
      <c r="AG132" s="451"/>
      <c r="AH132" s="451"/>
      <c r="AI132" s="451"/>
      <c r="AJ132" s="451"/>
      <c r="AK132" s="451"/>
      <c r="AL132" s="451"/>
    </row>
    <row r="133" spans="4:38">
      <c r="D133" s="2"/>
      <c r="E133" s="2"/>
      <c r="H133" s="2"/>
      <c r="J133" s="4" t="s">
        <v>31</v>
      </c>
      <c r="K133" s="1">
        <f>+(AJ88+AJ89)-(AJ37+AJ38)+K124+K113</f>
        <v>-1914738997</v>
      </c>
      <c r="L133" s="55"/>
      <c r="M133" s="1"/>
      <c r="O133" s="449"/>
      <c r="P133" s="449"/>
      <c r="R133" s="5"/>
      <c r="T133" s="4" t="s">
        <v>31</v>
      </c>
      <c r="U133" s="1">
        <f>+(U88+U89)-(U37+U38)</f>
        <v>-1914738997</v>
      </c>
      <c r="V133" s="55"/>
      <c r="W133" s="5"/>
      <c r="X133" s="595" t="s">
        <v>369</v>
      </c>
      <c r="Y133" s="136"/>
      <c r="Z133" s="131">
        <f>+雨汚収入!BM65</f>
        <v>23344</v>
      </c>
      <c r="AA133" s="87"/>
      <c r="AB133" s="136">
        <f>+Z133+AA133</f>
        <v>23344</v>
      </c>
      <c r="AC133" s="136"/>
      <c r="AD133" s="136">
        <f>+Z133</f>
        <v>23344</v>
      </c>
      <c r="AE133" s="135">
        <f>+雨汚収入!BF65</f>
        <v>10738</v>
      </c>
      <c r="AF133" s="396">
        <f>+雨汚収入!BG65</f>
        <v>0</v>
      </c>
      <c r="AG133" s="132">
        <f>+雨汚収入!BH65</f>
        <v>0</v>
      </c>
      <c r="AH133" s="103">
        <f t="shared" ref="AH133:AH137" si="134">+SUM(AE133:AG133)</f>
        <v>10738</v>
      </c>
      <c r="AI133" s="133">
        <f>+雨汚収入!BJ65</f>
        <v>0</v>
      </c>
      <c r="AJ133" s="132">
        <f>+雨汚収入!BK65</f>
        <v>12606</v>
      </c>
      <c r="AK133" s="95">
        <f>+SUM(AI133:AJ133)</f>
        <v>12606</v>
      </c>
      <c r="AL133" s="94">
        <f t="shared" si="114"/>
        <v>0</v>
      </c>
    </row>
    <row r="134" spans="4:38" ht="14.25" thickBot="1">
      <c r="D134" s="2"/>
      <c r="E134" s="2"/>
      <c r="H134" s="2"/>
      <c r="J134" s="5" t="s">
        <v>28</v>
      </c>
      <c r="K134" s="2">
        <f>+SUM(K131:K133)</f>
        <v>543907199</v>
      </c>
      <c r="M134" s="1"/>
      <c r="N134" s="172"/>
      <c r="O134" s="449"/>
      <c r="P134" s="449"/>
      <c r="T134" s="172" t="s">
        <v>115</v>
      </c>
      <c r="U134" s="2">
        <f>IF(SUM(U131:U133)&gt;0,0,SUM(U131:U133))</f>
        <v>0</v>
      </c>
      <c r="X134" s="596"/>
      <c r="Y134" s="126"/>
      <c r="Z134" s="126"/>
      <c r="AA134" s="125">
        <f>+ROUND(Z133/Z130*AA130,0)</f>
        <v>248</v>
      </c>
      <c r="AB134" s="126">
        <f>+Z134+AA134</f>
        <v>248</v>
      </c>
      <c r="AC134" s="126"/>
      <c r="AD134" s="126">
        <f>+AA134</f>
        <v>248</v>
      </c>
      <c r="AE134" s="130">
        <f>+IFERROR(ROUND($AD$134/$AD$133*AE133,0),0)</f>
        <v>114</v>
      </c>
      <c r="AF134" s="397">
        <f>+IFERROR(ROUND($AD$134/$AD$133*AF133,0),0)</f>
        <v>0</v>
      </c>
      <c r="AG134" s="128">
        <f>+IFERROR(ROUND($AD$134/$AD$133*AG133,0),0)</f>
        <v>0</v>
      </c>
      <c r="AH134" s="406">
        <f t="shared" si="134"/>
        <v>114</v>
      </c>
      <c r="AI134" s="129">
        <f>+IFERROR(ROUND($AD$134/$AD$133*AI133,0),0)</f>
        <v>0</v>
      </c>
      <c r="AJ134" s="128">
        <f>+IFERROR(ROUND($AD$134/$AD$133*AJ133,0),0)</f>
        <v>134</v>
      </c>
      <c r="AK134" s="127">
        <f>+SUM(AI134:AJ134)</f>
        <v>134</v>
      </c>
      <c r="AL134" s="125">
        <f t="shared" si="114"/>
        <v>0</v>
      </c>
    </row>
    <row r="135" spans="4:38" ht="14.25" thickTop="1">
      <c r="D135" s="2"/>
      <c r="E135" s="2"/>
      <c r="H135" s="2"/>
      <c r="K135" s="53" t="str">
        <f>+IF(K134='[2]3条収入'!AI74,"↑純利益と一致","純利益と不一致!!")</f>
        <v>↑純利益と一致</v>
      </c>
      <c r="M135" s="1"/>
      <c r="O135" s="5"/>
      <c r="P135" s="5"/>
      <c r="S135" s="1"/>
      <c r="U135" s="2"/>
      <c r="V135" s="1"/>
      <c r="W135" s="1"/>
      <c r="X135" s="597"/>
      <c r="Y135" s="18"/>
      <c r="Z135" s="18">
        <f t="shared" ref="Z135:AF135" si="135">+SUM(Z133:Z134)</f>
        <v>23344</v>
      </c>
      <c r="AA135" s="18">
        <f t="shared" si="135"/>
        <v>248</v>
      </c>
      <c r="AB135" s="18">
        <f t="shared" si="135"/>
        <v>23592</v>
      </c>
      <c r="AC135" s="18">
        <f t="shared" si="135"/>
        <v>0</v>
      </c>
      <c r="AD135" s="18">
        <f t="shared" si="135"/>
        <v>23592</v>
      </c>
      <c r="AE135" s="124">
        <f t="shared" si="135"/>
        <v>10852</v>
      </c>
      <c r="AF135" s="392">
        <f t="shared" si="135"/>
        <v>0</v>
      </c>
      <c r="AG135" s="20">
        <f>+SUM(AG133:AG134)</f>
        <v>0</v>
      </c>
      <c r="AH135" s="407">
        <f t="shared" si="134"/>
        <v>10852</v>
      </c>
      <c r="AI135" s="21">
        <f>+SUM(AI133:AI134)</f>
        <v>0</v>
      </c>
      <c r="AJ135" s="20">
        <f>+SUM(AJ133:AJ134)</f>
        <v>12740</v>
      </c>
      <c r="AK135" s="19">
        <f>+SUM(AI135:AJ135)</f>
        <v>12740</v>
      </c>
      <c r="AL135" s="17">
        <f t="shared" si="114"/>
        <v>0</v>
      </c>
    </row>
    <row r="136" spans="4:38">
      <c r="D136" s="2"/>
      <c r="E136" s="2"/>
      <c r="H136" s="2"/>
      <c r="K136" s="2">
        <f>K134-'[2]3条収入'!$AI$74</f>
        <v>0</v>
      </c>
      <c r="M136" s="1"/>
      <c r="O136" s="2"/>
      <c r="P136" s="5"/>
      <c r="S136" s="1"/>
      <c r="U136" s="2"/>
      <c r="V136" s="1"/>
      <c r="W136" s="1"/>
      <c r="X136" s="450"/>
      <c r="Y136" s="409"/>
      <c r="Z136" s="451"/>
      <c r="AA136" s="451"/>
      <c r="AB136" s="409"/>
      <c r="AC136" s="409"/>
      <c r="AD136" s="451"/>
      <c r="AE136" s="451"/>
      <c r="AF136" s="451"/>
      <c r="AG136" s="451"/>
      <c r="AH136" s="451"/>
      <c r="AI136" s="451"/>
      <c r="AJ136" s="451"/>
      <c r="AK136" s="451"/>
      <c r="AL136" s="451"/>
    </row>
    <row r="137" spans="4:38">
      <c r="D137" s="2"/>
      <c r="O137" s="5"/>
      <c r="P137" s="5"/>
      <c r="R137" s="2"/>
      <c r="T137" s="2"/>
      <c r="V137" s="1"/>
      <c r="W137" s="1"/>
      <c r="X137" s="378" t="s">
        <v>102</v>
      </c>
      <c r="Y137" s="378"/>
      <c r="Z137" s="116">
        <f>-AD77</f>
        <v>-1880565</v>
      </c>
      <c r="AA137" s="121"/>
      <c r="AB137" s="116">
        <f>+Z137+AA137</f>
        <v>-1880565</v>
      </c>
      <c r="AC137" s="116"/>
      <c r="AD137" s="116">
        <f>+Z137</f>
        <v>-1880565</v>
      </c>
      <c r="AE137" s="120">
        <f>-AE77</f>
        <v>0</v>
      </c>
      <c r="AF137" s="399">
        <f>-AF77</f>
        <v>0</v>
      </c>
      <c r="AG137" s="118">
        <f>-AG77</f>
        <v>0</v>
      </c>
      <c r="AH137" s="409">
        <f t="shared" si="134"/>
        <v>0</v>
      </c>
      <c r="AI137" s="119">
        <f>-AI77</f>
        <v>0</v>
      </c>
      <c r="AJ137" s="118">
        <f>-AJ77</f>
        <v>-1880565</v>
      </c>
      <c r="AK137" s="117">
        <f>+SUM(AI137:AJ137)</f>
        <v>-1880565</v>
      </c>
      <c r="AL137" s="115">
        <f t="shared" si="114"/>
        <v>0</v>
      </c>
    </row>
    <row r="138" spans="4:38">
      <c r="O138" s="2"/>
      <c r="R138" s="2"/>
      <c r="T138" s="2"/>
      <c r="V138" s="1"/>
      <c r="W138" s="1"/>
      <c r="X138" s="5" t="s">
        <v>34</v>
      </c>
      <c r="Y138" s="5">
        <f>K97-K46-Y139-Y140+Y125</f>
        <v>12819410997</v>
      </c>
      <c r="Z138" s="5"/>
      <c r="AA138" s="1"/>
      <c r="AB138" s="1"/>
      <c r="AD138" s="2"/>
      <c r="AE138" s="2"/>
      <c r="AH138" s="1"/>
      <c r="AJ138" s="2"/>
      <c r="AK138" s="1"/>
      <c r="AL138" s="1"/>
    </row>
    <row r="139" spans="4:38">
      <c r="O139" s="2"/>
      <c r="P139" s="2"/>
      <c r="R139" s="2"/>
      <c r="T139" s="2"/>
      <c r="V139" s="1"/>
      <c r="W139" s="1"/>
      <c r="X139" s="4" t="s">
        <v>32</v>
      </c>
      <c r="Y139" s="5">
        <f>K99-K48-Y140</f>
        <v>-9092965228</v>
      </c>
      <c r="Z139" s="5"/>
      <c r="AA139" s="1"/>
      <c r="AB139" s="1"/>
      <c r="AD139" s="2"/>
      <c r="AE139" s="2"/>
      <c r="AH139" s="1"/>
      <c r="AJ139" s="2"/>
      <c r="AK139" s="1"/>
      <c r="AL139" s="1"/>
    </row>
    <row r="140" spans="4:38">
      <c r="X140" s="4" t="s">
        <v>31</v>
      </c>
      <c r="Y140" s="1">
        <f>+(K88+K89)-(K37+K38)</f>
        <v>-1917578956</v>
      </c>
      <c r="Z140" s="5"/>
      <c r="AA140" s="1"/>
      <c r="AB140" s="1"/>
      <c r="AD140" s="2"/>
      <c r="AE140" s="2"/>
      <c r="AH140" s="1"/>
      <c r="AJ140" s="2"/>
      <c r="AK140" s="1"/>
      <c r="AL140" s="1"/>
    </row>
    <row r="141" spans="4:38">
      <c r="X141" s="1"/>
      <c r="Y141" s="2">
        <f>IF(SUM(Y138:Y140)&gt;0,0,SUM(Y138:Y140))</f>
        <v>0</v>
      </c>
      <c r="Z141" s="173" t="s">
        <v>360</v>
      </c>
      <c r="AA141" s="1"/>
      <c r="AB141" s="1"/>
      <c r="AC141" s="1"/>
      <c r="AD141" s="2"/>
      <c r="AG141" s="2"/>
      <c r="AI141" s="2"/>
      <c r="AK141" s="1"/>
      <c r="AL141" s="1"/>
    </row>
    <row r="142" spans="4:38">
      <c r="Z142" s="1"/>
      <c r="AA142" s="1"/>
      <c r="AB142" s="1"/>
      <c r="AC142" s="1"/>
      <c r="AD142" s="2"/>
      <c r="AG142" s="2"/>
      <c r="AI142" s="2"/>
      <c r="AK142" s="1"/>
      <c r="AL142" s="1"/>
    </row>
    <row r="143" spans="4:38">
      <c r="Z143" s="1"/>
      <c r="AA143" s="1"/>
      <c r="AB143" s="1"/>
      <c r="AC143" s="1"/>
      <c r="AD143" s="2"/>
      <c r="AG143" s="2"/>
      <c r="AI143" s="2"/>
      <c r="AK143" s="1"/>
      <c r="AL143" s="1"/>
    </row>
    <row r="144" spans="4:38">
      <c r="Z144" s="1"/>
      <c r="AA144" s="1"/>
      <c r="AB144" s="1"/>
      <c r="AC144" s="1"/>
      <c r="AD144" s="2"/>
      <c r="AG144" s="2"/>
      <c r="AI144" s="2"/>
      <c r="AK144" s="1"/>
      <c r="AL144" s="1"/>
    </row>
    <row r="145" spans="16:38">
      <c r="Y145" s="1"/>
      <c r="Z145" s="1"/>
      <c r="AA145" s="1"/>
      <c r="AB145" s="1"/>
      <c r="AF145" s="2"/>
      <c r="AG145" s="2"/>
      <c r="AK145" s="1"/>
      <c r="AL145" s="1"/>
    </row>
    <row r="146" spans="16:38">
      <c r="Y146" s="1"/>
      <c r="Z146" s="1"/>
      <c r="AA146" s="1"/>
      <c r="AB146" s="1"/>
      <c r="AF146" s="2"/>
      <c r="AG146" s="2"/>
      <c r="AK146" s="1"/>
      <c r="AL146" s="1"/>
    </row>
    <row r="147" spans="16:38">
      <c r="Y147" s="1"/>
      <c r="Z147" s="1"/>
      <c r="AA147" s="1"/>
      <c r="AB147" s="1"/>
      <c r="AF147" s="2"/>
      <c r="AG147" s="2"/>
      <c r="AK147" s="1"/>
      <c r="AL147" s="1"/>
    </row>
    <row r="148" spans="16:38">
      <c r="Y148" s="1"/>
      <c r="Z148" s="1"/>
      <c r="AA148" s="1"/>
      <c r="AB148" s="1"/>
      <c r="AF148" s="2"/>
      <c r="AG148" s="2"/>
      <c r="AK148" s="1"/>
      <c r="AL148" s="1"/>
    </row>
    <row r="149" spans="16:38">
      <c r="Y149" s="1"/>
      <c r="Z149" s="1"/>
      <c r="AA149" s="1"/>
      <c r="AB149" s="1"/>
      <c r="AF149" s="2"/>
      <c r="AG149" s="2"/>
      <c r="AK149" s="1"/>
      <c r="AL149" s="1"/>
    </row>
    <row r="150" spans="16:38">
      <c r="Y150" s="1"/>
      <c r="Z150" s="1"/>
      <c r="AA150" s="1"/>
      <c r="AB150" s="1"/>
      <c r="AF150" s="2"/>
      <c r="AG150" s="2"/>
      <c r="AK150" s="1"/>
      <c r="AL150" s="1"/>
    </row>
    <row r="151" spans="16:38">
      <c r="P151" s="570"/>
      <c r="Q151" s="570"/>
      <c r="R151" s="570"/>
      <c r="S151" s="570"/>
      <c r="T151" s="570"/>
      <c r="U151" s="570"/>
      <c r="V151" s="570"/>
      <c r="Y151" s="1"/>
      <c r="Z151" s="1"/>
      <c r="AA151" s="1"/>
      <c r="AB151" s="1"/>
      <c r="AF151" s="2"/>
      <c r="AG151" s="2"/>
      <c r="AK151" s="1"/>
      <c r="AL151" s="1"/>
    </row>
    <row r="152" spans="16:38">
      <c r="P152" s="570"/>
      <c r="Q152" s="570"/>
      <c r="R152" s="570"/>
      <c r="S152" s="570"/>
      <c r="T152" s="570"/>
      <c r="U152" s="570"/>
      <c r="V152" s="570"/>
    </row>
    <row r="153" spans="16:38">
      <c r="P153" s="570"/>
      <c r="Q153" s="570"/>
      <c r="R153" s="570"/>
      <c r="S153" s="570"/>
      <c r="T153" s="570"/>
      <c r="U153" s="570"/>
      <c r="V153" s="570"/>
    </row>
    <row r="154" spans="16:38">
      <c r="P154" s="570"/>
      <c r="Q154" s="570"/>
      <c r="R154" s="570"/>
      <c r="S154" s="570"/>
      <c r="T154" s="570"/>
      <c r="U154" s="570"/>
      <c r="V154" s="570"/>
    </row>
    <row r="155" spans="16:38">
      <c r="P155" s="570"/>
      <c r="Q155" s="570"/>
      <c r="R155" s="570"/>
      <c r="S155" s="570"/>
      <c r="T155" s="570"/>
      <c r="U155" s="570"/>
      <c r="V155" s="570"/>
    </row>
    <row r="156" spans="16:38">
      <c r="P156" s="570"/>
      <c r="Q156" s="570"/>
      <c r="R156" s="570"/>
      <c r="S156" s="570"/>
      <c r="T156" s="570"/>
      <c r="U156" s="570"/>
      <c r="V156" s="570"/>
    </row>
    <row r="157" spans="16:38">
      <c r="P157" s="570"/>
      <c r="Q157" s="570"/>
      <c r="R157" s="570"/>
      <c r="S157" s="570"/>
      <c r="T157" s="570"/>
      <c r="U157" s="570"/>
      <c r="V157" s="570"/>
    </row>
    <row r="158" spans="16:38">
      <c r="P158" s="570"/>
      <c r="Q158" s="570"/>
      <c r="R158" s="570"/>
      <c r="S158" s="570"/>
      <c r="T158" s="570"/>
      <c r="U158" s="570"/>
      <c r="V158" s="570"/>
    </row>
    <row r="159" spans="16:38">
      <c r="P159" s="570"/>
      <c r="Q159" s="570"/>
      <c r="R159" s="570"/>
      <c r="S159" s="570"/>
      <c r="T159" s="570"/>
      <c r="U159" s="570"/>
      <c r="V159" s="570"/>
    </row>
    <row r="160" spans="16:38">
      <c r="P160" s="570"/>
      <c r="Q160" s="570"/>
      <c r="R160" s="570"/>
      <c r="S160" s="570"/>
      <c r="T160" s="570"/>
      <c r="U160" s="570"/>
      <c r="V160" s="570"/>
    </row>
    <row r="161" spans="16:22">
      <c r="P161" s="570"/>
      <c r="Q161" s="570"/>
      <c r="R161" s="570"/>
      <c r="S161" s="570"/>
      <c r="T161" s="570"/>
      <c r="U161" s="570"/>
      <c r="V161" s="570"/>
    </row>
    <row r="162" spans="16:22">
      <c r="S162" s="1"/>
      <c r="V162" s="1"/>
    </row>
    <row r="163" spans="16:22">
      <c r="S163" s="1"/>
      <c r="V163" s="1"/>
    </row>
    <row r="164" spans="16:22">
      <c r="S164" s="1"/>
      <c r="V164" s="1"/>
    </row>
    <row r="165" spans="16:22">
      <c r="S165" s="1"/>
      <c r="V165" s="1"/>
    </row>
    <row r="166" spans="16:22">
      <c r="S166" s="1"/>
      <c r="V166" s="1"/>
    </row>
    <row r="167" spans="16:22">
      <c r="S167" s="1"/>
      <c r="V167" s="1"/>
    </row>
  </sheetData>
  <mergeCells count="63">
    <mergeCell ref="T55:V55"/>
    <mergeCell ref="W55:W57"/>
    <mergeCell ref="AL106:AL108"/>
    <mergeCell ref="Z106:Z108"/>
    <mergeCell ref="AE106:AH106"/>
    <mergeCell ref="AA106:AA108"/>
    <mergeCell ref="Y106:Y108"/>
    <mergeCell ref="AB106:AB108"/>
    <mergeCell ref="AD106:AD108"/>
    <mergeCell ref="X133:X135"/>
    <mergeCell ref="W106:W108"/>
    <mergeCell ref="AI106:AK106"/>
    <mergeCell ref="T106:V106"/>
    <mergeCell ref="O106:O108"/>
    <mergeCell ref="P106:S106"/>
    <mergeCell ref="N54:N57"/>
    <mergeCell ref="N105:N108"/>
    <mergeCell ref="O54:W54"/>
    <mergeCell ref="B3:C6"/>
    <mergeCell ref="F4:I4"/>
    <mergeCell ref="E3:M3"/>
    <mergeCell ref="E4:E6"/>
    <mergeCell ref="J4:L4"/>
    <mergeCell ref="M4:M6"/>
    <mergeCell ref="W4:W6"/>
    <mergeCell ref="J106:L106"/>
    <mergeCell ref="M106:M108"/>
    <mergeCell ref="O4:O6"/>
    <mergeCell ref="N3:N6"/>
    <mergeCell ref="O55:O57"/>
    <mergeCell ref="P55:S55"/>
    <mergeCell ref="T4:V4"/>
    <mergeCell ref="O3:W3"/>
    <mergeCell ref="D54:D57"/>
    <mergeCell ref="F106:I106"/>
    <mergeCell ref="AI55:AK55"/>
    <mergeCell ref="E54:M54"/>
    <mergeCell ref="E55:E57"/>
    <mergeCell ref="F55:I55"/>
    <mergeCell ref="J55:L55"/>
    <mergeCell ref="M55:M57"/>
    <mergeCell ref="AE55:AH55"/>
    <mergeCell ref="Y105:AL105"/>
    <mergeCell ref="O105:W105"/>
    <mergeCell ref="E105:M105"/>
    <mergeCell ref="X105:X108"/>
    <mergeCell ref="E106:E108"/>
    <mergeCell ref="D105:D108"/>
    <mergeCell ref="AD55:AD57"/>
    <mergeCell ref="AL55:AL57"/>
    <mergeCell ref="A56:A57"/>
    <mergeCell ref="AL4:AL6"/>
    <mergeCell ref="B54:C57"/>
    <mergeCell ref="X3:X6"/>
    <mergeCell ref="AD3:AL3"/>
    <mergeCell ref="AD4:AD6"/>
    <mergeCell ref="AE4:AH4"/>
    <mergeCell ref="AI4:AK4"/>
    <mergeCell ref="X54:X57"/>
    <mergeCell ref="AD54:AL54"/>
    <mergeCell ref="A5:A6"/>
    <mergeCell ref="D3:D6"/>
    <mergeCell ref="P4:S4"/>
  </mergeCells>
  <phoneticPr fontId="2"/>
  <conditionalFormatting sqref="W58:W97 AL58:AL97 W109:W130 M109:M130 W100 AL100 AL109:AL135 AL137 M58:M100">
    <cfRule type="cellIs" dxfId="66" priority="10" operator="notEqual">
      <formula>0</formula>
    </cfRule>
  </conditionalFormatting>
  <conditionalFormatting sqref="W7:W46 W49 AL49 AL7:AL46">
    <cfRule type="cellIs" dxfId="65" priority="7" operator="notEqual">
      <formula>0</formula>
    </cfRule>
  </conditionalFormatting>
  <conditionalFormatting sqref="M7:M49">
    <cfRule type="cellIs" dxfId="64" priority="6" operator="notEqual">
      <formula>0</formula>
    </cfRule>
  </conditionalFormatting>
  <conditionalFormatting sqref="W98:W99">
    <cfRule type="cellIs" dxfId="63" priority="5" operator="notEqual">
      <formula>0</formula>
    </cfRule>
  </conditionalFormatting>
  <conditionalFormatting sqref="AL98:AL99">
    <cfRule type="cellIs" dxfId="62" priority="4" operator="notEqual">
      <formula>0</formula>
    </cfRule>
  </conditionalFormatting>
  <conditionalFormatting sqref="W47:W48">
    <cfRule type="cellIs" dxfId="61" priority="3" operator="notEqual">
      <formula>0</formula>
    </cfRule>
  </conditionalFormatting>
  <conditionalFormatting sqref="AL47:AL48">
    <cfRule type="cellIs" dxfId="60" priority="2" operator="notEqual">
      <formula>0</formula>
    </cfRule>
  </conditionalFormatting>
  <conditionalFormatting sqref="AL136">
    <cfRule type="cellIs" dxfId="59" priority="1" operator="notEqual">
      <formula>0</formula>
    </cfRule>
  </conditionalFormatting>
  <printOptions horizontalCentered="1"/>
  <pageMargins left="0.39370078740157483" right="0.39370078740157483" top="0.78740157480314965" bottom="0.19685039370078741" header="0.19685039370078741" footer="0.19685039370078741"/>
  <pageSetup paperSize="9" scale="71" fitToWidth="3" fitToHeight="3" orientation="landscape" blackAndWhite="1" r:id="rId1"/>
  <rowBreaks count="2" manualBreakCount="2">
    <brk id="51" max="16383" man="1"/>
    <brk id="102" max="16383" man="1"/>
  </rowBreaks>
  <colBreaks count="1" manualBreakCount="1">
    <brk id="23" max="139"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7C80"/>
    <pageSetUpPr fitToPage="1"/>
  </sheetPr>
  <dimension ref="A1:BT902"/>
  <sheetViews>
    <sheetView zoomScale="70" zoomScaleNormal="70" workbookViewId="0">
      <pane xSplit="18" ySplit="2" topLeftCell="BE3" activePane="bottomRight" state="frozen"/>
      <selection activeCell="E1" sqref="E1"/>
      <selection pane="topRight" activeCell="S1" sqref="S1"/>
      <selection pane="bottomLeft" activeCell="E3" sqref="E3"/>
      <selection pane="bottomRight" activeCell="BO12" sqref="BO12"/>
    </sheetView>
  </sheetViews>
  <sheetFormatPr defaultColWidth="9" defaultRowHeight="13.5" outlineLevelCol="1"/>
  <cols>
    <col min="1" max="1" width="3.375" style="193" customWidth="1" outlineLevel="1"/>
    <col min="2" max="4" width="4.25" style="193" customWidth="1" outlineLevel="1"/>
    <col min="5" max="5" width="6" style="193" customWidth="1"/>
    <col min="6" max="7" width="4.375" style="193" hidden="1" customWidth="1" outlineLevel="1"/>
    <col min="8" max="8" width="61.125" style="193" customWidth="1" collapsed="1"/>
    <col min="9" max="9" width="6.625" style="193" customWidth="1" outlineLevel="1"/>
    <col min="10" max="13" width="6.125" style="193" customWidth="1" outlineLevel="1"/>
    <col min="14" max="14" width="3.625" style="193" customWidth="1" outlineLevel="1"/>
    <col min="15" max="15" width="6.25" style="193" customWidth="1" outlineLevel="1"/>
    <col min="16" max="16" width="7.875" style="193" customWidth="1"/>
    <col min="17" max="19" width="9" style="193" customWidth="1"/>
    <col min="20" max="24" width="9" style="193" hidden="1" customWidth="1" outlineLevel="1"/>
    <col min="25" max="25" width="11.375" style="193" bestFit="1" customWidth="1" collapsed="1"/>
    <col min="26" max="31" width="4.25" style="193" hidden="1" customWidth="1" outlineLevel="1"/>
    <col min="32" max="32" width="5.375" style="193" hidden="1" customWidth="1" outlineLevel="1"/>
    <col min="33" max="33" width="6" style="193" hidden="1" customWidth="1" outlineLevel="1"/>
    <col min="34" max="36" width="9" style="193" hidden="1" customWidth="1" outlineLevel="1"/>
    <col min="37" max="37" width="2.375" style="193" hidden="1" customWidth="1" outlineLevel="1"/>
    <col min="38" max="38" width="5.875" style="193" hidden="1" customWidth="1" outlineLevel="1"/>
    <col min="39" max="39" width="6.125" style="193" hidden="1" customWidth="1" outlineLevel="1"/>
    <col min="40" max="41" width="9" style="193" hidden="1" customWidth="1" outlineLevel="1"/>
    <col min="42" max="43" width="6.125" style="193" hidden="1" customWidth="1" outlineLevel="1"/>
    <col min="44" max="44" width="2.125" style="193" hidden="1" customWidth="1" outlineLevel="1"/>
    <col min="45" max="46" width="9" style="193" hidden="1" customWidth="1" outlineLevel="1"/>
    <col min="47" max="47" width="2.125" style="193" hidden="1" customWidth="1" outlineLevel="1"/>
    <col min="48" max="48" width="10.625" style="194" customWidth="1" collapsed="1"/>
    <col min="49" max="56" width="10.625" style="194" customWidth="1"/>
    <col min="57" max="57" width="4" style="194" customWidth="1"/>
    <col min="58" max="65" width="10.625" style="194" customWidth="1"/>
    <col min="66" max="66" width="14.25" style="194" customWidth="1"/>
    <col min="67" max="67" width="11.375" style="193" bestFit="1" customWidth="1"/>
    <col min="68" max="16384" width="9" style="193"/>
  </cols>
  <sheetData>
    <row r="1" spans="14:68" ht="13.5" customHeight="1">
      <c r="Q1" s="207"/>
      <c r="R1" s="206" t="s">
        <v>227</v>
      </c>
      <c r="AV1" s="607" t="s">
        <v>213</v>
      </c>
      <c r="AW1" s="607"/>
      <c r="AX1" s="607"/>
      <c r="AY1" s="607"/>
      <c r="AZ1" s="607" t="s">
        <v>212</v>
      </c>
      <c r="BA1" s="607"/>
      <c r="BB1" s="607"/>
      <c r="BC1" s="609" t="s">
        <v>211</v>
      </c>
      <c r="BD1" s="607" t="s">
        <v>224</v>
      </c>
      <c r="BE1" s="198"/>
      <c r="BF1" s="607" t="s">
        <v>367</v>
      </c>
      <c r="BG1" s="607"/>
      <c r="BH1" s="607"/>
      <c r="BI1" s="607"/>
      <c r="BJ1" s="607" t="s">
        <v>209</v>
      </c>
      <c r="BK1" s="607"/>
      <c r="BL1" s="607"/>
      <c r="BM1" s="609" t="s">
        <v>208</v>
      </c>
      <c r="BN1" s="609" t="s">
        <v>223</v>
      </c>
      <c r="BO1" s="609" t="s">
        <v>222</v>
      </c>
    </row>
    <row r="2" spans="14:68">
      <c r="Y2" s="193" t="s">
        <v>374</v>
      </c>
      <c r="AV2" s="384" t="s">
        <v>162</v>
      </c>
      <c r="AW2" s="384" t="s">
        <v>161</v>
      </c>
      <c r="AX2" s="384" t="s">
        <v>359</v>
      </c>
      <c r="AY2" s="384" t="s">
        <v>158</v>
      </c>
      <c r="AZ2" s="198" t="s">
        <v>160</v>
      </c>
      <c r="BA2" s="198" t="s">
        <v>159</v>
      </c>
      <c r="BB2" s="198" t="s">
        <v>158</v>
      </c>
      <c r="BC2" s="607"/>
      <c r="BD2" s="607"/>
      <c r="BE2" s="198"/>
      <c r="BF2" s="384" t="s">
        <v>162</v>
      </c>
      <c r="BG2" s="384" t="s">
        <v>161</v>
      </c>
      <c r="BH2" s="384" t="s">
        <v>359</v>
      </c>
      <c r="BI2" s="384" t="s">
        <v>158</v>
      </c>
      <c r="BJ2" s="198" t="s">
        <v>160</v>
      </c>
      <c r="BK2" s="198" t="s">
        <v>159</v>
      </c>
      <c r="BL2" s="198" t="s">
        <v>158</v>
      </c>
      <c r="BM2" s="607"/>
      <c r="BN2" s="609"/>
      <c r="BO2" s="609"/>
    </row>
    <row r="3" spans="14:68">
      <c r="N3" s="205" t="s">
        <v>221</v>
      </c>
      <c r="O3" s="193" t="s">
        <v>129</v>
      </c>
      <c r="P3" s="193" t="s">
        <v>150</v>
      </c>
      <c r="Q3" s="193" t="s">
        <v>66</v>
      </c>
      <c r="R3" s="193" t="s">
        <v>66</v>
      </c>
      <c r="Y3" s="194">
        <f t="shared" ref="Y3:Y20" si="0">+SUMIFS(Y$69:Y$891,$N$69:$N$891,$N3)</f>
        <v>0</v>
      </c>
      <c r="AV3" s="194">
        <f t="shared" ref="AV3:BC12" si="1">+SUMIFS(AV$69:AV$894,$N$69:$N$894,$N3)</f>
        <v>0</v>
      </c>
      <c r="AW3" s="194">
        <f t="shared" si="1"/>
        <v>0</v>
      </c>
      <c r="AX3" s="194">
        <f t="shared" si="1"/>
        <v>0</v>
      </c>
      <c r="AY3" s="194">
        <f t="shared" si="1"/>
        <v>0</v>
      </c>
      <c r="AZ3" s="194">
        <f t="shared" si="1"/>
        <v>0</v>
      </c>
      <c r="BA3" s="194">
        <f t="shared" si="1"/>
        <v>0</v>
      </c>
      <c r="BB3" s="194">
        <f t="shared" si="1"/>
        <v>0</v>
      </c>
      <c r="BC3" s="194">
        <f t="shared" si="1"/>
        <v>0</v>
      </c>
      <c r="BD3" s="194">
        <f t="shared" ref="BD3:BD20" si="2">+SUMIFS(BD$69:BD$784,$N$69:$N$784,$N3)</f>
        <v>0</v>
      </c>
      <c r="BF3" s="194">
        <f t="shared" ref="BF3:BL12" si="3">+SUMIFS(BF$69:BF$891,$N$69:$N$891,$N3)</f>
        <v>0</v>
      </c>
      <c r="BG3" s="194">
        <f t="shared" si="3"/>
        <v>0</v>
      </c>
      <c r="BH3" s="194">
        <f t="shared" si="3"/>
        <v>0</v>
      </c>
      <c r="BI3" s="194">
        <f t="shared" si="3"/>
        <v>0</v>
      </c>
      <c r="BJ3" s="194">
        <f t="shared" si="3"/>
        <v>0</v>
      </c>
      <c r="BK3" s="194">
        <f t="shared" si="3"/>
        <v>0</v>
      </c>
      <c r="BL3" s="194">
        <f t="shared" si="3"/>
        <v>0</v>
      </c>
      <c r="BM3" s="194">
        <f t="shared" ref="BM3:BM20" si="4">+SUMIFS(BM$69:BM$894,$N$69:$N$894,$N3)</f>
        <v>0</v>
      </c>
      <c r="BN3" s="194">
        <f t="shared" ref="BN3:BN19" si="5">+BO3-BM3</f>
        <v>0</v>
      </c>
      <c r="BO3" s="203">
        <f>+SUMIFS('[2]3条収入'!$AI$6:$AI$70,'[2]3条収入'!$C$6:$C$70,雨汚収入!N3)</f>
        <v>0</v>
      </c>
    </row>
    <row r="4" spans="14:68">
      <c r="N4" s="193" t="s">
        <v>157</v>
      </c>
      <c r="O4" s="193" t="s">
        <v>129</v>
      </c>
      <c r="P4" s="193" t="s">
        <v>150</v>
      </c>
      <c r="Q4" s="193" t="s">
        <v>149</v>
      </c>
      <c r="R4" s="193" t="s">
        <v>156</v>
      </c>
      <c r="Y4" s="194">
        <f t="shared" si="0"/>
        <v>187826166</v>
      </c>
      <c r="AV4" s="194">
        <f t="shared" si="1"/>
        <v>0</v>
      </c>
      <c r="AW4" s="194">
        <f t="shared" si="1"/>
        <v>0</v>
      </c>
      <c r="AX4" s="194">
        <f t="shared" si="1"/>
        <v>37753060</v>
      </c>
      <c r="AY4" s="194">
        <f t="shared" si="1"/>
        <v>37753060</v>
      </c>
      <c r="AZ4" s="194">
        <f t="shared" si="1"/>
        <v>0</v>
      </c>
      <c r="BA4" s="194">
        <f t="shared" si="1"/>
        <v>150073106</v>
      </c>
      <c r="BB4" s="194">
        <f t="shared" si="1"/>
        <v>150073106</v>
      </c>
      <c r="BC4" s="194">
        <f t="shared" si="1"/>
        <v>187826166</v>
      </c>
      <c r="BD4" s="194">
        <f t="shared" si="2"/>
        <v>0</v>
      </c>
      <c r="BF4" s="194">
        <f t="shared" si="3"/>
        <v>0</v>
      </c>
      <c r="BG4" s="194">
        <f t="shared" si="3"/>
        <v>0</v>
      </c>
      <c r="BH4" s="194">
        <f t="shared" si="3"/>
        <v>34320964</v>
      </c>
      <c r="BI4" s="194">
        <f t="shared" si="3"/>
        <v>34320964</v>
      </c>
      <c r="BJ4" s="194">
        <f t="shared" si="3"/>
        <v>0</v>
      </c>
      <c r="BK4" s="194">
        <f t="shared" si="3"/>
        <v>136430096</v>
      </c>
      <c r="BL4" s="194">
        <f t="shared" si="3"/>
        <v>136430096</v>
      </c>
      <c r="BM4" s="194">
        <f t="shared" si="4"/>
        <v>170751060</v>
      </c>
      <c r="BN4" s="194">
        <f t="shared" si="5"/>
        <v>0</v>
      </c>
      <c r="BO4" s="203">
        <f>+SUMIFS('[2]3条収入'!$AI$6:$AI$70,'[2]3条収入'!$C$6:$C$70,雨汚収入!N4)</f>
        <v>170751060</v>
      </c>
    </row>
    <row r="5" spans="14:68">
      <c r="N5" s="193" t="s">
        <v>155</v>
      </c>
      <c r="O5" s="193" t="s">
        <v>129</v>
      </c>
      <c r="P5" s="193" t="s">
        <v>150</v>
      </c>
      <c r="Q5" s="193" t="s">
        <v>149</v>
      </c>
      <c r="R5" s="193" t="s">
        <v>154</v>
      </c>
      <c r="Y5" s="194">
        <f t="shared" si="0"/>
        <v>1409733</v>
      </c>
      <c r="AV5" s="194">
        <f t="shared" si="1"/>
        <v>902422</v>
      </c>
      <c r="AW5" s="194">
        <f t="shared" si="1"/>
        <v>507311</v>
      </c>
      <c r="AX5" s="194">
        <f t="shared" si="1"/>
        <v>0</v>
      </c>
      <c r="AY5" s="194">
        <f t="shared" si="1"/>
        <v>1409733</v>
      </c>
      <c r="AZ5" s="194">
        <f t="shared" si="1"/>
        <v>0</v>
      </c>
      <c r="BA5" s="194">
        <f t="shared" si="1"/>
        <v>0</v>
      </c>
      <c r="BB5" s="194">
        <f t="shared" si="1"/>
        <v>0</v>
      </c>
      <c r="BC5" s="194">
        <f t="shared" si="1"/>
        <v>1409733</v>
      </c>
      <c r="BD5" s="194">
        <f t="shared" si="2"/>
        <v>0</v>
      </c>
      <c r="BF5" s="194">
        <f t="shared" si="3"/>
        <v>820384</v>
      </c>
      <c r="BG5" s="194">
        <f t="shared" si="3"/>
        <v>461192</v>
      </c>
      <c r="BH5" s="194">
        <f t="shared" si="3"/>
        <v>0</v>
      </c>
      <c r="BI5" s="194">
        <f t="shared" si="3"/>
        <v>1281576</v>
      </c>
      <c r="BJ5" s="194">
        <f t="shared" si="3"/>
        <v>0</v>
      </c>
      <c r="BK5" s="194">
        <f t="shared" si="3"/>
        <v>0</v>
      </c>
      <c r="BL5" s="194">
        <f t="shared" si="3"/>
        <v>0</v>
      </c>
      <c r="BM5" s="194">
        <f t="shared" si="4"/>
        <v>1281576</v>
      </c>
      <c r="BN5" s="194">
        <f t="shared" si="5"/>
        <v>0</v>
      </c>
      <c r="BO5" s="203">
        <f>+SUMIFS('[2]3条収入'!$AI$6:$AI$70,'[2]3条収入'!$C$6:$C$70,雨汚収入!N5)</f>
        <v>1281576</v>
      </c>
    </row>
    <row r="6" spans="14:68">
      <c r="N6" s="193" t="s">
        <v>153</v>
      </c>
      <c r="O6" s="193" t="s">
        <v>129</v>
      </c>
      <c r="P6" s="193" t="s">
        <v>150</v>
      </c>
      <c r="Q6" s="193" t="s">
        <v>149</v>
      </c>
      <c r="R6" s="193" t="s">
        <v>148</v>
      </c>
      <c r="S6" s="193" t="s">
        <v>152</v>
      </c>
      <c r="Y6" s="194">
        <f t="shared" si="0"/>
        <v>71970</v>
      </c>
      <c r="AV6" s="194">
        <f t="shared" si="1"/>
        <v>32943</v>
      </c>
      <c r="AW6" s="194">
        <f t="shared" si="1"/>
        <v>0</v>
      </c>
      <c r="AX6" s="194">
        <f t="shared" si="1"/>
        <v>0</v>
      </c>
      <c r="AY6" s="194">
        <f t="shared" si="1"/>
        <v>32943</v>
      </c>
      <c r="AZ6" s="194">
        <f t="shared" si="1"/>
        <v>0</v>
      </c>
      <c r="BA6" s="194">
        <f t="shared" si="1"/>
        <v>39027</v>
      </c>
      <c r="BB6" s="194">
        <f t="shared" si="1"/>
        <v>39027</v>
      </c>
      <c r="BC6" s="194">
        <f t="shared" si="1"/>
        <v>71970</v>
      </c>
      <c r="BD6" s="194">
        <f t="shared" si="2"/>
        <v>0</v>
      </c>
      <c r="BF6" s="194">
        <f t="shared" si="3"/>
        <v>32943</v>
      </c>
      <c r="BG6" s="194">
        <f t="shared" si="3"/>
        <v>0</v>
      </c>
      <c r="BH6" s="194">
        <f t="shared" si="3"/>
        <v>0</v>
      </c>
      <c r="BI6" s="194">
        <f t="shared" si="3"/>
        <v>32943</v>
      </c>
      <c r="BJ6" s="194">
        <f t="shared" si="3"/>
        <v>0</v>
      </c>
      <c r="BK6" s="194">
        <f t="shared" si="3"/>
        <v>39027</v>
      </c>
      <c r="BL6" s="194">
        <f t="shared" si="3"/>
        <v>39027</v>
      </c>
      <c r="BM6" s="194">
        <f t="shared" si="4"/>
        <v>71970</v>
      </c>
      <c r="BN6" s="194">
        <f t="shared" si="5"/>
        <v>0</v>
      </c>
      <c r="BO6" s="203">
        <f>+SUMIFS('[2]3条収入'!$AI$6:$AI$70,'[2]3条収入'!$C$6:$C$70,雨汚収入!N6)</f>
        <v>71970</v>
      </c>
    </row>
    <row r="7" spans="14:68">
      <c r="N7" s="193" t="s">
        <v>151</v>
      </c>
      <c r="O7" s="193" t="s">
        <v>129</v>
      </c>
      <c r="P7" s="193" t="s">
        <v>150</v>
      </c>
      <c r="Q7" s="193" t="s">
        <v>149</v>
      </c>
      <c r="R7" s="193" t="s">
        <v>148</v>
      </c>
      <c r="S7" s="193" t="s">
        <v>147</v>
      </c>
      <c r="Y7" s="194">
        <f t="shared" si="0"/>
        <v>539000</v>
      </c>
      <c r="AV7" s="194">
        <f t="shared" si="1"/>
        <v>0</v>
      </c>
      <c r="AW7" s="194">
        <f t="shared" si="1"/>
        <v>0</v>
      </c>
      <c r="AX7" s="194">
        <f t="shared" si="1"/>
        <v>0</v>
      </c>
      <c r="AY7" s="194">
        <f t="shared" si="1"/>
        <v>0</v>
      </c>
      <c r="AZ7" s="194">
        <f t="shared" si="1"/>
        <v>269500</v>
      </c>
      <c r="BA7" s="194">
        <f t="shared" si="1"/>
        <v>269500</v>
      </c>
      <c r="BB7" s="194">
        <f t="shared" si="1"/>
        <v>539000</v>
      </c>
      <c r="BC7" s="194">
        <f t="shared" si="1"/>
        <v>539000</v>
      </c>
      <c r="BD7" s="194">
        <f t="shared" si="2"/>
        <v>0</v>
      </c>
      <c r="BF7" s="194">
        <f t="shared" si="3"/>
        <v>0</v>
      </c>
      <c r="BG7" s="194">
        <f t="shared" si="3"/>
        <v>0</v>
      </c>
      <c r="BH7" s="194">
        <f t="shared" si="3"/>
        <v>0</v>
      </c>
      <c r="BI7" s="194">
        <f t="shared" si="3"/>
        <v>0</v>
      </c>
      <c r="BJ7" s="194">
        <f t="shared" si="3"/>
        <v>269500</v>
      </c>
      <c r="BK7" s="194">
        <f t="shared" si="3"/>
        <v>269500</v>
      </c>
      <c r="BL7" s="194">
        <f t="shared" si="3"/>
        <v>539000</v>
      </c>
      <c r="BM7" s="194">
        <f t="shared" si="4"/>
        <v>539000</v>
      </c>
      <c r="BN7" s="194">
        <f t="shared" si="5"/>
        <v>0</v>
      </c>
      <c r="BO7" s="203">
        <f>+SUMIFS('[2]3条収入'!$AI$6:$AI$70,'[2]3条収入'!$C$6:$C$70,雨汚収入!N7)</f>
        <v>539000</v>
      </c>
    </row>
    <row r="8" spans="14:68">
      <c r="N8" s="442" t="s">
        <v>364</v>
      </c>
      <c r="O8" s="193" t="s">
        <v>129</v>
      </c>
      <c r="P8" s="193" t="s">
        <v>138</v>
      </c>
      <c r="Q8" s="193" t="s">
        <v>362</v>
      </c>
      <c r="Y8" s="194">
        <f t="shared" si="0"/>
        <v>0</v>
      </c>
      <c r="AV8" s="194">
        <f t="shared" si="1"/>
        <v>0</v>
      </c>
      <c r="AW8" s="194">
        <f t="shared" si="1"/>
        <v>0</v>
      </c>
      <c r="AX8" s="194">
        <f t="shared" si="1"/>
        <v>0</v>
      </c>
      <c r="AY8" s="194">
        <f t="shared" si="1"/>
        <v>0</v>
      </c>
      <c r="AZ8" s="194">
        <f t="shared" si="1"/>
        <v>0</v>
      </c>
      <c r="BA8" s="194">
        <f t="shared" si="1"/>
        <v>0</v>
      </c>
      <c r="BB8" s="194">
        <f t="shared" si="1"/>
        <v>0</v>
      </c>
      <c r="BC8" s="194">
        <f t="shared" si="1"/>
        <v>0</v>
      </c>
      <c r="BD8" s="194">
        <f t="shared" si="2"/>
        <v>0</v>
      </c>
      <c r="BF8" s="194">
        <f t="shared" si="3"/>
        <v>0</v>
      </c>
      <c r="BG8" s="194">
        <f t="shared" si="3"/>
        <v>0</v>
      </c>
      <c r="BH8" s="194">
        <f t="shared" si="3"/>
        <v>0</v>
      </c>
      <c r="BI8" s="194">
        <f t="shared" si="3"/>
        <v>0</v>
      </c>
      <c r="BJ8" s="194">
        <f t="shared" si="3"/>
        <v>0</v>
      </c>
      <c r="BK8" s="194">
        <f t="shared" si="3"/>
        <v>0</v>
      </c>
      <c r="BL8" s="194">
        <f t="shared" si="3"/>
        <v>0</v>
      </c>
      <c r="BM8" s="194">
        <f t="shared" si="4"/>
        <v>0</v>
      </c>
      <c r="BN8" s="194">
        <f t="shared" ref="BN8" si="6">+BO8-BM8</f>
        <v>0</v>
      </c>
      <c r="BO8" s="203">
        <f>+SUMIFS('[2]3条収入'!$AI$6:$AI$70,'[2]3条収入'!$C$6:$C$70,雨汚収入!N8)</f>
        <v>0</v>
      </c>
    </row>
    <row r="9" spans="14:68">
      <c r="N9" s="193" t="s">
        <v>146</v>
      </c>
      <c r="O9" s="193" t="s">
        <v>129</v>
      </c>
      <c r="P9" s="193" t="s">
        <v>138</v>
      </c>
      <c r="Q9" s="193" t="s">
        <v>42</v>
      </c>
      <c r="R9" s="193" t="s">
        <v>145</v>
      </c>
      <c r="Y9" s="194">
        <f t="shared" si="0"/>
        <v>88770</v>
      </c>
      <c r="AV9" s="194">
        <f t="shared" si="1"/>
        <v>44385</v>
      </c>
      <c r="AW9" s="194">
        <f t="shared" si="1"/>
        <v>0</v>
      </c>
      <c r="AX9" s="194">
        <f t="shared" si="1"/>
        <v>0</v>
      </c>
      <c r="AY9" s="194">
        <f t="shared" si="1"/>
        <v>44385</v>
      </c>
      <c r="AZ9" s="194">
        <f t="shared" si="1"/>
        <v>0</v>
      </c>
      <c r="BA9" s="194">
        <f t="shared" si="1"/>
        <v>44385</v>
      </c>
      <c r="BB9" s="194">
        <f t="shared" si="1"/>
        <v>44385</v>
      </c>
      <c r="BC9" s="194">
        <f t="shared" si="1"/>
        <v>88770</v>
      </c>
      <c r="BD9" s="194">
        <f t="shared" si="2"/>
        <v>0</v>
      </c>
      <c r="BF9" s="194">
        <f t="shared" si="3"/>
        <v>44385</v>
      </c>
      <c r="BG9" s="194">
        <f t="shared" si="3"/>
        <v>0</v>
      </c>
      <c r="BH9" s="194">
        <f t="shared" si="3"/>
        <v>0</v>
      </c>
      <c r="BI9" s="194">
        <f t="shared" si="3"/>
        <v>44385</v>
      </c>
      <c r="BJ9" s="194">
        <f t="shared" si="3"/>
        <v>0</v>
      </c>
      <c r="BK9" s="194">
        <f t="shared" si="3"/>
        <v>44385</v>
      </c>
      <c r="BL9" s="194">
        <f t="shared" si="3"/>
        <v>44385</v>
      </c>
      <c r="BM9" s="194">
        <f t="shared" si="4"/>
        <v>88770</v>
      </c>
      <c r="BN9" s="194">
        <f t="shared" si="5"/>
        <v>0</v>
      </c>
      <c r="BO9" s="203">
        <f>+SUMIFS('[2]3条収入'!$AI$6:$AI$70,'[2]3条収入'!$C$6:$C$70,雨汚収入!N9)</f>
        <v>88770</v>
      </c>
    </row>
    <row r="10" spans="14:68">
      <c r="N10" s="442" t="s">
        <v>365</v>
      </c>
      <c r="O10" s="193" t="s">
        <v>129</v>
      </c>
      <c r="P10" s="193" t="s">
        <v>138</v>
      </c>
      <c r="Q10" s="193" t="s">
        <v>363</v>
      </c>
      <c r="R10" s="193" t="s">
        <v>366</v>
      </c>
      <c r="Y10" s="194">
        <f t="shared" si="0"/>
        <v>0</v>
      </c>
      <c r="AV10" s="194">
        <f t="shared" si="1"/>
        <v>0</v>
      </c>
      <c r="AW10" s="194">
        <f t="shared" si="1"/>
        <v>0</v>
      </c>
      <c r="AX10" s="194">
        <f t="shared" si="1"/>
        <v>0</v>
      </c>
      <c r="AY10" s="194">
        <f t="shared" si="1"/>
        <v>0</v>
      </c>
      <c r="AZ10" s="194">
        <f t="shared" si="1"/>
        <v>0</v>
      </c>
      <c r="BA10" s="194">
        <f t="shared" si="1"/>
        <v>0</v>
      </c>
      <c r="BB10" s="194">
        <f t="shared" si="1"/>
        <v>0</v>
      </c>
      <c r="BC10" s="194">
        <f t="shared" si="1"/>
        <v>0</v>
      </c>
      <c r="BD10" s="194">
        <f t="shared" si="2"/>
        <v>0</v>
      </c>
      <c r="BF10" s="194">
        <f t="shared" si="3"/>
        <v>0</v>
      </c>
      <c r="BG10" s="194">
        <f t="shared" si="3"/>
        <v>0</v>
      </c>
      <c r="BH10" s="194">
        <f t="shared" si="3"/>
        <v>0</v>
      </c>
      <c r="BI10" s="194">
        <f t="shared" si="3"/>
        <v>0</v>
      </c>
      <c r="BJ10" s="194">
        <f t="shared" si="3"/>
        <v>0</v>
      </c>
      <c r="BK10" s="194">
        <f t="shared" si="3"/>
        <v>0</v>
      </c>
      <c r="BL10" s="194">
        <f t="shared" si="3"/>
        <v>0</v>
      </c>
      <c r="BM10" s="194">
        <f t="shared" si="4"/>
        <v>0</v>
      </c>
      <c r="BN10" s="194">
        <f t="shared" si="5"/>
        <v>0</v>
      </c>
      <c r="BO10" s="203">
        <f>+SUMIFS('[2]3条収入'!$AI$6:$AI$70,'[2]3条収入'!$C$6:$C$70,雨汚収入!N10)</f>
        <v>0</v>
      </c>
    </row>
    <row r="11" spans="14:68">
      <c r="N11" s="193" t="s">
        <v>144</v>
      </c>
      <c r="O11" s="193" t="s">
        <v>129</v>
      </c>
      <c r="P11" s="193" t="s">
        <v>138</v>
      </c>
      <c r="Q11" s="193" t="s">
        <v>141</v>
      </c>
      <c r="R11" s="193" t="s">
        <v>143</v>
      </c>
      <c r="Y11" s="194">
        <f t="shared" si="0"/>
        <v>37016600</v>
      </c>
      <c r="AV11" s="194">
        <f t="shared" si="1"/>
        <v>36785219</v>
      </c>
      <c r="AW11" s="194">
        <f t="shared" si="1"/>
        <v>0</v>
      </c>
      <c r="AX11" s="194">
        <f t="shared" si="1"/>
        <v>0</v>
      </c>
      <c r="AY11" s="194">
        <f t="shared" si="1"/>
        <v>36785219</v>
      </c>
      <c r="AZ11" s="194">
        <f t="shared" si="1"/>
        <v>0</v>
      </c>
      <c r="BA11" s="194">
        <f t="shared" si="1"/>
        <v>231381</v>
      </c>
      <c r="BB11" s="194">
        <f t="shared" si="1"/>
        <v>231381</v>
      </c>
      <c r="BC11" s="194">
        <f t="shared" si="1"/>
        <v>37016600</v>
      </c>
      <c r="BD11" s="194">
        <f t="shared" si="2"/>
        <v>0</v>
      </c>
      <c r="BF11" s="194">
        <f t="shared" si="3"/>
        <v>33441108</v>
      </c>
      <c r="BG11" s="194">
        <f t="shared" si="3"/>
        <v>0</v>
      </c>
      <c r="BH11" s="194">
        <f t="shared" si="3"/>
        <v>0</v>
      </c>
      <c r="BI11" s="194">
        <f t="shared" si="3"/>
        <v>33441108</v>
      </c>
      <c r="BJ11" s="194">
        <f t="shared" si="3"/>
        <v>0</v>
      </c>
      <c r="BK11" s="194">
        <f t="shared" si="3"/>
        <v>210347</v>
      </c>
      <c r="BL11" s="194">
        <f t="shared" si="3"/>
        <v>210347</v>
      </c>
      <c r="BM11" s="194">
        <f t="shared" si="4"/>
        <v>33651455</v>
      </c>
      <c r="BN11" s="194">
        <f t="shared" si="5"/>
        <v>0</v>
      </c>
      <c r="BO11" s="203">
        <f>+SUMIFS('[2]3条収入'!$AI$6:$AI$70,'[2]3条収入'!$C$6:$C$70,雨汚収入!N11)</f>
        <v>33651455</v>
      </c>
    </row>
    <row r="12" spans="14:68">
      <c r="N12" s="193" t="s">
        <v>142</v>
      </c>
      <c r="O12" s="193" t="s">
        <v>129</v>
      </c>
      <c r="P12" s="193" t="s">
        <v>138</v>
      </c>
      <c r="Q12" s="193" t="s">
        <v>141</v>
      </c>
      <c r="R12" s="193" t="s">
        <v>140</v>
      </c>
      <c r="Y12" s="194">
        <f t="shared" si="0"/>
        <v>0</v>
      </c>
      <c r="AV12" s="194">
        <f t="shared" si="1"/>
        <v>0</v>
      </c>
      <c r="AW12" s="194">
        <f t="shared" si="1"/>
        <v>0</v>
      </c>
      <c r="AX12" s="194">
        <f t="shared" si="1"/>
        <v>0</v>
      </c>
      <c r="AY12" s="194">
        <f t="shared" si="1"/>
        <v>0</v>
      </c>
      <c r="AZ12" s="194">
        <f t="shared" si="1"/>
        <v>0</v>
      </c>
      <c r="BA12" s="194">
        <f t="shared" si="1"/>
        <v>0</v>
      </c>
      <c r="BB12" s="194">
        <f t="shared" si="1"/>
        <v>0</v>
      </c>
      <c r="BC12" s="194">
        <f t="shared" si="1"/>
        <v>0</v>
      </c>
      <c r="BD12" s="194">
        <f t="shared" si="2"/>
        <v>0</v>
      </c>
      <c r="BF12" s="194">
        <f t="shared" si="3"/>
        <v>0</v>
      </c>
      <c r="BG12" s="194">
        <f t="shared" si="3"/>
        <v>0</v>
      </c>
      <c r="BH12" s="194">
        <f t="shared" si="3"/>
        <v>0</v>
      </c>
      <c r="BI12" s="194">
        <f t="shared" si="3"/>
        <v>0</v>
      </c>
      <c r="BJ12" s="194">
        <f t="shared" si="3"/>
        <v>0</v>
      </c>
      <c r="BK12" s="194">
        <f t="shared" si="3"/>
        <v>0</v>
      </c>
      <c r="BL12" s="194">
        <f t="shared" si="3"/>
        <v>0</v>
      </c>
      <c r="BM12" s="194">
        <f t="shared" si="4"/>
        <v>0</v>
      </c>
      <c r="BN12" s="194">
        <f t="shared" si="5"/>
        <v>16476593</v>
      </c>
      <c r="BO12" s="203">
        <f>+SUMIFS('[2]3条収入'!$AI$6:$AI$70,'[2]3条収入'!$C$6:$C$70,雨汚収入!N12)</f>
        <v>16476593</v>
      </c>
      <c r="BP12" s="207"/>
    </row>
    <row r="13" spans="14:68">
      <c r="N13" s="193" t="s">
        <v>220</v>
      </c>
      <c r="O13" s="193" t="s">
        <v>129</v>
      </c>
      <c r="P13" s="193" t="s">
        <v>138</v>
      </c>
      <c r="Q13" s="193" t="s">
        <v>36</v>
      </c>
      <c r="R13" s="193" t="s">
        <v>36</v>
      </c>
      <c r="Y13" s="194">
        <f t="shared" si="0"/>
        <v>0</v>
      </c>
      <c r="AV13" s="194">
        <f t="shared" ref="AV13:BC20" si="7">+SUMIFS(AV$69:AV$894,$N$69:$N$894,$N13)</f>
        <v>0</v>
      </c>
      <c r="AW13" s="194">
        <f t="shared" si="7"/>
        <v>0</v>
      </c>
      <c r="AX13" s="194">
        <f t="shared" si="7"/>
        <v>0</v>
      </c>
      <c r="AY13" s="194">
        <f t="shared" si="7"/>
        <v>0</v>
      </c>
      <c r="AZ13" s="194">
        <f t="shared" si="7"/>
        <v>0</v>
      </c>
      <c r="BA13" s="194">
        <f t="shared" si="7"/>
        <v>0</v>
      </c>
      <c r="BB13" s="194">
        <f t="shared" si="7"/>
        <v>0</v>
      </c>
      <c r="BC13" s="194">
        <f t="shared" si="7"/>
        <v>0</v>
      </c>
      <c r="BD13" s="194">
        <f t="shared" si="2"/>
        <v>0</v>
      </c>
      <c r="BF13" s="194">
        <f t="shared" ref="BF13:BL20" si="8">+SUMIFS(BF$69:BF$891,$N$69:$N$891,$N13)</f>
        <v>0</v>
      </c>
      <c r="BG13" s="194">
        <f t="shared" si="8"/>
        <v>0</v>
      </c>
      <c r="BH13" s="194">
        <f t="shared" si="8"/>
        <v>0</v>
      </c>
      <c r="BI13" s="194">
        <f t="shared" si="8"/>
        <v>0</v>
      </c>
      <c r="BJ13" s="194">
        <f t="shared" si="8"/>
        <v>0</v>
      </c>
      <c r="BK13" s="194">
        <f t="shared" si="8"/>
        <v>0</v>
      </c>
      <c r="BL13" s="194">
        <f t="shared" si="8"/>
        <v>0</v>
      </c>
      <c r="BM13" s="194">
        <f t="shared" si="4"/>
        <v>0</v>
      </c>
      <c r="BN13" s="194">
        <f t="shared" si="5"/>
        <v>0</v>
      </c>
      <c r="BO13" s="203">
        <f>+SUMIFS('[2]3条収入'!$AI$6:$AI$70,'[2]3条収入'!$C$6:$C$70,雨汚収入!N13)</f>
        <v>0</v>
      </c>
    </row>
    <row r="14" spans="14:68">
      <c r="N14" s="205" t="s">
        <v>219</v>
      </c>
      <c r="O14" s="193" t="s">
        <v>129</v>
      </c>
      <c r="P14" s="193" t="s">
        <v>138</v>
      </c>
      <c r="Q14" s="193" t="s">
        <v>137</v>
      </c>
      <c r="R14" s="193" t="s">
        <v>218</v>
      </c>
      <c r="Y14" s="194">
        <f t="shared" si="0"/>
        <v>408100</v>
      </c>
      <c r="AV14" s="194">
        <f t="shared" si="7"/>
        <v>0</v>
      </c>
      <c r="AW14" s="194">
        <f t="shared" si="7"/>
        <v>0</v>
      </c>
      <c r="AX14" s="194">
        <f t="shared" si="7"/>
        <v>408100</v>
      </c>
      <c r="AY14" s="194">
        <f t="shared" si="7"/>
        <v>408100</v>
      </c>
      <c r="AZ14" s="194">
        <f t="shared" si="7"/>
        <v>0</v>
      </c>
      <c r="BA14" s="194">
        <f t="shared" si="7"/>
        <v>0</v>
      </c>
      <c r="BB14" s="194">
        <f t="shared" si="7"/>
        <v>0</v>
      </c>
      <c r="BC14" s="194">
        <f t="shared" si="7"/>
        <v>408100</v>
      </c>
      <c r="BD14" s="194">
        <f t="shared" si="2"/>
        <v>0</v>
      </c>
      <c r="BF14" s="194">
        <f t="shared" si="8"/>
        <v>0</v>
      </c>
      <c r="BG14" s="194">
        <f t="shared" si="8"/>
        <v>0</v>
      </c>
      <c r="BH14" s="194">
        <f t="shared" si="8"/>
        <v>371000</v>
      </c>
      <c r="BI14" s="194">
        <f t="shared" si="8"/>
        <v>371000</v>
      </c>
      <c r="BJ14" s="194">
        <f t="shared" si="8"/>
        <v>0</v>
      </c>
      <c r="BK14" s="194">
        <f t="shared" si="8"/>
        <v>0</v>
      </c>
      <c r="BL14" s="194">
        <f t="shared" si="8"/>
        <v>0</v>
      </c>
      <c r="BM14" s="194">
        <f t="shared" si="4"/>
        <v>371000</v>
      </c>
      <c r="BN14" s="194">
        <f t="shared" si="5"/>
        <v>0</v>
      </c>
      <c r="BO14" s="203">
        <f>+SUMIFS('[2]3条収入'!$AI$6:$AI$70,'[2]3条収入'!$C$6:$C$70,雨汚収入!N14)</f>
        <v>371000</v>
      </c>
    </row>
    <row r="15" spans="14:68">
      <c r="N15" s="193" t="s">
        <v>139</v>
      </c>
      <c r="O15" s="193" t="s">
        <v>129</v>
      </c>
      <c r="P15" s="193" t="s">
        <v>138</v>
      </c>
      <c r="Q15" s="193" t="s">
        <v>137</v>
      </c>
      <c r="R15" s="193" t="s">
        <v>136</v>
      </c>
      <c r="Y15" s="194">
        <f t="shared" si="0"/>
        <v>36052234</v>
      </c>
      <c r="AV15" s="194">
        <f t="shared" si="7"/>
        <v>10360569</v>
      </c>
      <c r="AW15" s="194">
        <f t="shared" si="7"/>
        <v>0</v>
      </c>
      <c r="AX15" s="194">
        <f t="shared" si="7"/>
        <v>1399670</v>
      </c>
      <c r="AY15" s="194">
        <f t="shared" si="7"/>
        <v>11760239</v>
      </c>
      <c r="AZ15" s="194">
        <f t="shared" si="7"/>
        <v>0</v>
      </c>
      <c r="BA15" s="194">
        <f t="shared" si="7"/>
        <v>24291995</v>
      </c>
      <c r="BB15" s="194">
        <f t="shared" si="7"/>
        <v>24291995</v>
      </c>
      <c r="BC15" s="194">
        <f t="shared" si="7"/>
        <v>36052234</v>
      </c>
      <c r="BD15" s="194">
        <f t="shared" si="2"/>
        <v>0</v>
      </c>
      <c r="BF15" s="194">
        <f t="shared" si="8"/>
        <v>10155799</v>
      </c>
      <c r="BG15" s="194">
        <f t="shared" si="8"/>
        <v>0</v>
      </c>
      <c r="BH15" s="194">
        <f t="shared" si="8"/>
        <v>1397864</v>
      </c>
      <c r="BI15" s="194">
        <f t="shared" si="8"/>
        <v>11553663</v>
      </c>
      <c r="BJ15" s="194">
        <f t="shared" si="8"/>
        <v>0</v>
      </c>
      <c r="BK15" s="194">
        <f t="shared" si="8"/>
        <v>23325314</v>
      </c>
      <c r="BL15" s="194">
        <f t="shared" si="8"/>
        <v>23325314</v>
      </c>
      <c r="BM15" s="194">
        <f t="shared" si="4"/>
        <v>34878977</v>
      </c>
      <c r="BN15" s="194">
        <f t="shared" si="5"/>
        <v>0</v>
      </c>
      <c r="BO15" s="203">
        <f>+SUMIFS('[2]3条収入'!$AI$6:$AI$70,'[2]3条収入'!$C$6:$C$70,雨汚収入!N15)</f>
        <v>34878977</v>
      </c>
    </row>
    <row r="16" spans="14:68">
      <c r="N16" s="204" t="s">
        <v>217</v>
      </c>
      <c r="O16" s="204" t="s">
        <v>129</v>
      </c>
      <c r="P16" s="204" t="s">
        <v>128</v>
      </c>
      <c r="Q16" s="204" t="s">
        <v>216</v>
      </c>
      <c r="R16" s="204" t="s">
        <v>216</v>
      </c>
      <c r="Y16" s="194">
        <f t="shared" si="0"/>
        <v>0</v>
      </c>
      <c r="AV16" s="194">
        <f t="shared" si="7"/>
        <v>0</v>
      </c>
      <c r="AW16" s="194">
        <f t="shared" si="7"/>
        <v>0</v>
      </c>
      <c r="AX16" s="194">
        <f t="shared" si="7"/>
        <v>0</v>
      </c>
      <c r="AY16" s="194">
        <f t="shared" si="7"/>
        <v>0</v>
      </c>
      <c r="AZ16" s="194">
        <f t="shared" si="7"/>
        <v>0</v>
      </c>
      <c r="BA16" s="194">
        <f t="shared" si="7"/>
        <v>0</v>
      </c>
      <c r="BB16" s="194">
        <f t="shared" si="7"/>
        <v>0</v>
      </c>
      <c r="BC16" s="194">
        <f t="shared" si="7"/>
        <v>0</v>
      </c>
      <c r="BD16" s="194">
        <f t="shared" si="2"/>
        <v>0</v>
      </c>
      <c r="BF16" s="194">
        <f t="shared" si="8"/>
        <v>0</v>
      </c>
      <c r="BG16" s="194">
        <f t="shared" si="8"/>
        <v>0</v>
      </c>
      <c r="BH16" s="194">
        <f t="shared" si="8"/>
        <v>0</v>
      </c>
      <c r="BI16" s="194">
        <f t="shared" si="8"/>
        <v>0</v>
      </c>
      <c r="BJ16" s="194">
        <f t="shared" si="8"/>
        <v>0</v>
      </c>
      <c r="BK16" s="194">
        <f t="shared" si="8"/>
        <v>0</v>
      </c>
      <c r="BL16" s="194">
        <f t="shared" si="8"/>
        <v>0</v>
      </c>
      <c r="BM16" s="194">
        <f t="shared" si="4"/>
        <v>0</v>
      </c>
      <c r="BN16" s="194">
        <f t="shared" si="5"/>
        <v>0</v>
      </c>
      <c r="BO16" s="203">
        <f>+SUMIFS('[2]3条収入'!$AI$6:$AI$70,'[2]3条収入'!$C$6:$C$70,雨汚収入!N16)</f>
        <v>0</v>
      </c>
    </row>
    <row r="17" spans="1:72" s="194" customFormat="1">
      <c r="A17" s="193"/>
      <c r="B17" s="193"/>
      <c r="C17" s="193"/>
      <c r="D17" s="193"/>
      <c r="E17" s="193"/>
      <c r="F17" s="193"/>
      <c r="G17" s="193"/>
      <c r="H17" s="193"/>
      <c r="I17" s="193"/>
      <c r="J17" s="193"/>
      <c r="K17" s="193"/>
      <c r="L17" s="193"/>
      <c r="M17" s="193"/>
      <c r="N17" s="193" t="s">
        <v>135</v>
      </c>
      <c r="O17" s="193" t="s">
        <v>129</v>
      </c>
      <c r="P17" s="193" t="s">
        <v>128</v>
      </c>
      <c r="Q17" s="193" t="s">
        <v>134</v>
      </c>
      <c r="R17" s="193" t="s">
        <v>134</v>
      </c>
      <c r="S17" s="193"/>
      <c r="T17" s="193"/>
      <c r="U17" s="193"/>
      <c r="V17" s="193"/>
      <c r="W17" s="193"/>
      <c r="X17" s="193"/>
      <c r="Y17" s="194">
        <f t="shared" si="0"/>
        <v>2769570</v>
      </c>
      <c r="Z17" s="193"/>
      <c r="AA17" s="193"/>
      <c r="AB17" s="193"/>
      <c r="AC17" s="193"/>
      <c r="AD17" s="193"/>
      <c r="AE17" s="193"/>
      <c r="AF17" s="193"/>
      <c r="AG17" s="193"/>
      <c r="AH17" s="193"/>
      <c r="AI17" s="193"/>
      <c r="AJ17" s="193"/>
      <c r="AK17" s="193"/>
      <c r="AL17" s="193"/>
      <c r="AM17" s="193"/>
      <c r="AN17" s="193"/>
      <c r="AO17" s="193"/>
      <c r="AP17" s="193"/>
      <c r="AQ17" s="193"/>
      <c r="AR17" s="193"/>
      <c r="AS17" s="193"/>
      <c r="AT17" s="193"/>
      <c r="AU17" s="193"/>
      <c r="AV17" s="194">
        <f t="shared" si="7"/>
        <v>352162</v>
      </c>
      <c r="AW17" s="194">
        <f t="shared" si="7"/>
        <v>0</v>
      </c>
      <c r="AX17" s="194">
        <f t="shared" si="7"/>
        <v>487974</v>
      </c>
      <c r="AY17" s="194">
        <f t="shared" si="7"/>
        <v>840136</v>
      </c>
      <c r="AZ17" s="194">
        <f t="shared" si="7"/>
        <v>29260</v>
      </c>
      <c r="BA17" s="194">
        <f t="shared" si="7"/>
        <v>1900174</v>
      </c>
      <c r="BB17" s="194">
        <f t="shared" si="7"/>
        <v>1929434</v>
      </c>
      <c r="BC17" s="194">
        <f t="shared" si="7"/>
        <v>2769570</v>
      </c>
      <c r="BD17" s="194">
        <f t="shared" si="2"/>
        <v>0</v>
      </c>
      <c r="BF17" s="194">
        <f t="shared" si="8"/>
        <v>352162</v>
      </c>
      <c r="BG17" s="194">
        <f t="shared" si="8"/>
        <v>0</v>
      </c>
      <c r="BH17" s="194">
        <f t="shared" si="8"/>
        <v>487974</v>
      </c>
      <c r="BI17" s="194">
        <f t="shared" si="8"/>
        <v>840136</v>
      </c>
      <c r="BJ17" s="194">
        <f t="shared" si="8"/>
        <v>29260</v>
      </c>
      <c r="BK17" s="194">
        <f t="shared" si="8"/>
        <v>1754286</v>
      </c>
      <c r="BL17" s="194">
        <f t="shared" si="8"/>
        <v>1783546</v>
      </c>
      <c r="BM17" s="194">
        <f t="shared" si="4"/>
        <v>2623682</v>
      </c>
      <c r="BN17" s="194">
        <f t="shared" si="5"/>
        <v>0</v>
      </c>
      <c r="BO17" s="203">
        <f>+SUMIFS('[2]3条収入'!$AI$6:$AI$70,'[2]3条収入'!$C$6:$C$70,雨汚収入!N17)</f>
        <v>2623682</v>
      </c>
      <c r="BP17" s="193"/>
      <c r="BQ17" s="193"/>
      <c r="BR17" s="193"/>
      <c r="BS17" s="193"/>
      <c r="BT17" s="193"/>
    </row>
    <row r="18" spans="1:72" s="194" customFormat="1">
      <c r="A18" s="193"/>
      <c r="B18" s="193"/>
      <c r="C18" s="193"/>
      <c r="D18" s="193"/>
      <c r="E18" s="193"/>
      <c r="F18" s="193"/>
      <c r="G18" s="193"/>
      <c r="H18" s="193"/>
      <c r="I18" s="193"/>
      <c r="J18" s="193"/>
      <c r="K18" s="193"/>
      <c r="L18" s="193"/>
      <c r="M18" s="193"/>
      <c r="N18" s="193" t="s">
        <v>133</v>
      </c>
      <c r="O18" s="193" t="s">
        <v>129</v>
      </c>
      <c r="P18" s="193" t="s">
        <v>128</v>
      </c>
      <c r="Q18" s="193" t="s">
        <v>127</v>
      </c>
      <c r="R18" s="193" t="s">
        <v>127</v>
      </c>
      <c r="S18" s="193"/>
      <c r="T18" s="193"/>
      <c r="U18" s="193"/>
      <c r="V18" s="193"/>
      <c r="W18" s="193"/>
      <c r="X18" s="193"/>
      <c r="Y18" s="194">
        <f t="shared" si="0"/>
        <v>864807</v>
      </c>
      <c r="Z18" s="193"/>
      <c r="AA18" s="193"/>
      <c r="AB18" s="193"/>
      <c r="AC18" s="193"/>
      <c r="AD18" s="193"/>
      <c r="AE18" s="193"/>
      <c r="AF18" s="193"/>
      <c r="AG18" s="193"/>
      <c r="AH18" s="193"/>
      <c r="AI18" s="193"/>
      <c r="AJ18" s="193"/>
      <c r="AK18" s="193"/>
      <c r="AL18" s="193"/>
      <c r="AM18" s="193"/>
      <c r="AN18" s="193"/>
      <c r="AO18" s="193"/>
      <c r="AP18" s="193"/>
      <c r="AQ18" s="193"/>
      <c r="AR18" s="193"/>
      <c r="AS18" s="193"/>
      <c r="AT18" s="193"/>
      <c r="AU18" s="193"/>
      <c r="AV18" s="194">
        <f t="shared" si="7"/>
        <v>588069</v>
      </c>
      <c r="AW18" s="194">
        <f t="shared" si="7"/>
        <v>0</v>
      </c>
      <c r="AX18" s="194">
        <f t="shared" si="7"/>
        <v>0</v>
      </c>
      <c r="AY18" s="194">
        <f t="shared" si="7"/>
        <v>588069</v>
      </c>
      <c r="AZ18" s="194">
        <f t="shared" si="7"/>
        <v>0</v>
      </c>
      <c r="BA18" s="194">
        <f t="shared" si="7"/>
        <v>276738</v>
      </c>
      <c r="BB18" s="194">
        <f t="shared" si="7"/>
        <v>276738</v>
      </c>
      <c r="BC18" s="194">
        <f t="shared" si="7"/>
        <v>864807</v>
      </c>
      <c r="BD18" s="194">
        <f t="shared" si="2"/>
        <v>0</v>
      </c>
      <c r="BF18" s="194">
        <f t="shared" si="8"/>
        <v>588069</v>
      </c>
      <c r="BG18" s="194">
        <f t="shared" si="8"/>
        <v>0</v>
      </c>
      <c r="BH18" s="194">
        <f t="shared" si="8"/>
        <v>0</v>
      </c>
      <c r="BI18" s="194">
        <f t="shared" si="8"/>
        <v>588069</v>
      </c>
      <c r="BJ18" s="194">
        <f t="shared" si="8"/>
        <v>0</v>
      </c>
      <c r="BK18" s="194">
        <f t="shared" si="8"/>
        <v>276738</v>
      </c>
      <c r="BL18" s="194">
        <f t="shared" si="8"/>
        <v>276738</v>
      </c>
      <c r="BM18" s="194">
        <f t="shared" si="4"/>
        <v>864807</v>
      </c>
      <c r="BN18" s="194">
        <f t="shared" si="5"/>
        <v>0</v>
      </c>
      <c r="BO18" s="203">
        <f>+SUMIFS('[2]3条収入'!$AI$6:$AI$70,'[2]3条収入'!$C$6:$C$70,雨汚収入!N18)</f>
        <v>864807</v>
      </c>
      <c r="BP18" s="193"/>
      <c r="BQ18" s="193"/>
      <c r="BR18" s="193"/>
      <c r="BS18" s="193"/>
      <c r="BT18" s="193"/>
    </row>
    <row r="19" spans="1:72" s="194" customFormat="1">
      <c r="A19" s="193"/>
      <c r="B19" s="193"/>
      <c r="C19" s="193"/>
      <c r="D19" s="193"/>
      <c r="E19" s="193"/>
      <c r="F19" s="193"/>
      <c r="G19" s="193"/>
      <c r="H19" s="193"/>
      <c r="I19" s="193"/>
      <c r="J19" s="193"/>
      <c r="K19" s="193"/>
      <c r="L19" s="193"/>
      <c r="M19" s="193"/>
      <c r="N19" s="193" t="s">
        <v>132</v>
      </c>
      <c r="O19" s="193" t="s">
        <v>129</v>
      </c>
      <c r="P19" s="193" t="s">
        <v>128</v>
      </c>
      <c r="Q19" s="193" t="s">
        <v>127</v>
      </c>
      <c r="R19" s="193" t="s">
        <v>131</v>
      </c>
      <c r="S19" s="193"/>
      <c r="T19" s="193"/>
      <c r="U19" s="193"/>
      <c r="V19" s="193"/>
      <c r="W19" s="193"/>
      <c r="X19" s="193"/>
      <c r="Y19" s="194">
        <f t="shared" si="0"/>
        <v>455622</v>
      </c>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4">
        <f t="shared" si="7"/>
        <v>0</v>
      </c>
      <c r="AW19" s="194">
        <f t="shared" si="7"/>
        <v>0</v>
      </c>
      <c r="AX19" s="194">
        <f t="shared" si="7"/>
        <v>16334</v>
      </c>
      <c r="AY19" s="194">
        <f t="shared" si="7"/>
        <v>16334</v>
      </c>
      <c r="AZ19" s="194">
        <f t="shared" si="7"/>
        <v>0</v>
      </c>
      <c r="BA19" s="194">
        <f t="shared" si="7"/>
        <v>439288</v>
      </c>
      <c r="BB19" s="194">
        <f t="shared" si="7"/>
        <v>439288</v>
      </c>
      <c r="BC19" s="194">
        <f t="shared" si="7"/>
        <v>455622</v>
      </c>
      <c r="BD19" s="194">
        <f t="shared" si="2"/>
        <v>0</v>
      </c>
      <c r="BF19" s="194">
        <f t="shared" si="8"/>
        <v>0</v>
      </c>
      <c r="BG19" s="194">
        <f t="shared" si="8"/>
        <v>0</v>
      </c>
      <c r="BH19" s="194">
        <f t="shared" si="8"/>
        <v>16334</v>
      </c>
      <c r="BI19" s="194">
        <f t="shared" si="8"/>
        <v>16334</v>
      </c>
      <c r="BJ19" s="194">
        <f t="shared" si="8"/>
        <v>0</v>
      </c>
      <c r="BK19" s="194">
        <f t="shared" si="8"/>
        <v>439288</v>
      </c>
      <c r="BL19" s="194">
        <f t="shared" si="8"/>
        <v>439288</v>
      </c>
      <c r="BM19" s="194">
        <f t="shared" si="4"/>
        <v>455622</v>
      </c>
      <c r="BN19" s="194">
        <f t="shared" si="5"/>
        <v>0</v>
      </c>
      <c r="BO19" s="203">
        <f>+SUMIFS('[2]3条収入'!$AI$6:$AI$70,'[2]3条収入'!$C$6:$C$70,雨汚収入!N19)</f>
        <v>455622</v>
      </c>
      <c r="BP19" s="193"/>
      <c r="BQ19" s="193"/>
      <c r="BR19" s="193"/>
      <c r="BS19" s="193"/>
      <c r="BT19" s="193"/>
    </row>
    <row r="20" spans="1:72" s="194" customFormat="1">
      <c r="A20" s="193"/>
      <c r="B20" s="193"/>
      <c r="C20" s="193"/>
      <c r="D20" s="193"/>
      <c r="E20" s="193"/>
      <c r="F20" s="193"/>
      <c r="G20" s="193"/>
      <c r="H20" s="193"/>
      <c r="I20" s="193"/>
      <c r="J20" s="193"/>
      <c r="K20" s="193"/>
      <c r="L20" s="193"/>
      <c r="M20" s="193"/>
      <c r="N20" s="193" t="s">
        <v>130</v>
      </c>
      <c r="O20" s="193" t="s">
        <v>129</v>
      </c>
      <c r="P20" s="193" t="s">
        <v>128</v>
      </c>
      <c r="Q20" s="193" t="s">
        <v>127</v>
      </c>
      <c r="R20" s="193" t="s">
        <v>126</v>
      </c>
      <c r="S20" s="193"/>
      <c r="T20" s="193"/>
      <c r="U20" s="193"/>
      <c r="V20" s="193"/>
      <c r="W20" s="193"/>
      <c r="X20" s="193"/>
      <c r="Y20" s="194">
        <f t="shared" si="0"/>
        <v>109000</v>
      </c>
      <c r="Z20" s="193"/>
      <c r="AA20" s="193"/>
      <c r="AB20" s="193"/>
      <c r="AC20" s="193"/>
      <c r="AD20" s="193"/>
      <c r="AE20" s="193"/>
      <c r="AF20" s="193"/>
      <c r="AG20" s="193"/>
      <c r="AH20" s="193"/>
      <c r="AI20" s="193"/>
      <c r="AJ20" s="193"/>
      <c r="AK20" s="193"/>
      <c r="AL20" s="193"/>
      <c r="AM20" s="193"/>
      <c r="AN20" s="193"/>
      <c r="AO20" s="193"/>
      <c r="AP20" s="193"/>
      <c r="AQ20" s="193"/>
      <c r="AR20" s="193"/>
      <c r="AS20" s="193"/>
      <c r="AT20" s="193"/>
      <c r="AU20" s="193"/>
      <c r="AV20" s="194">
        <f t="shared" si="7"/>
        <v>54500</v>
      </c>
      <c r="AW20" s="194">
        <f t="shared" si="7"/>
        <v>0</v>
      </c>
      <c r="AX20" s="194">
        <f t="shared" si="7"/>
        <v>0</v>
      </c>
      <c r="AY20" s="194">
        <f t="shared" si="7"/>
        <v>54500</v>
      </c>
      <c r="AZ20" s="194">
        <f t="shared" si="7"/>
        <v>0</v>
      </c>
      <c r="BA20" s="194">
        <f t="shared" si="7"/>
        <v>54500</v>
      </c>
      <c r="BB20" s="194">
        <f t="shared" si="7"/>
        <v>54500</v>
      </c>
      <c r="BC20" s="194">
        <f t="shared" si="7"/>
        <v>109000</v>
      </c>
      <c r="BD20" s="194">
        <f t="shared" si="2"/>
        <v>0</v>
      </c>
      <c r="BF20" s="194">
        <f t="shared" si="8"/>
        <v>54500</v>
      </c>
      <c r="BG20" s="194">
        <f t="shared" si="8"/>
        <v>0</v>
      </c>
      <c r="BH20" s="194">
        <f t="shared" si="8"/>
        <v>0</v>
      </c>
      <c r="BI20" s="194">
        <f t="shared" si="8"/>
        <v>54500</v>
      </c>
      <c r="BJ20" s="194">
        <f t="shared" si="8"/>
        <v>0</v>
      </c>
      <c r="BK20" s="194">
        <f t="shared" si="8"/>
        <v>54500</v>
      </c>
      <c r="BL20" s="194">
        <f t="shared" si="8"/>
        <v>54500</v>
      </c>
      <c r="BM20" s="194">
        <f t="shared" si="4"/>
        <v>109000</v>
      </c>
      <c r="BN20" s="194">
        <f>+BO20-BM20</f>
        <v>0</v>
      </c>
      <c r="BO20" s="203">
        <f>+SUMIFS('[2]3条収入'!$AI$6:$AI$70,'[2]3条収入'!$C$6:$C$70,雨汚収入!N20)</f>
        <v>109000</v>
      </c>
      <c r="BP20" s="193"/>
      <c r="BQ20" s="193"/>
      <c r="BR20" s="193"/>
      <c r="BS20" s="193"/>
      <c r="BT20" s="193"/>
    </row>
    <row r="23" spans="1:72" ht="13.5" customHeight="1">
      <c r="Q23" s="207"/>
      <c r="R23" s="206" t="s">
        <v>226</v>
      </c>
      <c r="AV23" s="607" t="s">
        <v>213</v>
      </c>
      <c r="AW23" s="607"/>
      <c r="AX23" s="607"/>
      <c r="AY23" s="607"/>
      <c r="AZ23" s="607" t="s">
        <v>212</v>
      </c>
      <c r="BA23" s="607"/>
      <c r="BB23" s="607"/>
      <c r="BC23" s="609" t="s">
        <v>211</v>
      </c>
      <c r="BD23" s="607" t="s">
        <v>224</v>
      </c>
      <c r="BE23" s="198"/>
      <c r="BF23" s="607" t="s">
        <v>367</v>
      </c>
      <c r="BG23" s="607"/>
      <c r="BH23" s="607"/>
      <c r="BI23" s="607"/>
      <c r="BJ23" s="607" t="s">
        <v>209</v>
      </c>
      <c r="BK23" s="607"/>
      <c r="BL23" s="607"/>
      <c r="BM23" s="609" t="s">
        <v>208</v>
      </c>
      <c r="BN23" s="609" t="s">
        <v>223</v>
      </c>
      <c r="BO23" s="609" t="s">
        <v>222</v>
      </c>
    </row>
    <row r="24" spans="1:72">
      <c r="AV24" s="384" t="s">
        <v>162</v>
      </c>
      <c r="AW24" s="384" t="s">
        <v>161</v>
      </c>
      <c r="AX24" s="384" t="s">
        <v>359</v>
      </c>
      <c r="AY24" s="384" t="s">
        <v>158</v>
      </c>
      <c r="AZ24" s="198" t="s">
        <v>160</v>
      </c>
      <c r="BA24" s="198" t="s">
        <v>159</v>
      </c>
      <c r="BB24" s="198" t="s">
        <v>158</v>
      </c>
      <c r="BC24" s="607"/>
      <c r="BD24" s="607"/>
      <c r="BE24" s="198"/>
      <c r="BF24" s="384" t="s">
        <v>162</v>
      </c>
      <c r="BG24" s="384" t="s">
        <v>161</v>
      </c>
      <c r="BH24" s="384" t="s">
        <v>359</v>
      </c>
      <c r="BI24" s="384" t="s">
        <v>158</v>
      </c>
      <c r="BJ24" s="198" t="s">
        <v>160</v>
      </c>
      <c r="BK24" s="198" t="s">
        <v>159</v>
      </c>
      <c r="BL24" s="198" t="s">
        <v>158</v>
      </c>
      <c r="BM24" s="607"/>
      <c r="BN24" s="609"/>
      <c r="BO24" s="609"/>
    </row>
    <row r="25" spans="1:72">
      <c r="N25" s="205" t="s">
        <v>221</v>
      </c>
      <c r="O25" s="193" t="s">
        <v>129</v>
      </c>
      <c r="P25" s="193" t="s">
        <v>150</v>
      </c>
      <c r="Q25" s="193" t="s">
        <v>66</v>
      </c>
      <c r="R25" s="193" t="s">
        <v>66</v>
      </c>
      <c r="Y25" s="194">
        <f t="shared" ref="Y25:Y42" si="9">+SUMIFS(Y$69:Y$891,$N$69:$N$891,$N25,$AS$69:$AS$891,31)</f>
        <v>0</v>
      </c>
      <c r="AS25" s="194"/>
      <c r="AT25" s="194"/>
      <c r="AU25" s="194"/>
      <c r="AV25" s="194">
        <f t="shared" ref="AV25:BC34" si="10">+SUMIFS(AV$69:AV$894,$N$69:$N$894,$N25,$AS$69:$AS$894,31)</f>
        <v>0</v>
      </c>
      <c r="AW25" s="194">
        <f t="shared" si="10"/>
        <v>0</v>
      </c>
      <c r="AX25" s="194">
        <f t="shared" si="10"/>
        <v>0</v>
      </c>
      <c r="AY25" s="194">
        <f t="shared" si="10"/>
        <v>0</v>
      </c>
      <c r="AZ25" s="194">
        <f t="shared" si="10"/>
        <v>0</v>
      </c>
      <c r="BA25" s="194">
        <f t="shared" si="10"/>
        <v>0</v>
      </c>
      <c r="BB25" s="194">
        <f t="shared" si="10"/>
        <v>0</v>
      </c>
      <c r="BC25" s="194">
        <f t="shared" si="10"/>
        <v>0</v>
      </c>
      <c r="BD25" s="194">
        <f t="shared" ref="BD25:BE42" si="11">+SUMIFS(BD$69:BD$784,$N$69:$N$784,$N25,$AS$69:$AS$784,31)</f>
        <v>0</v>
      </c>
      <c r="BE25" s="194">
        <f t="shared" si="11"/>
        <v>0</v>
      </c>
      <c r="BF25" s="194">
        <f t="shared" ref="BF25:BL34" si="12">+SUMIFS(BF$69:BF$891,$N$69:$N$891,$N25,$AS$69:$AS$891,31)</f>
        <v>0</v>
      </c>
      <c r="BG25" s="194">
        <f t="shared" si="12"/>
        <v>0</v>
      </c>
      <c r="BH25" s="194">
        <f t="shared" si="12"/>
        <v>0</v>
      </c>
      <c r="BI25" s="194">
        <f t="shared" si="12"/>
        <v>0</v>
      </c>
      <c r="BJ25" s="194">
        <f t="shared" si="12"/>
        <v>0</v>
      </c>
      <c r="BK25" s="194">
        <f t="shared" si="12"/>
        <v>0</v>
      </c>
      <c r="BL25" s="194">
        <f t="shared" si="12"/>
        <v>0</v>
      </c>
      <c r="BM25" s="194">
        <f t="shared" ref="BM25:BM42" si="13">+SUMIFS(BM$69:BM$894,$N$69:$N$894,$N25,$AS$69:$AS$894,31)</f>
        <v>0</v>
      </c>
      <c r="BN25" s="194">
        <f t="shared" ref="BN25:BN42" si="14">+SUMIFS(BN$69:BN$784,$N$69:$N$784,$N25,$AS$69:$AS$784,31)</f>
        <v>0</v>
      </c>
      <c r="BO25" s="194"/>
    </row>
    <row r="26" spans="1:72">
      <c r="N26" s="193" t="s">
        <v>157</v>
      </c>
      <c r="O26" s="193" t="s">
        <v>129</v>
      </c>
      <c r="P26" s="193" t="s">
        <v>150</v>
      </c>
      <c r="Q26" s="193" t="s">
        <v>149</v>
      </c>
      <c r="R26" s="193" t="s">
        <v>156</v>
      </c>
      <c r="Y26" s="194">
        <f t="shared" si="9"/>
        <v>0</v>
      </c>
      <c r="AS26" s="194"/>
      <c r="AT26" s="194"/>
      <c r="AU26" s="194"/>
      <c r="AV26" s="194">
        <f t="shared" si="10"/>
        <v>0</v>
      </c>
      <c r="AW26" s="194">
        <f t="shared" si="10"/>
        <v>0</v>
      </c>
      <c r="AX26" s="194">
        <f t="shared" si="10"/>
        <v>0</v>
      </c>
      <c r="AY26" s="194">
        <f t="shared" si="10"/>
        <v>0</v>
      </c>
      <c r="AZ26" s="194">
        <f t="shared" si="10"/>
        <v>0</v>
      </c>
      <c r="BA26" s="194">
        <f t="shared" si="10"/>
        <v>0</v>
      </c>
      <c r="BB26" s="194">
        <f t="shared" si="10"/>
        <v>0</v>
      </c>
      <c r="BC26" s="194">
        <f t="shared" si="10"/>
        <v>0</v>
      </c>
      <c r="BD26" s="194">
        <f t="shared" si="11"/>
        <v>0</v>
      </c>
      <c r="BE26" s="194">
        <f t="shared" si="11"/>
        <v>0</v>
      </c>
      <c r="BF26" s="194">
        <f t="shared" si="12"/>
        <v>0</v>
      </c>
      <c r="BG26" s="194">
        <f t="shared" si="12"/>
        <v>0</v>
      </c>
      <c r="BH26" s="194">
        <f t="shared" si="12"/>
        <v>0</v>
      </c>
      <c r="BI26" s="194">
        <f t="shared" si="12"/>
        <v>0</v>
      </c>
      <c r="BJ26" s="194">
        <f t="shared" si="12"/>
        <v>0</v>
      </c>
      <c r="BK26" s="194">
        <f t="shared" si="12"/>
        <v>0</v>
      </c>
      <c r="BL26" s="194">
        <f t="shared" si="12"/>
        <v>0</v>
      </c>
      <c r="BM26" s="194">
        <f t="shared" si="13"/>
        <v>0</v>
      </c>
      <c r="BN26" s="194">
        <f t="shared" si="14"/>
        <v>0</v>
      </c>
      <c r="BO26" s="194"/>
    </row>
    <row r="27" spans="1:72">
      <c r="N27" s="193" t="s">
        <v>155</v>
      </c>
      <c r="O27" s="193" t="s">
        <v>129</v>
      </c>
      <c r="P27" s="193" t="s">
        <v>150</v>
      </c>
      <c r="Q27" s="193" t="s">
        <v>149</v>
      </c>
      <c r="R27" s="193" t="s">
        <v>154</v>
      </c>
      <c r="Y27" s="194">
        <f t="shared" si="9"/>
        <v>0</v>
      </c>
      <c r="AS27" s="194"/>
      <c r="AT27" s="194"/>
      <c r="AU27" s="194"/>
      <c r="AV27" s="194">
        <f t="shared" si="10"/>
        <v>0</v>
      </c>
      <c r="AW27" s="194">
        <f t="shared" si="10"/>
        <v>0</v>
      </c>
      <c r="AX27" s="194">
        <f t="shared" si="10"/>
        <v>0</v>
      </c>
      <c r="AY27" s="194">
        <f t="shared" si="10"/>
        <v>0</v>
      </c>
      <c r="AZ27" s="194">
        <f t="shared" si="10"/>
        <v>0</v>
      </c>
      <c r="BA27" s="194">
        <f t="shared" si="10"/>
        <v>0</v>
      </c>
      <c r="BB27" s="194">
        <f t="shared" si="10"/>
        <v>0</v>
      </c>
      <c r="BC27" s="194">
        <f t="shared" si="10"/>
        <v>0</v>
      </c>
      <c r="BD27" s="194">
        <f t="shared" si="11"/>
        <v>0</v>
      </c>
      <c r="BE27" s="194">
        <f t="shared" si="11"/>
        <v>0</v>
      </c>
      <c r="BF27" s="194">
        <f t="shared" si="12"/>
        <v>0</v>
      </c>
      <c r="BG27" s="194">
        <f t="shared" si="12"/>
        <v>0</v>
      </c>
      <c r="BH27" s="194">
        <f t="shared" si="12"/>
        <v>0</v>
      </c>
      <c r="BI27" s="194">
        <f t="shared" si="12"/>
        <v>0</v>
      </c>
      <c r="BJ27" s="194">
        <f t="shared" si="12"/>
        <v>0</v>
      </c>
      <c r="BK27" s="194">
        <f t="shared" si="12"/>
        <v>0</v>
      </c>
      <c r="BL27" s="194">
        <f t="shared" si="12"/>
        <v>0</v>
      </c>
      <c r="BM27" s="194">
        <f t="shared" si="13"/>
        <v>0</v>
      </c>
      <c r="BN27" s="194">
        <f t="shared" si="14"/>
        <v>0</v>
      </c>
      <c r="BO27" s="194"/>
    </row>
    <row r="28" spans="1:72">
      <c r="N28" s="193" t="s">
        <v>153</v>
      </c>
      <c r="O28" s="193" t="s">
        <v>129</v>
      </c>
      <c r="P28" s="193" t="s">
        <v>150</v>
      </c>
      <c r="Q28" s="193" t="s">
        <v>149</v>
      </c>
      <c r="R28" s="193" t="s">
        <v>148</v>
      </c>
      <c r="S28" s="193" t="s">
        <v>152</v>
      </c>
      <c r="Y28" s="194">
        <f t="shared" si="9"/>
        <v>0</v>
      </c>
      <c r="AS28" s="194"/>
      <c r="AT28" s="194"/>
      <c r="AU28" s="194"/>
      <c r="AV28" s="194">
        <f t="shared" si="10"/>
        <v>0</v>
      </c>
      <c r="AW28" s="194">
        <f t="shared" si="10"/>
        <v>0</v>
      </c>
      <c r="AX28" s="194">
        <f t="shared" si="10"/>
        <v>0</v>
      </c>
      <c r="AY28" s="194">
        <f t="shared" si="10"/>
        <v>0</v>
      </c>
      <c r="AZ28" s="194">
        <f t="shared" si="10"/>
        <v>0</v>
      </c>
      <c r="BA28" s="194">
        <f t="shared" si="10"/>
        <v>0</v>
      </c>
      <c r="BB28" s="194">
        <f t="shared" si="10"/>
        <v>0</v>
      </c>
      <c r="BC28" s="194">
        <f t="shared" si="10"/>
        <v>0</v>
      </c>
      <c r="BD28" s="194">
        <f t="shared" si="11"/>
        <v>0</v>
      </c>
      <c r="BE28" s="194">
        <f t="shared" si="11"/>
        <v>0</v>
      </c>
      <c r="BF28" s="194">
        <f t="shared" si="12"/>
        <v>0</v>
      </c>
      <c r="BG28" s="194">
        <f t="shared" si="12"/>
        <v>0</v>
      </c>
      <c r="BH28" s="194">
        <f t="shared" si="12"/>
        <v>0</v>
      </c>
      <c r="BI28" s="194">
        <f t="shared" si="12"/>
        <v>0</v>
      </c>
      <c r="BJ28" s="194">
        <f t="shared" si="12"/>
        <v>0</v>
      </c>
      <c r="BK28" s="194">
        <f t="shared" si="12"/>
        <v>0</v>
      </c>
      <c r="BL28" s="194">
        <f t="shared" si="12"/>
        <v>0</v>
      </c>
      <c r="BM28" s="194">
        <f t="shared" si="13"/>
        <v>0</v>
      </c>
      <c r="BN28" s="194">
        <f t="shared" si="14"/>
        <v>0</v>
      </c>
      <c r="BO28" s="194"/>
    </row>
    <row r="29" spans="1:72">
      <c r="N29" s="193" t="s">
        <v>151</v>
      </c>
      <c r="O29" s="193" t="s">
        <v>129</v>
      </c>
      <c r="P29" s="193" t="s">
        <v>150</v>
      </c>
      <c r="Q29" s="193" t="s">
        <v>149</v>
      </c>
      <c r="R29" s="193" t="s">
        <v>148</v>
      </c>
      <c r="S29" s="193" t="s">
        <v>147</v>
      </c>
      <c r="Y29" s="194">
        <f t="shared" si="9"/>
        <v>0</v>
      </c>
      <c r="AS29" s="194"/>
      <c r="AT29" s="194"/>
      <c r="AU29" s="194"/>
      <c r="AV29" s="194">
        <f t="shared" si="10"/>
        <v>0</v>
      </c>
      <c r="AW29" s="194">
        <f t="shared" si="10"/>
        <v>0</v>
      </c>
      <c r="AX29" s="194">
        <f t="shared" si="10"/>
        <v>0</v>
      </c>
      <c r="AY29" s="194">
        <f t="shared" si="10"/>
        <v>0</v>
      </c>
      <c r="AZ29" s="194">
        <f t="shared" si="10"/>
        <v>0</v>
      </c>
      <c r="BA29" s="194">
        <f t="shared" si="10"/>
        <v>0</v>
      </c>
      <c r="BB29" s="194">
        <f t="shared" si="10"/>
        <v>0</v>
      </c>
      <c r="BC29" s="194">
        <f t="shared" si="10"/>
        <v>0</v>
      </c>
      <c r="BD29" s="194">
        <f t="shared" si="11"/>
        <v>0</v>
      </c>
      <c r="BE29" s="194">
        <f t="shared" si="11"/>
        <v>0</v>
      </c>
      <c r="BF29" s="194">
        <f t="shared" si="12"/>
        <v>0</v>
      </c>
      <c r="BG29" s="194">
        <f t="shared" si="12"/>
        <v>0</v>
      </c>
      <c r="BH29" s="194">
        <f t="shared" si="12"/>
        <v>0</v>
      </c>
      <c r="BI29" s="194">
        <f t="shared" si="12"/>
        <v>0</v>
      </c>
      <c r="BJ29" s="194">
        <f t="shared" si="12"/>
        <v>0</v>
      </c>
      <c r="BK29" s="194">
        <f t="shared" si="12"/>
        <v>0</v>
      </c>
      <c r="BL29" s="194">
        <f t="shared" si="12"/>
        <v>0</v>
      </c>
      <c r="BM29" s="194">
        <f t="shared" si="13"/>
        <v>0</v>
      </c>
      <c r="BN29" s="194">
        <f t="shared" si="14"/>
        <v>0</v>
      </c>
      <c r="BO29" s="194"/>
    </row>
    <row r="30" spans="1:72">
      <c r="N30" s="442" t="s">
        <v>364</v>
      </c>
      <c r="O30" s="193" t="s">
        <v>129</v>
      </c>
      <c r="P30" s="193" t="s">
        <v>138</v>
      </c>
      <c r="Q30" s="193" t="s">
        <v>362</v>
      </c>
      <c r="Y30" s="194">
        <f t="shared" si="9"/>
        <v>0</v>
      </c>
      <c r="AS30" s="194"/>
      <c r="AT30" s="194"/>
      <c r="AU30" s="194"/>
      <c r="AV30" s="194">
        <f t="shared" si="10"/>
        <v>0</v>
      </c>
      <c r="AW30" s="194">
        <f t="shared" si="10"/>
        <v>0</v>
      </c>
      <c r="AX30" s="194">
        <f t="shared" si="10"/>
        <v>0</v>
      </c>
      <c r="AY30" s="194">
        <f t="shared" si="10"/>
        <v>0</v>
      </c>
      <c r="AZ30" s="194">
        <f t="shared" si="10"/>
        <v>0</v>
      </c>
      <c r="BA30" s="194">
        <f t="shared" si="10"/>
        <v>0</v>
      </c>
      <c r="BB30" s="194">
        <f t="shared" si="10"/>
        <v>0</v>
      </c>
      <c r="BC30" s="194">
        <f t="shared" si="10"/>
        <v>0</v>
      </c>
      <c r="BD30" s="194">
        <f t="shared" si="11"/>
        <v>0</v>
      </c>
      <c r="BE30" s="194">
        <f t="shared" si="11"/>
        <v>0</v>
      </c>
      <c r="BF30" s="194">
        <f t="shared" si="12"/>
        <v>0</v>
      </c>
      <c r="BG30" s="194">
        <f t="shared" si="12"/>
        <v>0</v>
      </c>
      <c r="BH30" s="194">
        <f t="shared" si="12"/>
        <v>0</v>
      </c>
      <c r="BI30" s="194">
        <f t="shared" si="12"/>
        <v>0</v>
      </c>
      <c r="BJ30" s="194">
        <f t="shared" si="12"/>
        <v>0</v>
      </c>
      <c r="BK30" s="194">
        <f t="shared" si="12"/>
        <v>0</v>
      </c>
      <c r="BL30" s="194">
        <f t="shared" si="12"/>
        <v>0</v>
      </c>
      <c r="BM30" s="194">
        <f t="shared" si="13"/>
        <v>0</v>
      </c>
      <c r="BN30" s="194">
        <f t="shared" si="14"/>
        <v>0</v>
      </c>
      <c r="BO30" s="194"/>
    </row>
    <row r="31" spans="1:72">
      <c r="N31" s="193" t="s">
        <v>146</v>
      </c>
      <c r="O31" s="193" t="s">
        <v>129</v>
      </c>
      <c r="P31" s="193" t="s">
        <v>138</v>
      </c>
      <c r="Q31" s="193" t="s">
        <v>42</v>
      </c>
      <c r="R31" s="193" t="s">
        <v>145</v>
      </c>
      <c r="Y31" s="194">
        <f t="shared" si="9"/>
        <v>0</v>
      </c>
      <c r="AS31" s="194"/>
      <c r="AT31" s="194"/>
      <c r="AU31" s="194"/>
      <c r="AV31" s="194">
        <f t="shared" si="10"/>
        <v>0</v>
      </c>
      <c r="AW31" s="194">
        <f t="shared" si="10"/>
        <v>0</v>
      </c>
      <c r="AX31" s="194">
        <f t="shared" si="10"/>
        <v>0</v>
      </c>
      <c r="AY31" s="194">
        <f t="shared" si="10"/>
        <v>0</v>
      </c>
      <c r="AZ31" s="194">
        <f t="shared" si="10"/>
        <v>0</v>
      </c>
      <c r="BA31" s="194">
        <f t="shared" si="10"/>
        <v>0</v>
      </c>
      <c r="BB31" s="194">
        <f t="shared" si="10"/>
        <v>0</v>
      </c>
      <c r="BC31" s="194">
        <f t="shared" si="10"/>
        <v>0</v>
      </c>
      <c r="BD31" s="194">
        <f t="shared" si="11"/>
        <v>0</v>
      </c>
      <c r="BE31" s="194">
        <f t="shared" si="11"/>
        <v>0</v>
      </c>
      <c r="BF31" s="194">
        <f t="shared" si="12"/>
        <v>0</v>
      </c>
      <c r="BG31" s="194">
        <f t="shared" si="12"/>
        <v>0</v>
      </c>
      <c r="BH31" s="194">
        <f t="shared" si="12"/>
        <v>0</v>
      </c>
      <c r="BI31" s="194">
        <f t="shared" si="12"/>
        <v>0</v>
      </c>
      <c r="BJ31" s="194">
        <f t="shared" si="12"/>
        <v>0</v>
      </c>
      <c r="BK31" s="194">
        <f t="shared" si="12"/>
        <v>0</v>
      </c>
      <c r="BL31" s="194">
        <f t="shared" si="12"/>
        <v>0</v>
      </c>
      <c r="BM31" s="194">
        <f t="shared" si="13"/>
        <v>0</v>
      </c>
      <c r="BN31" s="194">
        <f t="shared" si="14"/>
        <v>0</v>
      </c>
      <c r="BO31" s="194"/>
    </row>
    <row r="32" spans="1:72">
      <c r="N32" s="442" t="s">
        <v>365</v>
      </c>
      <c r="O32" s="193" t="s">
        <v>129</v>
      </c>
      <c r="P32" s="193" t="s">
        <v>138</v>
      </c>
      <c r="Q32" s="193" t="s">
        <v>363</v>
      </c>
      <c r="R32" s="193" t="s">
        <v>366</v>
      </c>
      <c r="Y32" s="194">
        <f t="shared" si="9"/>
        <v>0</v>
      </c>
      <c r="AS32" s="194"/>
      <c r="AT32" s="194"/>
      <c r="AU32" s="194"/>
      <c r="AV32" s="194">
        <f t="shared" si="10"/>
        <v>0</v>
      </c>
      <c r="AW32" s="194">
        <f t="shared" si="10"/>
        <v>0</v>
      </c>
      <c r="AX32" s="194">
        <f t="shared" si="10"/>
        <v>0</v>
      </c>
      <c r="AY32" s="194">
        <f t="shared" si="10"/>
        <v>0</v>
      </c>
      <c r="AZ32" s="194">
        <f t="shared" si="10"/>
        <v>0</v>
      </c>
      <c r="BA32" s="194">
        <f t="shared" si="10"/>
        <v>0</v>
      </c>
      <c r="BB32" s="194">
        <f t="shared" si="10"/>
        <v>0</v>
      </c>
      <c r="BC32" s="194">
        <f t="shared" si="10"/>
        <v>0</v>
      </c>
      <c r="BD32" s="194">
        <f t="shared" si="11"/>
        <v>0</v>
      </c>
      <c r="BE32" s="194">
        <f t="shared" si="11"/>
        <v>0</v>
      </c>
      <c r="BF32" s="194">
        <f t="shared" si="12"/>
        <v>0</v>
      </c>
      <c r="BG32" s="194">
        <f t="shared" si="12"/>
        <v>0</v>
      </c>
      <c r="BH32" s="194">
        <f t="shared" si="12"/>
        <v>0</v>
      </c>
      <c r="BI32" s="194">
        <f t="shared" si="12"/>
        <v>0</v>
      </c>
      <c r="BJ32" s="194">
        <f t="shared" si="12"/>
        <v>0</v>
      </c>
      <c r="BK32" s="194">
        <f t="shared" si="12"/>
        <v>0</v>
      </c>
      <c r="BL32" s="194">
        <f t="shared" si="12"/>
        <v>0</v>
      </c>
      <c r="BM32" s="194">
        <f t="shared" si="13"/>
        <v>0</v>
      </c>
      <c r="BN32" s="194">
        <f t="shared" si="14"/>
        <v>0</v>
      </c>
      <c r="BO32" s="194"/>
    </row>
    <row r="33" spans="14:67">
      <c r="N33" s="193" t="s">
        <v>144</v>
      </c>
      <c r="O33" s="193" t="s">
        <v>129</v>
      </c>
      <c r="P33" s="193" t="s">
        <v>138</v>
      </c>
      <c r="Q33" s="193" t="s">
        <v>141</v>
      </c>
      <c r="R33" s="193" t="s">
        <v>143</v>
      </c>
      <c r="Y33" s="194">
        <f t="shared" si="9"/>
        <v>0</v>
      </c>
      <c r="AS33" s="194"/>
      <c r="AT33" s="194"/>
      <c r="AU33" s="194"/>
      <c r="AV33" s="194">
        <f t="shared" si="10"/>
        <v>0</v>
      </c>
      <c r="AW33" s="194">
        <f t="shared" si="10"/>
        <v>0</v>
      </c>
      <c r="AX33" s="194">
        <f t="shared" si="10"/>
        <v>0</v>
      </c>
      <c r="AY33" s="194">
        <f t="shared" si="10"/>
        <v>0</v>
      </c>
      <c r="AZ33" s="194">
        <f t="shared" si="10"/>
        <v>0</v>
      </c>
      <c r="BA33" s="194">
        <f t="shared" si="10"/>
        <v>0</v>
      </c>
      <c r="BB33" s="194">
        <f t="shared" si="10"/>
        <v>0</v>
      </c>
      <c r="BC33" s="194">
        <f t="shared" si="10"/>
        <v>0</v>
      </c>
      <c r="BD33" s="194">
        <f t="shared" si="11"/>
        <v>0</v>
      </c>
      <c r="BE33" s="194">
        <f t="shared" si="11"/>
        <v>0</v>
      </c>
      <c r="BF33" s="194">
        <f t="shared" si="12"/>
        <v>0</v>
      </c>
      <c r="BG33" s="194">
        <f t="shared" si="12"/>
        <v>0</v>
      </c>
      <c r="BH33" s="194">
        <f t="shared" si="12"/>
        <v>0</v>
      </c>
      <c r="BI33" s="194">
        <f t="shared" si="12"/>
        <v>0</v>
      </c>
      <c r="BJ33" s="194">
        <f t="shared" si="12"/>
        <v>0</v>
      </c>
      <c r="BK33" s="194">
        <f t="shared" si="12"/>
        <v>0</v>
      </c>
      <c r="BL33" s="194">
        <f t="shared" si="12"/>
        <v>0</v>
      </c>
      <c r="BM33" s="194">
        <f t="shared" si="13"/>
        <v>0</v>
      </c>
      <c r="BN33" s="194">
        <f t="shared" si="14"/>
        <v>0</v>
      </c>
      <c r="BO33" s="194"/>
    </row>
    <row r="34" spans="14:67">
      <c r="N34" s="193" t="s">
        <v>142</v>
      </c>
      <c r="O34" s="193" t="s">
        <v>129</v>
      </c>
      <c r="P34" s="193" t="s">
        <v>138</v>
      </c>
      <c r="Q34" s="193" t="s">
        <v>141</v>
      </c>
      <c r="R34" s="193" t="s">
        <v>140</v>
      </c>
      <c r="Y34" s="194">
        <f t="shared" si="9"/>
        <v>0</v>
      </c>
      <c r="AS34" s="194"/>
      <c r="AT34" s="194"/>
      <c r="AU34" s="194"/>
      <c r="AV34" s="194">
        <f t="shared" si="10"/>
        <v>0</v>
      </c>
      <c r="AW34" s="194">
        <f t="shared" si="10"/>
        <v>0</v>
      </c>
      <c r="AX34" s="194">
        <f t="shared" si="10"/>
        <v>0</v>
      </c>
      <c r="AY34" s="194">
        <f t="shared" si="10"/>
        <v>0</v>
      </c>
      <c r="AZ34" s="194">
        <f t="shared" si="10"/>
        <v>0</v>
      </c>
      <c r="BA34" s="194">
        <f t="shared" si="10"/>
        <v>0</v>
      </c>
      <c r="BB34" s="194">
        <f t="shared" si="10"/>
        <v>0</v>
      </c>
      <c r="BC34" s="194">
        <f t="shared" si="10"/>
        <v>0</v>
      </c>
      <c r="BD34" s="194">
        <f t="shared" si="11"/>
        <v>0</v>
      </c>
      <c r="BE34" s="194">
        <f t="shared" si="11"/>
        <v>0</v>
      </c>
      <c r="BF34" s="194">
        <f t="shared" si="12"/>
        <v>0</v>
      </c>
      <c r="BG34" s="194">
        <f t="shared" si="12"/>
        <v>0</v>
      </c>
      <c r="BH34" s="194">
        <f t="shared" si="12"/>
        <v>0</v>
      </c>
      <c r="BI34" s="194">
        <f t="shared" si="12"/>
        <v>0</v>
      </c>
      <c r="BJ34" s="194">
        <f t="shared" si="12"/>
        <v>0</v>
      </c>
      <c r="BK34" s="194">
        <f t="shared" si="12"/>
        <v>0</v>
      </c>
      <c r="BL34" s="194">
        <f t="shared" si="12"/>
        <v>0</v>
      </c>
      <c r="BM34" s="194">
        <f t="shared" si="13"/>
        <v>0</v>
      </c>
      <c r="BN34" s="194">
        <f t="shared" si="14"/>
        <v>0</v>
      </c>
      <c r="BO34" s="194"/>
    </row>
    <row r="35" spans="14:67">
      <c r="N35" s="193" t="s">
        <v>220</v>
      </c>
      <c r="O35" s="193" t="s">
        <v>129</v>
      </c>
      <c r="P35" s="193" t="s">
        <v>138</v>
      </c>
      <c r="Q35" s="193" t="s">
        <v>36</v>
      </c>
      <c r="R35" s="193" t="s">
        <v>36</v>
      </c>
      <c r="Y35" s="194">
        <f t="shared" si="9"/>
        <v>0</v>
      </c>
      <c r="AS35" s="194"/>
      <c r="AT35" s="194"/>
      <c r="AU35" s="194"/>
      <c r="AV35" s="194">
        <f t="shared" ref="AV35:BC42" si="15">+SUMIFS(AV$69:AV$894,$N$69:$N$894,$N35,$AS$69:$AS$894,31)</f>
        <v>0</v>
      </c>
      <c r="AW35" s="194">
        <f t="shared" si="15"/>
        <v>0</v>
      </c>
      <c r="AX35" s="194">
        <f t="shared" si="15"/>
        <v>0</v>
      </c>
      <c r="AY35" s="194">
        <f t="shared" si="15"/>
        <v>0</v>
      </c>
      <c r="AZ35" s="194">
        <f t="shared" si="15"/>
        <v>0</v>
      </c>
      <c r="BA35" s="194">
        <f t="shared" si="15"/>
        <v>0</v>
      </c>
      <c r="BB35" s="194">
        <f t="shared" si="15"/>
        <v>0</v>
      </c>
      <c r="BC35" s="194">
        <f t="shared" si="15"/>
        <v>0</v>
      </c>
      <c r="BD35" s="194">
        <f t="shared" si="11"/>
        <v>0</v>
      </c>
      <c r="BE35" s="194">
        <f t="shared" si="11"/>
        <v>0</v>
      </c>
      <c r="BF35" s="194">
        <f t="shared" ref="BF35:BL42" si="16">+SUMIFS(BF$69:BF$891,$N$69:$N$891,$N35,$AS$69:$AS$891,31)</f>
        <v>0</v>
      </c>
      <c r="BG35" s="194">
        <f t="shared" si="16"/>
        <v>0</v>
      </c>
      <c r="BH35" s="194">
        <f t="shared" si="16"/>
        <v>0</v>
      </c>
      <c r="BI35" s="194">
        <f t="shared" si="16"/>
        <v>0</v>
      </c>
      <c r="BJ35" s="194">
        <f t="shared" si="16"/>
        <v>0</v>
      </c>
      <c r="BK35" s="194">
        <f t="shared" si="16"/>
        <v>0</v>
      </c>
      <c r="BL35" s="194">
        <f t="shared" si="16"/>
        <v>0</v>
      </c>
      <c r="BM35" s="194">
        <f t="shared" si="13"/>
        <v>0</v>
      </c>
      <c r="BN35" s="194">
        <f t="shared" si="14"/>
        <v>0</v>
      </c>
      <c r="BO35" s="194"/>
    </row>
    <row r="36" spans="14:67">
      <c r="N36" s="205" t="s">
        <v>219</v>
      </c>
      <c r="O36" s="193" t="s">
        <v>129</v>
      </c>
      <c r="P36" s="193" t="s">
        <v>138</v>
      </c>
      <c r="Q36" s="193" t="s">
        <v>137</v>
      </c>
      <c r="R36" s="193" t="s">
        <v>218</v>
      </c>
      <c r="Y36" s="194">
        <f t="shared" si="9"/>
        <v>0</v>
      </c>
      <c r="AS36" s="194"/>
      <c r="AT36" s="194"/>
      <c r="AU36" s="194"/>
      <c r="AV36" s="194">
        <f t="shared" si="15"/>
        <v>0</v>
      </c>
      <c r="AW36" s="194">
        <f t="shared" si="15"/>
        <v>0</v>
      </c>
      <c r="AX36" s="194">
        <f t="shared" si="15"/>
        <v>0</v>
      </c>
      <c r="AY36" s="194">
        <f t="shared" si="15"/>
        <v>0</v>
      </c>
      <c r="AZ36" s="194">
        <f t="shared" si="15"/>
        <v>0</v>
      </c>
      <c r="BA36" s="194">
        <f t="shared" si="15"/>
        <v>0</v>
      </c>
      <c r="BB36" s="194">
        <f t="shared" si="15"/>
        <v>0</v>
      </c>
      <c r="BC36" s="194">
        <f t="shared" si="15"/>
        <v>0</v>
      </c>
      <c r="BD36" s="194">
        <f t="shared" si="11"/>
        <v>0</v>
      </c>
      <c r="BE36" s="194">
        <f t="shared" si="11"/>
        <v>0</v>
      </c>
      <c r="BF36" s="194">
        <f t="shared" si="16"/>
        <v>0</v>
      </c>
      <c r="BG36" s="194">
        <f t="shared" si="16"/>
        <v>0</v>
      </c>
      <c r="BH36" s="194">
        <f t="shared" si="16"/>
        <v>0</v>
      </c>
      <c r="BI36" s="194">
        <f t="shared" si="16"/>
        <v>0</v>
      </c>
      <c r="BJ36" s="194">
        <f t="shared" si="16"/>
        <v>0</v>
      </c>
      <c r="BK36" s="194">
        <f t="shared" si="16"/>
        <v>0</v>
      </c>
      <c r="BL36" s="194">
        <f t="shared" si="16"/>
        <v>0</v>
      </c>
      <c r="BM36" s="194">
        <f t="shared" si="13"/>
        <v>0</v>
      </c>
      <c r="BN36" s="194">
        <f t="shared" si="14"/>
        <v>0</v>
      </c>
      <c r="BO36" s="194"/>
    </row>
    <row r="37" spans="14:67">
      <c r="N37" s="193" t="s">
        <v>139</v>
      </c>
      <c r="O37" s="193" t="s">
        <v>129</v>
      </c>
      <c r="P37" s="193" t="s">
        <v>138</v>
      </c>
      <c r="Q37" s="193" t="s">
        <v>137</v>
      </c>
      <c r="R37" s="193" t="s">
        <v>136</v>
      </c>
      <c r="Y37" s="194">
        <f t="shared" si="9"/>
        <v>1202214</v>
      </c>
      <c r="AS37" s="194"/>
      <c r="AT37" s="194"/>
      <c r="AU37" s="194"/>
      <c r="AV37" s="194">
        <f t="shared" si="15"/>
        <v>553018</v>
      </c>
      <c r="AW37" s="194">
        <f t="shared" si="15"/>
        <v>0</v>
      </c>
      <c r="AX37" s="194">
        <f t="shared" si="15"/>
        <v>0</v>
      </c>
      <c r="AY37" s="194">
        <f t="shared" si="15"/>
        <v>553018</v>
      </c>
      <c r="AZ37" s="194">
        <f t="shared" si="15"/>
        <v>0</v>
      </c>
      <c r="BA37" s="194">
        <f t="shared" si="15"/>
        <v>649196</v>
      </c>
      <c r="BB37" s="194">
        <f t="shared" si="15"/>
        <v>649196</v>
      </c>
      <c r="BC37" s="194">
        <f t="shared" si="15"/>
        <v>1202214</v>
      </c>
      <c r="BD37" s="194">
        <f t="shared" si="11"/>
        <v>0</v>
      </c>
      <c r="BE37" s="194">
        <f t="shared" si="11"/>
        <v>0</v>
      </c>
      <c r="BF37" s="194">
        <f t="shared" si="16"/>
        <v>553018</v>
      </c>
      <c r="BG37" s="194">
        <f t="shared" si="16"/>
        <v>0</v>
      </c>
      <c r="BH37" s="194">
        <f t="shared" si="16"/>
        <v>0</v>
      </c>
      <c r="BI37" s="194">
        <f t="shared" si="16"/>
        <v>553018</v>
      </c>
      <c r="BJ37" s="194">
        <f t="shared" si="16"/>
        <v>0</v>
      </c>
      <c r="BK37" s="194">
        <f t="shared" si="16"/>
        <v>649196</v>
      </c>
      <c r="BL37" s="194">
        <f t="shared" si="16"/>
        <v>649196</v>
      </c>
      <c r="BM37" s="194">
        <f t="shared" si="13"/>
        <v>1202214</v>
      </c>
      <c r="BN37" s="194">
        <f t="shared" si="14"/>
        <v>0</v>
      </c>
      <c r="BO37" s="194"/>
    </row>
    <row r="38" spans="14:67">
      <c r="N38" s="204" t="s">
        <v>217</v>
      </c>
      <c r="O38" s="204" t="s">
        <v>129</v>
      </c>
      <c r="P38" s="204" t="s">
        <v>128</v>
      </c>
      <c r="Q38" s="204" t="s">
        <v>216</v>
      </c>
      <c r="R38" s="204" t="s">
        <v>216</v>
      </c>
      <c r="Y38" s="194">
        <f t="shared" si="9"/>
        <v>0</v>
      </c>
      <c r="AS38" s="194"/>
      <c r="AT38" s="194"/>
      <c r="AU38" s="194"/>
      <c r="AV38" s="194">
        <f t="shared" si="15"/>
        <v>0</v>
      </c>
      <c r="AW38" s="194">
        <f t="shared" si="15"/>
        <v>0</v>
      </c>
      <c r="AX38" s="194">
        <f t="shared" si="15"/>
        <v>0</v>
      </c>
      <c r="AY38" s="194">
        <f t="shared" si="15"/>
        <v>0</v>
      </c>
      <c r="AZ38" s="194">
        <f t="shared" si="15"/>
        <v>0</v>
      </c>
      <c r="BA38" s="194">
        <f t="shared" si="15"/>
        <v>0</v>
      </c>
      <c r="BB38" s="194">
        <f t="shared" si="15"/>
        <v>0</v>
      </c>
      <c r="BC38" s="194">
        <f t="shared" si="15"/>
        <v>0</v>
      </c>
      <c r="BD38" s="194">
        <f t="shared" si="11"/>
        <v>0</v>
      </c>
      <c r="BE38" s="194">
        <f t="shared" si="11"/>
        <v>0</v>
      </c>
      <c r="BF38" s="194">
        <f t="shared" si="16"/>
        <v>0</v>
      </c>
      <c r="BG38" s="194">
        <f t="shared" si="16"/>
        <v>0</v>
      </c>
      <c r="BH38" s="194">
        <f t="shared" si="16"/>
        <v>0</v>
      </c>
      <c r="BI38" s="194">
        <f t="shared" si="16"/>
        <v>0</v>
      </c>
      <c r="BJ38" s="194">
        <f t="shared" si="16"/>
        <v>0</v>
      </c>
      <c r="BK38" s="194">
        <f t="shared" si="16"/>
        <v>0</v>
      </c>
      <c r="BL38" s="194">
        <f t="shared" si="16"/>
        <v>0</v>
      </c>
      <c r="BM38" s="194">
        <f t="shared" si="13"/>
        <v>0</v>
      </c>
      <c r="BN38" s="194">
        <f t="shared" si="14"/>
        <v>0</v>
      </c>
      <c r="BO38" s="194"/>
    </row>
    <row r="39" spans="14:67">
      <c r="N39" s="193" t="s">
        <v>135</v>
      </c>
      <c r="O39" s="193" t="s">
        <v>129</v>
      </c>
      <c r="P39" s="193" t="s">
        <v>128</v>
      </c>
      <c r="Q39" s="193" t="s">
        <v>134</v>
      </c>
      <c r="R39" s="193" t="s">
        <v>134</v>
      </c>
      <c r="Y39" s="194">
        <f t="shared" si="9"/>
        <v>1155175</v>
      </c>
      <c r="AS39" s="194"/>
      <c r="AT39" s="194"/>
      <c r="AU39" s="194"/>
      <c r="AV39" s="194">
        <f t="shared" si="15"/>
        <v>351708</v>
      </c>
      <c r="AW39" s="194">
        <f t="shared" si="15"/>
        <v>0</v>
      </c>
      <c r="AX39" s="194">
        <f t="shared" si="15"/>
        <v>487974</v>
      </c>
      <c r="AY39" s="194">
        <f t="shared" si="15"/>
        <v>839682</v>
      </c>
      <c r="AZ39" s="194">
        <f t="shared" si="15"/>
        <v>29260</v>
      </c>
      <c r="BA39" s="194">
        <f t="shared" si="15"/>
        <v>286233</v>
      </c>
      <c r="BB39" s="194">
        <f t="shared" si="15"/>
        <v>315493</v>
      </c>
      <c r="BC39" s="194">
        <f t="shared" si="15"/>
        <v>1155175</v>
      </c>
      <c r="BD39" s="194">
        <f t="shared" si="11"/>
        <v>0</v>
      </c>
      <c r="BE39" s="194">
        <f t="shared" si="11"/>
        <v>0</v>
      </c>
      <c r="BF39" s="194">
        <f t="shared" si="16"/>
        <v>351708</v>
      </c>
      <c r="BG39" s="194">
        <f t="shared" si="16"/>
        <v>0</v>
      </c>
      <c r="BH39" s="194">
        <f t="shared" si="16"/>
        <v>487974</v>
      </c>
      <c r="BI39" s="194">
        <f t="shared" si="16"/>
        <v>839682</v>
      </c>
      <c r="BJ39" s="194">
        <f t="shared" si="16"/>
        <v>29260</v>
      </c>
      <c r="BK39" s="194">
        <f t="shared" si="16"/>
        <v>286233</v>
      </c>
      <c r="BL39" s="194">
        <f t="shared" si="16"/>
        <v>315493</v>
      </c>
      <c r="BM39" s="194">
        <f t="shared" si="13"/>
        <v>1155175</v>
      </c>
      <c r="BN39" s="194">
        <f t="shared" si="14"/>
        <v>0</v>
      </c>
      <c r="BO39" s="194"/>
    </row>
    <row r="40" spans="14:67">
      <c r="N40" s="193" t="s">
        <v>133</v>
      </c>
      <c r="O40" s="193" t="s">
        <v>129</v>
      </c>
      <c r="P40" s="193" t="s">
        <v>128</v>
      </c>
      <c r="Q40" s="193" t="s">
        <v>127</v>
      </c>
      <c r="R40" s="193" t="s">
        <v>127</v>
      </c>
      <c r="Y40" s="194">
        <f t="shared" si="9"/>
        <v>864807</v>
      </c>
      <c r="AS40" s="194"/>
      <c r="AT40" s="194"/>
      <c r="AU40" s="194"/>
      <c r="AV40" s="194">
        <f t="shared" si="15"/>
        <v>588069</v>
      </c>
      <c r="AW40" s="194">
        <f t="shared" si="15"/>
        <v>0</v>
      </c>
      <c r="AX40" s="194">
        <f t="shared" si="15"/>
        <v>0</v>
      </c>
      <c r="AY40" s="194">
        <f t="shared" si="15"/>
        <v>588069</v>
      </c>
      <c r="AZ40" s="194">
        <f t="shared" si="15"/>
        <v>0</v>
      </c>
      <c r="BA40" s="194">
        <f t="shared" si="15"/>
        <v>276738</v>
      </c>
      <c r="BB40" s="194">
        <f t="shared" si="15"/>
        <v>276738</v>
      </c>
      <c r="BC40" s="194">
        <f t="shared" si="15"/>
        <v>864807</v>
      </c>
      <c r="BD40" s="194">
        <f t="shared" si="11"/>
        <v>0</v>
      </c>
      <c r="BE40" s="194">
        <f t="shared" si="11"/>
        <v>0</v>
      </c>
      <c r="BF40" s="194">
        <f t="shared" si="16"/>
        <v>588069</v>
      </c>
      <c r="BG40" s="194">
        <f t="shared" si="16"/>
        <v>0</v>
      </c>
      <c r="BH40" s="194">
        <f t="shared" si="16"/>
        <v>0</v>
      </c>
      <c r="BI40" s="194">
        <f t="shared" si="16"/>
        <v>588069</v>
      </c>
      <c r="BJ40" s="194">
        <f t="shared" si="16"/>
        <v>0</v>
      </c>
      <c r="BK40" s="194">
        <f t="shared" si="16"/>
        <v>276738</v>
      </c>
      <c r="BL40" s="194">
        <f t="shared" si="16"/>
        <v>276738</v>
      </c>
      <c r="BM40" s="194">
        <f t="shared" si="13"/>
        <v>864807</v>
      </c>
      <c r="BN40" s="194">
        <f t="shared" si="14"/>
        <v>0</v>
      </c>
      <c r="BO40" s="194"/>
    </row>
    <row r="41" spans="14:67">
      <c r="N41" s="193" t="s">
        <v>132</v>
      </c>
      <c r="O41" s="193" t="s">
        <v>129</v>
      </c>
      <c r="P41" s="193" t="s">
        <v>128</v>
      </c>
      <c r="Q41" s="193" t="s">
        <v>127</v>
      </c>
      <c r="R41" s="193" t="s">
        <v>131</v>
      </c>
      <c r="Y41" s="194">
        <f t="shared" si="9"/>
        <v>455622</v>
      </c>
      <c r="AS41" s="194"/>
      <c r="AT41" s="194"/>
      <c r="AU41" s="194"/>
      <c r="AV41" s="194">
        <f t="shared" si="15"/>
        <v>0</v>
      </c>
      <c r="AW41" s="194">
        <f t="shared" si="15"/>
        <v>0</v>
      </c>
      <c r="AX41" s="194">
        <f t="shared" si="15"/>
        <v>16334</v>
      </c>
      <c r="AY41" s="194">
        <f t="shared" si="15"/>
        <v>16334</v>
      </c>
      <c r="AZ41" s="194">
        <f t="shared" si="15"/>
        <v>0</v>
      </c>
      <c r="BA41" s="194">
        <f t="shared" si="15"/>
        <v>439288</v>
      </c>
      <c r="BB41" s="194">
        <f t="shared" si="15"/>
        <v>439288</v>
      </c>
      <c r="BC41" s="194">
        <f t="shared" si="15"/>
        <v>455622</v>
      </c>
      <c r="BD41" s="194">
        <f t="shared" si="11"/>
        <v>0</v>
      </c>
      <c r="BE41" s="194">
        <f t="shared" si="11"/>
        <v>0</v>
      </c>
      <c r="BF41" s="194">
        <f t="shared" si="16"/>
        <v>0</v>
      </c>
      <c r="BG41" s="194">
        <f t="shared" si="16"/>
        <v>0</v>
      </c>
      <c r="BH41" s="194">
        <f t="shared" si="16"/>
        <v>16334</v>
      </c>
      <c r="BI41" s="194">
        <f t="shared" si="16"/>
        <v>16334</v>
      </c>
      <c r="BJ41" s="194">
        <f t="shared" si="16"/>
        <v>0</v>
      </c>
      <c r="BK41" s="194">
        <f t="shared" si="16"/>
        <v>439288</v>
      </c>
      <c r="BL41" s="194">
        <f t="shared" si="16"/>
        <v>439288</v>
      </c>
      <c r="BM41" s="194">
        <f t="shared" si="13"/>
        <v>455622</v>
      </c>
      <c r="BN41" s="194">
        <f t="shared" si="14"/>
        <v>0</v>
      </c>
      <c r="BO41" s="194"/>
    </row>
    <row r="42" spans="14:67">
      <c r="N42" s="193" t="s">
        <v>130</v>
      </c>
      <c r="O42" s="193" t="s">
        <v>129</v>
      </c>
      <c r="P42" s="193" t="s">
        <v>128</v>
      </c>
      <c r="Q42" s="193" t="s">
        <v>127</v>
      </c>
      <c r="R42" s="193" t="s">
        <v>126</v>
      </c>
      <c r="Y42" s="194">
        <f t="shared" si="9"/>
        <v>109000</v>
      </c>
      <c r="AS42" s="194"/>
      <c r="AT42" s="194"/>
      <c r="AU42" s="194"/>
      <c r="AV42" s="194">
        <f t="shared" si="15"/>
        <v>54500</v>
      </c>
      <c r="AW42" s="194">
        <f t="shared" si="15"/>
        <v>0</v>
      </c>
      <c r="AX42" s="194">
        <f t="shared" si="15"/>
        <v>0</v>
      </c>
      <c r="AY42" s="194">
        <f t="shared" si="15"/>
        <v>54500</v>
      </c>
      <c r="AZ42" s="194">
        <f t="shared" si="15"/>
        <v>0</v>
      </c>
      <c r="BA42" s="194">
        <f t="shared" si="15"/>
        <v>54500</v>
      </c>
      <c r="BB42" s="194">
        <f t="shared" si="15"/>
        <v>54500</v>
      </c>
      <c r="BC42" s="194">
        <f t="shared" si="15"/>
        <v>109000</v>
      </c>
      <c r="BD42" s="194">
        <f t="shared" si="11"/>
        <v>0</v>
      </c>
      <c r="BE42" s="194">
        <f t="shared" si="11"/>
        <v>0</v>
      </c>
      <c r="BF42" s="194">
        <f t="shared" si="16"/>
        <v>54500</v>
      </c>
      <c r="BG42" s="194">
        <f t="shared" si="16"/>
        <v>0</v>
      </c>
      <c r="BH42" s="194">
        <f t="shared" si="16"/>
        <v>0</v>
      </c>
      <c r="BI42" s="194">
        <f t="shared" si="16"/>
        <v>54500</v>
      </c>
      <c r="BJ42" s="194">
        <f t="shared" si="16"/>
        <v>0</v>
      </c>
      <c r="BK42" s="194">
        <f t="shared" si="16"/>
        <v>54500</v>
      </c>
      <c r="BL42" s="194">
        <f t="shared" si="16"/>
        <v>54500</v>
      </c>
      <c r="BM42" s="194">
        <f t="shared" si="13"/>
        <v>109000</v>
      </c>
      <c r="BN42" s="194">
        <f t="shared" si="14"/>
        <v>0</v>
      </c>
      <c r="BO42" s="194"/>
    </row>
    <row r="45" spans="14:67" ht="13.5" customHeight="1">
      <c r="Q45" s="207"/>
      <c r="R45" s="575" t="s">
        <v>225</v>
      </c>
      <c r="AV45" s="607" t="s">
        <v>213</v>
      </c>
      <c r="AW45" s="607"/>
      <c r="AX45" s="607"/>
      <c r="AY45" s="607"/>
      <c r="AZ45" s="607" t="s">
        <v>212</v>
      </c>
      <c r="BA45" s="607"/>
      <c r="BB45" s="607"/>
      <c r="BC45" s="609" t="s">
        <v>211</v>
      </c>
      <c r="BD45" s="607" t="s">
        <v>224</v>
      </c>
      <c r="BE45" s="198"/>
      <c r="BF45" s="607" t="s">
        <v>367</v>
      </c>
      <c r="BG45" s="607"/>
      <c r="BH45" s="607"/>
      <c r="BI45" s="607"/>
      <c r="BJ45" s="607" t="s">
        <v>209</v>
      </c>
      <c r="BK45" s="607"/>
      <c r="BL45" s="607"/>
      <c r="BM45" s="609" t="s">
        <v>208</v>
      </c>
      <c r="BN45" s="609" t="s">
        <v>223</v>
      </c>
      <c r="BO45" s="609" t="s">
        <v>222</v>
      </c>
    </row>
    <row r="46" spans="14:67">
      <c r="AV46" s="384" t="s">
        <v>162</v>
      </c>
      <c r="AW46" s="384" t="s">
        <v>161</v>
      </c>
      <c r="AX46" s="384" t="s">
        <v>359</v>
      </c>
      <c r="AY46" s="384" t="s">
        <v>158</v>
      </c>
      <c r="AZ46" s="198" t="s">
        <v>160</v>
      </c>
      <c r="BA46" s="198" t="s">
        <v>159</v>
      </c>
      <c r="BB46" s="198" t="s">
        <v>158</v>
      </c>
      <c r="BC46" s="609"/>
      <c r="BD46" s="607"/>
      <c r="BE46" s="198"/>
      <c r="BF46" s="384" t="s">
        <v>162</v>
      </c>
      <c r="BG46" s="384" t="s">
        <v>161</v>
      </c>
      <c r="BH46" s="384" t="s">
        <v>359</v>
      </c>
      <c r="BI46" s="384" t="s">
        <v>158</v>
      </c>
      <c r="BJ46" s="198" t="s">
        <v>160</v>
      </c>
      <c r="BK46" s="198" t="s">
        <v>159</v>
      </c>
      <c r="BL46" s="198" t="s">
        <v>158</v>
      </c>
      <c r="BM46" s="609"/>
      <c r="BN46" s="609"/>
      <c r="BO46" s="609"/>
    </row>
    <row r="47" spans="14:67">
      <c r="N47" s="205" t="s">
        <v>221</v>
      </c>
      <c r="O47" s="193" t="s">
        <v>129</v>
      </c>
      <c r="P47" s="193" t="s">
        <v>150</v>
      </c>
      <c r="Q47" s="193" t="s">
        <v>66</v>
      </c>
      <c r="R47" s="193" t="s">
        <v>66</v>
      </c>
      <c r="BF47" s="194">
        <f t="shared" ref="BF47:BH64" si="17">+IFERROR(ROUND($BO47*BF25/$BM25,0),0)</f>
        <v>0</v>
      </c>
      <c r="BG47" s="194">
        <f t="shared" si="17"/>
        <v>0</v>
      </c>
      <c r="BH47" s="194">
        <f t="shared" si="17"/>
        <v>0</v>
      </c>
      <c r="BI47" s="194">
        <f t="shared" ref="BI47:BI64" si="18">SUM(BF47:BG47)</f>
        <v>0</v>
      </c>
      <c r="BJ47" s="194">
        <f t="shared" ref="BJ47:BK64" si="19">+IFERROR(ROUND($BO47*BJ25/$BM25,0),0)</f>
        <v>0</v>
      </c>
      <c r="BK47" s="194">
        <f t="shared" si="19"/>
        <v>0</v>
      </c>
      <c r="BL47" s="194">
        <f t="shared" ref="BL47:BL64" si="20">SUM(BJ47:BK47)</f>
        <v>0</v>
      </c>
      <c r="BM47" s="194">
        <f t="shared" ref="BM47:BM64" si="21">+BI47+BL47+BH47</f>
        <v>0</v>
      </c>
      <c r="BN47" s="194">
        <f t="shared" ref="BN47:BN64" si="22">+BO47-BM47</f>
        <v>0</v>
      </c>
      <c r="BO47" s="203">
        <f>+SUMIFS('[2]3条収入'!$AH$6:$AH$70,'[2]3条収入'!$C$6:$C$70,雨汚収入!N47)</f>
        <v>0</v>
      </c>
    </row>
    <row r="48" spans="14:67">
      <c r="N48" s="193" t="s">
        <v>157</v>
      </c>
      <c r="O48" s="193" t="s">
        <v>129</v>
      </c>
      <c r="P48" s="193" t="s">
        <v>150</v>
      </c>
      <c r="Q48" s="193" t="s">
        <v>149</v>
      </c>
      <c r="R48" s="193" t="s">
        <v>156</v>
      </c>
      <c r="BF48" s="194">
        <f t="shared" si="17"/>
        <v>0</v>
      </c>
      <c r="BG48" s="194">
        <f t="shared" si="17"/>
        <v>0</v>
      </c>
      <c r="BH48" s="194">
        <f t="shared" si="17"/>
        <v>0</v>
      </c>
      <c r="BI48" s="194">
        <f t="shared" si="18"/>
        <v>0</v>
      </c>
      <c r="BJ48" s="194">
        <f t="shared" si="19"/>
        <v>0</v>
      </c>
      <c r="BK48" s="194">
        <f t="shared" si="19"/>
        <v>0</v>
      </c>
      <c r="BL48" s="194">
        <f t="shared" si="20"/>
        <v>0</v>
      </c>
      <c r="BM48" s="194">
        <f t="shared" si="21"/>
        <v>0</v>
      </c>
      <c r="BN48" s="194">
        <f t="shared" si="22"/>
        <v>0</v>
      </c>
      <c r="BO48" s="203">
        <f>+SUMIFS('[2]3条収入'!$AH$6:$AH$70,'[2]3条収入'!$C$6:$C$70,雨汚収入!N48)</f>
        <v>0</v>
      </c>
    </row>
    <row r="49" spans="14:67">
      <c r="N49" s="193" t="s">
        <v>155</v>
      </c>
      <c r="O49" s="193" t="s">
        <v>129</v>
      </c>
      <c r="P49" s="193" t="s">
        <v>150</v>
      </c>
      <c r="Q49" s="193" t="s">
        <v>149</v>
      </c>
      <c r="R49" s="193" t="s">
        <v>154</v>
      </c>
      <c r="BF49" s="194">
        <f t="shared" si="17"/>
        <v>0</v>
      </c>
      <c r="BG49" s="194">
        <f t="shared" si="17"/>
        <v>0</v>
      </c>
      <c r="BH49" s="194">
        <f t="shared" si="17"/>
        <v>0</v>
      </c>
      <c r="BI49" s="194">
        <f t="shared" si="18"/>
        <v>0</v>
      </c>
      <c r="BJ49" s="194">
        <f t="shared" si="19"/>
        <v>0</v>
      </c>
      <c r="BK49" s="194">
        <f t="shared" si="19"/>
        <v>0</v>
      </c>
      <c r="BL49" s="194">
        <f t="shared" si="20"/>
        <v>0</v>
      </c>
      <c r="BM49" s="194">
        <f t="shared" si="21"/>
        <v>0</v>
      </c>
      <c r="BN49" s="194">
        <f t="shared" si="22"/>
        <v>0</v>
      </c>
      <c r="BO49" s="203">
        <f>+SUMIFS('[2]3条収入'!$AH$6:$AH$70,'[2]3条収入'!$C$6:$C$70,雨汚収入!N49)</f>
        <v>0</v>
      </c>
    </row>
    <row r="50" spans="14:67">
      <c r="N50" s="193" t="s">
        <v>153</v>
      </c>
      <c r="O50" s="193" t="s">
        <v>129</v>
      </c>
      <c r="P50" s="193" t="s">
        <v>150</v>
      </c>
      <c r="Q50" s="193" t="s">
        <v>149</v>
      </c>
      <c r="R50" s="193" t="s">
        <v>148</v>
      </c>
      <c r="S50" s="193" t="s">
        <v>152</v>
      </c>
      <c r="BF50" s="194">
        <f t="shared" si="17"/>
        <v>0</v>
      </c>
      <c r="BG50" s="194">
        <f t="shared" si="17"/>
        <v>0</v>
      </c>
      <c r="BH50" s="194">
        <f t="shared" si="17"/>
        <v>0</v>
      </c>
      <c r="BI50" s="194">
        <f t="shared" si="18"/>
        <v>0</v>
      </c>
      <c r="BJ50" s="194">
        <f t="shared" si="19"/>
        <v>0</v>
      </c>
      <c r="BK50" s="194">
        <f t="shared" si="19"/>
        <v>0</v>
      </c>
      <c r="BL50" s="194">
        <f t="shared" si="20"/>
        <v>0</v>
      </c>
      <c r="BM50" s="194">
        <f t="shared" si="21"/>
        <v>0</v>
      </c>
      <c r="BN50" s="194">
        <f t="shared" si="22"/>
        <v>0</v>
      </c>
      <c r="BO50" s="203">
        <f>+SUMIFS('[2]3条収入'!$AH$6:$AH$70,'[2]3条収入'!$C$6:$C$70,雨汚収入!N50)</f>
        <v>0</v>
      </c>
    </row>
    <row r="51" spans="14:67">
      <c r="N51" s="193" t="s">
        <v>151</v>
      </c>
      <c r="O51" s="193" t="s">
        <v>129</v>
      </c>
      <c r="P51" s="193" t="s">
        <v>150</v>
      </c>
      <c r="Q51" s="193" t="s">
        <v>149</v>
      </c>
      <c r="R51" s="193" t="s">
        <v>148</v>
      </c>
      <c r="S51" s="193" t="s">
        <v>147</v>
      </c>
      <c r="BF51" s="194">
        <f t="shared" si="17"/>
        <v>0</v>
      </c>
      <c r="BG51" s="194">
        <f t="shared" si="17"/>
        <v>0</v>
      </c>
      <c r="BH51" s="194">
        <f t="shared" si="17"/>
        <v>0</v>
      </c>
      <c r="BI51" s="194">
        <f t="shared" si="18"/>
        <v>0</v>
      </c>
      <c r="BJ51" s="194">
        <f t="shared" si="19"/>
        <v>0</v>
      </c>
      <c r="BK51" s="194">
        <f t="shared" si="19"/>
        <v>0</v>
      </c>
      <c r="BL51" s="194">
        <f t="shared" si="20"/>
        <v>0</v>
      </c>
      <c r="BM51" s="194">
        <f t="shared" si="21"/>
        <v>0</v>
      </c>
      <c r="BN51" s="194">
        <f t="shared" si="22"/>
        <v>0</v>
      </c>
      <c r="BO51" s="203">
        <f>+SUMIFS('[2]3条収入'!$AH$6:$AH$70,'[2]3条収入'!$C$6:$C$70,雨汚収入!N51)</f>
        <v>0</v>
      </c>
    </row>
    <row r="52" spans="14:67">
      <c r="N52" s="442" t="s">
        <v>364</v>
      </c>
      <c r="O52" s="193" t="s">
        <v>129</v>
      </c>
      <c r="P52" s="193" t="s">
        <v>138</v>
      </c>
      <c r="Q52" s="193" t="s">
        <v>362</v>
      </c>
      <c r="BF52" s="194">
        <f t="shared" si="17"/>
        <v>0</v>
      </c>
      <c r="BG52" s="194">
        <f t="shared" si="17"/>
        <v>0</v>
      </c>
      <c r="BH52" s="194">
        <f t="shared" si="17"/>
        <v>0</v>
      </c>
      <c r="BI52" s="194">
        <f t="shared" ref="BI52" si="23">SUM(BF52:BG52)</f>
        <v>0</v>
      </c>
      <c r="BJ52" s="194">
        <f t="shared" si="19"/>
        <v>0</v>
      </c>
      <c r="BK52" s="194">
        <f t="shared" si="19"/>
        <v>0</v>
      </c>
      <c r="BL52" s="194">
        <f t="shared" ref="BL52" si="24">SUM(BJ52:BK52)</f>
        <v>0</v>
      </c>
      <c r="BM52" s="194">
        <f t="shared" ref="BM52" si="25">+BI52+BL52+BH52</f>
        <v>0</v>
      </c>
      <c r="BN52" s="194">
        <f t="shared" ref="BN52" si="26">+BO52-BM52</f>
        <v>0</v>
      </c>
      <c r="BO52" s="203">
        <f>+SUMIFS('[2]3条収入'!$AH$6:$AH$70,'[2]3条収入'!$C$6:$C$70,雨汚収入!N52)</f>
        <v>0</v>
      </c>
    </row>
    <row r="53" spans="14:67">
      <c r="N53" s="193" t="s">
        <v>146</v>
      </c>
      <c r="O53" s="193" t="s">
        <v>129</v>
      </c>
      <c r="P53" s="193" t="s">
        <v>138</v>
      </c>
      <c r="Q53" s="193" t="s">
        <v>42</v>
      </c>
      <c r="R53" s="193" t="s">
        <v>145</v>
      </c>
      <c r="BF53" s="194">
        <f t="shared" si="17"/>
        <v>0</v>
      </c>
      <c r="BG53" s="194">
        <f t="shared" si="17"/>
        <v>0</v>
      </c>
      <c r="BH53" s="194">
        <f t="shared" si="17"/>
        <v>0</v>
      </c>
      <c r="BI53" s="194">
        <f t="shared" si="18"/>
        <v>0</v>
      </c>
      <c r="BJ53" s="194">
        <f t="shared" si="19"/>
        <v>0</v>
      </c>
      <c r="BK53" s="194">
        <f t="shared" si="19"/>
        <v>0</v>
      </c>
      <c r="BL53" s="194">
        <f t="shared" si="20"/>
        <v>0</v>
      </c>
      <c r="BM53" s="194">
        <f t="shared" si="21"/>
        <v>0</v>
      </c>
      <c r="BN53" s="194">
        <f t="shared" si="22"/>
        <v>0</v>
      </c>
      <c r="BO53" s="203">
        <f>+SUMIFS('[2]3条収入'!$AH$6:$AH$70,'[2]3条収入'!$C$6:$C$70,雨汚収入!N53)</f>
        <v>0</v>
      </c>
    </row>
    <row r="54" spans="14:67">
      <c r="N54" s="442" t="s">
        <v>365</v>
      </c>
      <c r="O54" s="193" t="s">
        <v>129</v>
      </c>
      <c r="P54" s="193" t="s">
        <v>138</v>
      </c>
      <c r="Q54" s="193" t="s">
        <v>363</v>
      </c>
      <c r="R54" s="193" t="s">
        <v>366</v>
      </c>
      <c r="BF54" s="194">
        <f t="shared" si="17"/>
        <v>0</v>
      </c>
      <c r="BG54" s="194">
        <f t="shared" si="17"/>
        <v>0</v>
      </c>
      <c r="BH54" s="194">
        <f t="shared" si="17"/>
        <v>0</v>
      </c>
      <c r="BI54" s="194">
        <f t="shared" si="18"/>
        <v>0</v>
      </c>
      <c r="BJ54" s="194">
        <f t="shared" si="19"/>
        <v>0</v>
      </c>
      <c r="BK54" s="194">
        <f t="shared" si="19"/>
        <v>0</v>
      </c>
      <c r="BL54" s="194">
        <f t="shared" si="20"/>
        <v>0</v>
      </c>
      <c r="BM54" s="194">
        <f t="shared" si="21"/>
        <v>0</v>
      </c>
      <c r="BN54" s="194">
        <f t="shared" si="22"/>
        <v>0</v>
      </c>
      <c r="BO54" s="203">
        <f>+SUMIFS('[2]3条収入'!$AH$6:$AH$70,'[2]3条収入'!$C$6:$C$70,雨汚収入!N54)</f>
        <v>0</v>
      </c>
    </row>
    <row r="55" spans="14:67">
      <c r="N55" s="193" t="s">
        <v>144</v>
      </c>
      <c r="O55" s="193" t="s">
        <v>129</v>
      </c>
      <c r="P55" s="193" t="s">
        <v>138</v>
      </c>
      <c r="Q55" s="193" t="s">
        <v>141</v>
      </c>
      <c r="R55" s="193" t="s">
        <v>143</v>
      </c>
      <c r="BF55" s="194">
        <f t="shared" si="17"/>
        <v>0</v>
      </c>
      <c r="BG55" s="194">
        <f t="shared" si="17"/>
        <v>0</v>
      </c>
      <c r="BH55" s="194">
        <f t="shared" si="17"/>
        <v>0</v>
      </c>
      <c r="BI55" s="194">
        <f t="shared" si="18"/>
        <v>0</v>
      </c>
      <c r="BJ55" s="194">
        <f t="shared" si="19"/>
        <v>0</v>
      </c>
      <c r="BK55" s="194">
        <f t="shared" si="19"/>
        <v>0</v>
      </c>
      <c r="BL55" s="194">
        <f t="shared" si="20"/>
        <v>0</v>
      </c>
      <c r="BM55" s="194">
        <f t="shared" si="21"/>
        <v>0</v>
      </c>
      <c r="BN55" s="194">
        <f t="shared" si="22"/>
        <v>0</v>
      </c>
      <c r="BO55" s="203">
        <f>+SUMIFS('[2]3条収入'!$AH$6:$AH$70,'[2]3条収入'!$C$6:$C$70,雨汚収入!N55)</f>
        <v>0</v>
      </c>
    </row>
    <row r="56" spans="14:67">
      <c r="N56" s="193" t="s">
        <v>142</v>
      </c>
      <c r="O56" s="193" t="s">
        <v>129</v>
      </c>
      <c r="P56" s="193" t="s">
        <v>138</v>
      </c>
      <c r="Q56" s="193" t="s">
        <v>141</v>
      </c>
      <c r="R56" s="193" t="s">
        <v>140</v>
      </c>
      <c r="BF56" s="194">
        <f t="shared" si="17"/>
        <v>0</v>
      </c>
      <c r="BG56" s="194">
        <f t="shared" si="17"/>
        <v>0</v>
      </c>
      <c r="BH56" s="194">
        <f t="shared" si="17"/>
        <v>0</v>
      </c>
      <c r="BI56" s="194">
        <f t="shared" si="18"/>
        <v>0</v>
      </c>
      <c r="BJ56" s="194">
        <f t="shared" si="19"/>
        <v>0</v>
      </c>
      <c r="BK56" s="194">
        <f t="shared" si="19"/>
        <v>0</v>
      </c>
      <c r="BL56" s="194">
        <f t="shared" si="20"/>
        <v>0</v>
      </c>
      <c r="BM56" s="194">
        <f t="shared" si="21"/>
        <v>0</v>
      </c>
      <c r="BN56" s="194">
        <f t="shared" si="22"/>
        <v>0</v>
      </c>
      <c r="BO56" s="203">
        <f>+SUMIFS('[2]3条収入'!$AH$6:$AH$70,'[2]3条収入'!$C$6:$C$70,雨汚収入!N56)</f>
        <v>0</v>
      </c>
    </row>
    <row r="57" spans="14:67">
      <c r="N57" s="193" t="s">
        <v>220</v>
      </c>
      <c r="O57" s="193" t="s">
        <v>129</v>
      </c>
      <c r="P57" s="193" t="s">
        <v>138</v>
      </c>
      <c r="Q57" s="193" t="s">
        <v>36</v>
      </c>
      <c r="R57" s="193" t="s">
        <v>36</v>
      </c>
      <c r="BF57" s="194">
        <f t="shared" si="17"/>
        <v>0</v>
      </c>
      <c r="BG57" s="194">
        <f t="shared" si="17"/>
        <v>0</v>
      </c>
      <c r="BH57" s="194">
        <f t="shared" si="17"/>
        <v>0</v>
      </c>
      <c r="BI57" s="194">
        <f t="shared" si="18"/>
        <v>0</v>
      </c>
      <c r="BJ57" s="194">
        <f t="shared" si="19"/>
        <v>0</v>
      </c>
      <c r="BK57" s="194">
        <f t="shared" si="19"/>
        <v>0</v>
      </c>
      <c r="BL57" s="194">
        <f t="shared" si="20"/>
        <v>0</v>
      </c>
      <c r="BM57" s="194">
        <f t="shared" si="21"/>
        <v>0</v>
      </c>
      <c r="BN57" s="194">
        <f t="shared" si="22"/>
        <v>0</v>
      </c>
      <c r="BO57" s="203">
        <f>+SUMIFS('[2]3条収入'!$AH$6:$AH$70,'[2]3条収入'!$C$6:$C$70,雨汚収入!N57)</f>
        <v>0</v>
      </c>
    </row>
    <row r="58" spans="14:67">
      <c r="N58" s="205" t="s">
        <v>219</v>
      </c>
      <c r="O58" s="193" t="s">
        <v>129</v>
      </c>
      <c r="P58" s="193" t="s">
        <v>138</v>
      </c>
      <c r="Q58" s="193" t="s">
        <v>137</v>
      </c>
      <c r="R58" s="193" t="s">
        <v>218</v>
      </c>
      <c r="BF58" s="194">
        <f t="shared" si="17"/>
        <v>0</v>
      </c>
      <c r="BG58" s="194">
        <f t="shared" si="17"/>
        <v>0</v>
      </c>
      <c r="BH58" s="194">
        <f t="shared" si="17"/>
        <v>0</v>
      </c>
      <c r="BI58" s="194">
        <f t="shared" si="18"/>
        <v>0</v>
      </c>
      <c r="BJ58" s="194">
        <f t="shared" si="19"/>
        <v>0</v>
      </c>
      <c r="BK58" s="194">
        <f t="shared" si="19"/>
        <v>0</v>
      </c>
      <c r="BL58" s="194">
        <f t="shared" si="20"/>
        <v>0</v>
      </c>
      <c r="BM58" s="194">
        <f t="shared" si="21"/>
        <v>0</v>
      </c>
      <c r="BN58" s="194">
        <f t="shared" si="22"/>
        <v>0</v>
      </c>
      <c r="BO58" s="203">
        <f>+SUMIFS('[2]3条収入'!$AH$6:$AH$70,'[2]3条収入'!$C$6:$C$70,雨汚収入!N58)</f>
        <v>0</v>
      </c>
    </row>
    <row r="59" spans="14:67">
      <c r="N59" s="193" t="s">
        <v>139</v>
      </c>
      <c r="O59" s="193" t="s">
        <v>129</v>
      </c>
      <c r="P59" s="193" t="s">
        <v>138</v>
      </c>
      <c r="Q59" s="193" t="s">
        <v>137</v>
      </c>
      <c r="R59" s="193" t="s">
        <v>136</v>
      </c>
      <c r="BF59" s="196">
        <f>+IFERROR(ROUND($BO59*BF37/$BM37,0),0)</f>
        <v>10738</v>
      </c>
      <c r="BG59" s="194">
        <f t="shared" si="17"/>
        <v>0</v>
      </c>
      <c r="BH59" s="194">
        <f t="shared" si="17"/>
        <v>0</v>
      </c>
      <c r="BI59" s="194">
        <f t="shared" si="18"/>
        <v>10738</v>
      </c>
      <c r="BJ59" s="194">
        <f t="shared" si="19"/>
        <v>0</v>
      </c>
      <c r="BK59" s="194">
        <f t="shared" si="19"/>
        <v>12606</v>
      </c>
      <c r="BL59" s="194">
        <f t="shared" si="20"/>
        <v>12606</v>
      </c>
      <c r="BM59" s="194">
        <f t="shared" si="21"/>
        <v>23344</v>
      </c>
      <c r="BN59" s="194">
        <f t="shared" si="22"/>
        <v>0</v>
      </c>
      <c r="BO59" s="203">
        <f>+SUMIFS('[2]3条収入'!$AH$6:$AH$70,'[2]3条収入'!$C$6:$C$70,雨汚収入!N59)</f>
        <v>23344</v>
      </c>
    </row>
    <row r="60" spans="14:67">
      <c r="N60" s="204" t="s">
        <v>217</v>
      </c>
      <c r="O60" s="204" t="s">
        <v>129</v>
      </c>
      <c r="P60" s="204" t="s">
        <v>128</v>
      </c>
      <c r="Q60" s="204" t="s">
        <v>216</v>
      </c>
      <c r="R60" s="204" t="s">
        <v>216</v>
      </c>
      <c r="BF60" s="194">
        <f t="shared" si="17"/>
        <v>0</v>
      </c>
      <c r="BG60" s="194">
        <f t="shared" si="17"/>
        <v>0</v>
      </c>
      <c r="BH60" s="194">
        <f t="shared" si="17"/>
        <v>0</v>
      </c>
      <c r="BI60" s="194">
        <f t="shared" si="18"/>
        <v>0</v>
      </c>
      <c r="BJ60" s="194">
        <f t="shared" si="19"/>
        <v>0</v>
      </c>
      <c r="BK60" s="194">
        <f t="shared" si="19"/>
        <v>0</v>
      </c>
      <c r="BL60" s="194">
        <f t="shared" si="20"/>
        <v>0</v>
      </c>
      <c r="BM60" s="194">
        <f t="shared" si="21"/>
        <v>0</v>
      </c>
      <c r="BN60" s="194">
        <f t="shared" si="22"/>
        <v>0</v>
      </c>
      <c r="BO60" s="203">
        <f>+SUMIFS('[2]3条収入'!$AH$6:$AH$70,'[2]3条収入'!$C$6:$C$70,雨汚収入!N60)</f>
        <v>0</v>
      </c>
    </row>
    <row r="61" spans="14:67">
      <c r="N61" s="193" t="s">
        <v>135</v>
      </c>
      <c r="O61" s="193" t="s">
        <v>129</v>
      </c>
      <c r="P61" s="193" t="s">
        <v>128</v>
      </c>
      <c r="Q61" s="193" t="s">
        <v>134</v>
      </c>
      <c r="R61" s="193" t="s">
        <v>134</v>
      </c>
      <c r="BF61" s="194">
        <f t="shared" si="17"/>
        <v>0</v>
      </c>
      <c r="BG61" s="194">
        <f t="shared" si="17"/>
        <v>0</v>
      </c>
      <c r="BH61" s="194">
        <f t="shared" si="17"/>
        <v>0</v>
      </c>
      <c r="BI61" s="194">
        <f t="shared" si="18"/>
        <v>0</v>
      </c>
      <c r="BJ61" s="194">
        <f t="shared" si="19"/>
        <v>0</v>
      </c>
      <c r="BK61" s="194">
        <f t="shared" si="19"/>
        <v>0</v>
      </c>
      <c r="BL61" s="194">
        <f t="shared" si="20"/>
        <v>0</v>
      </c>
      <c r="BM61" s="194">
        <f t="shared" si="21"/>
        <v>0</v>
      </c>
      <c r="BN61" s="194">
        <f t="shared" si="22"/>
        <v>0</v>
      </c>
      <c r="BO61" s="203">
        <f>+SUMIFS('[2]3条収入'!$AH$6:$AH$70,'[2]3条収入'!$C$6:$C$70,雨汚収入!N61)</f>
        <v>0</v>
      </c>
    </row>
    <row r="62" spans="14:67">
      <c r="N62" s="193" t="s">
        <v>133</v>
      </c>
      <c r="O62" s="193" t="s">
        <v>129</v>
      </c>
      <c r="P62" s="193" t="s">
        <v>128</v>
      </c>
      <c r="Q62" s="193" t="s">
        <v>127</v>
      </c>
      <c r="R62" s="193" t="s">
        <v>127</v>
      </c>
      <c r="BF62" s="194">
        <f t="shared" si="17"/>
        <v>0</v>
      </c>
      <c r="BG62" s="194">
        <f t="shared" si="17"/>
        <v>0</v>
      </c>
      <c r="BH62" s="194">
        <f t="shared" si="17"/>
        <v>0</v>
      </c>
      <c r="BI62" s="194">
        <f t="shared" si="18"/>
        <v>0</v>
      </c>
      <c r="BJ62" s="194">
        <f t="shared" si="19"/>
        <v>0</v>
      </c>
      <c r="BK62" s="194">
        <f t="shared" si="19"/>
        <v>0</v>
      </c>
      <c r="BL62" s="194">
        <f t="shared" si="20"/>
        <v>0</v>
      </c>
      <c r="BM62" s="194">
        <f t="shared" si="21"/>
        <v>0</v>
      </c>
      <c r="BN62" s="194">
        <f t="shared" si="22"/>
        <v>0</v>
      </c>
      <c r="BO62" s="203">
        <f>+SUMIFS('[2]3条収入'!$AH$6:$AH$70,'[2]3条収入'!$C$6:$C$70,雨汚収入!N62)</f>
        <v>0</v>
      </c>
    </row>
    <row r="63" spans="14:67">
      <c r="N63" s="193" t="s">
        <v>132</v>
      </c>
      <c r="O63" s="193" t="s">
        <v>129</v>
      </c>
      <c r="P63" s="193" t="s">
        <v>128</v>
      </c>
      <c r="Q63" s="193" t="s">
        <v>127</v>
      </c>
      <c r="R63" s="193" t="s">
        <v>131</v>
      </c>
      <c r="BF63" s="194">
        <f t="shared" si="17"/>
        <v>0</v>
      </c>
      <c r="BG63" s="194">
        <f t="shared" si="17"/>
        <v>0</v>
      </c>
      <c r="BH63" s="194">
        <f t="shared" si="17"/>
        <v>0</v>
      </c>
      <c r="BI63" s="194">
        <f t="shared" si="18"/>
        <v>0</v>
      </c>
      <c r="BJ63" s="194">
        <f t="shared" si="19"/>
        <v>0</v>
      </c>
      <c r="BK63" s="194">
        <f t="shared" si="19"/>
        <v>0</v>
      </c>
      <c r="BL63" s="194">
        <f t="shared" si="20"/>
        <v>0</v>
      </c>
      <c r="BM63" s="194">
        <f t="shared" si="21"/>
        <v>0</v>
      </c>
      <c r="BN63" s="194">
        <f t="shared" si="22"/>
        <v>0</v>
      </c>
      <c r="BO63" s="203">
        <f>+SUMIFS('[2]3条収入'!$AH$6:$AH$70,'[2]3条収入'!$C$6:$C$70,雨汚収入!N63)</f>
        <v>0</v>
      </c>
    </row>
    <row r="64" spans="14:67">
      <c r="N64" s="193" t="s">
        <v>130</v>
      </c>
      <c r="O64" s="193" t="s">
        <v>129</v>
      </c>
      <c r="P64" s="193" t="s">
        <v>128</v>
      </c>
      <c r="Q64" s="193" t="s">
        <v>127</v>
      </c>
      <c r="R64" s="193" t="s">
        <v>126</v>
      </c>
      <c r="BF64" s="194">
        <f t="shared" si="17"/>
        <v>0</v>
      </c>
      <c r="BG64" s="194">
        <f t="shared" si="17"/>
        <v>0</v>
      </c>
      <c r="BH64" s="194">
        <f t="shared" si="17"/>
        <v>0</v>
      </c>
      <c r="BI64" s="194">
        <f t="shared" si="18"/>
        <v>0</v>
      </c>
      <c r="BJ64" s="194">
        <f t="shared" si="19"/>
        <v>0</v>
      </c>
      <c r="BK64" s="194">
        <f t="shared" si="19"/>
        <v>0</v>
      </c>
      <c r="BL64" s="194">
        <f t="shared" si="20"/>
        <v>0</v>
      </c>
      <c r="BM64" s="194">
        <f t="shared" si="21"/>
        <v>0</v>
      </c>
      <c r="BN64" s="194">
        <f t="shared" si="22"/>
        <v>0</v>
      </c>
      <c r="BO64" s="203">
        <f>+SUMIFS('[2]3条収入'!$AH$6:$AH$70,'[2]3条収入'!$C$6:$C$70,雨汚収入!N64)</f>
        <v>0</v>
      </c>
    </row>
    <row r="65" spans="1:72">
      <c r="R65" s="193" t="s">
        <v>81</v>
      </c>
      <c r="BF65" s="194">
        <f t="shared" ref="BF65:BO65" si="27">+SUM(BF47:BF64)</f>
        <v>10738</v>
      </c>
      <c r="BG65" s="194">
        <f t="shared" si="27"/>
        <v>0</v>
      </c>
      <c r="BH65" s="194">
        <f t="shared" si="27"/>
        <v>0</v>
      </c>
      <c r="BI65" s="194">
        <f t="shared" si="27"/>
        <v>10738</v>
      </c>
      <c r="BJ65" s="194">
        <f t="shared" si="27"/>
        <v>0</v>
      </c>
      <c r="BK65" s="194">
        <f t="shared" si="27"/>
        <v>12606</v>
      </c>
      <c r="BL65" s="194">
        <f t="shared" si="27"/>
        <v>12606</v>
      </c>
      <c r="BM65" s="194">
        <f t="shared" si="27"/>
        <v>23344</v>
      </c>
      <c r="BN65" s="194">
        <f t="shared" si="27"/>
        <v>0</v>
      </c>
      <c r="BO65" s="203">
        <f t="shared" si="27"/>
        <v>23344</v>
      </c>
    </row>
    <row r="67" spans="1:72">
      <c r="Y67" s="194">
        <f>+SUBTOTAL(109,Y69:Y1000)</f>
        <v>267611572</v>
      </c>
      <c r="AV67" s="194">
        <f t="shared" ref="AV67:BM67" si="28">+SUBTOTAL(109,AV69:AV1000)</f>
        <v>49120269</v>
      </c>
      <c r="AW67" s="194">
        <f t="shared" si="28"/>
        <v>507311</v>
      </c>
      <c r="AX67" s="194">
        <f t="shared" si="28"/>
        <v>40065138</v>
      </c>
      <c r="AY67" s="194">
        <f t="shared" si="28"/>
        <v>89692718</v>
      </c>
      <c r="AZ67" s="194">
        <f t="shared" si="28"/>
        <v>298760</v>
      </c>
      <c r="BA67" s="194">
        <f t="shared" si="28"/>
        <v>177620094</v>
      </c>
      <c r="BB67" s="194">
        <f t="shared" si="28"/>
        <v>177918854</v>
      </c>
      <c r="BC67" s="194">
        <f t="shared" si="28"/>
        <v>267611572</v>
      </c>
      <c r="BD67" s="194">
        <f t="shared" si="28"/>
        <v>0</v>
      </c>
      <c r="BE67" s="194">
        <f t="shared" si="28"/>
        <v>0</v>
      </c>
      <c r="BF67" s="194">
        <f t="shared" si="28"/>
        <v>45489350</v>
      </c>
      <c r="BG67" s="194">
        <f t="shared" si="28"/>
        <v>461192</v>
      </c>
      <c r="BH67" s="194">
        <f t="shared" si="28"/>
        <v>36594136</v>
      </c>
      <c r="BI67" s="194">
        <f t="shared" si="28"/>
        <v>82544678</v>
      </c>
      <c r="BJ67" s="194">
        <f t="shared" si="28"/>
        <v>298760</v>
      </c>
      <c r="BK67" s="194">
        <f t="shared" si="28"/>
        <v>162843481</v>
      </c>
      <c r="BL67" s="194">
        <f t="shared" si="28"/>
        <v>163142241</v>
      </c>
      <c r="BM67" s="194">
        <f t="shared" si="28"/>
        <v>245686919</v>
      </c>
    </row>
    <row r="68" spans="1:72" ht="13.5" customHeight="1">
      <c r="V68" s="200"/>
      <c r="W68" s="200"/>
      <c r="X68" s="200"/>
      <c r="Y68" s="202"/>
      <c r="AB68" s="200"/>
      <c r="AE68" s="200"/>
      <c r="AG68" s="200"/>
      <c r="AH68" s="200"/>
      <c r="AI68" s="200"/>
      <c r="AL68" s="197" t="s">
        <v>215</v>
      </c>
      <c r="AQ68" s="193" t="s">
        <v>214</v>
      </c>
      <c r="AS68" s="197">
        <v>0</v>
      </c>
      <c r="AT68" s="197">
        <v>0</v>
      </c>
      <c r="AV68" s="607" t="s">
        <v>213</v>
      </c>
      <c r="AW68" s="607"/>
      <c r="AX68" s="607"/>
      <c r="AY68" s="607"/>
      <c r="AZ68" s="607" t="s">
        <v>212</v>
      </c>
      <c r="BA68" s="607"/>
      <c r="BB68" s="607"/>
      <c r="BC68" s="562" t="s">
        <v>211</v>
      </c>
      <c r="BD68" s="194" t="s">
        <v>210</v>
      </c>
      <c r="BE68" s="198"/>
      <c r="BF68" s="608" t="s">
        <v>375</v>
      </c>
      <c r="BG68" s="608"/>
      <c r="BH68" s="608"/>
      <c r="BI68" s="608"/>
      <c r="BJ68" s="608" t="s">
        <v>209</v>
      </c>
      <c r="BK68" s="608"/>
      <c r="BL68" s="608"/>
      <c r="BM68" s="563" t="s">
        <v>208</v>
      </c>
      <c r="BN68" s="555" t="s">
        <v>207</v>
      </c>
      <c r="BO68" s="201"/>
      <c r="BP68" s="201"/>
      <c r="BQ68" s="201"/>
      <c r="BR68" s="201"/>
      <c r="BS68" s="201"/>
      <c r="BT68" s="201"/>
    </row>
    <row r="69" spans="1:72">
      <c r="A69" s="193" t="s">
        <v>206</v>
      </c>
      <c r="B69" s="193" t="s">
        <v>205</v>
      </c>
      <c r="C69" s="193" t="s">
        <v>204</v>
      </c>
      <c r="D69" s="193" t="s">
        <v>203</v>
      </c>
      <c r="E69" s="193" t="s">
        <v>202</v>
      </c>
      <c r="F69" s="193" t="s">
        <v>201</v>
      </c>
      <c r="G69" s="193" t="s">
        <v>200</v>
      </c>
      <c r="H69" s="193" t="s">
        <v>199</v>
      </c>
      <c r="I69" s="193" t="s">
        <v>198</v>
      </c>
      <c r="J69" s="193" t="s">
        <v>197</v>
      </c>
      <c r="K69" s="193" t="s">
        <v>196</v>
      </c>
      <c r="L69" s="193" t="s">
        <v>195</v>
      </c>
      <c r="M69" s="193" t="s">
        <v>194</v>
      </c>
      <c r="N69" s="193" t="s">
        <v>193</v>
      </c>
      <c r="O69" s="193" t="s">
        <v>192</v>
      </c>
      <c r="P69" s="193" t="s">
        <v>191</v>
      </c>
      <c r="Q69" s="193" t="s">
        <v>190</v>
      </c>
      <c r="R69" s="199" t="s">
        <v>189</v>
      </c>
      <c r="S69" s="193" t="s">
        <v>188</v>
      </c>
      <c r="T69" s="193" t="s">
        <v>187</v>
      </c>
      <c r="U69" s="193" t="s">
        <v>186</v>
      </c>
      <c r="V69" s="200" t="s">
        <v>185</v>
      </c>
      <c r="W69" s="200" t="s">
        <v>184</v>
      </c>
      <c r="X69" s="200" t="s">
        <v>183</v>
      </c>
      <c r="Y69" s="555" t="s">
        <v>182</v>
      </c>
      <c r="Z69" s="193" t="s">
        <v>181</v>
      </c>
      <c r="AA69" s="193" t="s">
        <v>180</v>
      </c>
      <c r="AB69" s="200" t="s">
        <v>179</v>
      </c>
      <c r="AC69" s="193" t="s">
        <v>178</v>
      </c>
      <c r="AD69" s="193" t="s">
        <v>177</v>
      </c>
      <c r="AE69" s="200" t="s">
        <v>176</v>
      </c>
      <c r="AF69" s="193" t="s">
        <v>175</v>
      </c>
      <c r="AG69" s="200" t="s">
        <v>174</v>
      </c>
      <c r="AH69" s="200" t="s">
        <v>173</v>
      </c>
      <c r="AI69" s="200" t="s">
        <v>172</v>
      </c>
      <c r="AJ69" s="193" t="s">
        <v>171</v>
      </c>
      <c r="AL69" s="195" t="s">
        <v>170</v>
      </c>
      <c r="AM69" s="195" t="s">
        <v>169</v>
      </c>
      <c r="AN69" s="195" t="s">
        <v>168</v>
      </c>
      <c r="AO69" s="195" t="s">
        <v>167</v>
      </c>
      <c r="AP69" s="195" t="s">
        <v>166</v>
      </c>
      <c r="AQ69" s="195" t="s">
        <v>165</v>
      </c>
      <c r="AS69" s="193" t="s">
        <v>164</v>
      </c>
      <c r="AT69" s="193" t="s">
        <v>163</v>
      </c>
      <c r="AV69" s="384" t="s">
        <v>162</v>
      </c>
      <c r="AW69" s="384" t="s">
        <v>161</v>
      </c>
      <c r="AX69" s="384" t="s">
        <v>359</v>
      </c>
      <c r="AY69" s="548" t="s">
        <v>158</v>
      </c>
      <c r="AZ69" s="198" t="s">
        <v>160</v>
      </c>
      <c r="BA69" s="198" t="s">
        <v>159</v>
      </c>
      <c r="BB69" s="198" t="s">
        <v>158</v>
      </c>
      <c r="BE69" s="198"/>
      <c r="BF69" s="553" t="s">
        <v>162</v>
      </c>
      <c r="BG69" s="553" t="s">
        <v>161</v>
      </c>
      <c r="BH69" s="553" t="s">
        <v>359</v>
      </c>
      <c r="BI69" s="553" t="s">
        <v>158</v>
      </c>
      <c r="BJ69" s="553" t="s">
        <v>160</v>
      </c>
      <c r="BK69" s="553" t="s">
        <v>159</v>
      </c>
      <c r="BL69" s="553" t="s">
        <v>158</v>
      </c>
      <c r="BM69" s="552"/>
      <c r="BN69" s="555"/>
      <c r="BO69" s="193" t="s">
        <v>3341</v>
      </c>
      <c r="BP69" s="193" t="s">
        <v>3342</v>
      </c>
    </row>
    <row r="70" spans="1:72" ht="13.5" customHeight="1">
      <c r="A70" s="193" t="s">
        <v>378</v>
      </c>
      <c r="B70" s="193" t="s">
        <v>379</v>
      </c>
      <c r="C70" s="193" t="s">
        <v>214</v>
      </c>
      <c r="D70" s="193" t="s">
        <v>380</v>
      </c>
      <c r="E70" s="193" t="s">
        <v>381</v>
      </c>
      <c r="F70" s="193" t="s">
        <v>382</v>
      </c>
      <c r="G70" s="193" t="s">
        <v>382</v>
      </c>
      <c r="H70" s="193" t="s">
        <v>383</v>
      </c>
      <c r="I70" s="193" t="s">
        <v>384</v>
      </c>
      <c r="J70" s="193" t="s">
        <v>385</v>
      </c>
      <c r="K70" s="193" t="s">
        <v>386</v>
      </c>
      <c r="L70" s="193" t="s">
        <v>387</v>
      </c>
      <c r="M70" s="193" t="s">
        <v>378</v>
      </c>
      <c r="N70" s="193" t="s">
        <v>388</v>
      </c>
      <c r="O70" s="193" t="s">
        <v>129</v>
      </c>
      <c r="P70" s="193" t="s">
        <v>150</v>
      </c>
      <c r="Q70" s="193" t="s">
        <v>149</v>
      </c>
      <c r="R70" s="193" t="s">
        <v>156</v>
      </c>
      <c r="S70" s="193" t="s">
        <v>214</v>
      </c>
      <c r="T70" s="193" t="s">
        <v>389</v>
      </c>
      <c r="U70" s="193" t="s">
        <v>390</v>
      </c>
      <c r="V70" s="193">
        <v>0</v>
      </c>
      <c r="W70" s="193">
        <v>0</v>
      </c>
      <c r="X70" s="193">
        <v>0</v>
      </c>
      <c r="Y70" s="194">
        <v>13722588</v>
      </c>
      <c r="Z70" s="193" t="s">
        <v>391</v>
      </c>
      <c r="AA70" s="193" t="s">
        <v>392</v>
      </c>
      <c r="AB70" s="193">
        <v>13722588</v>
      </c>
      <c r="AC70" s="193" t="s">
        <v>393</v>
      </c>
      <c r="AD70" s="193" t="s">
        <v>156</v>
      </c>
      <c r="AE70" s="193">
        <v>13722588</v>
      </c>
      <c r="AF70" s="193" t="s">
        <v>394</v>
      </c>
      <c r="AG70" s="193" t="s">
        <v>395</v>
      </c>
      <c r="AH70" s="193">
        <v>1247508</v>
      </c>
      <c r="AI70" s="193">
        <v>12475080</v>
      </c>
      <c r="AJ70" s="193" t="s">
        <v>396</v>
      </c>
      <c r="AL70" s="197" t="s">
        <v>397</v>
      </c>
      <c r="AM70" s="193">
        <v>1</v>
      </c>
      <c r="AN70" s="193">
        <v>0</v>
      </c>
      <c r="AO70" s="193">
        <v>0</v>
      </c>
      <c r="AP70" s="193">
        <v>0</v>
      </c>
      <c r="AQ70" s="193" t="s">
        <v>214</v>
      </c>
      <c r="AS70" s="197" t="s">
        <v>394</v>
      </c>
      <c r="AT70" s="197" t="s">
        <v>395</v>
      </c>
      <c r="AV70" s="194">
        <v>0</v>
      </c>
      <c r="AW70" s="194">
        <v>0</v>
      </c>
      <c r="AX70" s="194">
        <v>2758240</v>
      </c>
      <c r="AY70" s="549">
        <v>2758240</v>
      </c>
      <c r="AZ70" s="194">
        <v>0</v>
      </c>
      <c r="BA70" s="194">
        <v>10964348</v>
      </c>
      <c r="BB70" s="551">
        <v>10964348</v>
      </c>
      <c r="BC70" s="551">
        <v>13722588</v>
      </c>
      <c r="BD70" s="551">
        <v>0</v>
      </c>
      <c r="BF70" s="550">
        <f t="shared" ref="BF70" si="29">+IFERROR(ROUND(AV70*100/(100+$AT70),0),AV70)</f>
        <v>0</v>
      </c>
      <c r="BG70" s="550">
        <f t="shared" ref="BG70" si="30">+IFERROR(ROUND(AW70*100/(100+$AT70),0),AW70)</f>
        <v>0</v>
      </c>
      <c r="BH70" s="550">
        <f t="shared" ref="BH70" si="31">+IFERROR(ROUND(AX70*100/(100+$AT70),0),AX70)</f>
        <v>2507491</v>
      </c>
      <c r="BI70" s="550">
        <f t="shared" ref="BI70" si="32">SUM(BF70:BH70)</f>
        <v>2507491</v>
      </c>
      <c r="BJ70" s="550">
        <f t="shared" ref="BJ70" si="33">+IFERROR(ROUND(AZ70*100/(100+$AT70),0),AZ70)</f>
        <v>0</v>
      </c>
      <c r="BK70" s="550">
        <f t="shared" ref="BK70" si="34">+IFERROR(ROUND(BA70*100/(100+$AT70),0),BA70)</f>
        <v>9967589</v>
      </c>
      <c r="BL70" s="550">
        <f t="shared" ref="BL70" si="35">SUM(BJ70:BK70)</f>
        <v>9967589</v>
      </c>
      <c r="BM70" s="550">
        <f t="shared" ref="BM70" si="36">+BI70+BL70</f>
        <v>12475080</v>
      </c>
      <c r="BO70" s="194"/>
      <c r="BQ70" s="193">
        <f>AY70*100/(100+$AT70)-BI70</f>
        <v>-9.090909082442522E-2</v>
      </c>
      <c r="BR70" s="193">
        <f>BB70*100/(100+$AT70)-BL70</f>
        <v>9.0909091755747795E-2</v>
      </c>
      <c r="BS70" s="193">
        <f t="shared" ref="BS70:BT120" si="37">AZ70*100/(100+$AT70)-BJ70</f>
        <v>0</v>
      </c>
      <c r="BT70" s="193">
        <f t="shared" si="37"/>
        <v>9.0909091755747795E-2</v>
      </c>
    </row>
    <row r="71" spans="1:72" ht="13.5" customHeight="1">
      <c r="A71" s="193" t="s">
        <v>378</v>
      </c>
      <c r="B71" s="193" t="s">
        <v>379</v>
      </c>
      <c r="C71" s="193" t="s">
        <v>214</v>
      </c>
      <c r="D71" s="193" t="s">
        <v>380</v>
      </c>
      <c r="E71" s="193" t="s">
        <v>381</v>
      </c>
      <c r="F71" s="193" t="s">
        <v>398</v>
      </c>
      <c r="G71" s="193" t="s">
        <v>398</v>
      </c>
      <c r="H71" s="193" t="s">
        <v>399</v>
      </c>
      <c r="I71" s="193" t="s">
        <v>384</v>
      </c>
      <c r="J71" s="193" t="s">
        <v>400</v>
      </c>
      <c r="K71" s="193" t="s">
        <v>386</v>
      </c>
      <c r="L71" s="193" t="s">
        <v>387</v>
      </c>
      <c r="M71" s="193" t="s">
        <v>378</v>
      </c>
      <c r="N71" s="193" t="s">
        <v>388</v>
      </c>
      <c r="O71" s="193" t="s">
        <v>129</v>
      </c>
      <c r="P71" s="193" t="s">
        <v>150</v>
      </c>
      <c r="Q71" s="193" t="s">
        <v>149</v>
      </c>
      <c r="R71" s="193" t="s">
        <v>156</v>
      </c>
      <c r="S71" s="193" t="s">
        <v>214</v>
      </c>
      <c r="T71" s="193" t="s">
        <v>389</v>
      </c>
      <c r="U71" s="193" t="s">
        <v>390</v>
      </c>
      <c r="V71" s="193">
        <v>0</v>
      </c>
      <c r="W71" s="193">
        <v>0</v>
      </c>
      <c r="X71" s="193">
        <v>0</v>
      </c>
      <c r="Y71" s="194">
        <v>16825396</v>
      </c>
      <c r="Z71" s="193" t="s">
        <v>391</v>
      </c>
      <c r="AA71" s="193" t="s">
        <v>392</v>
      </c>
      <c r="AB71" s="193">
        <v>16825396</v>
      </c>
      <c r="AC71" s="193" t="s">
        <v>393</v>
      </c>
      <c r="AD71" s="193" t="s">
        <v>156</v>
      </c>
      <c r="AE71" s="193">
        <v>16825396</v>
      </c>
      <c r="AF71" s="193" t="s">
        <v>394</v>
      </c>
      <c r="AG71" s="193" t="s">
        <v>395</v>
      </c>
      <c r="AH71" s="193">
        <v>1529581</v>
      </c>
      <c r="AI71" s="193">
        <v>15295815</v>
      </c>
      <c r="AJ71" s="193" t="s">
        <v>396</v>
      </c>
      <c r="AL71" s="197" t="s">
        <v>401</v>
      </c>
      <c r="AM71" s="193">
        <v>1</v>
      </c>
      <c r="AN71" s="193">
        <v>0</v>
      </c>
      <c r="AO71" s="193">
        <v>0</v>
      </c>
      <c r="AP71" s="193">
        <v>0</v>
      </c>
      <c r="AQ71" s="193" t="s">
        <v>214</v>
      </c>
      <c r="AS71" s="197" t="s">
        <v>394</v>
      </c>
      <c r="AT71" s="197" t="s">
        <v>395</v>
      </c>
      <c r="AV71" s="194">
        <v>0</v>
      </c>
      <c r="AW71" s="194">
        <v>0</v>
      </c>
      <c r="AX71" s="194">
        <v>3381905</v>
      </c>
      <c r="AY71" s="549">
        <v>3381905</v>
      </c>
      <c r="AZ71" s="194">
        <v>0</v>
      </c>
      <c r="BA71" s="194">
        <v>13443491</v>
      </c>
      <c r="BB71" s="551">
        <v>13443491</v>
      </c>
      <c r="BC71" s="551">
        <v>16825396</v>
      </c>
      <c r="BD71" s="551">
        <v>0</v>
      </c>
      <c r="BF71" s="550">
        <f t="shared" ref="BF71:BF134" si="38">+IFERROR(ROUND(AV71*100/(100+$AT71),0),AV71)</f>
        <v>0</v>
      </c>
      <c r="BG71" s="550">
        <f t="shared" ref="BG71:BG134" si="39">+IFERROR(ROUND(AW71*100/(100+$AT71),0),AW71)</f>
        <v>0</v>
      </c>
      <c r="BH71" s="550">
        <f t="shared" ref="BH71:BH134" si="40">+IFERROR(ROUND(AX71*100/(100+$AT71),0),AX71)</f>
        <v>3074459</v>
      </c>
      <c r="BI71" s="550">
        <f t="shared" ref="BI71:BI134" si="41">SUM(BF71:BH71)</f>
        <v>3074459</v>
      </c>
      <c r="BJ71" s="550">
        <f t="shared" ref="BJ71:BJ134" si="42">+IFERROR(ROUND(AZ71*100/(100+$AT71),0),AZ71)</f>
        <v>0</v>
      </c>
      <c r="BK71" s="574">
        <f>+IFERROR(ROUND(BA71*100/(100+$AT71),0),BA71)+1</f>
        <v>12221356</v>
      </c>
      <c r="BL71" s="550">
        <f t="shared" ref="BL71:BL134" si="43">SUM(BJ71:BK71)</f>
        <v>12221356</v>
      </c>
      <c r="BM71" s="550">
        <f t="shared" ref="BM71:BM134" si="44">+BI71+BL71</f>
        <v>15295815</v>
      </c>
      <c r="BO71" s="194"/>
      <c r="BQ71" s="193">
        <f t="shared" ref="BQ71:BQ134" si="45">AY71*100/(100+$AT71)-BI71</f>
        <v>9.090909082442522E-2</v>
      </c>
      <c r="BR71" s="193">
        <f t="shared" ref="BR71:BR134" si="46">BB71*100/(100+$AT71)-BL71</f>
        <v>-0.54545454494655132</v>
      </c>
      <c r="BS71" s="193">
        <f t="shared" si="37"/>
        <v>0</v>
      </c>
      <c r="BT71" s="193">
        <f t="shared" si="37"/>
        <v>-0.54545454494655132</v>
      </c>
    </row>
    <row r="72" spans="1:72" ht="13.5" customHeight="1">
      <c r="A72" s="193" t="s">
        <v>378</v>
      </c>
      <c r="B72" s="193" t="s">
        <v>379</v>
      </c>
      <c r="C72" s="193" t="s">
        <v>214</v>
      </c>
      <c r="D72" s="193" t="s">
        <v>380</v>
      </c>
      <c r="E72" s="193" t="s">
        <v>381</v>
      </c>
      <c r="F72" s="193" t="s">
        <v>402</v>
      </c>
      <c r="G72" s="193" t="s">
        <v>402</v>
      </c>
      <c r="H72" s="193" t="s">
        <v>403</v>
      </c>
      <c r="I72" s="193" t="s">
        <v>384</v>
      </c>
      <c r="J72" s="193" t="s">
        <v>404</v>
      </c>
      <c r="K72" s="193" t="s">
        <v>386</v>
      </c>
      <c r="L72" s="193" t="s">
        <v>387</v>
      </c>
      <c r="M72" s="193" t="s">
        <v>378</v>
      </c>
      <c r="N72" s="193" t="s">
        <v>388</v>
      </c>
      <c r="O72" s="193" t="s">
        <v>129</v>
      </c>
      <c r="P72" s="193" t="s">
        <v>150</v>
      </c>
      <c r="Q72" s="193" t="s">
        <v>149</v>
      </c>
      <c r="R72" s="193" t="s">
        <v>156</v>
      </c>
      <c r="S72" s="193" t="s">
        <v>214</v>
      </c>
      <c r="T72" s="193" t="s">
        <v>389</v>
      </c>
      <c r="U72" s="193" t="s">
        <v>390</v>
      </c>
      <c r="V72" s="193">
        <v>0</v>
      </c>
      <c r="W72" s="193">
        <v>0</v>
      </c>
      <c r="X72" s="193">
        <v>0</v>
      </c>
      <c r="Y72" s="194">
        <v>13836537</v>
      </c>
      <c r="Z72" s="193" t="s">
        <v>391</v>
      </c>
      <c r="AA72" s="193" t="s">
        <v>392</v>
      </c>
      <c r="AB72" s="193">
        <v>13836537</v>
      </c>
      <c r="AC72" s="193" t="s">
        <v>393</v>
      </c>
      <c r="AD72" s="193" t="s">
        <v>156</v>
      </c>
      <c r="AE72" s="193">
        <v>13836537</v>
      </c>
      <c r="AF72" s="193" t="s">
        <v>394</v>
      </c>
      <c r="AG72" s="193" t="s">
        <v>395</v>
      </c>
      <c r="AH72" s="193">
        <v>1257867</v>
      </c>
      <c r="AI72" s="193">
        <v>12578670</v>
      </c>
      <c r="AJ72" s="193" t="s">
        <v>396</v>
      </c>
      <c r="AL72" s="197" t="s">
        <v>405</v>
      </c>
      <c r="AM72" s="193">
        <v>1</v>
      </c>
      <c r="AN72" s="193">
        <v>0</v>
      </c>
      <c r="AO72" s="193">
        <v>0</v>
      </c>
      <c r="AP72" s="193">
        <v>0</v>
      </c>
      <c r="AQ72" s="193" t="s">
        <v>214</v>
      </c>
      <c r="AS72" s="197" t="s">
        <v>394</v>
      </c>
      <c r="AT72" s="197" t="s">
        <v>395</v>
      </c>
      <c r="AV72" s="194">
        <v>0</v>
      </c>
      <c r="AW72" s="194">
        <v>0</v>
      </c>
      <c r="AX72" s="194">
        <v>2781144</v>
      </c>
      <c r="AY72" s="549">
        <v>2781144</v>
      </c>
      <c r="AZ72" s="194">
        <v>0</v>
      </c>
      <c r="BA72" s="194">
        <v>11055393</v>
      </c>
      <c r="BB72" s="551">
        <v>11055393</v>
      </c>
      <c r="BC72" s="551">
        <v>13836537</v>
      </c>
      <c r="BD72" s="551">
        <v>0</v>
      </c>
      <c r="BF72" s="550">
        <f t="shared" si="38"/>
        <v>0</v>
      </c>
      <c r="BG72" s="550">
        <f t="shared" si="39"/>
        <v>0</v>
      </c>
      <c r="BH72" s="550">
        <f t="shared" si="40"/>
        <v>2528313</v>
      </c>
      <c r="BI72" s="550">
        <f t="shared" si="41"/>
        <v>2528313</v>
      </c>
      <c r="BJ72" s="550">
        <f t="shared" si="42"/>
        <v>0</v>
      </c>
      <c r="BK72" s="550">
        <f t="shared" ref="BK72:BK134" si="47">+IFERROR(ROUND(BA72*100/(100+$AT72),0),BA72)</f>
        <v>10050357</v>
      </c>
      <c r="BL72" s="550">
        <f t="shared" si="43"/>
        <v>10050357</v>
      </c>
      <c r="BM72" s="550">
        <f t="shared" si="44"/>
        <v>12578670</v>
      </c>
      <c r="BO72" s="194"/>
      <c r="BQ72" s="193">
        <f t="shared" si="45"/>
        <v>-0.27272727293893695</v>
      </c>
      <c r="BR72" s="193">
        <f t="shared" si="46"/>
        <v>0.27272727340459824</v>
      </c>
      <c r="BS72" s="193">
        <f t="shared" si="37"/>
        <v>0</v>
      </c>
      <c r="BT72" s="193">
        <f t="shared" si="37"/>
        <v>0.27272727340459824</v>
      </c>
    </row>
    <row r="73" spans="1:72" ht="13.5" customHeight="1">
      <c r="A73" s="193" t="s">
        <v>378</v>
      </c>
      <c r="B73" s="193" t="s">
        <v>379</v>
      </c>
      <c r="C73" s="193" t="s">
        <v>214</v>
      </c>
      <c r="D73" s="193" t="s">
        <v>380</v>
      </c>
      <c r="E73" s="193" t="s">
        <v>381</v>
      </c>
      <c r="F73" s="193" t="s">
        <v>406</v>
      </c>
      <c r="G73" s="193" t="s">
        <v>406</v>
      </c>
      <c r="H73" s="193" t="s">
        <v>407</v>
      </c>
      <c r="I73" s="193" t="s">
        <v>384</v>
      </c>
      <c r="J73" s="193" t="s">
        <v>408</v>
      </c>
      <c r="K73" s="193" t="s">
        <v>386</v>
      </c>
      <c r="L73" s="193" t="s">
        <v>387</v>
      </c>
      <c r="M73" s="193" t="s">
        <v>378</v>
      </c>
      <c r="N73" s="193" t="s">
        <v>388</v>
      </c>
      <c r="O73" s="193" t="s">
        <v>129</v>
      </c>
      <c r="P73" s="193" t="s">
        <v>150</v>
      </c>
      <c r="Q73" s="193" t="s">
        <v>149</v>
      </c>
      <c r="R73" s="193" t="s">
        <v>156</v>
      </c>
      <c r="S73" s="193" t="s">
        <v>214</v>
      </c>
      <c r="T73" s="193" t="s">
        <v>389</v>
      </c>
      <c r="U73" s="193" t="s">
        <v>390</v>
      </c>
      <c r="V73" s="193">
        <v>0</v>
      </c>
      <c r="W73" s="193">
        <v>0</v>
      </c>
      <c r="X73" s="193">
        <v>0</v>
      </c>
      <c r="Y73" s="194">
        <v>17239761</v>
      </c>
      <c r="Z73" s="193" t="s">
        <v>391</v>
      </c>
      <c r="AA73" s="193" t="s">
        <v>392</v>
      </c>
      <c r="AB73" s="193">
        <v>17239761</v>
      </c>
      <c r="AC73" s="193" t="s">
        <v>393</v>
      </c>
      <c r="AD73" s="193" t="s">
        <v>156</v>
      </c>
      <c r="AE73" s="193">
        <v>17239761</v>
      </c>
      <c r="AF73" s="193" t="s">
        <v>394</v>
      </c>
      <c r="AG73" s="193" t="s">
        <v>395</v>
      </c>
      <c r="AH73" s="193">
        <v>1567251</v>
      </c>
      <c r="AI73" s="193">
        <v>15672510</v>
      </c>
      <c r="AJ73" s="193" t="s">
        <v>409</v>
      </c>
      <c r="AL73" s="197" t="s">
        <v>410</v>
      </c>
      <c r="AM73" s="193">
        <v>1</v>
      </c>
      <c r="AN73" s="193">
        <v>0</v>
      </c>
      <c r="AO73" s="193">
        <v>0</v>
      </c>
      <c r="AP73" s="193">
        <v>0</v>
      </c>
      <c r="AQ73" s="193" t="s">
        <v>214</v>
      </c>
      <c r="AS73" s="197" t="s">
        <v>394</v>
      </c>
      <c r="AT73" s="197" t="s">
        <v>395</v>
      </c>
      <c r="AV73" s="194">
        <v>0</v>
      </c>
      <c r="AW73" s="194">
        <v>0</v>
      </c>
      <c r="AX73" s="194">
        <v>3465192</v>
      </c>
      <c r="AY73" s="549">
        <v>3465192</v>
      </c>
      <c r="AZ73" s="194">
        <v>0</v>
      </c>
      <c r="BA73" s="194">
        <v>13774569</v>
      </c>
      <c r="BB73" s="551">
        <v>13774569</v>
      </c>
      <c r="BC73" s="551">
        <v>17239761</v>
      </c>
      <c r="BD73" s="551">
        <v>0</v>
      </c>
      <c r="BF73" s="550">
        <f t="shared" si="38"/>
        <v>0</v>
      </c>
      <c r="BG73" s="550">
        <f t="shared" si="39"/>
        <v>0</v>
      </c>
      <c r="BH73" s="550">
        <f t="shared" si="40"/>
        <v>3150175</v>
      </c>
      <c r="BI73" s="550">
        <f t="shared" si="41"/>
        <v>3150175</v>
      </c>
      <c r="BJ73" s="550">
        <f t="shared" si="42"/>
        <v>0</v>
      </c>
      <c r="BK73" s="574">
        <f>+IFERROR(ROUND(BA73*100/(100+$AT73),0),BA73)+1</f>
        <v>12522336</v>
      </c>
      <c r="BL73" s="550">
        <f t="shared" si="43"/>
        <v>12522336</v>
      </c>
      <c r="BM73" s="550">
        <f t="shared" si="44"/>
        <v>15672511</v>
      </c>
      <c r="BO73" s="194"/>
      <c r="BQ73" s="193">
        <f t="shared" si="45"/>
        <v>-0.45454545458778739</v>
      </c>
      <c r="BR73" s="193">
        <f t="shared" si="46"/>
        <v>-0.54545454494655132</v>
      </c>
      <c r="BS73" s="193">
        <f t="shared" si="37"/>
        <v>0</v>
      </c>
      <c r="BT73" s="193">
        <f t="shared" si="37"/>
        <v>-0.54545454494655132</v>
      </c>
    </row>
    <row r="74" spans="1:72" ht="13.5" customHeight="1">
      <c r="A74" s="193" t="s">
        <v>378</v>
      </c>
      <c r="B74" s="193" t="s">
        <v>379</v>
      </c>
      <c r="C74" s="193" t="s">
        <v>214</v>
      </c>
      <c r="D74" s="193" t="s">
        <v>380</v>
      </c>
      <c r="E74" s="193" t="s">
        <v>381</v>
      </c>
      <c r="F74" s="193" t="s">
        <v>411</v>
      </c>
      <c r="G74" s="193" t="s">
        <v>411</v>
      </c>
      <c r="H74" s="193" t="s">
        <v>412</v>
      </c>
      <c r="I74" s="193" t="s">
        <v>384</v>
      </c>
      <c r="J74" s="193" t="s">
        <v>413</v>
      </c>
      <c r="K74" s="193" t="s">
        <v>386</v>
      </c>
      <c r="L74" s="193" t="s">
        <v>387</v>
      </c>
      <c r="M74" s="193" t="s">
        <v>378</v>
      </c>
      <c r="N74" s="193" t="s">
        <v>388</v>
      </c>
      <c r="O74" s="193" t="s">
        <v>129</v>
      </c>
      <c r="P74" s="193" t="s">
        <v>150</v>
      </c>
      <c r="Q74" s="193" t="s">
        <v>149</v>
      </c>
      <c r="R74" s="193" t="s">
        <v>156</v>
      </c>
      <c r="S74" s="193" t="s">
        <v>214</v>
      </c>
      <c r="T74" s="193" t="s">
        <v>389</v>
      </c>
      <c r="U74" s="193" t="s">
        <v>390</v>
      </c>
      <c r="V74" s="193">
        <v>0</v>
      </c>
      <c r="W74" s="193">
        <v>0</v>
      </c>
      <c r="X74" s="193">
        <v>0</v>
      </c>
      <c r="Y74" s="194">
        <v>20232135</v>
      </c>
      <c r="Z74" s="193" t="s">
        <v>391</v>
      </c>
      <c r="AA74" s="193" t="s">
        <v>392</v>
      </c>
      <c r="AB74" s="193">
        <v>20232135</v>
      </c>
      <c r="AC74" s="193" t="s">
        <v>393</v>
      </c>
      <c r="AD74" s="193" t="s">
        <v>156</v>
      </c>
      <c r="AE74" s="193">
        <v>20232135</v>
      </c>
      <c r="AF74" s="193" t="s">
        <v>394</v>
      </c>
      <c r="AG74" s="193" t="s">
        <v>395</v>
      </c>
      <c r="AH74" s="193">
        <v>1839285</v>
      </c>
      <c r="AI74" s="193">
        <v>18392850</v>
      </c>
      <c r="AJ74" s="193" t="s">
        <v>409</v>
      </c>
      <c r="AL74" s="197" t="s">
        <v>414</v>
      </c>
      <c r="AM74" s="193">
        <v>1</v>
      </c>
      <c r="AN74" s="193">
        <v>0</v>
      </c>
      <c r="AO74" s="193">
        <v>0</v>
      </c>
      <c r="AP74" s="193">
        <v>0</v>
      </c>
      <c r="AQ74" s="193" t="s">
        <v>214</v>
      </c>
      <c r="AS74" s="197" t="s">
        <v>394</v>
      </c>
      <c r="AT74" s="197" t="s">
        <v>395</v>
      </c>
      <c r="AV74" s="194">
        <v>0</v>
      </c>
      <c r="AW74" s="194">
        <v>0</v>
      </c>
      <c r="AX74" s="194">
        <v>4066659</v>
      </c>
      <c r="AY74" s="549">
        <v>4066659</v>
      </c>
      <c r="AZ74" s="194">
        <v>0</v>
      </c>
      <c r="BA74" s="194">
        <v>16165476</v>
      </c>
      <c r="BB74" s="551">
        <v>16165476</v>
      </c>
      <c r="BC74" s="551">
        <v>20232135</v>
      </c>
      <c r="BD74" s="551">
        <v>0</v>
      </c>
      <c r="BF74" s="550">
        <f t="shared" si="38"/>
        <v>0</v>
      </c>
      <c r="BG74" s="550">
        <f t="shared" si="39"/>
        <v>0</v>
      </c>
      <c r="BH74" s="550">
        <f t="shared" si="40"/>
        <v>3696963</v>
      </c>
      <c r="BI74" s="550">
        <f t="shared" si="41"/>
        <v>3696963</v>
      </c>
      <c r="BJ74" s="550">
        <f t="shared" si="42"/>
        <v>0</v>
      </c>
      <c r="BK74" s="550">
        <f t="shared" si="47"/>
        <v>14695887</v>
      </c>
      <c r="BL74" s="550">
        <f t="shared" si="43"/>
        <v>14695887</v>
      </c>
      <c r="BM74" s="550">
        <f t="shared" si="44"/>
        <v>18392850</v>
      </c>
      <c r="BO74" s="194"/>
      <c r="BQ74" s="193">
        <f t="shared" si="45"/>
        <v>-0.27272727293893695</v>
      </c>
      <c r="BR74" s="193">
        <f t="shared" si="46"/>
        <v>0.27272727340459824</v>
      </c>
      <c r="BS74" s="193">
        <f t="shared" si="37"/>
        <v>0</v>
      </c>
      <c r="BT74" s="193">
        <f t="shared" si="37"/>
        <v>0.27272727340459824</v>
      </c>
    </row>
    <row r="75" spans="1:72" ht="13.5" customHeight="1">
      <c r="A75" s="193" t="s">
        <v>378</v>
      </c>
      <c r="B75" s="193" t="s">
        <v>379</v>
      </c>
      <c r="C75" s="193" t="s">
        <v>214</v>
      </c>
      <c r="D75" s="193" t="s">
        <v>380</v>
      </c>
      <c r="E75" s="193" t="s">
        <v>381</v>
      </c>
      <c r="F75" s="193" t="s">
        <v>415</v>
      </c>
      <c r="G75" s="193" t="s">
        <v>415</v>
      </c>
      <c r="H75" s="193" t="s">
        <v>416</v>
      </c>
      <c r="I75" s="193" t="s">
        <v>384</v>
      </c>
      <c r="J75" s="193" t="s">
        <v>417</v>
      </c>
      <c r="K75" s="193" t="s">
        <v>386</v>
      </c>
      <c r="L75" s="193" t="s">
        <v>387</v>
      </c>
      <c r="M75" s="193" t="s">
        <v>378</v>
      </c>
      <c r="N75" s="193" t="s">
        <v>388</v>
      </c>
      <c r="O75" s="193" t="s">
        <v>129</v>
      </c>
      <c r="P75" s="193" t="s">
        <v>150</v>
      </c>
      <c r="Q75" s="193" t="s">
        <v>149</v>
      </c>
      <c r="R75" s="193" t="s">
        <v>156</v>
      </c>
      <c r="S75" s="193" t="s">
        <v>214</v>
      </c>
      <c r="T75" s="193" t="s">
        <v>389</v>
      </c>
      <c r="U75" s="193" t="s">
        <v>390</v>
      </c>
      <c r="V75" s="193">
        <v>0</v>
      </c>
      <c r="W75" s="193">
        <v>0</v>
      </c>
      <c r="X75" s="193">
        <v>0</v>
      </c>
      <c r="Y75" s="194">
        <v>18357223</v>
      </c>
      <c r="Z75" s="193" t="s">
        <v>391</v>
      </c>
      <c r="AA75" s="193" t="s">
        <v>392</v>
      </c>
      <c r="AB75" s="193">
        <v>18357223</v>
      </c>
      <c r="AC75" s="193" t="s">
        <v>393</v>
      </c>
      <c r="AD75" s="193" t="s">
        <v>156</v>
      </c>
      <c r="AE75" s="193">
        <v>18357223</v>
      </c>
      <c r="AF75" s="193" t="s">
        <v>394</v>
      </c>
      <c r="AG75" s="193" t="s">
        <v>395</v>
      </c>
      <c r="AH75" s="193">
        <v>1668838</v>
      </c>
      <c r="AI75" s="193">
        <v>16688385</v>
      </c>
      <c r="AJ75" s="193" t="s">
        <v>409</v>
      </c>
      <c r="AL75" s="197" t="s">
        <v>418</v>
      </c>
      <c r="AM75" s="193">
        <v>1</v>
      </c>
      <c r="AN75" s="193">
        <v>0</v>
      </c>
      <c r="AO75" s="193">
        <v>0</v>
      </c>
      <c r="AP75" s="193">
        <v>0</v>
      </c>
      <c r="AQ75" s="193" t="s">
        <v>214</v>
      </c>
      <c r="AS75" s="197" t="s">
        <v>394</v>
      </c>
      <c r="AT75" s="197" t="s">
        <v>395</v>
      </c>
      <c r="AV75" s="194">
        <v>0</v>
      </c>
      <c r="AW75" s="194">
        <v>0</v>
      </c>
      <c r="AX75" s="194">
        <v>3689802</v>
      </c>
      <c r="AY75" s="549">
        <v>3689802</v>
      </c>
      <c r="AZ75" s="194">
        <v>0</v>
      </c>
      <c r="BA75" s="194">
        <v>14667421</v>
      </c>
      <c r="BB75" s="551">
        <v>14667421</v>
      </c>
      <c r="BC75" s="551">
        <v>18357223</v>
      </c>
      <c r="BD75" s="551">
        <v>0</v>
      </c>
      <c r="BF75" s="550">
        <f t="shared" si="38"/>
        <v>0</v>
      </c>
      <c r="BG75" s="550">
        <f t="shared" si="39"/>
        <v>0</v>
      </c>
      <c r="BH75" s="574">
        <f>+IFERROR(ROUND(AX75*100/(100+$AT75),0),AX75)+1</f>
        <v>3354366</v>
      </c>
      <c r="BI75" s="550">
        <f t="shared" si="41"/>
        <v>3354366</v>
      </c>
      <c r="BJ75" s="550">
        <f t="shared" si="42"/>
        <v>0</v>
      </c>
      <c r="BK75" s="550">
        <f t="shared" si="47"/>
        <v>13334019</v>
      </c>
      <c r="BL75" s="550">
        <f t="shared" si="43"/>
        <v>13334019</v>
      </c>
      <c r="BM75" s="550">
        <f t="shared" si="44"/>
        <v>16688385</v>
      </c>
      <c r="BO75" s="194"/>
      <c r="BQ75" s="193">
        <f t="shared" si="45"/>
        <v>-0.54545454541221261</v>
      </c>
      <c r="BR75" s="193">
        <f t="shared" si="46"/>
        <v>9.0909091755747795E-2</v>
      </c>
      <c r="BS75" s="193">
        <f t="shared" si="37"/>
        <v>0</v>
      </c>
      <c r="BT75" s="193">
        <f t="shared" si="37"/>
        <v>9.0909091755747795E-2</v>
      </c>
    </row>
    <row r="76" spans="1:72" ht="13.5" customHeight="1">
      <c r="A76" s="193" t="s">
        <v>378</v>
      </c>
      <c r="B76" s="193" t="s">
        <v>379</v>
      </c>
      <c r="C76" s="193" t="s">
        <v>214</v>
      </c>
      <c r="D76" s="193" t="s">
        <v>380</v>
      </c>
      <c r="E76" s="193" t="s">
        <v>381</v>
      </c>
      <c r="F76" s="193" t="s">
        <v>419</v>
      </c>
      <c r="G76" s="193" t="s">
        <v>419</v>
      </c>
      <c r="H76" s="193" t="s">
        <v>420</v>
      </c>
      <c r="I76" s="193" t="s">
        <v>384</v>
      </c>
      <c r="J76" s="193" t="s">
        <v>421</v>
      </c>
      <c r="K76" s="193" t="s">
        <v>386</v>
      </c>
      <c r="L76" s="193" t="s">
        <v>387</v>
      </c>
      <c r="M76" s="193" t="s">
        <v>378</v>
      </c>
      <c r="N76" s="193" t="s">
        <v>388</v>
      </c>
      <c r="O76" s="193" t="s">
        <v>129</v>
      </c>
      <c r="P76" s="193" t="s">
        <v>150</v>
      </c>
      <c r="Q76" s="193" t="s">
        <v>149</v>
      </c>
      <c r="R76" s="193" t="s">
        <v>156</v>
      </c>
      <c r="S76" s="193" t="s">
        <v>214</v>
      </c>
      <c r="T76" s="193" t="s">
        <v>389</v>
      </c>
      <c r="U76" s="193" t="s">
        <v>390</v>
      </c>
      <c r="V76" s="193">
        <v>0</v>
      </c>
      <c r="W76" s="193">
        <v>0</v>
      </c>
      <c r="X76" s="193">
        <v>0</v>
      </c>
      <c r="Y76" s="194">
        <v>17858956</v>
      </c>
      <c r="Z76" s="193" t="s">
        <v>391</v>
      </c>
      <c r="AA76" s="193" t="s">
        <v>392</v>
      </c>
      <c r="AB76" s="193">
        <v>17858956</v>
      </c>
      <c r="AC76" s="193" t="s">
        <v>393</v>
      </c>
      <c r="AD76" s="193" t="s">
        <v>156</v>
      </c>
      <c r="AE76" s="193">
        <v>17858956</v>
      </c>
      <c r="AF76" s="193" t="s">
        <v>394</v>
      </c>
      <c r="AG76" s="193" t="s">
        <v>395</v>
      </c>
      <c r="AH76" s="193">
        <v>1623541</v>
      </c>
      <c r="AI76" s="193">
        <v>16235415</v>
      </c>
      <c r="AJ76" s="193" t="s">
        <v>409</v>
      </c>
      <c r="AL76" s="197" t="s">
        <v>422</v>
      </c>
      <c r="AM76" s="193">
        <v>1</v>
      </c>
      <c r="AN76" s="193">
        <v>0</v>
      </c>
      <c r="AO76" s="193">
        <v>0</v>
      </c>
      <c r="AP76" s="193">
        <v>0</v>
      </c>
      <c r="AQ76" s="193" t="s">
        <v>214</v>
      </c>
      <c r="AS76" s="197" t="s">
        <v>394</v>
      </c>
      <c r="AT76" s="197" t="s">
        <v>395</v>
      </c>
      <c r="AV76" s="194">
        <v>0</v>
      </c>
      <c r="AW76" s="194">
        <v>0</v>
      </c>
      <c r="AX76" s="194">
        <v>3589650</v>
      </c>
      <c r="AY76" s="549">
        <v>3589650</v>
      </c>
      <c r="AZ76" s="194">
        <v>0</v>
      </c>
      <c r="BA76" s="194">
        <v>14269306</v>
      </c>
      <c r="BB76" s="551">
        <v>14269306</v>
      </c>
      <c r="BC76" s="551">
        <v>17858956</v>
      </c>
      <c r="BD76" s="551">
        <v>0</v>
      </c>
      <c r="BF76" s="550">
        <f t="shared" si="38"/>
        <v>0</v>
      </c>
      <c r="BG76" s="550">
        <f t="shared" si="39"/>
        <v>0</v>
      </c>
      <c r="BH76" s="550">
        <f t="shared" si="40"/>
        <v>3263318</v>
      </c>
      <c r="BI76" s="550">
        <f t="shared" si="41"/>
        <v>3263318</v>
      </c>
      <c r="BJ76" s="550">
        <f t="shared" si="42"/>
        <v>0</v>
      </c>
      <c r="BK76" s="550">
        <f t="shared" si="47"/>
        <v>12972096</v>
      </c>
      <c r="BL76" s="550">
        <f t="shared" si="43"/>
        <v>12972096</v>
      </c>
      <c r="BM76" s="550">
        <f t="shared" si="44"/>
        <v>16235414</v>
      </c>
      <c r="BO76" s="194"/>
      <c r="BQ76" s="193">
        <f t="shared" si="45"/>
        <v>0.18181818164885044</v>
      </c>
      <c r="BR76" s="193">
        <f t="shared" si="46"/>
        <v>0.36363636329770088</v>
      </c>
      <c r="BS76" s="193">
        <f t="shared" si="37"/>
        <v>0</v>
      </c>
      <c r="BT76" s="193">
        <f t="shared" si="37"/>
        <v>0.36363636329770088</v>
      </c>
    </row>
    <row r="77" spans="1:72" ht="13.5" customHeight="1">
      <c r="A77" s="193" t="s">
        <v>378</v>
      </c>
      <c r="B77" s="193" t="s">
        <v>379</v>
      </c>
      <c r="C77" s="193" t="s">
        <v>214</v>
      </c>
      <c r="D77" s="193" t="s">
        <v>380</v>
      </c>
      <c r="E77" s="193" t="s">
        <v>381</v>
      </c>
      <c r="F77" s="193" t="s">
        <v>423</v>
      </c>
      <c r="G77" s="193" t="s">
        <v>423</v>
      </c>
      <c r="H77" s="193" t="s">
        <v>424</v>
      </c>
      <c r="I77" s="193" t="s">
        <v>384</v>
      </c>
      <c r="J77" s="193" t="s">
        <v>425</v>
      </c>
      <c r="K77" s="193" t="s">
        <v>386</v>
      </c>
      <c r="L77" s="193" t="s">
        <v>387</v>
      </c>
      <c r="M77" s="193" t="s">
        <v>378</v>
      </c>
      <c r="N77" s="193" t="s">
        <v>388</v>
      </c>
      <c r="O77" s="193" t="s">
        <v>129</v>
      </c>
      <c r="P77" s="193" t="s">
        <v>150</v>
      </c>
      <c r="Q77" s="193" t="s">
        <v>149</v>
      </c>
      <c r="R77" s="193" t="s">
        <v>156</v>
      </c>
      <c r="S77" s="193" t="s">
        <v>214</v>
      </c>
      <c r="T77" s="193" t="s">
        <v>389</v>
      </c>
      <c r="U77" s="193" t="s">
        <v>390</v>
      </c>
      <c r="V77" s="193">
        <v>0</v>
      </c>
      <c r="W77" s="193">
        <v>0</v>
      </c>
      <c r="X77" s="193">
        <v>0</v>
      </c>
      <c r="Y77" s="194">
        <v>14627596</v>
      </c>
      <c r="Z77" s="193" t="s">
        <v>391</v>
      </c>
      <c r="AA77" s="193" t="s">
        <v>392</v>
      </c>
      <c r="AB77" s="193">
        <v>14627596</v>
      </c>
      <c r="AC77" s="193" t="s">
        <v>393</v>
      </c>
      <c r="AD77" s="193" t="s">
        <v>156</v>
      </c>
      <c r="AE77" s="193">
        <v>14627596</v>
      </c>
      <c r="AF77" s="193" t="s">
        <v>394</v>
      </c>
      <c r="AG77" s="193" t="s">
        <v>395</v>
      </c>
      <c r="AH77" s="193">
        <v>1329781</v>
      </c>
      <c r="AI77" s="193">
        <v>13297815</v>
      </c>
      <c r="AJ77" s="193" t="s">
        <v>409</v>
      </c>
      <c r="AL77" s="197" t="s">
        <v>426</v>
      </c>
      <c r="AM77" s="193">
        <v>1</v>
      </c>
      <c r="AN77" s="193">
        <v>0</v>
      </c>
      <c r="AO77" s="193">
        <v>0</v>
      </c>
      <c r="AP77" s="193">
        <v>0</v>
      </c>
      <c r="AQ77" s="193" t="s">
        <v>214</v>
      </c>
      <c r="AS77" s="197" t="s">
        <v>394</v>
      </c>
      <c r="AT77" s="197" t="s">
        <v>395</v>
      </c>
      <c r="AV77" s="194">
        <v>0</v>
      </c>
      <c r="AW77" s="194">
        <v>0</v>
      </c>
      <c r="AX77" s="194">
        <v>2940147</v>
      </c>
      <c r="AY77" s="549">
        <v>2940147</v>
      </c>
      <c r="AZ77" s="194">
        <v>0</v>
      </c>
      <c r="BA77" s="194">
        <v>11687449</v>
      </c>
      <c r="BB77" s="551">
        <v>11687449</v>
      </c>
      <c r="BC77" s="551">
        <v>14627596</v>
      </c>
      <c r="BD77" s="551">
        <v>0</v>
      </c>
      <c r="BF77" s="550">
        <f t="shared" si="38"/>
        <v>0</v>
      </c>
      <c r="BG77" s="550">
        <f t="shared" si="39"/>
        <v>0</v>
      </c>
      <c r="BH77" s="550">
        <f t="shared" si="40"/>
        <v>2672861</v>
      </c>
      <c r="BI77" s="550">
        <f t="shared" si="41"/>
        <v>2672861</v>
      </c>
      <c r="BJ77" s="550">
        <f t="shared" si="42"/>
        <v>0</v>
      </c>
      <c r="BK77" s="550">
        <f t="shared" si="47"/>
        <v>10624954</v>
      </c>
      <c r="BL77" s="550">
        <f t="shared" si="43"/>
        <v>10624954</v>
      </c>
      <c r="BM77" s="550">
        <f t="shared" si="44"/>
        <v>13297815</v>
      </c>
      <c r="BO77" s="194"/>
      <c r="BQ77" s="193">
        <f t="shared" si="45"/>
        <v>-9.090909082442522E-2</v>
      </c>
      <c r="BR77" s="193">
        <f t="shared" si="46"/>
        <v>-0.36363636329770088</v>
      </c>
      <c r="BS77" s="193">
        <f t="shared" si="37"/>
        <v>0</v>
      </c>
      <c r="BT77" s="193">
        <f t="shared" si="37"/>
        <v>-0.36363636329770088</v>
      </c>
    </row>
    <row r="78" spans="1:72" ht="13.5" customHeight="1">
      <c r="A78" s="193" t="s">
        <v>378</v>
      </c>
      <c r="B78" s="193" t="s">
        <v>379</v>
      </c>
      <c r="C78" s="193" t="s">
        <v>214</v>
      </c>
      <c r="D78" s="193" t="s">
        <v>380</v>
      </c>
      <c r="E78" s="193" t="s">
        <v>381</v>
      </c>
      <c r="F78" s="193" t="s">
        <v>427</v>
      </c>
      <c r="G78" s="193" t="s">
        <v>427</v>
      </c>
      <c r="H78" s="193" t="s">
        <v>428</v>
      </c>
      <c r="I78" s="193" t="s">
        <v>384</v>
      </c>
      <c r="J78" s="193" t="s">
        <v>429</v>
      </c>
      <c r="K78" s="193" t="s">
        <v>386</v>
      </c>
      <c r="L78" s="193" t="s">
        <v>387</v>
      </c>
      <c r="M78" s="193" t="s">
        <v>378</v>
      </c>
      <c r="N78" s="193" t="s">
        <v>388</v>
      </c>
      <c r="O78" s="193" t="s">
        <v>129</v>
      </c>
      <c r="P78" s="193" t="s">
        <v>150</v>
      </c>
      <c r="Q78" s="193" t="s">
        <v>149</v>
      </c>
      <c r="R78" s="193" t="s">
        <v>156</v>
      </c>
      <c r="S78" s="193" t="s">
        <v>214</v>
      </c>
      <c r="T78" s="193" t="s">
        <v>389</v>
      </c>
      <c r="U78" s="193" t="s">
        <v>390</v>
      </c>
      <c r="V78" s="193">
        <v>0</v>
      </c>
      <c r="W78" s="193">
        <v>0</v>
      </c>
      <c r="X78" s="193">
        <v>0</v>
      </c>
      <c r="Y78" s="194">
        <v>17104279</v>
      </c>
      <c r="Z78" s="193" t="s">
        <v>391</v>
      </c>
      <c r="AA78" s="193" t="s">
        <v>392</v>
      </c>
      <c r="AB78" s="193">
        <v>17104279</v>
      </c>
      <c r="AC78" s="193" t="s">
        <v>393</v>
      </c>
      <c r="AD78" s="193" t="s">
        <v>156</v>
      </c>
      <c r="AE78" s="193">
        <v>17104279</v>
      </c>
      <c r="AF78" s="193" t="s">
        <v>394</v>
      </c>
      <c r="AG78" s="193" t="s">
        <v>395</v>
      </c>
      <c r="AH78" s="193">
        <v>1554934</v>
      </c>
      <c r="AI78" s="193">
        <v>15549345</v>
      </c>
      <c r="AJ78" s="193" t="s">
        <v>396</v>
      </c>
      <c r="AL78" s="197" t="s">
        <v>430</v>
      </c>
      <c r="AM78" s="193">
        <v>1</v>
      </c>
      <c r="AN78" s="193">
        <v>0</v>
      </c>
      <c r="AO78" s="193">
        <v>0</v>
      </c>
      <c r="AP78" s="193">
        <v>0</v>
      </c>
      <c r="AQ78" s="193" t="s">
        <v>214</v>
      </c>
      <c r="AS78" s="197" t="s">
        <v>394</v>
      </c>
      <c r="AT78" s="197" t="s">
        <v>395</v>
      </c>
      <c r="AV78" s="194">
        <v>0</v>
      </c>
      <c r="AW78" s="194">
        <v>0</v>
      </c>
      <c r="AX78" s="194">
        <v>3437960</v>
      </c>
      <c r="AY78" s="549">
        <v>3437960</v>
      </c>
      <c r="AZ78" s="194">
        <v>0</v>
      </c>
      <c r="BA78" s="194">
        <v>13666319</v>
      </c>
      <c r="BB78" s="551">
        <v>13666319</v>
      </c>
      <c r="BC78" s="551">
        <v>17104279</v>
      </c>
      <c r="BD78" s="551">
        <v>0</v>
      </c>
      <c r="BF78" s="550">
        <f t="shared" si="38"/>
        <v>0</v>
      </c>
      <c r="BG78" s="550">
        <f t="shared" si="39"/>
        <v>0</v>
      </c>
      <c r="BH78" s="550">
        <f t="shared" si="40"/>
        <v>3125418</v>
      </c>
      <c r="BI78" s="550">
        <f t="shared" si="41"/>
        <v>3125418</v>
      </c>
      <c r="BJ78" s="550">
        <f t="shared" si="42"/>
        <v>0</v>
      </c>
      <c r="BK78" s="550">
        <f t="shared" si="47"/>
        <v>12423926</v>
      </c>
      <c r="BL78" s="550">
        <f t="shared" si="43"/>
        <v>12423926</v>
      </c>
      <c r="BM78" s="550">
        <f t="shared" si="44"/>
        <v>15549344</v>
      </c>
      <c r="BO78" s="194"/>
      <c r="BQ78" s="193">
        <f t="shared" si="45"/>
        <v>0.18181818164885044</v>
      </c>
      <c r="BR78" s="193">
        <f t="shared" si="46"/>
        <v>0.36363636329770088</v>
      </c>
      <c r="BS78" s="193">
        <f t="shared" si="37"/>
        <v>0</v>
      </c>
      <c r="BT78" s="193">
        <f t="shared" si="37"/>
        <v>0.36363636329770088</v>
      </c>
    </row>
    <row r="79" spans="1:72" ht="13.5" customHeight="1">
      <c r="A79" s="193" t="s">
        <v>378</v>
      </c>
      <c r="B79" s="193" t="s">
        <v>379</v>
      </c>
      <c r="C79" s="193" t="s">
        <v>214</v>
      </c>
      <c r="D79" s="193" t="s">
        <v>380</v>
      </c>
      <c r="E79" s="193" t="s">
        <v>381</v>
      </c>
      <c r="F79" s="193" t="s">
        <v>431</v>
      </c>
      <c r="G79" s="193" t="s">
        <v>431</v>
      </c>
      <c r="H79" s="193" t="s">
        <v>432</v>
      </c>
      <c r="I79" s="193" t="s">
        <v>384</v>
      </c>
      <c r="J79" s="193" t="s">
        <v>433</v>
      </c>
      <c r="K79" s="193" t="s">
        <v>386</v>
      </c>
      <c r="L79" s="193" t="s">
        <v>387</v>
      </c>
      <c r="M79" s="193" t="s">
        <v>378</v>
      </c>
      <c r="N79" s="193" t="s">
        <v>388</v>
      </c>
      <c r="O79" s="193" t="s">
        <v>129</v>
      </c>
      <c r="P79" s="193" t="s">
        <v>150</v>
      </c>
      <c r="Q79" s="193" t="s">
        <v>149</v>
      </c>
      <c r="R79" s="193" t="s">
        <v>156</v>
      </c>
      <c r="S79" s="193" t="s">
        <v>214</v>
      </c>
      <c r="T79" s="193" t="s">
        <v>389</v>
      </c>
      <c r="U79" s="193" t="s">
        <v>390</v>
      </c>
      <c r="V79" s="193">
        <v>0</v>
      </c>
      <c r="W79" s="193">
        <v>0</v>
      </c>
      <c r="X79" s="193">
        <v>0</v>
      </c>
      <c r="Y79" s="194">
        <v>19530905</v>
      </c>
      <c r="Z79" s="193" t="s">
        <v>391</v>
      </c>
      <c r="AA79" s="193" t="s">
        <v>392</v>
      </c>
      <c r="AB79" s="193">
        <v>19530905</v>
      </c>
      <c r="AC79" s="193" t="s">
        <v>393</v>
      </c>
      <c r="AD79" s="193" t="s">
        <v>156</v>
      </c>
      <c r="AE79" s="193">
        <v>19530905</v>
      </c>
      <c r="AF79" s="193" t="s">
        <v>394</v>
      </c>
      <c r="AG79" s="193" t="s">
        <v>395</v>
      </c>
      <c r="AH79" s="193">
        <v>1775536</v>
      </c>
      <c r="AI79" s="193">
        <v>17755369</v>
      </c>
      <c r="AJ79" s="193" t="s">
        <v>396</v>
      </c>
      <c r="AL79" s="197" t="s">
        <v>434</v>
      </c>
      <c r="AM79" s="193">
        <v>1</v>
      </c>
      <c r="AN79" s="193">
        <v>0</v>
      </c>
      <c r="AO79" s="193">
        <v>0</v>
      </c>
      <c r="AP79" s="193">
        <v>0</v>
      </c>
      <c r="AQ79" s="193" t="s">
        <v>214</v>
      </c>
      <c r="AS79" s="197" t="s">
        <v>394</v>
      </c>
      <c r="AT79" s="197" t="s">
        <v>395</v>
      </c>
      <c r="AV79" s="194">
        <v>0</v>
      </c>
      <c r="AW79" s="194">
        <v>0</v>
      </c>
      <c r="AX79" s="194">
        <v>3925712</v>
      </c>
      <c r="AY79" s="549">
        <v>3925712</v>
      </c>
      <c r="AZ79" s="194">
        <v>0</v>
      </c>
      <c r="BA79" s="194">
        <v>15605193</v>
      </c>
      <c r="BB79" s="551">
        <v>15605193</v>
      </c>
      <c r="BC79" s="551">
        <v>19530905</v>
      </c>
      <c r="BD79" s="551">
        <v>0</v>
      </c>
      <c r="BF79" s="550">
        <f t="shared" si="38"/>
        <v>0</v>
      </c>
      <c r="BG79" s="550">
        <f t="shared" si="39"/>
        <v>0</v>
      </c>
      <c r="BH79" s="550">
        <f t="shared" si="40"/>
        <v>3568829</v>
      </c>
      <c r="BI79" s="550">
        <f t="shared" si="41"/>
        <v>3568829</v>
      </c>
      <c r="BJ79" s="550">
        <f t="shared" si="42"/>
        <v>0</v>
      </c>
      <c r="BK79" s="550">
        <f t="shared" si="47"/>
        <v>14186539</v>
      </c>
      <c r="BL79" s="550">
        <f t="shared" si="43"/>
        <v>14186539</v>
      </c>
      <c r="BM79" s="550">
        <f t="shared" si="44"/>
        <v>17755368</v>
      </c>
      <c r="BO79" s="194"/>
      <c r="BQ79" s="193">
        <f t="shared" si="45"/>
        <v>9.090909082442522E-2</v>
      </c>
      <c r="BR79" s="193">
        <f t="shared" si="46"/>
        <v>9.0909091755747795E-2</v>
      </c>
      <c r="BS79" s="193">
        <f t="shared" si="37"/>
        <v>0</v>
      </c>
      <c r="BT79" s="193">
        <f t="shared" si="37"/>
        <v>9.0909091755747795E-2</v>
      </c>
    </row>
    <row r="80" spans="1:72" ht="13.5" customHeight="1">
      <c r="A80" s="193" t="s">
        <v>378</v>
      </c>
      <c r="B80" s="193" t="s">
        <v>379</v>
      </c>
      <c r="C80" s="193" t="s">
        <v>214</v>
      </c>
      <c r="D80" s="193" t="s">
        <v>380</v>
      </c>
      <c r="E80" s="193" t="s">
        <v>381</v>
      </c>
      <c r="F80" s="193" t="s">
        <v>435</v>
      </c>
      <c r="G80" s="193" t="s">
        <v>435</v>
      </c>
      <c r="H80" s="193" t="s">
        <v>436</v>
      </c>
      <c r="I80" s="193" t="s">
        <v>384</v>
      </c>
      <c r="J80" s="193" t="s">
        <v>437</v>
      </c>
      <c r="K80" s="193" t="s">
        <v>386</v>
      </c>
      <c r="L80" s="193" t="s">
        <v>387</v>
      </c>
      <c r="M80" s="193" t="s">
        <v>378</v>
      </c>
      <c r="N80" s="193" t="s">
        <v>388</v>
      </c>
      <c r="O80" s="193" t="s">
        <v>129</v>
      </c>
      <c r="P80" s="193" t="s">
        <v>150</v>
      </c>
      <c r="Q80" s="193" t="s">
        <v>149</v>
      </c>
      <c r="R80" s="193" t="s">
        <v>156</v>
      </c>
      <c r="S80" s="193" t="s">
        <v>214</v>
      </c>
      <c r="T80" s="193" t="s">
        <v>389</v>
      </c>
      <c r="U80" s="193" t="s">
        <v>390</v>
      </c>
      <c r="V80" s="193">
        <v>0</v>
      </c>
      <c r="W80" s="193">
        <v>0</v>
      </c>
      <c r="X80" s="193">
        <v>0</v>
      </c>
      <c r="Y80" s="194">
        <v>9157891</v>
      </c>
      <c r="Z80" s="193" t="s">
        <v>391</v>
      </c>
      <c r="AA80" s="193" t="s">
        <v>392</v>
      </c>
      <c r="AB80" s="193">
        <v>9157891</v>
      </c>
      <c r="AC80" s="193" t="s">
        <v>393</v>
      </c>
      <c r="AD80" s="193" t="s">
        <v>156</v>
      </c>
      <c r="AE80" s="193">
        <v>9157891</v>
      </c>
      <c r="AF80" s="193" t="s">
        <v>394</v>
      </c>
      <c r="AG80" s="193" t="s">
        <v>395</v>
      </c>
      <c r="AH80" s="193">
        <v>832535</v>
      </c>
      <c r="AI80" s="193">
        <v>8325356</v>
      </c>
      <c r="AJ80" s="193" t="s">
        <v>396</v>
      </c>
      <c r="AL80" s="197" t="s">
        <v>438</v>
      </c>
      <c r="AM80" s="193">
        <v>1</v>
      </c>
      <c r="AN80" s="193">
        <v>0</v>
      </c>
      <c r="AO80" s="193">
        <v>0</v>
      </c>
      <c r="AP80" s="193">
        <v>0</v>
      </c>
      <c r="AQ80" s="193" t="s">
        <v>214</v>
      </c>
      <c r="AS80" s="197" t="s">
        <v>394</v>
      </c>
      <c r="AT80" s="197" t="s">
        <v>395</v>
      </c>
      <c r="AV80" s="194">
        <v>0</v>
      </c>
      <c r="AW80" s="194">
        <v>0</v>
      </c>
      <c r="AX80" s="194">
        <v>1840736</v>
      </c>
      <c r="AY80" s="549">
        <v>1840736</v>
      </c>
      <c r="AZ80" s="194">
        <v>0</v>
      </c>
      <c r="BA80" s="194">
        <v>7317155</v>
      </c>
      <c r="BB80" s="551">
        <v>7317155</v>
      </c>
      <c r="BC80" s="551">
        <v>9157891</v>
      </c>
      <c r="BD80" s="551">
        <v>0</v>
      </c>
      <c r="BF80" s="550">
        <f t="shared" si="38"/>
        <v>0</v>
      </c>
      <c r="BG80" s="550">
        <f t="shared" si="39"/>
        <v>0</v>
      </c>
      <c r="BH80" s="550">
        <f t="shared" si="40"/>
        <v>1673396</v>
      </c>
      <c r="BI80" s="550">
        <f t="shared" si="41"/>
        <v>1673396</v>
      </c>
      <c r="BJ80" s="550">
        <f t="shared" si="42"/>
        <v>0</v>
      </c>
      <c r="BK80" s="550">
        <f t="shared" si="47"/>
        <v>6651959</v>
      </c>
      <c r="BL80" s="550">
        <f t="shared" si="43"/>
        <v>6651959</v>
      </c>
      <c r="BM80" s="550">
        <f t="shared" si="44"/>
        <v>8325355</v>
      </c>
      <c r="BO80" s="194"/>
      <c r="BQ80" s="193">
        <f t="shared" si="45"/>
        <v>0.36363636353053153</v>
      </c>
      <c r="BR80" s="193">
        <f t="shared" si="46"/>
        <v>9.090909082442522E-2</v>
      </c>
      <c r="BS80" s="193">
        <f t="shared" si="37"/>
        <v>0</v>
      </c>
      <c r="BT80" s="193">
        <f t="shared" si="37"/>
        <v>9.090909082442522E-2</v>
      </c>
    </row>
    <row r="81" spans="1:72" ht="13.5" customHeight="1">
      <c r="A81" s="193" t="s">
        <v>378</v>
      </c>
      <c r="B81" s="193" t="s">
        <v>379</v>
      </c>
      <c r="C81" s="193" t="s">
        <v>214</v>
      </c>
      <c r="D81" s="193" t="s">
        <v>380</v>
      </c>
      <c r="E81" s="193" t="s">
        <v>381</v>
      </c>
      <c r="F81" s="193" t="s">
        <v>439</v>
      </c>
      <c r="G81" s="193" t="s">
        <v>439</v>
      </c>
      <c r="H81" s="193" t="s">
        <v>440</v>
      </c>
      <c r="I81" s="193" t="s">
        <v>384</v>
      </c>
      <c r="J81" s="193" t="s">
        <v>441</v>
      </c>
      <c r="K81" s="193" t="s">
        <v>386</v>
      </c>
      <c r="L81" s="193" t="s">
        <v>387</v>
      </c>
      <c r="M81" s="193" t="s">
        <v>378</v>
      </c>
      <c r="N81" s="193" t="s">
        <v>388</v>
      </c>
      <c r="O81" s="193" t="s">
        <v>129</v>
      </c>
      <c r="P81" s="193" t="s">
        <v>150</v>
      </c>
      <c r="Q81" s="193" t="s">
        <v>149</v>
      </c>
      <c r="R81" s="193" t="s">
        <v>156</v>
      </c>
      <c r="S81" s="193" t="s">
        <v>214</v>
      </c>
      <c r="T81" s="193" t="s">
        <v>389</v>
      </c>
      <c r="U81" s="193" t="s">
        <v>390</v>
      </c>
      <c r="V81" s="193">
        <v>0</v>
      </c>
      <c r="W81" s="193">
        <v>0</v>
      </c>
      <c r="X81" s="193">
        <v>0</v>
      </c>
      <c r="Y81" s="194">
        <v>8765528</v>
      </c>
      <c r="Z81" s="193" t="s">
        <v>391</v>
      </c>
      <c r="AA81" s="193" t="s">
        <v>392</v>
      </c>
      <c r="AB81" s="193">
        <v>8765528</v>
      </c>
      <c r="AC81" s="193" t="s">
        <v>393</v>
      </c>
      <c r="AD81" s="193" t="s">
        <v>156</v>
      </c>
      <c r="AE81" s="193">
        <v>8765528</v>
      </c>
      <c r="AF81" s="193" t="s">
        <v>394</v>
      </c>
      <c r="AG81" s="193" t="s">
        <v>395</v>
      </c>
      <c r="AH81" s="193">
        <v>796866</v>
      </c>
      <c r="AI81" s="193">
        <v>7968662</v>
      </c>
      <c r="AJ81" s="193" t="s">
        <v>442</v>
      </c>
      <c r="AL81" s="197" t="s">
        <v>443</v>
      </c>
      <c r="AM81" s="193">
        <v>1</v>
      </c>
      <c r="AN81" s="193">
        <v>0</v>
      </c>
      <c r="AO81" s="193">
        <v>0</v>
      </c>
      <c r="AP81" s="193">
        <v>0</v>
      </c>
      <c r="AQ81" s="193" t="s">
        <v>214</v>
      </c>
      <c r="AS81" s="197" t="s">
        <v>394</v>
      </c>
      <c r="AT81" s="197" t="s">
        <v>395</v>
      </c>
      <c r="AV81" s="194">
        <v>0</v>
      </c>
      <c r="AW81" s="194">
        <v>0</v>
      </c>
      <c r="AX81" s="194">
        <v>1761871</v>
      </c>
      <c r="AY81" s="549">
        <v>1761871</v>
      </c>
      <c r="AZ81" s="194">
        <v>0</v>
      </c>
      <c r="BA81" s="194">
        <v>7003657</v>
      </c>
      <c r="BB81" s="551">
        <v>7003657</v>
      </c>
      <c r="BC81" s="551">
        <v>8765528</v>
      </c>
      <c r="BD81" s="551">
        <v>0</v>
      </c>
      <c r="BF81" s="550">
        <f t="shared" si="38"/>
        <v>0</v>
      </c>
      <c r="BG81" s="550">
        <f t="shared" si="39"/>
        <v>0</v>
      </c>
      <c r="BH81" s="550">
        <f t="shared" si="40"/>
        <v>1601701</v>
      </c>
      <c r="BI81" s="550">
        <f t="shared" si="41"/>
        <v>1601701</v>
      </c>
      <c r="BJ81" s="550">
        <f t="shared" si="42"/>
        <v>0</v>
      </c>
      <c r="BK81" s="550">
        <f t="shared" si="47"/>
        <v>6366961</v>
      </c>
      <c r="BL81" s="550">
        <f t="shared" si="43"/>
        <v>6366961</v>
      </c>
      <c r="BM81" s="550">
        <f t="shared" si="44"/>
        <v>7968662</v>
      </c>
      <c r="BO81" s="194"/>
      <c r="BQ81" s="193">
        <f t="shared" si="45"/>
        <v>-9.090909082442522E-2</v>
      </c>
      <c r="BR81" s="193">
        <f t="shared" si="46"/>
        <v>-9.090909082442522E-2</v>
      </c>
      <c r="BS81" s="193">
        <f t="shared" si="37"/>
        <v>0</v>
      </c>
      <c r="BT81" s="193">
        <f t="shared" si="37"/>
        <v>-9.090909082442522E-2</v>
      </c>
    </row>
    <row r="82" spans="1:72" ht="13.5" customHeight="1">
      <c r="A82" s="193" t="s">
        <v>378</v>
      </c>
      <c r="B82" s="193" t="s">
        <v>379</v>
      </c>
      <c r="C82" s="193" t="s">
        <v>214</v>
      </c>
      <c r="D82" s="193" t="s">
        <v>380</v>
      </c>
      <c r="E82" s="193" t="s">
        <v>381</v>
      </c>
      <c r="F82" s="193" t="s">
        <v>382</v>
      </c>
      <c r="G82" s="193" t="s">
        <v>382</v>
      </c>
      <c r="H82" s="193" t="s">
        <v>444</v>
      </c>
      <c r="I82" s="193" t="s">
        <v>384</v>
      </c>
      <c r="J82" s="193" t="s">
        <v>445</v>
      </c>
      <c r="K82" s="193" t="s">
        <v>386</v>
      </c>
      <c r="L82" s="193" t="s">
        <v>387</v>
      </c>
      <c r="M82" s="193" t="s">
        <v>378</v>
      </c>
      <c r="N82" s="193" t="s">
        <v>388</v>
      </c>
      <c r="O82" s="193" t="s">
        <v>129</v>
      </c>
      <c r="P82" s="193" t="s">
        <v>150</v>
      </c>
      <c r="Q82" s="193" t="s">
        <v>149</v>
      </c>
      <c r="R82" s="193" t="s">
        <v>156</v>
      </c>
      <c r="S82" s="193" t="s">
        <v>214</v>
      </c>
      <c r="T82" s="193" t="s">
        <v>389</v>
      </c>
      <c r="U82" s="193" t="s">
        <v>390</v>
      </c>
      <c r="V82" s="193">
        <v>0</v>
      </c>
      <c r="W82" s="193">
        <v>0</v>
      </c>
      <c r="X82" s="193">
        <v>0</v>
      </c>
      <c r="Y82" s="194">
        <v>52595</v>
      </c>
      <c r="Z82" s="193" t="s">
        <v>391</v>
      </c>
      <c r="AA82" s="193" t="s">
        <v>392</v>
      </c>
      <c r="AB82" s="193">
        <v>52595</v>
      </c>
      <c r="AC82" s="193" t="s">
        <v>393</v>
      </c>
      <c r="AD82" s="193" t="s">
        <v>156</v>
      </c>
      <c r="AE82" s="193">
        <v>52595</v>
      </c>
      <c r="AF82" s="193" t="s">
        <v>394</v>
      </c>
      <c r="AG82" s="193" t="s">
        <v>395</v>
      </c>
      <c r="AH82" s="193">
        <v>4781</v>
      </c>
      <c r="AI82" s="193">
        <v>47814</v>
      </c>
      <c r="AJ82" s="193" t="s">
        <v>446</v>
      </c>
      <c r="AL82" s="197" t="s">
        <v>447</v>
      </c>
      <c r="AM82" s="193">
        <v>1</v>
      </c>
      <c r="AN82" s="193">
        <v>0</v>
      </c>
      <c r="AO82" s="193">
        <v>0</v>
      </c>
      <c r="AP82" s="193">
        <v>0</v>
      </c>
      <c r="AQ82" s="193" t="s">
        <v>214</v>
      </c>
      <c r="AS82" s="197" t="s">
        <v>394</v>
      </c>
      <c r="AT82" s="197" t="s">
        <v>395</v>
      </c>
      <c r="AV82" s="194">
        <v>0</v>
      </c>
      <c r="AW82" s="194">
        <v>0</v>
      </c>
      <c r="AX82" s="194">
        <v>10572</v>
      </c>
      <c r="AY82" s="549">
        <v>10572</v>
      </c>
      <c r="AZ82" s="194">
        <v>0</v>
      </c>
      <c r="BA82" s="194">
        <v>42023</v>
      </c>
      <c r="BB82" s="551">
        <v>42023</v>
      </c>
      <c r="BC82" s="551">
        <v>52595</v>
      </c>
      <c r="BD82" s="551">
        <v>0</v>
      </c>
      <c r="BF82" s="550">
        <f t="shared" si="38"/>
        <v>0</v>
      </c>
      <c r="BG82" s="550">
        <f t="shared" si="39"/>
        <v>0</v>
      </c>
      <c r="BH82" s="550">
        <f t="shared" si="40"/>
        <v>9611</v>
      </c>
      <c r="BI82" s="550">
        <f t="shared" si="41"/>
        <v>9611</v>
      </c>
      <c r="BJ82" s="550">
        <f t="shared" si="42"/>
        <v>0</v>
      </c>
      <c r="BK82" s="550">
        <f t="shared" si="47"/>
        <v>38203</v>
      </c>
      <c r="BL82" s="550">
        <f t="shared" si="43"/>
        <v>38203</v>
      </c>
      <c r="BM82" s="550">
        <f t="shared" si="44"/>
        <v>47814</v>
      </c>
      <c r="BO82" s="194"/>
      <c r="BQ82" s="193">
        <f t="shared" si="45"/>
        <v>-9.0909090909917722E-2</v>
      </c>
      <c r="BR82" s="193">
        <f t="shared" si="46"/>
        <v>-0.27272727272793418</v>
      </c>
      <c r="BS82" s="193">
        <f t="shared" si="37"/>
        <v>0</v>
      </c>
      <c r="BT82" s="193">
        <f t="shared" si="37"/>
        <v>-0.27272727272793418</v>
      </c>
    </row>
    <row r="83" spans="1:72" ht="13.5" customHeight="1">
      <c r="A83" s="193" t="s">
        <v>378</v>
      </c>
      <c r="B83" s="193" t="s">
        <v>379</v>
      </c>
      <c r="C83" s="193" t="s">
        <v>214</v>
      </c>
      <c r="D83" s="193" t="s">
        <v>380</v>
      </c>
      <c r="E83" s="193" t="s">
        <v>381</v>
      </c>
      <c r="F83" s="193" t="s">
        <v>398</v>
      </c>
      <c r="G83" s="193" t="s">
        <v>398</v>
      </c>
      <c r="H83" s="193" t="s">
        <v>448</v>
      </c>
      <c r="I83" s="193" t="s">
        <v>384</v>
      </c>
      <c r="J83" s="193" t="s">
        <v>449</v>
      </c>
      <c r="K83" s="193" t="s">
        <v>386</v>
      </c>
      <c r="L83" s="193" t="s">
        <v>387</v>
      </c>
      <c r="M83" s="193" t="s">
        <v>378</v>
      </c>
      <c r="N83" s="193" t="s">
        <v>388</v>
      </c>
      <c r="O83" s="193" t="s">
        <v>129</v>
      </c>
      <c r="P83" s="193" t="s">
        <v>150</v>
      </c>
      <c r="Q83" s="193" t="s">
        <v>149</v>
      </c>
      <c r="R83" s="193" t="s">
        <v>156</v>
      </c>
      <c r="S83" s="193" t="s">
        <v>214</v>
      </c>
      <c r="T83" s="193" t="s">
        <v>389</v>
      </c>
      <c r="U83" s="193" t="s">
        <v>390</v>
      </c>
      <c r="V83" s="193">
        <v>0</v>
      </c>
      <c r="W83" s="193">
        <v>0</v>
      </c>
      <c r="X83" s="193">
        <v>0</v>
      </c>
      <c r="Y83" s="194">
        <v>49018</v>
      </c>
      <c r="Z83" s="193" t="s">
        <v>391</v>
      </c>
      <c r="AA83" s="193" t="s">
        <v>392</v>
      </c>
      <c r="AB83" s="193">
        <v>49018</v>
      </c>
      <c r="AC83" s="193" t="s">
        <v>393</v>
      </c>
      <c r="AD83" s="193" t="s">
        <v>156</v>
      </c>
      <c r="AE83" s="193">
        <v>49018</v>
      </c>
      <c r="AF83" s="193" t="s">
        <v>394</v>
      </c>
      <c r="AG83" s="193" t="s">
        <v>395</v>
      </c>
      <c r="AH83" s="193">
        <v>4456</v>
      </c>
      <c r="AI83" s="193">
        <v>44562</v>
      </c>
      <c r="AJ83" s="193" t="s">
        <v>446</v>
      </c>
      <c r="AL83" s="197" t="s">
        <v>450</v>
      </c>
      <c r="AM83" s="193">
        <v>1</v>
      </c>
      <c r="AN83" s="193">
        <v>0</v>
      </c>
      <c r="AO83" s="193">
        <v>0</v>
      </c>
      <c r="AP83" s="193">
        <v>0</v>
      </c>
      <c r="AQ83" s="193" t="s">
        <v>214</v>
      </c>
      <c r="AS83" s="197" t="s">
        <v>394</v>
      </c>
      <c r="AT83" s="197" t="s">
        <v>395</v>
      </c>
      <c r="AV83" s="194">
        <v>0</v>
      </c>
      <c r="AW83" s="194">
        <v>0</v>
      </c>
      <c r="AX83" s="194">
        <v>9853</v>
      </c>
      <c r="AY83" s="549">
        <v>9853</v>
      </c>
      <c r="AZ83" s="194">
        <v>0</v>
      </c>
      <c r="BA83" s="194">
        <v>39165</v>
      </c>
      <c r="BB83" s="551">
        <v>39165</v>
      </c>
      <c r="BC83" s="551">
        <v>49018</v>
      </c>
      <c r="BD83" s="551">
        <v>0</v>
      </c>
      <c r="BF83" s="550">
        <f t="shared" si="38"/>
        <v>0</v>
      </c>
      <c r="BG83" s="550">
        <f t="shared" si="39"/>
        <v>0</v>
      </c>
      <c r="BH83" s="550">
        <f t="shared" si="40"/>
        <v>8957</v>
      </c>
      <c r="BI83" s="550">
        <f t="shared" si="41"/>
        <v>8957</v>
      </c>
      <c r="BJ83" s="550">
        <f t="shared" si="42"/>
        <v>0</v>
      </c>
      <c r="BK83" s="550">
        <f t="shared" si="47"/>
        <v>35605</v>
      </c>
      <c r="BL83" s="550">
        <f t="shared" si="43"/>
        <v>35605</v>
      </c>
      <c r="BM83" s="550">
        <f t="shared" si="44"/>
        <v>44562</v>
      </c>
      <c r="BO83" s="194"/>
      <c r="BQ83" s="193">
        <f t="shared" si="45"/>
        <v>0.27272727272793418</v>
      </c>
      <c r="BR83" s="193">
        <f t="shared" si="46"/>
        <v>-0.45454545454413164</v>
      </c>
      <c r="BS83" s="193">
        <f t="shared" si="37"/>
        <v>0</v>
      </c>
      <c r="BT83" s="193">
        <f t="shared" si="37"/>
        <v>-0.45454545454413164</v>
      </c>
    </row>
    <row r="84" spans="1:72" ht="13.5" customHeight="1">
      <c r="A84" s="193" t="s">
        <v>378</v>
      </c>
      <c r="B84" s="193" t="s">
        <v>379</v>
      </c>
      <c r="C84" s="193" t="s">
        <v>214</v>
      </c>
      <c r="D84" s="193" t="s">
        <v>380</v>
      </c>
      <c r="E84" s="193" t="s">
        <v>381</v>
      </c>
      <c r="F84" s="193" t="s">
        <v>402</v>
      </c>
      <c r="G84" s="193" t="s">
        <v>402</v>
      </c>
      <c r="H84" s="193" t="s">
        <v>451</v>
      </c>
      <c r="I84" s="193" t="s">
        <v>384</v>
      </c>
      <c r="J84" s="193" t="s">
        <v>452</v>
      </c>
      <c r="K84" s="193" t="s">
        <v>386</v>
      </c>
      <c r="L84" s="193" t="s">
        <v>387</v>
      </c>
      <c r="M84" s="193" t="s">
        <v>378</v>
      </c>
      <c r="N84" s="193" t="s">
        <v>388</v>
      </c>
      <c r="O84" s="193" t="s">
        <v>129</v>
      </c>
      <c r="P84" s="193" t="s">
        <v>150</v>
      </c>
      <c r="Q84" s="193" t="s">
        <v>149</v>
      </c>
      <c r="R84" s="193" t="s">
        <v>156</v>
      </c>
      <c r="S84" s="193" t="s">
        <v>214</v>
      </c>
      <c r="T84" s="193" t="s">
        <v>389</v>
      </c>
      <c r="U84" s="193" t="s">
        <v>390</v>
      </c>
      <c r="V84" s="193">
        <v>0</v>
      </c>
      <c r="W84" s="193">
        <v>0</v>
      </c>
      <c r="X84" s="193">
        <v>0</v>
      </c>
      <c r="Y84" s="194">
        <v>45690</v>
      </c>
      <c r="Z84" s="193" t="s">
        <v>391</v>
      </c>
      <c r="AA84" s="193" t="s">
        <v>392</v>
      </c>
      <c r="AB84" s="193">
        <v>45690</v>
      </c>
      <c r="AC84" s="193" t="s">
        <v>393</v>
      </c>
      <c r="AD84" s="193" t="s">
        <v>156</v>
      </c>
      <c r="AE84" s="193">
        <v>45690</v>
      </c>
      <c r="AF84" s="193" t="s">
        <v>394</v>
      </c>
      <c r="AG84" s="193" t="s">
        <v>395</v>
      </c>
      <c r="AH84" s="193">
        <v>4153</v>
      </c>
      <c r="AI84" s="193">
        <v>41537</v>
      </c>
      <c r="AJ84" s="193" t="s">
        <v>446</v>
      </c>
      <c r="AL84" s="197" t="s">
        <v>453</v>
      </c>
      <c r="AM84" s="193">
        <v>1</v>
      </c>
      <c r="AN84" s="193">
        <v>0</v>
      </c>
      <c r="AO84" s="193">
        <v>0</v>
      </c>
      <c r="AP84" s="193">
        <v>0</v>
      </c>
      <c r="AQ84" s="193" t="s">
        <v>214</v>
      </c>
      <c r="AS84" s="197" t="s">
        <v>394</v>
      </c>
      <c r="AT84" s="197" t="s">
        <v>395</v>
      </c>
      <c r="AV84" s="194">
        <v>0</v>
      </c>
      <c r="AW84" s="194">
        <v>0</v>
      </c>
      <c r="AX84" s="194">
        <v>9184</v>
      </c>
      <c r="AY84" s="549">
        <v>9184</v>
      </c>
      <c r="AZ84" s="194">
        <v>0</v>
      </c>
      <c r="BA84" s="194">
        <v>36506</v>
      </c>
      <c r="BB84" s="551">
        <v>36506</v>
      </c>
      <c r="BC84" s="551">
        <v>45690</v>
      </c>
      <c r="BD84" s="551">
        <v>0</v>
      </c>
      <c r="BF84" s="550">
        <f t="shared" si="38"/>
        <v>0</v>
      </c>
      <c r="BG84" s="550">
        <f t="shared" si="39"/>
        <v>0</v>
      </c>
      <c r="BH84" s="550">
        <f t="shared" si="40"/>
        <v>8349</v>
      </c>
      <c r="BI84" s="550">
        <f t="shared" si="41"/>
        <v>8349</v>
      </c>
      <c r="BJ84" s="550">
        <f t="shared" si="42"/>
        <v>0</v>
      </c>
      <c r="BK84" s="550">
        <f t="shared" si="47"/>
        <v>33187</v>
      </c>
      <c r="BL84" s="550">
        <f t="shared" si="43"/>
        <v>33187</v>
      </c>
      <c r="BM84" s="550">
        <f t="shared" si="44"/>
        <v>41536</v>
      </c>
      <c r="BO84" s="194"/>
      <c r="BQ84" s="193">
        <f t="shared" si="45"/>
        <v>9.0909090909917722E-2</v>
      </c>
      <c r="BR84" s="193">
        <f t="shared" si="46"/>
        <v>0.27272727272793418</v>
      </c>
      <c r="BS84" s="193">
        <f t="shared" si="37"/>
        <v>0</v>
      </c>
      <c r="BT84" s="193">
        <f t="shared" si="37"/>
        <v>0.27272727272793418</v>
      </c>
    </row>
    <row r="85" spans="1:72" ht="13.5" customHeight="1">
      <c r="A85" s="193" t="s">
        <v>378</v>
      </c>
      <c r="B85" s="193" t="s">
        <v>379</v>
      </c>
      <c r="C85" s="193" t="s">
        <v>214</v>
      </c>
      <c r="D85" s="193" t="s">
        <v>380</v>
      </c>
      <c r="E85" s="193" t="s">
        <v>381</v>
      </c>
      <c r="F85" s="193" t="s">
        <v>406</v>
      </c>
      <c r="G85" s="193" t="s">
        <v>406</v>
      </c>
      <c r="H85" s="193" t="s">
        <v>454</v>
      </c>
      <c r="I85" s="193" t="s">
        <v>384</v>
      </c>
      <c r="J85" s="193" t="s">
        <v>455</v>
      </c>
      <c r="K85" s="193" t="s">
        <v>386</v>
      </c>
      <c r="L85" s="193" t="s">
        <v>387</v>
      </c>
      <c r="M85" s="193" t="s">
        <v>378</v>
      </c>
      <c r="N85" s="193" t="s">
        <v>388</v>
      </c>
      <c r="O85" s="193" t="s">
        <v>129</v>
      </c>
      <c r="P85" s="193" t="s">
        <v>150</v>
      </c>
      <c r="Q85" s="193" t="s">
        <v>149</v>
      </c>
      <c r="R85" s="193" t="s">
        <v>156</v>
      </c>
      <c r="S85" s="193" t="s">
        <v>214</v>
      </c>
      <c r="T85" s="193" t="s">
        <v>389</v>
      </c>
      <c r="U85" s="193" t="s">
        <v>390</v>
      </c>
      <c r="V85" s="193">
        <v>0</v>
      </c>
      <c r="W85" s="193">
        <v>0</v>
      </c>
      <c r="X85" s="193">
        <v>0</v>
      </c>
      <c r="Y85" s="194">
        <v>44855</v>
      </c>
      <c r="Z85" s="193" t="s">
        <v>391</v>
      </c>
      <c r="AA85" s="193" t="s">
        <v>392</v>
      </c>
      <c r="AB85" s="193">
        <v>44855</v>
      </c>
      <c r="AC85" s="193" t="s">
        <v>393</v>
      </c>
      <c r="AD85" s="193" t="s">
        <v>156</v>
      </c>
      <c r="AE85" s="193">
        <v>44855</v>
      </c>
      <c r="AF85" s="193" t="s">
        <v>394</v>
      </c>
      <c r="AG85" s="193" t="s">
        <v>395</v>
      </c>
      <c r="AH85" s="193">
        <v>4077</v>
      </c>
      <c r="AI85" s="193">
        <v>40778</v>
      </c>
      <c r="AJ85" s="193" t="s">
        <v>446</v>
      </c>
      <c r="AL85" s="197" t="s">
        <v>456</v>
      </c>
      <c r="AM85" s="193">
        <v>1</v>
      </c>
      <c r="AN85" s="193">
        <v>0</v>
      </c>
      <c r="AO85" s="193">
        <v>0</v>
      </c>
      <c r="AP85" s="193">
        <v>0</v>
      </c>
      <c r="AQ85" s="193" t="s">
        <v>214</v>
      </c>
      <c r="AS85" s="197" t="s">
        <v>394</v>
      </c>
      <c r="AT85" s="197" t="s">
        <v>395</v>
      </c>
      <c r="AV85" s="194">
        <v>0</v>
      </c>
      <c r="AW85" s="194">
        <v>0</v>
      </c>
      <c r="AX85" s="194">
        <v>9016</v>
      </c>
      <c r="AY85" s="549">
        <v>9016</v>
      </c>
      <c r="AZ85" s="194">
        <v>0</v>
      </c>
      <c r="BA85" s="194">
        <v>35839</v>
      </c>
      <c r="BB85" s="551">
        <v>35839</v>
      </c>
      <c r="BC85" s="551">
        <v>44855</v>
      </c>
      <c r="BD85" s="551">
        <v>0</v>
      </c>
      <c r="BF85" s="550">
        <f t="shared" si="38"/>
        <v>0</v>
      </c>
      <c r="BG85" s="550">
        <f t="shared" si="39"/>
        <v>0</v>
      </c>
      <c r="BH85" s="550">
        <f t="shared" si="40"/>
        <v>8196</v>
      </c>
      <c r="BI85" s="550">
        <f t="shared" si="41"/>
        <v>8196</v>
      </c>
      <c r="BJ85" s="550">
        <f t="shared" si="42"/>
        <v>0</v>
      </c>
      <c r="BK85" s="550">
        <f t="shared" si="47"/>
        <v>32581</v>
      </c>
      <c r="BL85" s="550">
        <f t="shared" si="43"/>
        <v>32581</v>
      </c>
      <c r="BM85" s="550">
        <f t="shared" si="44"/>
        <v>40777</v>
      </c>
      <c r="BO85" s="194"/>
      <c r="BQ85" s="193">
        <f t="shared" si="45"/>
        <v>0.36363636363603291</v>
      </c>
      <c r="BR85" s="193">
        <f t="shared" si="46"/>
        <v>-9.0909090908098733E-2</v>
      </c>
      <c r="BS85" s="193">
        <f t="shared" si="37"/>
        <v>0</v>
      </c>
      <c r="BT85" s="193">
        <f t="shared" si="37"/>
        <v>-9.0909090908098733E-2</v>
      </c>
    </row>
    <row r="86" spans="1:72" ht="13.5" customHeight="1">
      <c r="A86" s="193" t="s">
        <v>378</v>
      </c>
      <c r="B86" s="193" t="s">
        <v>379</v>
      </c>
      <c r="C86" s="193" t="s">
        <v>214</v>
      </c>
      <c r="D86" s="193" t="s">
        <v>380</v>
      </c>
      <c r="E86" s="193" t="s">
        <v>381</v>
      </c>
      <c r="F86" s="193" t="s">
        <v>411</v>
      </c>
      <c r="G86" s="193" t="s">
        <v>411</v>
      </c>
      <c r="H86" s="193" t="s">
        <v>457</v>
      </c>
      <c r="I86" s="193" t="s">
        <v>384</v>
      </c>
      <c r="J86" s="193" t="s">
        <v>458</v>
      </c>
      <c r="K86" s="193" t="s">
        <v>386</v>
      </c>
      <c r="L86" s="193" t="s">
        <v>387</v>
      </c>
      <c r="M86" s="193" t="s">
        <v>378</v>
      </c>
      <c r="N86" s="193" t="s">
        <v>388</v>
      </c>
      <c r="O86" s="193" t="s">
        <v>129</v>
      </c>
      <c r="P86" s="193" t="s">
        <v>150</v>
      </c>
      <c r="Q86" s="193" t="s">
        <v>149</v>
      </c>
      <c r="R86" s="193" t="s">
        <v>156</v>
      </c>
      <c r="S86" s="193" t="s">
        <v>214</v>
      </c>
      <c r="T86" s="193" t="s">
        <v>389</v>
      </c>
      <c r="U86" s="193" t="s">
        <v>390</v>
      </c>
      <c r="V86" s="193">
        <v>0</v>
      </c>
      <c r="W86" s="193">
        <v>0</v>
      </c>
      <c r="X86" s="193">
        <v>0</v>
      </c>
      <c r="Y86" s="194">
        <v>48544</v>
      </c>
      <c r="Z86" s="193" t="s">
        <v>391</v>
      </c>
      <c r="AA86" s="193" t="s">
        <v>392</v>
      </c>
      <c r="AB86" s="193">
        <v>48544</v>
      </c>
      <c r="AC86" s="193" t="s">
        <v>393</v>
      </c>
      <c r="AD86" s="193" t="s">
        <v>156</v>
      </c>
      <c r="AE86" s="193">
        <v>48544</v>
      </c>
      <c r="AF86" s="193" t="s">
        <v>394</v>
      </c>
      <c r="AG86" s="193" t="s">
        <v>395</v>
      </c>
      <c r="AH86" s="193">
        <v>4413</v>
      </c>
      <c r="AI86" s="193">
        <v>44131</v>
      </c>
      <c r="AJ86" s="193" t="s">
        <v>446</v>
      </c>
      <c r="AL86" s="197" t="s">
        <v>459</v>
      </c>
      <c r="AM86" s="193">
        <v>1</v>
      </c>
      <c r="AN86" s="193">
        <v>0</v>
      </c>
      <c r="AO86" s="193">
        <v>0</v>
      </c>
      <c r="AP86" s="193">
        <v>0</v>
      </c>
      <c r="AQ86" s="193" t="s">
        <v>214</v>
      </c>
      <c r="AS86" s="197" t="s">
        <v>394</v>
      </c>
      <c r="AT86" s="197" t="s">
        <v>395</v>
      </c>
      <c r="AV86" s="194">
        <v>0</v>
      </c>
      <c r="AW86" s="194">
        <v>0</v>
      </c>
      <c r="AX86" s="194">
        <v>9757</v>
      </c>
      <c r="AY86" s="549">
        <v>9757</v>
      </c>
      <c r="AZ86" s="194">
        <v>0</v>
      </c>
      <c r="BA86" s="194">
        <v>38787</v>
      </c>
      <c r="BB86" s="551">
        <v>38787</v>
      </c>
      <c r="BC86" s="551">
        <v>48544</v>
      </c>
      <c r="BD86" s="551">
        <v>0</v>
      </c>
      <c r="BF86" s="550">
        <f t="shared" si="38"/>
        <v>0</v>
      </c>
      <c r="BG86" s="550">
        <f t="shared" si="39"/>
        <v>0</v>
      </c>
      <c r="BH86" s="550">
        <f t="shared" si="40"/>
        <v>8870</v>
      </c>
      <c r="BI86" s="550">
        <f t="shared" si="41"/>
        <v>8870</v>
      </c>
      <c r="BJ86" s="550">
        <f t="shared" si="42"/>
        <v>0</v>
      </c>
      <c r="BK86" s="550">
        <f t="shared" si="47"/>
        <v>35261</v>
      </c>
      <c r="BL86" s="550">
        <f t="shared" si="43"/>
        <v>35261</v>
      </c>
      <c r="BM86" s="550">
        <f t="shared" si="44"/>
        <v>44131</v>
      </c>
      <c r="BO86" s="194"/>
      <c r="BQ86" s="193">
        <f t="shared" si="45"/>
        <v>0</v>
      </c>
      <c r="BR86" s="193">
        <f t="shared" si="46"/>
        <v>-9.0909090911736712E-2</v>
      </c>
      <c r="BS86" s="193">
        <f t="shared" si="37"/>
        <v>0</v>
      </c>
      <c r="BT86" s="193">
        <f t="shared" si="37"/>
        <v>-9.0909090911736712E-2</v>
      </c>
    </row>
    <row r="87" spans="1:72" ht="13.5" customHeight="1">
      <c r="A87" s="193" t="s">
        <v>378</v>
      </c>
      <c r="B87" s="193" t="s">
        <v>379</v>
      </c>
      <c r="C87" s="193" t="s">
        <v>214</v>
      </c>
      <c r="D87" s="193" t="s">
        <v>380</v>
      </c>
      <c r="E87" s="193" t="s">
        <v>381</v>
      </c>
      <c r="F87" s="193" t="s">
        <v>415</v>
      </c>
      <c r="G87" s="193" t="s">
        <v>415</v>
      </c>
      <c r="H87" s="193" t="s">
        <v>460</v>
      </c>
      <c r="I87" s="193" t="s">
        <v>384</v>
      </c>
      <c r="J87" s="193" t="s">
        <v>461</v>
      </c>
      <c r="K87" s="193" t="s">
        <v>386</v>
      </c>
      <c r="L87" s="193" t="s">
        <v>387</v>
      </c>
      <c r="M87" s="193" t="s">
        <v>378</v>
      </c>
      <c r="N87" s="193" t="s">
        <v>388</v>
      </c>
      <c r="O87" s="193" t="s">
        <v>129</v>
      </c>
      <c r="P87" s="193" t="s">
        <v>150</v>
      </c>
      <c r="Q87" s="193" t="s">
        <v>149</v>
      </c>
      <c r="R87" s="193" t="s">
        <v>156</v>
      </c>
      <c r="S87" s="193" t="s">
        <v>214</v>
      </c>
      <c r="T87" s="193" t="s">
        <v>389</v>
      </c>
      <c r="U87" s="193" t="s">
        <v>390</v>
      </c>
      <c r="V87" s="193">
        <v>0</v>
      </c>
      <c r="W87" s="193">
        <v>0</v>
      </c>
      <c r="X87" s="193">
        <v>0</v>
      </c>
      <c r="Y87" s="194">
        <v>45016</v>
      </c>
      <c r="Z87" s="193" t="s">
        <v>391</v>
      </c>
      <c r="AA87" s="193" t="s">
        <v>392</v>
      </c>
      <c r="AB87" s="193">
        <v>45016</v>
      </c>
      <c r="AC87" s="193" t="s">
        <v>393</v>
      </c>
      <c r="AD87" s="193" t="s">
        <v>156</v>
      </c>
      <c r="AE87" s="193">
        <v>45016</v>
      </c>
      <c r="AF87" s="193" t="s">
        <v>394</v>
      </c>
      <c r="AG87" s="193" t="s">
        <v>395</v>
      </c>
      <c r="AH87" s="193">
        <v>4092</v>
      </c>
      <c r="AI87" s="193">
        <v>40924</v>
      </c>
      <c r="AJ87" s="193" t="s">
        <v>446</v>
      </c>
      <c r="AL87" s="197" t="s">
        <v>462</v>
      </c>
      <c r="AM87" s="193">
        <v>1</v>
      </c>
      <c r="AN87" s="193">
        <v>0</v>
      </c>
      <c r="AO87" s="193">
        <v>0</v>
      </c>
      <c r="AP87" s="193">
        <v>0</v>
      </c>
      <c r="AQ87" s="193" t="s">
        <v>214</v>
      </c>
      <c r="AS87" s="197" t="s">
        <v>394</v>
      </c>
      <c r="AT87" s="197" t="s">
        <v>395</v>
      </c>
      <c r="AV87" s="194">
        <v>0</v>
      </c>
      <c r="AW87" s="194">
        <v>0</v>
      </c>
      <c r="AX87" s="194">
        <v>9048</v>
      </c>
      <c r="AY87" s="549">
        <v>9048</v>
      </c>
      <c r="AZ87" s="194">
        <v>0</v>
      </c>
      <c r="BA87" s="194">
        <v>35968</v>
      </c>
      <c r="BB87" s="551">
        <v>35968</v>
      </c>
      <c r="BC87" s="551">
        <v>45016</v>
      </c>
      <c r="BD87" s="551">
        <v>0</v>
      </c>
      <c r="BF87" s="550">
        <f t="shared" si="38"/>
        <v>0</v>
      </c>
      <c r="BG87" s="550">
        <f t="shared" si="39"/>
        <v>0</v>
      </c>
      <c r="BH87" s="574">
        <f>+IFERROR(ROUND(AX87*100/(100+$AT87),0),AX87)+1</f>
        <v>8226</v>
      </c>
      <c r="BI87" s="550">
        <f t="shared" si="41"/>
        <v>8226</v>
      </c>
      <c r="BJ87" s="550">
        <f t="shared" si="42"/>
        <v>0</v>
      </c>
      <c r="BK87" s="550">
        <f t="shared" si="47"/>
        <v>32698</v>
      </c>
      <c r="BL87" s="550">
        <f t="shared" si="43"/>
        <v>32698</v>
      </c>
      <c r="BM87" s="550">
        <f t="shared" si="44"/>
        <v>40924</v>
      </c>
      <c r="BO87" s="194"/>
      <c r="BQ87" s="193">
        <f t="shared" si="45"/>
        <v>-0.54545454545404937</v>
      </c>
      <c r="BR87" s="193">
        <f t="shared" si="46"/>
        <v>0.18181818181983544</v>
      </c>
      <c r="BS87" s="193">
        <f t="shared" si="37"/>
        <v>0</v>
      </c>
      <c r="BT87" s="193">
        <f t="shared" si="37"/>
        <v>0.18181818181983544</v>
      </c>
    </row>
    <row r="88" spans="1:72" ht="13.5" customHeight="1">
      <c r="A88" s="193" t="s">
        <v>378</v>
      </c>
      <c r="B88" s="193" t="s">
        <v>379</v>
      </c>
      <c r="C88" s="193" t="s">
        <v>214</v>
      </c>
      <c r="D88" s="193" t="s">
        <v>380</v>
      </c>
      <c r="E88" s="193" t="s">
        <v>381</v>
      </c>
      <c r="F88" s="193" t="s">
        <v>419</v>
      </c>
      <c r="G88" s="193" t="s">
        <v>419</v>
      </c>
      <c r="H88" s="193" t="s">
        <v>463</v>
      </c>
      <c r="I88" s="193" t="s">
        <v>384</v>
      </c>
      <c r="J88" s="193" t="s">
        <v>464</v>
      </c>
      <c r="K88" s="193" t="s">
        <v>386</v>
      </c>
      <c r="L88" s="193" t="s">
        <v>387</v>
      </c>
      <c r="M88" s="193" t="s">
        <v>378</v>
      </c>
      <c r="N88" s="193" t="s">
        <v>388</v>
      </c>
      <c r="O88" s="193" t="s">
        <v>129</v>
      </c>
      <c r="P88" s="193" t="s">
        <v>150</v>
      </c>
      <c r="Q88" s="193" t="s">
        <v>149</v>
      </c>
      <c r="R88" s="193" t="s">
        <v>156</v>
      </c>
      <c r="S88" s="193" t="s">
        <v>214</v>
      </c>
      <c r="T88" s="193" t="s">
        <v>389</v>
      </c>
      <c r="U88" s="193" t="s">
        <v>390</v>
      </c>
      <c r="V88" s="193">
        <v>0</v>
      </c>
      <c r="W88" s="193">
        <v>0</v>
      </c>
      <c r="X88" s="193">
        <v>0</v>
      </c>
      <c r="Y88" s="194">
        <v>41636</v>
      </c>
      <c r="Z88" s="193" t="s">
        <v>391</v>
      </c>
      <c r="AA88" s="193" t="s">
        <v>392</v>
      </c>
      <c r="AB88" s="193">
        <v>41636</v>
      </c>
      <c r="AC88" s="193" t="s">
        <v>393</v>
      </c>
      <c r="AD88" s="193" t="s">
        <v>156</v>
      </c>
      <c r="AE88" s="193">
        <v>41636</v>
      </c>
      <c r="AF88" s="193" t="s">
        <v>394</v>
      </c>
      <c r="AG88" s="193" t="s">
        <v>395</v>
      </c>
      <c r="AH88" s="193">
        <v>3785</v>
      </c>
      <c r="AI88" s="193">
        <v>37851</v>
      </c>
      <c r="AJ88" s="193" t="s">
        <v>465</v>
      </c>
      <c r="AL88" s="197" t="s">
        <v>466</v>
      </c>
      <c r="AM88" s="193">
        <v>1</v>
      </c>
      <c r="AN88" s="193">
        <v>0</v>
      </c>
      <c r="AO88" s="193">
        <v>0</v>
      </c>
      <c r="AP88" s="193">
        <v>0</v>
      </c>
      <c r="AQ88" s="193" t="s">
        <v>214</v>
      </c>
      <c r="AS88" s="197" t="s">
        <v>394</v>
      </c>
      <c r="AT88" s="197" t="s">
        <v>395</v>
      </c>
      <c r="AV88" s="194">
        <v>0</v>
      </c>
      <c r="AW88" s="194">
        <v>0</v>
      </c>
      <c r="AX88" s="194">
        <v>8369</v>
      </c>
      <c r="AY88" s="549">
        <v>8369</v>
      </c>
      <c r="AZ88" s="194">
        <v>0</v>
      </c>
      <c r="BA88" s="194">
        <v>33267</v>
      </c>
      <c r="BB88" s="551">
        <v>33267</v>
      </c>
      <c r="BC88" s="551">
        <v>41636</v>
      </c>
      <c r="BD88" s="551">
        <v>0</v>
      </c>
      <c r="BF88" s="550">
        <f t="shared" si="38"/>
        <v>0</v>
      </c>
      <c r="BG88" s="550">
        <f t="shared" si="39"/>
        <v>0</v>
      </c>
      <c r="BH88" s="550">
        <f t="shared" si="40"/>
        <v>7608</v>
      </c>
      <c r="BI88" s="550">
        <f t="shared" si="41"/>
        <v>7608</v>
      </c>
      <c r="BJ88" s="550">
        <f t="shared" si="42"/>
        <v>0</v>
      </c>
      <c r="BK88" s="550">
        <f t="shared" si="47"/>
        <v>30243</v>
      </c>
      <c r="BL88" s="550">
        <f t="shared" si="43"/>
        <v>30243</v>
      </c>
      <c r="BM88" s="550">
        <f t="shared" si="44"/>
        <v>37851</v>
      </c>
      <c r="BO88" s="194"/>
      <c r="BQ88" s="193">
        <f t="shared" si="45"/>
        <v>0.18181818181801646</v>
      </c>
      <c r="BR88" s="193">
        <f t="shared" si="46"/>
        <v>-0.27272727272793418</v>
      </c>
      <c r="BS88" s="193">
        <f t="shared" si="37"/>
        <v>0</v>
      </c>
      <c r="BT88" s="193">
        <f t="shared" si="37"/>
        <v>-0.27272727272793418</v>
      </c>
    </row>
    <row r="89" spans="1:72" ht="13.5" customHeight="1">
      <c r="A89" s="193" t="s">
        <v>378</v>
      </c>
      <c r="B89" s="193" t="s">
        <v>379</v>
      </c>
      <c r="C89" s="193" t="s">
        <v>214</v>
      </c>
      <c r="D89" s="193" t="s">
        <v>380</v>
      </c>
      <c r="E89" s="193" t="s">
        <v>381</v>
      </c>
      <c r="F89" s="193" t="s">
        <v>423</v>
      </c>
      <c r="G89" s="193" t="s">
        <v>423</v>
      </c>
      <c r="H89" s="193" t="s">
        <v>467</v>
      </c>
      <c r="I89" s="193" t="s">
        <v>384</v>
      </c>
      <c r="J89" s="193" t="s">
        <v>468</v>
      </c>
      <c r="K89" s="193" t="s">
        <v>386</v>
      </c>
      <c r="L89" s="193" t="s">
        <v>387</v>
      </c>
      <c r="M89" s="193" t="s">
        <v>378</v>
      </c>
      <c r="N89" s="193" t="s">
        <v>388</v>
      </c>
      <c r="O89" s="193" t="s">
        <v>129</v>
      </c>
      <c r="P89" s="193" t="s">
        <v>150</v>
      </c>
      <c r="Q89" s="193" t="s">
        <v>149</v>
      </c>
      <c r="R89" s="193" t="s">
        <v>156</v>
      </c>
      <c r="S89" s="193" t="s">
        <v>214</v>
      </c>
      <c r="T89" s="193" t="s">
        <v>389</v>
      </c>
      <c r="U89" s="193" t="s">
        <v>390</v>
      </c>
      <c r="V89" s="193">
        <v>0</v>
      </c>
      <c r="W89" s="193">
        <v>0</v>
      </c>
      <c r="X89" s="193">
        <v>0</v>
      </c>
      <c r="Y89" s="194">
        <v>51280</v>
      </c>
      <c r="Z89" s="193" t="s">
        <v>391</v>
      </c>
      <c r="AA89" s="193" t="s">
        <v>392</v>
      </c>
      <c r="AB89" s="193">
        <v>51280</v>
      </c>
      <c r="AC89" s="193" t="s">
        <v>393</v>
      </c>
      <c r="AD89" s="193" t="s">
        <v>156</v>
      </c>
      <c r="AE89" s="193">
        <v>51280</v>
      </c>
      <c r="AF89" s="193" t="s">
        <v>394</v>
      </c>
      <c r="AG89" s="193" t="s">
        <v>395</v>
      </c>
      <c r="AH89" s="193">
        <v>4661</v>
      </c>
      <c r="AI89" s="193">
        <v>46619</v>
      </c>
      <c r="AJ89" s="193" t="s">
        <v>465</v>
      </c>
      <c r="AL89" s="197" t="s">
        <v>469</v>
      </c>
      <c r="AM89" s="193">
        <v>1</v>
      </c>
      <c r="AN89" s="193">
        <v>0</v>
      </c>
      <c r="AO89" s="193">
        <v>0</v>
      </c>
      <c r="AP89" s="193">
        <v>0</v>
      </c>
      <c r="AQ89" s="193" t="s">
        <v>214</v>
      </c>
      <c r="AS89" s="197" t="s">
        <v>394</v>
      </c>
      <c r="AT89" s="197" t="s">
        <v>395</v>
      </c>
      <c r="AV89" s="194">
        <v>0</v>
      </c>
      <c r="AW89" s="194">
        <v>0</v>
      </c>
      <c r="AX89" s="194">
        <v>10307</v>
      </c>
      <c r="AY89" s="549">
        <v>10307</v>
      </c>
      <c r="AZ89" s="194">
        <v>0</v>
      </c>
      <c r="BA89" s="194">
        <v>40973</v>
      </c>
      <c r="BB89" s="551">
        <v>40973</v>
      </c>
      <c r="BC89" s="551">
        <v>51280</v>
      </c>
      <c r="BD89" s="551">
        <v>0</v>
      </c>
      <c r="BF89" s="550">
        <f t="shared" si="38"/>
        <v>0</v>
      </c>
      <c r="BG89" s="550">
        <f t="shared" si="39"/>
        <v>0</v>
      </c>
      <c r="BH89" s="550">
        <f t="shared" si="40"/>
        <v>9370</v>
      </c>
      <c r="BI89" s="550">
        <f t="shared" si="41"/>
        <v>9370</v>
      </c>
      <c r="BJ89" s="550">
        <f t="shared" si="42"/>
        <v>0</v>
      </c>
      <c r="BK89" s="550">
        <f t="shared" si="47"/>
        <v>37248</v>
      </c>
      <c r="BL89" s="550">
        <f t="shared" si="43"/>
        <v>37248</v>
      </c>
      <c r="BM89" s="550">
        <f t="shared" si="44"/>
        <v>46618</v>
      </c>
      <c r="BO89" s="194"/>
      <c r="BQ89" s="193">
        <f t="shared" si="45"/>
        <v>0</v>
      </c>
      <c r="BR89" s="193">
        <f t="shared" si="46"/>
        <v>0.18181818181619747</v>
      </c>
      <c r="BS89" s="193">
        <f t="shared" si="37"/>
        <v>0</v>
      </c>
      <c r="BT89" s="193">
        <f t="shared" si="37"/>
        <v>0.18181818181619747</v>
      </c>
    </row>
    <row r="90" spans="1:72" ht="13.5" customHeight="1">
      <c r="A90" s="193" t="s">
        <v>378</v>
      </c>
      <c r="B90" s="193" t="s">
        <v>379</v>
      </c>
      <c r="C90" s="193" t="s">
        <v>214</v>
      </c>
      <c r="D90" s="193" t="s">
        <v>380</v>
      </c>
      <c r="E90" s="193" t="s">
        <v>381</v>
      </c>
      <c r="F90" s="193" t="s">
        <v>427</v>
      </c>
      <c r="G90" s="193" t="s">
        <v>427</v>
      </c>
      <c r="H90" s="193" t="s">
        <v>470</v>
      </c>
      <c r="I90" s="193" t="s">
        <v>384</v>
      </c>
      <c r="J90" s="193" t="s">
        <v>471</v>
      </c>
      <c r="K90" s="193" t="s">
        <v>386</v>
      </c>
      <c r="L90" s="193" t="s">
        <v>387</v>
      </c>
      <c r="M90" s="193" t="s">
        <v>378</v>
      </c>
      <c r="N90" s="193" t="s">
        <v>388</v>
      </c>
      <c r="O90" s="193" t="s">
        <v>129</v>
      </c>
      <c r="P90" s="193" t="s">
        <v>150</v>
      </c>
      <c r="Q90" s="193" t="s">
        <v>149</v>
      </c>
      <c r="R90" s="193" t="s">
        <v>156</v>
      </c>
      <c r="S90" s="193" t="s">
        <v>214</v>
      </c>
      <c r="T90" s="193" t="s">
        <v>389</v>
      </c>
      <c r="U90" s="193" t="s">
        <v>390</v>
      </c>
      <c r="V90" s="193">
        <v>0</v>
      </c>
      <c r="W90" s="193">
        <v>0</v>
      </c>
      <c r="X90" s="193">
        <v>0</v>
      </c>
      <c r="Y90" s="194">
        <v>53982</v>
      </c>
      <c r="Z90" s="193" t="s">
        <v>391</v>
      </c>
      <c r="AA90" s="193" t="s">
        <v>392</v>
      </c>
      <c r="AB90" s="193">
        <v>53982</v>
      </c>
      <c r="AC90" s="193" t="s">
        <v>393</v>
      </c>
      <c r="AD90" s="193" t="s">
        <v>156</v>
      </c>
      <c r="AE90" s="193">
        <v>53982</v>
      </c>
      <c r="AF90" s="193" t="s">
        <v>394</v>
      </c>
      <c r="AG90" s="193" t="s">
        <v>395</v>
      </c>
      <c r="AH90" s="193">
        <v>4907</v>
      </c>
      <c r="AI90" s="193">
        <v>49075</v>
      </c>
      <c r="AJ90" s="193" t="s">
        <v>446</v>
      </c>
      <c r="AL90" s="197" t="s">
        <v>472</v>
      </c>
      <c r="AM90" s="193">
        <v>1</v>
      </c>
      <c r="AN90" s="193">
        <v>0</v>
      </c>
      <c r="AO90" s="193">
        <v>0</v>
      </c>
      <c r="AP90" s="193">
        <v>0</v>
      </c>
      <c r="AQ90" s="193" t="s">
        <v>214</v>
      </c>
      <c r="AS90" s="197" t="s">
        <v>394</v>
      </c>
      <c r="AT90" s="197" t="s">
        <v>395</v>
      </c>
      <c r="AV90" s="194">
        <v>0</v>
      </c>
      <c r="AW90" s="194">
        <v>0</v>
      </c>
      <c r="AX90" s="194">
        <v>10850</v>
      </c>
      <c r="AY90" s="549">
        <v>10850</v>
      </c>
      <c r="AZ90" s="194">
        <v>0</v>
      </c>
      <c r="BA90" s="194">
        <v>43132</v>
      </c>
      <c r="BB90" s="551">
        <v>43132</v>
      </c>
      <c r="BC90" s="551">
        <v>53982</v>
      </c>
      <c r="BD90" s="551">
        <v>0</v>
      </c>
      <c r="BF90" s="550">
        <f t="shared" si="38"/>
        <v>0</v>
      </c>
      <c r="BG90" s="550">
        <f t="shared" si="39"/>
        <v>0</v>
      </c>
      <c r="BH90" s="550">
        <f t="shared" si="40"/>
        <v>9864</v>
      </c>
      <c r="BI90" s="550">
        <f t="shared" si="41"/>
        <v>9864</v>
      </c>
      <c r="BJ90" s="550">
        <f t="shared" si="42"/>
        <v>0</v>
      </c>
      <c r="BK90" s="550">
        <f t="shared" si="47"/>
        <v>39211</v>
      </c>
      <c r="BL90" s="550">
        <f t="shared" si="43"/>
        <v>39211</v>
      </c>
      <c r="BM90" s="550">
        <f t="shared" si="44"/>
        <v>49075</v>
      </c>
      <c r="BO90" s="194"/>
      <c r="BQ90" s="193">
        <f t="shared" si="45"/>
        <v>-0.36363636363603291</v>
      </c>
      <c r="BR90" s="193">
        <f t="shared" si="46"/>
        <v>-9.0909090911736712E-2</v>
      </c>
      <c r="BS90" s="193">
        <f t="shared" si="37"/>
        <v>0</v>
      </c>
      <c r="BT90" s="193">
        <f t="shared" si="37"/>
        <v>-9.0909090911736712E-2</v>
      </c>
    </row>
    <row r="91" spans="1:72" ht="13.5" customHeight="1">
      <c r="A91" s="193" t="s">
        <v>378</v>
      </c>
      <c r="B91" s="193" t="s">
        <v>379</v>
      </c>
      <c r="C91" s="193" t="s">
        <v>214</v>
      </c>
      <c r="D91" s="193" t="s">
        <v>380</v>
      </c>
      <c r="E91" s="193" t="s">
        <v>381</v>
      </c>
      <c r="F91" s="193" t="s">
        <v>431</v>
      </c>
      <c r="G91" s="193" t="s">
        <v>431</v>
      </c>
      <c r="H91" s="193" t="s">
        <v>473</v>
      </c>
      <c r="I91" s="193" t="s">
        <v>384</v>
      </c>
      <c r="J91" s="193" t="s">
        <v>474</v>
      </c>
      <c r="K91" s="193" t="s">
        <v>386</v>
      </c>
      <c r="L91" s="193" t="s">
        <v>387</v>
      </c>
      <c r="M91" s="193" t="s">
        <v>378</v>
      </c>
      <c r="N91" s="193" t="s">
        <v>388</v>
      </c>
      <c r="O91" s="193" t="s">
        <v>129</v>
      </c>
      <c r="P91" s="193" t="s">
        <v>150</v>
      </c>
      <c r="Q91" s="193" t="s">
        <v>149</v>
      </c>
      <c r="R91" s="193" t="s">
        <v>156</v>
      </c>
      <c r="S91" s="193" t="s">
        <v>214</v>
      </c>
      <c r="T91" s="193" t="s">
        <v>389</v>
      </c>
      <c r="U91" s="193" t="s">
        <v>390</v>
      </c>
      <c r="V91" s="193">
        <v>0</v>
      </c>
      <c r="W91" s="193">
        <v>0</v>
      </c>
      <c r="X91" s="193">
        <v>0</v>
      </c>
      <c r="Y91" s="194">
        <v>35334</v>
      </c>
      <c r="Z91" s="193" t="s">
        <v>391</v>
      </c>
      <c r="AA91" s="193" t="s">
        <v>392</v>
      </c>
      <c r="AB91" s="193">
        <v>35334</v>
      </c>
      <c r="AC91" s="193" t="s">
        <v>393</v>
      </c>
      <c r="AD91" s="193" t="s">
        <v>156</v>
      </c>
      <c r="AE91" s="193">
        <v>35334</v>
      </c>
      <c r="AF91" s="193" t="s">
        <v>394</v>
      </c>
      <c r="AG91" s="193" t="s">
        <v>395</v>
      </c>
      <c r="AH91" s="193">
        <v>3212</v>
      </c>
      <c r="AI91" s="193">
        <v>32122</v>
      </c>
      <c r="AJ91" s="193" t="s">
        <v>446</v>
      </c>
      <c r="AL91" s="197" t="s">
        <v>475</v>
      </c>
      <c r="AM91" s="193">
        <v>1</v>
      </c>
      <c r="AN91" s="193">
        <v>0</v>
      </c>
      <c r="AO91" s="193">
        <v>0</v>
      </c>
      <c r="AP91" s="193">
        <v>0</v>
      </c>
      <c r="AQ91" s="193" t="s">
        <v>214</v>
      </c>
      <c r="AS91" s="197" t="s">
        <v>394</v>
      </c>
      <c r="AT91" s="197" t="s">
        <v>395</v>
      </c>
      <c r="AV91" s="194">
        <v>0</v>
      </c>
      <c r="AW91" s="194">
        <v>0</v>
      </c>
      <c r="AX91" s="194">
        <v>7102</v>
      </c>
      <c r="AY91" s="549">
        <v>7102</v>
      </c>
      <c r="AZ91" s="194">
        <v>0</v>
      </c>
      <c r="BA91" s="194">
        <v>28232</v>
      </c>
      <c r="BB91" s="551">
        <v>28232</v>
      </c>
      <c r="BC91" s="551">
        <v>35334</v>
      </c>
      <c r="BD91" s="551">
        <v>0</v>
      </c>
      <c r="BF91" s="550">
        <f t="shared" si="38"/>
        <v>0</v>
      </c>
      <c r="BG91" s="550">
        <f t="shared" si="39"/>
        <v>0</v>
      </c>
      <c r="BH91" s="550">
        <f t="shared" si="40"/>
        <v>6456</v>
      </c>
      <c r="BI91" s="550">
        <f t="shared" si="41"/>
        <v>6456</v>
      </c>
      <c r="BJ91" s="550">
        <f t="shared" si="42"/>
        <v>0</v>
      </c>
      <c r="BK91" s="550">
        <f t="shared" si="47"/>
        <v>25665</v>
      </c>
      <c r="BL91" s="550">
        <f t="shared" si="43"/>
        <v>25665</v>
      </c>
      <c r="BM91" s="550">
        <f t="shared" si="44"/>
        <v>32121</v>
      </c>
      <c r="BO91" s="194"/>
      <c r="BQ91" s="193">
        <f t="shared" si="45"/>
        <v>0.36363636363603291</v>
      </c>
      <c r="BR91" s="193">
        <f t="shared" si="46"/>
        <v>0.45454545454413164</v>
      </c>
      <c r="BS91" s="193">
        <f t="shared" si="37"/>
        <v>0</v>
      </c>
      <c r="BT91" s="193">
        <f t="shared" si="37"/>
        <v>0.45454545454413164</v>
      </c>
    </row>
    <row r="92" spans="1:72" ht="13.5" customHeight="1">
      <c r="A92" s="193" t="s">
        <v>378</v>
      </c>
      <c r="B92" s="193" t="s">
        <v>379</v>
      </c>
      <c r="C92" s="193" t="s">
        <v>214</v>
      </c>
      <c r="D92" s="193" t="s">
        <v>380</v>
      </c>
      <c r="E92" s="193" t="s">
        <v>381</v>
      </c>
      <c r="F92" s="193" t="s">
        <v>435</v>
      </c>
      <c r="G92" s="193" t="s">
        <v>435</v>
      </c>
      <c r="H92" s="193" t="s">
        <v>476</v>
      </c>
      <c r="I92" s="193" t="s">
        <v>384</v>
      </c>
      <c r="J92" s="193" t="s">
        <v>477</v>
      </c>
      <c r="K92" s="193" t="s">
        <v>386</v>
      </c>
      <c r="L92" s="193" t="s">
        <v>387</v>
      </c>
      <c r="M92" s="193" t="s">
        <v>378</v>
      </c>
      <c r="N92" s="193" t="s">
        <v>388</v>
      </c>
      <c r="O92" s="193" t="s">
        <v>129</v>
      </c>
      <c r="P92" s="193" t="s">
        <v>150</v>
      </c>
      <c r="Q92" s="193" t="s">
        <v>149</v>
      </c>
      <c r="R92" s="193" t="s">
        <v>156</v>
      </c>
      <c r="S92" s="193" t="s">
        <v>214</v>
      </c>
      <c r="T92" s="193" t="s">
        <v>389</v>
      </c>
      <c r="U92" s="193" t="s">
        <v>390</v>
      </c>
      <c r="V92" s="193">
        <v>0</v>
      </c>
      <c r="W92" s="193">
        <v>0</v>
      </c>
      <c r="X92" s="193">
        <v>0</v>
      </c>
      <c r="Y92" s="194">
        <v>55605</v>
      </c>
      <c r="Z92" s="193" t="s">
        <v>391</v>
      </c>
      <c r="AA92" s="193" t="s">
        <v>392</v>
      </c>
      <c r="AB92" s="193">
        <v>55605</v>
      </c>
      <c r="AC92" s="193" t="s">
        <v>393</v>
      </c>
      <c r="AD92" s="193" t="s">
        <v>156</v>
      </c>
      <c r="AE92" s="193">
        <v>55605</v>
      </c>
      <c r="AF92" s="193" t="s">
        <v>394</v>
      </c>
      <c r="AG92" s="193" t="s">
        <v>395</v>
      </c>
      <c r="AH92" s="193">
        <v>5055</v>
      </c>
      <c r="AI92" s="193">
        <v>50550</v>
      </c>
      <c r="AJ92" s="193" t="s">
        <v>446</v>
      </c>
      <c r="AL92" s="197" t="s">
        <v>478</v>
      </c>
      <c r="AM92" s="193">
        <v>1</v>
      </c>
      <c r="AN92" s="193">
        <v>0</v>
      </c>
      <c r="AO92" s="193">
        <v>0</v>
      </c>
      <c r="AP92" s="193">
        <v>0</v>
      </c>
      <c r="AQ92" s="193" t="s">
        <v>214</v>
      </c>
      <c r="AS92" s="197" t="s">
        <v>394</v>
      </c>
      <c r="AT92" s="197" t="s">
        <v>395</v>
      </c>
      <c r="AV92" s="194">
        <v>0</v>
      </c>
      <c r="AW92" s="194">
        <v>0</v>
      </c>
      <c r="AX92" s="194">
        <v>11177</v>
      </c>
      <c r="AY92" s="549">
        <v>11177</v>
      </c>
      <c r="AZ92" s="194">
        <v>0</v>
      </c>
      <c r="BA92" s="194">
        <v>44428</v>
      </c>
      <c r="BB92" s="551">
        <v>44428</v>
      </c>
      <c r="BC92" s="551">
        <v>55605</v>
      </c>
      <c r="BD92" s="551">
        <v>0</v>
      </c>
      <c r="BF92" s="550">
        <f t="shared" si="38"/>
        <v>0</v>
      </c>
      <c r="BG92" s="550">
        <f t="shared" si="39"/>
        <v>0</v>
      </c>
      <c r="BH92" s="550">
        <f t="shared" si="40"/>
        <v>10161</v>
      </c>
      <c r="BI92" s="550">
        <f t="shared" si="41"/>
        <v>10161</v>
      </c>
      <c r="BJ92" s="550">
        <f t="shared" si="42"/>
        <v>0</v>
      </c>
      <c r="BK92" s="550">
        <f t="shared" si="47"/>
        <v>40389</v>
      </c>
      <c r="BL92" s="550">
        <f t="shared" si="43"/>
        <v>40389</v>
      </c>
      <c r="BM92" s="550">
        <f t="shared" si="44"/>
        <v>50550</v>
      </c>
      <c r="BO92" s="194"/>
      <c r="BQ92" s="193">
        <f t="shared" si="45"/>
        <v>-9.0909090909917722E-2</v>
      </c>
      <c r="BR92" s="193">
        <f t="shared" si="46"/>
        <v>9.0909090911736712E-2</v>
      </c>
      <c r="BS92" s="193">
        <f t="shared" si="37"/>
        <v>0</v>
      </c>
      <c r="BT92" s="193">
        <f t="shared" si="37"/>
        <v>9.0909090911736712E-2</v>
      </c>
    </row>
    <row r="93" spans="1:72" ht="13.5" customHeight="1">
      <c r="A93" s="193" t="s">
        <v>378</v>
      </c>
      <c r="B93" s="193" t="s">
        <v>379</v>
      </c>
      <c r="C93" s="193" t="s">
        <v>214</v>
      </c>
      <c r="D93" s="193" t="s">
        <v>380</v>
      </c>
      <c r="E93" s="193" t="s">
        <v>381</v>
      </c>
      <c r="F93" s="193" t="s">
        <v>439</v>
      </c>
      <c r="G93" s="193" t="s">
        <v>439</v>
      </c>
      <c r="H93" s="193" t="s">
        <v>479</v>
      </c>
      <c r="I93" s="193" t="s">
        <v>384</v>
      </c>
      <c r="J93" s="193" t="s">
        <v>480</v>
      </c>
      <c r="K93" s="193" t="s">
        <v>386</v>
      </c>
      <c r="L93" s="193" t="s">
        <v>387</v>
      </c>
      <c r="M93" s="193" t="s">
        <v>378</v>
      </c>
      <c r="N93" s="193" t="s">
        <v>388</v>
      </c>
      <c r="O93" s="193" t="s">
        <v>129</v>
      </c>
      <c r="P93" s="193" t="s">
        <v>150</v>
      </c>
      <c r="Q93" s="193" t="s">
        <v>149</v>
      </c>
      <c r="R93" s="193" t="s">
        <v>156</v>
      </c>
      <c r="S93" s="193" t="s">
        <v>214</v>
      </c>
      <c r="T93" s="193" t="s">
        <v>389</v>
      </c>
      <c r="U93" s="193" t="s">
        <v>390</v>
      </c>
      <c r="V93" s="193">
        <v>0</v>
      </c>
      <c r="W93" s="193">
        <v>0</v>
      </c>
      <c r="X93" s="193">
        <v>0</v>
      </c>
      <c r="Y93" s="194">
        <v>43816</v>
      </c>
      <c r="Z93" s="193" t="s">
        <v>391</v>
      </c>
      <c r="AA93" s="193" t="s">
        <v>392</v>
      </c>
      <c r="AB93" s="193">
        <v>43816</v>
      </c>
      <c r="AC93" s="193" t="s">
        <v>393</v>
      </c>
      <c r="AD93" s="193" t="s">
        <v>156</v>
      </c>
      <c r="AE93" s="193">
        <v>43816</v>
      </c>
      <c r="AF93" s="193" t="s">
        <v>394</v>
      </c>
      <c r="AG93" s="193" t="s">
        <v>395</v>
      </c>
      <c r="AH93" s="193">
        <v>3983</v>
      </c>
      <c r="AI93" s="193">
        <v>39833</v>
      </c>
      <c r="AJ93" s="193" t="s">
        <v>465</v>
      </c>
      <c r="AL93" s="197" t="s">
        <v>481</v>
      </c>
      <c r="AM93" s="193">
        <v>1</v>
      </c>
      <c r="AN93" s="193">
        <v>0</v>
      </c>
      <c r="AO93" s="193">
        <v>0</v>
      </c>
      <c r="AP93" s="193">
        <v>0</v>
      </c>
      <c r="AQ93" s="193" t="s">
        <v>214</v>
      </c>
      <c r="AS93" s="197" t="s">
        <v>394</v>
      </c>
      <c r="AT93" s="197" t="s">
        <v>395</v>
      </c>
      <c r="AV93" s="194">
        <v>0</v>
      </c>
      <c r="AW93" s="194">
        <v>0</v>
      </c>
      <c r="AX93" s="194">
        <v>8807</v>
      </c>
      <c r="AY93" s="549">
        <v>8807</v>
      </c>
      <c r="AZ93" s="194">
        <v>0</v>
      </c>
      <c r="BA93" s="194">
        <v>35009</v>
      </c>
      <c r="BB93" s="551">
        <v>35009</v>
      </c>
      <c r="BC93" s="551">
        <v>43816</v>
      </c>
      <c r="BD93" s="551">
        <v>0</v>
      </c>
      <c r="BF93" s="550">
        <f t="shared" si="38"/>
        <v>0</v>
      </c>
      <c r="BG93" s="550">
        <f t="shared" si="39"/>
        <v>0</v>
      </c>
      <c r="BH93" s="550">
        <f t="shared" si="40"/>
        <v>8006</v>
      </c>
      <c r="BI93" s="550">
        <f t="shared" si="41"/>
        <v>8006</v>
      </c>
      <c r="BJ93" s="550">
        <f t="shared" si="42"/>
        <v>0</v>
      </c>
      <c r="BK93" s="550">
        <f t="shared" si="47"/>
        <v>31826</v>
      </c>
      <c r="BL93" s="550">
        <f t="shared" si="43"/>
        <v>31826</v>
      </c>
      <c r="BM93" s="550">
        <f t="shared" si="44"/>
        <v>39832</v>
      </c>
      <c r="BO93" s="194"/>
      <c r="BQ93" s="193">
        <f t="shared" si="45"/>
        <v>0.36363636363603291</v>
      </c>
      <c r="BR93" s="193">
        <f t="shared" si="46"/>
        <v>0.36363636363603291</v>
      </c>
      <c r="BS93" s="193">
        <f t="shared" si="37"/>
        <v>0</v>
      </c>
      <c r="BT93" s="193">
        <f t="shared" si="37"/>
        <v>0.36363636363603291</v>
      </c>
    </row>
    <row r="94" spans="1:72" ht="13.5" customHeight="1">
      <c r="A94" s="193" t="s">
        <v>378</v>
      </c>
      <c r="B94" s="193" t="s">
        <v>379</v>
      </c>
      <c r="C94" s="193" t="s">
        <v>214</v>
      </c>
      <c r="D94" s="193" t="s">
        <v>482</v>
      </c>
      <c r="E94" s="193" t="s">
        <v>483</v>
      </c>
      <c r="F94" s="193" t="s">
        <v>439</v>
      </c>
      <c r="G94" s="193" t="s">
        <v>439</v>
      </c>
      <c r="H94" s="193" t="s">
        <v>484</v>
      </c>
      <c r="I94" s="193" t="s">
        <v>384</v>
      </c>
      <c r="J94" s="193" t="s">
        <v>485</v>
      </c>
      <c r="K94" s="193" t="s">
        <v>386</v>
      </c>
      <c r="L94" s="193" t="s">
        <v>387</v>
      </c>
      <c r="M94" s="193" t="s">
        <v>378</v>
      </c>
      <c r="N94" s="193" t="s">
        <v>486</v>
      </c>
      <c r="O94" s="193" t="s">
        <v>129</v>
      </c>
      <c r="P94" s="193" t="s">
        <v>150</v>
      </c>
      <c r="Q94" s="193" t="s">
        <v>149</v>
      </c>
      <c r="R94" s="193" t="s">
        <v>154</v>
      </c>
      <c r="S94" s="193" t="s">
        <v>214</v>
      </c>
      <c r="T94" s="193" t="s">
        <v>389</v>
      </c>
      <c r="U94" s="193" t="s">
        <v>390</v>
      </c>
      <c r="V94" s="193">
        <v>0</v>
      </c>
      <c r="W94" s="193">
        <v>0</v>
      </c>
      <c r="X94" s="193">
        <v>0</v>
      </c>
      <c r="Y94" s="194">
        <v>122020</v>
      </c>
      <c r="Z94" s="193" t="s">
        <v>391</v>
      </c>
      <c r="AA94" s="193" t="s">
        <v>392</v>
      </c>
      <c r="AB94" s="193">
        <v>122020</v>
      </c>
      <c r="AC94" s="193" t="s">
        <v>487</v>
      </c>
      <c r="AD94" s="193" t="s">
        <v>154</v>
      </c>
      <c r="AE94" s="193">
        <v>122020</v>
      </c>
      <c r="AF94" s="193" t="s">
        <v>394</v>
      </c>
      <c r="AG94" s="193" t="s">
        <v>395</v>
      </c>
      <c r="AH94" s="193">
        <v>11092</v>
      </c>
      <c r="AI94" s="193">
        <v>110928</v>
      </c>
      <c r="AJ94" s="193" t="s">
        <v>488</v>
      </c>
      <c r="AL94" s="197" t="s">
        <v>489</v>
      </c>
      <c r="AM94" s="193">
        <v>1</v>
      </c>
      <c r="AN94" s="193">
        <v>0</v>
      </c>
      <c r="AO94" s="193">
        <v>0</v>
      </c>
      <c r="AP94" s="193">
        <v>0</v>
      </c>
      <c r="AQ94" s="193" t="s">
        <v>214</v>
      </c>
      <c r="AS94" s="197" t="s">
        <v>394</v>
      </c>
      <c r="AT94" s="197" t="s">
        <v>395</v>
      </c>
      <c r="AV94" s="194">
        <v>0</v>
      </c>
      <c r="AW94" s="194">
        <v>122020</v>
      </c>
      <c r="AX94" s="194">
        <v>0</v>
      </c>
      <c r="AY94" s="549">
        <v>122020</v>
      </c>
      <c r="AZ94" s="194">
        <v>0</v>
      </c>
      <c r="BA94" s="194">
        <v>0</v>
      </c>
      <c r="BB94" s="551">
        <v>0</v>
      </c>
      <c r="BC94" s="551">
        <v>122020</v>
      </c>
      <c r="BD94" s="551">
        <v>0</v>
      </c>
      <c r="BF94" s="550">
        <f t="shared" si="38"/>
        <v>0</v>
      </c>
      <c r="BG94" s="550">
        <f t="shared" si="39"/>
        <v>110927</v>
      </c>
      <c r="BH94" s="550">
        <f t="shared" si="40"/>
        <v>0</v>
      </c>
      <c r="BI94" s="550">
        <f t="shared" si="41"/>
        <v>110927</v>
      </c>
      <c r="BJ94" s="550">
        <f t="shared" si="42"/>
        <v>0</v>
      </c>
      <c r="BK94" s="550">
        <f t="shared" si="47"/>
        <v>0</v>
      </c>
      <c r="BL94" s="550">
        <f t="shared" si="43"/>
        <v>0</v>
      </c>
      <c r="BM94" s="550">
        <f t="shared" si="44"/>
        <v>110927</v>
      </c>
      <c r="BO94" s="194"/>
      <c r="BQ94" s="193">
        <f t="shared" si="45"/>
        <v>0.27272727272065822</v>
      </c>
      <c r="BR94" s="193">
        <f t="shared" si="46"/>
        <v>0</v>
      </c>
      <c r="BS94" s="193">
        <f t="shared" si="37"/>
        <v>0</v>
      </c>
      <c r="BT94" s="193">
        <f t="shared" si="37"/>
        <v>0</v>
      </c>
    </row>
    <row r="95" spans="1:72" ht="13.5" customHeight="1">
      <c r="A95" s="193" t="s">
        <v>378</v>
      </c>
      <c r="B95" s="193" t="s">
        <v>379</v>
      </c>
      <c r="C95" s="193" t="s">
        <v>214</v>
      </c>
      <c r="D95" s="193" t="s">
        <v>490</v>
      </c>
      <c r="E95" s="193" t="s">
        <v>491</v>
      </c>
      <c r="F95" s="193" t="s">
        <v>439</v>
      </c>
      <c r="G95" s="193" t="s">
        <v>439</v>
      </c>
      <c r="H95" s="193" t="s">
        <v>492</v>
      </c>
      <c r="I95" s="193" t="s">
        <v>384</v>
      </c>
      <c r="J95" s="193" t="s">
        <v>493</v>
      </c>
      <c r="K95" s="193" t="s">
        <v>386</v>
      </c>
      <c r="L95" s="193" t="s">
        <v>387</v>
      </c>
      <c r="M95" s="193" t="s">
        <v>378</v>
      </c>
      <c r="N95" s="193" t="s">
        <v>486</v>
      </c>
      <c r="O95" s="193" t="s">
        <v>129</v>
      </c>
      <c r="P95" s="193" t="s">
        <v>150</v>
      </c>
      <c r="Q95" s="193" t="s">
        <v>149</v>
      </c>
      <c r="R95" s="193" t="s">
        <v>154</v>
      </c>
      <c r="S95" s="193" t="s">
        <v>214</v>
      </c>
      <c r="T95" s="193" t="s">
        <v>389</v>
      </c>
      <c r="U95" s="193" t="s">
        <v>390</v>
      </c>
      <c r="V95" s="193">
        <v>0</v>
      </c>
      <c r="W95" s="193">
        <v>0</v>
      </c>
      <c r="X95" s="193">
        <v>0</v>
      </c>
      <c r="Y95" s="194">
        <v>385291</v>
      </c>
      <c r="Z95" s="193" t="s">
        <v>391</v>
      </c>
      <c r="AA95" s="193" t="s">
        <v>392</v>
      </c>
      <c r="AB95" s="193">
        <v>385291</v>
      </c>
      <c r="AC95" s="193" t="s">
        <v>487</v>
      </c>
      <c r="AD95" s="193" t="s">
        <v>154</v>
      </c>
      <c r="AE95" s="193">
        <v>385291</v>
      </c>
      <c r="AF95" s="193" t="s">
        <v>394</v>
      </c>
      <c r="AG95" s="193" t="s">
        <v>395</v>
      </c>
      <c r="AH95" s="193">
        <v>35026</v>
      </c>
      <c r="AI95" s="193">
        <v>350265</v>
      </c>
      <c r="AJ95" s="193" t="s">
        <v>488</v>
      </c>
      <c r="AL95" s="197" t="s">
        <v>494</v>
      </c>
      <c r="AM95" s="193">
        <v>1</v>
      </c>
      <c r="AN95" s="193">
        <v>0</v>
      </c>
      <c r="AO95" s="193">
        <v>0</v>
      </c>
      <c r="AP95" s="193">
        <v>0</v>
      </c>
      <c r="AQ95" s="193" t="s">
        <v>214</v>
      </c>
      <c r="AS95" s="197" t="s">
        <v>394</v>
      </c>
      <c r="AT95" s="197" t="s">
        <v>395</v>
      </c>
      <c r="AV95" s="194">
        <v>0</v>
      </c>
      <c r="AW95" s="194">
        <v>385291</v>
      </c>
      <c r="AX95" s="194">
        <v>0</v>
      </c>
      <c r="AY95" s="549">
        <v>385291</v>
      </c>
      <c r="AZ95" s="194">
        <v>0</v>
      </c>
      <c r="BA95" s="194">
        <v>0</v>
      </c>
      <c r="BB95" s="551">
        <v>0</v>
      </c>
      <c r="BC95" s="551">
        <v>385291</v>
      </c>
      <c r="BD95" s="551">
        <v>0</v>
      </c>
      <c r="BF95" s="550">
        <f t="shared" si="38"/>
        <v>0</v>
      </c>
      <c r="BG95" s="550">
        <f t="shared" si="39"/>
        <v>350265</v>
      </c>
      <c r="BH95" s="550">
        <f t="shared" si="40"/>
        <v>0</v>
      </c>
      <c r="BI95" s="550">
        <f t="shared" si="41"/>
        <v>350265</v>
      </c>
      <c r="BJ95" s="550">
        <f t="shared" si="42"/>
        <v>0</v>
      </c>
      <c r="BK95" s="550">
        <f t="shared" si="47"/>
        <v>0</v>
      </c>
      <c r="BL95" s="550">
        <f t="shared" si="43"/>
        <v>0</v>
      </c>
      <c r="BM95" s="550">
        <f t="shared" si="44"/>
        <v>350265</v>
      </c>
      <c r="BO95" s="194"/>
      <c r="BQ95" s="193">
        <f t="shared" si="45"/>
        <v>-0.45454545452957973</v>
      </c>
      <c r="BR95" s="193">
        <f t="shared" si="46"/>
        <v>0</v>
      </c>
      <c r="BS95" s="193">
        <f t="shared" si="37"/>
        <v>0</v>
      </c>
      <c r="BT95" s="193">
        <f t="shared" si="37"/>
        <v>0</v>
      </c>
    </row>
    <row r="96" spans="1:72" ht="13.5" customHeight="1">
      <c r="A96" s="193" t="s">
        <v>378</v>
      </c>
      <c r="B96" s="193" t="s">
        <v>379</v>
      </c>
      <c r="C96" s="193" t="s">
        <v>214</v>
      </c>
      <c r="D96" s="193" t="s">
        <v>495</v>
      </c>
      <c r="E96" s="193" t="s">
        <v>496</v>
      </c>
      <c r="F96" s="193" t="s">
        <v>439</v>
      </c>
      <c r="G96" s="193" t="s">
        <v>439</v>
      </c>
      <c r="H96" s="193" t="s">
        <v>497</v>
      </c>
      <c r="I96" s="193" t="s">
        <v>384</v>
      </c>
      <c r="J96" s="193" t="s">
        <v>498</v>
      </c>
      <c r="K96" s="193" t="s">
        <v>386</v>
      </c>
      <c r="L96" s="193" t="s">
        <v>387</v>
      </c>
      <c r="M96" s="193" t="s">
        <v>378</v>
      </c>
      <c r="N96" s="193" t="s">
        <v>486</v>
      </c>
      <c r="O96" s="193" t="s">
        <v>129</v>
      </c>
      <c r="P96" s="193" t="s">
        <v>150</v>
      </c>
      <c r="Q96" s="193" t="s">
        <v>149</v>
      </c>
      <c r="R96" s="193" t="s">
        <v>154</v>
      </c>
      <c r="S96" s="193" t="s">
        <v>214</v>
      </c>
      <c r="T96" s="193" t="s">
        <v>389</v>
      </c>
      <c r="U96" s="193" t="s">
        <v>390</v>
      </c>
      <c r="V96" s="193">
        <v>0</v>
      </c>
      <c r="W96" s="193">
        <v>0</v>
      </c>
      <c r="X96" s="193">
        <v>0</v>
      </c>
      <c r="Y96" s="194">
        <v>316123</v>
      </c>
      <c r="Z96" s="193" t="s">
        <v>391</v>
      </c>
      <c r="AA96" s="193" t="s">
        <v>392</v>
      </c>
      <c r="AB96" s="193">
        <v>316123</v>
      </c>
      <c r="AC96" s="193" t="s">
        <v>487</v>
      </c>
      <c r="AD96" s="193" t="s">
        <v>154</v>
      </c>
      <c r="AE96" s="193">
        <v>316123</v>
      </c>
      <c r="AF96" s="193" t="s">
        <v>394</v>
      </c>
      <c r="AG96" s="193" t="s">
        <v>395</v>
      </c>
      <c r="AH96" s="193">
        <v>28738</v>
      </c>
      <c r="AI96" s="193">
        <v>287385</v>
      </c>
      <c r="AJ96" s="193" t="s">
        <v>499</v>
      </c>
      <c r="AL96" s="197" t="s">
        <v>500</v>
      </c>
      <c r="AM96" s="193">
        <v>1</v>
      </c>
      <c r="AN96" s="193">
        <v>0</v>
      </c>
      <c r="AO96" s="193">
        <v>0</v>
      </c>
      <c r="AP96" s="193" t="s">
        <v>501</v>
      </c>
      <c r="AQ96" s="193" t="s">
        <v>214</v>
      </c>
      <c r="AS96" s="197" t="s">
        <v>394</v>
      </c>
      <c r="AT96" s="197" t="s">
        <v>395</v>
      </c>
      <c r="AV96" s="194">
        <v>316123</v>
      </c>
      <c r="AW96" s="194">
        <v>0</v>
      </c>
      <c r="AX96" s="194">
        <v>0</v>
      </c>
      <c r="AY96" s="549">
        <v>316123</v>
      </c>
      <c r="AZ96" s="194">
        <v>0</v>
      </c>
      <c r="BA96" s="194">
        <v>0</v>
      </c>
      <c r="BB96" s="551">
        <v>0</v>
      </c>
      <c r="BC96" s="551">
        <v>316123</v>
      </c>
      <c r="BD96" s="551">
        <v>0</v>
      </c>
      <c r="BF96" s="550">
        <f t="shared" si="38"/>
        <v>287385</v>
      </c>
      <c r="BG96" s="550">
        <f t="shared" si="39"/>
        <v>0</v>
      </c>
      <c r="BH96" s="550">
        <f t="shared" si="40"/>
        <v>0</v>
      </c>
      <c r="BI96" s="550">
        <f t="shared" si="41"/>
        <v>287385</v>
      </c>
      <c r="BJ96" s="550">
        <f t="shared" si="42"/>
        <v>0</v>
      </c>
      <c r="BK96" s="550">
        <f t="shared" si="47"/>
        <v>0</v>
      </c>
      <c r="BL96" s="550">
        <f t="shared" si="43"/>
        <v>0</v>
      </c>
      <c r="BM96" s="550">
        <f t="shared" si="44"/>
        <v>287385</v>
      </c>
      <c r="BO96" s="194"/>
      <c r="BQ96" s="193">
        <f t="shared" si="45"/>
        <v>-0.45454545452957973</v>
      </c>
      <c r="BR96" s="193">
        <f t="shared" si="46"/>
        <v>0</v>
      </c>
      <c r="BS96" s="193">
        <f t="shared" si="37"/>
        <v>0</v>
      </c>
      <c r="BT96" s="193">
        <f t="shared" si="37"/>
        <v>0</v>
      </c>
    </row>
    <row r="97" spans="1:72" ht="13.5" customHeight="1">
      <c r="A97" s="193" t="s">
        <v>378</v>
      </c>
      <c r="B97" s="193" t="s">
        <v>379</v>
      </c>
      <c r="C97" s="193" t="s">
        <v>214</v>
      </c>
      <c r="D97" s="193" t="s">
        <v>495</v>
      </c>
      <c r="E97" s="193" t="s">
        <v>496</v>
      </c>
      <c r="F97" s="193" t="s">
        <v>502</v>
      </c>
      <c r="G97" s="193" t="s">
        <v>502</v>
      </c>
      <c r="H97" s="193" t="s">
        <v>503</v>
      </c>
      <c r="I97" s="193" t="s">
        <v>384</v>
      </c>
      <c r="J97" s="193" t="s">
        <v>504</v>
      </c>
      <c r="K97" s="193" t="s">
        <v>386</v>
      </c>
      <c r="L97" s="193" t="s">
        <v>387</v>
      </c>
      <c r="M97" s="193" t="s">
        <v>378</v>
      </c>
      <c r="N97" s="193" t="s">
        <v>486</v>
      </c>
      <c r="O97" s="193" t="s">
        <v>129</v>
      </c>
      <c r="P97" s="193" t="s">
        <v>150</v>
      </c>
      <c r="Q97" s="193" t="s">
        <v>149</v>
      </c>
      <c r="R97" s="193" t="s">
        <v>154</v>
      </c>
      <c r="S97" s="193" t="s">
        <v>214</v>
      </c>
      <c r="T97" s="193" t="s">
        <v>389</v>
      </c>
      <c r="U97" s="193" t="s">
        <v>390</v>
      </c>
      <c r="V97" s="193">
        <v>0</v>
      </c>
      <c r="W97" s="193">
        <v>0</v>
      </c>
      <c r="X97" s="193">
        <v>0</v>
      </c>
      <c r="Y97" s="194">
        <v>586299</v>
      </c>
      <c r="Z97" s="193" t="s">
        <v>391</v>
      </c>
      <c r="AA97" s="193" t="s">
        <v>392</v>
      </c>
      <c r="AB97" s="193">
        <v>586299</v>
      </c>
      <c r="AC97" s="193" t="s">
        <v>487</v>
      </c>
      <c r="AD97" s="193" t="s">
        <v>154</v>
      </c>
      <c r="AE97" s="193">
        <v>586299</v>
      </c>
      <c r="AF97" s="193" t="s">
        <v>505</v>
      </c>
      <c r="AG97" s="193" t="s">
        <v>395</v>
      </c>
      <c r="AH97" s="193">
        <v>53299</v>
      </c>
      <c r="AI97" s="193">
        <v>533000</v>
      </c>
      <c r="AJ97" s="193" t="s">
        <v>499</v>
      </c>
      <c r="AL97" s="197" t="s">
        <v>506</v>
      </c>
      <c r="AM97" s="193">
        <v>2</v>
      </c>
      <c r="AN97" s="193">
        <v>17</v>
      </c>
      <c r="AO97" s="193">
        <v>10</v>
      </c>
      <c r="AP97" s="193" t="s">
        <v>507</v>
      </c>
      <c r="AQ97" s="193" t="s">
        <v>214</v>
      </c>
      <c r="AS97" s="197">
        <v>17</v>
      </c>
      <c r="AT97" s="197">
        <v>10</v>
      </c>
      <c r="AV97" s="194">
        <v>586299</v>
      </c>
      <c r="AW97" s="194">
        <v>0</v>
      </c>
      <c r="AX97" s="194">
        <v>0</v>
      </c>
      <c r="AY97" s="549">
        <v>586299</v>
      </c>
      <c r="AZ97" s="194">
        <v>0</v>
      </c>
      <c r="BA97" s="194">
        <v>0</v>
      </c>
      <c r="BB97" s="551">
        <v>0</v>
      </c>
      <c r="BC97" s="551">
        <v>586299</v>
      </c>
      <c r="BD97" s="551">
        <v>0</v>
      </c>
      <c r="BF97" s="550">
        <f t="shared" si="38"/>
        <v>532999</v>
      </c>
      <c r="BG97" s="550">
        <f t="shared" si="39"/>
        <v>0</v>
      </c>
      <c r="BH97" s="550">
        <f t="shared" si="40"/>
        <v>0</v>
      </c>
      <c r="BI97" s="550">
        <f t="shared" si="41"/>
        <v>532999</v>
      </c>
      <c r="BJ97" s="550">
        <f t="shared" si="42"/>
        <v>0</v>
      </c>
      <c r="BK97" s="550">
        <f t="shared" si="47"/>
        <v>0</v>
      </c>
      <c r="BL97" s="550">
        <f t="shared" si="43"/>
        <v>0</v>
      </c>
      <c r="BM97" s="550">
        <f t="shared" si="44"/>
        <v>532999</v>
      </c>
      <c r="BO97" s="194"/>
      <c r="BQ97" s="193">
        <f t="shared" si="45"/>
        <v>9.0909090940840542E-2</v>
      </c>
      <c r="BR97" s="193">
        <f t="shared" si="46"/>
        <v>0</v>
      </c>
      <c r="BS97" s="193">
        <f t="shared" si="37"/>
        <v>0</v>
      </c>
      <c r="BT97" s="193">
        <f t="shared" si="37"/>
        <v>0</v>
      </c>
    </row>
    <row r="98" spans="1:72" ht="13.5" customHeight="1">
      <c r="A98" s="193" t="s">
        <v>378</v>
      </c>
      <c r="B98" s="193" t="s">
        <v>379</v>
      </c>
      <c r="C98" s="193" t="s">
        <v>214</v>
      </c>
      <c r="D98" s="193" t="s">
        <v>508</v>
      </c>
      <c r="E98" s="193" t="s">
        <v>509</v>
      </c>
      <c r="F98" s="193" t="s">
        <v>547</v>
      </c>
      <c r="G98" s="193" t="s">
        <v>547</v>
      </c>
      <c r="H98" s="193" t="s">
        <v>511</v>
      </c>
      <c r="I98" s="193" t="s">
        <v>512</v>
      </c>
      <c r="J98" s="193" t="s">
        <v>548</v>
      </c>
      <c r="K98" s="193" t="s">
        <v>386</v>
      </c>
      <c r="L98" s="193" t="s">
        <v>387</v>
      </c>
      <c r="M98" s="193" t="s">
        <v>378</v>
      </c>
      <c r="N98" s="193" t="s">
        <v>514</v>
      </c>
      <c r="O98" s="193" t="s">
        <v>129</v>
      </c>
      <c r="P98" s="193" t="s">
        <v>150</v>
      </c>
      <c r="Q98" s="193" t="s">
        <v>149</v>
      </c>
      <c r="R98" s="193" t="s">
        <v>148</v>
      </c>
      <c r="S98" s="193" t="s">
        <v>152</v>
      </c>
      <c r="T98" s="193" t="s">
        <v>389</v>
      </c>
      <c r="U98" s="193" t="s">
        <v>390</v>
      </c>
      <c r="V98" s="193">
        <v>0</v>
      </c>
      <c r="W98" s="193">
        <v>0</v>
      </c>
      <c r="X98" s="193">
        <v>0</v>
      </c>
      <c r="Y98" s="194">
        <v>300</v>
      </c>
      <c r="Z98" s="193" t="s">
        <v>515</v>
      </c>
      <c r="AA98" s="193" t="s">
        <v>516</v>
      </c>
      <c r="AB98" s="193">
        <v>300</v>
      </c>
      <c r="AC98" s="193" t="s">
        <v>517</v>
      </c>
      <c r="AD98" s="193" t="s">
        <v>152</v>
      </c>
      <c r="AE98" s="193">
        <v>300</v>
      </c>
      <c r="AF98" s="193" t="s">
        <v>518</v>
      </c>
      <c r="AG98" s="193" t="s">
        <v>519</v>
      </c>
      <c r="AH98" s="193">
        <v>0</v>
      </c>
      <c r="AI98" s="193">
        <v>300</v>
      </c>
      <c r="AJ98" s="193" t="s">
        <v>549</v>
      </c>
      <c r="AL98" s="197" t="s">
        <v>550</v>
      </c>
      <c r="AM98" s="193">
        <v>1</v>
      </c>
      <c r="AN98" s="193">
        <v>0</v>
      </c>
      <c r="AO98" s="193">
        <v>0</v>
      </c>
      <c r="AP98" s="193">
        <v>0</v>
      </c>
      <c r="AQ98" s="193" t="s">
        <v>214</v>
      </c>
      <c r="AS98" s="197" t="s">
        <v>518</v>
      </c>
      <c r="AT98" s="197" t="s">
        <v>519</v>
      </c>
      <c r="AV98" s="194">
        <v>138</v>
      </c>
      <c r="AW98" s="194">
        <v>0</v>
      </c>
      <c r="AX98" s="194">
        <v>0</v>
      </c>
      <c r="AY98" s="549">
        <v>138</v>
      </c>
      <c r="AZ98" s="194">
        <v>0</v>
      </c>
      <c r="BA98" s="194">
        <v>162</v>
      </c>
      <c r="BB98" s="551">
        <v>162</v>
      </c>
      <c r="BC98" s="551">
        <v>300</v>
      </c>
      <c r="BD98" s="551">
        <v>0</v>
      </c>
      <c r="BF98" s="550">
        <f t="shared" si="38"/>
        <v>138</v>
      </c>
      <c r="BG98" s="550">
        <f t="shared" si="39"/>
        <v>0</v>
      </c>
      <c r="BH98" s="550">
        <f t="shared" si="40"/>
        <v>0</v>
      </c>
      <c r="BI98" s="550">
        <f t="shared" si="41"/>
        <v>138</v>
      </c>
      <c r="BJ98" s="550">
        <f t="shared" si="42"/>
        <v>0</v>
      </c>
      <c r="BK98" s="550">
        <f t="shared" si="47"/>
        <v>162</v>
      </c>
      <c r="BL98" s="550">
        <f t="shared" si="43"/>
        <v>162</v>
      </c>
      <c r="BM98" s="550">
        <f t="shared" si="44"/>
        <v>300</v>
      </c>
      <c r="BO98" s="194"/>
      <c r="BQ98" s="193">
        <f t="shared" si="45"/>
        <v>0</v>
      </c>
      <c r="BR98" s="193">
        <f t="shared" si="46"/>
        <v>0</v>
      </c>
      <c r="BS98" s="193">
        <f t="shared" si="37"/>
        <v>0</v>
      </c>
      <c r="BT98" s="193">
        <f t="shared" si="37"/>
        <v>0</v>
      </c>
    </row>
    <row r="99" spans="1:72" ht="13.5" customHeight="1">
      <c r="A99" s="193" t="s">
        <v>378</v>
      </c>
      <c r="B99" s="193" t="s">
        <v>379</v>
      </c>
      <c r="C99" s="193" t="s">
        <v>214</v>
      </c>
      <c r="D99" s="193" t="s">
        <v>508</v>
      </c>
      <c r="E99" s="193" t="s">
        <v>509</v>
      </c>
      <c r="F99" s="193" t="s">
        <v>547</v>
      </c>
      <c r="G99" s="193" t="s">
        <v>547</v>
      </c>
      <c r="H99" s="193" t="s">
        <v>511</v>
      </c>
      <c r="I99" s="193" t="s">
        <v>512</v>
      </c>
      <c r="J99" s="193" t="s">
        <v>548</v>
      </c>
      <c r="K99" s="193" t="s">
        <v>386</v>
      </c>
      <c r="L99" s="193" t="s">
        <v>531</v>
      </c>
      <c r="M99" s="193" t="s">
        <v>378</v>
      </c>
      <c r="N99" s="193" t="s">
        <v>514</v>
      </c>
      <c r="O99" s="193" t="s">
        <v>129</v>
      </c>
      <c r="P99" s="193" t="s">
        <v>150</v>
      </c>
      <c r="Q99" s="193" t="s">
        <v>149</v>
      </c>
      <c r="R99" s="193" t="s">
        <v>148</v>
      </c>
      <c r="S99" s="193" t="s">
        <v>152</v>
      </c>
      <c r="T99" s="193" t="s">
        <v>389</v>
      </c>
      <c r="U99" s="193" t="s">
        <v>390</v>
      </c>
      <c r="V99" s="193">
        <v>0</v>
      </c>
      <c r="W99" s="193">
        <v>0</v>
      </c>
      <c r="X99" s="193">
        <v>0</v>
      </c>
      <c r="Y99" s="194">
        <v>300</v>
      </c>
      <c r="Z99" s="193" t="s">
        <v>515</v>
      </c>
      <c r="AA99" s="193" t="s">
        <v>516</v>
      </c>
      <c r="AB99" s="193">
        <v>300</v>
      </c>
      <c r="AC99" s="193" t="s">
        <v>517</v>
      </c>
      <c r="AD99" s="193" t="s">
        <v>152</v>
      </c>
      <c r="AE99" s="193">
        <v>300</v>
      </c>
      <c r="AF99" s="193" t="s">
        <v>518</v>
      </c>
      <c r="AG99" s="193" t="s">
        <v>519</v>
      </c>
      <c r="AH99" s="193">
        <v>0</v>
      </c>
      <c r="AI99" s="193">
        <v>300</v>
      </c>
      <c r="AJ99" s="193" t="s">
        <v>551</v>
      </c>
      <c r="AL99" s="197" t="s">
        <v>552</v>
      </c>
      <c r="AM99" s="193">
        <v>1</v>
      </c>
      <c r="AN99" s="193">
        <v>0</v>
      </c>
      <c r="AO99" s="193">
        <v>0</v>
      </c>
      <c r="AP99" s="193">
        <v>0</v>
      </c>
      <c r="AQ99" s="193" t="s">
        <v>214</v>
      </c>
      <c r="AS99" s="197" t="s">
        <v>518</v>
      </c>
      <c r="AT99" s="197" t="s">
        <v>519</v>
      </c>
      <c r="AV99" s="194">
        <v>138</v>
      </c>
      <c r="AW99" s="194">
        <v>0</v>
      </c>
      <c r="AX99" s="194">
        <v>0</v>
      </c>
      <c r="AY99" s="549">
        <v>138</v>
      </c>
      <c r="AZ99" s="194">
        <v>0</v>
      </c>
      <c r="BA99" s="194">
        <v>162</v>
      </c>
      <c r="BB99" s="551">
        <v>162</v>
      </c>
      <c r="BC99" s="551">
        <v>300</v>
      </c>
      <c r="BD99" s="551">
        <v>0</v>
      </c>
      <c r="BF99" s="550">
        <f t="shared" si="38"/>
        <v>138</v>
      </c>
      <c r="BG99" s="550">
        <f t="shared" si="39"/>
        <v>0</v>
      </c>
      <c r="BH99" s="550">
        <f t="shared" si="40"/>
        <v>0</v>
      </c>
      <c r="BI99" s="550">
        <f t="shared" si="41"/>
        <v>138</v>
      </c>
      <c r="BJ99" s="550">
        <f t="shared" si="42"/>
        <v>0</v>
      </c>
      <c r="BK99" s="550">
        <f t="shared" si="47"/>
        <v>162</v>
      </c>
      <c r="BL99" s="550">
        <f t="shared" si="43"/>
        <v>162</v>
      </c>
      <c r="BM99" s="550">
        <f t="shared" si="44"/>
        <v>300</v>
      </c>
      <c r="BO99" s="194"/>
      <c r="BQ99" s="193">
        <f t="shared" si="45"/>
        <v>0</v>
      </c>
      <c r="BR99" s="193">
        <f t="shared" si="46"/>
        <v>0</v>
      </c>
      <c r="BS99" s="193">
        <f t="shared" si="37"/>
        <v>0</v>
      </c>
      <c r="BT99" s="193">
        <f t="shared" si="37"/>
        <v>0</v>
      </c>
    </row>
    <row r="100" spans="1:72" ht="13.5" customHeight="1">
      <c r="A100" s="193" t="s">
        <v>378</v>
      </c>
      <c r="B100" s="193" t="s">
        <v>379</v>
      </c>
      <c r="C100" s="193" t="s">
        <v>214</v>
      </c>
      <c r="D100" s="193" t="s">
        <v>508</v>
      </c>
      <c r="E100" s="193" t="s">
        <v>509</v>
      </c>
      <c r="F100" s="193" t="s">
        <v>547</v>
      </c>
      <c r="G100" s="193" t="s">
        <v>547</v>
      </c>
      <c r="H100" s="193" t="s">
        <v>511</v>
      </c>
      <c r="I100" s="193" t="s">
        <v>512</v>
      </c>
      <c r="J100" s="193" t="s">
        <v>548</v>
      </c>
      <c r="K100" s="193" t="s">
        <v>386</v>
      </c>
      <c r="L100" s="193" t="s">
        <v>553</v>
      </c>
      <c r="M100" s="193" t="s">
        <v>378</v>
      </c>
      <c r="N100" s="193" t="s">
        <v>514</v>
      </c>
      <c r="O100" s="193" t="s">
        <v>129</v>
      </c>
      <c r="P100" s="193" t="s">
        <v>150</v>
      </c>
      <c r="Q100" s="193" t="s">
        <v>149</v>
      </c>
      <c r="R100" s="193" t="s">
        <v>148</v>
      </c>
      <c r="S100" s="193" t="s">
        <v>152</v>
      </c>
      <c r="T100" s="193" t="s">
        <v>389</v>
      </c>
      <c r="U100" s="193" t="s">
        <v>390</v>
      </c>
      <c r="V100" s="193">
        <v>0</v>
      </c>
      <c r="W100" s="193">
        <v>0</v>
      </c>
      <c r="X100" s="193">
        <v>0</v>
      </c>
      <c r="Y100" s="194">
        <v>600</v>
      </c>
      <c r="Z100" s="193" t="s">
        <v>515</v>
      </c>
      <c r="AA100" s="193" t="s">
        <v>516</v>
      </c>
      <c r="AB100" s="193">
        <v>600</v>
      </c>
      <c r="AC100" s="193" t="s">
        <v>517</v>
      </c>
      <c r="AD100" s="193" t="s">
        <v>152</v>
      </c>
      <c r="AE100" s="193">
        <v>600</v>
      </c>
      <c r="AF100" s="193" t="s">
        <v>518</v>
      </c>
      <c r="AG100" s="193" t="s">
        <v>519</v>
      </c>
      <c r="AH100" s="193">
        <v>0</v>
      </c>
      <c r="AI100" s="193">
        <v>600</v>
      </c>
      <c r="AJ100" s="193" t="s">
        <v>554</v>
      </c>
      <c r="AL100" s="197" t="s">
        <v>555</v>
      </c>
      <c r="AM100" s="193">
        <v>1</v>
      </c>
      <c r="AN100" s="193">
        <v>0</v>
      </c>
      <c r="AO100" s="193">
        <v>0</v>
      </c>
      <c r="AP100" s="193">
        <v>0</v>
      </c>
      <c r="AQ100" s="193" t="s">
        <v>214</v>
      </c>
      <c r="AS100" s="197" t="s">
        <v>518</v>
      </c>
      <c r="AT100" s="197" t="s">
        <v>519</v>
      </c>
      <c r="AV100" s="194">
        <v>276</v>
      </c>
      <c r="AW100" s="194">
        <v>0</v>
      </c>
      <c r="AX100" s="194">
        <v>0</v>
      </c>
      <c r="AY100" s="549">
        <v>276</v>
      </c>
      <c r="AZ100" s="194">
        <v>0</v>
      </c>
      <c r="BA100" s="194">
        <v>324</v>
      </c>
      <c r="BB100" s="551">
        <v>324</v>
      </c>
      <c r="BC100" s="551">
        <v>600</v>
      </c>
      <c r="BD100" s="551">
        <v>0</v>
      </c>
      <c r="BF100" s="550">
        <f t="shared" si="38"/>
        <v>276</v>
      </c>
      <c r="BG100" s="550">
        <f t="shared" si="39"/>
        <v>0</v>
      </c>
      <c r="BH100" s="550">
        <f t="shared" si="40"/>
        <v>0</v>
      </c>
      <c r="BI100" s="550">
        <f t="shared" si="41"/>
        <v>276</v>
      </c>
      <c r="BJ100" s="550">
        <f t="shared" si="42"/>
        <v>0</v>
      </c>
      <c r="BK100" s="550">
        <f t="shared" si="47"/>
        <v>324</v>
      </c>
      <c r="BL100" s="550">
        <f t="shared" si="43"/>
        <v>324</v>
      </c>
      <c r="BM100" s="550">
        <f t="shared" si="44"/>
        <v>600</v>
      </c>
      <c r="BO100" s="194"/>
      <c r="BQ100" s="193">
        <f t="shared" si="45"/>
        <v>0</v>
      </c>
      <c r="BR100" s="193">
        <f t="shared" si="46"/>
        <v>0</v>
      </c>
      <c r="BS100" s="193">
        <f t="shared" si="37"/>
        <v>0</v>
      </c>
      <c r="BT100" s="193">
        <f t="shared" si="37"/>
        <v>0</v>
      </c>
    </row>
    <row r="101" spans="1:72" ht="13.5" customHeight="1">
      <c r="A101" s="193" t="s">
        <v>378</v>
      </c>
      <c r="B101" s="193" t="s">
        <v>379</v>
      </c>
      <c r="C101" s="193" t="s">
        <v>214</v>
      </c>
      <c r="D101" s="193" t="s">
        <v>508</v>
      </c>
      <c r="E101" s="193" t="s">
        <v>509</v>
      </c>
      <c r="F101" s="193" t="s">
        <v>547</v>
      </c>
      <c r="G101" s="193" t="s">
        <v>547</v>
      </c>
      <c r="H101" s="193" t="s">
        <v>511</v>
      </c>
      <c r="I101" s="193" t="s">
        <v>512</v>
      </c>
      <c r="J101" s="193" t="s">
        <v>548</v>
      </c>
      <c r="K101" s="193" t="s">
        <v>386</v>
      </c>
      <c r="L101" s="193" t="s">
        <v>556</v>
      </c>
      <c r="M101" s="193" t="s">
        <v>378</v>
      </c>
      <c r="N101" s="193" t="s">
        <v>514</v>
      </c>
      <c r="O101" s="193" t="s">
        <v>129</v>
      </c>
      <c r="P101" s="193" t="s">
        <v>150</v>
      </c>
      <c r="Q101" s="193" t="s">
        <v>149</v>
      </c>
      <c r="R101" s="193" t="s">
        <v>148</v>
      </c>
      <c r="S101" s="193" t="s">
        <v>152</v>
      </c>
      <c r="T101" s="193" t="s">
        <v>389</v>
      </c>
      <c r="U101" s="193" t="s">
        <v>390</v>
      </c>
      <c r="V101" s="193">
        <v>0</v>
      </c>
      <c r="W101" s="193">
        <v>0</v>
      </c>
      <c r="X101" s="193">
        <v>0</v>
      </c>
      <c r="Y101" s="194">
        <v>200</v>
      </c>
      <c r="Z101" s="193" t="s">
        <v>515</v>
      </c>
      <c r="AA101" s="193" t="s">
        <v>516</v>
      </c>
      <c r="AB101" s="193">
        <v>200</v>
      </c>
      <c r="AC101" s="193" t="s">
        <v>517</v>
      </c>
      <c r="AD101" s="193" t="s">
        <v>152</v>
      </c>
      <c r="AE101" s="193">
        <v>200</v>
      </c>
      <c r="AF101" s="193" t="s">
        <v>518</v>
      </c>
      <c r="AG101" s="193" t="s">
        <v>519</v>
      </c>
      <c r="AH101" s="193">
        <v>0</v>
      </c>
      <c r="AI101" s="193">
        <v>200</v>
      </c>
      <c r="AJ101" s="193" t="s">
        <v>557</v>
      </c>
      <c r="AL101" s="197" t="s">
        <v>558</v>
      </c>
      <c r="AM101" s="193">
        <v>1</v>
      </c>
      <c r="AN101" s="193">
        <v>0</v>
      </c>
      <c r="AO101" s="193">
        <v>0</v>
      </c>
      <c r="AP101" s="193">
        <v>0</v>
      </c>
      <c r="AQ101" s="193" t="s">
        <v>214</v>
      </c>
      <c r="AS101" s="197" t="s">
        <v>518</v>
      </c>
      <c r="AT101" s="197" t="s">
        <v>519</v>
      </c>
      <c r="AV101" s="194">
        <v>92</v>
      </c>
      <c r="AW101" s="194">
        <v>0</v>
      </c>
      <c r="AX101" s="194">
        <v>0</v>
      </c>
      <c r="AY101" s="549">
        <v>92</v>
      </c>
      <c r="AZ101" s="194">
        <v>0</v>
      </c>
      <c r="BA101" s="194">
        <v>108</v>
      </c>
      <c r="BB101" s="551">
        <v>108</v>
      </c>
      <c r="BC101" s="551">
        <v>200</v>
      </c>
      <c r="BD101" s="551">
        <v>0</v>
      </c>
      <c r="BF101" s="550">
        <f t="shared" si="38"/>
        <v>92</v>
      </c>
      <c r="BG101" s="550">
        <f t="shared" si="39"/>
        <v>0</v>
      </c>
      <c r="BH101" s="550">
        <f t="shared" si="40"/>
        <v>0</v>
      </c>
      <c r="BI101" s="550">
        <f t="shared" si="41"/>
        <v>92</v>
      </c>
      <c r="BJ101" s="550">
        <f t="shared" si="42"/>
        <v>0</v>
      </c>
      <c r="BK101" s="550">
        <f t="shared" si="47"/>
        <v>108</v>
      </c>
      <c r="BL101" s="550">
        <f t="shared" si="43"/>
        <v>108</v>
      </c>
      <c r="BM101" s="550">
        <f t="shared" si="44"/>
        <v>200</v>
      </c>
      <c r="BO101" s="194"/>
      <c r="BQ101" s="193">
        <f t="shared" si="45"/>
        <v>0</v>
      </c>
      <c r="BR101" s="193">
        <f t="shared" si="46"/>
        <v>0</v>
      </c>
      <c r="BS101" s="193">
        <f t="shared" si="37"/>
        <v>0</v>
      </c>
      <c r="BT101" s="193">
        <f t="shared" si="37"/>
        <v>0</v>
      </c>
    </row>
    <row r="102" spans="1:72" ht="13.5" customHeight="1">
      <c r="A102" s="193" t="s">
        <v>378</v>
      </c>
      <c r="B102" s="193" t="s">
        <v>379</v>
      </c>
      <c r="C102" s="193" t="s">
        <v>214</v>
      </c>
      <c r="D102" s="193" t="s">
        <v>508</v>
      </c>
      <c r="E102" s="193" t="s">
        <v>509</v>
      </c>
      <c r="F102" s="193" t="s">
        <v>510</v>
      </c>
      <c r="G102" s="193" t="s">
        <v>510</v>
      </c>
      <c r="H102" s="193" t="s">
        <v>511</v>
      </c>
      <c r="I102" s="193" t="s">
        <v>512</v>
      </c>
      <c r="J102" s="193" t="s">
        <v>513</v>
      </c>
      <c r="K102" s="193" t="s">
        <v>386</v>
      </c>
      <c r="L102" s="193" t="s">
        <v>387</v>
      </c>
      <c r="M102" s="193" t="s">
        <v>378</v>
      </c>
      <c r="N102" s="193" t="s">
        <v>514</v>
      </c>
      <c r="O102" s="193" t="s">
        <v>129</v>
      </c>
      <c r="P102" s="193" t="s">
        <v>150</v>
      </c>
      <c r="Q102" s="193" t="s">
        <v>149</v>
      </c>
      <c r="R102" s="193" t="s">
        <v>148</v>
      </c>
      <c r="S102" s="193" t="s">
        <v>152</v>
      </c>
      <c r="T102" s="193" t="s">
        <v>389</v>
      </c>
      <c r="U102" s="193" t="s">
        <v>390</v>
      </c>
      <c r="V102" s="193">
        <v>0</v>
      </c>
      <c r="W102" s="193">
        <v>0</v>
      </c>
      <c r="X102" s="193">
        <v>0</v>
      </c>
      <c r="Y102" s="194">
        <v>600</v>
      </c>
      <c r="Z102" s="193" t="s">
        <v>515</v>
      </c>
      <c r="AA102" s="193" t="s">
        <v>516</v>
      </c>
      <c r="AB102" s="193">
        <v>600</v>
      </c>
      <c r="AC102" s="193" t="s">
        <v>517</v>
      </c>
      <c r="AD102" s="193" t="s">
        <v>152</v>
      </c>
      <c r="AE102" s="193">
        <v>600</v>
      </c>
      <c r="AF102" s="193" t="s">
        <v>518</v>
      </c>
      <c r="AG102" s="193" t="s">
        <v>519</v>
      </c>
      <c r="AH102" s="193">
        <v>0</v>
      </c>
      <c r="AI102" s="193">
        <v>600</v>
      </c>
      <c r="AJ102" s="193" t="s">
        <v>520</v>
      </c>
      <c r="AL102" s="197" t="s">
        <v>521</v>
      </c>
      <c r="AM102" s="193">
        <v>1</v>
      </c>
      <c r="AN102" s="193">
        <v>0</v>
      </c>
      <c r="AO102" s="193">
        <v>0</v>
      </c>
      <c r="AP102" s="193">
        <v>0</v>
      </c>
      <c r="AQ102" s="193" t="s">
        <v>214</v>
      </c>
      <c r="AS102" s="197" t="s">
        <v>518</v>
      </c>
      <c r="AT102" s="197" t="s">
        <v>519</v>
      </c>
      <c r="AV102" s="194">
        <v>276</v>
      </c>
      <c r="AW102" s="194">
        <v>0</v>
      </c>
      <c r="AX102" s="194">
        <v>0</v>
      </c>
      <c r="AY102" s="549">
        <v>276</v>
      </c>
      <c r="AZ102" s="194">
        <v>0</v>
      </c>
      <c r="BA102" s="194">
        <v>324</v>
      </c>
      <c r="BB102" s="551">
        <v>324</v>
      </c>
      <c r="BC102" s="551">
        <v>600</v>
      </c>
      <c r="BD102" s="551">
        <v>0</v>
      </c>
      <c r="BF102" s="550">
        <f t="shared" si="38"/>
        <v>276</v>
      </c>
      <c r="BG102" s="550">
        <f t="shared" si="39"/>
        <v>0</v>
      </c>
      <c r="BH102" s="550">
        <f t="shared" si="40"/>
        <v>0</v>
      </c>
      <c r="BI102" s="550">
        <f t="shared" si="41"/>
        <v>276</v>
      </c>
      <c r="BJ102" s="550">
        <f t="shared" si="42"/>
        <v>0</v>
      </c>
      <c r="BK102" s="550">
        <f t="shared" si="47"/>
        <v>324</v>
      </c>
      <c r="BL102" s="550">
        <f t="shared" si="43"/>
        <v>324</v>
      </c>
      <c r="BM102" s="550">
        <f t="shared" si="44"/>
        <v>600</v>
      </c>
      <c r="BO102" s="194"/>
      <c r="BQ102" s="193">
        <f t="shared" si="45"/>
        <v>0</v>
      </c>
      <c r="BR102" s="193">
        <f t="shared" si="46"/>
        <v>0</v>
      </c>
      <c r="BS102" s="193">
        <f t="shared" si="37"/>
        <v>0</v>
      </c>
      <c r="BT102" s="193">
        <f t="shared" si="37"/>
        <v>0</v>
      </c>
    </row>
    <row r="103" spans="1:72" ht="13.5" customHeight="1">
      <c r="A103" s="193" t="s">
        <v>378</v>
      </c>
      <c r="B103" s="193" t="s">
        <v>379</v>
      </c>
      <c r="C103" s="193" t="s">
        <v>214</v>
      </c>
      <c r="D103" s="193" t="s">
        <v>542</v>
      </c>
      <c r="E103" s="193" t="s">
        <v>543</v>
      </c>
      <c r="F103" s="193" t="s">
        <v>544</v>
      </c>
      <c r="G103" s="193" t="s">
        <v>544</v>
      </c>
      <c r="H103" s="193" t="s">
        <v>511</v>
      </c>
      <c r="I103" s="193" t="s">
        <v>512</v>
      </c>
      <c r="J103" s="193" t="s">
        <v>545</v>
      </c>
      <c r="K103" s="193" t="s">
        <v>386</v>
      </c>
      <c r="L103" s="193" t="s">
        <v>387</v>
      </c>
      <c r="M103" s="193" t="s">
        <v>378</v>
      </c>
      <c r="N103" s="193" t="s">
        <v>514</v>
      </c>
      <c r="O103" s="193" t="s">
        <v>129</v>
      </c>
      <c r="P103" s="193" t="s">
        <v>150</v>
      </c>
      <c r="Q103" s="193" t="s">
        <v>149</v>
      </c>
      <c r="R103" s="193" t="s">
        <v>148</v>
      </c>
      <c r="S103" s="193" t="s">
        <v>152</v>
      </c>
      <c r="T103" s="193" t="s">
        <v>389</v>
      </c>
      <c r="U103" s="193" t="s">
        <v>390</v>
      </c>
      <c r="V103" s="193">
        <v>0</v>
      </c>
      <c r="W103" s="193">
        <v>0</v>
      </c>
      <c r="X103" s="193">
        <v>0</v>
      </c>
      <c r="Y103" s="194">
        <v>940</v>
      </c>
      <c r="Z103" s="193" t="s">
        <v>515</v>
      </c>
      <c r="AA103" s="193" t="s">
        <v>516</v>
      </c>
      <c r="AB103" s="193">
        <v>940</v>
      </c>
      <c r="AC103" s="193" t="s">
        <v>517</v>
      </c>
      <c r="AD103" s="193" t="s">
        <v>152</v>
      </c>
      <c r="AE103" s="193">
        <v>940</v>
      </c>
      <c r="AF103" s="193" t="s">
        <v>518</v>
      </c>
      <c r="AG103" s="193" t="s">
        <v>519</v>
      </c>
      <c r="AH103" s="193">
        <v>0</v>
      </c>
      <c r="AI103" s="193">
        <v>940</v>
      </c>
      <c r="AJ103" s="193" t="s">
        <v>214</v>
      </c>
      <c r="AL103" s="197" t="s">
        <v>546</v>
      </c>
      <c r="AM103" s="193">
        <v>1</v>
      </c>
      <c r="AN103" s="193">
        <v>0</v>
      </c>
      <c r="AO103" s="193">
        <v>0</v>
      </c>
      <c r="AP103" s="193">
        <v>0</v>
      </c>
      <c r="AQ103" s="193" t="s">
        <v>214</v>
      </c>
      <c r="AS103" s="197" t="s">
        <v>518</v>
      </c>
      <c r="AT103" s="197" t="s">
        <v>519</v>
      </c>
      <c r="AV103" s="194">
        <v>432</v>
      </c>
      <c r="AW103" s="194">
        <v>0</v>
      </c>
      <c r="AX103" s="194">
        <v>0</v>
      </c>
      <c r="AY103" s="549">
        <v>432</v>
      </c>
      <c r="AZ103" s="194">
        <v>0</v>
      </c>
      <c r="BA103" s="194">
        <v>508</v>
      </c>
      <c r="BB103" s="551">
        <v>508</v>
      </c>
      <c r="BC103" s="551">
        <v>940</v>
      </c>
      <c r="BD103" s="551">
        <v>0</v>
      </c>
      <c r="BF103" s="550">
        <f t="shared" si="38"/>
        <v>432</v>
      </c>
      <c r="BG103" s="550">
        <f t="shared" si="39"/>
        <v>0</v>
      </c>
      <c r="BH103" s="550">
        <f t="shared" si="40"/>
        <v>0</v>
      </c>
      <c r="BI103" s="550">
        <f t="shared" si="41"/>
        <v>432</v>
      </c>
      <c r="BJ103" s="550">
        <f t="shared" si="42"/>
        <v>0</v>
      </c>
      <c r="BK103" s="550">
        <f t="shared" si="47"/>
        <v>508</v>
      </c>
      <c r="BL103" s="550">
        <f t="shared" si="43"/>
        <v>508</v>
      </c>
      <c r="BM103" s="550">
        <f t="shared" si="44"/>
        <v>940</v>
      </c>
      <c r="BO103" s="194"/>
      <c r="BQ103" s="193">
        <f t="shared" si="45"/>
        <v>0</v>
      </c>
      <c r="BR103" s="193">
        <f t="shared" si="46"/>
        <v>0</v>
      </c>
      <c r="BS103" s="193">
        <f t="shared" si="37"/>
        <v>0</v>
      </c>
      <c r="BT103" s="193">
        <f t="shared" si="37"/>
        <v>0</v>
      </c>
    </row>
    <row r="104" spans="1:72" ht="13.5" customHeight="1">
      <c r="A104" s="193" t="s">
        <v>378</v>
      </c>
      <c r="B104" s="193" t="s">
        <v>379</v>
      </c>
      <c r="C104" s="193" t="s">
        <v>214</v>
      </c>
      <c r="D104" s="193" t="s">
        <v>508</v>
      </c>
      <c r="E104" s="193" t="s">
        <v>509</v>
      </c>
      <c r="F104" s="193" t="s">
        <v>567</v>
      </c>
      <c r="G104" s="193" t="s">
        <v>567</v>
      </c>
      <c r="H104" s="193" t="s">
        <v>523</v>
      </c>
      <c r="I104" s="193" t="s">
        <v>512</v>
      </c>
      <c r="J104" s="193" t="s">
        <v>568</v>
      </c>
      <c r="K104" s="193" t="s">
        <v>386</v>
      </c>
      <c r="L104" s="193" t="s">
        <v>387</v>
      </c>
      <c r="M104" s="193" t="s">
        <v>378</v>
      </c>
      <c r="N104" s="193" t="s">
        <v>514</v>
      </c>
      <c r="O104" s="193" t="s">
        <v>129</v>
      </c>
      <c r="P104" s="193" t="s">
        <v>150</v>
      </c>
      <c r="Q104" s="193" t="s">
        <v>149</v>
      </c>
      <c r="R104" s="193" t="s">
        <v>148</v>
      </c>
      <c r="S104" s="193" t="s">
        <v>152</v>
      </c>
      <c r="T104" s="193" t="s">
        <v>389</v>
      </c>
      <c r="U104" s="193" t="s">
        <v>390</v>
      </c>
      <c r="V104" s="193">
        <v>0</v>
      </c>
      <c r="W104" s="193">
        <v>0</v>
      </c>
      <c r="X104" s="193">
        <v>0</v>
      </c>
      <c r="Y104" s="194">
        <v>300</v>
      </c>
      <c r="Z104" s="193" t="s">
        <v>515</v>
      </c>
      <c r="AA104" s="193" t="s">
        <v>516</v>
      </c>
      <c r="AB104" s="193">
        <v>300</v>
      </c>
      <c r="AC104" s="193" t="s">
        <v>517</v>
      </c>
      <c r="AD104" s="193" t="s">
        <v>152</v>
      </c>
      <c r="AE104" s="193">
        <v>300</v>
      </c>
      <c r="AF104" s="193" t="s">
        <v>518</v>
      </c>
      <c r="AG104" s="193" t="s">
        <v>519</v>
      </c>
      <c r="AH104" s="193">
        <v>0</v>
      </c>
      <c r="AI104" s="193">
        <v>300</v>
      </c>
      <c r="AJ104" s="193" t="s">
        <v>569</v>
      </c>
      <c r="AL104" s="197" t="s">
        <v>570</v>
      </c>
      <c r="AM104" s="193">
        <v>1</v>
      </c>
      <c r="AN104" s="193">
        <v>0</v>
      </c>
      <c r="AO104" s="193">
        <v>0</v>
      </c>
      <c r="AP104" s="193">
        <v>0</v>
      </c>
      <c r="AQ104" s="193" t="s">
        <v>214</v>
      </c>
      <c r="AS104" s="197" t="s">
        <v>518</v>
      </c>
      <c r="AT104" s="197" t="s">
        <v>519</v>
      </c>
      <c r="AV104" s="194">
        <v>138</v>
      </c>
      <c r="AW104" s="194">
        <v>0</v>
      </c>
      <c r="AX104" s="194">
        <v>0</v>
      </c>
      <c r="AY104" s="549">
        <v>138</v>
      </c>
      <c r="AZ104" s="194">
        <v>0</v>
      </c>
      <c r="BA104" s="194">
        <v>162</v>
      </c>
      <c r="BB104" s="551">
        <v>162</v>
      </c>
      <c r="BC104" s="551">
        <v>300</v>
      </c>
      <c r="BD104" s="551">
        <v>0</v>
      </c>
      <c r="BF104" s="550">
        <f t="shared" si="38"/>
        <v>138</v>
      </c>
      <c r="BG104" s="550">
        <f t="shared" si="39"/>
        <v>0</v>
      </c>
      <c r="BH104" s="550">
        <f t="shared" si="40"/>
        <v>0</v>
      </c>
      <c r="BI104" s="550">
        <f t="shared" si="41"/>
        <v>138</v>
      </c>
      <c r="BJ104" s="550">
        <f t="shared" si="42"/>
        <v>0</v>
      </c>
      <c r="BK104" s="550">
        <f t="shared" si="47"/>
        <v>162</v>
      </c>
      <c r="BL104" s="550">
        <f t="shared" si="43"/>
        <v>162</v>
      </c>
      <c r="BM104" s="550">
        <f t="shared" si="44"/>
        <v>300</v>
      </c>
      <c r="BO104" s="194"/>
      <c r="BQ104" s="193">
        <f t="shared" si="45"/>
        <v>0</v>
      </c>
      <c r="BR104" s="193">
        <f t="shared" si="46"/>
        <v>0</v>
      </c>
      <c r="BS104" s="193">
        <f t="shared" si="37"/>
        <v>0</v>
      </c>
      <c r="BT104" s="193">
        <f t="shared" si="37"/>
        <v>0</v>
      </c>
    </row>
    <row r="105" spans="1:72" ht="13.5" customHeight="1">
      <c r="A105" s="193" t="s">
        <v>378</v>
      </c>
      <c r="B105" s="193" t="s">
        <v>379</v>
      </c>
      <c r="C105" s="193" t="s">
        <v>214</v>
      </c>
      <c r="D105" s="193" t="s">
        <v>508</v>
      </c>
      <c r="E105" s="193" t="s">
        <v>509</v>
      </c>
      <c r="F105" s="193" t="s">
        <v>559</v>
      </c>
      <c r="G105" s="193" t="s">
        <v>559</v>
      </c>
      <c r="H105" s="193" t="s">
        <v>523</v>
      </c>
      <c r="I105" s="193" t="s">
        <v>512</v>
      </c>
      <c r="J105" s="193" t="s">
        <v>560</v>
      </c>
      <c r="K105" s="193" t="s">
        <v>386</v>
      </c>
      <c r="L105" s="193" t="s">
        <v>387</v>
      </c>
      <c r="M105" s="193" t="s">
        <v>378</v>
      </c>
      <c r="N105" s="193" t="s">
        <v>514</v>
      </c>
      <c r="O105" s="193" t="s">
        <v>129</v>
      </c>
      <c r="P105" s="193" t="s">
        <v>150</v>
      </c>
      <c r="Q105" s="193" t="s">
        <v>149</v>
      </c>
      <c r="R105" s="193" t="s">
        <v>148</v>
      </c>
      <c r="S105" s="193" t="s">
        <v>152</v>
      </c>
      <c r="T105" s="193" t="s">
        <v>389</v>
      </c>
      <c r="U105" s="193" t="s">
        <v>390</v>
      </c>
      <c r="V105" s="193">
        <v>0</v>
      </c>
      <c r="W105" s="193">
        <v>0</v>
      </c>
      <c r="X105" s="193">
        <v>0</v>
      </c>
      <c r="Y105" s="194">
        <v>300</v>
      </c>
      <c r="Z105" s="193" t="s">
        <v>515</v>
      </c>
      <c r="AA105" s="193" t="s">
        <v>516</v>
      </c>
      <c r="AB105" s="193">
        <v>300</v>
      </c>
      <c r="AC105" s="193" t="s">
        <v>517</v>
      </c>
      <c r="AD105" s="193" t="s">
        <v>152</v>
      </c>
      <c r="AE105" s="193">
        <v>300</v>
      </c>
      <c r="AF105" s="193" t="s">
        <v>518</v>
      </c>
      <c r="AG105" s="193" t="s">
        <v>519</v>
      </c>
      <c r="AH105" s="193">
        <v>0</v>
      </c>
      <c r="AI105" s="193">
        <v>300</v>
      </c>
      <c r="AJ105" s="193" t="s">
        <v>561</v>
      </c>
      <c r="AL105" s="197" t="s">
        <v>562</v>
      </c>
      <c r="AM105" s="193">
        <v>1</v>
      </c>
      <c r="AN105" s="193">
        <v>0</v>
      </c>
      <c r="AO105" s="193">
        <v>0</v>
      </c>
      <c r="AP105" s="193">
        <v>0</v>
      </c>
      <c r="AQ105" s="193" t="s">
        <v>214</v>
      </c>
      <c r="AS105" s="197" t="s">
        <v>518</v>
      </c>
      <c r="AT105" s="197" t="s">
        <v>519</v>
      </c>
      <c r="AV105" s="194">
        <v>138</v>
      </c>
      <c r="AW105" s="194">
        <v>0</v>
      </c>
      <c r="AX105" s="194">
        <v>0</v>
      </c>
      <c r="AY105" s="549">
        <v>138</v>
      </c>
      <c r="AZ105" s="194">
        <v>0</v>
      </c>
      <c r="BA105" s="194">
        <v>162</v>
      </c>
      <c r="BB105" s="551">
        <v>162</v>
      </c>
      <c r="BC105" s="551">
        <v>300</v>
      </c>
      <c r="BD105" s="551">
        <v>0</v>
      </c>
      <c r="BF105" s="550">
        <f t="shared" si="38"/>
        <v>138</v>
      </c>
      <c r="BG105" s="550">
        <f t="shared" si="39"/>
        <v>0</v>
      </c>
      <c r="BH105" s="550">
        <f t="shared" si="40"/>
        <v>0</v>
      </c>
      <c r="BI105" s="550">
        <f t="shared" si="41"/>
        <v>138</v>
      </c>
      <c r="BJ105" s="550">
        <f t="shared" si="42"/>
        <v>0</v>
      </c>
      <c r="BK105" s="550">
        <f t="shared" si="47"/>
        <v>162</v>
      </c>
      <c r="BL105" s="550">
        <f t="shared" si="43"/>
        <v>162</v>
      </c>
      <c r="BM105" s="550">
        <f t="shared" si="44"/>
        <v>300</v>
      </c>
      <c r="BO105" s="194"/>
      <c r="BQ105" s="193">
        <f t="shared" si="45"/>
        <v>0</v>
      </c>
      <c r="BR105" s="193">
        <f t="shared" si="46"/>
        <v>0</v>
      </c>
      <c r="BS105" s="193">
        <f t="shared" si="37"/>
        <v>0</v>
      </c>
      <c r="BT105" s="193">
        <f t="shared" si="37"/>
        <v>0</v>
      </c>
    </row>
    <row r="106" spans="1:72" ht="13.5" customHeight="1">
      <c r="A106" s="193" t="s">
        <v>378</v>
      </c>
      <c r="B106" s="193" t="s">
        <v>379</v>
      </c>
      <c r="C106" s="193" t="s">
        <v>214</v>
      </c>
      <c r="D106" s="193" t="s">
        <v>508</v>
      </c>
      <c r="E106" s="193" t="s">
        <v>509</v>
      </c>
      <c r="F106" s="193" t="s">
        <v>563</v>
      </c>
      <c r="G106" s="193" t="s">
        <v>563</v>
      </c>
      <c r="H106" s="193" t="s">
        <v>523</v>
      </c>
      <c r="I106" s="193" t="s">
        <v>512</v>
      </c>
      <c r="J106" s="193" t="s">
        <v>564</v>
      </c>
      <c r="K106" s="193" t="s">
        <v>386</v>
      </c>
      <c r="L106" s="193" t="s">
        <v>387</v>
      </c>
      <c r="M106" s="193" t="s">
        <v>378</v>
      </c>
      <c r="N106" s="193" t="s">
        <v>514</v>
      </c>
      <c r="O106" s="193" t="s">
        <v>129</v>
      </c>
      <c r="P106" s="193" t="s">
        <v>150</v>
      </c>
      <c r="Q106" s="193" t="s">
        <v>149</v>
      </c>
      <c r="R106" s="193" t="s">
        <v>148</v>
      </c>
      <c r="S106" s="193" t="s">
        <v>152</v>
      </c>
      <c r="T106" s="193" t="s">
        <v>389</v>
      </c>
      <c r="U106" s="193" t="s">
        <v>390</v>
      </c>
      <c r="V106" s="193">
        <v>0</v>
      </c>
      <c r="W106" s="193">
        <v>0</v>
      </c>
      <c r="X106" s="193">
        <v>0</v>
      </c>
      <c r="Y106" s="194">
        <v>300</v>
      </c>
      <c r="Z106" s="193" t="s">
        <v>515</v>
      </c>
      <c r="AA106" s="193" t="s">
        <v>516</v>
      </c>
      <c r="AB106" s="193">
        <v>300</v>
      </c>
      <c r="AC106" s="193" t="s">
        <v>517</v>
      </c>
      <c r="AD106" s="193" t="s">
        <v>152</v>
      </c>
      <c r="AE106" s="193">
        <v>300</v>
      </c>
      <c r="AF106" s="193" t="s">
        <v>518</v>
      </c>
      <c r="AG106" s="193" t="s">
        <v>519</v>
      </c>
      <c r="AH106" s="193">
        <v>0</v>
      </c>
      <c r="AI106" s="193">
        <v>300</v>
      </c>
      <c r="AJ106" s="193" t="s">
        <v>565</v>
      </c>
      <c r="AL106" s="197" t="s">
        <v>566</v>
      </c>
      <c r="AM106" s="193">
        <v>1</v>
      </c>
      <c r="AN106" s="193">
        <v>0</v>
      </c>
      <c r="AO106" s="193">
        <v>0</v>
      </c>
      <c r="AP106" s="193">
        <v>0</v>
      </c>
      <c r="AQ106" s="193" t="s">
        <v>214</v>
      </c>
      <c r="AS106" s="197" t="s">
        <v>518</v>
      </c>
      <c r="AT106" s="197" t="s">
        <v>519</v>
      </c>
      <c r="AV106" s="194">
        <v>138</v>
      </c>
      <c r="AW106" s="194">
        <v>0</v>
      </c>
      <c r="AX106" s="194">
        <v>0</v>
      </c>
      <c r="AY106" s="549">
        <v>138</v>
      </c>
      <c r="AZ106" s="194">
        <v>0</v>
      </c>
      <c r="BA106" s="194">
        <v>162</v>
      </c>
      <c r="BB106" s="551">
        <v>162</v>
      </c>
      <c r="BC106" s="551">
        <v>300</v>
      </c>
      <c r="BD106" s="551">
        <v>0</v>
      </c>
      <c r="BF106" s="550">
        <f t="shared" si="38"/>
        <v>138</v>
      </c>
      <c r="BG106" s="550">
        <f t="shared" si="39"/>
        <v>0</v>
      </c>
      <c r="BH106" s="550">
        <f t="shared" si="40"/>
        <v>0</v>
      </c>
      <c r="BI106" s="550">
        <f t="shared" si="41"/>
        <v>138</v>
      </c>
      <c r="BJ106" s="550">
        <f t="shared" si="42"/>
        <v>0</v>
      </c>
      <c r="BK106" s="550">
        <f t="shared" si="47"/>
        <v>162</v>
      </c>
      <c r="BL106" s="550">
        <f t="shared" si="43"/>
        <v>162</v>
      </c>
      <c r="BM106" s="550">
        <f t="shared" si="44"/>
        <v>300</v>
      </c>
      <c r="BO106" s="194"/>
      <c r="BQ106" s="193">
        <f t="shared" si="45"/>
        <v>0</v>
      </c>
      <c r="BR106" s="193">
        <f t="shared" si="46"/>
        <v>0</v>
      </c>
      <c r="BS106" s="193">
        <f t="shared" si="37"/>
        <v>0</v>
      </c>
      <c r="BT106" s="193">
        <f t="shared" si="37"/>
        <v>0</v>
      </c>
    </row>
    <row r="107" spans="1:72" ht="13.5" customHeight="1">
      <c r="A107" s="193" t="s">
        <v>378</v>
      </c>
      <c r="B107" s="193" t="s">
        <v>379</v>
      </c>
      <c r="C107" s="193" t="s">
        <v>214</v>
      </c>
      <c r="D107" s="193" t="s">
        <v>508</v>
      </c>
      <c r="E107" s="193" t="s">
        <v>509</v>
      </c>
      <c r="F107" s="193" t="s">
        <v>615</v>
      </c>
      <c r="G107" s="193" t="s">
        <v>615</v>
      </c>
      <c r="H107" s="193" t="s">
        <v>523</v>
      </c>
      <c r="I107" s="193" t="s">
        <v>512</v>
      </c>
      <c r="J107" s="193" t="s">
        <v>616</v>
      </c>
      <c r="K107" s="193" t="s">
        <v>386</v>
      </c>
      <c r="L107" s="193" t="s">
        <v>387</v>
      </c>
      <c r="M107" s="193" t="s">
        <v>378</v>
      </c>
      <c r="N107" s="193" t="s">
        <v>514</v>
      </c>
      <c r="O107" s="193" t="s">
        <v>129</v>
      </c>
      <c r="P107" s="193" t="s">
        <v>150</v>
      </c>
      <c r="Q107" s="193" t="s">
        <v>149</v>
      </c>
      <c r="R107" s="193" t="s">
        <v>148</v>
      </c>
      <c r="S107" s="193" t="s">
        <v>152</v>
      </c>
      <c r="T107" s="193" t="s">
        <v>389</v>
      </c>
      <c r="U107" s="193" t="s">
        <v>390</v>
      </c>
      <c r="V107" s="193">
        <v>0</v>
      </c>
      <c r="W107" s="193">
        <v>0</v>
      </c>
      <c r="X107" s="193">
        <v>0</v>
      </c>
      <c r="Y107" s="194">
        <v>300</v>
      </c>
      <c r="Z107" s="193" t="s">
        <v>515</v>
      </c>
      <c r="AA107" s="193" t="s">
        <v>516</v>
      </c>
      <c r="AB107" s="193">
        <v>300</v>
      </c>
      <c r="AC107" s="193" t="s">
        <v>517</v>
      </c>
      <c r="AD107" s="193" t="s">
        <v>152</v>
      </c>
      <c r="AE107" s="193">
        <v>300</v>
      </c>
      <c r="AF107" s="193" t="s">
        <v>518</v>
      </c>
      <c r="AG107" s="193" t="s">
        <v>519</v>
      </c>
      <c r="AH107" s="193">
        <v>0</v>
      </c>
      <c r="AI107" s="193">
        <v>300</v>
      </c>
      <c r="AJ107" s="193" t="s">
        <v>617</v>
      </c>
      <c r="AL107" s="197" t="s">
        <v>618</v>
      </c>
      <c r="AM107" s="193">
        <v>1</v>
      </c>
      <c r="AN107" s="193">
        <v>0</v>
      </c>
      <c r="AO107" s="193">
        <v>0</v>
      </c>
      <c r="AP107" s="193">
        <v>0</v>
      </c>
      <c r="AQ107" s="193" t="s">
        <v>214</v>
      </c>
      <c r="AS107" s="197" t="s">
        <v>518</v>
      </c>
      <c r="AT107" s="197" t="s">
        <v>519</v>
      </c>
      <c r="AV107" s="194">
        <v>138</v>
      </c>
      <c r="AW107" s="194">
        <v>0</v>
      </c>
      <c r="AX107" s="194">
        <v>0</v>
      </c>
      <c r="AY107" s="549">
        <v>138</v>
      </c>
      <c r="AZ107" s="194">
        <v>0</v>
      </c>
      <c r="BA107" s="194">
        <v>162</v>
      </c>
      <c r="BB107" s="551">
        <v>162</v>
      </c>
      <c r="BC107" s="551">
        <v>300</v>
      </c>
      <c r="BD107" s="551">
        <v>0</v>
      </c>
      <c r="BF107" s="550">
        <f t="shared" si="38"/>
        <v>138</v>
      </c>
      <c r="BG107" s="550">
        <f t="shared" si="39"/>
        <v>0</v>
      </c>
      <c r="BH107" s="550">
        <f t="shared" si="40"/>
        <v>0</v>
      </c>
      <c r="BI107" s="550">
        <f t="shared" si="41"/>
        <v>138</v>
      </c>
      <c r="BJ107" s="550">
        <f t="shared" si="42"/>
        <v>0</v>
      </c>
      <c r="BK107" s="550">
        <f t="shared" si="47"/>
        <v>162</v>
      </c>
      <c r="BL107" s="550">
        <f t="shared" si="43"/>
        <v>162</v>
      </c>
      <c r="BM107" s="550">
        <f t="shared" si="44"/>
        <v>300</v>
      </c>
      <c r="BO107" s="194"/>
      <c r="BQ107" s="193">
        <f t="shared" si="45"/>
        <v>0</v>
      </c>
      <c r="BR107" s="193">
        <f t="shared" si="46"/>
        <v>0</v>
      </c>
      <c r="BS107" s="193">
        <f t="shared" si="37"/>
        <v>0</v>
      </c>
      <c r="BT107" s="193">
        <f t="shared" si="37"/>
        <v>0</v>
      </c>
    </row>
    <row r="108" spans="1:72" ht="13.5" customHeight="1">
      <c r="A108" s="193" t="s">
        <v>378</v>
      </c>
      <c r="B108" s="193" t="s">
        <v>379</v>
      </c>
      <c r="C108" s="193" t="s">
        <v>214</v>
      </c>
      <c r="D108" s="193" t="s">
        <v>508</v>
      </c>
      <c r="E108" s="193" t="s">
        <v>509</v>
      </c>
      <c r="F108" s="193" t="s">
        <v>607</v>
      </c>
      <c r="G108" s="193" t="s">
        <v>607</v>
      </c>
      <c r="H108" s="193" t="s">
        <v>523</v>
      </c>
      <c r="I108" s="193" t="s">
        <v>512</v>
      </c>
      <c r="J108" s="193" t="s">
        <v>608</v>
      </c>
      <c r="K108" s="193" t="s">
        <v>386</v>
      </c>
      <c r="L108" s="193" t="s">
        <v>387</v>
      </c>
      <c r="M108" s="193" t="s">
        <v>378</v>
      </c>
      <c r="N108" s="193" t="s">
        <v>514</v>
      </c>
      <c r="O108" s="193" t="s">
        <v>129</v>
      </c>
      <c r="P108" s="193" t="s">
        <v>150</v>
      </c>
      <c r="Q108" s="193" t="s">
        <v>149</v>
      </c>
      <c r="R108" s="193" t="s">
        <v>148</v>
      </c>
      <c r="S108" s="193" t="s">
        <v>152</v>
      </c>
      <c r="T108" s="193" t="s">
        <v>389</v>
      </c>
      <c r="U108" s="193" t="s">
        <v>390</v>
      </c>
      <c r="V108" s="193">
        <v>0</v>
      </c>
      <c r="W108" s="193">
        <v>0</v>
      </c>
      <c r="X108" s="193">
        <v>0</v>
      </c>
      <c r="Y108" s="194">
        <v>300</v>
      </c>
      <c r="Z108" s="193" t="s">
        <v>515</v>
      </c>
      <c r="AA108" s="193" t="s">
        <v>516</v>
      </c>
      <c r="AB108" s="193">
        <v>300</v>
      </c>
      <c r="AC108" s="193" t="s">
        <v>517</v>
      </c>
      <c r="AD108" s="193" t="s">
        <v>152</v>
      </c>
      <c r="AE108" s="193">
        <v>300</v>
      </c>
      <c r="AF108" s="193" t="s">
        <v>518</v>
      </c>
      <c r="AG108" s="193" t="s">
        <v>519</v>
      </c>
      <c r="AH108" s="193">
        <v>0</v>
      </c>
      <c r="AI108" s="193">
        <v>300</v>
      </c>
      <c r="AJ108" s="193" t="s">
        <v>609</v>
      </c>
      <c r="AL108" s="197" t="s">
        <v>610</v>
      </c>
      <c r="AM108" s="193">
        <v>1</v>
      </c>
      <c r="AN108" s="193">
        <v>0</v>
      </c>
      <c r="AO108" s="193">
        <v>0</v>
      </c>
      <c r="AP108" s="193">
        <v>0</v>
      </c>
      <c r="AQ108" s="193" t="s">
        <v>214</v>
      </c>
      <c r="AS108" s="197" t="s">
        <v>518</v>
      </c>
      <c r="AT108" s="197" t="s">
        <v>519</v>
      </c>
      <c r="AV108" s="194">
        <v>138</v>
      </c>
      <c r="AW108" s="194">
        <v>0</v>
      </c>
      <c r="AX108" s="194">
        <v>0</v>
      </c>
      <c r="AY108" s="549">
        <v>138</v>
      </c>
      <c r="AZ108" s="194">
        <v>0</v>
      </c>
      <c r="BA108" s="194">
        <v>162</v>
      </c>
      <c r="BB108" s="551">
        <v>162</v>
      </c>
      <c r="BC108" s="551">
        <v>300</v>
      </c>
      <c r="BD108" s="551">
        <v>0</v>
      </c>
      <c r="BF108" s="550">
        <f t="shared" si="38"/>
        <v>138</v>
      </c>
      <c r="BG108" s="550">
        <f t="shared" si="39"/>
        <v>0</v>
      </c>
      <c r="BH108" s="550">
        <f t="shared" si="40"/>
        <v>0</v>
      </c>
      <c r="BI108" s="550">
        <f t="shared" si="41"/>
        <v>138</v>
      </c>
      <c r="BJ108" s="550">
        <f t="shared" si="42"/>
        <v>0</v>
      </c>
      <c r="BK108" s="550">
        <f t="shared" si="47"/>
        <v>162</v>
      </c>
      <c r="BL108" s="550">
        <f t="shared" si="43"/>
        <v>162</v>
      </c>
      <c r="BM108" s="550">
        <f t="shared" si="44"/>
        <v>300</v>
      </c>
      <c r="BO108" s="194"/>
      <c r="BQ108" s="193">
        <f t="shared" si="45"/>
        <v>0</v>
      </c>
      <c r="BR108" s="193">
        <f t="shared" si="46"/>
        <v>0</v>
      </c>
      <c r="BS108" s="193">
        <f t="shared" si="37"/>
        <v>0</v>
      </c>
      <c r="BT108" s="193">
        <f t="shared" si="37"/>
        <v>0</v>
      </c>
    </row>
    <row r="109" spans="1:72" ht="13.5" customHeight="1">
      <c r="A109" s="193" t="s">
        <v>378</v>
      </c>
      <c r="B109" s="193" t="s">
        <v>379</v>
      </c>
      <c r="C109" s="193" t="s">
        <v>214</v>
      </c>
      <c r="D109" s="193" t="s">
        <v>508</v>
      </c>
      <c r="E109" s="193" t="s">
        <v>509</v>
      </c>
      <c r="F109" s="193" t="s">
        <v>579</v>
      </c>
      <c r="G109" s="193" t="s">
        <v>579</v>
      </c>
      <c r="H109" s="193" t="s">
        <v>523</v>
      </c>
      <c r="I109" s="193" t="s">
        <v>512</v>
      </c>
      <c r="J109" s="193" t="s">
        <v>580</v>
      </c>
      <c r="K109" s="193" t="s">
        <v>386</v>
      </c>
      <c r="L109" s="193" t="s">
        <v>387</v>
      </c>
      <c r="M109" s="193" t="s">
        <v>378</v>
      </c>
      <c r="N109" s="193" t="s">
        <v>514</v>
      </c>
      <c r="O109" s="193" t="s">
        <v>129</v>
      </c>
      <c r="P109" s="193" t="s">
        <v>150</v>
      </c>
      <c r="Q109" s="193" t="s">
        <v>149</v>
      </c>
      <c r="R109" s="193" t="s">
        <v>148</v>
      </c>
      <c r="S109" s="193" t="s">
        <v>152</v>
      </c>
      <c r="T109" s="193" t="s">
        <v>389</v>
      </c>
      <c r="U109" s="193" t="s">
        <v>390</v>
      </c>
      <c r="V109" s="193">
        <v>0</v>
      </c>
      <c r="W109" s="193">
        <v>0</v>
      </c>
      <c r="X109" s="193">
        <v>0</v>
      </c>
      <c r="Y109" s="194">
        <v>300</v>
      </c>
      <c r="Z109" s="193" t="s">
        <v>515</v>
      </c>
      <c r="AA109" s="193" t="s">
        <v>516</v>
      </c>
      <c r="AB109" s="193">
        <v>300</v>
      </c>
      <c r="AC109" s="193" t="s">
        <v>517</v>
      </c>
      <c r="AD109" s="193" t="s">
        <v>152</v>
      </c>
      <c r="AE109" s="193">
        <v>300</v>
      </c>
      <c r="AF109" s="193" t="s">
        <v>518</v>
      </c>
      <c r="AG109" s="193" t="s">
        <v>519</v>
      </c>
      <c r="AH109" s="193">
        <v>0</v>
      </c>
      <c r="AI109" s="193">
        <v>300</v>
      </c>
      <c r="AJ109" s="193" t="s">
        <v>581</v>
      </c>
      <c r="AL109" s="197" t="s">
        <v>582</v>
      </c>
      <c r="AM109" s="193">
        <v>1</v>
      </c>
      <c r="AN109" s="193">
        <v>0</v>
      </c>
      <c r="AO109" s="193">
        <v>0</v>
      </c>
      <c r="AP109" s="193">
        <v>0</v>
      </c>
      <c r="AQ109" s="193" t="s">
        <v>214</v>
      </c>
      <c r="AS109" s="197" t="s">
        <v>518</v>
      </c>
      <c r="AT109" s="197" t="s">
        <v>519</v>
      </c>
      <c r="AV109" s="194">
        <v>138</v>
      </c>
      <c r="AW109" s="194">
        <v>0</v>
      </c>
      <c r="AX109" s="194">
        <v>0</v>
      </c>
      <c r="AY109" s="549">
        <v>138</v>
      </c>
      <c r="AZ109" s="194">
        <v>0</v>
      </c>
      <c r="BA109" s="194">
        <v>162</v>
      </c>
      <c r="BB109" s="551">
        <v>162</v>
      </c>
      <c r="BC109" s="551">
        <v>300</v>
      </c>
      <c r="BD109" s="551">
        <v>0</v>
      </c>
      <c r="BF109" s="550">
        <f t="shared" si="38"/>
        <v>138</v>
      </c>
      <c r="BG109" s="550">
        <f t="shared" si="39"/>
        <v>0</v>
      </c>
      <c r="BH109" s="550">
        <f t="shared" si="40"/>
        <v>0</v>
      </c>
      <c r="BI109" s="550">
        <f t="shared" si="41"/>
        <v>138</v>
      </c>
      <c r="BJ109" s="550">
        <f t="shared" si="42"/>
        <v>0</v>
      </c>
      <c r="BK109" s="550">
        <f t="shared" si="47"/>
        <v>162</v>
      </c>
      <c r="BL109" s="550">
        <f t="shared" si="43"/>
        <v>162</v>
      </c>
      <c r="BM109" s="550">
        <f t="shared" si="44"/>
        <v>300</v>
      </c>
      <c r="BO109" s="194"/>
      <c r="BQ109" s="193">
        <f t="shared" si="45"/>
        <v>0</v>
      </c>
      <c r="BR109" s="193">
        <f t="shared" si="46"/>
        <v>0</v>
      </c>
      <c r="BS109" s="193">
        <f t="shared" si="37"/>
        <v>0</v>
      </c>
      <c r="BT109" s="193">
        <f t="shared" si="37"/>
        <v>0</v>
      </c>
    </row>
    <row r="110" spans="1:72" ht="13.5" customHeight="1">
      <c r="A110" s="193" t="s">
        <v>378</v>
      </c>
      <c r="B110" s="193" t="s">
        <v>379</v>
      </c>
      <c r="C110" s="193" t="s">
        <v>214</v>
      </c>
      <c r="D110" s="193" t="s">
        <v>508</v>
      </c>
      <c r="E110" s="193" t="s">
        <v>509</v>
      </c>
      <c r="F110" s="193" t="s">
        <v>583</v>
      </c>
      <c r="G110" s="193" t="s">
        <v>583</v>
      </c>
      <c r="H110" s="193" t="s">
        <v>523</v>
      </c>
      <c r="I110" s="193" t="s">
        <v>512</v>
      </c>
      <c r="J110" s="193" t="s">
        <v>584</v>
      </c>
      <c r="K110" s="193" t="s">
        <v>386</v>
      </c>
      <c r="L110" s="193" t="s">
        <v>387</v>
      </c>
      <c r="M110" s="193" t="s">
        <v>378</v>
      </c>
      <c r="N110" s="193" t="s">
        <v>514</v>
      </c>
      <c r="O110" s="193" t="s">
        <v>129</v>
      </c>
      <c r="P110" s="193" t="s">
        <v>150</v>
      </c>
      <c r="Q110" s="193" t="s">
        <v>149</v>
      </c>
      <c r="R110" s="193" t="s">
        <v>148</v>
      </c>
      <c r="S110" s="193" t="s">
        <v>152</v>
      </c>
      <c r="T110" s="193" t="s">
        <v>389</v>
      </c>
      <c r="U110" s="193" t="s">
        <v>390</v>
      </c>
      <c r="V110" s="193">
        <v>0</v>
      </c>
      <c r="W110" s="193">
        <v>0</v>
      </c>
      <c r="X110" s="193">
        <v>0</v>
      </c>
      <c r="Y110" s="194">
        <v>300</v>
      </c>
      <c r="Z110" s="193" t="s">
        <v>515</v>
      </c>
      <c r="AA110" s="193" t="s">
        <v>516</v>
      </c>
      <c r="AB110" s="193">
        <v>300</v>
      </c>
      <c r="AC110" s="193" t="s">
        <v>517</v>
      </c>
      <c r="AD110" s="193" t="s">
        <v>152</v>
      </c>
      <c r="AE110" s="193">
        <v>300</v>
      </c>
      <c r="AF110" s="193" t="s">
        <v>518</v>
      </c>
      <c r="AG110" s="193" t="s">
        <v>519</v>
      </c>
      <c r="AH110" s="193">
        <v>0</v>
      </c>
      <c r="AI110" s="193">
        <v>300</v>
      </c>
      <c r="AJ110" s="193" t="s">
        <v>585</v>
      </c>
      <c r="AL110" s="197" t="s">
        <v>586</v>
      </c>
      <c r="AM110" s="193">
        <v>1</v>
      </c>
      <c r="AN110" s="193">
        <v>0</v>
      </c>
      <c r="AO110" s="193">
        <v>0</v>
      </c>
      <c r="AP110" s="193">
        <v>0</v>
      </c>
      <c r="AQ110" s="193" t="s">
        <v>214</v>
      </c>
      <c r="AS110" s="197" t="s">
        <v>518</v>
      </c>
      <c r="AT110" s="197" t="s">
        <v>519</v>
      </c>
      <c r="AV110" s="194">
        <v>138</v>
      </c>
      <c r="AW110" s="194">
        <v>0</v>
      </c>
      <c r="AX110" s="194">
        <v>0</v>
      </c>
      <c r="AY110" s="549">
        <v>138</v>
      </c>
      <c r="AZ110" s="194">
        <v>0</v>
      </c>
      <c r="BA110" s="194">
        <v>162</v>
      </c>
      <c r="BB110" s="551">
        <v>162</v>
      </c>
      <c r="BC110" s="551">
        <v>300</v>
      </c>
      <c r="BD110" s="551">
        <v>0</v>
      </c>
      <c r="BF110" s="550">
        <f t="shared" si="38"/>
        <v>138</v>
      </c>
      <c r="BG110" s="550">
        <f t="shared" si="39"/>
        <v>0</v>
      </c>
      <c r="BH110" s="550">
        <f t="shared" si="40"/>
        <v>0</v>
      </c>
      <c r="BI110" s="550">
        <f t="shared" si="41"/>
        <v>138</v>
      </c>
      <c r="BJ110" s="550">
        <f t="shared" si="42"/>
        <v>0</v>
      </c>
      <c r="BK110" s="550">
        <f t="shared" si="47"/>
        <v>162</v>
      </c>
      <c r="BL110" s="550">
        <f t="shared" si="43"/>
        <v>162</v>
      </c>
      <c r="BM110" s="550">
        <f t="shared" si="44"/>
        <v>300</v>
      </c>
      <c r="BO110" s="194"/>
      <c r="BQ110" s="193">
        <f t="shared" si="45"/>
        <v>0</v>
      </c>
      <c r="BR110" s="193">
        <f t="shared" si="46"/>
        <v>0</v>
      </c>
      <c r="BS110" s="193">
        <f t="shared" si="37"/>
        <v>0</v>
      </c>
      <c r="BT110" s="193">
        <f t="shared" si="37"/>
        <v>0</v>
      </c>
    </row>
    <row r="111" spans="1:72" ht="13.5" customHeight="1">
      <c r="A111" s="193" t="s">
        <v>378</v>
      </c>
      <c r="B111" s="193" t="s">
        <v>379</v>
      </c>
      <c r="C111" s="193" t="s">
        <v>214</v>
      </c>
      <c r="D111" s="193" t="s">
        <v>508</v>
      </c>
      <c r="E111" s="193" t="s">
        <v>509</v>
      </c>
      <c r="F111" s="193" t="s">
        <v>583</v>
      </c>
      <c r="G111" s="193" t="s">
        <v>583</v>
      </c>
      <c r="H111" s="193" t="s">
        <v>523</v>
      </c>
      <c r="I111" s="193" t="s">
        <v>512</v>
      </c>
      <c r="J111" s="193" t="s">
        <v>584</v>
      </c>
      <c r="K111" s="193" t="s">
        <v>386</v>
      </c>
      <c r="L111" s="193" t="s">
        <v>531</v>
      </c>
      <c r="M111" s="193" t="s">
        <v>378</v>
      </c>
      <c r="N111" s="193" t="s">
        <v>514</v>
      </c>
      <c r="O111" s="193" t="s">
        <v>129</v>
      </c>
      <c r="P111" s="193" t="s">
        <v>150</v>
      </c>
      <c r="Q111" s="193" t="s">
        <v>149</v>
      </c>
      <c r="R111" s="193" t="s">
        <v>148</v>
      </c>
      <c r="S111" s="193" t="s">
        <v>152</v>
      </c>
      <c r="T111" s="193" t="s">
        <v>389</v>
      </c>
      <c r="U111" s="193" t="s">
        <v>390</v>
      </c>
      <c r="V111" s="193">
        <v>0</v>
      </c>
      <c r="W111" s="193">
        <v>0</v>
      </c>
      <c r="X111" s="193">
        <v>0</v>
      </c>
      <c r="Y111" s="194">
        <v>300</v>
      </c>
      <c r="Z111" s="193" t="s">
        <v>515</v>
      </c>
      <c r="AA111" s="193" t="s">
        <v>516</v>
      </c>
      <c r="AB111" s="193">
        <v>300</v>
      </c>
      <c r="AC111" s="193" t="s">
        <v>517</v>
      </c>
      <c r="AD111" s="193" t="s">
        <v>152</v>
      </c>
      <c r="AE111" s="193">
        <v>300</v>
      </c>
      <c r="AF111" s="193" t="s">
        <v>518</v>
      </c>
      <c r="AG111" s="193" t="s">
        <v>519</v>
      </c>
      <c r="AH111" s="193">
        <v>0</v>
      </c>
      <c r="AI111" s="193">
        <v>300</v>
      </c>
      <c r="AJ111" s="193" t="s">
        <v>587</v>
      </c>
      <c r="AL111" s="197" t="s">
        <v>588</v>
      </c>
      <c r="AM111" s="193">
        <v>1</v>
      </c>
      <c r="AN111" s="193">
        <v>0</v>
      </c>
      <c r="AO111" s="193">
        <v>0</v>
      </c>
      <c r="AP111" s="193">
        <v>0</v>
      </c>
      <c r="AQ111" s="193" t="s">
        <v>214</v>
      </c>
      <c r="AS111" s="197" t="s">
        <v>518</v>
      </c>
      <c r="AT111" s="197" t="s">
        <v>519</v>
      </c>
      <c r="AV111" s="194">
        <v>138</v>
      </c>
      <c r="AW111" s="194">
        <v>0</v>
      </c>
      <c r="AX111" s="194">
        <v>0</v>
      </c>
      <c r="AY111" s="549">
        <v>138</v>
      </c>
      <c r="AZ111" s="194">
        <v>0</v>
      </c>
      <c r="BA111" s="194">
        <v>162</v>
      </c>
      <c r="BB111" s="551">
        <v>162</v>
      </c>
      <c r="BC111" s="551">
        <v>300</v>
      </c>
      <c r="BD111" s="551">
        <v>0</v>
      </c>
      <c r="BF111" s="550">
        <f t="shared" si="38"/>
        <v>138</v>
      </c>
      <c r="BG111" s="550">
        <f t="shared" si="39"/>
        <v>0</v>
      </c>
      <c r="BH111" s="550">
        <f t="shared" si="40"/>
        <v>0</v>
      </c>
      <c r="BI111" s="550">
        <f t="shared" si="41"/>
        <v>138</v>
      </c>
      <c r="BJ111" s="550">
        <f t="shared" si="42"/>
        <v>0</v>
      </c>
      <c r="BK111" s="550">
        <f t="shared" si="47"/>
        <v>162</v>
      </c>
      <c r="BL111" s="550">
        <f t="shared" si="43"/>
        <v>162</v>
      </c>
      <c r="BM111" s="550">
        <f t="shared" si="44"/>
        <v>300</v>
      </c>
      <c r="BO111" s="194"/>
      <c r="BQ111" s="193">
        <f t="shared" si="45"/>
        <v>0</v>
      </c>
      <c r="BR111" s="193">
        <f t="shared" si="46"/>
        <v>0</v>
      </c>
      <c r="BS111" s="193">
        <f t="shared" si="37"/>
        <v>0</v>
      </c>
      <c r="BT111" s="193">
        <f t="shared" si="37"/>
        <v>0</v>
      </c>
    </row>
    <row r="112" spans="1:72" ht="13.5" customHeight="1">
      <c r="A112" s="193" t="s">
        <v>378</v>
      </c>
      <c r="B112" s="193" t="s">
        <v>379</v>
      </c>
      <c r="C112" s="193" t="s">
        <v>214</v>
      </c>
      <c r="D112" s="193" t="s">
        <v>508</v>
      </c>
      <c r="E112" s="193" t="s">
        <v>509</v>
      </c>
      <c r="F112" s="193" t="s">
        <v>593</v>
      </c>
      <c r="G112" s="193" t="s">
        <v>593</v>
      </c>
      <c r="H112" s="193" t="s">
        <v>523</v>
      </c>
      <c r="I112" s="193" t="s">
        <v>512</v>
      </c>
      <c r="J112" s="193" t="s">
        <v>594</v>
      </c>
      <c r="K112" s="193" t="s">
        <v>386</v>
      </c>
      <c r="L112" s="193" t="s">
        <v>387</v>
      </c>
      <c r="M112" s="193" t="s">
        <v>378</v>
      </c>
      <c r="N112" s="193" t="s">
        <v>514</v>
      </c>
      <c r="O112" s="193" t="s">
        <v>129</v>
      </c>
      <c r="P112" s="193" t="s">
        <v>150</v>
      </c>
      <c r="Q112" s="193" t="s">
        <v>149</v>
      </c>
      <c r="R112" s="193" t="s">
        <v>148</v>
      </c>
      <c r="S112" s="193" t="s">
        <v>152</v>
      </c>
      <c r="T112" s="193" t="s">
        <v>389</v>
      </c>
      <c r="U112" s="193" t="s">
        <v>390</v>
      </c>
      <c r="V112" s="193">
        <v>0</v>
      </c>
      <c r="W112" s="193">
        <v>0</v>
      </c>
      <c r="X112" s="193">
        <v>0</v>
      </c>
      <c r="Y112" s="194">
        <v>300</v>
      </c>
      <c r="Z112" s="193" t="s">
        <v>515</v>
      </c>
      <c r="AA112" s="193" t="s">
        <v>516</v>
      </c>
      <c r="AB112" s="193">
        <v>300</v>
      </c>
      <c r="AC112" s="193" t="s">
        <v>517</v>
      </c>
      <c r="AD112" s="193" t="s">
        <v>152</v>
      </c>
      <c r="AE112" s="193">
        <v>300</v>
      </c>
      <c r="AF112" s="193" t="s">
        <v>518</v>
      </c>
      <c r="AG112" s="193" t="s">
        <v>519</v>
      </c>
      <c r="AH112" s="193">
        <v>0</v>
      </c>
      <c r="AI112" s="193">
        <v>300</v>
      </c>
      <c r="AJ112" s="193" t="s">
        <v>595</v>
      </c>
      <c r="AL112" s="197" t="s">
        <v>596</v>
      </c>
      <c r="AM112" s="193">
        <v>1</v>
      </c>
      <c r="AN112" s="193">
        <v>0</v>
      </c>
      <c r="AO112" s="193">
        <v>0</v>
      </c>
      <c r="AP112" s="193">
        <v>0</v>
      </c>
      <c r="AQ112" s="193" t="s">
        <v>214</v>
      </c>
      <c r="AS112" s="197" t="s">
        <v>518</v>
      </c>
      <c r="AT112" s="197" t="s">
        <v>519</v>
      </c>
      <c r="AV112" s="194">
        <v>138</v>
      </c>
      <c r="AW112" s="194">
        <v>0</v>
      </c>
      <c r="AX112" s="194">
        <v>0</v>
      </c>
      <c r="AY112" s="549">
        <v>138</v>
      </c>
      <c r="AZ112" s="194">
        <v>0</v>
      </c>
      <c r="BA112" s="194">
        <v>162</v>
      </c>
      <c r="BB112" s="551">
        <v>162</v>
      </c>
      <c r="BC112" s="551">
        <v>300</v>
      </c>
      <c r="BD112" s="551">
        <v>0</v>
      </c>
      <c r="BF112" s="550">
        <f t="shared" si="38"/>
        <v>138</v>
      </c>
      <c r="BG112" s="550">
        <f t="shared" si="39"/>
        <v>0</v>
      </c>
      <c r="BH112" s="550">
        <f t="shared" si="40"/>
        <v>0</v>
      </c>
      <c r="BI112" s="550">
        <f t="shared" si="41"/>
        <v>138</v>
      </c>
      <c r="BJ112" s="550">
        <f t="shared" si="42"/>
        <v>0</v>
      </c>
      <c r="BK112" s="550">
        <f t="shared" si="47"/>
        <v>162</v>
      </c>
      <c r="BL112" s="550">
        <f t="shared" si="43"/>
        <v>162</v>
      </c>
      <c r="BM112" s="550">
        <f t="shared" si="44"/>
        <v>300</v>
      </c>
      <c r="BO112" s="194"/>
      <c r="BQ112" s="193">
        <f t="shared" si="45"/>
        <v>0</v>
      </c>
      <c r="BR112" s="193">
        <f t="shared" si="46"/>
        <v>0</v>
      </c>
      <c r="BS112" s="193">
        <f t="shared" si="37"/>
        <v>0</v>
      </c>
      <c r="BT112" s="193">
        <f t="shared" si="37"/>
        <v>0</v>
      </c>
    </row>
    <row r="113" spans="1:72" ht="13.5" customHeight="1">
      <c r="A113" s="193" t="s">
        <v>378</v>
      </c>
      <c r="B113" s="193" t="s">
        <v>379</v>
      </c>
      <c r="C113" s="193" t="s">
        <v>214</v>
      </c>
      <c r="D113" s="193" t="s">
        <v>508</v>
      </c>
      <c r="E113" s="193" t="s">
        <v>509</v>
      </c>
      <c r="F113" s="193" t="s">
        <v>597</v>
      </c>
      <c r="G113" s="193" t="s">
        <v>597</v>
      </c>
      <c r="H113" s="193" t="s">
        <v>523</v>
      </c>
      <c r="I113" s="193" t="s">
        <v>512</v>
      </c>
      <c r="J113" s="193" t="s">
        <v>598</v>
      </c>
      <c r="K113" s="193" t="s">
        <v>386</v>
      </c>
      <c r="L113" s="193" t="s">
        <v>387</v>
      </c>
      <c r="M113" s="193" t="s">
        <v>378</v>
      </c>
      <c r="N113" s="193" t="s">
        <v>514</v>
      </c>
      <c r="O113" s="193" t="s">
        <v>129</v>
      </c>
      <c r="P113" s="193" t="s">
        <v>150</v>
      </c>
      <c r="Q113" s="193" t="s">
        <v>149</v>
      </c>
      <c r="R113" s="193" t="s">
        <v>148</v>
      </c>
      <c r="S113" s="193" t="s">
        <v>152</v>
      </c>
      <c r="T113" s="193" t="s">
        <v>389</v>
      </c>
      <c r="U113" s="193" t="s">
        <v>390</v>
      </c>
      <c r="V113" s="193">
        <v>0</v>
      </c>
      <c r="W113" s="193">
        <v>0</v>
      </c>
      <c r="X113" s="193">
        <v>0</v>
      </c>
      <c r="Y113" s="194">
        <v>600</v>
      </c>
      <c r="Z113" s="193" t="s">
        <v>515</v>
      </c>
      <c r="AA113" s="193" t="s">
        <v>516</v>
      </c>
      <c r="AB113" s="193">
        <v>600</v>
      </c>
      <c r="AC113" s="193" t="s">
        <v>517</v>
      </c>
      <c r="AD113" s="193" t="s">
        <v>152</v>
      </c>
      <c r="AE113" s="193">
        <v>600</v>
      </c>
      <c r="AF113" s="193" t="s">
        <v>518</v>
      </c>
      <c r="AG113" s="193" t="s">
        <v>519</v>
      </c>
      <c r="AH113" s="193">
        <v>0</v>
      </c>
      <c r="AI113" s="193">
        <v>600</v>
      </c>
      <c r="AJ113" s="193" t="s">
        <v>599</v>
      </c>
      <c r="AL113" s="197" t="s">
        <v>600</v>
      </c>
      <c r="AM113" s="193">
        <v>1</v>
      </c>
      <c r="AN113" s="193">
        <v>0</v>
      </c>
      <c r="AO113" s="193">
        <v>0</v>
      </c>
      <c r="AP113" s="193">
        <v>0</v>
      </c>
      <c r="AQ113" s="193" t="s">
        <v>214</v>
      </c>
      <c r="AS113" s="197" t="s">
        <v>518</v>
      </c>
      <c r="AT113" s="197" t="s">
        <v>519</v>
      </c>
      <c r="AV113" s="194">
        <v>276</v>
      </c>
      <c r="AW113" s="194">
        <v>0</v>
      </c>
      <c r="AX113" s="194">
        <v>0</v>
      </c>
      <c r="AY113" s="549">
        <v>276</v>
      </c>
      <c r="AZ113" s="194">
        <v>0</v>
      </c>
      <c r="BA113" s="194">
        <v>324</v>
      </c>
      <c r="BB113" s="551">
        <v>324</v>
      </c>
      <c r="BC113" s="551">
        <v>600</v>
      </c>
      <c r="BD113" s="551">
        <v>0</v>
      </c>
      <c r="BF113" s="550">
        <f t="shared" si="38"/>
        <v>276</v>
      </c>
      <c r="BG113" s="550">
        <f t="shared" si="39"/>
        <v>0</v>
      </c>
      <c r="BH113" s="550">
        <f t="shared" si="40"/>
        <v>0</v>
      </c>
      <c r="BI113" s="550">
        <f t="shared" si="41"/>
        <v>276</v>
      </c>
      <c r="BJ113" s="550">
        <f t="shared" si="42"/>
        <v>0</v>
      </c>
      <c r="BK113" s="550">
        <f t="shared" si="47"/>
        <v>324</v>
      </c>
      <c r="BL113" s="550">
        <f t="shared" si="43"/>
        <v>324</v>
      </c>
      <c r="BM113" s="550">
        <f t="shared" si="44"/>
        <v>600</v>
      </c>
      <c r="BO113" s="194"/>
      <c r="BQ113" s="193">
        <f t="shared" si="45"/>
        <v>0</v>
      </c>
      <c r="BR113" s="193">
        <f t="shared" si="46"/>
        <v>0</v>
      </c>
      <c r="BS113" s="193">
        <f t="shared" si="37"/>
        <v>0</v>
      </c>
      <c r="BT113" s="193">
        <f t="shared" si="37"/>
        <v>0</v>
      </c>
    </row>
    <row r="114" spans="1:72" ht="13.5" customHeight="1">
      <c r="A114" s="193" t="s">
        <v>378</v>
      </c>
      <c r="B114" s="193" t="s">
        <v>379</v>
      </c>
      <c r="C114" s="193" t="s">
        <v>214</v>
      </c>
      <c r="D114" s="193" t="s">
        <v>508</v>
      </c>
      <c r="E114" s="193" t="s">
        <v>509</v>
      </c>
      <c r="F114" s="193" t="s">
        <v>601</v>
      </c>
      <c r="G114" s="193" t="s">
        <v>601</v>
      </c>
      <c r="H114" s="193" t="s">
        <v>523</v>
      </c>
      <c r="I114" s="193" t="s">
        <v>512</v>
      </c>
      <c r="J114" s="193" t="s">
        <v>602</v>
      </c>
      <c r="K114" s="193" t="s">
        <v>386</v>
      </c>
      <c r="L114" s="193" t="s">
        <v>387</v>
      </c>
      <c r="M114" s="193" t="s">
        <v>378</v>
      </c>
      <c r="N114" s="193" t="s">
        <v>514</v>
      </c>
      <c r="O114" s="193" t="s">
        <v>129</v>
      </c>
      <c r="P114" s="193" t="s">
        <v>150</v>
      </c>
      <c r="Q114" s="193" t="s">
        <v>149</v>
      </c>
      <c r="R114" s="193" t="s">
        <v>148</v>
      </c>
      <c r="S114" s="193" t="s">
        <v>152</v>
      </c>
      <c r="T114" s="193" t="s">
        <v>389</v>
      </c>
      <c r="U114" s="193" t="s">
        <v>390</v>
      </c>
      <c r="V114" s="193">
        <v>0</v>
      </c>
      <c r="W114" s="193">
        <v>0</v>
      </c>
      <c r="X114" s="193">
        <v>0</v>
      </c>
      <c r="Y114" s="194">
        <v>300</v>
      </c>
      <c r="Z114" s="193" t="s">
        <v>515</v>
      </c>
      <c r="AA114" s="193" t="s">
        <v>516</v>
      </c>
      <c r="AB114" s="193">
        <v>300</v>
      </c>
      <c r="AC114" s="193" t="s">
        <v>517</v>
      </c>
      <c r="AD114" s="193" t="s">
        <v>152</v>
      </c>
      <c r="AE114" s="193">
        <v>300</v>
      </c>
      <c r="AF114" s="193" t="s">
        <v>518</v>
      </c>
      <c r="AG114" s="193" t="s">
        <v>519</v>
      </c>
      <c r="AH114" s="193">
        <v>0</v>
      </c>
      <c r="AI114" s="193">
        <v>300</v>
      </c>
      <c r="AJ114" s="193" t="s">
        <v>603</v>
      </c>
      <c r="AL114" s="197" t="s">
        <v>604</v>
      </c>
      <c r="AM114" s="193">
        <v>1</v>
      </c>
      <c r="AN114" s="193">
        <v>0</v>
      </c>
      <c r="AO114" s="193">
        <v>0</v>
      </c>
      <c r="AP114" s="193">
        <v>0</v>
      </c>
      <c r="AQ114" s="193" t="s">
        <v>214</v>
      </c>
      <c r="AS114" s="197" t="s">
        <v>518</v>
      </c>
      <c r="AT114" s="197" t="s">
        <v>519</v>
      </c>
      <c r="AV114" s="194">
        <v>138</v>
      </c>
      <c r="AW114" s="194">
        <v>0</v>
      </c>
      <c r="AX114" s="194">
        <v>0</v>
      </c>
      <c r="AY114" s="549">
        <v>138</v>
      </c>
      <c r="AZ114" s="194">
        <v>0</v>
      </c>
      <c r="BA114" s="194">
        <v>162</v>
      </c>
      <c r="BB114" s="551">
        <v>162</v>
      </c>
      <c r="BC114" s="551">
        <v>300</v>
      </c>
      <c r="BD114" s="551">
        <v>0</v>
      </c>
      <c r="BF114" s="550">
        <f t="shared" si="38"/>
        <v>138</v>
      </c>
      <c r="BG114" s="550">
        <f t="shared" si="39"/>
        <v>0</v>
      </c>
      <c r="BH114" s="550">
        <f t="shared" si="40"/>
        <v>0</v>
      </c>
      <c r="BI114" s="550">
        <f t="shared" si="41"/>
        <v>138</v>
      </c>
      <c r="BJ114" s="550">
        <f t="shared" si="42"/>
        <v>0</v>
      </c>
      <c r="BK114" s="550">
        <f t="shared" si="47"/>
        <v>162</v>
      </c>
      <c r="BL114" s="550">
        <f t="shared" si="43"/>
        <v>162</v>
      </c>
      <c r="BM114" s="550">
        <f t="shared" si="44"/>
        <v>300</v>
      </c>
      <c r="BO114" s="194"/>
      <c r="BQ114" s="193">
        <f t="shared" si="45"/>
        <v>0</v>
      </c>
      <c r="BR114" s="193">
        <f t="shared" si="46"/>
        <v>0</v>
      </c>
      <c r="BS114" s="193">
        <f t="shared" si="37"/>
        <v>0</v>
      </c>
      <c r="BT114" s="193">
        <f t="shared" si="37"/>
        <v>0</v>
      </c>
    </row>
    <row r="115" spans="1:72" ht="13.5" customHeight="1">
      <c r="A115" s="193" t="s">
        <v>378</v>
      </c>
      <c r="B115" s="193" t="s">
        <v>379</v>
      </c>
      <c r="C115" s="193" t="s">
        <v>214</v>
      </c>
      <c r="D115" s="193" t="s">
        <v>508</v>
      </c>
      <c r="E115" s="193" t="s">
        <v>509</v>
      </c>
      <c r="F115" s="193" t="s">
        <v>601</v>
      </c>
      <c r="G115" s="193" t="s">
        <v>601</v>
      </c>
      <c r="H115" s="193" t="s">
        <v>523</v>
      </c>
      <c r="I115" s="193" t="s">
        <v>512</v>
      </c>
      <c r="J115" s="193" t="s">
        <v>602</v>
      </c>
      <c r="K115" s="193" t="s">
        <v>386</v>
      </c>
      <c r="L115" s="193" t="s">
        <v>531</v>
      </c>
      <c r="M115" s="193" t="s">
        <v>378</v>
      </c>
      <c r="N115" s="193" t="s">
        <v>514</v>
      </c>
      <c r="O115" s="193" t="s">
        <v>129</v>
      </c>
      <c r="P115" s="193" t="s">
        <v>150</v>
      </c>
      <c r="Q115" s="193" t="s">
        <v>149</v>
      </c>
      <c r="R115" s="193" t="s">
        <v>148</v>
      </c>
      <c r="S115" s="193" t="s">
        <v>152</v>
      </c>
      <c r="T115" s="193" t="s">
        <v>389</v>
      </c>
      <c r="U115" s="193" t="s">
        <v>390</v>
      </c>
      <c r="V115" s="193">
        <v>0</v>
      </c>
      <c r="W115" s="193">
        <v>0</v>
      </c>
      <c r="X115" s="193">
        <v>0</v>
      </c>
      <c r="Y115" s="194">
        <v>300</v>
      </c>
      <c r="Z115" s="193" t="s">
        <v>515</v>
      </c>
      <c r="AA115" s="193" t="s">
        <v>516</v>
      </c>
      <c r="AB115" s="193">
        <v>300</v>
      </c>
      <c r="AC115" s="193" t="s">
        <v>517</v>
      </c>
      <c r="AD115" s="193" t="s">
        <v>152</v>
      </c>
      <c r="AE115" s="193">
        <v>300</v>
      </c>
      <c r="AF115" s="193" t="s">
        <v>518</v>
      </c>
      <c r="AG115" s="193" t="s">
        <v>519</v>
      </c>
      <c r="AH115" s="193">
        <v>0</v>
      </c>
      <c r="AI115" s="193">
        <v>300</v>
      </c>
      <c r="AJ115" s="193" t="s">
        <v>605</v>
      </c>
      <c r="AL115" s="197" t="s">
        <v>606</v>
      </c>
      <c r="AM115" s="193">
        <v>1</v>
      </c>
      <c r="AN115" s="193">
        <v>0</v>
      </c>
      <c r="AO115" s="193">
        <v>0</v>
      </c>
      <c r="AP115" s="193">
        <v>0</v>
      </c>
      <c r="AQ115" s="193" t="s">
        <v>214</v>
      </c>
      <c r="AS115" s="197" t="s">
        <v>518</v>
      </c>
      <c r="AT115" s="197" t="s">
        <v>519</v>
      </c>
      <c r="AV115" s="194">
        <v>138</v>
      </c>
      <c r="AW115" s="194">
        <v>0</v>
      </c>
      <c r="AX115" s="194">
        <v>0</v>
      </c>
      <c r="AY115" s="549">
        <v>138</v>
      </c>
      <c r="AZ115" s="194">
        <v>0</v>
      </c>
      <c r="BA115" s="194">
        <v>162</v>
      </c>
      <c r="BB115" s="551">
        <v>162</v>
      </c>
      <c r="BC115" s="551">
        <v>300</v>
      </c>
      <c r="BD115" s="551">
        <v>0</v>
      </c>
      <c r="BF115" s="550">
        <f t="shared" si="38"/>
        <v>138</v>
      </c>
      <c r="BG115" s="550">
        <f t="shared" si="39"/>
        <v>0</v>
      </c>
      <c r="BH115" s="550">
        <f t="shared" si="40"/>
        <v>0</v>
      </c>
      <c r="BI115" s="550">
        <f t="shared" si="41"/>
        <v>138</v>
      </c>
      <c r="BJ115" s="550">
        <f t="shared" si="42"/>
        <v>0</v>
      </c>
      <c r="BK115" s="550">
        <f t="shared" si="47"/>
        <v>162</v>
      </c>
      <c r="BL115" s="550">
        <f t="shared" si="43"/>
        <v>162</v>
      </c>
      <c r="BM115" s="550">
        <f t="shared" si="44"/>
        <v>300</v>
      </c>
      <c r="BO115" s="194"/>
      <c r="BQ115" s="193">
        <f t="shared" si="45"/>
        <v>0</v>
      </c>
      <c r="BR115" s="193">
        <f t="shared" si="46"/>
        <v>0</v>
      </c>
      <c r="BS115" s="193">
        <f t="shared" si="37"/>
        <v>0</v>
      </c>
      <c r="BT115" s="193">
        <f t="shared" si="37"/>
        <v>0</v>
      </c>
    </row>
    <row r="116" spans="1:72" ht="13.5" customHeight="1">
      <c r="A116" s="193" t="s">
        <v>378</v>
      </c>
      <c r="B116" s="193" t="s">
        <v>379</v>
      </c>
      <c r="C116" s="193" t="s">
        <v>214</v>
      </c>
      <c r="D116" s="193" t="s">
        <v>508</v>
      </c>
      <c r="E116" s="193" t="s">
        <v>509</v>
      </c>
      <c r="F116" s="193" t="s">
        <v>611</v>
      </c>
      <c r="G116" s="193" t="s">
        <v>611</v>
      </c>
      <c r="H116" s="193" t="s">
        <v>523</v>
      </c>
      <c r="I116" s="193" t="s">
        <v>512</v>
      </c>
      <c r="J116" s="193" t="s">
        <v>612</v>
      </c>
      <c r="K116" s="193" t="s">
        <v>386</v>
      </c>
      <c r="L116" s="193" t="s">
        <v>387</v>
      </c>
      <c r="M116" s="193" t="s">
        <v>378</v>
      </c>
      <c r="N116" s="193" t="s">
        <v>514</v>
      </c>
      <c r="O116" s="193" t="s">
        <v>129</v>
      </c>
      <c r="P116" s="193" t="s">
        <v>150</v>
      </c>
      <c r="Q116" s="193" t="s">
        <v>149</v>
      </c>
      <c r="R116" s="193" t="s">
        <v>148</v>
      </c>
      <c r="S116" s="193" t="s">
        <v>152</v>
      </c>
      <c r="T116" s="193" t="s">
        <v>389</v>
      </c>
      <c r="U116" s="193" t="s">
        <v>390</v>
      </c>
      <c r="V116" s="193">
        <v>0</v>
      </c>
      <c r="W116" s="193">
        <v>0</v>
      </c>
      <c r="X116" s="193">
        <v>0</v>
      </c>
      <c r="Y116" s="194">
        <v>600</v>
      </c>
      <c r="Z116" s="193" t="s">
        <v>515</v>
      </c>
      <c r="AA116" s="193" t="s">
        <v>516</v>
      </c>
      <c r="AB116" s="193">
        <v>600</v>
      </c>
      <c r="AC116" s="193" t="s">
        <v>517</v>
      </c>
      <c r="AD116" s="193" t="s">
        <v>152</v>
      </c>
      <c r="AE116" s="193">
        <v>600</v>
      </c>
      <c r="AF116" s="193" t="s">
        <v>518</v>
      </c>
      <c r="AG116" s="193" t="s">
        <v>519</v>
      </c>
      <c r="AH116" s="193">
        <v>0</v>
      </c>
      <c r="AI116" s="193">
        <v>600</v>
      </c>
      <c r="AJ116" s="193" t="s">
        <v>613</v>
      </c>
      <c r="AL116" s="197" t="s">
        <v>614</v>
      </c>
      <c r="AM116" s="193">
        <v>1</v>
      </c>
      <c r="AN116" s="193">
        <v>0</v>
      </c>
      <c r="AO116" s="193">
        <v>0</v>
      </c>
      <c r="AP116" s="193">
        <v>0</v>
      </c>
      <c r="AQ116" s="193" t="s">
        <v>214</v>
      </c>
      <c r="AS116" s="197" t="s">
        <v>518</v>
      </c>
      <c r="AT116" s="197" t="s">
        <v>519</v>
      </c>
      <c r="AV116" s="194">
        <v>276</v>
      </c>
      <c r="AW116" s="194">
        <v>0</v>
      </c>
      <c r="AX116" s="194">
        <v>0</v>
      </c>
      <c r="AY116" s="549">
        <v>276</v>
      </c>
      <c r="AZ116" s="194">
        <v>0</v>
      </c>
      <c r="BA116" s="194">
        <v>324</v>
      </c>
      <c r="BB116" s="551">
        <v>324</v>
      </c>
      <c r="BC116" s="551">
        <v>600</v>
      </c>
      <c r="BD116" s="551">
        <v>0</v>
      </c>
      <c r="BF116" s="550">
        <f t="shared" si="38"/>
        <v>276</v>
      </c>
      <c r="BG116" s="550">
        <f t="shared" si="39"/>
        <v>0</v>
      </c>
      <c r="BH116" s="550">
        <f t="shared" si="40"/>
        <v>0</v>
      </c>
      <c r="BI116" s="550">
        <f t="shared" si="41"/>
        <v>276</v>
      </c>
      <c r="BJ116" s="550">
        <f t="shared" si="42"/>
        <v>0</v>
      </c>
      <c r="BK116" s="550">
        <f t="shared" si="47"/>
        <v>324</v>
      </c>
      <c r="BL116" s="550">
        <f t="shared" si="43"/>
        <v>324</v>
      </c>
      <c r="BM116" s="550">
        <f t="shared" si="44"/>
        <v>600</v>
      </c>
      <c r="BO116" s="194"/>
      <c r="BQ116" s="193">
        <f t="shared" si="45"/>
        <v>0</v>
      </c>
      <c r="BR116" s="193">
        <f t="shared" si="46"/>
        <v>0</v>
      </c>
      <c r="BS116" s="193">
        <f t="shared" si="37"/>
        <v>0</v>
      </c>
      <c r="BT116" s="193">
        <f t="shared" si="37"/>
        <v>0</v>
      </c>
    </row>
    <row r="117" spans="1:72" ht="13.5" customHeight="1">
      <c r="A117" s="193" t="s">
        <v>378</v>
      </c>
      <c r="B117" s="193" t="s">
        <v>379</v>
      </c>
      <c r="C117" s="193" t="s">
        <v>214</v>
      </c>
      <c r="D117" s="193" t="s">
        <v>508</v>
      </c>
      <c r="E117" s="193" t="s">
        <v>509</v>
      </c>
      <c r="F117" s="193" t="s">
        <v>527</v>
      </c>
      <c r="G117" s="193" t="s">
        <v>527</v>
      </c>
      <c r="H117" s="193" t="s">
        <v>523</v>
      </c>
      <c r="I117" s="193" t="s">
        <v>512</v>
      </c>
      <c r="J117" s="193" t="s">
        <v>528</v>
      </c>
      <c r="K117" s="193" t="s">
        <v>386</v>
      </c>
      <c r="L117" s="193" t="s">
        <v>387</v>
      </c>
      <c r="M117" s="193" t="s">
        <v>378</v>
      </c>
      <c r="N117" s="193" t="s">
        <v>514</v>
      </c>
      <c r="O117" s="193" t="s">
        <v>129</v>
      </c>
      <c r="P117" s="193" t="s">
        <v>150</v>
      </c>
      <c r="Q117" s="193" t="s">
        <v>149</v>
      </c>
      <c r="R117" s="193" t="s">
        <v>148</v>
      </c>
      <c r="S117" s="193" t="s">
        <v>152</v>
      </c>
      <c r="T117" s="193" t="s">
        <v>389</v>
      </c>
      <c r="U117" s="193" t="s">
        <v>390</v>
      </c>
      <c r="V117" s="193">
        <v>0</v>
      </c>
      <c r="W117" s="193">
        <v>0</v>
      </c>
      <c r="X117" s="193">
        <v>0</v>
      </c>
      <c r="Y117" s="194">
        <v>200</v>
      </c>
      <c r="Z117" s="193" t="s">
        <v>515</v>
      </c>
      <c r="AA117" s="193" t="s">
        <v>516</v>
      </c>
      <c r="AB117" s="193">
        <v>200</v>
      </c>
      <c r="AC117" s="193" t="s">
        <v>517</v>
      </c>
      <c r="AD117" s="193" t="s">
        <v>152</v>
      </c>
      <c r="AE117" s="193">
        <v>200</v>
      </c>
      <c r="AF117" s="193" t="s">
        <v>518</v>
      </c>
      <c r="AG117" s="193" t="s">
        <v>519</v>
      </c>
      <c r="AH117" s="193">
        <v>0</v>
      </c>
      <c r="AI117" s="193">
        <v>200</v>
      </c>
      <c r="AJ117" s="193" t="s">
        <v>529</v>
      </c>
      <c r="AL117" s="197" t="s">
        <v>530</v>
      </c>
      <c r="AM117" s="193">
        <v>1</v>
      </c>
      <c r="AN117" s="193">
        <v>0</v>
      </c>
      <c r="AO117" s="193">
        <v>0</v>
      </c>
      <c r="AP117" s="193">
        <v>0</v>
      </c>
      <c r="AQ117" s="193" t="s">
        <v>214</v>
      </c>
      <c r="AS117" s="197" t="s">
        <v>518</v>
      </c>
      <c r="AT117" s="197" t="s">
        <v>519</v>
      </c>
      <c r="AV117" s="194">
        <v>92</v>
      </c>
      <c r="AW117" s="194">
        <v>0</v>
      </c>
      <c r="AX117" s="194">
        <v>0</v>
      </c>
      <c r="AY117" s="549">
        <v>92</v>
      </c>
      <c r="AZ117" s="194">
        <v>0</v>
      </c>
      <c r="BA117" s="194">
        <v>108</v>
      </c>
      <c r="BB117" s="551">
        <v>108</v>
      </c>
      <c r="BC117" s="551">
        <v>200</v>
      </c>
      <c r="BD117" s="551">
        <v>0</v>
      </c>
      <c r="BF117" s="550">
        <f t="shared" si="38"/>
        <v>92</v>
      </c>
      <c r="BG117" s="550">
        <f t="shared" si="39"/>
        <v>0</v>
      </c>
      <c r="BH117" s="550">
        <f t="shared" si="40"/>
        <v>0</v>
      </c>
      <c r="BI117" s="550">
        <f t="shared" si="41"/>
        <v>92</v>
      </c>
      <c r="BJ117" s="550">
        <f t="shared" si="42"/>
        <v>0</v>
      </c>
      <c r="BK117" s="550">
        <f t="shared" si="47"/>
        <v>108</v>
      </c>
      <c r="BL117" s="550">
        <f t="shared" si="43"/>
        <v>108</v>
      </c>
      <c r="BM117" s="550">
        <f t="shared" si="44"/>
        <v>200</v>
      </c>
      <c r="BO117" s="194"/>
      <c r="BQ117" s="193">
        <f t="shared" si="45"/>
        <v>0</v>
      </c>
      <c r="BR117" s="193">
        <f t="shared" si="46"/>
        <v>0</v>
      </c>
      <c r="BS117" s="193">
        <f t="shared" si="37"/>
        <v>0</v>
      </c>
      <c r="BT117" s="193">
        <f t="shared" si="37"/>
        <v>0</v>
      </c>
    </row>
    <row r="118" spans="1:72" ht="13.5" customHeight="1">
      <c r="A118" s="193" t="s">
        <v>378</v>
      </c>
      <c r="B118" s="193" t="s">
        <v>379</v>
      </c>
      <c r="C118" s="193" t="s">
        <v>214</v>
      </c>
      <c r="D118" s="193" t="s">
        <v>508</v>
      </c>
      <c r="E118" s="193" t="s">
        <v>509</v>
      </c>
      <c r="F118" s="193" t="s">
        <v>527</v>
      </c>
      <c r="G118" s="193" t="s">
        <v>527</v>
      </c>
      <c r="H118" s="193" t="s">
        <v>523</v>
      </c>
      <c r="I118" s="193" t="s">
        <v>512</v>
      </c>
      <c r="J118" s="193" t="s">
        <v>528</v>
      </c>
      <c r="K118" s="193" t="s">
        <v>386</v>
      </c>
      <c r="L118" s="193" t="s">
        <v>531</v>
      </c>
      <c r="M118" s="193" t="s">
        <v>378</v>
      </c>
      <c r="N118" s="193" t="s">
        <v>514</v>
      </c>
      <c r="O118" s="193" t="s">
        <v>129</v>
      </c>
      <c r="P118" s="193" t="s">
        <v>150</v>
      </c>
      <c r="Q118" s="193" t="s">
        <v>149</v>
      </c>
      <c r="R118" s="193" t="s">
        <v>148</v>
      </c>
      <c r="S118" s="193" t="s">
        <v>152</v>
      </c>
      <c r="T118" s="193" t="s">
        <v>389</v>
      </c>
      <c r="U118" s="193" t="s">
        <v>390</v>
      </c>
      <c r="V118" s="193">
        <v>0</v>
      </c>
      <c r="W118" s="193">
        <v>0</v>
      </c>
      <c r="X118" s="193">
        <v>0</v>
      </c>
      <c r="Y118" s="194">
        <v>300</v>
      </c>
      <c r="Z118" s="193" t="s">
        <v>515</v>
      </c>
      <c r="AA118" s="193" t="s">
        <v>516</v>
      </c>
      <c r="AB118" s="193">
        <v>300</v>
      </c>
      <c r="AC118" s="193" t="s">
        <v>517</v>
      </c>
      <c r="AD118" s="193" t="s">
        <v>152</v>
      </c>
      <c r="AE118" s="193">
        <v>300</v>
      </c>
      <c r="AF118" s="193" t="s">
        <v>518</v>
      </c>
      <c r="AG118" s="193" t="s">
        <v>519</v>
      </c>
      <c r="AH118" s="193">
        <v>0</v>
      </c>
      <c r="AI118" s="193">
        <v>300</v>
      </c>
      <c r="AJ118" s="193" t="s">
        <v>532</v>
      </c>
      <c r="AL118" s="197" t="s">
        <v>533</v>
      </c>
      <c r="AM118" s="193">
        <v>1</v>
      </c>
      <c r="AN118" s="193">
        <v>0</v>
      </c>
      <c r="AO118" s="193">
        <v>0</v>
      </c>
      <c r="AP118" s="193">
        <v>0</v>
      </c>
      <c r="AQ118" s="193" t="s">
        <v>214</v>
      </c>
      <c r="AS118" s="197" t="s">
        <v>518</v>
      </c>
      <c r="AT118" s="197" t="s">
        <v>519</v>
      </c>
      <c r="AV118" s="194">
        <v>138</v>
      </c>
      <c r="AW118" s="194">
        <v>0</v>
      </c>
      <c r="AX118" s="194">
        <v>0</v>
      </c>
      <c r="AY118" s="549">
        <v>138</v>
      </c>
      <c r="AZ118" s="194">
        <v>0</v>
      </c>
      <c r="BA118" s="194">
        <v>162</v>
      </c>
      <c r="BB118" s="551">
        <v>162</v>
      </c>
      <c r="BC118" s="551">
        <v>300</v>
      </c>
      <c r="BD118" s="551">
        <v>0</v>
      </c>
      <c r="BF118" s="550">
        <f t="shared" si="38"/>
        <v>138</v>
      </c>
      <c r="BG118" s="550">
        <f t="shared" si="39"/>
        <v>0</v>
      </c>
      <c r="BH118" s="550">
        <f t="shared" si="40"/>
        <v>0</v>
      </c>
      <c r="BI118" s="550">
        <f t="shared" si="41"/>
        <v>138</v>
      </c>
      <c r="BJ118" s="550">
        <f t="shared" si="42"/>
        <v>0</v>
      </c>
      <c r="BK118" s="550">
        <f t="shared" si="47"/>
        <v>162</v>
      </c>
      <c r="BL118" s="550">
        <f t="shared" si="43"/>
        <v>162</v>
      </c>
      <c r="BM118" s="550">
        <f t="shared" si="44"/>
        <v>300</v>
      </c>
      <c r="BO118" s="194"/>
      <c r="BQ118" s="193">
        <f t="shared" si="45"/>
        <v>0</v>
      </c>
      <c r="BR118" s="193">
        <f t="shared" si="46"/>
        <v>0</v>
      </c>
      <c r="BS118" s="193">
        <f t="shared" si="37"/>
        <v>0</v>
      </c>
      <c r="BT118" s="193">
        <f t="shared" si="37"/>
        <v>0</v>
      </c>
    </row>
    <row r="119" spans="1:72" ht="13.5" customHeight="1">
      <c r="A119" s="193" t="s">
        <v>378</v>
      </c>
      <c r="B119" s="193" t="s">
        <v>379</v>
      </c>
      <c r="C119" s="193" t="s">
        <v>214</v>
      </c>
      <c r="D119" s="193" t="s">
        <v>508</v>
      </c>
      <c r="E119" s="193" t="s">
        <v>509</v>
      </c>
      <c r="F119" s="193" t="s">
        <v>522</v>
      </c>
      <c r="G119" s="193" t="s">
        <v>522</v>
      </c>
      <c r="H119" s="193" t="s">
        <v>523</v>
      </c>
      <c r="I119" s="193" t="s">
        <v>512</v>
      </c>
      <c r="J119" s="193" t="s">
        <v>524</v>
      </c>
      <c r="K119" s="193" t="s">
        <v>386</v>
      </c>
      <c r="L119" s="193" t="s">
        <v>387</v>
      </c>
      <c r="M119" s="193" t="s">
        <v>378</v>
      </c>
      <c r="N119" s="193" t="s">
        <v>514</v>
      </c>
      <c r="O119" s="193" t="s">
        <v>129</v>
      </c>
      <c r="P119" s="193" t="s">
        <v>150</v>
      </c>
      <c r="Q119" s="193" t="s">
        <v>149</v>
      </c>
      <c r="R119" s="193" t="s">
        <v>148</v>
      </c>
      <c r="S119" s="193" t="s">
        <v>152</v>
      </c>
      <c r="T119" s="193" t="s">
        <v>389</v>
      </c>
      <c r="U119" s="193" t="s">
        <v>390</v>
      </c>
      <c r="V119" s="193">
        <v>0</v>
      </c>
      <c r="W119" s="193">
        <v>0</v>
      </c>
      <c r="X119" s="193">
        <v>0</v>
      </c>
      <c r="Y119" s="194">
        <v>300</v>
      </c>
      <c r="Z119" s="193" t="s">
        <v>515</v>
      </c>
      <c r="AA119" s="193" t="s">
        <v>516</v>
      </c>
      <c r="AB119" s="193">
        <v>300</v>
      </c>
      <c r="AC119" s="193" t="s">
        <v>517</v>
      </c>
      <c r="AD119" s="193" t="s">
        <v>152</v>
      </c>
      <c r="AE119" s="193">
        <v>300</v>
      </c>
      <c r="AF119" s="193" t="s">
        <v>518</v>
      </c>
      <c r="AG119" s="193" t="s">
        <v>519</v>
      </c>
      <c r="AH119" s="193">
        <v>0</v>
      </c>
      <c r="AI119" s="193">
        <v>300</v>
      </c>
      <c r="AJ119" s="193" t="s">
        <v>525</v>
      </c>
      <c r="AL119" s="197" t="s">
        <v>526</v>
      </c>
      <c r="AM119" s="193">
        <v>1</v>
      </c>
      <c r="AN119" s="193">
        <v>0</v>
      </c>
      <c r="AO119" s="193">
        <v>0</v>
      </c>
      <c r="AP119" s="193">
        <v>0</v>
      </c>
      <c r="AQ119" s="193" t="s">
        <v>214</v>
      </c>
      <c r="AS119" s="197" t="s">
        <v>518</v>
      </c>
      <c r="AT119" s="197" t="s">
        <v>519</v>
      </c>
      <c r="AV119" s="194">
        <v>138</v>
      </c>
      <c r="AW119" s="194">
        <v>0</v>
      </c>
      <c r="AX119" s="194">
        <v>0</v>
      </c>
      <c r="AY119" s="549">
        <v>138</v>
      </c>
      <c r="AZ119" s="194">
        <v>0</v>
      </c>
      <c r="BA119" s="194">
        <v>162</v>
      </c>
      <c r="BB119" s="551">
        <v>162</v>
      </c>
      <c r="BC119" s="551">
        <v>300</v>
      </c>
      <c r="BD119" s="551">
        <v>0</v>
      </c>
      <c r="BF119" s="550">
        <f t="shared" si="38"/>
        <v>138</v>
      </c>
      <c r="BG119" s="550">
        <f t="shared" si="39"/>
        <v>0</v>
      </c>
      <c r="BH119" s="550">
        <f t="shared" si="40"/>
        <v>0</v>
      </c>
      <c r="BI119" s="550">
        <f t="shared" si="41"/>
        <v>138</v>
      </c>
      <c r="BJ119" s="550">
        <f t="shared" si="42"/>
        <v>0</v>
      </c>
      <c r="BK119" s="550">
        <f t="shared" si="47"/>
        <v>162</v>
      </c>
      <c r="BL119" s="550">
        <f t="shared" si="43"/>
        <v>162</v>
      </c>
      <c r="BM119" s="550">
        <f t="shared" si="44"/>
        <v>300</v>
      </c>
      <c r="BO119" s="194"/>
      <c r="BQ119" s="193">
        <f t="shared" si="45"/>
        <v>0</v>
      </c>
      <c r="BR119" s="193">
        <f t="shared" si="46"/>
        <v>0</v>
      </c>
      <c r="BS119" s="193">
        <f t="shared" si="37"/>
        <v>0</v>
      </c>
      <c r="BT119" s="193">
        <f t="shared" si="37"/>
        <v>0</v>
      </c>
    </row>
    <row r="120" spans="1:72" ht="13.5" customHeight="1">
      <c r="A120" s="193" t="s">
        <v>378</v>
      </c>
      <c r="B120" s="193" t="s">
        <v>379</v>
      </c>
      <c r="C120" s="193" t="s">
        <v>214</v>
      </c>
      <c r="D120" s="193" t="s">
        <v>508</v>
      </c>
      <c r="E120" s="193" t="s">
        <v>509</v>
      </c>
      <c r="F120" s="193" t="s">
        <v>589</v>
      </c>
      <c r="G120" s="193" t="s">
        <v>589</v>
      </c>
      <c r="H120" s="193" t="s">
        <v>523</v>
      </c>
      <c r="I120" s="193" t="s">
        <v>512</v>
      </c>
      <c r="J120" s="193" t="s">
        <v>590</v>
      </c>
      <c r="K120" s="193" t="s">
        <v>386</v>
      </c>
      <c r="L120" s="193" t="s">
        <v>387</v>
      </c>
      <c r="M120" s="193" t="s">
        <v>378</v>
      </c>
      <c r="N120" s="193" t="s">
        <v>514</v>
      </c>
      <c r="O120" s="193" t="s">
        <v>129</v>
      </c>
      <c r="P120" s="193" t="s">
        <v>150</v>
      </c>
      <c r="Q120" s="193" t="s">
        <v>149</v>
      </c>
      <c r="R120" s="193" t="s">
        <v>148</v>
      </c>
      <c r="S120" s="193" t="s">
        <v>152</v>
      </c>
      <c r="T120" s="193" t="s">
        <v>389</v>
      </c>
      <c r="U120" s="193" t="s">
        <v>390</v>
      </c>
      <c r="V120" s="193">
        <v>0</v>
      </c>
      <c r="W120" s="193">
        <v>0</v>
      </c>
      <c r="X120" s="193">
        <v>0</v>
      </c>
      <c r="Y120" s="194">
        <v>470</v>
      </c>
      <c r="Z120" s="193" t="s">
        <v>515</v>
      </c>
      <c r="AA120" s="193" t="s">
        <v>516</v>
      </c>
      <c r="AB120" s="193">
        <v>470</v>
      </c>
      <c r="AC120" s="193" t="s">
        <v>517</v>
      </c>
      <c r="AD120" s="193" t="s">
        <v>152</v>
      </c>
      <c r="AE120" s="193">
        <v>470</v>
      </c>
      <c r="AF120" s="193" t="s">
        <v>518</v>
      </c>
      <c r="AG120" s="193" t="s">
        <v>519</v>
      </c>
      <c r="AH120" s="193">
        <v>0</v>
      </c>
      <c r="AI120" s="193">
        <v>470</v>
      </c>
      <c r="AJ120" s="193" t="s">
        <v>591</v>
      </c>
      <c r="AL120" s="197" t="s">
        <v>592</v>
      </c>
      <c r="AM120" s="193">
        <v>1</v>
      </c>
      <c r="AN120" s="193">
        <v>0</v>
      </c>
      <c r="AO120" s="193">
        <v>0</v>
      </c>
      <c r="AP120" s="193">
        <v>0</v>
      </c>
      <c r="AQ120" s="193" t="s">
        <v>214</v>
      </c>
      <c r="AS120" s="197" t="s">
        <v>518</v>
      </c>
      <c r="AT120" s="197" t="s">
        <v>519</v>
      </c>
      <c r="AV120" s="194">
        <v>216</v>
      </c>
      <c r="AW120" s="194">
        <v>0</v>
      </c>
      <c r="AX120" s="194">
        <v>0</v>
      </c>
      <c r="AY120" s="549">
        <v>216</v>
      </c>
      <c r="AZ120" s="194">
        <v>0</v>
      </c>
      <c r="BA120" s="194">
        <v>254</v>
      </c>
      <c r="BB120" s="551">
        <v>254</v>
      </c>
      <c r="BC120" s="551">
        <v>470</v>
      </c>
      <c r="BD120" s="551">
        <v>0</v>
      </c>
      <c r="BF120" s="550">
        <f t="shared" si="38"/>
        <v>216</v>
      </c>
      <c r="BG120" s="550">
        <f t="shared" si="39"/>
        <v>0</v>
      </c>
      <c r="BH120" s="550">
        <f t="shared" si="40"/>
        <v>0</v>
      </c>
      <c r="BI120" s="550">
        <f t="shared" si="41"/>
        <v>216</v>
      </c>
      <c r="BJ120" s="550">
        <f t="shared" si="42"/>
        <v>0</v>
      </c>
      <c r="BK120" s="550">
        <f t="shared" si="47"/>
        <v>254</v>
      </c>
      <c r="BL120" s="550">
        <f t="shared" si="43"/>
        <v>254</v>
      </c>
      <c r="BM120" s="550">
        <f t="shared" si="44"/>
        <v>470</v>
      </c>
      <c r="BO120" s="194"/>
      <c r="BQ120" s="193">
        <f t="shared" si="45"/>
        <v>0</v>
      </c>
      <c r="BR120" s="193">
        <f t="shared" si="46"/>
        <v>0</v>
      </c>
      <c r="BS120" s="193">
        <f t="shared" si="37"/>
        <v>0</v>
      </c>
      <c r="BT120" s="193">
        <f t="shared" si="37"/>
        <v>0</v>
      </c>
    </row>
    <row r="121" spans="1:72" ht="13.5" customHeight="1">
      <c r="A121" s="193" t="s">
        <v>378</v>
      </c>
      <c r="B121" s="193" t="s">
        <v>379</v>
      </c>
      <c r="C121" s="193" t="s">
        <v>214</v>
      </c>
      <c r="D121" s="193" t="s">
        <v>508</v>
      </c>
      <c r="E121" s="193" t="s">
        <v>509</v>
      </c>
      <c r="F121" s="193" t="s">
        <v>538</v>
      </c>
      <c r="G121" s="193" t="s">
        <v>538</v>
      </c>
      <c r="H121" s="193" t="s">
        <v>511</v>
      </c>
      <c r="I121" s="193" t="s">
        <v>512</v>
      </c>
      <c r="J121" s="193" t="s">
        <v>539</v>
      </c>
      <c r="K121" s="193" t="s">
        <v>386</v>
      </c>
      <c r="L121" s="193" t="s">
        <v>387</v>
      </c>
      <c r="M121" s="193" t="s">
        <v>378</v>
      </c>
      <c r="N121" s="193" t="s">
        <v>514</v>
      </c>
      <c r="O121" s="193" t="s">
        <v>129</v>
      </c>
      <c r="P121" s="193" t="s">
        <v>150</v>
      </c>
      <c r="Q121" s="193" t="s">
        <v>149</v>
      </c>
      <c r="R121" s="193" t="s">
        <v>148</v>
      </c>
      <c r="S121" s="193" t="s">
        <v>152</v>
      </c>
      <c r="T121" s="193" t="s">
        <v>389</v>
      </c>
      <c r="U121" s="193" t="s">
        <v>390</v>
      </c>
      <c r="V121" s="193">
        <v>0</v>
      </c>
      <c r="W121" s="193">
        <v>0</v>
      </c>
      <c r="X121" s="193">
        <v>0</v>
      </c>
      <c r="Y121" s="194">
        <v>600</v>
      </c>
      <c r="Z121" s="193" t="s">
        <v>515</v>
      </c>
      <c r="AA121" s="193" t="s">
        <v>516</v>
      </c>
      <c r="AB121" s="193">
        <v>600</v>
      </c>
      <c r="AC121" s="193" t="s">
        <v>517</v>
      </c>
      <c r="AD121" s="193" t="s">
        <v>152</v>
      </c>
      <c r="AE121" s="193">
        <v>600</v>
      </c>
      <c r="AF121" s="193" t="s">
        <v>518</v>
      </c>
      <c r="AG121" s="193" t="s">
        <v>519</v>
      </c>
      <c r="AH121" s="193">
        <v>0</v>
      </c>
      <c r="AI121" s="193">
        <v>600</v>
      </c>
      <c r="AJ121" s="193" t="s">
        <v>540</v>
      </c>
      <c r="AL121" s="197" t="s">
        <v>541</v>
      </c>
      <c r="AM121" s="193">
        <v>1</v>
      </c>
      <c r="AN121" s="193">
        <v>0</v>
      </c>
      <c r="AO121" s="193">
        <v>0</v>
      </c>
      <c r="AP121" s="193">
        <v>0</v>
      </c>
      <c r="AQ121" s="193" t="s">
        <v>214</v>
      </c>
      <c r="AS121" s="197" t="s">
        <v>518</v>
      </c>
      <c r="AT121" s="197" t="s">
        <v>519</v>
      </c>
      <c r="AV121" s="194">
        <v>276</v>
      </c>
      <c r="AW121" s="194">
        <v>0</v>
      </c>
      <c r="AX121" s="194">
        <v>0</v>
      </c>
      <c r="AY121" s="549">
        <v>276</v>
      </c>
      <c r="AZ121" s="194">
        <v>0</v>
      </c>
      <c r="BA121" s="194">
        <v>324</v>
      </c>
      <c r="BB121" s="551">
        <v>324</v>
      </c>
      <c r="BC121" s="551">
        <v>600</v>
      </c>
      <c r="BD121" s="551">
        <v>0</v>
      </c>
      <c r="BF121" s="550">
        <f t="shared" si="38"/>
        <v>276</v>
      </c>
      <c r="BG121" s="550">
        <f t="shared" si="39"/>
        <v>0</v>
      </c>
      <c r="BH121" s="550">
        <f t="shared" si="40"/>
        <v>0</v>
      </c>
      <c r="BI121" s="550">
        <f t="shared" si="41"/>
        <v>276</v>
      </c>
      <c r="BJ121" s="550">
        <f t="shared" si="42"/>
        <v>0</v>
      </c>
      <c r="BK121" s="550">
        <f t="shared" si="47"/>
        <v>324</v>
      </c>
      <c r="BL121" s="550">
        <f t="shared" si="43"/>
        <v>324</v>
      </c>
      <c r="BM121" s="550">
        <f t="shared" si="44"/>
        <v>600</v>
      </c>
      <c r="BO121" s="194"/>
      <c r="BQ121" s="193">
        <f t="shared" si="45"/>
        <v>0</v>
      </c>
      <c r="BR121" s="193">
        <f t="shared" si="46"/>
        <v>0</v>
      </c>
      <c r="BS121" s="193">
        <f t="shared" ref="BS121:BT171" si="48">AZ121*100/(100+$AT121)-BJ121</f>
        <v>0</v>
      </c>
      <c r="BT121" s="193">
        <f t="shared" si="48"/>
        <v>0</v>
      </c>
    </row>
    <row r="122" spans="1:72" ht="13.5" customHeight="1">
      <c r="A122" s="193" t="s">
        <v>378</v>
      </c>
      <c r="B122" s="193" t="s">
        <v>379</v>
      </c>
      <c r="C122" s="193" t="s">
        <v>214</v>
      </c>
      <c r="D122" s="193" t="s">
        <v>508</v>
      </c>
      <c r="E122" s="193" t="s">
        <v>509</v>
      </c>
      <c r="F122" s="193" t="s">
        <v>534</v>
      </c>
      <c r="G122" s="193" t="s">
        <v>534</v>
      </c>
      <c r="H122" s="193" t="s">
        <v>511</v>
      </c>
      <c r="I122" s="193" t="s">
        <v>512</v>
      </c>
      <c r="J122" s="193" t="s">
        <v>535</v>
      </c>
      <c r="K122" s="193" t="s">
        <v>386</v>
      </c>
      <c r="L122" s="193" t="s">
        <v>387</v>
      </c>
      <c r="M122" s="193" t="s">
        <v>378</v>
      </c>
      <c r="N122" s="193" t="s">
        <v>514</v>
      </c>
      <c r="O122" s="193" t="s">
        <v>129</v>
      </c>
      <c r="P122" s="193" t="s">
        <v>150</v>
      </c>
      <c r="Q122" s="193" t="s">
        <v>149</v>
      </c>
      <c r="R122" s="193" t="s">
        <v>148</v>
      </c>
      <c r="S122" s="193" t="s">
        <v>152</v>
      </c>
      <c r="T122" s="193" t="s">
        <v>389</v>
      </c>
      <c r="U122" s="193" t="s">
        <v>390</v>
      </c>
      <c r="V122" s="193">
        <v>0</v>
      </c>
      <c r="W122" s="193">
        <v>0</v>
      </c>
      <c r="X122" s="193">
        <v>0</v>
      </c>
      <c r="Y122" s="194">
        <v>300</v>
      </c>
      <c r="Z122" s="193" t="s">
        <v>515</v>
      </c>
      <c r="AA122" s="193" t="s">
        <v>516</v>
      </c>
      <c r="AB122" s="193">
        <v>300</v>
      </c>
      <c r="AC122" s="193" t="s">
        <v>517</v>
      </c>
      <c r="AD122" s="193" t="s">
        <v>152</v>
      </c>
      <c r="AE122" s="193">
        <v>300</v>
      </c>
      <c r="AF122" s="193" t="s">
        <v>518</v>
      </c>
      <c r="AG122" s="193" t="s">
        <v>519</v>
      </c>
      <c r="AH122" s="193">
        <v>0</v>
      </c>
      <c r="AI122" s="193">
        <v>300</v>
      </c>
      <c r="AJ122" s="193" t="s">
        <v>536</v>
      </c>
      <c r="AL122" s="197" t="s">
        <v>537</v>
      </c>
      <c r="AM122" s="193">
        <v>1</v>
      </c>
      <c r="AN122" s="193">
        <v>0</v>
      </c>
      <c r="AO122" s="193">
        <v>0</v>
      </c>
      <c r="AP122" s="193">
        <v>0</v>
      </c>
      <c r="AQ122" s="193" t="s">
        <v>214</v>
      </c>
      <c r="AS122" s="197" t="s">
        <v>518</v>
      </c>
      <c r="AT122" s="197" t="s">
        <v>519</v>
      </c>
      <c r="AV122" s="194">
        <v>138</v>
      </c>
      <c r="AW122" s="194">
        <v>0</v>
      </c>
      <c r="AX122" s="194">
        <v>0</v>
      </c>
      <c r="AY122" s="549">
        <v>138</v>
      </c>
      <c r="AZ122" s="194">
        <v>0</v>
      </c>
      <c r="BA122" s="194">
        <v>162</v>
      </c>
      <c r="BB122" s="551">
        <v>162</v>
      </c>
      <c r="BC122" s="551">
        <v>300</v>
      </c>
      <c r="BD122" s="551">
        <v>0</v>
      </c>
      <c r="BF122" s="550">
        <f t="shared" si="38"/>
        <v>138</v>
      </c>
      <c r="BG122" s="550">
        <f t="shared" si="39"/>
        <v>0</v>
      </c>
      <c r="BH122" s="550">
        <f t="shared" si="40"/>
        <v>0</v>
      </c>
      <c r="BI122" s="550">
        <f t="shared" si="41"/>
        <v>138</v>
      </c>
      <c r="BJ122" s="550">
        <f t="shared" si="42"/>
        <v>0</v>
      </c>
      <c r="BK122" s="550">
        <f t="shared" si="47"/>
        <v>162</v>
      </c>
      <c r="BL122" s="550">
        <f t="shared" si="43"/>
        <v>162</v>
      </c>
      <c r="BM122" s="550">
        <f t="shared" si="44"/>
        <v>300</v>
      </c>
      <c r="BO122" s="194"/>
      <c r="BQ122" s="193">
        <f t="shared" si="45"/>
        <v>0</v>
      </c>
      <c r="BR122" s="193">
        <f t="shared" si="46"/>
        <v>0</v>
      </c>
      <c r="BS122" s="193">
        <f t="shared" si="48"/>
        <v>0</v>
      </c>
      <c r="BT122" s="193">
        <f t="shared" si="48"/>
        <v>0</v>
      </c>
    </row>
    <row r="123" spans="1:72" ht="13.5" customHeight="1">
      <c r="A123" s="193" t="s">
        <v>378</v>
      </c>
      <c r="B123" s="193" t="s">
        <v>379</v>
      </c>
      <c r="C123" s="193" t="s">
        <v>214</v>
      </c>
      <c r="D123" s="193" t="s">
        <v>508</v>
      </c>
      <c r="E123" s="193" t="s">
        <v>509</v>
      </c>
      <c r="F123" s="193" t="s">
        <v>626</v>
      </c>
      <c r="G123" s="193" t="s">
        <v>626</v>
      </c>
      <c r="H123" s="193" t="s">
        <v>523</v>
      </c>
      <c r="I123" s="193" t="s">
        <v>512</v>
      </c>
      <c r="J123" s="193" t="s">
        <v>627</v>
      </c>
      <c r="K123" s="193" t="s">
        <v>386</v>
      </c>
      <c r="L123" s="193" t="s">
        <v>387</v>
      </c>
      <c r="M123" s="193" t="s">
        <v>378</v>
      </c>
      <c r="N123" s="193" t="s">
        <v>514</v>
      </c>
      <c r="O123" s="193" t="s">
        <v>129</v>
      </c>
      <c r="P123" s="193" t="s">
        <v>150</v>
      </c>
      <c r="Q123" s="193" t="s">
        <v>149</v>
      </c>
      <c r="R123" s="193" t="s">
        <v>148</v>
      </c>
      <c r="S123" s="193" t="s">
        <v>152</v>
      </c>
      <c r="T123" s="193" t="s">
        <v>389</v>
      </c>
      <c r="U123" s="193" t="s">
        <v>390</v>
      </c>
      <c r="V123" s="193">
        <v>0</v>
      </c>
      <c r="W123" s="193">
        <v>0</v>
      </c>
      <c r="X123" s="193">
        <v>0</v>
      </c>
      <c r="Y123" s="194">
        <v>600</v>
      </c>
      <c r="Z123" s="193" t="s">
        <v>515</v>
      </c>
      <c r="AA123" s="193" t="s">
        <v>516</v>
      </c>
      <c r="AB123" s="193">
        <v>600</v>
      </c>
      <c r="AC123" s="193" t="s">
        <v>517</v>
      </c>
      <c r="AD123" s="193" t="s">
        <v>152</v>
      </c>
      <c r="AE123" s="193">
        <v>600</v>
      </c>
      <c r="AF123" s="193" t="s">
        <v>518</v>
      </c>
      <c r="AG123" s="193" t="s">
        <v>519</v>
      </c>
      <c r="AH123" s="193">
        <v>0</v>
      </c>
      <c r="AI123" s="193">
        <v>600</v>
      </c>
      <c r="AJ123" s="193" t="s">
        <v>628</v>
      </c>
      <c r="AL123" s="197" t="s">
        <v>629</v>
      </c>
      <c r="AM123" s="193">
        <v>1</v>
      </c>
      <c r="AN123" s="193">
        <v>0</v>
      </c>
      <c r="AO123" s="193">
        <v>0</v>
      </c>
      <c r="AP123" s="193">
        <v>0</v>
      </c>
      <c r="AQ123" s="193" t="s">
        <v>214</v>
      </c>
      <c r="AS123" s="197" t="s">
        <v>518</v>
      </c>
      <c r="AT123" s="197" t="s">
        <v>519</v>
      </c>
      <c r="AV123" s="194">
        <v>276</v>
      </c>
      <c r="AW123" s="194">
        <v>0</v>
      </c>
      <c r="AX123" s="194">
        <v>0</v>
      </c>
      <c r="AY123" s="549">
        <v>276</v>
      </c>
      <c r="AZ123" s="194">
        <v>0</v>
      </c>
      <c r="BA123" s="194">
        <v>324</v>
      </c>
      <c r="BB123" s="551">
        <v>324</v>
      </c>
      <c r="BC123" s="551">
        <v>600</v>
      </c>
      <c r="BD123" s="551">
        <v>0</v>
      </c>
      <c r="BF123" s="550">
        <f t="shared" si="38"/>
        <v>276</v>
      </c>
      <c r="BG123" s="550">
        <f t="shared" si="39"/>
        <v>0</v>
      </c>
      <c r="BH123" s="550">
        <f t="shared" si="40"/>
        <v>0</v>
      </c>
      <c r="BI123" s="550">
        <f t="shared" si="41"/>
        <v>276</v>
      </c>
      <c r="BJ123" s="550">
        <f t="shared" si="42"/>
        <v>0</v>
      </c>
      <c r="BK123" s="550">
        <f t="shared" si="47"/>
        <v>324</v>
      </c>
      <c r="BL123" s="550">
        <f t="shared" si="43"/>
        <v>324</v>
      </c>
      <c r="BM123" s="550">
        <f t="shared" si="44"/>
        <v>600</v>
      </c>
      <c r="BO123" s="194"/>
      <c r="BQ123" s="193">
        <f t="shared" si="45"/>
        <v>0</v>
      </c>
      <c r="BR123" s="193">
        <f t="shared" si="46"/>
        <v>0</v>
      </c>
      <c r="BS123" s="193">
        <f t="shared" si="48"/>
        <v>0</v>
      </c>
      <c r="BT123" s="193">
        <f t="shared" si="48"/>
        <v>0</v>
      </c>
    </row>
    <row r="124" spans="1:72" ht="13.5" customHeight="1">
      <c r="A124" s="193" t="s">
        <v>378</v>
      </c>
      <c r="B124" s="193" t="s">
        <v>379</v>
      </c>
      <c r="C124" s="193" t="s">
        <v>214</v>
      </c>
      <c r="D124" s="193" t="s">
        <v>508</v>
      </c>
      <c r="E124" s="193" t="s">
        <v>509</v>
      </c>
      <c r="F124" s="193" t="s">
        <v>626</v>
      </c>
      <c r="G124" s="193" t="s">
        <v>626</v>
      </c>
      <c r="H124" s="193" t="s">
        <v>523</v>
      </c>
      <c r="I124" s="193" t="s">
        <v>512</v>
      </c>
      <c r="J124" s="193" t="s">
        <v>627</v>
      </c>
      <c r="K124" s="193" t="s">
        <v>386</v>
      </c>
      <c r="L124" s="193" t="s">
        <v>531</v>
      </c>
      <c r="M124" s="193" t="s">
        <v>378</v>
      </c>
      <c r="N124" s="193" t="s">
        <v>514</v>
      </c>
      <c r="O124" s="193" t="s">
        <v>129</v>
      </c>
      <c r="P124" s="193" t="s">
        <v>150</v>
      </c>
      <c r="Q124" s="193" t="s">
        <v>149</v>
      </c>
      <c r="R124" s="193" t="s">
        <v>148</v>
      </c>
      <c r="S124" s="193" t="s">
        <v>152</v>
      </c>
      <c r="T124" s="193" t="s">
        <v>389</v>
      </c>
      <c r="U124" s="193" t="s">
        <v>390</v>
      </c>
      <c r="V124" s="193">
        <v>0</v>
      </c>
      <c r="W124" s="193">
        <v>0</v>
      </c>
      <c r="X124" s="193">
        <v>0</v>
      </c>
      <c r="Y124" s="194">
        <v>600</v>
      </c>
      <c r="Z124" s="193" t="s">
        <v>515</v>
      </c>
      <c r="AA124" s="193" t="s">
        <v>516</v>
      </c>
      <c r="AB124" s="193">
        <v>600</v>
      </c>
      <c r="AC124" s="193" t="s">
        <v>517</v>
      </c>
      <c r="AD124" s="193" t="s">
        <v>152</v>
      </c>
      <c r="AE124" s="193">
        <v>600</v>
      </c>
      <c r="AF124" s="193" t="s">
        <v>518</v>
      </c>
      <c r="AG124" s="193" t="s">
        <v>519</v>
      </c>
      <c r="AH124" s="193">
        <v>0</v>
      </c>
      <c r="AI124" s="193">
        <v>600</v>
      </c>
      <c r="AJ124" s="193" t="s">
        <v>630</v>
      </c>
      <c r="AL124" s="197" t="s">
        <v>631</v>
      </c>
      <c r="AM124" s="193">
        <v>1</v>
      </c>
      <c r="AN124" s="193">
        <v>0</v>
      </c>
      <c r="AO124" s="193">
        <v>0</v>
      </c>
      <c r="AP124" s="193">
        <v>0</v>
      </c>
      <c r="AQ124" s="193" t="s">
        <v>214</v>
      </c>
      <c r="AS124" s="197" t="s">
        <v>518</v>
      </c>
      <c r="AT124" s="197" t="s">
        <v>519</v>
      </c>
      <c r="AV124" s="194">
        <v>276</v>
      </c>
      <c r="AW124" s="194">
        <v>0</v>
      </c>
      <c r="AX124" s="194">
        <v>0</v>
      </c>
      <c r="AY124" s="549">
        <v>276</v>
      </c>
      <c r="AZ124" s="194">
        <v>0</v>
      </c>
      <c r="BA124" s="194">
        <v>324</v>
      </c>
      <c r="BB124" s="551">
        <v>324</v>
      </c>
      <c r="BC124" s="551">
        <v>600</v>
      </c>
      <c r="BD124" s="551">
        <v>0</v>
      </c>
      <c r="BF124" s="550">
        <f t="shared" si="38"/>
        <v>276</v>
      </c>
      <c r="BG124" s="550">
        <f t="shared" si="39"/>
        <v>0</v>
      </c>
      <c r="BH124" s="550">
        <f t="shared" si="40"/>
        <v>0</v>
      </c>
      <c r="BI124" s="550">
        <f t="shared" si="41"/>
        <v>276</v>
      </c>
      <c r="BJ124" s="550">
        <f t="shared" si="42"/>
        <v>0</v>
      </c>
      <c r="BK124" s="550">
        <f t="shared" si="47"/>
        <v>324</v>
      </c>
      <c r="BL124" s="550">
        <f t="shared" si="43"/>
        <v>324</v>
      </c>
      <c r="BM124" s="550">
        <f t="shared" si="44"/>
        <v>600</v>
      </c>
      <c r="BO124" s="194"/>
      <c r="BQ124" s="193">
        <f t="shared" si="45"/>
        <v>0</v>
      </c>
      <c r="BR124" s="193">
        <f t="shared" si="46"/>
        <v>0</v>
      </c>
      <c r="BS124" s="193">
        <f t="shared" si="48"/>
        <v>0</v>
      </c>
      <c r="BT124" s="193">
        <f t="shared" si="48"/>
        <v>0</v>
      </c>
    </row>
    <row r="125" spans="1:72" ht="13.5" customHeight="1">
      <c r="A125" s="193" t="s">
        <v>378</v>
      </c>
      <c r="B125" s="193" t="s">
        <v>379</v>
      </c>
      <c r="C125" s="193" t="s">
        <v>214</v>
      </c>
      <c r="D125" s="193" t="s">
        <v>508</v>
      </c>
      <c r="E125" s="193" t="s">
        <v>509</v>
      </c>
      <c r="F125" s="193" t="s">
        <v>382</v>
      </c>
      <c r="G125" s="193" t="s">
        <v>382</v>
      </c>
      <c r="H125" s="193" t="s">
        <v>523</v>
      </c>
      <c r="I125" s="193" t="s">
        <v>512</v>
      </c>
      <c r="J125" s="193" t="s">
        <v>619</v>
      </c>
      <c r="K125" s="193" t="s">
        <v>386</v>
      </c>
      <c r="L125" s="193" t="s">
        <v>387</v>
      </c>
      <c r="M125" s="193" t="s">
        <v>378</v>
      </c>
      <c r="N125" s="193" t="s">
        <v>514</v>
      </c>
      <c r="O125" s="193" t="s">
        <v>129</v>
      </c>
      <c r="P125" s="193" t="s">
        <v>150</v>
      </c>
      <c r="Q125" s="193" t="s">
        <v>149</v>
      </c>
      <c r="R125" s="193" t="s">
        <v>148</v>
      </c>
      <c r="S125" s="193" t="s">
        <v>152</v>
      </c>
      <c r="T125" s="193" t="s">
        <v>389</v>
      </c>
      <c r="U125" s="193" t="s">
        <v>390</v>
      </c>
      <c r="V125" s="193">
        <v>0</v>
      </c>
      <c r="W125" s="193">
        <v>0</v>
      </c>
      <c r="X125" s="193">
        <v>0</v>
      </c>
      <c r="Y125" s="194">
        <v>300</v>
      </c>
      <c r="Z125" s="193" t="s">
        <v>515</v>
      </c>
      <c r="AA125" s="193" t="s">
        <v>516</v>
      </c>
      <c r="AB125" s="193">
        <v>300</v>
      </c>
      <c r="AC125" s="193" t="s">
        <v>517</v>
      </c>
      <c r="AD125" s="193" t="s">
        <v>152</v>
      </c>
      <c r="AE125" s="193">
        <v>300</v>
      </c>
      <c r="AF125" s="193" t="s">
        <v>518</v>
      </c>
      <c r="AG125" s="193" t="s">
        <v>519</v>
      </c>
      <c r="AH125" s="193">
        <v>0</v>
      </c>
      <c r="AI125" s="193">
        <v>300</v>
      </c>
      <c r="AJ125" s="193" t="s">
        <v>620</v>
      </c>
      <c r="AL125" s="197" t="s">
        <v>621</v>
      </c>
      <c r="AM125" s="193">
        <v>1</v>
      </c>
      <c r="AN125" s="193">
        <v>0</v>
      </c>
      <c r="AO125" s="193">
        <v>0</v>
      </c>
      <c r="AP125" s="193">
        <v>0</v>
      </c>
      <c r="AQ125" s="193" t="s">
        <v>214</v>
      </c>
      <c r="AS125" s="197" t="s">
        <v>518</v>
      </c>
      <c r="AT125" s="197" t="s">
        <v>519</v>
      </c>
      <c r="AV125" s="194">
        <v>138</v>
      </c>
      <c r="AW125" s="194">
        <v>0</v>
      </c>
      <c r="AX125" s="194">
        <v>0</v>
      </c>
      <c r="AY125" s="549">
        <v>138</v>
      </c>
      <c r="AZ125" s="194">
        <v>0</v>
      </c>
      <c r="BA125" s="194">
        <v>162</v>
      </c>
      <c r="BB125" s="551">
        <v>162</v>
      </c>
      <c r="BC125" s="551">
        <v>300</v>
      </c>
      <c r="BD125" s="551">
        <v>0</v>
      </c>
      <c r="BF125" s="550">
        <f t="shared" si="38"/>
        <v>138</v>
      </c>
      <c r="BG125" s="550">
        <f t="shared" si="39"/>
        <v>0</v>
      </c>
      <c r="BH125" s="550">
        <f t="shared" si="40"/>
        <v>0</v>
      </c>
      <c r="BI125" s="550">
        <f t="shared" si="41"/>
        <v>138</v>
      </c>
      <c r="BJ125" s="550">
        <f t="shared" si="42"/>
        <v>0</v>
      </c>
      <c r="BK125" s="550">
        <f t="shared" si="47"/>
        <v>162</v>
      </c>
      <c r="BL125" s="550">
        <f t="shared" si="43"/>
        <v>162</v>
      </c>
      <c r="BM125" s="550">
        <f t="shared" si="44"/>
        <v>300</v>
      </c>
      <c r="BO125" s="194"/>
      <c r="BQ125" s="193">
        <f t="shared" si="45"/>
        <v>0</v>
      </c>
      <c r="BR125" s="193">
        <f t="shared" si="46"/>
        <v>0</v>
      </c>
      <c r="BS125" s="193">
        <f t="shared" si="48"/>
        <v>0</v>
      </c>
      <c r="BT125" s="193">
        <f t="shared" si="48"/>
        <v>0</v>
      </c>
    </row>
    <row r="126" spans="1:72" ht="13.5" customHeight="1">
      <c r="A126" s="193" t="s">
        <v>378</v>
      </c>
      <c r="B126" s="193" t="s">
        <v>379</v>
      </c>
      <c r="C126" s="193" t="s">
        <v>214</v>
      </c>
      <c r="D126" s="193" t="s">
        <v>508</v>
      </c>
      <c r="E126" s="193" t="s">
        <v>509</v>
      </c>
      <c r="F126" s="193" t="s">
        <v>571</v>
      </c>
      <c r="G126" s="193" t="s">
        <v>571</v>
      </c>
      <c r="H126" s="193" t="s">
        <v>523</v>
      </c>
      <c r="I126" s="193" t="s">
        <v>512</v>
      </c>
      <c r="J126" s="193" t="s">
        <v>572</v>
      </c>
      <c r="K126" s="193" t="s">
        <v>386</v>
      </c>
      <c r="L126" s="193" t="s">
        <v>387</v>
      </c>
      <c r="M126" s="193" t="s">
        <v>378</v>
      </c>
      <c r="N126" s="193" t="s">
        <v>514</v>
      </c>
      <c r="O126" s="193" t="s">
        <v>129</v>
      </c>
      <c r="P126" s="193" t="s">
        <v>150</v>
      </c>
      <c r="Q126" s="193" t="s">
        <v>149</v>
      </c>
      <c r="R126" s="193" t="s">
        <v>148</v>
      </c>
      <c r="S126" s="193" t="s">
        <v>152</v>
      </c>
      <c r="T126" s="193" t="s">
        <v>389</v>
      </c>
      <c r="U126" s="193" t="s">
        <v>390</v>
      </c>
      <c r="V126" s="193">
        <v>0</v>
      </c>
      <c r="W126" s="193">
        <v>0</v>
      </c>
      <c r="X126" s="193">
        <v>0</v>
      </c>
      <c r="Y126" s="194">
        <v>300</v>
      </c>
      <c r="Z126" s="193" t="s">
        <v>515</v>
      </c>
      <c r="AA126" s="193" t="s">
        <v>516</v>
      </c>
      <c r="AB126" s="193">
        <v>300</v>
      </c>
      <c r="AC126" s="193" t="s">
        <v>517</v>
      </c>
      <c r="AD126" s="193" t="s">
        <v>152</v>
      </c>
      <c r="AE126" s="193">
        <v>300</v>
      </c>
      <c r="AF126" s="193" t="s">
        <v>518</v>
      </c>
      <c r="AG126" s="193" t="s">
        <v>519</v>
      </c>
      <c r="AH126" s="193">
        <v>0</v>
      </c>
      <c r="AI126" s="193">
        <v>300</v>
      </c>
      <c r="AJ126" s="193" t="s">
        <v>573</v>
      </c>
      <c r="AL126" s="197" t="s">
        <v>574</v>
      </c>
      <c r="AM126" s="193">
        <v>1</v>
      </c>
      <c r="AN126" s="193">
        <v>0</v>
      </c>
      <c r="AO126" s="193">
        <v>0</v>
      </c>
      <c r="AP126" s="193">
        <v>0</v>
      </c>
      <c r="AQ126" s="193" t="s">
        <v>214</v>
      </c>
      <c r="AS126" s="197" t="s">
        <v>518</v>
      </c>
      <c r="AT126" s="197" t="s">
        <v>519</v>
      </c>
      <c r="AV126" s="194">
        <v>138</v>
      </c>
      <c r="AW126" s="194">
        <v>0</v>
      </c>
      <c r="AX126" s="194">
        <v>0</v>
      </c>
      <c r="AY126" s="549">
        <v>138</v>
      </c>
      <c r="AZ126" s="194">
        <v>0</v>
      </c>
      <c r="BA126" s="194">
        <v>162</v>
      </c>
      <c r="BB126" s="551">
        <v>162</v>
      </c>
      <c r="BC126" s="551">
        <v>300</v>
      </c>
      <c r="BD126" s="551">
        <v>0</v>
      </c>
      <c r="BF126" s="550">
        <f t="shared" si="38"/>
        <v>138</v>
      </c>
      <c r="BG126" s="550">
        <f t="shared" si="39"/>
        <v>0</v>
      </c>
      <c r="BH126" s="550">
        <f t="shared" si="40"/>
        <v>0</v>
      </c>
      <c r="BI126" s="550">
        <f t="shared" si="41"/>
        <v>138</v>
      </c>
      <c r="BJ126" s="550">
        <f t="shared" si="42"/>
        <v>0</v>
      </c>
      <c r="BK126" s="550">
        <f t="shared" si="47"/>
        <v>162</v>
      </c>
      <c r="BL126" s="550">
        <f t="shared" si="43"/>
        <v>162</v>
      </c>
      <c r="BM126" s="550">
        <f t="shared" si="44"/>
        <v>300</v>
      </c>
      <c r="BO126" s="194"/>
      <c r="BQ126" s="193">
        <f t="shared" si="45"/>
        <v>0</v>
      </c>
      <c r="BR126" s="193">
        <f t="shared" si="46"/>
        <v>0</v>
      </c>
      <c r="BS126" s="193">
        <f t="shared" si="48"/>
        <v>0</v>
      </c>
      <c r="BT126" s="193">
        <f t="shared" si="48"/>
        <v>0</v>
      </c>
    </row>
    <row r="127" spans="1:72" ht="13.5" customHeight="1">
      <c r="A127" s="193" t="s">
        <v>378</v>
      </c>
      <c r="B127" s="193" t="s">
        <v>379</v>
      </c>
      <c r="C127" s="193" t="s">
        <v>214</v>
      </c>
      <c r="D127" s="193" t="s">
        <v>508</v>
      </c>
      <c r="E127" s="193" t="s">
        <v>509</v>
      </c>
      <c r="F127" s="193" t="s">
        <v>575</v>
      </c>
      <c r="G127" s="193" t="s">
        <v>575</v>
      </c>
      <c r="H127" s="193" t="s">
        <v>523</v>
      </c>
      <c r="I127" s="193" t="s">
        <v>512</v>
      </c>
      <c r="J127" s="193" t="s">
        <v>576</v>
      </c>
      <c r="K127" s="193" t="s">
        <v>386</v>
      </c>
      <c r="L127" s="193" t="s">
        <v>387</v>
      </c>
      <c r="M127" s="193" t="s">
        <v>378</v>
      </c>
      <c r="N127" s="193" t="s">
        <v>514</v>
      </c>
      <c r="O127" s="193" t="s">
        <v>129</v>
      </c>
      <c r="P127" s="193" t="s">
        <v>150</v>
      </c>
      <c r="Q127" s="193" t="s">
        <v>149</v>
      </c>
      <c r="R127" s="193" t="s">
        <v>148</v>
      </c>
      <c r="S127" s="193" t="s">
        <v>152</v>
      </c>
      <c r="T127" s="193" t="s">
        <v>389</v>
      </c>
      <c r="U127" s="193" t="s">
        <v>390</v>
      </c>
      <c r="V127" s="193">
        <v>0</v>
      </c>
      <c r="W127" s="193">
        <v>0</v>
      </c>
      <c r="X127" s="193">
        <v>0</v>
      </c>
      <c r="Y127" s="194">
        <v>300</v>
      </c>
      <c r="Z127" s="193" t="s">
        <v>515</v>
      </c>
      <c r="AA127" s="193" t="s">
        <v>516</v>
      </c>
      <c r="AB127" s="193">
        <v>300</v>
      </c>
      <c r="AC127" s="193" t="s">
        <v>517</v>
      </c>
      <c r="AD127" s="193" t="s">
        <v>152</v>
      </c>
      <c r="AE127" s="193">
        <v>300</v>
      </c>
      <c r="AF127" s="193" t="s">
        <v>518</v>
      </c>
      <c r="AG127" s="193" t="s">
        <v>519</v>
      </c>
      <c r="AH127" s="193">
        <v>0</v>
      </c>
      <c r="AI127" s="193">
        <v>300</v>
      </c>
      <c r="AJ127" s="193" t="s">
        <v>577</v>
      </c>
      <c r="AL127" s="197" t="s">
        <v>578</v>
      </c>
      <c r="AM127" s="193">
        <v>1</v>
      </c>
      <c r="AN127" s="193">
        <v>0</v>
      </c>
      <c r="AO127" s="193">
        <v>0</v>
      </c>
      <c r="AP127" s="193">
        <v>0</v>
      </c>
      <c r="AQ127" s="193" t="s">
        <v>214</v>
      </c>
      <c r="AS127" s="197" t="s">
        <v>518</v>
      </c>
      <c r="AT127" s="197" t="s">
        <v>519</v>
      </c>
      <c r="AV127" s="194">
        <v>138</v>
      </c>
      <c r="AW127" s="194">
        <v>0</v>
      </c>
      <c r="AX127" s="194">
        <v>0</v>
      </c>
      <c r="AY127" s="549">
        <v>138</v>
      </c>
      <c r="AZ127" s="194">
        <v>0</v>
      </c>
      <c r="BA127" s="194">
        <v>162</v>
      </c>
      <c r="BB127" s="551">
        <v>162</v>
      </c>
      <c r="BC127" s="551">
        <v>300</v>
      </c>
      <c r="BD127" s="551">
        <v>0</v>
      </c>
      <c r="BF127" s="550">
        <f t="shared" si="38"/>
        <v>138</v>
      </c>
      <c r="BG127" s="550">
        <f t="shared" si="39"/>
        <v>0</v>
      </c>
      <c r="BH127" s="550">
        <f t="shared" si="40"/>
        <v>0</v>
      </c>
      <c r="BI127" s="550">
        <f t="shared" si="41"/>
        <v>138</v>
      </c>
      <c r="BJ127" s="550">
        <f t="shared" si="42"/>
        <v>0</v>
      </c>
      <c r="BK127" s="550">
        <f t="shared" si="47"/>
        <v>162</v>
      </c>
      <c r="BL127" s="550">
        <f t="shared" si="43"/>
        <v>162</v>
      </c>
      <c r="BM127" s="550">
        <f t="shared" si="44"/>
        <v>300</v>
      </c>
      <c r="BO127" s="194"/>
      <c r="BQ127" s="193">
        <f t="shared" si="45"/>
        <v>0</v>
      </c>
      <c r="BR127" s="193">
        <f t="shared" si="46"/>
        <v>0</v>
      </c>
      <c r="BS127" s="193">
        <f t="shared" si="48"/>
        <v>0</v>
      </c>
      <c r="BT127" s="193">
        <f t="shared" si="48"/>
        <v>0</v>
      </c>
    </row>
    <row r="128" spans="1:72" ht="13.5" customHeight="1">
      <c r="A128" s="193" t="s">
        <v>378</v>
      </c>
      <c r="B128" s="193" t="s">
        <v>379</v>
      </c>
      <c r="C128" s="193" t="s">
        <v>214</v>
      </c>
      <c r="D128" s="193" t="s">
        <v>508</v>
      </c>
      <c r="E128" s="193" t="s">
        <v>509</v>
      </c>
      <c r="F128" s="193" t="s">
        <v>622</v>
      </c>
      <c r="G128" s="193" t="s">
        <v>622</v>
      </c>
      <c r="H128" s="193" t="s">
        <v>523</v>
      </c>
      <c r="I128" s="193" t="s">
        <v>512</v>
      </c>
      <c r="J128" s="193" t="s">
        <v>623</v>
      </c>
      <c r="K128" s="193" t="s">
        <v>386</v>
      </c>
      <c r="L128" s="193" t="s">
        <v>387</v>
      </c>
      <c r="M128" s="193" t="s">
        <v>378</v>
      </c>
      <c r="N128" s="193" t="s">
        <v>514</v>
      </c>
      <c r="O128" s="193" t="s">
        <v>129</v>
      </c>
      <c r="P128" s="193" t="s">
        <v>150</v>
      </c>
      <c r="Q128" s="193" t="s">
        <v>149</v>
      </c>
      <c r="R128" s="193" t="s">
        <v>148</v>
      </c>
      <c r="S128" s="193" t="s">
        <v>152</v>
      </c>
      <c r="T128" s="193" t="s">
        <v>389</v>
      </c>
      <c r="U128" s="193" t="s">
        <v>390</v>
      </c>
      <c r="V128" s="193">
        <v>0</v>
      </c>
      <c r="W128" s="193">
        <v>0</v>
      </c>
      <c r="X128" s="193">
        <v>0</v>
      </c>
      <c r="Y128" s="194">
        <v>470</v>
      </c>
      <c r="Z128" s="193" t="s">
        <v>515</v>
      </c>
      <c r="AA128" s="193" t="s">
        <v>516</v>
      </c>
      <c r="AB128" s="193">
        <v>470</v>
      </c>
      <c r="AC128" s="193" t="s">
        <v>517</v>
      </c>
      <c r="AD128" s="193" t="s">
        <v>152</v>
      </c>
      <c r="AE128" s="193">
        <v>470</v>
      </c>
      <c r="AF128" s="193" t="s">
        <v>518</v>
      </c>
      <c r="AG128" s="193" t="s">
        <v>519</v>
      </c>
      <c r="AH128" s="193">
        <v>0</v>
      </c>
      <c r="AI128" s="193">
        <v>470</v>
      </c>
      <c r="AJ128" s="193" t="s">
        <v>624</v>
      </c>
      <c r="AL128" s="197" t="s">
        <v>625</v>
      </c>
      <c r="AM128" s="193">
        <v>1</v>
      </c>
      <c r="AN128" s="193">
        <v>0</v>
      </c>
      <c r="AO128" s="193">
        <v>0</v>
      </c>
      <c r="AP128" s="193">
        <v>0</v>
      </c>
      <c r="AQ128" s="193" t="s">
        <v>214</v>
      </c>
      <c r="AS128" s="197" t="s">
        <v>518</v>
      </c>
      <c r="AT128" s="197" t="s">
        <v>519</v>
      </c>
      <c r="AV128" s="194">
        <v>216</v>
      </c>
      <c r="AW128" s="194">
        <v>0</v>
      </c>
      <c r="AX128" s="194">
        <v>0</v>
      </c>
      <c r="AY128" s="549">
        <v>216</v>
      </c>
      <c r="AZ128" s="194">
        <v>0</v>
      </c>
      <c r="BA128" s="194">
        <v>254</v>
      </c>
      <c r="BB128" s="551">
        <v>254</v>
      </c>
      <c r="BC128" s="551">
        <v>470</v>
      </c>
      <c r="BD128" s="551">
        <v>0</v>
      </c>
      <c r="BF128" s="550">
        <f t="shared" si="38"/>
        <v>216</v>
      </c>
      <c r="BG128" s="550">
        <f t="shared" si="39"/>
        <v>0</v>
      </c>
      <c r="BH128" s="550">
        <f t="shared" si="40"/>
        <v>0</v>
      </c>
      <c r="BI128" s="550">
        <f t="shared" si="41"/>
        <v>216</v>
      </c>
      <c r="BJ128" s="550">
        <f t="shared" si="42"/>
        <v>0</v>
      </c>
      <c r="BK128" s="550">
        <f t="shared" si="47"/>
        <v>254</v>
      </c>
      <c r="BL128" s="550">
        <f t="shared" si="43"/>
        <v>254</v>
      </c>
      <c r="BM128" s="550">
        <f t="shared" si="44"/>
        <v>470</v>
      </c>
      <c r="BO128" s="194"/>
      <c r="BQ128" s="193">
        <f t="shared" si="45"/>
        <v>0</v>
      </c>
      <c r="BR128" s="193">
        <f t="shared" si="46"/>
        <v>0</v>
      </c>
      <c r="BS128" s="193">
        <f t="shared" si="48"/>
        <v>0</v>
      </c>
      <c r="BT128" s="193">
        <f t="shared" si="48"/>
        <v>0</v>
      </c>
    </row>
    <row r="129" spans="1:72" ht="13.5" customHeight="1">
      <c r="A129" s="193" t="s">
        <v>378</v>
      </c>
      <c r="B129" s="193" t="s">
        <v>379</v>
      </c>
      <c r="C129" s="193" t="s">
        <v>214</v>
      </c>
      <c r="D129" s="193" t="s">
        <v>508</v>
      </c>
      <c r="E129" s="193" t="s">
        <v>509</v>
      </c>
      <c r="F129" s="193" t="s">
        <v>632</v>
      </c>
      <c r="G129" s="193" t="s">
        <v>632</v>
      </c>
      <c r="H129" s="193" t="s">
        <v>523</v>
      </c>
      <c r="I129" s="193" t="s">
        <v>512</v>
      </c>
      <c r="J129" s="193" t="s">
        <v>633</v>
      </c>
      <c r="K129" s="193" t="s">
        <v>386</v>
      </c>
      <c r="L129" s="193" t="s">
        <v>387</v>
      </c>
      <c r="M129" s="193" t="s">
        <v>378</v>
      </c>
      <c r="N129" s="193" t="s">
        <v>514</v>
      </c>
      <c r="O129" s="193" t="s">
        <v>129</v>
      </c>
      <c r="P129" s="193" t="s">
        <v>150</v>
      </c>
      <c r="Q129" s="193" t="s">
        <v>149</v>
      </c>
      <c r="R129" s="193" t="s">
        <v>148</v>
      </c>
      <c r="S129" s="193" t="s">
        <v>152</v>
      </c>
      <c r="T129" s="193" t="s">
        <v>389</v>
      </c>
      <c r="U129" s="193" t="s">
        <v>390</v>
      </c>
      <c r="V129" s="193">
        <v>0</v>
      </c>
      <c r="W129" s="193">
        <v>0</v>
      </c>
      <c r="X129" s="193">
        <v>0</v>
      </c>
      <c r="Y129" s="194">
        <v>300</v>
      </c>
      <c r="Z129" s="193" t="s">
        <v>515</v>
      </c>
      <c r="AA129" s="193" t="s">
        <v>516</v>
      </c>
      <c r="AB129" s="193">
        <v>300</v>
      </c>
      <c r="AC129" s="193" t="s">
        <v>517</v>
      </c>
      <c r="AD129" s="193" t="s">
        <v>152</v>
      </c>
      <c r="AE129" s="193">
        <v>300</v>
      </c>
      <c r="AF129" s="193" t="s">
        <v>518</v>
      </c>
      <c r="AG129" s="193" t="s">
        <v>519</v>
      </c>
      <c r="AH129" s="193">
        <v>0</v>
      </c>
      <c r="AI129" s="193">
        <v>300</v>
      </c>
      <c r="AJ129" s="193" t="s">
        <v>569</v>
      </c>
      <c r="AL129" s="197" t="s">
        <v>634</v>
      </c>
      <c r="AM129" s="193">
        <v>1</v>
      </c>
      <c r="AN129" s="193">
        <v>0</v>
      </c>
      <c r="AO129" s="193">
        <v>0</v>
      </c>
      <c r="AP129" s="193">
        <v>0</v>
      </c>
      <c r="AQ129" s="193" t="s">
        <v>214</v>
      </c>
      <c r="AS129" s="197" t="s">
        <v>518</v>
      </c>
      <c r="AT129" s="197" t="s">
        <v>519</v>
      </c>
      <c r="AV129" s="194">
        <v>138</v>
      </c>
      <c r="AW129" s="194">
        <v>0</v>
      </c>
      <c r="AX129" s="194">
        <v>0</v>
      </c>
      <c r="AY129" s="549">
        <v>138</v>
      </c>
      <c r="AZ129" s="194">
        <v>0</v>
      </c>
      <c r="BA129" s="194">
        <v>162</v>
      </c>
      <c r="BB129" s="551">
        <v>162</v>
      </c>
      <c r="BC129" s="551">
        <v>300</v>
      </c>
      <c r="BD129" s="551">
        <v>0</v>
      </c>
      <c r="BF129" s="550">
        <f t="shared" si="38"/>
        <v>138</v>
      </c>
      <c r="BG129" s="550">
        <f t="shared" si="39"/>
        <v>0</v>
      </c>
      <c r="BH129" s="550">
        <f t="shared" si="40"/>
        <v>0</v>
      </c>
      <c r="BI129" s="550">
        <f t="shared" si="41"/>
        <v>138</v>
      </c>
      <c r="BJ129" s="550">
        <f t="shared" si="42"/>
        <v>0</v>
      </c>
      <c r="BK129" s="550">
        <f t="shared" si="47"/>
        <v>162</v>
      </c>
      <c r="BL129" s="550">
        <f t="shared" si="43"/>
        <v>162</v>
      </c>
      <c r="BM129" s="550">
        <f t="shared" si="44"/>
        <v>300</v>
      </c>
      <c r="BO129" s="194"/>
      <c r="BQ129" s="193">
        <f t="shared" si="45"/>
        <v>0</v>
      </c>
      <c r="BR129" s="193">
        <f t="shared" si="46"/>
        <v>0</v>
      </c>
      <c r="BS129" s="193">
        <f t="shared" si="48"/>
        <v>0</v>
      </c>
      <c r="BT129" s="193">
        <f t="shared" si="48"/>
        <v>0</v>
      </c>
    </row>
    <row r="130" spans="1:72" ht="13.5" customHeight="1">
      <c r="A130" s="193" t="s">
        <v>378</v>
      </c>
      <c r="B130" s="193" t="s">
        <v>379</v>
      </c>
      <c r="C130" s="193" t="s">
        <v>214</v>
      </c>
      <c r="D130" s="193" t="s">
        <v>508</v>
      </c>
      <c r="E130" s="193" t="s">
        <v>509</v>
      </c>
      <c r="F130" s="193" t="s">
        <v>638</v>
      </c>
      <c r="G130" s="193" t="s">
        <v>638</v>
      </c>
      <c r="H130" s="193" t="s">
        <v>523</v>
      </c>
      <c r="I130" s="193" t="s">
        <v>512</v>
      </c>
      <c r="J130" s="193" t="s">
        <v>639</v>
      </c>
      <c r="K130" s="193" t="s">
        <v>386</v>
      </c>
      <c r="L130" s="193" t="s">
        <v>387</v>
      </c>
      <c r="M130" s="193" t="s">
        <v>378</v>
      </c>
      <c r="N130" s="193" t="s">
        <v>514</v>
      </c>
      <c r="O130" s="193" t="s">
        <v>129</v>
      </c>
      <c r="P130" s="193" t="s">
        <v>150</v>
      </c>
      <c r="Q130" s="193" t="s">
        <v>149</v>
      </c>
      <c r="R130" s="193" t="s">
        <v>148</v>
      </c>
      <c r="S130" s="193" t="s">
        <v>152</v>
      </c>
      <c r="T130" s="193" t="s">
        <v>389</v>
      </c>
      <c r="U130" s="193" t="s">
        <v>390</v>
      </c>
      <c r="V130" s="193">
        <v>0</v>
      </c>
      <c r="W130" s="193">
        <v>0</v>
      </c>
      <c r="X130" s="193">
        <v>0</v>
      </c>
      <c r="Y130" s="194">
        <v>600</v>
      </c>
      <c r="Z130" s="193" t="s">
        <v>515</v>
      </c>
      <c r="AA130" s="193" t="s">
        <v>516</v>
      </c>
      <c r="AB130" s="193">
        <v>600</v>
      </c>
      <c r="AC130" s="193" t="s">
        <v>517</v>
      </c>
      <c r="AD130" s="193" t="s">
        <v>152</v>
      </c>
      <c r="AE130" s="193">
        <v>600</v>
      </c>
      <c r="AF130" s="193" t="s">
        <v>518</v>
      </c>
      <c r="AG130" s="193" t="s">
        <v>519</v>
      </c>
      <c r="AH130" s="193">
        <v>0</v>
      </c>
      <c r="AI130" s="193">
        <v>600</v>
      </c>
      <c r="AJ130" s="193" t="s">
        <v>640</v>
      </c>
      <c r="AL130" s="197" t="s">
        <v>641</v>
      </c>
      <c r="AM130" s="193">
        <v>1</v>
      </c>
      <c r="AN130" s="193">
        <v>0</v>
      </c>
      <c r="AO130" s="193">
        <v>0</v>
      </c>
      <c r="AP130" s="193">
        <v>0</v>
      </c>
      <c r="AQ130" s="193" t="s">
        <v>214</v>
      </c>
      <c r="AS130" s="197" t="s">
        <v>518</v>
      </c>
      <c r="AT130" s="197" t="s">
        <v>519</v>
      </c>
      <c r="AV130" s="194">
        <v>276</v>
      </c>
      <c r="AW130" s="194">
        <v>0</v>
      </c>
      <c r="AX130" s="194">
        <v>0</v>
      </c>
      <c r="AY130" s="549">
        <v>276</v>
      </c>
      <c r="AZ130" s="194">
        <v>0</v>
      </c>
      <c r="BA130" s="194">
        <v>324</v>
      </c>
      <c r="BB130" s="551">
        <v>324</v>
      </c>
      <c r="BC130" s="551">
        <v>600</v>
      </c>
      <c r="BD130" s="551">
        <v>0</v>
      </c>
      <c r="BF130" s="550">
        <f t="shared" si="38"/>
        <v>276</v>
      </c>
      <c r="BG130" s="550">
        <f t="shared" si="39"/>
        <v>0</v>
      </c>
      <c r="BH130" s="550">
        <f t="shared" si="40"/>
        <v>0</v>
      </c>
      <c r="BI130" s="550">
        <f t="shared" si="41"/>
        <v>276</v>
      </c>
      <c r="BJ130" s="550">
        <f t="shared" si="42"/>
        <v>0</v>
      </c>
      <c r="BK130" s="550">
        <f t="shared" si="47"/>
        <v>324</v>
      </c>
      <c r="BL130" s="550">
        <f t="shared" si="43"/>
        <v>324</v>
      </c>
      <c r="BM130" s="550">
        <f t="shared" si="44"/>
        <v>600</v>
      </c>
      <c r="BO130" s="194"/>
      <c r="BQ130" s="193">
        <f t="shared" si="45"/>
        <v>0</v>
      </c>
      <c r="BR130" s="193">
        <f t="shared" si="46"/>
        <v>0</v>
      </c>
      <c r="BS130" s="193">
        <f t="shared" si="48"/>
        <v>0</v>
      </c>
      <c r="BT130" s="193">
        <f t="shared" si="48"/>
        <v>0</v>
      </c>
    </row>
    <row r="131" spans="1:72" ht="13.5" customHeight="1">
      <c r="A131" s="193" t="s">
        <v>378</v>
      </c>
      <c r="B131" s="193" t="s">
        <v>379</v>
      </c>
      <c r="C131" s="193" t="s">
        <v>214</v>
      </c>
      <c r="D131" s="193" t="s">
        <v>508</v>
      </c>
      <c r="E131" s="193" t="s">
        <v>509</v>
      </c>
      <c r="F131" s="193" t="s">
        <v>419</v>
      </c>
      <c r="G131" s="193" t="s">
        <v>419</v>
      </c>
      <c r="H131" s="193" t="s">
        <v>523</v>
      </c>
      <c r="I131" s="193" t="s">
        <v>512</v>
      </c>
      <c r="J131" s="193" t="s">
        <v>635</v>
      </c>
      <c r="K131" s="193" t="s">
        <v>386</v>
      </c>
      <c r="L131" s="193" t="s">
        <v>387</v>
      </c>
      <c r="M131" s="193" t="s">
        <v>378</v>
      </c>
      <c r="N131" s="193" t="s">
        <v>514</v>
      </c>
      <c r="O131" s="193" t="s">
        <v>129</v>
      </c>
      <c r="P131" s="193" t="s">
        <v>150</v>
      </c>
      <c r="Q131" s="193" t="s">
        <v>149</v>
      </c>
      <c r="R131" s="193" t="s">
        <v>148</v>
      </c>
      <c r="S131" s="193" t="s">
        <v>152</v>
      </c>
      <c r="T131" s="193" t="s">
        <v>389</v>
      </c>
      <c r="U131" s="193" t="s">
        <v>390</v>
      </c>
      <c r="V131" s="193">
        <v>0</v>
      </c>
      <c r="W131" s="193">
        <v>0</v>
      </c>
      <c r="X131" s="193">
        <v>0</v>
      </c>
      <c r="Y131" s="194">
        <v>200</v>
      </c>
      <c r="Z131" s="193" t="s">
        <v>515</v>
      </c>
      <c r="AA131" s="193" t="s">
        <v>516</v>
      </c>
      <c r="AB131" s="193">
        <v>200</v>
      </c>
      <c r="AC131" s="193" t="s">
        <v>517</v>
      </c>
      <c r="AD131" s="193" t="s">
        <v>152</v>
      </c>
      <c r="AE131" s="193">
        <v>200</v>
      </c>
      <c r="AF131" s="193" t="s">
        <v>518</v>
      </c>
      <c r="AG131" s="193" t="s">
        <v>519</v>
      </c>
      <c r="AH131" s="193">
        <v>0</v>
      </c>
      <c r="AI131" s="193">
        <v>200</v>
      </c>
      <c r="AJ131" s="193" t="s">
        <v>636</v>
      </c>
      <c r="AL131" s="197" t="s">
        <v>637</v>
      </c>
      <c r="AM131" s="193">
        <v>1</v>
      </c>
      <c r="AN131" s="193">
        <v>0</v>
      </c>
      <c r="AO131" s="193">
        <v>0</v>
      </c>
      <c r="AP131" s="193">
        <v>0</v>
      </c>
      <c r="AQ131" s="193" t="s">
        <v>214</v>
      </c>
      <c r="AS131" s="197" t="s">
        <v>518</v>
      </c>
      <c r="AT131" s="197" t="s">
        <v>519</v>
      </c>
      <c r="AV131" s="194">
        <v>92</v>
      </c>
      <c r="AW131" s="194">
        <v>0</v>
      </c>
      <c r="AX131" s="194">
        <v>0</v>
      </c>
      <c r="AY131" s="549">
        <v>92</v>
      </c>
      <c r="AZ131" s="194">
        <v>0</v>
      </c>
      <c r="BA131" s="194">
        <v>108</v>
      </c>
      <c r="BB131" s="551">
        <v>108</v>
      </c>
      <c r="BC131" s="551">
        <v>200</v>
      </c>
      <c r="BD131" s="551">
        <v>0</v>
      </c>
      <c r="BF131" s="550">
        <f t="shared" si="38"/>
        <v>92</v>
      </c>
      <c r="BG131" s="550">
        <f t="shared" si="39"/>
        <v>0</v>
      </c>
      <c r="BH131" s="550">
        <f t="shared" si="40"/>
        <v>0</v>
      </c>
      <c r="BI131" s="550">
        <f t="shared" si="41"/>
        <v>92</v>
      </c>
      <c r="BJ131" s="550">
        <f t="shared" si="42"/>
        <v>0</v>
      </c>
      <c r="BK131" s="550">
        <f t="shared" si="47"/>
        <v>108</v>
      </c>
      <c r="BL131" s="550">
        <f t="shared" si="43"/>
        <v>108</v>
      </c>
      <c r="BM131" s="550">
        <f t="shared" si="44"/>
        <v>200</v>
      </c>
      <c r="BO131" s="194"/>
      <c r="BQ131" s="193">
        <f t="shared" si="45"/>
        <v>0</v>
      </c>
      <c r="BR131" s="193">
        <f t="shared" si="46"/>
        <v>0</v>
      </c>
      <c r="BS131" s="193">
        <f t="shared" si="48"/>
        <v>0</v>
      </c>
      <c r="BT131" s="193">
        <f t="shared" si="48"/>
        <v>0</v>
      </c>
    </row>
    <row r="132" spans="1:72" ht="13.5" customHeight="1">
      <c r="A132" s="193" t="s">
        <v>378</v>
      </c>
      <c r="B132" s="193" t="s">
        <v>379</v>
      </c>
      <c r="C132" s="193" t="s">
        <v>214</v>
      </c>
      <c r="D132" s="193" t="s">
        <v>508</v>
      </c>
      <c r="E132" s="193" t="s">
        <v>509</v>
      </c>
      <c r="F132" s="193" t="s">
        <v>642</v>
      </c>
      <c r="G132" s="193" t="s">
        <v>642</v>
      </c>
      <c r="H132" s="193" t="s">
        <v>523</v>
      </c>
      <c r="I132" s="193" t="s">
        <v>512</v>
      </c>
      <c r="J132" s="193" t="s">
        <v>643</v>
      </c>
      <c r="K132" s="193" t="s">
        <v>386</v>
      </c>
      <c r="L132" s="193" t="s">
        <v>387</v>
      </c>
      <c r="M132" s="193" t="s">
        <v>378</v>
      </c>
      <c r="N132" s="193" t="s">
        <v>514</v>
      </c>
      <c r="O132" s="193" t="s">
        <v>129</v>
      </c>
      <c r="P132" s="193" t="s">
        <v>150</v>
      </c>
      <c r="Q132" s="193" t="s">
        <v>149</v>
      </c>
      <c r="R132" s="193" t="s">
        <v>148</v>
      </c>
      <c r="S132" s="193" t="s">
        <v>152</v>
      </c>
      <c r="T132" s="193" t="s">
        <v>389</v>
      </c>
      <c r="U132" s="193" t="s">
        <v>390</v>
      </c>
      <c r="V132" s="193">
        <v>0</v>
      </c>
      <c r="W132" s="193">
        <v>0</v>
      </c>
      <c r="X132" s="193">
        <v>0</v>
      </c>
      <c r="Y132" s="194">
        <v>300</v>
      </c>
      <c r="Z132" s="193" t="s">
        <v>515</v>
      </c>
      <c r="AA132" s="193" t="s">
        <v>516</v>
      </c>
      <c r="AB132" s="193">
        <v>300</v>
      </c>
      <c r="AC132" s="193" t="s">
        <v>517</v>
      </c>
      <c r="AD132" s="193" t="s">
        <v>152</v>
      </c>
      <c r="AE132" s="193">
        <v>300</v>
      </c>
      <c r="AF132" s="193" t="s">
        <v>518</v>
      </c>
      <c r="AG132" s="193" t="s">
        <v>519</v>
      </c>
      <c r="AH132" s="193">
        <v>0</v>
      </c>
      <c r="AI132" s="193">
        <v>300</v>
      </c>
      <c r="AJ132" s="193" t="s">
        <v>644</v>
      </c>
      <c r="AL132" s="197" t="s">
        <v>645</v>
      </c>
      <c r="AM132" s="193">
        <v>1</v>
      </c>
      <c r="AN132" s="193">
        <v>0</v>
      </c>
      <c r="AO132" s="193">
        <v>0</v>
      </c>
      <c r="AP132" s="193">
        <v>0</v>
      </c>
      <c r="AQ132" s="193" t="s">
        <v>214</v>
      </c>
      <c r="AS132" s="197" t="s">
        <v>518</v>
      </c>
      <c r="AT132" s="197" t="s">
        <v>519</v>
      </c>
      <c r="AV132" s="194">
        <v>138</v>
      </c>
      <c r="AW132" s="194">
        <v>0</v>
      </c>
      <c r="AX132" s="194">
        <v>0</v>
      </c>
      <c r="AY132" s="549">
        <v>138</v>
      </c>
      <c r="AZ132" s="194">
        <v>0</v>
      </c>
      <c r="BA132" s="194">
        <v>162</v>
      </c>
      <c r="BB132" s="551">
        <v>162</v>
      </c>
      <c r="BC132" s="551">
        <v>300</v>
      </c>
      <c r="BD132" s="551">
        <v>0</v>
      </c>
      <c r="BF132" s="550">
        <f t="shared" si="38"/>
        <v>138</v>
      </c>
      <c r="BG132" s="550">
        <f t="shared" si="39"/>
        <v>0</v>
      </c>
      <c r="BH132" s="550">
        <f t="shared" si="40"/>
        <v>0</v>
      </c>
      <c r="BI132" s="550">
        <f t="shared" si="41"/>
        <v>138</v>
      </c>
      <c r="BJ132" s="550">
        <f t="shared" si="42"/>
        <v>0</v>
      </c>
      <c r="BK132" s="550">
        <f t="shared" si="47"/>
        <v>162</v>
      </c>
      <c r="BL132" s="550">
        <f t="shared" si="43"/>
        <v>162</v>
      </c>
      <c r="BM132" s="550">
        <f t="shared" si="44"/>
        <v>300</v>
      </c>
      <c r="BO132" s="194"/>
      <c r="BQ132" s="193">
        <f t="shared" si="45"/>
        <v>0</v>
      </c>
      <c r="BR132" s="193">
        <f t="shared" si="46"/>
        <v>0</v>
      </c>
      <c r="BS132" s="193">
        <f t="shared" si="48"/>
        <v>0</v>
      </c>
      <c r="BT132" s="193">
        <f t="shared" si="48"/>
        <v>0</v>
      </c>
    </row>
    <row r="133" spans="1:72" ht="13.5" customHeight="1">
      <c r="A133" s="193" t="s">
        <v>378</v>
      </c>
      <c r="B133" s="193" t="s">
        <v>379</v>
      </c>
      <c r="C133" s="193" t="s">
        <v>214</v>
      </c>
      <c r="D133" s="193" t="s">
        <v>508</v>
      </c>
      <c r="E133" s="193" t="s">
        <v>509</v>
      </c>
      <c r="F133" s="193" t="s">
        <v>646</v>
      </c>
      <c r="G133" s="193" t="s">
        <v>646</v>
      </c>
      <c r="H133" s="193" t="s">
        <v>523</v>
      </c>
      <c r="I133" s="193" t="s">
        <v>512</v>
      </c>
      <c r="J133" s="193" t="s">
        <v>647</v>
      </c>
      <c r="K133" s="193" t="s">
        <v>386</v>
      </c>
      <c r="L133" s="193" t="s">
        <v>387</v>
      </c>
      <c r="M133" s="193" t="s">
        <v>378</v>
      </c>
      <c r="N133" s="193" t="s">
        <v>514</v>
      </c>
      <c r="O133" s="193" t="s">
        <v>129</v>
      </c>
      <c r="P133" s="193" t="s">
        <v>150</v>
      </c>
      <c r="Q133" s="193" t="s">
        <v>149</v>
      </c>
      <c r="R133" s="193" t="s">
        <v>148</v>
      </c>
      <c r="S133" s="193" t="s">
        <v>152</v>
      </c>
      <c r="T133" s="193" t="s">
        <v>389</v>
      </c>
      <c r="U133" s="193" t="s">
        <v>390</v>
      </c>
      <c r="V133" s="193">
        <v>0</v>
      </c>
      <c r="W133" s="193">
        <v>0</v>
      </c>
      <c r="X133" s="193">
        <v>0</v>
      </c>
      <c r="Y133" s="194">
        <v>300</v>
      </c>
      <c r="Z133" s="193" t="s">
        <v>515</v>
      </c>
      <c r="AA133" s="193" t="s">
        <v>516</v>
      </c>
      <c r="AB133" s="193">
        <v>300</v>
      </c>
      <c r="AC133" s="193" t="s">
        <v>517</v>
      </c>
      <c r="AD133" s="193" t="s">
        <v>152</v>
      </c>
      <c r="AE133" s="193">
        <v>300</v>
      </c>
      <c r="AF133" s="193" t="s">
        <v>518</v>
      </c>
      <c r="AG133" s="193" t="s">
        <v>519</v>
      </c>
      <c r="AH133" s="193">
        <v>0</v>
      </c>
      <c r="AI133" s="193">
        <v>300</v>
      </c>
      <c r="AJ133" s="193" t="s">
        <v>648</v>
      </c>
      <c r="AL133" s="197" t="s">
        <v>649</v>
      </c>
      <c r="AM133" s="193">
        <v>1</v>
      </c>
      <c r="AN133" s="193">
        <v>0</v>
      </c>
      <c r="AO133" s="193">
        <v>0</v>
      </c>
      <c r="AP133" s="193">
        <v>0</v>
      </c>
      <c r="AQ133" s="193" t="s">
        <v>214</v>
      </c>
      <c r="AS133" s="197" t="s">
        <v>518</v>
      </c>
      <c r="AT133" s="197" t="s">
        <v>519</v>
      </c>
      <c r="AV133" s="194">
        <v>138</v>
      </c>
      <c r="AW133" s="194">
        <v>0</v>
      </c>
      <c r="AX133" s="194">
        <v>0</v>
      </c>
      <c r="AY133" s="549">
        <v>138</v>
      </c>
      <c r="AZ133" s="194">
        <v>0</v>
      </c>
      <c r="BA133" s="194">
        <v>162</v>
      </c>
      <c r="BB133" s="551">
        <v>162</v>
      </c>
      <c r="BC133" s="551">
        <v>300</v>
      </c>
      <c r="BD133" s="551">
        <v>0</v>
      </c>
      <c r="BF133" s="550">
        <f t="shared" si="38"/>
        <v>138</v>
      </c>
      <c r="BG133" s="550">
        <f t="shared" si="39"/>
        <v>0</v>
      </c>
      <c r="BH133" s="550">
        <f t="shared" si="40"/>
        <v>0</v>
      </c>
      <c r="BI133" s="550">
        <f t="shared" si="41"/>
        <v>138</v>
      </c>
      <c r="BJ133" s="550">
        <f t="shared" si="42"/>
        <v>0</v>
      </c>
      <c r="BK133" s="550">
        <f t="shared" si="47"/>
        <v>162</v>
      </c>
      <c r="BL133" s="550">
        <f t="shared" si="43"/>
        <v>162</v>
      </c>
      <c r="BM133" s="550">
        <f t="shared" si="44"/>
        <v>300</v>
      </c>
      <c r="BO133" s="194"/>
      <c r="BQ133" s="193">
        <f t="shared" si="45"/>
        <v>0</v>
      </c>
      <c r="BR133" s="193">
        <f t="shared" si="46"/>
        <v>0</v>
      </c>
      <c r="BS133" s="193">
        <f t="shared" si="48"/>
        <v>0</v>
      </c>
      <c r="BT133" s="193">
        <f t="shared" si="48"/>
        <v>0</v>
      </c>
    </row>
    <row r="134" spans="1:72" ht="13.5" customHeight="1">
      <c r="A134" s="193" t="s">
        <v>378</v>
      </c>
      <c r="B134" s="193" t="s">
        <v>379</v>
      </c>
      <c r="C134" s="193" t="s">
        <v>214</v>
      </c>
      <c r="D134" s="193" t="s">
        <v>667</v>
      </c>
      <c r="E134" s="193" t="s">
        <v>668</v>
      </c>
      <c r="F134" s="193" t="s">
        <v>547</v>
      </c>
      <c r="G134" s="193" t="s">
        <v>547</v>
      </c>
      <c r="H134" s="193" t="s">
        <v>670</v>
      </c>
      <c r="I134" s="193" t="s">
        <v>512</v>
      </c>
      <c r="J134" s="193" t="s">
        <v>720</v>
      </c>
      <c r="K134" s="193" t="s">
        <v>386</v>
      </c>
      <c r="L134" s="193" t="s">
        <v>387</v>
      </c>
      <c r="M134" s="193" t="s">
        <v>378</v>
      </c>
      <c r="N134" s="193" t="s">
        <v>514</v>
      </c>
      <c r="O134" s="193" t="s">
        <v>129</v>
      </c>
      <c r="P134" s="193" t="s">
        <v>150</v>
      </c>
      <c r="Q134" s="193" t="s">
        <v>149</v>
      </c>
      <c r="R134" s="193" t="s">
        <v>148</v>
      </c>
      <c r="S134" s="193" t="s">
        <v>152</v>
      </c>
      <c r="T134" s="193" t="s">
        <v>389</v>
      </c>
      <c r="U134" s="193" t="s">
        <v>390</v>
      </c>
      <c r="V134" s="193">
        <v>0</v>
      </c>
      <c r="W134" s="193">
        <v>0</v>
      </c>
      <c r="X134" s="193">
        <v>0</v>
      </c>
      <c r="Y134" s="194">
        <v>300</v>
      </c>
      <c r="Z134" s="193" t="s">
        <v>515</v>
      </c>
      <c r="AA134" s="193" t="s">
        <v>516</v>
      </c>
      <c r="AB134" s="193">
        <v>300</v>
      </c>
      <c r="AC134" s="193" t="s">
        <v>517</v>
      </c>
      <c r="AD134" s="193" t="s">
        <v>152</v>
      </c>
      <c r="AE134" s="193">
        <v>300</v>
      </c>
      <c r="AF134" s="193" t="s">
        <v>518</v>
      </c>
      <c r="AG134" s="193" t="s">
        <v>519</v>
      </c>
      <c r="AH134" s="193">
        <v>0</v>
      </c>
      <c r="AI134" s="193">
        <v>300</v>
      </c>
      <c r="AJ134" s="193" t="s">
        <v>721</v>
      </c>
      <c r="AL134" s="197" t="s">
        <v>722</v>
      </c>
      <c r="AM134" s="193">
        <v>1</v>
      </c>
      <c r="AN134" s="193">
        <v>0</v>
      </c>
      <c r="AO134" s="193">
        <v>0</v>
      </c>
      <c r="AP134" s="193">
        <v>0</v>
      </c>
      <c r="AQ134" s="193" t="s">
        <v>214</v>
      </c>
      <c r="AS134" s="197" t="s">
        <v>518</v>
      </c>
      <c r="AT134" s="197" t="s">
        <v>519</v>
      </c>
      <c r="AV134" s="194">
        <v>138</v>
      </c>
      <c r="AW134" s="194">
        <v>0</v>
      </c>
      <c r="AX134" s="194">
        <v>0</v>
      </c>
      <c r="AY134" s="549">
        <v>138</v>
      </c>
      <c r="AZ134" s="194">
        <v>0</v>
      </c>
      <c r="BA134" s="194">
        <v>162</v>
      </c>
      <c r="BB134" s="551">
        <v>162</v>
      </c>
      <c r="BC134" s="551">
        <v>300</v>
      </c>
      <c r="BD134" s="551">
        <v>0</v>
      </c>
      <c r="BF134" s="550">
        <f t="shared" si="38"/>
        <v>138</v>
      </c>
      <c r="BG134" s="550">
        <f t="shared" si="39"/>
        <v>0</v>
      </c>
      <c r="BH134" s="550">
        <f t="shared" si="40"/>
        <v>0</v>
      </c>
      <c r="BI134" s="550">
        <f t="shared" si="41"/>
        <v>138</v>
      </c>
      <c r="BJ134" s="550">
        <f t="shared" si="42"/>
        <v>0</v>
      </c>
      <c r="BK134" s="550">
        <f t="shared" si="47"/>
        <v>162</v>
      </c>
      <c r="BL134" s="550">
        <f t="shared" si="43"/>
        <v>162</v>
      </c>
      <c r="BM134" s="550">
        <f t="shared" si="44"/>
        <v>300</v>
      </c>
      <c r="BO134" s="194"/>
      <c r="BQ134" s="193">
        <f t="shared" si="45"/>
        <v>0</v>
      </c>
      <c r="BR134" s="193">
        <f t="shared" si="46"/>
        <v>0</v>
      </c>
      <c r="BS134" s="193">
        <f t="shared" si="48"/>
        <v>0</v>
      </c>
      <c r="BT134" s="193">
        <f t="shared" si="48"/>
        <v>0</v>
      </c>
    </row>
    <row r="135" spans="1:72" ht="13.5" customHeight="1">
      <c r="A135" s="193" t="s">
        <v>378</v>
      </c>
      <c r="B135" s="193" t="s">
        <v>379</v>
      </c>
      <c r="C135" s="193" t="s">
        <v>214</v>
      </c>
      <c r="D135" s="193" t="s">
        <v>667</v>
      </c>
      <c r="E135" s="193" t="s">
        <v>668</v>
      </c>
      <c r="F135" s="193" t="s">
        <v>745</v>
      </c>
      <c r="G135" s="193" t="s">
        <v>745</v>
      </c>
      <c r="H135" s="193" t="s">
        <v>670</v>
      </c>
      <c r="I135" s="193" t="s">
        <v>512</v>
      </c>
      <c r="J135" s="193" t="s">
        <v>746</v>
      </c>
      <c r="K135" s="193" t="s">
        <v>386</v>
      </c>
      <c r="L135" s="193" t="s">
        <v>387</v>
      </c>
      <c r="M135" s="193" t="s">
        <v>378</v>
      </c>
      <c r="N135" s="193" t="s">
        <v>514</v>
      </c>
      <c r="O135" s="193" t="s">
        <v>129</v>
      </c>
      <c r="P135" s="193" t="s">
        <v>150</v>
      </c>
      <c r="Q135" s="193" t="s">
        <v>149</v>
      </c>
      <c r="R135" s="193" t="s">
        <v>148</v>
      </c>
      <c r="S135" s="193" t="s">
        <v>152</v>
      </c>
      <c r="T135" s="193" t="s">
        <v>389</v>
      </c>
      <c r="U135" s="193" t="s">
        <v>390</v>
      </c>
      <c r="V135" s="193">
        <v>0</v>
      </c>
      <c r="W135" s="193">
        <v>0</v>
      </c>
      <c r="X135" s="193">
        <v>0</v>
      </c>
      <c r="Y135" s="194">
        <v>300</v>
      </c>
      <c r="Z135" s="193" t="s">
        <v>515</v>
      </c>
      <c r="AA135" s="193" t="s">
        <v>516</v>
      </c>
      <c r="AB135" s="193">
        <v>300</v>
      </c>
      <c r="AC135" s="193" t="s">
        <v>517</v>
      </c>
      <c r="AD135" s="193" t="s">
        <v>152</v>
      </c>
      <c r="AE135" s="193">
        <v>300</v>
      </c>
      <c r="AF135" s="193" t="s">
        <v>518</v>
      </c>
      <c r="AG135" s="193" t="s">
        <v>519</v>
      </c>
      <c r="AH135" s="193">
        <v>0</v>
      </c>
      <c r="AI135" s="193">
        <v>300</v>
      </c>
      <c r="AJ135" s="193" t="s">
        <v>747</v>
      </c>
      <c r="AL135" s="197" t="s">
        <v>748</v>
      </c>
      <c r="AM135" s="193">
        <v>1</v>
      </c>
      <c r="AN135" s="193">
        <v>0</v>
      </c>
      <c r="AO135" s="193">
        <v>0</v>
      </c>
      <c r="AP135" s="193">
        <v>0</v>
      </c>
      <c r="AQ135" s="193" t="s">
        <v>214</v>
      </c>
      <c r="AS135" s="197" t="s">
        <v>518</v>
      </c>
      <c r="AT135" s="197" t="s">
        <v>519</v>
      </c>
      <c r="AV135" s="194">
        <v>138</v>
      </c>
      <c r="AW135" s="194">
        <v>0</v>
      </c>
      <c r="AX135" s="194">
        <v>0</v>
      </c>
      <c r="AY135" s="549">
        <v>138</v>
      </c>
      <c r="AZ135" s="194">
        <v>0</v>
      </c>
      <c r="BA135" s="194">
        <v>162</v>
      </c>
      <c r="BB135" s="551">
        <v>162</v>
      </c>
      <c r="BC135" s="551">
        <v>300</v>
      </c>
      <c r="BD135" s="551">
        <v>0</v>
      </c>
      <c r="BF135" s="550">
        <f t="shared" ref="BF135:BF198" si="49">+IFERROR(ROUND(AV135*100/(100+$AT135),0),AV135)</f>
        <v>138</v>
      </c>
      <c r="BG135" s="550">
        <f t="shared" ref="BG135:BG198" si="50">+IFERROR(ROUND(AW135*100/(100+$AT135),0),AW135)</f>
        <v>0</v>
      </c>
      <c r="BH135" s="550">
        <f t="shared" ref="BH135:BH198" si="51">+IFERROR(ROUND(AX135*100/(100+$AT135),0),AX135)</f>
        <v>0</v>
      </c>
      <c r="BI135" s="550">
        <f t="shared" ref="BI135:BI198" si="52">SUM(BF135:BH135)</f>
        <v>138</v>
      </c>
      <c r="BJ135" s="550">
        <f t="shared" ref="BJ135:BJ198" si="53">+IFERROR(ROUND(AZ135*100/(100+$AT135),0),AZ135)</f>
        <v>0</v>
      </c>
      <c r="BK135" s="550">
        <f t="shared" ref="BK135:BK198" si="54">+IFERROR(ROUND(BA135*100/(100+$AT135),0),BA135)</f>
        <v>162</v>
      </c>
      <c r="BL135" s="550">
        <f t="shared" ref="BL135:BL198" si="55">SUM(BJ135:BK135)</f>
        <v>162</v>
      </c>
      <c r="BM135" s="550">
        <f t="shared" ref="BM135:BM198" si="56">+BI135+BL135</f>
        <v>300</v>
      </c>
      <c r="BO135" s="194"/>
      <c r="BQ135" s="193">
        <f t="shared" ref="BQ135:BQ198" si="57">AY135*100/(100+$AT135)-BI135</f>
        <v>0</v>
      </c>
      <c r="BR135" s="193">
        <f t="shared" ref="BR135:BR198" si="58">BB135*100/(100+$AT135)-BL135</f>
        <v>0</v>
      </c>
      <c r="BS135" s="193">
        <f t="shared" si="48"/>
        <v>0</v>
      </c>
      <c r="BT135" s="193">
        <f t="shared" si="48"/>
        <v>0</v>
      </c>
    </row>
    <row r="136" spans="1:72" ht="13.5" customHeight="1">
      <c r="A136" s="193" t="s">
        <v>378</v>
      </c>
      <c r="B136" s="193" t="s">
        <v>379</v>
      </c>
      <c r="C136" s="193" t="s">
        <v>214</v>
      </c>
      <c r="D136" s="193" t="s">
        <v>667</v>
      </c>
      <c r="E136" s="193" t="s">
        <v>668</v>
      </c>
      <c r="F136" s="193" t="s">
        <v>723</v>
      </c>
      <c r="G136" s="193" t="s">
        <v>723</v>
      </c>
      <c r="H136" s="193" t="s">
        <v>670</v>
      </c>
      <c r="I136" s="193" t="s">
        <v>512</v>
      </c>
      <c r="J136" s="193" t="s">
        <v>724</v>
      </c>
      <c r="K136" s="193" t="s">
        <v>386</v>
      </c>
      <c r="L136" s="193" t="s">
        <v>387</v>
      </c>
      <c r="M136" s="193" t="s">
        <v>378</v>
      </c>
      <c r="N136" s="193" t="s">
        <v>514</v>
      </c>
      <c r="O136" s="193" t="s">
        <v>129</v>
      </c>
      <c r="P136" s="193" t="s">
        <v>150</v>
      </c>
      <c r="Q136" s="193" t="s">
        <v>149</v>
      </c>
      <c r="R136" s="193" t="s">
        <v>148</v>
      </c>
      <c r="S136" s="193" t="s">
        <v>152</v>
      </c>
      <c r="T136" s="193" t="s">
        <v>389</v>
      </c>
      <c r="U136" s="193" t="s">
        <v>390</v>
      </c>
      <c r="V136" s="193">
        <v>0</v>
      </c>
      <c r="W136" s="193">
        <v>0</v>
      </c>
      <c r="X136" s="193">
        <v>0</v>
      </c>
      <c r="Y136" s="194">
        <v>300</v>
      </c>
      <c r="Z136" s="193" t="s">
        <v>515</v>
      </c>
      <c r="AA136" s="193" t="s">
        <v>516</v>
      </c>
      <c r="AB136" s="193">
        <v>300</v>
      </c>
      <c r="AC136" s="193" t="s">
        <v>517</v>
      </c>
      <c r="AD136" s="193" t="s">
        <v>152</v>
      </c>
      <c r="AE136" s="193">
        <v>300</v>
      </c>
      <c r="AF136" s="193" t="s">
        <v>518</v>
      </c>
      <c r="AG136" s="193" t="s">
        <v>519</v>
      </c>
      <c r="AH136" s="193">
        <v>0</v>
      </c>
      <c r="AI136" s="193">
        <v>300</v>
      </c>
      <c r="AJ136" s="193" t="s">
        <v>725</v>
      </c>
      <c r="AL136" s="197" t="s">
        <v>726</v>
      </c>
      <c r="AM136" s="193">
        <v>1</v>
      </c>
      <c r="AN136" s="193">
        <v>0</v>
      </c>
      <c r="AO136" s="193">
        <v>0</v>
      </c>
      <c r="AP136" s="193">
        <v>0</v>
      </c>
      <c r="AQ136" s="193" t="s">
        <v>214</v>
      </c>
      <c r="AS136" s="197" t="s">
        <v>518</v>
      </c>
      <c r="AT136" s="197" t="s">
        <v>519</v>
      </c>
      <c r="AV136" s="194">
        <v>138</v>
      </c>
      <c r="AW136" s="194">
        <v>0</v>
      </c>
      <c r="AX136" s="194">
        <v>0</v>
      </c>
      <c r="AY136" s="549">
        <v>138</v>
      </c>
      <c r="AZ136" s="194">
        <v>0</v>
      </c>
      <c r="BA136" s="194">
        <v>162</v>
      </c>
      <c r="BB136" s="551">
        <v>162</v>
      </c>
      <c r="BC136" s="551">
        <v>300</v>
      </c>
      <c r="BD136" s="551">
        <v>0</v>
      </c>
      <c r="BF136" s="550">
        <f t="shared" si="49"/>
        <v>138</v>
      </c>
      <c r="BG136" s="550">
        <f t="shared" si="50"/>
        <v>0</v>
      </c>
      <c r="BH136" s="550">
        <f t="shared" si="51"/>
        <v>0</v>
      </c>
      <c r="BI136" s="550">
        <f t="shared" si="52"/>
        <v>138</v>
      </c>
      <c r="BJ136" s="550">
        <f t="shared" si="53"/>
        <v>0</v>
      </c>
      <c r="BK136" s="550">
        <f t="shared" si="54"/>
        <v>162</v>
      </c>
      <c r="BL136" s="550">
        <f t="shared" si="55"/>
        <v>162</v>
      </c>
      <c r="BM136" s="550">
        <f t="shared" si="56"/>
        <v>300</v>
      </c>
      <c r="BO136" s="194"/>
      <c r="BQ136" s="193">
        <f t="shared" si="57"/>
        <v>0</v>
      </c>
      <c r="BR136" s="193">
        <f t="shared" si="58"/>
        <v>0</v>
      </c>
      <c r="BS136" s="193">
        <f t="shared" si="48"/>
        <v>0</v>
      </c>
      <c r="BT136" s="193">
        <f t="shared" si="48"/>
        <v>0</v>
      </c>
    </row>
    <row r="137" spans="1:72" ht="13.5" customHeight="1">
      <c r="A137" s="193" t="s">
        <v>378</v>
      </c>
      <c r="B137" s="193" t="s">
        <v>379</v>
      </c>
      <c r="C137" s="193" t="s">
        <v>214</v>
      </c>
      <c r="D137" s="193" t="s">
        <v>667</v>
      </c>
      <c r="E137" s="193" t="s">
        <v>668</v>
      </c>
      <c r="F137" s="193" t="s">
        <v>776</v>
      </c>
      <c r="G137" s="193" t="s">
        <v>776</v>
      </c>
      <c r="H137" s="193" t="s">
        <v>651</v>
      </c>
      <c r="I137" s="193" t="s">
        <v>512</v>
      </c>
      <c r="J137" s="193" t="s">
        <v>777</v>
      </c>
      <c r="K137" s="193" t="s">
        <v>386</v>
      </c>
      <c r="L137" s="193" t="s">
        <v>387</v>
      </c>
      <c r="M137" s="193" t="s">
        <v>378</v>
      </c>
      <c r="N137" s="193" t="s">
        <v>514</v>
      </c>
      <c r="O137" s="193" t="s">
        <v>129</v>
      </c>
      <c r="P137" s="193" t="s">
        <v>150</v>
      </c>
      <c r="Q137" s="193" t="s">
        <v>149</v>
      </c>
      <c r="R137" s="193" t="s">
        <v>148</v>
      </c>
      <c r="S137" s="193" t="s">
        <v>152</v>
      </c>
      <c r="T137" s="193" t="s">
        <v>389</v>
      </c>
      <c r="U137" s="193" t="s">
        <v>390</v>
      </c>
      <c r="V137" s="193">
        <v>0</v>
      </c>
      <c r="W137" s="193">
        <v>0</v>
      </c>
      <c r="X137" s="193">
        <v>0</v>
      </c>
      <c r="Y137" s="194">
        <v>1200</v>
      </c>
      <c r="Z137" s="193" t="s">
        <v>515</v>
      </c>
      <c r="AA137" s="193" t="s">
        <v>516</v>
      </c>
      <c r="AB137" s="193">
        <v>1200</v>
      </c>
      <c r="AC137" s="193" t="s">
        <v>517</v>
      </c>
      <c r="AD137" s="193" t="s">
        <v>152</v>
      </c>
      <c r="AE137" s="193">
        <v>1200</v>
      </c>
      <c r="AF137" s="193" t="s">
        <v>518</v>
      </c>
      <c r="AG137" s="193" t="s">
        <v>519</v>
      </c>
      <c r="AH137" s="193">
        <v>0</v>
      </c>
      <c r="AI137" s="193">
        <v>1200</v>
      </c>
      <c r="AJ137" s="193" t="s">
        <v>778</v>
      </c>
      <c r="AL137" s="197" t="s">
        <v>779</v>
      </c>
      <c r="AM137" s="193">
        <v>1</v>
      </c>
      <c r="AN137" s="193">
        <v>0</v>
      </c>
      <c r="AO137" s="193">
        <v>0</v>
      </c>
      <c r="AP137" s="193">
        <v>0</v>
      </c>
      <c r="AQ137" s="193" t="s">
        <v>214</v>
      </c>
      <c r="AS137" s="197" t="s">
        <v>518</v>
      </c>
      <c r="AT137" s="197" t="s">
        <v>519</v>
      </c>
      <c r="AV137" s="194">
        <v>552</v>
      </c>
      <c r="AW137" s="194">
        <v>0</v>
      </c>
      <c r="AX137" s="194">
        <v>0</v>
      </c>
      <c r="AY137" s="549">
        <v>552</v>
      </c>
      <c r="AZ137" s="194">
        <v>0</v>
      </c>
      <c r="BA137" s="194">
        <v>648</v>
      </c>
      <c r="BB137" s="551">
        <v>648</v>
      </c>
      <c r="BC137" s="551">
        <v>1200</v>
      </c>
      <c r="BD137" s="551">
        <v>0</v>
      </c>
      <c r="BF137" s="550">
        <f t="shared" si="49"/>
        <v>552</v>
      </c>
      <c r="BG137" s="550">
        <f t="shared" si="50"/>
        <v>0</v>
      </c>
      <c r="BH137" s="550">
        <f t="shared" si="51"/>
        <v>0</v>
      </c>
      <c r="BI137" s="550">
        <f t="shared" si="52"/>
        <v>552</v>
      </c>
      <c r="BJ137" s="550">
        <f t="shared" si="53"/>
        <v>0</v>
      </c>
      <c r="BK137" s="550">
        <f t="shared" si="54"/>
        <v>648</v>
      </c>
      <c r="BL137" s="550">
        <f t="shared" si="55"/>
        <v>648</v>
      </c>
      <c r="BM137" s="550">
        <f t="shared" si="56"/>
        <v>1200</v>
      </c>
      <c r="BO137" s="194"/>
      <c r="BQ137" s="193">
        <f t="shared" si="57"/>
        <v>0</v>
      </c>
      <c r="BR137" s="193">
        <f t="shared" si="58"/>
        <v>0</v>
      </c>
      <c r="BS137" s="193">
        <f t="shared" si="48"/>
        <v>0</v>
      </c>
      <c r="BT137" s="193">
        <f t="shared" si="48"/>
        <v>0</v>
      </c>
    </row>
    <row r="138" spans="1:72" ht="13.5" customHeight="1">
      <c r="A138" s="193" t="s">
        <v>378</v>
      </c>
      <c r="B138" s="193" t="s">
        <v>379</v>
      </c>
      <c r="C138" s="193" t="s">
        <v>214</v>
      </c>
      <c r="D138" s="193" t="s">
        <v>490</v>
      </c>
      <c r="E138" s="193" t="s">
        <v>491</v>
      </c>
      <c r="F138" s="193" t="s">
        <v>741</v>
      </c>
      <c r="G138" s="193" t="s">
        <v>741</v>
      </c>
      <c r="H138" s="193" t="s">
        <v>651</v>
      </c>
      <c r="I138" s="193" t="s">
        <v>512</v>
      </c>
      <c r="J138" s="193" t="s">
        <v>742</v>
      </c>
      <c r="K138" s="193" t="s">
        <v>386</v>
      </c>
      <c r="L138" s="193" t="s">
        <v>387</v>
      </c>
      <c r="M138" s="193" t="s">
        <v>378</v>
      </c>
      <c r="N138" s="193" t="s">
        <v>514</v>
      </c>
      <c r="O138" s="193" t="s">
        <v>129</v>
      </c>
      <c r="P138" s="193" t="s">
        <v>150</v>
      </c>
      <c r="Q138" s="193" t="s">
        <v>149</v>
      </c>
      <c r="R138" s="193" t="s">
        <v>148</v>
      </c>
      <c r="S138" s="193" t="s">
        <v>152</v>
      </c>
      <c r="T138" s="193" t="s">
        <v>389</v>
      </c>
      <c r="U138" s="193" t="s">
        <v>390</v>
      </c>
      <c r="V138" s="193">
        <v>0</v>
      </c>
      <c r="W138" s="193">
        <v>0</v>
      </c>
      <c r="X138" s="193">
        <v>0</v>
      </c>
      <c r="Y138" s="194">
        <v>300</v>
      </c>
      <c r="Z138" s="193" t="s">
        <v>515</v>
      </c>
      <c r="AA138" s="193" t="s">
        <v>516</v>
      </c>
      <c r="AB138" s="193">
        <v>300</v>
      </c>
      <c r="AC138" s="193" t="s">
        <v>517</v>
      </c>
      <c r="AD138" s="193" t="s">
        <v>152</v>
      </c>
      <c r="AE138" s="193">
        <v>300</v>
      </c>
      <c r="AF138" s="193" t="s">
        <v>518</v>
      </c>
      <c r="AG138" s="193" t="s">
        <v>519</v>
      </c>
      <c r="AH138" s="193">
        <v>0</v>
      </c>
      <c r="AI138" s="193">
        <v>300</v>
      </c>
      <c r="AJ138" s="193" t="s">
        <v>743</v>
      </c>
      <c r="AL138" s="197" t="s">
        <v>744</v>
      </c>
      <c r="AM138" s="193">
        <v>1</v>
      </c>
      <c r="AN138" s="193">
        <v>0</v>
      </c>
      <c r="AO138" s="193">
        <v>0</v>
      </c>
      <c r="AP138" s="193">
        <v>0</v>
      </c>
      <c r="AQ138" s="193" t="s">
        <v>214</v>
      </c>
      <c r="AS138" s="197" t="s">
        <v>518</v>
      </c>
      <c r="AT138" s="197" t="s">
        <v>519</v>
      </c>
      <c r="AV138" s="194">
        <v>138</v>
      </c>
      <c r="AW138" s="194">
        <v>0</v>
      </c>
      <c r="AX138" s="194">
        <v>0</v>
      </c>
      <c r="AY138" s="549">
        <v>138</v>
      </c>
      <c r="AZ138" s="194">
        <v>0</v>
      </c>
      <c r="BA138" s="194">
        <v>162</v>
      </c>
      <c r="BB138" s="551">
        <v>162</v>
      </c>
      <c r="BC138" s="551">
        <v>300</v>
      </c>
      <c r="BD138" s="551">
        <v>0</v>
      </c>
      <c r="BF138" s="550">
        <f t="shared" si="49"/>
        <v>138</v>
      </c>
      <c r="BG138" s="550">
        <f t="shared" si="50"/>
        <v>0</v>
      </c>
      <c r="BH138" s="550">
        <f t="shared" si="51"/>
        <v>0</v>
      </c>
      <c r="BI138" s="550">
        <f t="shared" si="52"/>
        <v>138</v>
      </c>
      <c r="BJ138" s="550">
        <f t="shared" si="53"/>
        <v>0</v>
      </c>
      <c r="BK138" s="550">
        <f t="shared" si="54"/>
        <v>162</v>
      </c>
      <c r="BL138" s="550">
        <f t="shared" si="55"/>
        <v>162</v>
      </c>
      <c r="BM138" s="550">
        <f t="shared" si="56"/>
        <v>300</v>
      </c>
      <c r="BO138" s="194"/>
      <c r="BQ138" s="193">
        <f t="shared" si="57"/>
        <v>0</v>
      </c>
      <c r="BR138" s="193">
        <f t="shared" si="58"/>
        <v>0</v>
      </c>
      <c r="BS138" s="193">
        <f t="shared" si="48"/>
        <v>0</v>
      </c>
      <c r="BT138" s="193">
        <f t="shared" si="48"/>
        <v>0</v>
      </c>
    </row>
    <row r="139" spans="1:72" ht="13.5" customHeight="1">
      <c r="A139" s="193" t="s">
        <v>378</v>
      </c>
      <c r="B139" s="193" t="s">
        <v>379</v>
      </c>
      <c r="C139" s="193" t="s">
        <v>214</v>
      </c>
      <c r="D139" s="193" t="s">
        <v>490</v>
      </c>
      <c r="E139" s="193" t="s">
        <v>491</v>
      </c>
      <c r="F139" s="193" t="s">
        <v>716</v>
      </c>
      <c r="G139" s="193" t="s">
        <v>716</v>
      </c>
      <c r="H139" s="193" t="s">
        <v>651</v>
      </c>
      <c r="I139" s="193" t="s">
        <v>512</v>
      </c>
      <c r="J139" s="193" t="s">
        <v>717</v>
      </c>
      <c r="K139" s="193" t="s">
        <v>386</v>
      </c>
      <c r="L139" s="193" t="s">
        <v>387</v>
      </c>
      <c r="M139" s="193" t="s">
        <v>378</v>
      </c>
      <c r="N139" s="193" t="s">
        <v>514</v>
      </c>
      <c r="O139" s="193" t="s">
        <v>129</v>
      </c>
      <c r="P139" s="193" t="s">
        <v>150</v>
      </c>
      <c r="Q139" s="193" t="s">
        <v>149</v>
      </c>
      <c r="R139" s="193" t="s">
        <v>148</v>
      </c>
      <c r="S139" s="193" t="s">
        <v>152</v>
      </c>
      <c r="T139" s="193" t="s">
        <v>389</v>
      </c>
      <c r="U139" s="193" t="s">
        <v>390</v>
      </c>
      <c r="V139" s="193">
        <v>0</v>
      </c>
      <c r="W139" s="193">
        <v>0</v>
      </c>
      <c r="X139" s="193">
        <v>0</v>
      </c>
      <c r="Y139" s="194">
        <v>600</v>
      </c>
      <c r="Z139" s="193" t="s">
        <v>515</v>
      </c>
      <c r="AA139" s="193" t="s">
        <v>516</v>
      </c>
      <c r="AB139" s="193">
        <v>600</v>
      </c>
      <c r="AC139" s="193" t="s">
        <v>517</v>
      </c>
      <c r="AD139" s="193" t="s">
        <v>152</v>
      </c>
      <c r="AE139" s="193">
        <v>600</v>
      </c>
      <c r="AF139" s="193" t="s">
        <v>518</v>
      </c>
      <c r="AG139" s="193" t="s">
        <v>519</v>
      </c>
      <c r="AH139" s="193">
        <v>0</v>
      </c>
      <c r="AI139" s="193">
        <v>600</v>
      </c>
      <c r="AJ139" s="193" t="s">
        <v>718</v>
      </c>
      <c r="AL139" s="197" t="s">
        <v>719</v>
      </c>
      <c r="AM139" s="193">
        <v>1</v>
      </c>
      <c r="AN139" s="193">
        <v>0</v>
      </c>
      <c r="AO139" s="193">
        <v>0</v>
      </c>
      <c r="AP139" s="193">
        <v>0</v>
      </c>
      <c r="AQ139" s="193" t="s">
        <v>214</v>
      </c>
      <c r="AS139" s="197" t="s">
        <v>518</v>
      </c>
      <c r="AT139" s="197" t="s">
        <v>519</v>
      </c>
      <c r="AV139" s="194">
        <v>276</v>
      </c>
      <c r="AW139" s="194">
        <v>0</v>
      </c>
      <c r="AX139" s="194">
        <v>0</v>
      </c>
      <c r="AY139" s="549">
        <v>276</v>
      </c>
      <c r="AZ139" s="194">
        <v>0</v>
      </c>
      <c r="BA139" s="194">
        <v>324</v>
      </c>
      <c r="BB139" s="551">
        <v>324</v>
      </c>
      <c r="BC139" s="551">
        <v>600</v>
      </c>
      <c r="BD139" s="551">
        <v>0</v>
      </c>
      <c r="BF139" s="550">
        <f t="shared" si="49"/>
        <v>276</v>
      </c>
      <c r="BG139" s="550">
        <f t="shared" si="50"/>
        <v>0</v>
      </c>
      <c r="BH139" s="550">
        <f t="shared" si="51"/>
        <v>0</v>
      </c>
      <c r="BI139" s="550">
        <f t="shared" si="52"/>
        <v>276</v>
      </c>
      <c r="BJ139" s="550">
        <f t="shared" si="53"/>
        <v>0</v>
      </c>
      <c r="BK139" s="550">
        <f t="shared" si="54"/>
        <v>324</v>
      </c>
      <c r="BL139" s="550">
        <f t="shared" si="55"/>
        <v>324</v>
      </c>
      <c r="BM139" s="550">
        <f t="shared" si="56"/>
        <v>600</v>
      </c>
      <c r="BO139" s="194"/>
      <c r="BQ139" s="193">
        <f t="shared" si="57"/>
        <v>0</v>
      </c>
      <c r="BR139" s="193">
        <f t="shared" si="58"/>
        <v>0</v>
      </c>
      <c r="BS139" s="193">
        <f t="shared" si="48"/>
        <v>0</v>
      </c>
      <c r="BT139" s="193">
        <f t="shared" si="48"/>
        <v>0</v>
      </c>
    </row>
    <row r="140" spans="1:72" ht="13.5" customHeight="1">
      <c r="A140" s="193" t="s">
        <v>378</v>
      </c>
      <c r="B140" s="193" t="s">
        <v>379</v>
      </c>
      <c r="C140" s="193" t="s">
        <v>214</v>
      </c>
      <c r="D140" s="193" t="s">
        <v>490</v>
      </c>
      <c r="E140" s="193" t="s">
        <v>491</v>
      </c>
      <c r="F140" s="193" t="s">
        <v>415</v>
      </c>
      <c r="G140" s="193" t="s">
        <v>415</v>
      </c>
      <c r="H140" s="193" t="s">
        <v>651</v>
      </c>
      <c r="I140" s="193" t="s">
        <v>512</v>
      </c>
      <c r="J140" s="193" t="s">
        <v>780</v>
      </c>
      <c r="K140" s="193" t="s">
        <v>386</v>
      </c>
      <c r="L140" s="193" t="s">
        <v>387</v>
      </c>
      <c r="M140" s="193" t="s">
        <v>378</v>
      </c>
      <c r="N140" s="193" t="s">
        <v>514</v>
      </c>
      <c r="O140" s="193" t="s">
        <v>129</v>
      </c>
      <c r="P140" s="193" t="s">
        <v>150</v>
      </c>
      <c r="Q140" s="193" t="s">
        <v>149</v>
      </c>
      <c r="R140" s="193" t="s">
        <v>148</v>
      </c>
      <c r="S140" s="193" t="s">
        <v>152</v>
      </c>
      <c r="T140" s="193" t="s">
        <v>389</v>
      </c>
      <c r="U140" s="193" t="s">
        <v>390</v>
      </c>
      <c r="V140" s="193">
        <v>0</v>
      </c>
      <c r="W140" s="193">
        <v>0</v>
      </c>
      <c r="X140" s="193">
        <v>0</v>
      </c>
      <c r="Y140" s="194">
        <v>300</v>
      </c>
      <c r="Z140" s="193" t="s">
        <v>515</v>
      </c>
      <c r="AA140" s="193" t="s">
        <v>516</v>
      </c>
      <c r="AB140" s="193">
        <v>300</v>
      </c>
      <c r="AC140" s="193" t="s">
        <v>517</v>
      </c>
      <c r="AD140" s="193" t="s">
        <v>152</v>
      </c>
      <c r="AE140" s="193">
        <v>300</v>
      </c>
      <c r="AF140" s="193" t="s">
        <v>518</v>
      </c>
      <c r="AG140" s="193" t="s">
        <v>519</v>
      </c>
      <c r="AH140" s="193">
        <v>0</v>
      </c>
      <c r="AI140" s="193">
        <v>300</v>
      </c>
      <c r="AJ140" s="193" t="s">
        <v>781</v>
      </c>
      <c r="AL140" s="197" t="s">
        <v>782</v>
      </c>
      <c r="AM140" s="193">
        <v>1</v>
      </c>
      <c r="AN140" s="193">
        <v>0</v>
      </c>
      <c r="AO140" s="193">
        <v>0</v>
      </c>
      <c r="AP140" s="193">
        <v>0</v>
      </c>
      <c r="AQ140" s="193" t="s">
        <v>214</v>
      </c>
      <c r="AS140" s="197" t="s">
        <v>518</v>
      </c>
      <c r="AT140" s="197" t="s">
        <v>519</v>
      </c>
      <c r="AV140" s="194">
        <v>138</v>
      </c>
      <c r="AW140" s="194">
        <v>0</v>
      </c>
      <c r="AX140" s="194">
        <v>0</v>
      </c>
      <c r="AY140" s="549">
        <v>138</v>
      </c>
      <c r="AZ140" s="194">
        <v>0</v>
      </c>
      <c r="BA140" s="194">
        <v>162</v>
      </c>
      <c r="BB140" s="551">
        <v>162</v>
      </c>
      <c r="BC140" s="551">
        <v>300</v>
      </c>
      <c r="BD140" s="551">
        <v>0</v>
      </c>
      <c r="BF140" s="550">
        <f t="shared" si="49"/>
        <v>138</v>
      </c>
      <c r="BG140" s="550">
        <f t="shared" si="50"/>
        <v>0</v>
      </c>
      <c r="BH140" s="550">
        <f t="shared" si="51"/>
        <v>0</v>
      </c>
      <c r="BI140" s="550">
        <f t="shared" si="52"/>
        <v>138</v>
      </c>
      <c r="BJ140" s="550">
        <f t="shared" si="53"/>
        <v>0</v>
      </c>
      <c r="BK140" s="550">
        <f t="shared" si="54"/>
        <v>162</v>
      </c>
      <c r="BL140" s="550">
        <f t="shared" si="55"/>
        <v>162</v>
      </c>
      <c r="BM140" s="550">
        <f t="shared" si="56"/>
        <v>300</v>
      </c>
      <c r="BO140" s="194"/>
      <c r="BQ140" s="193">
        <f t="shared" si="57"/>
        <v>0</v>
      </c>
      <c r="BR140" s="193">
        <f t="shared" si="58"/>
        <v>0</v>
      </c>
      <c r="BS140" s="193">
        <f t="shared" si="48"/>
        <v>0</v>
      </c>
      <c r="BT140" s="193">
        <f t="shared" si="48"/>
        <v>0</v>
      </c>
    </row>
    <row r="141" spans="1:72" ht="13.5" customHeight="1">
      <c r="A141" s="193" t="s">
        <v>378</v>
      </c>
      <c r="B141" s="193" t="s">
        <v>379</v>
      </c>
      <c r="C141" s="193" t="s">
        <v>214</v>
      </c>
      <c r="D141" s="193" t="s">
        <v>490</v>
      </c>
      <c r="E141" s="193" t="s">
        <v>491</v>
      </c>
      <c r="F141" s="193" t="s">
        <v>415</v>
      </c>
      <c r="G141" s="193" t="s">
        <v>415</v>
      </c>
      <c r="H141" s="193" t="s">
        <v>651</v>
      </c>
      <c r="I141" s="193" t="s">
        <v>512</v>
      </c>
      <c r="J141" s="193" t="s">
        <v>783</v>
      </c>
      <c r="K141" s="193" t="s">
        <v>386</v>
      </c>
      <c r="L141" s="193" t="s">
        <v>387</v>
      </c>
      <c r="M141" s="193" t="s">
        <v>378</v>
      </c>
      <c r="N141" s="193" t="s">
        <v>514</v>
      </c>
      <c r="O141" s="193" t="s">
        <v>129</v>
      </c>
      <c r="P141" s="193" t="s">
        <v>150</v>
      </c>
      <c r="Q141" s="193" t="s">
        <v>149</v>
      </c>
      <c r="R141" s="193" t="s">
        <v>148</v>
      </c>
      <c r="S141" s="193" t="s">
        <v>152</v>
      </c>
      <c r="T141" s="193" t="s">
        <v>389</v>
      </c>
      <c r="U141" s="193" t="s">
        <v>390</v>
      </c>
      <c r="V141" s="193">
        <v>0</v>
      </c>
      <c r="W141" s="193">
        <v>0</v>
      </c>
      <c r="X141" s="193">
        <v>0</v>
      </c>
      <c r="Y141" s="194">
        <v>200</v>
      </c>
      <c r="Z141" s="193" t="s">
        <v>515</v>
      </c>
      <c r="AA141" s="193" t="s">
        <v>516</v>
      </c>
      <c r="AB141" s="193">
        <v>200</v>
      </c>
      <c r="AC141" s="193" t="s">
        <v>517</v>
      </c>
      <c r="AD141" s="193" t="s">
        <v>152</v>
      </c>
      <c r="AE141" s="193">
        <v>200</v>
      </c>
      <c r="AF141" s="193" t="s">
        <v>518</v>
      </c>
      <c r="AG141" s="193" t="s">
        <v>519</v>
      </c>
      <c r="AH141" s="193">
        <v>0</v>
      </c>
      <c r="AI141" s="193">
        <v>200</v>
      </c>
      <c r="AJ141" s="193" t="s">
        <v>784</v>
      </c>
      <c r="AL141" s="197" t="s">
        <v>785</v>
      </c>
      <c r="AM141" s="193">
        <v>1</v>
      </c>
      <c r="AN141" s="193">
        <v>0</v>
      </c>
      <c r="AO141" s="193">
        <v>0</v>
      </c>
      <c r="AP141" s="193">
        <v>0</v>
      </c>
      <c r="AQ141" s="193" t="s">
        <v>214</v>
      </c>
      <c r="AS141" s="197" t="s">
        <v>518</v>
      </c>
      <c r="AT141" s="197" t="s">
        <v>519</v>
      </c>
      <c r="AV141" s="194">
        <v>92</v>
      </c>
      <c r="AW141" s="194">
        <v>0</v>
      </c>
      <c r="AX141" s="194">
        <v>0</v>
      </c>
      <c r="AY141" s="549">
        <v>92</v>
      </c>
      <c r="AZ141" s="194">
        <v>0</v>
      </c>
      <c r="BA141" s="194">
        <v>108</v>
      </c>
      <c r="BB141" s="551">
        <v>108</v>
      </c>
      <c r="BC141" s="551">
        <v>200</v>
      </c>
      <c r="BD141" s="551">
        <v>0</v>
      </c>
      <c r="BF141" s="550">
        <f t="shared" si="49"/>
        <v>92</v>
      </c>
      <c r="BG141" s="550">
        <f t="shared" si="50"/>
        <v>0</v>
      </c>
      <c r="BH141" s="550">
        <f t="shared" si="51"/>
        <v>0</v>
      </c>
      <c r="BI141" s="550">
        <f t="shared" si="52"/>
        <v>92</v>
      </c>
      <c r="BJ141" s="550">
        <f t="shared" si="53"/>
        <v>0</v>
      </c>
      <c r="BK141" s="550">
        <f t="shared" si="54"/>
        <v>108</v>
      </c>
      <c r="BL141" s="550">
        <f t="shared" si="55"/>
        <v>108</v>
      </c>
      <c r="BM141" s="550">
        <f t="shared" si="56"/>
        <v>200</v>
      </c>
      <c r="BO141" s="194"/>
      <c r="BQ141" s="193">
        <f t="shared" si="57"/>
        <v>0</v>
      </c>
      <c r="BR141" s="193">
        <f t="shared" si="58"/>
        <v>0</v>
      </c>
      <c r="BS141" s="193">
        <f t="shared" si="48"/>
        <v>0</v>
      </c>
      <c r="BT141" s="193">
        <f t="shared" si="48"/>
        <v>0</v>
      </c>
    </row>
    <row r="142" spans="1:72" ht="13.5" customHeight="1">
      <c r="A142" s="193" t="s">
        <v>378</v>
      </c>
      <c r="B142" s="193" t="s">
        <v>379</v>
      </c>
      <c r="C142" s="193" t="s">
        <v>214</v>
      </c>
      <c r="D142" s="193" t="s">
        <v>490</v>
      </c>
      <c r="E142" s="193" t="s">
        <v>491</v>
      </c>
      <c r="F142" s="193" t="s">
        <v>883</v>
      </c>
      <c r="G142" s="193" t="s">
        <v>883</v>
      </c>
      <c r="H142" s="193" t="s">
        <v>651</v>
      </c>
      <c r="I142" s="193" t="s">
        <v>512</v>
      </c>
      <c r="J142" s="193" t="s">
        <v>884</v>
      </c>
      <c r="K142" s="193" t="s">
        <v>386</v>
      </c>
      <c r="L142" s="193" t="s">
        <v>387</v>
      </c>
      <c r="M142" s="193" t="s">
        <v>378</v>
      </c>
      <c r="N142" s="193" t="s">
        <v>514</v>
      </c>
      <c r="O142" s="193" t="s">
        <v>129</v>
      </c>
      <c r="P142" s="193" t="s">
        <v>150</v>
      </c>
      <c r="Q142" s="193" t="s">
        <v>149</v>
      </c>
      <c r="R142" s="193" t="s">
        <v>148</v>
      </c>
      <c r="S142" s="193" t="s">
        <v>152</v>
      </c>
      <c r="T142" s="193" t="s">
        <v>389</v>
      </c>
      <c r="U142" s="193" t="s">
        <v>390</v>
      </c>
      <c r="V142" s="193">
        <v>0</v>
      </c>
      <c r="W142" s="193">
        <v>0</v>
      </c>
      <c r="X142" s="193">
        <v>0</v>
      </c>
      <c r="Y142" s="194">
        <v>300</v>
      </c>
      <c r="Z142" s="193" t="s">
        <v>515</v>
      </c>
      <c r="AA142" s="193" t="s">
        <v>516</v>
      </c>
      <c r="AB142" s="193">
        <v>300</v>
      </c>
      <c r="AC142" s="193" t="s">
        <v>517</v>
      </c>
      <c r="AD142" s="193" t="s">
        <v>152</v>
      </c>
      <c r="AE142" s="193">
        <v>300</v>
      </c>
      <c r="AF142" s="193" t="s">
        <v>518</v>
      </c>
      <c r="AG142" s="193" t="s">
        <v>519</v>
      </c>
      <c r="AH142" s="193">
        <v>0</v>
      </c>
      <c r="AI142" s="193">
        <v>300</v>
      </c>
      <c r="AJ142" s="193" t="s">
        <v>885</v>
      </c>
      <c r="AL142" s="197" t="s">
        <v>886</v>
      </c>
      <c r="AM142" s="193">
        <v>1</v>
      </c>
      <c r="AN142" s="193">
        <v>0</v>
      </c>
      <c r="AO142" s="193">
        <v>0</v>
      </c>
      <c r="AP142" s="193">
        <v>0</v>
      </c>
      <c r="AQ142" s="193" t="s">
        <v>214</v>
      </c>
      <c r="AS142" s="197" t="s">
        <v>518</v>
      </c>
      <c r="AT142" s="197" t="s">
        <v>519</v>
      </c>
      <c r="AV142" s="194">
        <v>138</v>
      </c>
      <c r="AW142" s="194">
        <v>0</v>
      </c>
      <c r="AX142" s="194">
        <v>0</v>
      </c>
      <c r="AY142" s="549">
        <v>138</v>
      </c>
      <c r="AZ142" s="194">
        <v>0</v>
      </c>
      <c r="BA142" s="194">
        <v>162</v>
      </c>
      <c r="BB142" s="551">
        <v>162</v>
      </c>
      <c r="BC142" s="551">
        <v>300</v>
      </c>
      <c r="BD142" s="551">
        <v>0</v>
      </c>
      <c r="BF142" s="550">
        <f t="shared" si="49"/>
        <v>138</v>
      </c>
      <c r="BG142" s="550">
        <f t="shared" si="50"/>
        <v>0</v>
      </c>
      <c r="BH142" s="550">
        <f t="shared" si="51"/>
        <v>0</v>
      </c>
      <c r="BI142" s="550">
        <f t="shared" si="52"/>
        <v>138</v>
      </c>
      <c r="BJ142" s="550">
        <f t="shared" si="53"/>
        <v>0</v>
      </c>
      <c r="BK142" s="550">
        <f t="shared" si="54"/>
        <v>162</v>
      </c>
      <c r="BL142" s="550">
        <f t="shared" si="55"/>
        <v>162</v>
      </c>
      <c r="BM142" s="550">
        <f t="shared" si="56"/>
        <v>300</v>
      </c>
      <c r="BO142" s="194"/>
      <c r="BQ142" s="193">
        <f t="shared" si="57"/>
        <v>0</v>
      </c>
      <c r="BR142" s="193">
        <f t="shared" si="58"/>
        <v>0</v>
      </c>
      <c r="BS142" s="193">
        <f t="shared" si="48"/>
        <v>0</v>
      </c>
      <c r="BT142" s="193">
        <f t="shared" si="48"/>
        <v>0</v>
      </c>
    </row>
    <row r="143" spans="1:72" ht="13.5" customHeight="1">
      <c r="A143" s="193" t="s">
        <v>378</v>
      </c>
      <c r="B143" s="193" t="s">
        <v>379</v>
      </c>
      <c r="C143" s="193" t="s">
        <v>214</v>
      </c>
      <c r="D143" s="193" t="s">
        <v>490</v>
      </c>
      <c r="E143" s="193" t="s">
        <v>491</v>
      </c>
      <c r="F143" s="193" t="s">
        <v>883</v>
      </c>
      <c r="G143" s="193" t="s">
        <v>883</v>
      </c>
      <c r="H143" s="193" t="s">
        <v>651</v>
      </c>
      <c r="I143" s="193" t="s">
        <v>512</v>
      </c>
      <c r="J143" s="193" t="s">
        <v>887</v>
      </c>
      <c r="K143" s="193" t="s">
        <v>386</v>
      </c>
      <c r="L143" s="193" t="s">
        <v>387</v>
      </c>
      <c r="M143" s="193" t="s">
        <v>378</v>
      </c>
      <c r="N143" s="193" t="s">
        <v>514</v>
      </c>
      <c r="O143" s="193" t="s">
        <v>129</v>
      </c>
      <c r="P143" s="193" t="s">
        <v>150</v>
      </c>
      <c r="Q143" s="193" t="s">
        <v>149</v>
      </c>
      <c r="R143" s="193" t="s">
        <v>148</v>
      </c>
      <c r="S143" s="193" t="s">
        <v>152</v>
      </c>
      <c r="T143" s="193" t="s">
        <v>389</v>
      </c>
      <c r="U143" s="193" t="s">
        <v>390</v>
      </c>
      <c r="V143" s="193">
        <v>0</v>
      </c>
      <c r="W143" s="193">
        <v>0</v>
      </c>
      <c r="X143" s="193">
        <v>0</v>
      </c>
      <c r="Y143" s="194">
        <v>300</v>
      </c>
      <c r="Z143" s="193" t="s">
        <v>515</v>
      </c>
      <c r="AA143" s="193" t="s">
        <v>516</v>
      </c>
      <c r="AB143" s="193">
        <v>300</v>
      </c>
      <c r="AC143" s="193" t="s">
        <v>517</v>
      </c>
      <c r="AD143" s="193" t="s">
        <v>152</v>
      </c>
      <c r="AE143" s="193">
        <v>300</v>
      </c>
      <c r="AF143" s="193" t="s">
        <v>518</v>
      </c>
      <c r="AG143" s="193" t="s">
        <v>519</v>
      </c>
      <c r="AH143" s="193">
        <v>0</v>
      </c>
      <c r="AI143" s="193">
        <v>300</v>
      </c>
      <c r="AJ143" s="193" t="s">
        <v>888</v>
      </c>
      <c r="AL143" s="197" t="s">
        <v>889</v>
      </c>
      <c r="AM143" s="193">
        <v>1</v>
      </c>
      <c r="AN143" s="193">
        <v>0</v>
      </c>
      <c r="AO143" s="193">
        <v>0</v>
      </c>
      <c r="AP143" s="193">
        <v>0</v>
      </c>
      <c r="AQ143" s="193" t="s">
        <v>214</v>
      </c>
      <c r="AS143" s="197" t="s">
        <v>518</v>
      </c>
      <c r="AT143" s="197" t="s">
        <v>519</v>
      </c>
      <c r="AV143" s="194">
        <v>138</v>
      </c>
      <c r="AW143" s="194">
        <v>0</v>
      </c>
      <c r="AX143" s="194">
        <v>0</v>
      </c>
      <c r="AY143" s="549">
        <v>138</v>
      </c>
      <c r="AZ143" s="194">
        <v>0</v>
      </c>
      <c r="BA143" s="194">
        <v>162</v>
      </c>
      <c r="BB143" s="551">
        <v>162</v>
      </c>
      <c r="BC143" s="551">
        <v>300</v>
      </c>
      <c r="BD143" s="551">
        <v>0</v>
      </c>
      <c r="BF143" s="550">
        <f t="shared" si="49"/>
        <v>138</v>
      </c>
      <c r="BG143" s="550">
        <f t="shared" si="50"/>
        <v>0</v>
      </c>
      <c r="BH143" s="550">
        <f t="shared" si="51"/>
        <v>0</v>
      </c>
      <c r="BI143" s="550">
        <f t="shared" si="52"/>
        <v>138</v>
      </c>
      <c r="BJ143" s="550">
        <f t="shared" si="53"/>
        <v>0</v>
      </c>
      <c r="BK143" s="550">
        <f t="shared" si="54"/>
        <v>162</v>
      </c>
      <c r="BL143" s="550">
        <f t="shared" si="55"/>
        <v>162</v>
      </c>
      <c r="BM143" s="550">
        <f t="shared" si="56"/>
        <v>300</v>
      </c>
      <c r="BO143" s="194"/>
      <c r="BQ143" s="193">
        <f t="shared" si="57"/>
        <v>0</v>
      </c>
      <c r="BR143" s="193">
        <f t="shared" si="58"/>
        <v>0</v>
      </c>
      <c r="BS143" s="193">
        <f t="shared" si="48"/>
        <v>0</v>
      </c>
      <c r="BT143" s="193">
        <f t="shared" si="48"/>
        <v>0</v>
      </c>
    </row>
    <row r="144" spans="1:72" ht="13.5" customHeight="1">
      <c r="A144" s="193" t="s">
        <v>378</v>
      </c>
      <c r="B144" s="193" t="s">
        <v>379</v>
      </c>
      <c r="C144" s="193" t="s">
        <v>214</v>
      </c>
      <c r="D144" s="193" t="s">
        <v>490</v>
      </c>
      <c r="E144" s="193" t="s">
        <v>491</v>
      </c>
      <c r="F144" s="193" t="s">
        <v>786</v>
      </c>
      <c r="G144" s="193" t="s">
        <v>786</v>
      </c>
      <c r="H144" s="193" t="s">
        <v>651</v>
      </c>
      <c r="I144" s="193" t="s">
        <v>512</v>
      </c>
      <c r="J144" s="193" t="s">
        <v>787</v>
      </c>
      <c r="K144" s="193" t="s">
        <v>386</v>
      </c>
      <c r="L144" s="193" t="s">
        <v>387</v>
      </c>
      <c r="M144" s="193" t="s">
        <v>378</v>
      </c>
      <c r="N144" s="193" t="s">
        <v>514</v>
      </c>
      <c r="O144" s="193" t="s">
        <v>129</v>
      </c>
      <c r="P144" s="193" t="s">
        <v>150</v>
      </c>
      <c r="Q144" s="193" t="s">
        <v>149</v>
      </c>
      <c r="R144" s="193" t="s">
        <v>148</v>
      </c>
      <c r="S144" s="193" t="s">
        <v>152</v>
      </c>
      <c r="T144" s="193" t="s">
        <v>389</v>
      </c>
      <c r="U144" s="193" t="s">
        <v>390</v>
      </c>
      <c r="V144" s="193">
        <v>0</v>
      </c>
      <c r="W144" s="193">
        <v>0</v>
      </c>
      <c r="X144" s="193">
        <v>0</v>
      </c>
      <c r="Y144" s="194">
        <v>200</v>
      </c>
      <c r="Z144" s="193" t="s">
        <v>515</v>
      </c>
      <c r="AA144" s="193" t="s">
        <v>516</v>
      </c>
      <c r="AB144" s="193">
        <v>200</v>
      </c>
      <c r="AC144" s="193" t="s">
        <v>517</v>
      </c>
      <c r="AD144" s="193" t="s">
        <v>152</v>
      </c>
      <c r="AE144" s="193">
        <v>200</v>
      </c>
      <c r="AF144" s="193" t="s">
        <v>518</v>
      </c>
      <c r="AG144" s="193" t="s">
        <v>519</v>
      </c>
      <c r="AH144" s="193">
        <v>0</v>
      </c>
      <c r="AI144" s="193">
        <v>200</v>
      </c>
      <c r="AJ144" s="193" t="s">
        <v>788</v>
      </c>
      <c r="AL144" s="197" t="s">
        <v>789</v>
      </c>
      <c r="AM144" s="193">
        <v>1</v>
      </c>
      <c r="AN144" s="193">
        <v>0</v>
      </c>
      <c r="AO144" s="193">
        <v>0</v>
      </c>
      <c r="AP144" s="193">
        <v>0</v>
      </c>
      <c r="AQ144" s="193" t="s">
        <v>214</v>
      </c>
      <c r="AS144" s="197" t="s">
        <v>518</v>
      </c>
      <c r="AT144" s="197" t="s">
        <v>519</v>
      </c>
      <c r="AV144" s="194">
        <v>92</v>
      </c>
      <c r="AW144" s="194">
        <v>0</v>
      </c>
      <c r="AX144" s="194">
        <v>0</v>
      </c>
      <c r="AY144" s="549">
        <v>92</v>
      </c>
      <c r="AZ144" s="194">
        <v>0</v>
      </c>
      <c r="BA144" s="194">
        <v>108</v>
      </c>
      <c r="BB144" s="551">
        <v>108</v>
      </c>
      <c r="BC144" s="551">
        <v>200</v>
      </c>
      <c r="BD144" s="551">
        <v>0</v>
      </c>
      <c r="BF144" s="550">
        <f t="shared" si="49"/>
        <v>92</v>
      </c>
      <c r="BG144" s="550">
        <f t="shared" si="50"/>
        <v>0</v>
      </c>
      <c r="BH144" s="550">
        <f t="shared" si="51"/>
        <v>0</v>
      </c>
      <c r="BI144" s="550">
        <f t="shared" si="52"/>
        <v>92</v>
      </c>
      <c r="BJ144" s="550">
        <f t="shared" si="53"/>
        <v>0</v>
      </c>
      <c r="BK144" s="550">
        <f t="shared" si="54"/>
        <v>108</v>
      </c>
      <c r="BL144" s="550">
        <f t="shared" si="55"/>
        <v>108</v>
      </c>
      <c r="BM144" s="550">
        <f t="shared" si="56"/>
        <v>200</v>
      </c>
      <c r="BO144" s="194"/>
      <c r="BQ144" s="193">
        <f t="shared" si="57"/>
        <v>0</v>
      </c>
      <c r="BR144" s="193">
        <f t="shared" si="58"/>
        <v>0</v>
      </c>
      <c r="BS144" s="193">
        <f t="shared" si="48"/>
        <v>0</v>
      </c>
      <c r="BT144" s="193">
        <f t="shared" si="48"/>
        <v>0</v>
      </c>
    </row>
    <row r="145" spans="1:72" ht="13.5" customHeight="1">
      <c r="A145" s="193" t="s">
        <v>378</v>
      </c>
      <c r="B145" s="193" t="s">
        <v>379</v>
      </c>
      <c r="C145" s="193" t="s">
        <v>214</v>
      </c>
      <c r="D145" s="193" t="s">
        <v>490</v>
      </c>
      <c r="E145" s="193" t="s">
        <v>491</v>
      </c>
      <c r="F145" s="193" t="s">
        <v>790</v>
      </c>
      <c r="G145" s="193" t="s">
        <v>790</v>
      </c>
      <c r="H145" s="193" t="s">
        <v>651</v>
      </c>
      <c r="I145" s="193" t="s">
        <v>512</v>
      </c>
      <c r="J145" s="193" t="s">
        <v>791</v>
      </c>
      <c r="K145" s="193" t="s">
        <v>386</v>
      </c>
      <c r="L145" s="193" t="s">
        <v>387</v>
      </c>
      <c r="M145" s="193" t="s">
        <v>378</v>
      </c>
      <c r="N145" s="193" t="s">
        <v>514</v>
      </c>
      <c r="O145" s="193" t="s">
        <v>129</v>
      </c>
      <c r="P145" s="193" t="s">
        <v>150</v>
      </c>
      <c r="Q145" s="193" t="s">
        <v>149</v>
      </c>
      <c r="R145" s="193" t="s">
        <v>148</v>
      </c>
      <c r="S145" s="193" t="s">
        <v>152</v>
      </c>
      <c r="T145" s="193" t="s">
        <v>389</v>
      </c>
      <c r="U145" s="193" t="s">
        <v>390</v>
      </c>
      <c r="V145" s="193">
        <v>0</v>
      </c>
      <c r="W145" s="193">
        <v>0</v>
      </c>
      <c r="X145" s="193">
        <v>0</v>
      </c>
      <c r="Y145" s="194">
        <v>300</v>
      </c>
      <c r="Z145" s="193" t="s">
        <v>515</v>
      </c>
      <c r="AA145" s="193" t="s">
        <v>516</v>
      </c>
      <c r="AB145" s="193">
        <v>300</v>
      </c>
      <c r="AC145" s="193" t="s">
        <v>517</v>
      </c>
      <c r="AD145" s="193" t="s">
        <v>152</v>
      </c>
      <c r="AE145" s="193">
        <v>300</v>
      </c>
      <c r="AF145" s="193" t="s">
        <v>518</v>
      </c>
      <c r="AG145" s="193" t="s">
        <v>519</v>
      </c>
      <c r="AH145" s="193">
        <v>0</v>
      </c>
      <c r="AI145" s="193">
        <v>300</v>
      </c>
      <c r="AJ145" s="193" t="s">
        <v>792</v>
      </c>
      <c r="AL145" s="197" t="s">
        <v>793</v>
      </c>
      <c r="AM145" s="193">
        <v>1</v>
      </c>
      <c r="AN145" s="193">
        <v>0</v>
      </c>
      <c r="AO145" s="193">
        <v>0</v>
      </c>
      <c r="AP145" s="193">
        <v>0</v>
      </c>
      <c r="AQ145" s="193" t="s">
        <v>214</v>
      </c>
      <c r="AS145" s="197" t="s">
        <v>518</v>
      </c>
      <c r="AT145" s="197" t="s">
        <v>519</v>
      </c>
      <c r="AV145" s="194">
        <v>138</v>
      </c>
      <c r="AW145" s="194">
        <v>0</v>
      </c>
      <c r="AX145" s="194">
        <v>0</v>
      </c>
      <c r="AY145" s="549">
        <v>138</v>
      </c>
      <c r="AZ145" s="194">
        <v>0</v>
      </c>
      <c r="BA145" s="194">
        <v>162</v>
      </c>
      <c r="BB145" s="551">
        <v>162</v>
      </c>
      <c r="BC145" s="551">
        <v>300</v>
      </c>
      <c r="BD145" s="551">
        <v>0</v>
      </c>
      <c r="BF145" s="550">
        <f t="shared" si="49"/>
        <v>138</v>
      </c>
      <c r="BG145" s="550">
        <f t="shared" si="50"/>
        <v>0</v>
      </c>
      <c r="BH145" s="550">
        <f t="shared" si="51"/>
        <v>0</v>
      </c>
      <c r="BI145" s="550">
        <f t="shared" si="52"/>
        <v>138</v>
      </c>
      <c r="BJ145" s="550">
        <f t="shared" si="53"/>
        <v>0</v>
      </c>
      <c r="BK145" s="550">
        <f t="shared" si="54"/>
        <v>162</v>
      </c>
      <c r="BL145" s="550">
        <f t="shared" si="55"/>
        <v>162</v>
      </c>
      <c r="BM145" s="550">
        <f t="shared" si="56"/>
        <v>300</v>
      </c>
      <c r="BO145" s="194"/>
      <c r="BQ145" s="193">
        <f t="shared" si="57"/>
        <v>0</v>
      </c>
      <c r="BR145" s="193">
        <f t="shared" si="58"/>
        <v>0</v>
      </c>
      <c r="BS145" s="193">
        <f t="shared" si="48"/>
        <v>0</v>
      </c>
      <c r="BT145" s="193">
        <f t="shared" si="48"/>
        <v>0</v>
      </c>
    </row>
    <row r="146" spans="1:72" ht="13.5" customHeight="1">
      <c r="A146" s="193" t="s">
        <v>378</v>
      </c>
      <c r="B146" s="193" t="s">
        <v>379</v>
      </c>
      <c r="C146" s="193" t="s">
        <v>214</v>
      </c>
      <c r="D146" s="193" t="s">
        <v>667</v>
      </c>
      <c r="E146" s="193" t="s">
        <v>668</v>
      </c>
      <c r="F146" s="193" t="s">
        <v>794</v>
      </c>
      <c r="G146" s="193" t="s">
        <v>794</v>
      </c>
      <c r="H146" s="193" t="s">
        <v>651</v>
      </c>
      <c r="I146" s="193" t="s">
        <v>512</v>
      </c>
      <c r="J146" s="193" t="s">
        <v>795</v>
      </c>
      <c r="K146" s="193" t="s">
        <v>386</v>
      </c>
      <c r="L146" s="193" t="s">
        <v>387</v>
      </c>
      <c r="M146" s="193" t="s">
        <v>378</v>
      </c>
      <c r="N146" s="193" t="s">
        <v>514</v>
      </c>
      <c r="O146" s="193" t="s">
        <v>129</v>
      </c>
      <c r="P146" s="193" t="s">
        <v>150</v>
      </c>
      <c r="Q146" s="193" t="s">
        <v>149</v>
      </c>
      <c r="R146" s="193" t="s">
        <v>148</v>
      </c>
      <c r="S146" s="193" t="s">
        <v>152</v>
      </c>
      <c r="T146" s="193" t="s">
        <v>389</v>
      </c>
      <c r="U146" s="193" t="s">
        <v>390</v>
      </c>
      <c r="V146" s="193">
        <v>0</v>
      </c>
      <c r="W146" s="193">
        <v>0</v>
      </c>
      <c r="X146" s="193">
        <v>0</v>
      </c>
      <c r="Y146" s="194">
        <v>600</v>
      </c>
      <c r="Z146" s="193" t="s">
        <v>515</v>
      </c>
      <c r="AA146" s="193" t="s">
        <v>516</v>
      </c>
      <c r="AB146" s="193">
        <v>600</v>
      </c>
      <c r="AC146" s="193" t="s">
        <v>517</v>
      </c>
      <c r="AD146" s="193" t="s">
        <v>152</v>
      </c>
      <c r="AE146" s="193">
        <v>600</v>
      </c>
      <c r="AF146" s="193" t="s">
        <v>518</v>
      </c>
      <c r="AG146" s="193" t="s">
        <v>519</v>
      </c>
      <c r="AH146" s="193">
        <v>0</v>
      </c>
      <c r="AI146" s="193">
        <v>600</v>
      </c>
      <c r="AJ146" s="193" t="s">
        <v>796</v>
      </c>
      <c r="AL146" s="197" t="s">
        <v>797</v>
      </c>
      <c r="AM146" s="193">
        <v>1</v>
      </c>
      <c r="AN146" s="193">
        <v>0</v>
      </c>
      <c r="AO146" s="193">
        <v>0</v>
      </c>
      <c r="AP146" s="193">
        <v>0</v>
      </c>
      <c r="AQ146" s="193" t="s">
        <v>214</v>
      </c>
      <c r="AS146" s="197" t="s">
        <v>518</v>
      </c>
      <c r="AT146" s="197" t="s">
        <v>519</v>
      </c>
      <c r="AV146" s="194">
        <v>276</v>
      </c>
      <c r="AW146" s="194">
        <v>0</v>
      </c>
      <c r="AX146" s="194">
        <v>0</v>
      </c>
      <c r="AY146" s="549">
        <v>276</v>
      </c>
      <c r="AZ146" s="194">
        <v>0</v>
      </c>
      <c r="BA146" s="194">
        <v>324</v>
      </c>
      <c r="BB146" s="551">
        <v>324</v>
      </c>
      <c r="BC146" s="551">
        <v>600</v>
      </c>
      <c r="BD146" s="551">
        <v>0</v>
      </c>
      <c r="BF146" s="550">
        <f t="shared" si="49"/>
        <v>276</v>
      </c>
      <c r="BG146" s="550">
        <f t="shared" si="50"/>
        <v>0</v>
      </c>
      <c r="BH146" s="550">
        <f t="shared" si="51"/>
        <v>0</v>
      </c>
      <c r="BI146" s="550">
        <f t="shared" si="52"/>
        <v>276</v>
      </c>
      <c r="BJ146" s="550">
        <f t="shared" si="53"/>
        <v>0</v>
      </c>
      <c r="BK146" s="550">
        <f t="shared" si="54"/>
        <v>324</v>
      </c>
      <c r="BL146" s="550">
        <f t="shared" si="55"/>
        <v>324</v>
      </c>
      <c r="BM146" s="550">
        <f t="shared" si="56"/>
        <v>600</v>
      </c>
      <c r="BO146" s="194"/>
      <c r="BQ146" s="193">
        <f t="shared" si="57"/>
        <v>0</v>
      </c>
      <c r="BR146" s="193">
        <f t="shared" si="58"/>
        <v>0</v>
      </c>
      <c r="BS146" s="193">
        <f t="shared" si="48"/>
        <v>0</v>
      </c>
      <c r="BT146" s="193">
        <f t="shared" si="48"/>
        <v>0</v>
      </c>
    </row>
    <row r="147" spans="1:72" ht="13.5" customHeight="1">
      <c r="A147" s="193" t="s">
        <v>378</v>
      </c>
      <c r="B147" s="193" t="s">
        <v>379</v>
      </c>
      <c r="C147" s="193" t="s">
        <v>214</v>
      </c>
      <c r="D147" s="193" t="s">
        <v>667</v>
      </c>
      <c r="E147" s="193" t="s">
        <v>668</v>
      </c>
      <c r="F147" s="193" t="s">
        <v>567</v>
      </c>
      <c r="G147" s="193" t="s">
        <v>567</v>
      </c>
      <c r="H147" s="193" t="s">
        <v>651</v>
      </c>
      <c r="I147" s="193" t="s">
        <v>512</v>
      </c>
      <c r="J147" s="193" t="s">
        <v>798</v>
      </c>
      <c r="K147" s="193" t="s">
        <v>386</v>
      </c>
      <c r="L147" s="193" t="s">
        <v>387</v>
      </c>
      <c r="M147" s="193" t="s">
        <v>378</v>
      </c>
      <c r="N147" s="193" t="s">
        <v>514</v>
      </c>
      <c r="O147" s="193" t="s">
        <v>129</v>
      </c>
      <c r="P147" s="193" t="s">
        <v>150</v>
      </c>
      <c r="Q147" s="193" t="s">
        <v>149</v>
      </c>
      <c r="R147" s="193" t="s">
        <v>148</v>
      </c>
      <c r="S147" s="193" t="s">
        <v>152</v>
      </c>
      <c r="T147" s="193" t="s">
        <v>389</v>
      </c>
      <c r="U147" s="193" t="s">
        <v>390</v>
      </c>
      <c r="V147" s="193">
        <v>0</v>
      </c>
      <c r="W147" s="193">
        <v>0</v>
      </c>
      <c r="X147" s="193">
        <v>0</v>
      </c>
      <c r="Y147" s="194">
        <v>300</v>
      </c>
      <c r="Z147" s="193" t="s">
        <v>515</v>
      </c>
      <c r="AA147" s="193" t="s">
        <v>516</v>
      </c>
      <c r="AB147" s="193">
        <v>300</v>
      </c>
      <c r="AC147" s="193" t="s">
        <v>517</v>
      </c>
      <c r="AD147" s="193" t="s">
        <v>152</v>
      </c>
      <c r="AE147" s="193">
        <v>300</v>
      </c>
      <c r="AF147" s="193" t="s">
        <v>518</v>
      </c>
      <c r="AG147" s="193" t="s">
        <v>519</v>
      </c>
      <c r="AH147" s="193">
        <v>0</v>
      </c>
      <c r="AI147" s="193">
        <v>300</v>
      </c>
      <c r="AJ147" s="193" t="s">
        <v>799</v>
      </c>
      <c r="AL147" s="197" t="s">
        <v>800</v>
      </c>
      <c r="AM147" s="193">
        <v>1</v>
      </c>
      <c r="AN147" s="193">
        <v>0</v>
      </c>
      <c r="AO147" s="193">
        <v>0</v>
      </c>
      <c r="AP147" s="193">
        <v>0</v>
      </c>
      <c r="AQ147" s="193" t="s">
        <v>214</v>
      </c>
      <c r="AS147" s="197" t="s">
        <v>518</v>
      </c>
      <c r="AT147" s="197" t="s">
        <v>519</v>
      </c>
      <c r="AV147" s="194">
        <v>138</v>
      </c>
      <c r="AW147" s="194">
        <v>0</v>
      </c>
      <c r="AX147" s="194">
        <v>0</v>
      </c>
      <c r="AY147" s="549">
        <v>138</v>
      </c>
      <c r="AZ147" s="194">
        <v>0</v>
      </c>
      <c r="BA147" s="194">
        <v>162</v>
      </c>
      <c r="BB147" s="551">
        <v>162</v>
      </c>
      <c r="BC147" s="551">
        <v>300</v>
      </c>
      <c r="BD147" s="551">
        <v>0</v>
      </c>
      <c r="BF147" s="550">
        <f t="shared" si="49"/>
        <v>138</v>
      </c>
      <c r="BG147" s="550">
        <f t="shared" si="50"/>
        <v>0</v>
      </c>
      <c r="BH147" s="550">
        <f t="shared" si="51"/>
        <v>0</v>
      </c>
      <c r="BI147" s="550">
        <f t="shared" si="52"/>
        <v>138</v>
      </c>
      <c r="BJ147" s="550">
        <f t="shared" si="53"/>
        <v>0</v>
      </c>
      <c r="BK147" s="550">
        <f t="shared" si="54"/>
        <v>162</v>
      </c>
      <c r="BL147" s="550">
        <f t="shared" si="55"/>
        <v>162</v>
      </c>
      <c r="BM147" s="550">
        <f t="shared" si="56"/>
        <v>300</v>
      </c>
      <c r="BO147" s="194"/>
      <c r="BQ147" s="193">
        <f t="shared" si="57"/>
        <v>0</v>
      </c>
      <c r="BR147" s="193">
        <f t="shared" si="58"/>
        <v>0</v>
      </c>
      <c r="BS147" s="193">
        <f t="shared" si="48"/>
        <v>0</v>
      </c>
      <c r="BT147" s="193">
        <f t="shared" si="48"/>
        <v>0</v>
      </c>
    </row>
    <row r="148" spans="1:72" ht="13.5" customHeight="1">
      <c r="A148" s="193" t="s">
        <v>378</v>
      </c>
      <c r="B148" s="193" t="s">
        <v>379</v>
      </c>
      <c r="C148" s="193" t="s">
        <v>214</v>
      </c>
      <c r="D148" s="193" t="s">
        <v>490</v>
      </c>
      <c r="E148" s="193" t="s">
        <v>491</v>
      </c>
      <c r="F148" s="193" t="s">
        <v>727</v>
      </c>
      <c r="G148" s="193" t="s">
        <v>727</v>
      </c>
      <c r="H148" s="193" t="s">
        <v>670</v>
      </c>
      <c r="I148" s="193" t="s">
        <v>512</v>
      </c>
      <c r="J148" s="193" t="s">
        <v>728</v>
      </c>
      <c r="K148" s="193" t="s">
        <v>386</v>
      </c>
      <c r="L148" s="193" t="s">
        <v>387</v>
      </c>
      <c r="M148" s="193" t="s">
        <v>378</v>
      </c>
      <c r="N148" s="193" t="s">
        <v>514</v>
      </c>
      <c r="O148" s="193" t="s">
        <v>129</v>
      </c>
      <c r="P148" s="193" t="s">
        <v>150</v>
      </c>
      <c r="Q148" s="193" t="s">
        <v>149</v>
      </c>
      <c r="R148" s="193" t="s">
        <v>148</v>
      </c>
      <c r="S148" s="193" t="s">
        <v>152</v>
      </c>
      <c r="T148" s="193" t="s">
        <v>389</v>
      </c>
      <c r="U148" s="193" t="s">
        <v>390</v>
      </c>
      <c r="V148" s="193">
        <v>0</v>
      </c>
      <c r="W148" s="193">
        <v>0</v>
      </c>
      <c r="X148" s="193">
        <v>0</v>
      </c>
      <c r="Y148" s="194">
        <v>310</v>
      </c>
      <c r="Z148" s="193" t="s">
        <v>515</v>
      </c>
      <c r="AA148" s="193" t="s">
        <v>516</v>
      </c>
      <c r="AB148" s="193">
        <v>310</v>
      </c>
      <c r="AC148" s="193" t="s">
        <v>517</v>
      </c>
      <c r="AD148" s="193" t="s">
        <v>152</v>
      </c>
      <c r="AE148" s="193">
        <v>310</v>
      </c>
      <c r="AF148" s="193" t="s">
        <v>518</v>
      </c>
      <c r="AG148" s="193" t="s">
        <v>519</v>
      </c>
      <c r="AH148" s="193">
        <v>0</v>
      </c>
      <c r="AI148" s="193">
        <v>310</v>
      </c>
      <c r="AJ148" s="193" t="s">
        <v>729</v>
      </c>
      <c r="AL148" s="197" t="s">
        <v>730</v>
      </c>
      <c r="AM148" s="193">
        <v>1</v>
      </c>
      <c r="AN148" s="193">
        <v>0</v>
      </c>
      <c r="AO148" s="193">
        <v>0</v>
      </c>
      <c r="AP148" s="193">
        <v>0</v>
      </c>
      <c r="AQ148" s="193" t="s">
        <v>214</v>
      </c>
      <c r="AS148" s="197" t="s">
        <v>518</v>
      </c>
      <c r="AT148" s="197" t="s">
        <v>519</v>
      </c>
      <c r="AV148" s="194">
        <v>143</v>
      </c>
      <c r="AW148" s="194">
        <v>0</v>
      </c>
      <c r="AX148" s="194">
        <v>0</v>
      </c>
      <c r="AY148" s="549">
        <v>143</v>
      </c>
      <c r="AZ148" s="194">
        <v>0</v>
      </c>
      <c r="BA148" s="194">
        <v>167</v>
      </c>
      <c r="BB148" s="551">
        <v>167</v>
      </c>
      <c r="BC148" s="551">
        <v>310</v>
      </c>
      <c r="BD148" s="551">
        <v>0</v>
      </c>
      <c r="BF148" s="550">
        <f t="shared" si="49"/>
        <v>143</v>
      </c>
      <c r="BG148" s="550">
        <f t="shared" si="50"/>
        <v>0</v>
      </c>
      <c r="BH148" s="550">
        <f t="shared" si="51"/>
        <v>0</v>
      </c>
      <c r="BI148" s="550">
        <f t="shared" si="52"/>
        <v>143</v>
      </c>
      <c r="BJ148" s="550">
        <f t="shared" si="53"/>
        <v>0</v>
      </c>
      <c r="BK148" s="550">
        <f t="shared" si="54"/>
        <v>167</v>
      </c>
      <c r="BL148" s="550">
        <f t="shared" si="55"/>
        <v>167</v>
      </c>
      <c r="BM148" s="550">
        <f t="shared" si="56"/>
        <v>310</v>
      </c>
      <c r="BO148" s="194"/>
      <c r="BQ148" s="193">
        <f t="shared" si="57"/>
        <v>0</v>
      </c>
      <c r="BR148" s="193">
        <f t="shared" si="58"/>
        <v>0</v>
      </c>
      <c r="BS148" s="193">
        <f t="shared" si="48"/>
        <v>0</v>
      </c>
      <c r="BT148" s="193">
        <f t="shared" si="48"/>
        <v>0</v>
      </c>
    </row>
    <row r="149" spans="1:72" ht="13.5" customHeight="1">
      <c r="A149" s="193" t="s">
        <v>378</v>
      </c>
      <c r="B149" s="193" t="s">
        <v>379</v>
      </c>
      <c r="C149" s="193" t="s">
        <v>214</v>
      </c>
      <c r="D149" s="193" t="s">
        <v>667</v>
      </c>
      <c r="E149" s="193" t="s">
        <v>668</v>
      </c>
      <c r="F149" s="193" t="s">
        <v>731</v>
      </c>
      <c r="G149" s="193" t="s">
        <v>731</v>
      </c>
      <c r="H149" s="193" t="s">
        <v>670</v>
      </c>
      <c r="I149" s="193" t="s">
        <v>512</v>
      </c>
      <c r="J149" s="193" t="s">
        <v>732</v>
      </c>
      <c r="K149" s="193" t="s">
        <v>386</v>
      </c>
      <c r="L149" s="193" t="s">
        <v>387</v>
      </c>
      <c r="M149" s="193" t="s">
        <v>378</v>
      </c>
      <c r="N149" s="193" t="s">
        <v>514</v>
      </c>
      <c r="O149" s="193" t="s">
        <v>129</v>
      </c>
      <c r="P149" s="193" t="s">
        <v>150</v>
      </c>
      <c r="Q149" s="193" t="s">
        <v>149</v>
      </c>
      <c r="R149" s="193" t="s">
        <v>148</v>
      </c>
      <c r="S149" s="193" t="s">
        <v>152</v>
      </c>
      <c r="T149" s="193" t="s">
        <v>389</v>
      </c>
      <c r="U149" s="193" t="s">
        <v>390</v>
      </c>
      <c r="V149" s="193">
        <v>0</v>
      </c>
      <c r="W149" s="193">
        <v>0</v>
      </c>
      <c r="X149" s="193">
        <v>0</v>
      </c>
      <c r="Y149" s="194">
        <v>600</v>
      </c>
      <c r="Z149" s="193" t="s">
        <v>515</v>
      </c>
      <c r="AA149" s="193" t="s">
        <v>516</v>
      </c>
      <c r="AB149" s="193">
        <v>600</v>
      </c>
      <c r="AC149" s="193" t="s">
        <v>517</v>
      </c>
      <c r="AD149" s="193" t="s">
        <v>152</v>
      </c>
      <c r="AE149" s="193">
        <v>600</v>
      </c>
      <c r="AF149" s="193" t="s">
        <v>518</v>
      </c>
      <c r="AG149" s="193" t="s">
        <v>519</v>
      </c>
      <c r="AH149" s="193">
        <v>0</v>
      </c>
      <c r="AI149" s="193">
        <v>600</v>
      </c>
      <c r="AJ149" s="193" t="s">
        <v>733</v>
      </c>
      <c r="AL149" s="197" t="s">
        <v>734</v>
      </c>
      <c r="AM149" s="193">
        <v>1</v>
      </c>
      <c r="AN149" s="193">
        <v>0</v>
      </c>
      <c r="AO149" s="193">
        <v>0</v>
      </c>
      <c r="AP149" s="193">
        <v>0</v>
      </c>
      <c r="AQ149" s="193" t="s">
        <v>214</v>
      </c>
      <c r="AS149" s="197" t="s">
        <v>518</v>
      </c>
      <c r="AT149" s="197" t="s">
        <v>519</v>
      </c>
      <c r="AV149" s="194">
        <v>276</v>
      </c>
      <c r="AW149" s="194">
        <v>0</v>
      </c>
      <c r="AX149" s="194">
        <v>0</v>
      </c>
      <c r="AY149" s="549">
        <v>276</v>
      </c>
      <c r="AZ149" s="194">
        <v>0</v>
      </c>
      <c r="BA149" s="194">
        <v>324</v>
      </c>
      <c r="BB149" s="551">
        <v>324</v>
      </c>
      <c r="BC149" s="551">
        <v>600</v>
      </c>
      <c r="BD149" s="551">
        <v>0</v>
      </c>
      <c r="BF149" s="550">
        <f t="shared" si="49"/>
        <v>276</v>
      </c>
      <c r="BG149" s="550">
        <f t="shared" si="50"/>
        <v>0</v>
      </c>
      <c r="BH149" s="550">
        <f t="shared" si="51"/>
        <v>0</v>
      </c>
      <c r="BI149" s="550">
        <f t="shared" si="52"/>
        <v>276</v>
      </c>
      <c r="BJ149" s="550">
        <f t="shared" si="53"/>
        <v>0</v>
      </c>
      <c r="BK149" s="550">
        <f t="shared" si="54"/>
        <v>324</v>
      </c>
      <c r="BL149" s="550">
        <f t="shared" si="55"/>
        <v>324</v>
      </c>
      <c r="BM149" s="550">
        <f t="shared" si="56"/>
        <v>600</v>
      </c>
      <c r="BO149" s="194"/>
      <c r="BQ149" s="193">
        <f t="shared" si="57"/>
        <v>0</v>
      </c>
      <c r="BR149" s="193">
        <f t="shared" si="58"/>
        <v>0</v>
      </c>
      <c r="BS149" s="193">
        <f t="shared" si="48"/>
        <v>0</v>
      </c>
      <c r="BT149" s="193">
        <f t="shared" si="48"/>
        <v>0</v>
      </c>
    </row>
    <row r="150" spans="1:72" ht="13.5" customHeight="1">
      <c r="A150" s="193" t="s">
        <v>378</v>
      </c>
      <c r="B150" s="193" t="s">
        <v>379</v>
      </c>
      <c r="C150" s="193" t="s">
        <v>214</v>
      </c>
      <c r="D150" s="193" t="s">
        <v>667</v>
      </c>
      <c r="E150" s="193" t="s">
        <v>668</v>
      </c>
      <c r="F150" s="193" t="s">
        <v>731</v>
      </c>
      <c r="G150" s="193" t="s">
        <v>731</v>
      </c>
      <c r="H150" s="193" t="s">
        <v>670</v>
      </c>
      <c r="I150" s="193" t="s">
        <v>512</v>
      </c>
      <c r="J150" s="193" t="s">
        <v>735</v>
      </c>
      <c r="K150" s="193" t="s">
        <v>386</v>
      </c>
      <c r="L150" s="193" t="s">
        <v>387</v>
      </c>
      <c r="M150" s="193" t="s">
        <v>378</v>
      </c>
      <c r="N150" s="193" t="s">
        <v>514</v>
      </c>
      <c r="O150" s="193" t="s">
        <v>129</v>
      </c>
      <c r="P150" s="193" t="s">
        <v>150</v>
      </c>
      <c r="Q150" s="193" t="s">
        <v>149</v>
      </c>
      <c r="R150" s="193" t="s">
        <v>148</v>
      </c>
      <c r="S150" s="193" t="s">
        <v>152</v>
      </c>
      <c r="T150" s="193" t="s">
        <v>389</v>
      </c>
      <c r="U150" s="193" t="s">
        <v>390</v>
      </c>
      <c r="V150" s="193">
        <v>0</v>
      </c>
      <c r="W150" s="193">
        <v>0</v>
      </c>
      <c r="X150" s="193">
        <v>0</v>
      </c>
      <c r="Y150" s="194">
        <v>300</v>
      </c>
      <c r="Z150" s="193" t="s">
        <v>515</v>
      </c>
      <c r="AA150" s="193" t="s">
        <v>516</v>
      </c>
      <c r="AB150" s="193">
        <v>300</v>
      </c>
      <c r="AC150" s="193" t="s">
        <v>517</v>
      </c>
      <c r="AD150" s="193" t="s">
        <v>152</v>
      </c>
      <c r="AE150" s="193">
        <v>300</v>
      </c>
      <c r="AF150" s="193" t="s">
        <v>518</v>
      </c>
      <c r="AG150" s="193" t="s">
        <v>519</v>
      </c>
      <c r="AH150" s="193">
        <v>0</v>
      </c>
      <c r="AI150" s="193">
        <v>300</v>
      </c>
      <c r="AJ150" s="193" t="s">
        <v>736</v>
      </c>
      <c r="AL150" s="197" t="s">
        <v>737</v>
      </c>
      <c r="AM150" s="193">
        <v>1</v>
      </c>
      <c r="AN150" s="193">
        <v>0</v>
      </c>
      <c r="AO150" s="193">
        <v>0</v>
      </c>
      <c r="AP150" s="193">
        <v>0</v>
      </c>
      <c r="AQ150" s="193" t="s">
        <v>214</v>
      </c>
      <c r="AS150" s="197" t="s">
        <v>518</v>
      </c>
      <c r="AT150" s="197" t="s">
        <v>519</v>
      </c>
      <c r="AV150" s="194">
        <v>138</v>
      </c>
      <c r="AW150" s="194">
        <v>0</v>
      </c>
      <c r="AX150" s="194">
        <v>0</v>
      </c>
      <c r="AY150" s="549">
        <v>138</v>
      </c>
      <c r="AZ150" s="194">
        <v>0</v>
      </c>
      <c r="BA150" s="194">
        <v>162</v>
      </c>
      <c r="BB150" s="551">
        <v>162</v>
      </c>
      <c r="BC150" s="551">
        <v>300</v>
      </c>
      <c r="BD150" s="551">
        <v>0</v>
      </c>
      <c r="BF150" s="550">
        <f t="shared" si="49"/>
        <v>138</v>
      </c>
      <c r="BG150" s="550">
        <f t="shared" si="50"/>
        <v>0</v>
      </c>
      <c r="BH150" s="550">
        <f t="shared" si="51"/>
        <v>0</v>
      </c>
      <c r="BI150" s="550">
        <f t="shared" si="52"/>
        <v>138</v>
      </c>
      <c r="BJ150" s="550">
        <f t="shared" si="53"/>
        <v>0</v>
      </c>
      <c r="BK150" s="550">
        <f t="shared" si="54"/>
        <v>162</v>
      </c>
      <c r="BL150" s="550">
        <f t="shared" si="55"/>
        <v>162</v>
      </c>
      <c r="BM150" s="550">
        <f t="shared" si="56"/>
        <v>300</v>
      </c>
      <c r="BO150" s="194"/>
      <c r="BQ150" s="193">
        <f t="shared" si="57"/>
        <v>0</v>
      </c>
      <c r="BR150" s="193">
        <f t="shared" si="58"/>
        <v>0</v>
      </c>
      <c r="BS150" s="193">
        <f t="shared" si="48"/>
        <v>0</v>
      </c>
      <c r="BT150" s="193">
        <f t="shared" si="48"/>
        <v>0</v>
      </c>
    </row>
    <row r="151" spans="1:72" ht="13.5" customHeight="1">
      <c r="A151" s="193" t="s">
        <v>378</v>
      </c>
      <c r="B151" s="193" t="s">
        <v>379</v>
      </c>
      <c r="C151" s="193" t="s">
        <v>214</v>
      </c>
      <c r="D151" s="193" t="s">
        <v>667</v>
      </c>
      <c r="E151" s="193" t="s">
        <v>668</v>
      </c>
      <c r="F151" s="193" t="s">
        <v>731</v>
      </c>
      <c r="G151" s="193" t="s">
        <v>731</v>
      </c>
      <c r="H151" s="193" t="s">
        <v>670</v>
      </c>
      <c r="I151" s="193" t="s">
        <v>512</v>
      </c>
      <c r="J151" s="193" t="s">
        <v>738</v>
      </c>
      <c r="K151" s="193" t="s">
        <v>386</v>
      </c>
      <c r="L151" s="193" t="s">
        <v>387</v>
      </c>
      <c r="M151" s="193" t="s">
        <v>378</v>
      </c>
      <c r="N151" s="193" t="s">
        <v>514</v>
      </c>
      <c r="O151" s="193" t="s">
        <v>129</v>
      </c>
      <c r="P151" s="193" t="s">
        <v>150</v>
      </c>
      <c r="Q151" s="193" t="s">
        <v>149</v>
      </c>
      <c r="R151" s="193" t="s">
        <v>148</v>
      </c>
      <c r="S151" s="193" t="s">
        <v>152</v>
      </c>
      <c r="T151" s="193" t="s">
        <v>389</v>
      </c>
      <c r="U151" s="193" t="s">
        <v>390</v>
      </c>
      <c r="V151" s="193">
        <v>0</v>
      </c>
      <c r="W151" s="193">
        <v>0</v>
      </c>
      <c r="X151" s="193">
        <v>0</v>
      </c>
      <c r="Y151" s="194">
        <v>1800</v>
      </c>
      <c r="Z151" s="193" t="s">
        <v>515</v>
      </c>
      <c r="AA151" s="193" t="s">
        <v>516</v>
      </c>
      <c r="AB151" s="193">
        <v>1800</v>
      </c>
      <c r="AC151" s="193" t="s">
        <v>517</v>
      </c>
      <c r="AD151" s="193" t="s">
        <v>152</v>
      </c>
      <c r="AE151" s="193">
        <v>1800</v>
      </c>
      <c r="AF151" s="193" t="s">
        <v>518</v>
      </c>
      <c r="AG151" s="193" t="s">
        <v>519</v>
      </c>
      <c r="AH151" s="193">
        <v>0</v>
      </c>
      <c r="AI151" s="193">
        <v>1800</v>
      </c>
      <c r="AJ151" s="193" t="s">
        <v>739</v>
      </c>
      <c r="AL151" s="197" t="s">
        <v>740</v>
      </c>
      <c r="AM151" s="193">
        <v>1</v>
      </c>
      <c r="AN151" s="193">
        <v>0</v>
      </c>
      <c r="AO151" s="193">
        <v>0</v>
      </c>
      <c r="AP151" s="193">
        <v>0</v>
      </c>
      <c r="AQ151" s="193" t="s">
        <v>214</v>
      </c>
      <c r="AS151" s="197" t="s">
        <v>518</v>
      </c>
      <c r="AT151" s="197" t="s">
        <v>519</v>
      </c>
      <c r="AV151" s="194">
        <v>828</v>
      </c>
      <c r="AW151" s="194">
        <v>0</v>
      </c>
      <c r="AX151" s="194">
        <v>0</v>
      </c>
      <c r="AY151" s="549">
        <v>828</v>
      </c>
      <c r="AZ151" s="194">
        <v>0</v>
      </c>
      <c r="BA151" s="194">
        <v>972</v>
      </c>
      <c r="BB151" s="551">
        <v>972</v>
      </c>
      <c r="BC151" s="551">
        <v>1800</v>
      </c>
      <c r="BD151" s="551">
        <v>0</v>
      </c>
      <c r="BF151" s="550">
        <f t="shared" si="49"/>
        <v>828</v>
      </c>
      <c r="BG151" s="550">
        <f t="shared" si="50"/>
        <v>0</v>
      </c>
      <c r="BH151" s="550">
        <f t="shared" si="51"/>
        <v>0</v>
      </c>
      <c r="BI151" s="550">
        <f t="shared" si="52"/>
        <v>828</v>
      </c>
      <c r="BJ151" s="550">
        <f t="shared" si="53"/>
        <v>0</v>
      </c>
      <c r="BK151" s="550">
        <f t="shared" si="54"/>
        <v>972</v>
      </c>
      <c r="BL151" s="550">
        <f t="shared" si="55"/>
        <v>972</v>
      </c>
      <c r="BM151" s="550">
        <f t="shared" si="56"/>
        <v>1800</v>
      </c>
      <c r="BO151" s="194"/>
      <c r="BQ151" s="193">
        <f t="shared" si="57"/>
        <v>0</v>
      </c>
      <c r="BR151" s="193">
        <f t="shared" si="58"/>
        <v>0</v>
      </c>
      <c r="BS151" s="193">
        <f t="shared" si="48"/>
        <v>0</v>
      </c>
      <c r="BT151" s="193">
        <f t="shared" si="48"/>
        <v>0</v>
      </c>
    </row>
    <row r="152" spans="1:72" ht="13.5" customHeight="1">
      <c r="A152" s="193" t="s">
        <v>378</v>
      </c>
      <c r="B152" s="193" t="s">
        <v>379</v>
      </c>
      <c r="C152" s="193" t="s">
        <v>214</v>
      </c>
      <c r="D152" s="193" t="s">
        <v>667</v>
      </c>
      <c r="E152" s="193" t="s">
        <v>668</v>
      </c>
      <c r="F152" s="193" t="s">
        <v>749</v>
      </c>
      <c r="G152" s="193" t="s">
        <v>749</v>
      </c>
      <c r="H152" s="193" t="s">
        <v>651</v>
      </c>
      <c r="I152" s="193" t="s">
        <v>512</v>
      </c>
      <c r="J152" s="193" t="s">
        <v>750</v>
      </c>
      <c r="K152" s="193" t="s">
        <v>386</v>
      </c>
      <c r="L152" s="193" t="s">
        <v>387</v>
      </c>
      <c r="M152" s="193" t="s">
        <v>378</v>
      </c>
      <c r="N152" s="193" t="s">
        <v>514</v>
      </c>
      <c r="O152" s="193" t="s">
        <v>129</v>
      </c>
      <c r="P152" s="193" t="s">
        <v>150</v>
      </c>
      <c r="Q152" s="193" t="s">
        <v>149</v>
      </c>
      <c r="R152" s="193" t="s">
        <v>148</v>
      </c>
      <c r="S152" s="193" t="s">
        <v>152</v>
      </c>
      <c r="T152" s="193" t="s">
        <v>389</v>
      </c>
      <c r="U152" s="193" t="s">
        <v>390</v>
      </c>
      <c r="V152" s="193">
        <v>0</v>
      </c>
      <c r="W152" s="193">
        <v>0</v>
      </c>
      <c r="X152" s="193">
        <v>0</v>
      </c>
      <c r="Y152" s="194">
        <v>600</v>
      </c>
      <c r="Z152" s="193" t="s">
        <v>515</v>
      </c>
      <c r="AA152" s="193" t="s">
        <v>516</v>
      </c>
      <c r="AB152" s="193">
        <v>600</v>
      </c>
      <c r="AC152" s="193" t="s">
        <v>517</v>
      </c>
      <c r="AD152" s="193" t="s">
        <v>152</v>
      </c>
      <c r="AE152" s="193">
        <v>600</v>
      </c>
      <c r="AF152" s="193" t="s">
        <v>518</v>
      </c>
      <c r="AG152" s="193" t="s">
        <v>519</v>
      </c>
      <c r="AH152" s="193">
        <v>0</v>
      </c>
      <c r="AI152" s="193">
        <v>600</v>
      </c>
      <c r="AJ152" s="193" t="s">
        <v>751</v>
      </c>
      <c r="AL152" s="197" t="s">
        <v>752</v>
      </c>
      <c r="AM152" s="193">
        <v>1</v>
      </c>
      <c r="AN152" s="193">
        <v>0</v>
      </c>
      <c r="AO152" s="193">
        <v>0</v>
      </c>
      <c r="AP152" s="193">
        <v>0</v>
      </c>
      <c r="AQ152" s="193" t="s">
        <v>214</v>
      </c>
      <c r="AS152" s="197" t="s">
        <v>518</v>
      </c>
      <c r="AT152" s="197" t="s">
        <v>519</v>
      </c>
      <c r="AV152" s="194">
        <v>276</v>
      </c>
      <c r="AW152" s="194">
        <v>0</v>
      </c>
      <c r="AX152" s="194">
        <v>0</v>
      </c>
      <c r="AY152" s="549">
        <v>276</v>
      </c>
      <c r="AZ152" s="194">
        <v>0</v>
      </c>
      <c r="BA152" s="194">
        <v>324</v>
      </c>
      <c r="BB152" s="551">
        <v>324</v>
      </c>
      <c r="BC152" s="551">
        <v>600</v>
      </c>
      <c r="BD152" s="551">
        <v>0</v>
      </c>
      <c r="BF152" s="550">
        <f t="shared" si="49"/>
        <v>276</v>
      </c>
      <c r="BG152" s="550">
        <f t="shared" si="50"/>
        <v>0</v>
      </c>
      <c r="BH152" s="550">
        <f t="shared" si="51"/>
        <v>0</v>
      </c>
      <c r="BI152" s="550">
        <f t="shared" si="52"/>
        <v>276</v>
      </c>
      <c r="BJ152" s="550">
        <f t="shared" si="53"/>
        <v>0</v>
      </c>
      <c r="BK152" s="550">
        <f t="shared" si="54"/>
        <v>324</v>
      </c>
      <c r="BL152" s="550">
        <f t="shared" si="55"/>
        <v>324</v>
      </c>
      <c r="BM152" s="550">
        <f t="shared" si="56"/>
        <v>600</v>
      </c>
      <c r="BO152" s="194"/>
      <c r="BQ152" s="193">
        <f t="shared" si="57"/>
        <v>0</v>
      </c>
      <c r="BR152" s="193">
        <f t="shared" si="58"/>
        <v>0</v>
      </c>
      <c r="BS152" s="193">
        <f t="shared" si="48"/>
        <v>0</v>
      </c>
      <c r="BT152" s="193">
        <f t="shared" si="48"/>
        <v>0</v>
      </c>
    </row>
    <row r="153" spans="1:72" ht="13.5" customHeight="1">
      <c r="A153" s="193" t="s">
        <v>378</v>
      </c>
      <c r="B153" s="193" t="s">
        <v>379</v>
      </c>
      <c r="C153" s="193" t="s">
        <v>214</v>
      </c>
      <c r="D153" s="193" t="s">
        <v>667</v>
      </c>
      <c r="E153" s="193" t="s">
        <v>668</v>
      </c>
      <c r="F153" s="193" t="s">
        <v>749</v>
      </c>
      <c r="G153" s="193" t="s">
        <v>749</v>
      </c>
      <c r="H153" s="193" t="s">
        <v>651</v>
      </c>
      <c r="I153" s="193" t="s">
        <v>512</v>
      </c>
      <c r="J153" s="193" t="s">
        <v>750</v>
      </c>
      <c r="K153" s="193" t="s">
        <v>386</v>
      </c>
      <c r="L153" s="193" t="s">
        <v>531</v>
      </c>
      <c r="M153" s="193" t="s">
        <v>378</v>
      </c>
      <c r="N153" s="193" t="s">
        <v>514</v>
      </c>
      <c r="O153" s="193" t="s">
        <v>129</v>
      </c>
      <c r="P153" s="193" t="s">
        <v>150</v>
      </c>
      <c r="Q153" s="193" t="s">
        <v>149</v>
      </c>
      <c r="R153" s="193" t="s">
        <v>148</v>
      </c>
      <c r="S153" s="193" t="s">
        <v>152</v>
      </c>
      <c r="T153" s="193" t="s">
        <v>389</v>
      </c>
      <c r="U153" s="193" t="s">
        <v>390</v>
      </c>
      <c r="V153" s="193">
        <v>0</v>
      </c>
      <c r="W153" s="193">
        <v>0</v>
      </c>
      <c r="X153" s="193">
        <v>0</v>
      </c>
      <c r="Y153" s="194">
        <v>300</v>
      </c>
      <c r="Z153" s="193" t="s">
        <v>515</v>
      </c>
      <c r="AA153" s="193" t="s">
        <v>516</v>
      </c>
      <c r="AB153" s="193">
        <v>300</v>
      </c>
      <c r="AC153" s="193" t="s">
        <v>517</v>
      </c>
      <c r="AD153" s="193" t="s">
        <v>152</v>
      </c>
      <c r="AE153" s="193">
        <v>300</v>
      </c>
      <c r="AF153" s="193" t="s">
        <v>518</v>
      </c>
      <c r="AG153" s="193" t="s">
        <v>519</v>
      </c>
      <c r="AH153" s="193">
        <v>0</v>
      </c>
      <c r="AI153" s="193">
        <v>300</v>
      </c>
      <c r="AJ153" s="193" t="s">
        <v>753</v>
      </c>
      <c r="AL153" s="197" t="s">
        <v>754</v>
      </c>
      <c r="AM153" s="193">
        <v>1</v>
      </c>
      <c r="AN153" s="193">
        <v>0</v>
      </c>
      <c r="AO153" s="193">
        <v>0</v>
      </c>
      <c r="AP153" s="193">
        <v>0</v>
      </c>
      <c r="AQ153" s="193" t="s">
        <v>214</v>
      </c>
      <c r="AS153" s="197" t="s">
        <v>518</v>
      </c>
      <c r="AT153" s="197" t="s">
        <v>519</v>
      </c>
      <c r="AV153" s="194">
        <v>138</v>
      </c>
      <c r="AW153" s="194">
        <v>0</v>
      </c>
      <c r="AX153" s="194">
        <v>0</v>
      </c>
      <c r="AY153" s="549">
        <v>138</v>
      </c>
      <c r="AZ153" s="194">
        <v>0</v>
      </c>
      <c r="BA153" s="194">
        <v>162</v>
      </c>
      <c r="BB153" s="551">
        <v>162</v>
      </c>
      <c r="BC153" s="551">
        <v>300</v>
      </c>
      <c r="BD153" s="551">
        <v>0</v>
      </c>
      <c r="BF153" s="550">
        <f t="shared" si="49"/>
        <v>138</v>
      </c>
      <c r="BG153" s="550">
        <f t="shared" si="50"/>
        <v>0</v>
      </c>
      <c r="BH153" s="550">
        <f t="shared" si="51"/>
        <v>0</v>
      </c>
      <c r="BI153" s="550">
        <f t="shared" si="52"/>
        <v>138</v>
      </c>
      <c r="BJ153" s="550">
        <f t="shared" si="53"/>
        <v>0</v>
      </c>
      <c r="BK153" s="550">
        <f t="shared" si="54"/>
        <v>162</v>
      </c>
      <c r="BL153" s="550">
        <f t="shared" si="55"/>
        <v>162</v>
      </c>
      <c r="BM153" s="550">
        <f t="shared" si="56"/>
        <v>300</v>
      </c>
      <c r="BO153" s="194"/>
      <c r="BQ153" s="193">
        <f t="shared" si="57"/>
        <v>0</v>
      </c>
      <c r="BR153" s="193">
        <f t="shared" si="58"/>
        <v>0</v>
      </c>
      <c r="BS153" s="193">
        <f t="shared" si="48"/>
        <v>0</v>
      </c>
      <c r="BT153" s="193">
        <f t="shared" si="48"/>
        <v>0</v>
      </c>
    </row>
    <row r="154" spans="1:72" ht="13.5" customHeight="1">
      <c r="A154" s="193" t="s">
        <v>378</v>
      </c>
      <c r="B154" s="193" t="s">
        <v>379</v>
      </c>
      <c r="C154" s="193" t="s">
        <v>214</v>
      </c>
      <c r="D154" s="193" t="s">
        <v>490</v>
      </c>
      <c r="E154" s="193" t="s">
        <v>491</v>
      </c>
      <c r="F154" s="193" t="s">
        <v>755</v>
      </c>
      <c r="G154" s="193" t="s">
        <v>755</v>
      </c>
      <c r="H154" s="193" t="s">
        <v>651</v>
      </c>
      <c r="I154" s="193" t="s">
        <v>512</v>
      </c>
      <c r="J154" s="193" t="s">
        <v>756</v>
      </c>
      <c r="K154" s="193" t="s">
        <v>386</v>
      </c>
      <c r="L154" s="193" t="s">
        <v>387</v>
      </c>
      <c r="M154" s="193" t="s">
        <v>378</v>
      </c>
      <c r="N154" s="193" t="s">
        <v>514</v>
      </c>
      <c r="O154" s="193" t="s">
        <v>129</v>
      </c>
      <c r="P154" s="193" t="s">
        <v>150</v>
      </c>
      <c r="Q154" s="193" t="s">
        <v>149</v>
      </c>
      <c r="R154" s="193" t="s">
        <v>148</v>
      </c>
      <c r="S154" s="193" t="s">
        <v>152</v>
      </c>
      <c r="T154" s="193" t="s">
        <v>389</v>
      </c>
      <c r="U154" s="193" t="s">
        <v>390</v>
      </c>
      <c r="V154" s="193">
        <v>0</v>
      </c>
      <c r="W154" s="193">
        <v>0</v>
      </c>
      <c r="X154" s="193">
        <v>0</v>
      </c>
      <c r="Y154" s="194">
        <v>200</v>
      </c>
      <c r="Z154" s="193" t="s">
        <v>515</v>
      </c>
      <c r="AA154" s="193" t="s">
        <v>516</v>
      </c>
      <c r="AB154" s="193">
        <v>200</v>
      </c>
      <c r="AC154" s="193" t="s">
        <v>517</v>
      </c>
      <c r="AD154" s="193" t="s">
        <v>152</v>
      </c>
      <c r="AE154" s="193">
        <v>200</v>
      </c>
      <c r="AF154" s="193" t="s">
        <v>518</v>
      </c>
      <c r="AG154" s="193" t="s">
        <v>519</v>
      </c>
      <c r="AH154" s="193">
        <v>0</v>
      </c>
      <c r="AI154" s="193">
        <v>200</v>
      </c>
      <c r="AJ154" s="193" t="s">
        <v>757</v>
      </c>
      <c r="AL154" s="197" t="s">
        <v>758</v>
      </c>
      <c r="AM154" s="193">
        <v>1</v>
      </c>
      <c r="AN154" s="193">
        <v>0</v>
      </c>
      <c r="AO154" s="193">
        <v>0</v>
      </c>
      <c r="AP154" s="193">
        <v>0</v>
      </c>
      <c r="AQ154" s="193" t="s">
        <v>214</v>
      </c>
      <c r="AS154" s="197" t="s">
        <v>518</v>
      </c>
      <c r="AT154" s="197" t="s">
        <v>519</v>
      </c>
      <c r="AV154" s="194">
        <v>92</v>
      </c>
      <c r="AW154" s="194">
        <v>0</v>
      </c>
      <c r="AX154" s="194">
        <v>0</v>
      </c>
      <c r="AY154" s="549">
        <v>92</v>
      </c>
      <c r="AZ154" s="194">
        <v>0</v>
      </c>
      <c r="BA154" s="194">
        <v>108</v>
      </c>
      <c r="BB154" s="551">
        <v>108</v>
      </c>
      <c r="BC154" s="551">
        <v>200</v>
      </c>
      <c r="BD154" s="551">
        <v>0</v>
      </c>
      <c r="BF154" s="550">
        <f t="shared" si="49"/>
        <v>92</v>
      </c>
      <c r="BG154" s="550">
        <f t="shared" si="50"/>
        <v>0</v>
      </c>
      <c r="BH154" s="550">
        <f t="shared" si="51"/>
        <v>0</v>
      </c>
      <c r="BI154" s="550">
        <f t="shared" si="52"/>
        <v>92</v>
      </c>
      <c r="BJ154" s="550">
        <f t="shared" si="53"/>
        <v>0</v>
      </c>
      <c r="BK154" s="550">
        <f t="shared" si="54"/>
        <v>108</v>
      </c>
      <c r="BL154" s="550">
        <f t="shared" si="55"/>
        <v>108</v>
      </c>
      <c r="BM154" s="550">
        <f t="shared" si="56"/>
        <v>200</v>
      </c>
      <c r="BO154" s="194"/>
      <c r="BQ154" s="193">
        <f t="shared" si="57"/>
        <v>0</v>
      </c>
      <c r="BR154" s="193">
        <f t="shared" si="58"/>
        <v>0</v>
      </c>
      <c r="BS154" s="193">
        <f t="shared" si="48"/>
        <v>0</v>
      </c>
      <c r="BT154" s="193">
        <f t="shared" si="48"/>
        <v>0</v>
      </c>
    </row>
    <row r="155" spans="1:72" ht="13.5" customHeight="1">
      <c r="A155" s="193" t="s">
        <v>378</v>
      </c>
      <c r="B155" s="193" t="s">
        <v>379</v>
      </c>
      <c r="C155" s="193" t="s">
        <v>214</v>
      </c>
      <c r="D155" s="193" t="s">
        <v>667</v>
      </c>
      <c r="E155" s="193" t="s">
        <v>668</v>
      </c>
      <c r="F155" s="193" t="s">
        <v>759</v>
      </c>
      <c r="G155" s="193" t="s">
        <v>759</v>
      </c>
      <c r="H155" s="193" t="s">
        <v>651</v>
      </c>
      <c r="I155" s="193" t="s">
        <v>512</v>
      </c>
      <c r="J155" s="193" t="s">
        <v>760</v>
      </c>
      <c r="K155" s="193" t="s">
        <v>386</v>
      </c>
      <c r="L155" s="193" t="s">
        <v>387</v>
      </c>
      <c r="M155" s="193" t="s">
        <v>378</v>
      </c>
      <c r="N155" s="193" t="s">
        <v>514</v>
      </c>
      <c r="O155" s="193" t="s">
        <v>129</v>
      </c>
      <c r="P155" s="193" t="s">
        <v>150</v>
      </c>
      <c r="Q155" s="193" t="s">
        <v>149</v>
      </c>
      <c r="R155" s="193" t="s">
        <v>148</v>
      </c>
      <c r="S155" s="193" t="s">
        <v>152</v>
      </c>
      <c r="T155" s="193" t="s">
        <v>389</v>
      </c>
      <c r="U155" s="193" t="s">
        <v>390</v>
      </c>
      <c r="V155" s="193">
        <v>0</v>
      </c>
      <c r="W155" s="193">
        <v>0</v>
      </c>
      <c r="X155" s="193">
        <v>0</v>
      </c>
      <c r="Y155" s="194">
        <v>300</v>
      </c>
      <c r="Z155" s="193" t="s">
        <v>515</v>
      </c>
      <c r="AA155" s="193" t="s">
        <v>516</v>
      </c>
      <c r="AB155" s="193">
        <v>300</v>
      </c>
      <c r="AC155" s="193" t="s">
        <v>517</v>
      </c>
      <c r="AD155" s="193" t="s">
        <v>152</v>
      </c>
      <c r="AE155" s="193">
        <v>300</v>
      </c>
      <c r="AF155" s="193" t="s">
        <v>518</v>
      </c>
      <c r="AG155" s="193" t="s">
        <v>519</v>
      </c>
      <c r="AH155" s="193">
        <v>0</v>
      </c>
      <c r="AI155" s="193">
        <v>300</v>
      </c>
      <c r="AJ155" s="193" t="s">
        <v>761</v>
      </c>
      <c r="AL155" s="197" t="s">
        <v>762</v>
      </c>
      <c r="AM155" s="193">
        <v>1</v>
      </c>
      <c r="AN155" s="193">
        <v>0</v>
      </c>
      <c r="AO155" s="193">
        <v>0</v>
      </c>
      <c r="AP155" s="193">
        <v>0</v>
      </c>
      <c r="AQ155" s="193" t="s">
        <v>214</v>
      </c>
      <c r="AS155" s="197" t="s">
        <v>518</v>
      </c>
      <c r="AT155" s="197" t="s">
        <v>519</v>
      </c>
      <c r="AV155" s="194">
        <v>138</v>
      </c>
      <c r="AW155" s="194">
        <v>0</v>
      </c>
      <c r="AX155" s="194">
        <v>0</v>
      </c>
      <c r="AY155" s="549">
        <v>138</v>
      </c>
      <c r="AZ155" s="194">
        <v>0</v>
      </c>
      <c r="BA155" s="194">
        <v>162</v>
      </c>
      <c r="BB155" s="551">
        <v>162</v>
      </c>
      <c r="BC155" s="551">
        <v>300</v>
      </c>
      <c r="BD155" s="551">
        <v>0</v>
      </c>
      <c r="BF155" s="550">
        <f t="shared" si="49"/>
        <v>138</v>
      </c>
      <c r="BG155" s="550">
        <f t="shared" si="50"/>
        <v>0</v>
      </c>
      <c r="BH155" s="550">
        <f t="shared" si="51"/>
        <v>0</v>
      </c>
      <c r="BI155" s="550">
        <f t="shared" si="52"/>
        <v>138</v>
      </c>
      <c r="BJ155" s="550">
        <f t="shared" si="53"/>
        <v>0</v>
      </c>
      <c r="BK155" s="550">
        <f t="shared" si="54"/>
        <v>162</v>
      </c>
      <c r="BL155" s="550">
        <f t="shared" si="55"/>
        <v>162</v>
      </c>
      <c r="BM155" s="550">
        <f t="shared" si="56"/>
        <v>300</v>
      </c>
      <c r="BO155" s="194"/>
      <c r="BQ155" s="193">
        <f t="shared" si="57"/>
        <v>0</v>
      </c>
      <c r="BR155" s="193">
        <f t="shared" si="58"/>
        <v>0</v>
      </c>
      <c r="BS155" s="193">
        <f t="shared" si="48"/>
        <v>0</v>
      </c>
      <c r="BT155" s="193">
        <f t="shared" si="48"/>
        <v>0</v>
      </c>
    </row>
    <row r="156" spans="1:72" ht="13.5" customHeight="1">
      <c r="A156" s="193" t="s">
        <v>378</v>
      </c>
      <c r="B156" s="193" t="s">
        <v>379</v>
      </c>
      <c r="C156" s="193" t="s">
        <v>214</v>
      </c>
      <c r="D156" s="193" t="s">
        <v>667</v>
      </c>
      <c r="E156" s="193" t="s">
        <v>668</v>
      </c>
      <c r="F156" s="193" t="s">
        <v>805</v>
      </c>
      <c r="G156" s="193" t="s">
        <v>805</v>
      </c>
      <c r="H156" s="193" t="s">
        <v>651</v>
      </c>
      <c r="I156" s="193" t="s">
        <v>512</v>
      </c>
      <c r="J156" s="193" t="s">
        <v>806</v>
      </c>
      <c r="K156" s="193" t="s">
        <v>386</v>
      </c>
      <c r="L156" s="193" t="s">
        <v>387</v>
      </c>
      <c r="M156" s="193" t="s">
        <v>378</v>
      </c>
      <c r="N156" s="193" t="s">
        <v>514</v>
      </c>
      <c r="O156" s="193" t="s">
        <v>129</v>
      </c>
      <c r="P156" s="193" t="s">
        <v>150</v>
      </c>
      <c r="Q156" s="193" t="s">
        <v>149</v>
      </c>
      <c r="R156" s="193" t="s">
        <v>148</v>
      </c>
      <c r="S156" s="193" t="s">
        <v>152</v>
      </c>
      <c r="T156" s="193" t="s">
        <v>389</v>
      </c>
      <c r="U156" s="193" t="s">
        <v>390</v>
      </c>
      <c r="V156" s="193">
        <v>0</v>
      </c>
      <c r="W156" s="193">
        <v>0</v>
      </c>
      <c r="X156" s="193">
        <v>0</v>
      </c>
      <c r="Y156" s="194">
        <v>300</v>
      </c>
      <c r="Z156" s="193" t="s">
        <v>515</v>
      </c>
      <c r="AA156" s="193" t="s">
        <v>516</v>
      </c>
      <c r="AB156" s="193">
        <v>300</v>
      </c>
      <c r="AC156" s="193" t="s">
        <v>517</v>
      </c>
      <c r="AD156" s="193" t="s">
        <v>152</v>
      </c>
      <c r="AE156" s="193">
        <v>300</v>
      </c>
      <c r="AF156" s="193" t="s">
        <v>518</v>
      </c>
      <c r="AG156" s="193" t="s">
        <v>519</v>
      </c>
      <c r="AH156" s="193">
        <v>0</v>
      </c>
      <c r="AI156" s="193">
        <v>300</v>
      </c>
      <c r="AJ156" s="193" t="s">
        <v>807</v>
      </c>
      <c r="AL156" s="197" t="s">
        <v>808</v>
      </c>
      <c r="AM156" s="193">
        <v>1</v>
      </c>
      <c r="AN156" s="193">
        <v>0</v>
      </c>
      <c r="AO156" s="193">
        <v>0</v>
      </c>
      <c r="AP156" s="193">
        <v>0</v>
      </c>
      <c r="AQ156" s="193" t="s">
        <v>214</v>
      </c>
      <c r="AS156" s="197" t="s">
        <v>518</v>
      </c>
      <c r="AT156" s="197" t="s">
        <v>519</v>
      </c>
      <c r="AV156" s="194">
        <v>138</v>
      </c>
      <c r="AW156" s="194">
        <v>0</v>
      </c>
      <c r="AX156" s="194">
        <v>0</v>
      </c>
      <c r="AY156" s="549">
        <v>138</v>
      </c>
      <c r="AZ156" s="194">
        <v>0</v>
      </c>
      <c r="BA156" s="194">
        <v>162</v>
      </c>
      <c r="BB156" s="551">
        <v>162</v>
      </c>
      <c r="BC156" s="551">
        <v>300</v>
      </c>
      <c r="BD156" s="551">
        <v>0</v>
      </c>
      <c r="BF156" s="550">
        <f t="shared" si="49"/>
        <v>138</v>
      </c>
      <c r="BG156" s="550">
        <f t="shared" si="50"/>
        <v>0</v>
      </c>
      <c r="BH156" s="550">
        <f t="shared" si="51"/>
        <v>0</v>
      </c>
      <c r="BI156" s="550">
        <f t="shared" si="52"/>
        <v>138</v>
      </c>
      <c r="BJ156" s="550">
        <f t="shared" si="53"/>
        <v>0</v>
      </c>
      <c r="BK156" s="550">
        <f t="shared" si="54"/>
        <v>162</v>
      </c>
      <c r="BL156" s="550">
        <f t="shared" si="55"/>
        <v>162</v>
      </c>
      <c r="BM156" s="550">
        <f t="shared" si="56"/>
        <v>300</v>
      </c>
      <c r="BO156" s="194"/>
      <c r="BQ156" s="193">
        <f t="shared" si="57"/>
        <v>0</v>
      </c>
      <c r="BR156" s="193">
        <f t="shared" si="58"/>
        <v>0</v>
      </c>
      <c r="BS156" s="193">
        <f t="shared" si="48"/>
        <v>0</v>
      </c>
      <c r="BT156" s="193">
        <f t="shared" si="48"/>
        <v>0</v>
      </c>
    </row>
    <row r="157" spans="1:72" ht="13.5" customHeight="1">
      <c r="A157" s="193" t="s">
        <v>378</v>
      </c>
      <c r="B157" s="193" t="s">
        <v>379</v>
      </c>
      <c r="C157" s="193" t="s">
        <v>214</v>
      </c>
      <c r="D157" s="193" t="s">
        <v>490</v>
      </c>
      <c r="E157" s="193" t="s">
        <v>491</v>
      </c>
      <c r="F157" s="193" t="s">
        <v>801</v>
      </c>
      <c r="G157" s="193" t="s">
        <v>801</v>
      </c>
      <c r="H157" s="193" t="s">
        <v>651</v>
      </c>
      <c r="I157" s="193" t="s">
        <v>512</v>
      </c>
      <c r="J157" s="193" t="s">
        <v>802</v>
      </c>
      <c r="K157" s="193" t="s">
        <v>386</v>
      </c>
      <c r="L157" s="193" t="s">
        <v>387</v>
      </c>
      <c r="M157" s="193" t="s">
        <v>378</v>
      </c>
      <c r="N157" s="193" t="s">
        <v>514</v>
      </c>
      <c r="O157" s="193" t="s">
        <v>129</v>
      </c>
      <c r="P157" s="193" t="s">
        <v>150</v>
      </c>
      <c r="Q157" s="193" t="s">
        <v>149</v>
      </c>
      <c r="R157" s="193" t="s">
        <v>148</v>
      </c>
      <c r="S157" s="193" t="s">
        <v>152</v>
      </c>
      <c r="T157" s="193" t="s">
        <v>389</v>
      </c>
      <c r="U157" s="193" t="s">
        <v>390</v>
      </c>
      <c r="V157" s="193">
        <v>0</v>
      </c>
      <c r="W157" s="193">
        <v>0</v>
      </c>
      <c r="X157" s="193">
        <v>0</v>
      </c>
      <c r="Y157" s="194">
        <v>470</v>
      </c>
      <c r="Z157" s="193" t="s">
        <v>515</v>
      </c>
      <c r="AA157" s="193" t="s">
        <v>516</v>
      </c>
      <c r="AB157" s="193">
        <v>470</v>
      </c>
      <c r="AC157" s="193" t="s">
        <v>517</v>
      </c>
      <c r="AD157" s="193" t="s">
        <v>152</v>
      </c>
      <c r="AE157" s="193">
        <v>470</v>
      </c>
      <c r="AF157" s="193" t="s">
        <v>518</v>
      </c>
      <c r="AG157" s="193" t="s">
        <v>519</v>
      </c>
      <c r="AH157" s="193">
        <v>0</v>
      </c>
      <c r="AI157" s="193">
        <v>470</v>
      </c>
      <c r="AJ157" s="193" t="s">
        <v>803</v>
      </c>
      <c r="AL157" s="197" t="s">
        <v>804</v>
      </c>
      <c r="AM157" s="193">
        <v>1</v>
      </c>
      <c r="AN157" s="193">
        <v>0</v>
      </c>
      <c r="AO157" s="193">
        <v>0</v>
      </c>
      <c r="AP157" s="193">
        <v>0</v>
      </c>
      <c r="AQ157" s="193" t="s">
        <v>214</v>
      </c>
      <c r="AS157" s="197" t="s">
        <v>518</v>
      </c>
      <c r="AT157" s="197" t="s">
        <v>519</v>
      </c>
      <c r="AV157" s="194">
        <v>216</v>
      </c>
      <c r="AW157" s="194">
        <v>0</v>
      </c>
      <c r="AX157" s="194">
        <v>0</v>
      </c>
      <c r="AY157" s="549">
        <v>216</v>
      </c>
      <c r="AZ157" s="194">
        <v>0</v>
      </c>
      <c r="BA157" s="194">
        <v>254</v>
      </c>
      <c r="BB157" s="551">
        <v>254</v>
      </c>
      <c r="BC157" s="551">
        <v>470</v>
      </c>
      <c r="BD157" s="551">
        <v>0</v>
      </c>
      <c r="BF157" s="550">
        <f t="shared" si="49"/>
        <v>216</v>
      </c>
      <c r="BG157" s="550">
        <f t="shared" si="50"/>
        <v>0</v>
      </c>
      <c r="BH157" s="550">
        <f t="shared" si="51"/>
        <v>0</v>
      </c>
      <c r="BI157" s="550">
        <f t="shared" si="52"/>
        <v>216</v>
      </c>
      <c r="BJ157" s="550">
        <f t="shared" si="53"/>
        <v>0</v>
      </c>
      <c r="BK157" s="550">
        <f t="shared" si="54"/>
        <v>254</v>
      </c>
      <c r="BL157" s="550">
        <f t="shared" si="55"/>
        <v>254</v>
      </c>
      <c r="BM157" s="550">
        <f t="shared" si="56"/>
        <v>470</v>
      </c>
      <c r="BO157" s="194"/>
      <c r="BQ157" s="193">
        <f t="shared" si="57"/>
        <v>0</v>
      </c>
      <c r="BR157" s="193">
        <f t="shared" si="58"/>
        <v>0</v>
      </c>
      <c r="BS157" s="193">
        <f t="shared" si="48"/>
        <v>0</v>
      </c>
      <c r="BT157" s="193">
        <f t="shared" si="48"/>
        <v>0</v>
      </c>
    </row>
    <row r="158" spans="1:72" ht="13.5" customHeight="1">
      <c r="A158" s="193" t="s">
        <v>378</v>
      </c>
      <c r="B158" s="193" t="s">
        <v>379</v>
      </c>
      <c r="C158" s="193" t="s">
        <v>214</v>
      </c>
      <c r="D158" s="193" t="s">
        <v>667</v>
      </c>
      <c r="E158" s="193" t="s">
        <v>668</v>
      </c>
      <c r="F158" s="193" t="s">
        <v>855</v>
      </c>
      <c r="G158" s="193" t="s">
        <v>855</v>
      </c>
      <c r="H158" s="193" t="s">
        <v>651</v>
      </c>
      <c r="I158" s="193" t="s">
        <v>512</v>
      </c>
      <c r="J158" s="193" t="s">
        <v>856</v>
      </c>
      <c r="K158" s="193" t="s">
        <v>386</v>
      </c>
      <c r="L158" s="193" t="s">
        <v>387</v>
      </c>
      <c r="M158" s="193" t="s">
        <v>378</v>
      </c>
      <c r="N158" s="193" t="s">
        <v>514</v>
      </c>
      <c r="O158" s="193" t="s">
        <v>129</v>
      </c>
      <c r="P158" s="193" t="s">
        <v>150</v>
      </c>
      <c r="Q158" s="193" t="s">
        <v>149</v>
      </c>
      <c r="R158" s="193" t="s">
        <v>148</v>
      </c>
      <c r="S158" s="193" t="s">
        <v>152</v>
      </c>
      <c r="T158" s="193" t="s">
        <v>389</v>
      </c>
      <c r="U158" s="193" t="s">
        <v>390</v>
      </c>
      <c r="V158" s="193">
        <v>0</v>
      </c>
      <c r="W158" s="193">
        <v>0</v>
      </c>
      <c r="X158" s="193">
        <v>0</v>
      </c>
      <c r="Y158" s="194">
        <v>300</v>
      </c>
      <c r="Z158" s="193" t="s">
        <v>515</v>
      </c>
      <c r="AA158" s="193" t="s">
        <v>516</v>
      </c>
      <c r="AB158" s="193">
        <v>300</v>
      </c>
      <c r="AC158" s="193" t="s">
        <v>517</v>
      </c>
      <c r="AD158" s="193" t="s">
        <v>152</v>
      </c>
      <c r="AE158" s="193">
        <v>300</v>
      </c>
      <c r="AF158" s="193" t="s">
        <v>518</v>
      </c>
      <c r="AG158" s="193" t="s">
        <v>519</v>
      </c>
      <c r="AH158" s="193">
        <v>0</v>
      </c>
      <c r="AI158" s="193">
        <v>300</v>
      </c>
      <c r="AJ158" s="193" t="s">
        <v>857</v>
      </c>
      <c r="AL158" s="197" t="s">
        <v>858</v>
      </c>
      <c r="AM158" s="193">
        <v>1</v>
      </c>
      <c r="AN158" s="193">
        <v>0</v>
      </c>
      <c r="AO158" s="193">
        <v>0</v>
      </c>
      <c r="AP158" s="193">
        <v>0</v>
      </c>
      <c r="AQ158" s="193" t="s">
        <v>214</v>
      </c>
      <c r="AS158" s="197" t="s">
        <v>518</v>
      </c>
      <c r="AT158" s="197" t="s">
        <v>519</v>
      </c>
      <c r="AV158" s="194">
        <v>138</v>
      </c>
      <c r="AW158" s="194">
        <v>0</v>
      </c>
      <c r="AX158" s="194">
        <v>0</v>
      </c>
      <c r="AY158" s="549">
        <v>138</v>
      </c>
      <c r="AZ158" s="194">
        <v>0</v>
      </c>
      <c r="BA158" s="194">
        <v>162</v>
      </c>
      <c r="BB158" s="551">
        <v>162</v>
      </c>
      <c r="BC158" s="551">
        <v>300</v>
      </c>
      <c r="BD158" s="551">
        <v>0</v>
      </c>
      <c r="BF158" s="550">
        <f t="shared" si="49"/>
        <v>138</v>
      </c>
      <c r="BG158" s="550">
        <f t="shared" si="50"/>
        <v>0</v>
      </c>
      <c r="BH158" s="550">
        <f t="shared" si="51"/>
        <v>0</v>
      </c>
      <c r="BI158" s="550">
        <f t="shared" si="52"/>
        <v>138</v>
      </c>
      <c r="BJ158" s="550">
        <f t="shared" si="53"/>
        <v>0</v>
      </c>
      <c r="BK158" s="550">
        <f t="shared" si="54"/>
        <v>162</v>
      </c>
      <c r="BL158" s="550">
        <f t="shared" si="55"/>
        <v>162</v>
      </c>
      <c r="BM158" s="550">
        <f t="shared" si="56"/>
        <v>300</v>
      </c>
      <c r="BO158" s="194"/>
      <c r="BQ158" s="193">
        <f t="shared" si="57"/>
        <v>0</v>
      </c>
      <c r="BR158" s="193">
        <f t="shared" si="58"/>
        <v>0</v>
      </c>
      <c r="BS158" s="193">
        <f t="shared" si="48"/>
        <v>0</v>
      </c>
      <c r="BT158" s="193">
        <f t="shared" si="48"/>
        <v>0</v>
      </c>
    </row>
    <row r="159" spans="1:72" ht="13.5" customHeight="1">
      <c r="A159" s="193" t="s">
        <v>378</v>
      </c>
      <c r="B159" s="193" t="s">
        <v>379</v>
      </c>
      <c r="C159" s="193" t="s">
        <v>214</v>
      </c>
      <c r="D159" s="193" t="s">
        <v>667</v>
      </c>
      <c r="E159" s="193" t="s">
        <v>668</v>
      </c>
      <c r="F159" s="193" t="s">
        <v>855</v>
      </c>
      <c r="G159" s="193" t="s">
        <v>855</v>
      </c>
      <c r="H159" s="193" t="s">
        <v>651</v>
      </c>
      <c r="I159" s="193" t="s">
        <v>512</v>
      </c>
      <c r="J159" s="193" t="s">
        <v>856</v>
      </c>
      <c r="K159" s="193" t="s">
        <v>386</v>
      </c>
      <c r="L159" s="193" t="s">
        <v>531</v>
      </c>
      <c r="M159" s="193" t="s">
        <v>378</v>
      </c>
      <c r="N159" s="193" t="s">
        <v>514</v>
      </c>
      <c r="O159" s="193" t="s">
        <v>129</v>
      </c>
      <c r="P159" s="193" t="s">
        <v>150</v>
      </c>
      <c r="Q159" s="193" t="s">
        <v>149</v>
      </c>
      <c r="R159" s="193" t="s">
        <v>148</v>
      </c>
      <c r="S159" s="193" t="s">
        <v>152</v>
      </c>
      <c r="T159" s="193" t="s">
        <v>389</v>
      </c>
      <c r="U159" s="193" t="s">
        <v>390</v>
      </c>
      <c r="V159" s="193">
        <v>0</v>
      </c>
      <c r="W159" s="193">
        <v>0</v>
      </c>
      <c r="X159" s="193">
        <v>0</v>
      </c>
      <c r="Y159" s="194">
        <v>300</v>
      </c>
      <c r="Z159" s="193" t="s">
        <v>515</v>
      </c>
      <c r="AA159" s="193" t="s">
        <v>516</v>
      </c>
      <c r="AB159" s="193">
        <v>300</v>
      </c>
      <c r="AC159" s="193" t="s">
        <v>517</v>
      </c>
      <c r="AD159" s="193" t="s">
        <v>152</v>
      </c>
      <c r="AE159" s="193">
        <v>300</v>
      </c>
      <c r="AF159" s="193" t="s">
        <v>518</v>
      </c>
      <c r="AG159" s="193" t="s">
        <v>519</v>
      </c>
      <c r="AH159" s="193">
        <v>0</v>
      </c>
      <c r="AI159" s="193">
        <v>300</v>
      </c>
      <c r="AJ159" s="193" t="s">
        <v>859</v>
      </c>
      <c r="AL159" s="197" t="s">
        <v>860</v>
      </c>
      <c r="AM159" s="193">
        <v>1</v>
      </c>
      <c r="AN159" s="193">
        <v>0</v>
      </c>
      <c r="AO159" s="193">
        <v>0</v>
      </c>
      <c r="AP159" s="193">
        <v>0</v>
      </c>
      <c r="AQ159" s="193" t="s">
        <v>214</v>
      </c>
      <c r="AS159" s="197" t="s">
        <v>518</v>
      </c>
      <c r="AT159" s="197" t="s">
        <v>519</v>
      </c>
      <c r="AV159" s="194">
        <v>138</v>
      </c>
      <c r="AW159" s="194">
        <v>0</v>
      </c>
      <c r="AX159" s="194">
        <v>0</v>
      </c>
      <c r="AY159" s="549">
        <v>138</v>
      </c>
      <c r="AZ159" s="194">
        <v>0</v>
      </c>
      <c r="BA159" s="194">
        <v>162</v>
      </c>
      <c r="BB159" s="551">
        <v>162</v>
      </c>
      <c r="BC159" s="551">
        <v>300</v>
      </c>
      <c r="BD159" s="551">
        <v>0</v>
      </c>
      <c r="BF159" s="550">
        <f t="shared" si="49"/>
        <v>138</v>
      </c>
      <c r="BG159" s="550">
        <f t="shared" si="50"/>
        <v>0</v>
      </c>
      <c r="BH159" s="550">
        <f t="shared" si="51"/>
        <v>0</v>
      </c>
      <c r="BI159" s="550">
        <f t="shared" si="52"/>
        <v>138</v>
      </c>
      <c r="BJ159" s="550">
        <f t="shared" si="53"/>
        <v>0</v>
      </c>
      <c r="BK159" s="550">
        <f t="shared" si="54"/>
        <v>162</v>
      </c>
      <c r="BL159" s="550">
        <f t="shared" si="55"/>
        <v>162</v>
      </c>
      <c r="BM159" s="550">
        <f t="shared" si="56"/>
        <v>300</v>
      </c>
      <c r="BO159" s="194"/>
      <c r="BQ159" s="193">
        <f t="shared" si="57"/>
        <v>0</v>
      </c>
      <c r="BR159" s="193">
        <f t="shared" si="58"/>
        <v>0</v>
      </c>
      <c r="BS159" s="193">
        <f t="shared" si="48"/>
        <v>0</v>
      </c>
      <c r="BT159" s="193">
        <f t="shared" si="48"/>
        <v>0</v>
      </c>
    </row>
    <row r="160" spans="1:72" ht="13.5" customHeight="1">
      <c r="A160" s="193" t="s">
        <v>378</v>
      </c>
      <c r="B160" s="193" t="s">
        <v>379</v>
      </c>
      <c r="C160" s="193" t="s">
        <v>214</v>
      </c>
      <c r="D160" s="193" t="s">
        <v>667</v>
      </c>
      <c r="E160" s="193" t="s">
        <v>668</v>
      </c>
      <c r="F160" s="193" t="s">
        <v>845</v>
      </c>
      <c r="G160" s="193" t="s">
        <v>845</v>
      </c>
      <c r="H160" s="193" t="s">
        <v>651</v>
      </c>
      <c r="I160" s="193" t="s">
        <v>512</v>
      </c>
      <c r="J160" s="193" t="s">
        <v>878</v>
      </c>
      <c r="K160" s="193" t="s">
        <v>386</v>
      </c>
      <c r="L160" s="193" t="s">
        <v>387</v>
      </c>
      <c r="M160" s="193" t="s">
        <v>378</v>
      </c>
      <c r="N160" s="193" t="s">
        <v>514</v>
      </c>
      <c r="O160" s="193" t="s">
        <v>129</v>
      </c>
      <c r="P160" s="193" t="s">
        <v>150</v>
      </c>
      <c r="Q160" s="193" t="s">
        <v>149</v>
      </c>
      <c r="R160" s="193" t="s">
        <v>148</v>
      </c>
      <c r="S160" s="193" t="s">
        <v>152</v>
      </c>
      <c r="T160" s="193" t="s">
        <v>389</v>
      </c>
      <c r="U160" s="193" t="s">
        <v>390</v>
      </c>
      <c r="V160" s="193">
        <v>0</v>
      </c>
      <c r="W160" s="193">
        <v>0</v>
      </c>
      <c r="X160" s="193">
        <v>0</v>
      </c>
      <c r="Y160" s="194">
        <v>300</v>
      </c>
      <c r="Z160" s="193" t="s">
        <v>515</v>
      </c>
      <c r="AA160" s="193" t="s">
        <v>516</v>
      </c>
      <c r="AB160" s="193">
        <v>300</v>
      </c>
      <c r="AC160" s="193" t="s">
        <v>517</v>
      </c>
      <c r="AD160" s="193" t="s">
        <v>152</v>
      </c>
      <c r="AE160" s="193">
        <v>300</v>
      </c>
      <c r="AF160" s="193" t="s">
        <v>518</v>
      </c>
      <c r="AG160" s="193" t="s">
        <v>519</v>
      </c>
      <c r="AH160" s="193">
        <v>0</v>
      </c>
      <c r="AI160" s="193">
        <v>300</v>
      </c>
      <c r="AJ160" s="193" t="s">
        <v>879</v>
      </c>
      <c r="AL160" s="197" t="s">
        <v>880</v>
      </c>
      <c r="AM160" s="193">
        <v>1</v>
      </c>
      <c r="AN160" s="193">
        <v>0</v>
      </c>
      <c r="AO160" s="193">
        <v>0</v>
      </c>
      <c r="AP160" s="193">
        <v>0</v>
      </c>
      <c r="AQ160" s="193" t="s">
        <v>214</v>
      </c>
      <c r="AS160" s="197" t="s">
        <v>518</v>
      </c>
      <c r="AT160" s="197" t="s">
        <v>519</v>
      </c>
      <c r="AV160" s="194">
        <v>138</v>
      </c>
      <c r="AW160" s="194">
        <v>0</v>
      </c>
      <c r="AX160" s="194">
        <v>0</v>
      </c>
      <c r="AY160" s="549">
        <v>138</v>
      </c>
      <c r="AZ160" s="194">
        <v>0</v>
      </c>
      <c r="BA160" s="194">
        <v>162</v>
      </c>
      <c r="BB160" s="551">
        <v>162</v>
      </c>
      <c r="BC160" s="551">
        <v>300</v>
      </c>
      <c r="BD160" s="551">
        <v>0</v>
      </c>
      <c r="BF160" s="550">
        <f t="shared" si="49"/>
        <v>138</v>
      </c>
      <c r="BG160" s="550">
        <f t="shared" si="50"/>
        <v>0</v>
      </c>
      <c r="BH160" s="550">
        <f t="shared" si="51"/>
        <v>0</v>
      </c>
      <c r="BI160" s="550">
        <f t="shared" si="52"/>
        <v>138</v>
      </c>
      <c r="BJ160" s="550">
        <f t="shared" si="53"/>
        <v>0</v>
      </c>
      <c r="BK160" s="550">
        <f t="shared" si="54"/>
        <v>162</v>
      </c>
      <c r="BL160" s="550">
        <f t="shared" si="55"/>
        <v>162</v>
      </c>
      <c r="BM160" s="550">
        <f t="shared" si="56"/>
        <v>300</v>
      </c>
      <c r="BO160" s="194"/>
      <c r="BQ160" s="193">
        <f t="shared" si="57"/>
        <v>0</v>
      </c>
      <c r="BR160" s="193">
        <f t="shared" si="58"/>
        <v>0</v>
      </c>
      <c r="BS160" s="193">
        <f t="shared" si="48"/>
        <v>0</v>
      </c>
      <c r="BT160" s="193">
        <f t="shared" si="48"/>
        <v>0</v>
      </c>
    </row>
    <row r="161" spans="1:72" ht="13.5" customHeight="1">
      <c r="A161" s="193" t="s">
        <v>378</v>
      </c>
      <c r="B161" s="193" t="s">
        <v>379</v>
      </c>
      <c r="C161" s="193" t="s">
        <v>214</v>
      </c>
      <c r="D161" s="193" t="s">
        <v>667</v>
      </c>
      <c r="E161" s="193" t="s">
        <v>668</v>
      </c>
      <c r="F161" s="193" t="s">
        <v>845</v>
      </c>
      <c r="G161" s="193" t="s">
        <v>845</v>
      </c>
      <c r="H161" s="193" t="s">
        <v>651</v>
      </c>
      <c r="I161" s="193" t="s">
        <v>512</v>
      </c>
      <c r="J161" s="193" t="s">
        <v>878</v>
      </c>
      <c r="K161" s="193" t="s">
        <v>386</v>
      </c>
      <c r="L161" s="193" t="s">
        <v>531</v>
      </c>
      <c r="M161" s="193" t="s">
        <v>378</v>
      </c>
      <c r="N161" s="193" t="s">
        <v>514</v>
      </c>
      <c r="O161" s="193" t="s">
        <v>129</v>
      </c>
      <c r="P161" s="193" t="s">
        <v>150</v>
      </c>
      <c r="Q161" s="193" t="s">
        <v>149</v>
      </c>
      <c r="R161" s="193" t="s">
        <v>148</v>
      </c>
      <c r="S161" s="193" t="s">
        <v>152</v>
      </c>
      <c r="T161" s="193" t="s">
        <v>389</v>
      </c>
      <c r="U161" s="193" t="s">
        <v>390</v>
      </c>
      <c r="V161" s="193">
        <v>0</v>
      </c>
      <c r="W161" s="193">
        <v>0</v>
      </c>
      <c r="X161" s="193">
        <v>0</v>
      </c>
      <c r="Y161" s="194">
        <v>300</v>
      </c>
      <c r="Z161" s="193" t="s">
        <v>515</v>
      </c>
      <c r="AA161" s="193" t="s">
        <v>516</v>
      </c>
      <c r="AB161" s="193">
        <v>300</v>
      </c>
      <c r="AC161" s="193" t="s">
        <v>517</v>
      </c>
      <c r="AD161" s="193" t="s">
        <v>152</v>
      </c>
      <c r="AE161" s="193">
        <v>300</v>
      </c>
      <c r="AF161" s="193" t="s">
        <v>518</v>
      </c>
      <c r="AG161" s="193" t="s">
        <v>519</v>
      </c>
      <c r="AH161" s="193">
        <v>0</v>
      </c>
      <c r="AI161" s="193">
        <v>300</v>
      </c>
      <c r="AJ161" s="193" t="s">
        <v>881</v>
      </c>
      <c r="AL161" s="197" t="s">
        <v>882</v>
      </c>
      <c r="AM161" s="193">
        <v>1</v>
      </c>
      <c r="AN161" s="193">
        <v>0</v>
      </c>
      <c r="AO161" s="193">
        <v>0</v>
      </c>
      <c r="AP161" s="193">
        <v>0</v>
      </c>
      <c r="AQ161" s="193" t="s">
        <v>214</v>
      </c>
      <c r="AS161" s="197" t="s">
        <v>518</v>
      </c>
      <c r="AT161" s="197" t="s">
        <v>519</v>
      </c>
      <c r="AV161" s="194">
        <v>138</v>
      </c>
      <c r="AW161" s="194">
        <v>0</v>
      </c>
      <c r="AX161" s="194">
        <v>0</v>
      </c>
      <c r="AY161" s="549">
        <v>138</v>
      </c>
      <c r="AZ161" s="194">
        <v>0</v>
      </c>
      <c r="BA161" s="194">
        <v>162</v>
      </c>
      <c r="BB161" s="551">
        <v>162</v>
      </c>
      <c r="BC161" s="551">
        <v>300</v>
      </c>
      <c r="BD161" s="551">
        <v>0</v>
      </c>
      <c r="BF161" s="550">
        <f t="shared" si="49"/>
        <v>138</v>
      </c>
      <c r="BG161" s="550">
        <f t="shared" si="50"/>
        <v>0</v>
      </c>
      <c r="BH161" s="550">
        <f t="shared" si="51"/>
        <v>0</v>
      </c>
      <c r="BI161" s="550">
        <f t="shared" si="52"/>
        <v>138</v>
      </c>
      <c r="BJ161" s="550">
        <f t="shared" si="53"/>
        <v>0</v>
      </c>
      <c r="BK161" s="550">
        <f t="shared" si="54"/>
        <v>162</v>
      </c>
      <c r="BL161" s="550">
        <f t="shared" si="55"/>
        <v>162</v>
      </c>
      <c r="BM161" s="550">
        <f t="shared" si="56"/>
        <v>300</v>
      </c>
      <c r="BO161" s="194"/>
      <c r="BQ161" s="193">
        <f t="shared" si="57"/>
        <v>0</v>
      </c>
      <c r="BR161" s="193">
        <f t="shared" si="58"/>
        <v>0</v>
      </c>
      <c r="BS161" s="193">
        <f t="shared" si="48"/>
        <v>0</v>
      </c>
      <c r="BT161" s="193">
        <f t="shared" si="48"/>
        <v>0</v>
      </c>
    </row>
    <row r="162" spans="1:72" ht="13.5" customHeight="1">
      <c r="A162" s="193" t="s">
        <v>378</v>
      </c>
      <c r="B162" s="193" t="s">
        <v>379</v>
      </c>
      <c r="C162" s="193" t="s">
        <v>214</v>
      </c>
      <c r="D162" s="193" t="s">
        <v>490</v>
      </c>
      <c r="E162" s="193" t="s">
        <v>491</v>
      </c>
      <c r="F162" s="193" t="s">
        <v>845</v>
      </c>
      <c r="G162" s="193" t="s">
        <v>845</v>
      </c>
      <c r="H162" s="193" t="s">
        <v>651</v>
      </c>
      <c r="I162" s="193" t="s">
        <v>512</v>
      </c>
      <c r="J162" s="193" t="s">
        <v>846</v>
      </c>
      <c r="K162" s="193" t="s">
        <v>386</v>
      </c>
      <c r="L162" s="193" t="s">
        <v>387</v>
      </c>
      <c r="M162" s="193" t="s">
        <v>378</v>
      </c>
      <c r="N162" s="193" t="s">
        <v>514</v>
      </c>
      <c r="O162" s="193" t="s">
        <v>129</v>
      </c>
      <c r="P162" s="193" t="s">
        <v>150</v>
      </c>
      <c r="Q162" s="193" t="s">
        <v>149</v>
      </c>
      <c r="R162" s="193" t="s">
        <v>148</v>
      </c>
      <c r="S162" s="193" t="s">
        <v>152</v>
      </c>
      <c r="T162" s="193" t="s">
        <v>389</v>
      </c>
      <c r="U162" s="193" t="s">
        <v>390</v>
      </c>
      <c r="V162" s="193">
        <v>0</v>
      </c>
      <c r="W162" s="193">
        <v>0</v>
      </c>
      <c r="X162" s="193">
        <v>0</v>
      </c>
      <c r="Y162" s="194">
        <v>300</v>
      </c>
      <c r="Z162" s="193" t="s">
        <v>515</v>
      </c>
      <c r="AA162" s="193" t="s">
        <v>516</v>
      </c>
      <c r="AB162" s="193">
        <v>300</v>
      </c>
      <c r="AC162" s="193" t="s">
        <v>517</v>
      </c>
      <c r="AD162" s="193" t="s">
        <v>152</v>
      </c>
      <c r="AE162" s="193">
        <v>300</v>
      </c>
      <c r="AF162" s="193" t="s">
        <v>518</v>
      </c>
      <c r="AG162" s="193" t="s">
        <v>519</v>
      </c>
      <c r="AH162" s="193">
        <v>0</v>
      </c>
      <c r="AI162" s="193">
        <v>300</v>
      </c>
      <c r="AJ162" s="193" t="s">
        <v>847</v>
      </c>
      <c r="AL162" s="197" t="s">
        <v>848</v>
      </c>
      <c r="AM162" s="193">
        <v>1</v>
      </c>
      <c r="AN162" s="193">
        <v>0</v>
      </c>
      <c r="AO162" s="193">
        <v>0</v>
      </c>
      <c r="AP162" s="193">
        <v>0</v>
      </c>
      <c r="AQ162" s="193" t="s">
        <v>214</v>
      </c>
      <c r="AS162" s="197" t="s">
        <v>518</v>
      </c>
      <c r="AT162" s="197" t="s">
        <v>519</v>
      </c>
      <c r="AV162" s="194">
        <v>138</v>
      </c>
      <c r="AW162" s="194">
        <v>0</v>
      </c>
      <c r="AX162" s="194">
        <v>0</v>
      </c>
      <c r="AY162" s="549">
        <v>138</v>
      </c>
      <c r="AZ162" s="194">
        <v>0</v>
      </c>
      <c r="BA162" s="194">
        <v>162</v>
      </c>
      <c r="BB162" s="551">
        <v>162</v>
      </c>
      <c r="BC162" s="551">
        <v>300</v>
      </c>
      <c r="BD162" s="551">
        <v>0</v>
      </c>
      <c r="BF162" s="550">
        <f t="shared" si="49"/>
        <v>138</v>
      </c>
      <c r="BG162" s="550">
        <f t="shared" si="50"/>
        <v>0</v>
      </c>
      <c r="BH162" s="550">
        <f t="shared" si="51"/>
        <v>0</v>
      </c>
      <c r="BI162" s="550">
        <f t="shared" si="52"/>
        <v>138</v>
      </c>
      <c r="BJ162" s="550">
        <f t="shared" si="53"/>
        <v>0</v>
      </c>
      <c r="BK162" s="550">
        <f t="shared" si="54"/>
        <v>162</v>
      </c>
      <c r="BL162" s="550">
        <f t="shared" si="55"/>
        <v>162</v>
      </c>
      <c r="BM162" s="550">
        <f t="shared" si="56"/>
        <v>300</v>
      </c>
      <c r="BO162" s="194"/>
      <c r="BQ162" s="193">
        <f t="shared" si="57"/>
        <v>0</v>
      </c>
      <c r="BR162" s="193">
        <f t="shared" si="58"/>
        <v>0</v>
      </c>
      <c r="BS162" s="193">
        <f t="shared" si="48"/>
        <v>0</v>
      </c>
      <c r="BT162" s="193">
        <f t="shared" si="48"/>
        <v>0</v>
      </c>
    </row>
    <row r="163" spans="1:72" ht="13.5" customHeight="1">
      <c r="A163" s="193" t="s">
        <v>378</v>
      </c>
      <c r="B163" s="193" t="s">
        <v>379</v>
      </c>
      <c r="C163" s="193" t="s">
        <v>214</v>
      </c>
      <c r="D163" s="193" t="s">
        <v>667</v>
      </c>
      <c r="E163" s="193" t="s">
        <v>668</v>
      </c>
      <c r="F163" s="193" t="s">
        <v>583</v>
      </c>
      <c r="G163" s="193" t="s">
        <v>583</v>
      </c>
      <c r="H163" s="193" t="s">
        <v>651</v>
      </c>
      <c r="I163" s="193" t="s">
        <v>512</v>
      </c>
      <c r="J163" s="193" t="s">
        <v>831</v>
      </c>
      <c r="K163" s="193" t="s">
        <v>386</v>
      </c>
      <c r="L163" s="193" t="s">
        <v>387</v>
      </c>
      <c r="M163" s="193" t="s">
        <v>378</v>
      </c>
      <c r="N163" s="193" t="s">
        <v>514</v>
      </c>
      <c r="O163" s="193" t="s">
        <v>129</v>
      </c>
      <c r="P163" s="193" t="s">
        <v>150</v>
      </c>
      <c r="Q163" s="193" t="s">
        <v>149</v>
      </c>
      <c r="R163" s="193" t="s">
        <v>148</v>
      </c>
      <c r="S163" s="193" t="s">
        <v>152</v>
      </c>
      <c r="T163" s="193" t="s">
        <v>389</v>
      </c>
      <c r="U163" s="193" t="s">
        <v>390</v>
      </c>
      <c r="V163" s="193">
        <v>0</v>
      </c>
      <c r="W163" s="193">
        <v>0</v>
      </c>
      <c r="X163" s="193">
        <v>0</v>
      </c>
      <c r="Y163" s="194">
        <v>300</v>
      </c>
      <c r="Z163" s="193" t="s">
        <v>515</v>
      </c>
      <c r="AA163" s="193" t="s">
        <v>516</v>
      </c>
      <c r="AB163" s="193">
        <v>300</v>
      </c>
      <c r="AC163" s="193" t="s">
        <v>517</v>
      </c>
      <c r="AD163" s="193" t="s">
        <v>152</v>
      </c>
      <c r="AE163" s="193">
        <v>300</v>
      </c>
      <c r="AF163" s="193" t="s">
        <v>518</v>
      </c>
      <c r="AG163" s="193" t="s">
        <v>519</v>
      </c>
      <c r="AH163" s="193">
        <v>0</v>
      </c>
      <c r="AI163" s="193">
        <v>300</v>
      </c>
      <c r="AJ163" s="193" t="s">
        <v>832</v>
      </c>
      <c r="AL163" s="197" t="s">
        <v>833</v>
      </c>
      <c r="AM163" s="193">
        <v>1</v>
      </c>
      <c r="AN163" s="193">
        <v>0</v>
      </c>
      <c r="AO163" s="193">
        <v>0</v>
      </c>
      <c r="AP163" s="193">
        <v>0</v>
      </c>
      <c r="AQ163" s="193" t="s">
        <v>214</v>
      </c>
      <c r="AS163" s="197" t="s">
        <v>518</v>
      </c>
      <c r="AT163" s="197" t="s">
        <v>519</v>
      </c>
      <c r="AV163" s="194">
        <v>138</v>
      </c>
      <c r="AW163" s="194">
        <v>0</v>
      </c>
      <c r="AX163" s="194">
        <v>0</v>
      </c>
      <c r="AY163" s="549">
        <v>138</v>
      </c>
      <c r="AZ163" s="194">
        <v>0</v>
      </c>
      <c r="BA163" s="194">
        <v>162</v>
      </c>
      <c r="BB163" s="551">
        <v>162</v>
      </c>
      <c r="BC163" s="551">
        <v>300</v>
      </c>
      <c r="BD163" s="551">
        <v>0</v>
      </c>
      <c r="BF163" s="550">
        <f t="shared" si="49"/>
        <v>138</v>
      </c>
      <c r="BG163" s="550">
        <f t="shared" si="50"/>
        <v>0</v>
      </c>
      <c r="BH163" s="550">
        <f t="shared" si="51"/>
        <v>0</v>
      </c>
      <c r="BI163" s="550">
        <f t="shared" si="52"/>
        <v>138</v>
      </c>
      <c r="BJ163" s="550">
        <f t="shared" si="53"/>
        <v>0</v>
      </c>
      <c r="BK163" s="550">
        <f t="shared" si="54"/>
        <v>162</v>
      </c>
      <c r="BL163" s="550">
        <f t="shared" si="55"/>
        <v>162</v>
      </c>
      <c r="BM163" s="550">
        <f t="shared" si="56"/>
        <v>300</v>
      </c>
      <c r="BO163" s="194"/>
      <c r="BQ163" s="193">
        <f t="shared" si="57"/>
        <v>0</v>
      </c>
      <c r="BR163" s="193">
        <f t="shared" si="58"/>
        <v>0</v>
      </c>
      <c r="BS163" s="193">
        <f t="shared" si="48"/>
        <v>0</v>
      </c>
      <c r="BT163" s="193">
        <f t="shared" si="48"/>
        <v>0</v>
      </c>
    </row>
    <row r="164" spans="1:72" ht="13.5" customHeight="1">
      <c r="A164" s="193" t="s">
        <v>378</v>
      </c>
      <c r="B164" s="193" t="s">
        <v>379</v>
      </c>
      <c r="C164" s="193" t="s">
        <v>214</v>
      </c>
      <c r="D164" s="193" t="s">
        <v>667</v>
      </c>
      <c r="E164" s="193" t="s">
        <v>668</v>
      </c>
      <c r="F164" s="193" t="s">
        <v>834</v>
      </c>
      <c r="G164" s="193" t="s">
        <v>834</v>
      </c>
      <c r="H164" s="193" t="s">
        <v>651</v>
      </c>
      <c r="I164" s="193" t="s">
        <v>512</v>
      </c>
      <c r="J164" s="193" t="s">
        <v>835</v>
      </c>
      <c r="K164" s="193" t="s">
        <v>386</v>
      </c>
      <c r="L164" s="193" t="s">
        <v>387</v>
      </c>
      <c r="M164" s="193" t="s">
        <v>378</v>
      </c>
      <c r="N164" s="193" t="s">
        <v>514</v>
      </c>
      <c r="O164" s="193" t="s">
        <v>129</v>
      </c>
      <c r="P164" s="193" t="s">
        <v>150</v>
      </c>
      <c r="Q164" s="193" t="s">
        <v>149</v>
      </c>
      <c r="R164" s="193" t="s">
        <v>148</v>
      </c>
      <c r="S164" s="193" t="s">
        <v>152</v>
      </c>
      <c r="T164" s="193" t="s">
        <v>389</v>
      </c>
      <c r="U164" s="193" t="s">
        <v>390</v>
      </c>
      <c r="V164" s="193">
        <v>0</v>
      </c>
      <c r="W164" s="193">
        <v>0</v>
      </c>
      <c r="X164" s="193">
        <v>0</v>
      </c>
      <c r="Y164" s="194">
        <v>300</v>
      </c>
      <c r="Z164" s="193" t="s">
        <v>515</v>
      </c>
      <c r="AA164" s="193" t="s">
        <v>516</v>
      </c>
      <c r="AB164" s="193">
        <v>300</v>
      </c>
      <c r="AC164" s="193" t="s">
        <v>517</v>
      </c>
      <c r="AD164" s="193" t="s">
        <v>152</v>
      </c>
      <c r="AE164" s="193">
        <v>300</v>
      </c>
      <c r="AF164" s="193" t="s">
        <v>518</v>
      </c>
      <c r="AG164" s="193" t="s">
        <v>519</v>
      </c>
      <c r="AH164" s="193">
        <v>0</v>
      </c>
      <c r="AI164" s="193">
        <v>300</v>
      </c>
      <c r="AJ164" s="193" t="s">
        <v>836</v>
      </c>
      <c r="AL164" s="197" t="s">
        <v>837</v>
      </c>
      <c r="AM164" s="193">
        <v>1</v>
      </c>
      <c r="AN164" s="193">
        <v>0</v>
      </c>
      <c r="AO164" s="193">
        <v>0</v>
      </c>
      <c r="AP164" s="193">
        <v>0</v>
      </c>
      <c r="AQ164" s="193" t="s">
        <v>214</v>
      </c>
      <c r="AS164" s="197" t="s">
        <v>518</v>
      </c>
      <c r="AT164" s="197" t="s">
        <v>519</v>
      </c>
      <c r="AV164" s="194">
        <v>138</v>
      </c>
      <c r="AW164" s="194">
        <v>0</v>
      </c>
      <c r="AX164" s="194">
        <v>0</v>
      </c>
      <c r="AY164" s="549">
        <v>138</v>
      </c>
      <c r="AZ164" s="194">
        <v>0</v>
      </c>
      <c r="BA164" s="194">
        <v>162</v>
      </c>
      <c r="BB164" s="551">
        <v>162</v>
      </c>
      <c r="BC164" s="551">
        <v>300</v>
      </c>
      <c r="BD164" s="551">
        <v>0</v>
      </c>
      <c r="BF164" s="550">
        <f t="shared" si="49"/>
        <v>138</v>
      </c>
      <c r="BG164" s="550">
        <f t="shared" si="50"/>
        <v>0</v>
      </c>
      <c r="BH164" s="550">
        <f t="shared" si="51"/>
        <v>0</v>
      </c>
      <c r="BI164" s="550">
        <f t="shared" si="52"/>
        <v>138</v>
      </c>
      <c r="BJ164" s="550">
        <f t="shared" si="53"/>
        <v>0</v>
      </c>
      <c r="BK164" s="550">
        <f t="shared" si="54"/>
        <v>162</v>
      </c>
      <c r="BL164" s="550">
        <f t="shared" si="55"/>
        <v>162</v>
      </c>
      <c r="BM164" s="550">
        <f t="shared" si="56"/>
        <v>300</v>
      </c>
      <c r="BO164" s="194"/>
      <c r="BQ164" s="193">
        <f t="shared" si="57"/>
        <v>0</v>
      </c>
      <c r="BR164" s="193">
        <f t="shared" si="58"/>
        <v>0</v>
      </c>
      <c r="BS164" s="193">
        <f t="shared" si="48"/>
        <v>0</v>
      </c>
      <c r="BT164" s="193">
        <f t="shared" si="48"/>
        <v>0</v>
      </c>
    </row>
    <row r="165" spans="1:72" ht="13.5" customHeight="1">
      <c r="A165" s="193" t="s">
        <v>378</v>
      </c>
      <c r="B165" s="193" t="s">
        <v>379</v>
      </c>
      <c r="C165" s="193" t="s">
        <v>214</v>
      </c>
      <c r="D165" s="193" t="s">
        <v>667</v>
      </c>
      <c r="E165" s="193" t="s">
        <v>668</v>
      </c>
      <c r="F165" s="193" t="s">
        <v>579</v>
      </c>
      <c r="G165" s="193" t="s">
        <v>579</v>
      </c>
      <c r="H165" s="193" t="s">
        <v>651</v>
      </c>
      <c r="I165" s="193" t="s">
        <v>512</v>
      </c>
      <c r="J165" s="193" t="s">
        <v>838</v>
      </c>
      <c r="K165" s="193" t="s">
        <v>386</v>
      </c>
      <c r="L165" s="193" t="s">
        <v>387</v>
      </c>
      <c r="M165" s="193" t="s">
        <v>378</v>
      </c>
      <c r="N165" s="193" t="s">
        <v>514</v>
      </c>
      <c r="O165" s="193" t="s">
        <v>129</v>
      </c>
      <c r="P165" s="193" t="s">
        <v>150</v>
      </c>
      <c r="Q165" s="193" t="s">
        <v>149</v>
      </c>
      <c r="R165" s="193" t="s">
        <v>148</v>
      </c>
      <c r="S165" s="193" t="s">
        <v>152</v>
      </c>
      <c r="T165" s="193" t="s">
        <v>389</v>
      </c>
      <c r="U165" s="193" t="s">
        <v>390</v>
      </c>
      <c r="V165" s="193">
        <v>0</v>
      </c>
      <c r="W165" s="193">
        <v>0</v>
      </c>
      <c r="X165" s="193">
        <v>0</v>
      </c>
      <c r="Y165" s="194">
        <v>300</v>
      </c>
      <c r="Z165" s="193" t="s">
        <v>515</v>
      </c>
      <c r="AA165" s="193" t="s">
        <v>516</v>
      </c>
      <c r="AB165" s="193">
        <v>300</v>
      </c>
      <c r="AC165" s="193" t="s">
        <v>517</v>
      </c>
      <c r="AD165" s="193" t="s">
        <v>152</v>
      </c>
      <c r="AE165" s="193">
        <v>300</v>
      </c>
      <c r="AF165" s="193" t="s">
        <v>518</v>
      </c>
      <c r="AG165" s="193" t="s">
        <v>519</v>
      </c>
      <c r="AH165" s="193">
        <v>0</v>
      </c>
      <c r="AI165" s="193">
        <v>300</v>
      </c>
      <c r="AJ165" s="193" t="s">
        <v>839</v>
      </c>
      <c r="AL165" s="197" t="s">
        <v>840</v>
      </c>
      <c r="AM165" s="193">
        <v>1</v>
      </c>
      <c r="AN165" s="193">
        <v>0</v>
      </c>
      <c r="AO165" s="193">
        <v>0</v>
      </c>
      <c r="AP165" s="193">
        <v>0</v>
      </c>
      <c r="AQ165" s="193" t="s">
        <v>214</v>
      </c>
      <c r="AS165" s="197" t="s">
        <v>518</v>
      </c>
      <c r="AT165" s="197" t="s">
        <v>519</v>
      </c>
      <c r="AV165" s="194">
        <v>138</v>
      </c>
      <c r="AW165" s="194">
        <v>0</v>
      </c>
      <c r="AX165" s="194">
        <v>0</v>
      </c>
      <c r="AY165" s="549">
        <v>138</v>
      </c>
      <c r="AZ165" s="194">
        <v>0</v>
      </c>
      <c r="BA165" s="194">
        <v>162</v>
      </c>
      <c r="BB165" s="551">
        <v>162</v>
      </c>
      <c r="BC165" s="551">
        <v>300</v>
      </c>
      <c r="BD165" s="551">
        <v>0</v>
      </c>
      <c r="BF165" s="550">
        <f t="shared" si="49"/>
        <v>138</v>
      </c>
      <c r="BG165" s="550">
        <f t="shared" si="50"/>
        <v>0</v>
      </c>
      <c r="BH165" s="550">
        <f t="shared" si="51"/>
        <v>0</v>
      </c>
      <c r="BI165" s="550">
        <f t="shared" si="52"/>
        <v>138</v>
      </c>
      <c r="BJ165" s="550">
        <f t="shared" si="53"/>
        <v>0</v>
      </c>
      <c r="BK165" s="550">
        <f t="shared" si="54"/>
        <v>162</v>
      </c>
      <c r="BL165" s="550">
        <f t="shared" si="55"/>
        <v>162</v>
      </c>
      <c r="BM165" s="550">
        <f t="shared" si="56"/>
        <v>300</v>
      </c>
      <c r="BO165" s="194"/>
      <c r="BQ165" s="193">
        <f t="shared" si="57"/>
        <v>0</v>
      </c>
      <c r="BR165" s="193">
        <f t="shared" si="58"/>
        <v>0</v>
      </c>
      <c r="BS165" s="193">
        <f t="shared" si="48"/>
        <v>0</v>
      </c>
      <c r="BT165" s="193">
        <f t="shared" si="48"/>
        <v>0</v>
      </c>
    </row>
    <row r="166" spans="1:72" ht="13.5" customHeight="1">
      <c r="A166" s="193" t="s">
        <v>378</v>
      </c>
      <c r="B166" s="193" t="s">
        <v>379</v>
      </c>
      <c r="C166" s="193" t="s">
        <v>214</v>
      </c>
      <c r="D166" s="193" t="s">
        <v>667</v>
      </c>
      <c r="E166" s="193" t="s">
        <v>668</v>
      </c>
      <c r="F166" s="193" t="s">
        <v>841</v>
      </c>
      <c r="G166" s="193" t="s">
        <v>841</v>
      </c>
      <c r="H166" s="193" t="s">
        <v>651</v>
      </c>
      <c r="I166" s="193" t="s">
        <v>512</v>
      </c>
      <c r="J166" s="193" t="s">
        <v>842</v>
      </c>
      <c r="K166" s="193" t="s">
        <v>386</v>
      </c>
      <c r="L166" s="193" t="s">
        <v>387</v>
      </c>
      <c r="M166" s="193" t="s">
        <v>378</v>
      </c>
      <c r="N166" s="193" t="s">
        <v>514</v>
      </c>
      <c r="O166" s="193" t="s">
        <v>129</v>
      </c>
      <c r="P166" s="193" t="s">
        <v>150</v>
      </c>
      <c r="Q166" s="193" t="s">
        <v>149</v>
      </c>
      <c r="R166" s="193" t="s">
        <v>148</v>
      </c>
      <c r="S166" s="193" t="s">
        <v>152</v>
      </c>
      <c r="T166" s="193" t="s">
        <v>389</v>
      </c>
      <c r="U166" s="193" t="s">
        <v>390</v>
      </c>
      <c r="V166" s="193">
        <v>0</v>
      </c>
      <c r="W166" s="193">
        <v>0</v>
      </c>
      <c r="X166" s="193">
        <v>0</v>
      </c>
      <c r="Y166" s="194">
        <v>300</v>
      </c>
      <c r="Z166" s="193" t="s">
        <v>515</v>
      </c>
      <c r="AA166" s="193" t="s">
        <v>516</v>
      </c>
      <c r="AB166" s="193">
        <v>300</v>
      </c>
      <c r="AC166" s="193" t="s">
        <v>517</v>
      </c>
      <c r="AD166" s="193" t="s">
        <v>152</v>
      </c>
      <c r="AE166" s="193">
        <v>300</v>
      </c>
      <c r="AF166" s="193" t="s">
        <v>518</v>
      </c>
      <c r="AG166" s="193" t="s">
        <v>519</v>
      </c>
      <c r="AH166" s="193">
        <v>0</v>
      </c>
      <c r="AI166" s="193">
        <v>300</v>
      </c>
      <c r="AJ166" s="193" t="s">
        <v>843</v>
      </c>
      <c r="AL166" s="197" t="s">
        <v>844</v>
      </c>
      <c r="AM166" s="193">
        <v>1</v>
      </c>
      <c r="AN166" s="193">
        <v>0</v>
      </c>
      <c r="AO166" s="193">
        <v>0</v>
      </c>
      <c r="AP166" s="193">
        <v>0</v>
      </c>
      <c r="AQ166" s="193" t="s">
        <v>214</v>
      </c>
      <c r="AS166" s="197" t="s">
        <v>518</v>
      </c>
      <c r="AT166" s="197" t="s">
        <v>519</v>
      </c>
      <c r="AV166" s="194">
        <v>138</v>
      </c>
      <c r="AW166" s="194">
        <v>0</v>
      </c>
      <c r="AX166" s="194">
        <v>0</v>
      </c>
      <c r="AY166" s="549">
        <v>138</v>
      </c>
      <c r="AZ166" s="194">
        <v>0</v>
      </c>
      <c r="BA166" s="194">
        <v>162</v>
      </c>
      <c r="BB166" s="551">
        <v>162</v>
      </c>
      <c r="BC166" s="551">
        <v>300</v>
      </c>
      <c r="BD166" s="551">
        <v>0</v>
      </c>
      <c r="BF166" s="550">
        <f t="shared" si="49"/>
        <v>138</v>
      </c>
      <c r="BG166" s="550">
        <f t="shared" si="50"/>
        <v>0</v>
      </c>
      <c r="BH166" s="550">
        <f t="shared" si="51"/>
        <v>0</v>
      </c>
      <c r="BI166" s="550">
        <f t="shared" si="52"/>
        <v>138</v>
      </c>
      <c r="BJ166" s="550">
        <f t="shared" si="53"/>
        <v>0</v>
      </c>
      <c r="BK166" s="550">
        <f t="shared" si="54"/>
        <v>162</v>
      </c>
      <c r="BL166" s="550">
        <f t="shared" si="55"/>
        <v>162</v>
      </c>
      <c r="BM166" s="550">
        <f t="shared" si="56"/>
        <v>300</v>
      </c>
      <c r="BO166" s="194"/>
      <c r="BQ166" s="193">
        <f t="shared" si="57"/>
        <v>0</v>
      </c>
      <c r="BR166" s="193">
        <f t="shared" si="58"/>
        <v>0</v>
      </c>
      <c r="BS166" s="193">
        <f t="shared" si="48"/>
        <v>0</v>
      </c>
      <c r="BT166" s="193">
        <f t="shared" si="48"/>
        <v>0</v>
      </c>
    </row>
    <row r="167" spans="1:72" ht="13.5" customHeight="1">
      <c r="A167" s="193" t="s">
        <v>378</v>
      </c>
      <c r="B167" s="193" t="s">
        <v>379</v>
      </c>
      <c r="C167" s="193" t="s">
        <v>214</v>
      </c>
      <c r="D167" s="193" t="s">
        <v>490</v>
      </c>
      <c r="E167" s="193" t="s">
        <v>491</v>
      </c>
      <c r="F167" s="193" t="s">
        <v>579</v>
      </c>
      <c r="G167" s="193" t="s">
        <v>579</v>
      </c>
      <c r="H167" s="193" t="s">
        <v>651</v>
      </c>
      <c r="I167" s="193" t="s">
        <v>512</v>
      </c>
      <c r="J167" s="193" t="s">
        <v>849</v>
      </c>
      <c r="K167" s="193" t="s">
        <v>386</v>
      </c>
      <c r="L167" s="193" t="s">
        <v>387</v>
      </c>
      <c r="M167" s="193" t="s">
        <v>378</v>
      </c>
      <c r="N167" s="193" t="s">
        <v>514</v>
      </c>
      <c r="O167" s="193" t="s">
        <v>129</v>
      </c>
      <c r="P167" s="193" t="s">
        <v>150</v>
      </c>
      <c r="Q167" s="193" t="s">
        <v>149</v>
      </c>
      <c r="R167" s="193" t="s">
        <v>148</v>
      </c>
      <c r="S167" s="193" t="s">
        <v>152</v>
      </c>
      <c r="T167" s="193" t="s">
        <v>389</v>
      </c>
      <c r="U167" s="193" t="s">
        <v>390</v>
      </c>
      <c r="V167" s="193">
        <v>0</v>
      </c>
      <c r="W167" s="193">
        <v>0</v>
      </c>
      <c r="X167" s="193">
        <v>0</v>
      </c>
      <c r="Y167" s="194">
        <v>600</v>
      </c>
      <c r="Z167" s="193" t="s">
        <v>515</v>
      </c>
      <c r="AA167" s="193" t="s">
        <v>516</v>
      </c>
      <c r="AB167" s="193">
        <v>600</v>
      </c>
      <c r="AC167" s="193" t="s">
        <v>517</v>
      </c>
      <c r="AD167" s="193" t="s">
        <v>152</v>
      </c>
      <c r="AE167" s="193">
        <v>600</v>
      </c>
      <c r="AF167" s="193" t="s">
        <v>518</v>
      </c>
      <c r="AG167" s="193" t="s">
        <v>519</v>
      </c>
      <c r="AH167" s="193">
        <v>0</v>
      </c>
      <c r="AI167" s="193">
        <v>600</v>
      </c>
      <c r="AJ167" s="193" t="s">
        <v>850</v>
      </c>
      <c r="AL167" s="197" t="s">
        <v>851</v>
      </c>
      <c r="AM167" s="193">
        <v>1</v>
      </c>
      <c r="AN167" s="193">
        <v>0</v>
      </c>
      <c r="AO167" s="193">
        <v>0</v>
      </c>
      <c r="AP167" s="193">
        <v>0</v>
      </c>
      <c r="AQ167" s="193" t="s">
        <v>214</v>
      </c>
      <c r="AS167" s="197" t="s">
        <v>518</v>
      </c>
      <c r="AT167" s="197" t="s">
        <v>519</v>
      </c>
      <c r="AV167" s="194">
        <v>276</v>
      </c>
      <c r="AW167" s="194">
        <v>0</v>
      </c>
      <c r="AX167" s="194">
        <v>0</v>
      </c>
      <c r="AY167" s="549">
        <v>276</v>
      </c>
      <c r="AZ167" s="194">
        <v>0</v>
      </c>
      <c r="BA167" s="194">
        <v>324</v>
      </c>
      <c r="BB167" s="551">
        <v>324</v>
      </c>
      <c r="BC167" s="551">
        <v>600</v>
      </c>
      <c r="BD167" s="551">
        <v>0</v>
      </c>
      <c r="BF167" s="550">
        <f t="shared" si="49"/>
        <v>276</v>
      </c>
      <c r="BG167" s="550">
        <f t="shared" si="50"/>
        <v>0</v>
      </c>
      <c r="BH167" s="550">
        <f t="shared" si="51"/>
        <v>0</v>
      </c>
      <c r="BI167" s="550">
        <f t="shared" si="52"/>
        <v>276</v>
      </c>
      <c r="BJ167" s="550">
        <f t="shared" si="53"/>
        <v>0</v>
      </c>
      <c r="BK167" s="550">
        <f t="shared" si="54"/>
        <v>324</v>
      </c>
      <c r="BL167" s="550">
        <f t="shared" si="55"/>
        <v>324</v>
      </c>
      <c r="BM167" s="550">
        <f t="shared" si="56"/>
        <v>600</v>
      </c>
      <c r="BO167" s="194"/>
      <c r="BQ167" s="193">
        <f t="shared" si="57"/>
        <v>0</v>
      </c>
      <c r="BR167" s="193">
        <f t="shared" si="58"/>
        <v>0</v>
      </c>
      <c r="BS167" s="193">
        <f t="shared" si="48"/>
        <v>0</v>
      </c>
      <c r="BT167" s="193">
        <f t="shared" si="48"/>
        <v>0</v>
      </c>
    </row>
    <row r="168" spans="1:72" ht="13.5" customHeight="1">
      <c r="A168" s="193" t="s">
        <v>378</v>
      </c>
      <c r="B168" s="193" t="s">
        <v>379</v>
      </c>
      <c r="C168" s="193" t="s">
        <v>214</v>
      </c>
      <c r="D168" s="193" t="s">
        <v>667</v>
      </c>
      <c r="E168" s="193" t="s">
        <v>668</v>
      </c>
      <c r="F168" s="193" t="s">
        <v>597</v>
      </c>
      <c r="G168" s="193" t="s">
        <v>597</v>
      </c>
      <c r="H168" s="193" t="s">
        <v>651</v>
      </c>
      <c r="I168" s="193" t="s">
        <v>512</v>
      </c>
      <c r="J168" s="193" t="s">
        <v>852</v>
      </c>
      <c r="K168" s="193" t="s">
        <v>386</v>
      </c>
      <c r="L168" s="193" t="s">
        <v>387</v>
      </c>
      <c r="M168" s="193" t="s">
        <v>378</v>
      </c>
      <c r="N168" s="193" t="s">
        <v>514</v>
      </c>
      <c r="O168" s="193" t="s">
        <v>129</v>
      </c>
      <c r="P168" s="193" t="s">
        <v>150</v>
      </c>
      <c r="Q168" s="193" t="s">
        <v>149</v>
      </c>
      <c r="R168" s="193" t="s">
        <v>148</v>
      </c>
      <c r="S168" s="193" t="s">
        <v>152</v>
      </c>
      <c r="T168" s="193" t="s">
        <v>389</v>
      </c>
      <c r="U168" s="193" t="s">
        <v>390</v>
      </c>
      <c r="V168" s="193">
        <v>0</v>
      </c>
      <c r="W168" s="193">
        <v>0</v>
      </c>
      <c r="X168" s="193">
        <v>0</v>
      </c>
      <c r="Y168" s="194">
        <v>300</v>
      </c>
      <c r="Z168" s="193" t="s">
        <v>515</v>
      </c>
      <c r="AA168" s="193" t="s">
        <v>516</v>
      </c>
      <c r="AB168" s="193">
        <v>300</v>
      </c>
      <c r="AC168" s="193" t="s">
        <v>517</v>
      </c>
      <c r="AD168" s="193" t="s">
        <v>152</v>
      </c>
      <c r="AE168" s="193">
        <v>300</v>
      </c>
      <c r="AF168" s="193" t="s">
        <v>518</v>
      </c>
      <c r="AG168" s="193" t="s">
        <v>519</v>
      </c>
      <c r="AH168" s="193">
        <v>0</v>
      </c>
      <c r="AI168" s="193">
        <v>300</v>
      </c>
      <c r="AJ168" s="193" t="s">
        <v>853</v>
      </c>
      <c r="AL168" s="197" t="s">
        <v>854</v>
      </c>
      <c r="AM168" s="193">
        <v>1</v>
      </c>
      <c r="AN168" s="193">
        <v>0</v>
      </c>
      <c r="AO168" s="193">
        <v>0</v>
      </c>
      <c r="AP168" s="193">
        <v>0</v>
      </c>
      <c r="AQ168" s="193" t="s">
        <v>214</v>
      </c>
      <c r="AS168" s="197" t="s">
        <v>518</v>
      </c>
      <c r="AT168" s="197" t="s">
        <v>519</v>
      </c>
      <c r="AV168" s="194">
        <v>138</v>
      </c>
      <c r="AW168" s="194">
        <v>0</v>
      </c>
      <c r="AX168" s="194">
        <v>0</v>
      </c>
      <c r="AY168" s="549">
        <v>138</v>
      </c>
      <c r="AZ168" s="194">
        <v>0</v>
      </c>
      <c r="BA168" s="194">
        <v>162</v>
      </c>
      <c r="BB168" s="551">
        <v>162</v>
      </c>
      <c r="BC168" s="551">
        <v>300</v>
      </c>
      <c r="BD168" s="551">
        <v>0</v>
      </c>
      <c r="BF168" s="550">
        <f t="shared" si="49"/>
        <v>138</v>
      </c>
      <c r="BG168" s="550">
        <f t="shared" si="50"/>
        <v>0</v>
      </c>
      <c r="BH168" s="550">
        <f t="shared" si="51"/>
        <v>0</v>
      </c>
      <c r="BI168" s="550">
        <f t="shared" si="52"/>
        <v>138</v>
      </c>
      <c r="BJ168" s="550">
        <f t="shared" si="53"/>
        <v>0</v>
      </c>
      <c r="BK168" s="550">
        <f t="shared" si="54"/>
        <v>162</v>
      </c>
      <c r="BL168" s="550">
        <f t="shared" si="55"/>
        <v>162</v>
      </c>
      <c r="BM168" s="550">
        <f t="shared" si="56"/>
        <v>300</v>
      </c>
      <c r="BO168" s="194"/>
      <c r="BQ168" s="193">
        <f t="shared" si="57"/>
        <v>0</v>
      </c>
      <c r="BR168" s="193">
        <f t="shared" si="58"/>
        <v>0</v>
      </c>
      <c r="BS168" s="193">
        <f t="shared" si="48"/>
        <v>0</v>
      </c>
      <c r="BT168" s="193">
        <f t="shared" si="48"/>
        <v>0</v>
      </c>
    </row>
    <row r="169" spans="1:72" ht="13.5" customHeight="1">
      <c r="A169" s="193" t="s">
        <v>378</v>
      </c>
      <c r="B169" s="193" t="s">
        <v>379</v>
      </c>
      <c r="C169" s="193" t="s">
        <v>214</v>
      </c>
      <c r="D169" s="193" t="s">
        <v>667</v>
      </c>
      <c r="E169" s="193" t="s">
        <v>668</v>
      </c>
      <c r="F169" s="193" t="s">
        <v>861</v>
      </c>
      <c r="G169" s="193" t="s">
        <v>861</v>
      </c>
      <c r="H169" s="193" t="s">
        <v>651</v>
      </c>
      <c r="I169" s="193" t="s">
        <v>512</v>
      </c>
      <c r="J169" s="193" t="s">
        <v>862</v>
      </c>
      <c r="K169" s="193" t="s">
        <v>386</v>
      </c>
      <c r="L169" s="193" t="s">
        <v>387</v>
      </c>
      <c r="M169" s="193" t="s">
        <v>378</v>
      </c>
      <c r="N169" s="193" t="s">
        <v>514</v>
      </c>
      <c r="O169" s="193" t="s">
        <v>129</v>
      </c>
      <c r="P169" s="193" t="s">
        <v>150</v>
      </c>
      <c r="Q169" s="193" t="s">
        <v>149</v>
      </c>
      <c r="R169" s="193" t="s">
        <v>148</v>
      </c>
      <c r="S169" s="193" t="s">
        <v>152</v>
      </c>
      <c r="T169" s="193" t="s">
        <v>389</v>
      </c>
      <c r="U169" s="193" t="s">
        <v>390</v>
      </c>
      <c r="V169" s="193">
        <v>0</v>
      </c>
      <c r="W169" s="193">
        <v>0</v>
      </c>
      <c r="X169" s="193">
        <v>0</v>
      </c>
      <c r="Y169" s="194">
        <v>300</v>
      </c>
      <c r="Z169" s="193" t="s">
        <v>515</v>
      </c>
      <c r="AA169" s="193" t="s">
        <v>516</v>
      </c>
      <c r="AB169" s="193">
        <v>300</v>
      </c>
      <c r="AC169" s="193" t="s">
        <v>517</v>
      </c>
      <c r="AD169" s="193" t="s">
        <v>152</v>
      </c>
      <c r="AE169" s="193">
        <v>300</v>
      </c>
      <c r="AF169" s="193" t="s">
        <v>518</v>
      </c>
      <c r="AG169" s="193" t="s">
        <v>519</v>
      </c>
      <c r="AH169" s="193">
        <v>0</v>
      </c>
      <c r="AI169" s="193">
        <v>300</v>
      </c>
      <c r="AJ169" s="193" t="s">
        <v>863</v>
      </c>
      <c r="AL169" s="197" t="s">
        <v>864</v>
      </c>
      <c r="AM169" s="193">
        <v>1</v>
      </c>
      <c r="AN169" s="193">
        <v>0</v>
      </c>
      <c r="AO169" s="193">
        <v>0</v>
      </c>
      <c r="AP169" s="193">
        <v>0</v>
      </c>
      <c r="AQ169" s="193" t="s">
        <v>214</v>
      </c>
      <c r="AS169" s="197" t="s">
        <v>518</v>
      </c>
      <c r="AT169" s="197" t="s">
        <v>519</v>
      </c>
      <c r="AV169" s="194">
        <v>138</v>
      </c>
      <c r="AW169" s="194">
        <v>0</v>
      </c>
      <c r="AX169" s="194">
        <v>0</v>
      </c>
      <c r="AY169" s="549">
        <v>138</v>
      </c>
      <c r="AZ169" s="194">
        <v>0</v>
      </c>
      <c r="BA169" s="194">
        <v>162</v>
      </c>
      <c r="BB169" s="551">
        <v>162</v>
      </c>
      <c r="BC169" s="551">
        <v>300</v>
      </c>
      <c r="BD169" s="551">
        <v>0</v>
      </c>
      <c r="BF169" s="550">
        <f t="shared" si="49"/>
        <v>138</v>
      </c>
      <c r="BG169" s="550">
        <f t="shared" si="50"/>
        <v>0</v>
      </c>
      <c r="BH169" s="550">
        <f t="shared" si="51"/>
        <v>0</v>
      </c>
      <c r="BI169" s="550">
        <f t="shared" si="52"/>
        <v>138</v>
      </c>
      <c r="BJ169" s="550">
        <f t="shared" si="53"/>
        <v>0</v>
      </c>
      <c r="BK169" s="550">
        <f t="shared" si="54"/>
        <v>162</v>
      </c>
      <c r="BL169" s="550">
        <f t="shared" si="55"/>
        <v>162</v>
      </c>
      <c r="BM169" s="550">
        <f t="shared" si="56"/>
        <v>300</v>
      </c>
      <c r="BO169" s="194"/>
      <c r="BQ169" s="193">
        <f t="shared" si="57"/>
        <v>0</v>
      </c>
      <c r="BR169" s="193">
        <f t="shared" si="58"/>
        <v>0</v>
      </c>
      <c r="BS169" s="193">
        <f t="shared" si="48"/>
        <v>0</v>
      </c>
      <c r="BT169" s="193">
        <f t="shared" si="48"/>
        <v>0</v>
      </c>
    </row>
    <row r="170" spans="1:72" ht="13.5" customHeight="1">
      <c r="A170" s="193" t="s">
        <v>378</v>
      </c>
      <c r="B170" s="193" t="s">
        <v>379</v>
      </c>
      <c r="C170" s="193" t="s">
        <v>214</v>
      </c>
      <c r="D170" s="193" t="s">
        <v>490</v>
      </c>
      <c r="E170" s="193" t="s">
        <v>491</v>
      </c>
      <c r="F170" s="193" t="s">
        <v>865</v>
      </c>
      <c r="G170" s="193" t="s">
        <v>865</v>
      </c>
      <c r="H170" s="193" t="s">
        <v>651</v>
      </c>
      <c r="I170" s="193" t="s">
        <v>512</v>
      </c>
      <c r="J170" s="193" t="s">
        <v>866</v>
      </c>
      <c r="K170" s="193" t="s">
        <v>386</v>
      </c>
      <c r="L170" s="193" t="s">
        <v>387</v>
      </c>
      <c r="M170" s="193" t="s">
        <v>378</v>
      </c>
      <c r="N170" s="193" t="s">
        <v>514</v>
      </c>
      <c r="O170" s="193" t="s">
        <v>129</v>
      </c>
      <c r="P170" s="193" t="s">
        <v>150</v>
      </c>
      <c r="Q170" s="193" t="s">
        <v>149</v>
      </c>
      <c r="R170" s="193" t="s">
        <v>148</v>
      </c>
      <c r="S170" s="193" t="s">
        <v>152</v>
      </c>
      <c r="T170" s="193" t="s">
        <v>389</v>
      </c>
      <c r="U170" s="193" t="s">
        <v>390</v>
      </c>
      <c r="V170" s="193">
        <v>0</v>
      </c>
      <c r="W170" s="193">
        <v>0</v>
      </c>
      <c r="X170" s="193">
        <v>0</v>
      </c>
      <c r="Y170" s="194">
        <v>470</v>
      </c>
      <c r="Z170" s="193" t="s">
        <v>515</v>
      </c>
      <c r="AA170" s="193" t="s">
        <v>516</v>
      </c>
      <c r="AB170" s="193">
        <v>470</v>
      </c>
      <c r="AC170" s="193" t="s">
        <v>517</v>
      </c>
      <c r="AD170" s="193" t="s">
        <v>152</v>
      </c>
      <c r="AE170" s="193">
        <v>470</v>
      </c>
      <c r="AF170" s="193" t="s">
        <v>518</v>
      </c>
      <c r="AG170" s="193" t="s">
        <v>519</v>
      </c>
      <c r="AH170" s="193">
        <v>0</v>
      </c>
      <c r="AI170" s="193">
        <v>470</v>
      </c>
      <c r="AJ170" s="193" t="s">
        <v>867</v>
      </c>
      <c r="AL170" s="197" t="s">
        <v>868</v>
      </c>
      <c r="AM170" s="193">
        <v>1</v>
      </c>
      <c r="AN170" s="193">
        <v>0</v>
      </c>
      <c r="AO170" s="193">
        <v>0</v>
      </c>
      <c r="AP170" s="193">
        <v>0</v>
      </c>
      <c r="AQ170" s="193" t="s">
        <v>214</v>
      </c>
      <c r="AS170" s="197" t="s">
        <v>518</v>
      </c>
      <c r="AT170" s="197" t="s">
        <v>519</v>
      </c>
      <c r="AV170" s="194">
        <v>216</v>
      </c>
      <c r="AW170" s="194">
        <v>0</v>
      </c>
      <c r="AX170" s="194">
        <v>0</v>
      </c>
      <c r="AY170" s="549">
        <v>216</v>
      </c>
      <c r="AZ170" s="194">
        <v>0</v>
      </c>
      <c r="BA170" s="194">
        <v>254</v>
      </c>
      <c r="BB170" s="551">
        <v>254</v>
      </c>
      <c r="BC170" s="551">
        <v>470</v>
      </c>
      <c r="BD170" s="551">
        <v>0</v>
      </c>
      <c r="BF170" s="550">
        <f t="shared" si="49"/>
        <v>216</v>
      </c>
      <c r="BG170" s="550">
        <f t="shared" si="50"/>
        <v>0</v>
      </c>
      <c r="BH170" s="550">
        <f t="shared" si="51"/>
        <v>0</v>
      </c>
      <c r="BI170" s="550">
        <f t="shared" si="52"/>
        <v>216</v>
      </c>
      <c r="BJ170" s="550">
        <f t="shared" si="53"/>
        <v>0</v>
      </c>
      <c r="BK170" s="550">
        <f t="shared" si="54"/>
        <v>254</v>
      </c>
      <c r="BL170" s="550">
        <f t="shared" si="55"/>
        <v>254</v>
      </c>
      <c r="BM170" s="550">
        <f t="shared" si="56"/>
        <v>470</v>
      </c>
      <c r="BO170" s="194"/>
      <c r="BQ170" s="193">
        <f t="shared" si="57"/>
        <v>0</v>
      </c>
      <c r="BR170" s="193">
        <f t="shared" si="58"/>
        <v>0</v>
      </c>
      <c r="BS170" s="193">
        <f t="shared" si="48"/>
        <v>0</v>
      </c>
      <c r="BT170" s="193">
        <f t="shared" si="48"/>
        <v>0</v>
      </c>
    </row>
    <row r="171" spans="1:72" ht="13.5" customHeight="1">
      <c r="A171" s="193" t="s">
        <v>378</v>
      </c>
      <c r="B171" s="193" t="s">
        <v>379</v>
      </c>
      <c r="C171" s="193" t="s">
        <v>214</v>
      </c>
      <c r="D171" s="193" t="s">
        <v>490</v>
      </c>
      <c r="E171" s="193" t="s">
        <v>491</v>
      </c>
      <c r="F171" s="193" t="s">
        <v>865</v>
      </c>
      <c r="G171" s="193" t="s">
        <v>865</v>
      </c>
      <c r="H171" s="193" t="s">
        <v>651</v>
      </c>
      <c r="I171" s="193" t="s">
        <v>512</v>
      </c>
      <c r="J171" s="193" t="s">
        <v>869</v>
      </c>
      <c r="K171" s="193" t="s">
        <v>386</v>
      </c>
      <c r="L171" s="193" t="s">
        <v>387</v>
      </c>
      <c r="M171" s="193" t="s">
        <v>378</v>
      </c>
      <c r="N171" s="193" t="s">
        <v>514</v>
      </c>
      <c r="O171" s="193" t="s">
        <v>129</v>
      </c>
      <c r="P171" s="193" t="s">
        <v>150</v>
      </c>
      <c r="Q171" s="193" t="s">
        <v>149</v>
      </c>
      <c r="R171" s="193" t="s">
        <v>148</v>
      </c>
      <c r="S171" s="193" t="s">
        <v>152</v>
      </c>
      <c r="T171" s="193" t="s">
        <v>389</v>
      </c>
      <c r="U171" s="193" t="s">
        <v>390</v>
      </c>
      <c r="V171" s="193">
        <v>0</v>
      </c>
      <c r="W171" s="193">
        <v>0</v>
      </c>
      <c r="X171" s="193">
        <v>0</v>
      </c>
      <c r="Y171" s="194">
        <v>300</v>
      </c>
      <c r="Z171" s="193" t="s">
        <v>515</v>
      </c>
      <c r="AA171" s="193" t="s">
        <v>516</v>
      </c>
      <c r="AB171" s="193">
        <v>300</v>
      </c>
      <c r="AC171" s="193" t="s">
        <v>517</v>
      </c>
      <c r="AD171" s="193" t="s">
        <v>152</v>
      </c>
      <c r="AE171" s="193">
        <v>300</v>
      </c>
      <c r="AF171" s="193" t="s">
        <v>518</v>
      </c>
      <c r="AG171" s="193" t="s">
        <v>519</v>
      </c>
      <c r="AH171" s="193">
        <v>0</v>
      </c>
      <c r="AI171" s="193">
        <v>300</v>
      </c>
      <c r="AJ171" s="193" t="s">
        <v>870</v>
      </c>
      <c r="AL171" s="197" t="s">
        <v>871</v>
      </c>
      <c r="AM171" s="193">
        <v>1</v>
      </c>
      <c r="AN171" s="193">
        <v>0</v>
      </c>
      <c r="AO171" s="193">
        <v>0</v>
      </c>
      <c r="AP171" s="193">
        <v>0</v>
      </c>
      <c r="AQ171" s="193" t="s">
        <v>214</v>
      </c>
      <c r="AS171" s="197" t="s">
        <v>518</v>
      </c>
      <c r="AT171" s="197" t="s">
        <v>519</v>
      </c>
      <c r="AV171" s="194">
        <v>138</v>
      </c>
      <c r="AW171" s="194">
        <v>0</v>
      </c>
      <c r="AX171" s="194">
        <v>0</v>
      </c>
      <c r="AY171" s="549">
        <v>138</v>
      </c>
      <c r="AZ171" s="194">
        <v>0</v>
      </c>
      <c r="BA171" s="194">
        <v>162</v>
      </c>
      <c r="BB171" s="551">
        <v>162</v>
      </c>
      <c r="BC171" s="551">
        <v>300</v>
      </c>
      <c r="BD171" s="551">
        <v>0</v>
      </c>
      <c r="BF171" s="550">
        <f t="shared" si="49"/>
        <v>138</v>
      </c>
      <c r="BG171" s="550">
        <f t="shared" si="50"/>
        <v>0</v>
      </c>
      <c r="BH171" s="550">
        <f t="shared" si="51"/>
        <v>0</v>
      </c>
      <c r="BI171" s="550">
        <f t="shared" si="52"/>
        <v>138</v>
      </c>
      <c r="BJ171" s="550">
        <f t="shared" si="53"/>
        <v>0</v>
      </c>
      <c r="BK171" s="550">
        <f t="shared" si="54"/>
        <v>162</v>
      </c>
      <c r="BL171" s="550">
        <f t="shared" si="55"/>
        <v>162</v>
      </c>
      <c r="BM171" s="550">
        <f t="shared" si="56"/>
        <v>300</v>
      </c>
      <c r="BO171" s="194"/>
      <c r="BQ171" s="193">
        <f t="shared" si="57"/>
        <v>0</v>
      </c>
      <c r="BR171" s="193">
        <f t="shared" si="58"/>
        <v>0</v>
      </c>
      <c r="BS171" s="193">
        <f t="shared" si="48"/>
        <v>0</v>
      </c>
      <c r="BT171" s="193">
        <f t="shared" si="48"/>
        <v>0</v>
      </c>
    </row>
    <row r="172" spans="1:72" ht="13.5" customHeight="1">
      <c r="A172" s="193" t="s">
        <v>378</v>
      </c>
      <c r="B172" s="193" t="s">
        <v>379</v>
      </c>
      <c r="C172" s="193" t="s">
        <v>214</v>
      </c>
      <c r="D172" s="193" t="s">
        <v>667</v>
      </c>
      <c r="E172" s="193" t="s">
        <v>668</v>
      </c>
      <c r="F172" s="193" t="s">
        <v>872</v>
      </c>
      <c r="G172" s="193" t="s">
        <v>872</v>
      </c>
      <c r="H172" s="193" t="s">
        <v>651</v>
      </c>
      <c r="I172" s="193" t="s">
        <v>512</v>
      </c>
      <c r="J172" s="193" t="s">
        <v>873</v>
      </c>
      <c r="K172" s="193" t="s">
        <v>386</v>
      </c>
      <c r="L172" s="193" t="s">
        <v>387</v>
      </c>
      <c r="M172" s="193" t="s">
        <v>378</v>
      </c>
      <c r="N172" s="193" t="s">
        <v>514</v>
      </c>
      <c r="O172" s="193" t="s">
        <v>129</v>
      </c>
      <c r="P172" s="193" t="s">
        <v>150</v>
      </c>
      <c r="Q172" s="193" t="s">
        <v>149</v>
      </c>
      <c r="R172" s="193" t="s">
        <v>148</v>
      </c>
      <c r="S172" s="193" t="s">
        <v>152</v>
      </c>
      <c r="T172" s="193" t="s">
        <v>389</v>
      </c>
      <c r="U172" s="193" t="s">
        <v>390</v>
      </c>
      <c r="V172" s="193">
        <v>0</v>
      </c>
      <c r="W172" s="193">
        <v>0</v>
      </c>
      <c r="X172" s="193">
        <v>0</v>
      </c>
      <c r="Y172" s="194">
        <v>300</v>
      </c>
      <c r="Z172" s="193" t="s">
        <v>515</v>
      </c>
      <c r="AA172" s="193" t="s">
        <v>516</v>
      </c>
      <c r="AB172" s="193">
        <v>300</v>
      </c>
      <c r="AC172" s="193" t="s">
        <v>517</v>
      </c>
      <c r="AD172" s="193" t="s">
        <v>152</v>
      </c>
      <c r="AE172" s="193">
        <v>300</v>
      </c>
      <c r="AF172" s="193" t="s">
        <v>518</v>
      </c>
      <c r="AG172" s="193" t="s">
        <v>519</v>
      </c>
      <c r="AH172" s="193">
        <v>0</v>
      </c>
      <c r="AI172" s="193">
        <v>300</v>
      </c>
      <c r="AJ172" s="193" t="s">
        <v>874</v>
      </c>
      <c r="AL172" s="197" t="s">
        <v>875</v>
      </c>
      <c r="AM172" s="193">
        <v>1</v>
      </c>
      <c r="AN172" s="193">
        <v>0</v>
      </c>
      <c r="AO172" s="193">
        <v>0</v>
      </c>
      <c r="AP172" s="193">
        <v>0</v>
      </c>
      <c r="AQ172" s="193" t="s">
        <v>214</v>
      </c>
      <c r="AS172" s="197" t="s">
        <v>518</v>
      </c>
      <c r="AT172" s="197" t="s">
        <v>519</v>
      </c>
      <c r="AV172" s="194">
        <v>138</v>
      </c>
      <c r="AW172" s="194">
        <v>0</v>
      </c>
      <c r="AX172" s="194">
        <v>0</v>
      </c>
      <c r="AY172" s="549">
        <v>138</v>
      </c>
      <c r="AZ172" s="194">
        <v>0</v>
      </c>
      <c r="BA172" s="194">
        <v>162</v>
      </c>
      <c r="BB172" s="551">
        <v>162</v>
      </c>
      <c r="BC172" s="551">
        <v>300</v>
      </c>
      <c r="BD172" s="551">
        <v>0</v>
      </c>
      <c r="BF172" s="550">
        <f t="shared" si="49"/>
        <v>138</v>
      </c>
      <c r="BG172" s="550">
        <f t="shared" si="50"/>
        <v>0</v>
      </c>
      <c r="BH172" s="550">
        <f t="shared" si="51"/>
        <v>0</v>
      </c>
      <c r="BI172" s="550">
        <f t="shared" si="52"/>
        <v>138</v>
      </c>
      <c r="BJ172" s="550">
        <f t="shared" si="53"/>
        <v>0</v>
      </c>
      <c r="BK172" s="550">
        <f t="shared" si="54"/>
        <v>162</v>
      </c>
      <c r="BL172" s="550">
        <f t="shared" si="55"/>
        <v>162</v>
      </c>
      <c r="BM172" s="550">
        <f t="shared" si="56"/>
        <v>300</v>
      </c>
      <c r="BO172" s="194"/>
      <c r="BQ172" s="193">
        <f t="shared" si="57"/>
        <v>0</v>
      </c>
      <c r="BR172" s="193">
        <f t="shared" si="58"/>
        <v>0</v>
      </c>
      <c r="BS172" s="193">
        <f t="shared" ref="BS172:BT222" si="59">AZ172*100/(100+$AT172)-BJ172</f>
        <v>0</v>
      </c>
      <c r="BT172" s="193">
        <f t="shared" si="59"/>
        <v>0</v>
      </c>
    </row>
    <row r="173" spans="1:72" ht="13.5" customHeight="1">
      <c r="A173" s="193" t="s">
        <v>378</v>
      </c>
      <c r="B173" s="193" t="s">
        <v>379</v>
      </c>
      <c r="C173" s="193" t="s">
        <v>214</v>
      </c>
      <c r="D173" s="193" t="s">
        <v>667</v>
      </c>
      <c r="E173" s="193" t="s">
        <v>668</v>
      </c>
      <c r="F173" s="193" t="s">
        <v>872</v>
      </c>
      <c r="G173" s="193" t="s">
        <v>872</v>
      </c>
      <c r="H173" s="193" t="s">
        <v>651</v>
      </c>
      <c r="I173" s="193" t="s">
        <v>512</v>
      </c>
      <c r="J173" s="193" t="s">
        <v>873</v>
      </c>
      <c r="K173" s="193" t="s">
        <v>386</v>
      </c>
      <c r="L173" s="193" t="s">
        <v>531</v>
      </c>
      <c r="M173" s="193" t="s">
        <v>378</v>
      </c>
      <c r="N173" s="193" t="s">
        <v>514</v>
      </c>
      <c r="O173" s="193" t="s">
        <v>129</v>
      </c>
      <c r="P173" s="193" t="s">
        <v>150</v>
      </c>
      <c r="Q173" s="193" t="s">
        <v>149</v>
      </c>
      <c r="R173" s="193" t="s">
        <v>148</v>
      </c>
      <c r="S173" s="193" t="s">
        <v>152</v>
      </c>
      <c r="T173" s="193" t="s">
        <v>389</v>
      </c>
      <c r="U173" s="193" t="s">
        <v>390</v>
      </c>
      <c r="V173" s="193">
        <v>0</v>
      </c>
      <c r="W173" s="193">
        <v>0</v>
      </c>
      <c r="X173" s="193">
        <v>0</v>
      </c>
      <c r="Y173" s="194">
        <v>470</v>
      </c>
      <c r="Z173" s="193" t="s">
        <v>515</v>
      </c>
      <c r="AA173" s="193" t="s">
        <v>516</v>
      </c>
      <c r="AB173" s="193">
        <v>470</v>
      </c>
      <c r="AC173" s="193" t="s">
        <v>517</v>
      </c>
      <c r="AD173" s="193" t="s">
        <v>152</v>
      </c>
      <c r="AE173" s="193">
        <v>470</v>
      </c>
      <c r="AF173" s="193" t="s">
        <v>518</v>
      </c>
      <c r="AG173" s="193" t="s">
        <v>519</v>
      </c>
      <c r="AH173" s="193">
        <v>0</v>
      </c>
      <c r="AI173" s="193">
        <v>470</v>
      </c>
      <c r="AJ173" s="193" t="s">
        <v>876</v>
      </c>
      <c r="AL173" s="197" t="s">
        <v>877</v>
      </c>
      <c r="AM173" s="193">
        <v>1</v>
      </c>
      <c r="AN173" s="193">
        <v>0</v>
      </c>
      <c r="AO173" s="193">
        <v>0</v>
      </c>
      <c r="AP173" s="193">
        <v>0</v>
      </c>
      <c r="AQ173" s="193" t="s">
        <v>214</v>
      </c>
      <c r="AS173" s="197" t="s">
        <v>518</v>
      </c>
      <c r="AT173" s="197" t="s">
        <v>519</v>
      </c>
      <c r="AV173" s="194">
        <v>216</v>
      </c>
      <c r="AW173" s="194">
        <v>0</v>
      </c>
      <c r="AX173" s="194">
        <v>0</v>
      </c>
      <c r="AY173" s="549">
        <v>216</v>
      </c>
      <c r="AZ173" s="194">
        <v>0</v>
      </c>
      <c r="BA173" s="194">
        <v>254</v>
      </c>
      <c r="BB173" s="551">
        <v>254</v>
      </c>
      <c r="BC173" s="551">
        <v>470</v>
      </c>
      <c r="BD173" s="551">
        <v>0</v>
      </c>
      <c r="BF173" s="550">
        <f t="shared" si="49"/>
        <v>216</v>
      </c>
      <c r="BG173" s="550">
        <f t="shared" si="50"/>
        <v>0</v>
      </c>
      <c r="BH173" s="550">
        <f t="shared" si="51"/>
        <v>0</v>
      </c>
      <c r="BI173" s="550">
        <f t="shared" si="52"/>
        <v>216</v>
      </c>
      <c r="BJ173" s="550">
        <f t="shared" si="53"/>
        <v>0</v>
      </c>
      <c r="BK173" s="550">
        <f t="shared" si="54"/>
        <v>254</v>
      </c>
      <c r="BL173" s="550">
        <f t="shared" si="55"/>
        <v>254</v>
      </c>
      <c r="BM173" s="550">
        <f t="shared" si="56"/>
        <v>470</v>
      </c>
      <c r="BO173" s="194"/>
      <c r="BQ173" s="193">
        <f t="shared" si="57"/>
        <v>0</v>
      </c>
      <c r="BR173" s="193">
        <f t="shared" si="58"/>
        <v>0</v>
      </c>
      <c r="BS173" s="193">
        <f t="shared" si="59"/>
        <v>0</v>
      </c>
      <c r="BT173" s="193">
        <f t="shared" si="59"/>
        <v>0</v>
      </c>
    </row>
    <row r="174" spans="1:72" ht="13.5" customHeight="1">
      <c r="A174" s="193" t="s">
        <v>378</v>
      </c>
      <c r="B174" s="193" t="s">
        <v>379</v>
      </c>
      <c r="C174" s="193" t="s">
        <v>214</v>
      </c>
      <c r="D174" s="193" t="s">
        <v>542</v>
      </c>
      <c r="E174" s="193" t="s">
        <v>543</v>
      </c>
      <c r="F174" s="193" t="s">
        <v>663</v>
      </c>
      <c r="G174" s="193" t="s">
        <v>663</v>
      </c>
      <c r="H174" s="193" t="s">
        <v>651</v>
      </c>
      <c r="I174" s="193" t="s">
        <v>512</v>
      </c>
      <c r="J174" s="193" t="s">
        <v>664</v>
      </c>
      <c r="K174" s="193" t="s">
        <v>386</v>
      </c>
      <c r="L174" s="193" t="s">
        <v>387</v>
      </c>
      <c r="M174" s="193" t="s">
        <v>378</v>
      </c>
      <c r="N174" s="193" t="s">
        <v>514</v>
      </c>
      <c r="O174" s="193" t="s">
        <v>129</v>
      </c>
      <c r="P174" s="193" t="s">
        <v>150</v>
      </c>
      <c r="Q174" s="193" t="s">
        <v>149</v>
      </c>
      <c r="R174" s="193" t="s">
        <v>148</v>
      </c>
      <c r="S174" s="193" t="s">
        <v>152</v>
      </c>
      <c r="T174" s="193" t="s">
        <v>389</v>
      </c>
      <c r="U174" s="193" t="s">
        <v>390</v>
      </c>
      <c r="V174" s="193">
        <v>0</v>
      </c>
      <c r="W174" s="193">
        <v>0</v>
      </c>
      <c r="X174" s="193">
        <v>0</v>
      </c>
      <c r="Y174" s="194">
        <v>300</v>
      </c>
      <c r="Z174" s="193" t="s">
        <v>515</v>
      </c>
      <c r="AA174" s="193" t="s">
        <v>516</v>
      </c>
      <c r="AB174" s="193">
        <v>300</v>
      </c>
      <c r="AC174" s="193" t="s">
        <v>517</v>
      </c>
      <c r="AD174" s="193" t="s">
        <v>152</v>
      </c>
      <c r="AE174" s="193">
        <v>300</v>
      </c>
      <c r="AF174" s="193" t="s">
        <v>518</v>
      </c>
      <c r="AG174" s="193" t="s">
        <v>519</v>
      </c>
      <c r="AH174" s="193">
        <v>0</v>
      </c>
      <c r="AI174" s="193">
        <v>300</v>
      </c>
      <c r="AJ174" s="193" t="s">
        <v>665</v>
      </c>
      <c r="AL174" s="197" t="s">
        <v>666</v>
      </c>
      <c r="AM174" s="193">
        <v>1</v>
      </c>
      <c r="AN174" s="193">
        <v>0</v>
      </c>
      <c r="AO174" s="193">
        <v>0</v>
      </c>
      <c r="AP174" s="193">
        <v>0</v>
      </c>
      <c r="AQ174" s="193" t="s">
        <v>214</v>
      </c>
      <c r="AS174" s="197" t="s">
        <v>518</v>
      </c>
      <c r="AT174" s="197" t="s">
        <v>519</v>
      </c>
      <c r="AV174" s="194">
        <v>138</v>
      </c>
      <c r="AW174" s="194">
        <v>0</v>
      </c>
      <c r="AX174" s="194">
        <v>0</v>
      </c>
      <c r="AY174" s="549">
        <v>138</v>
      </c>
      <c r="AZ174" s="194">
        <v>0</v>
      </c>
      <c r="BA174" s="194">
        <v>162</v>
      </c>
      <c r="BB174" s="551">
        <v>162</v>
      </c>
      <c r="BC174" s="551">
        <v>300</v>
      </c>
      <c r="BD174" s="551">
        <v>0</v>
      </c>
      <c r="BF174" s="550">
        <f t="shared" si="49"/>
        <v>138</v>
      </c>
      <c r="BG174" s="550">
        <f t="shared" si="50"/>
        <v>0</v>
      </c>
      <c r="BH174" s="550">
        <f t="shared" si="51"/>
        <v>0</v>
      </c>
      <c r="BI174" s="550">
        <f t="shared" si="52"/>
        <v>138</v>
      </c>
      <c r="BJ174" s="550">
        <f t="shared" si="53"/>
        <v>0</v>
      </c>
      <c r="BK174" s="550">
        <f t="shared" si="54"/>
        <v>162</v>
      </c>
      <c r="BL174" s="550">
        <f t="shared" si="55"/>
        <v>162</v>
      </c>
      <c r="BM174" s="550">
        <f t="shared" si="56"/>
        <v>300</v>
      </c>
      <c r="BO174" s="194"/>
      <c r="BQ174" s="193">
        <f t="shared" si="57"/>
        <v>0</v>
      </c>
      <c r="BR174" s="193">
        <f t="shared" si="58"/>
        <v>0</v>
      </c>
      <c r="BS174" s="193">
        <f t="shared" si="59"/>
        <v>0</v>
      </c>
      <c r="BT174" s="193">
        <f t="shared" si="59"/>
        <v>0</v>
      </c>
    </row>
    <row r="175" spans="1:72" ht="13.5" customHeight="1">
      <c r="A175" s="193" t="s">
        <v>378</v>
      </c>
      <c r="B175" s="193" t="s">
        <v>379</v>
      </c>
      <c r="C175" s="193" t="s">
        <v>214</v>
      </c>
      <c r="D175" s="193" t="s">
        <v>490</v>
      </c>
      <c r="E175" s="193" t="s">
        <v>491</v>
      </c>
      <c r="F175" s="193" t="s">
        <v>655</v>
      </c>
      <c r="G175" s="193" t="s">
        <v>655</v>
      </c>
      <c r="H175" s="193" t="s">
        <v>651</v>
      </c>
      <c r="I175" s="193" t="s">
        <v>512</v>
      </c>
      <c r="J175" s="193" t="s">
        <v>656</v>
      </c>
      <c r="K175" s="193" t="s">
        <v>386</v>
      </c>
      <c r="L175" s="193" t="s">
        <v>387</v>
      </c>
      <c r="M175" s="193" t="s">
        <v>378</v>
      </c>
      <c r="N175" s="193" t="s">
        <v>514</v>
      </c>
      <c r="O175" s="193" t="s">
        <v>129</v>
      </c>
      <c r="P175" s="193" t="s">
        <v>150</v>
      </c>
      <c r="Q175" s="193" t="s">
        <v>149</v>
      </c>
      <c r="R175" s="193" t="s">
        <v>148</v>
      </c>
      <c r="S175" s="193" t="s">
        <v>152</v>
      </c>
      <c r="T175" s="193" t="s">
        <v>389</v>
      </c>
      <c r="U175" s="193" t="s">
        <v>390</v>
      </c>
      <c r="V175" s="193">
        <v>0</v>
      </c>
      <c r="W175" s="193">
        <v>0</v>
      </c>
      <c r="X175" s="193">
        <v>0</v>
      </c>
      <c r="Y175" s="194">
        <v>300</v>
      </c>
      <c r="Z175" s="193" t="s">
        <v>515</v>
      </c>
      <c r="AA175" s="193" t="s">
        <v>516</v>
      </c>
      <c r="AB175" s="193">
        <v>300</v>
      </c>
      <c r="AC175" s="193" t="s">
        <v>517</v>
      </c>
      <c r="AD175" s="193" t="s">
        <v>152</v>
      </c>
      <c r="AE175" s="193">
        <v>300</v>
      </c>
      <c r="AF175" s="193" t="s">
        <v>518</v>
      </c>
      <c r="AG175" s="193" t="s">
        <v>519</v>
      </c>
      <c r="AH175" s="193">
        <v>0</v>
      </c>
      <c r="AI175" s="193">
        <v>300</v>
      </c>
      <c r="AJ175" s="193" t="s">
        <v>657</v>
      </c>
      <c r="AL175" s="197" t="s">
        <v>658</v>
      </c>
      <c r="AM175" s="193">
        <v>1</v>
      </c>
      <c r="AN175" s="193">
        <v>0</v>
      </c>
      <c r="AO175" s="193">
        <v>0</v>
      </c>
      <c r="AP175" s="193">
        <v>0</v>
      </c>
      <c r="AQ175" s="193" t="s">
        <v>214</v>
      </c>
      <c r="AS175" s="197" t="s">
        <v>518</v>
      </c>
      <c r="AT175" s="197" t="s">
        <v>519</v>
      </c>
      <c r="AV175" s="194">
        <v>138</v>
      </c>
      <c r="AW175" s="194">
        <v>0</v>
      </c>
      <c r="AX175" s="194">
        <v>0</v>
      </c>
      <c r="AY175" s="549">
        <v>138</v>
      </c>
      <c r="AZ175" s="194">
        <v>0</v>
      </c>
      <c r="BA175" s="194">
        <v>162</v>
      </c>
      <c r="BB175" s="551">
        <v>162</v>
      </c>
      <c r="BC175" s="551">
        <v>300</v>
      </c>
      <c r="BD175" s="551">
        <v>0</v>
      </c>
      <c r="BF175" s="550">
        <f t="shared" si="49"/>
        <v>138</v>
      </c>
      <c r="BG175" s="550">
        <f t="shared" si="50"/>
        <v>0</v>
      </c>
      <c r="BH175" s="550">
        <f t="shared" si="51"/>
        <v>0</v>
      </c>
      <c r="BI175" s="550">
        <f t="shared" si="52"/>
        <v>138</v>
      </c>
      <c r="BJ175" s="550">
        <f t="shared" si="53"/>
        <v>0</v>
      </c>
      <c r="BK175" s="550">
        <f t="shared" si="54"/>
        <v>162</v>
      </c>
      <c r="BL175" s="550">
        <f t="shared" si="55"/>
        <v>162</v>
      </c>
      <c r="BM175" s="550">
        <f t="shared" si="56"/>
        <v>300</v>
      </c>
      <c r="BO175" s="194"/>
      <c r="BQ175" s="193">
        <f t="shared" si="57"/>
        <v>0</v>
      </c>
      <c r="BR175" s="193">
        <f t="shared" si="58"/>
        <v>0</v>
      </c>
      <c r="BS175" s="193">
        <f t="shared" si="59"/>
        <v>0</v>
      </c>
      <c r="BT175" s="193">
        <f t="shared" si="59"/>
        <v>0</v>
      </c>
    </row>
    <row r="176" spans="1:72" ht="13.5" customHeight="1">
      <c r="A176" s="193" t="s">
        <v>378</v>
      </c>
      <c r="B176" s="193" t="s">
        <v>379</v>
      </c>
      <c r="C176" s="193" t="s">
        <v>214</v>
      </c>
      <c r="D176" s="193" t="s">
        <v>490</v>
      </c>
      <c r="E176" s="193" t="s">
        <v>491</v>
      </c>
      <c r="F176" s="193" t="s">
        <v>682</v>
      </c>
      <c r="G176" s="193" t="s">
        <v>682</v>
      </c>
      <c r="H176" s="193" t="s">
        <v>651</v>
      </c>
      <c r="I176" s="193" t="s">
        <v>512</v>
      </c>
      <c r="J176" s="193" t="s">
        <v>683</v>
      </c>
      <c r="K176" s="193" t="s">
        <v>386</v>
      </c>
      <c r="L176" s="193" t="s">
        <v>387</v>
      </c>
      <c r="M176" s="193" t="s">
        <v>378</v>
      </c>
      <c r="N176" s="193" t="s">
        <v>514</v>
      </c>
      <c r="O176" s="193" t="s">
        <v>129</v>
      </c>
      <c r="P176" s="193" t="s">
        <v>150</v>
      </c>
      <c r="Q176" s="193" t="s">
        <v>149</v>
      </c>
      <c r="R176" s="193" t="s">
        <v>148</v>
      </c>
      <c r="S176" s="193" t="s">
        <v>152</v>
      </c>
      <c r="T176" s="193" t="s">
        <v>389</v>
      </c>
      <c r="U176" s="193" t="s">
        <v>390</v>
      </c>
      <c r="V176" s="193">
        <v>0</v>
      </c>
      <c r="W176" s="193">
        <v>0</v>
      </c>
      <c r="X176" s="193">
        <v>0</v>
      </c>
      <c r="Y176" s="194">
        <v>300</v>
      </c>
      <c r="Z176" s="193" t="s">
        <v>515</v>
      </c>
      <c r="AA176" s="193" t="s">
        <v>516</v>
      </c>
      <c r="AB176" s="193">
        <v>300</v>
      </c>
      <c r="AC176" s="193" t="s">
        <v>517</v>
      </c>
      <c r="AD176" s="193" t="s">
        <v>152</v>
      </c>
      <c r="AE176" s="193">
        <v>300</v>
      </c>
      <c r="AF176" s="193" t="s">
        <v>518</v>
      </c>
      <c r="AG176" s="193" t="s">
        <v>519</v>
      </c>
      <c r="AH176" s="193">
        <v>0</v>
      </c>
      <c r="AI176" s="193">
        <v>300</v>
      </c>
      <c r="AJ176" s="193" t="s">
        <v>684</v>
      </c>
      <c r="AL176" s="197" t="s">
        <v>685</v>
      </c>
      <c r="AM176" s="193">
        <v>1</v>
      </c>
      <c r="AN176" s="193">
        <v>0</v>
      </c>
      <c r="AO176" s="193">
        <v>0</v>
      </c>
      <c r="AP176" s="193">
        <v>0</v>
      </c>
      <c r="AQ176" s="193" t="s">
        <v>214</v>
      </c>
      <c r="AS176" s="197" t="s">
        <v>518</v>
      </c>
      <c r="AT176" s="197" t="s">
        <v>519</v>
      </c>
      <c r="AV176" s="194">
        <v>138</v>
      </c>
      <c r="AW176" s="194">
        <v>0</v>
      </c>
      <c r="AX176" s="194">
        <v>0</v>
      </c>
      <c r="AY176" s="549">
        <v>138</v>
      </c>
      <c r="AZ176" s="194">
        <v>0</v>
      </c>
      <c r="BA176" s="194">
        <v>162</v>
      </c>
      <c r="BB176" s="551">
        <v>162</v>
      </c>
      <c r="BC176" s="551">
        <v>300</v>
      </c>
      <c r="BD176" s="551">
        <v>0</v>
      </c>
      <c r="BF176" s="550">
        <f t="shared" si="49"/>
        <v>138</v>
      </c>
      <c r="BG176" s="550">
        <f t="shared" si="50"/>
        <v>0</v>
      </c>
      <c r="BH176" s="550">
        <f t="shared" si="51"/>
        <v>0</v>
      </c>
      <c r="BI176" s="550">
        <f t="shared" si="52"/>
        <v>138</v>
      </c>
      <c r="BJ176" s="550">
        <f t="shared" si="53"/>
        <v>0</v>
      </c>
      <c r="BK176" s="550">
        <f t="shared" si="54"/>
        <v>162</v>
      </c>
      <c r="BL176" s="550">
        <f t="shared" si="55"/>
        <v>162</v>
      </c>
      <c r="BM176" s="550">
        <f t="shared" si="56"/>
        <v>300</v>
      </c>
      <c r="BO176" s="194"/>
      <c r="BQ176" s="193">
        <f t="shared" si="57"/>
        <v>0</v>
      </c>
      <c r="BR176" s="193">
        <f t="shared" si="58"/>
        <v>0</v>
      </c>
      <c r="BS176" s="193">
        <f t="shared" si="59"/>
        <v>0</v>
      </c>
      <c r="BT176" s="193">
        <f t="shared" si="59"/>
        <v>0</v>
      </c>
    </row>
    <row r="177" spans="1:72" ht="13.5" customHeight="1">
      <c r="A177" s="193" t="s">
        <v>378</v>
      </c>
      <c r="B177" s="193" t="s">
        <v>379</v>
      </c>
      <c r="C177" s="193" t="s">
        <v>214</v>
      </c>
      <c r="D177" s="193" t="s">
        <v>667</v>
      </c>
      <c r="E177" s="193" t="s">
        <v>668</v>
      </c>
      <c r="F177" s="193" t="s">
        <v>686</v>
      </c>
      <c r="G177" s="193" t="s">
        <v>686</v>
      </c>
      <c r="H177" s="193" t="s">
        <v>651</v>
      </c>
      <c r="I177" s="193" t="s">
        <v>512</v>
      </c>
      <c r="J177" s="193" t="s">
        <v>687</v>
      </c>
      <c r="K177" s="193" t="s">
        <v>386</v>
      </c>
      <c r="L177" s="193" t="s">
        <v>387</v>
      </c>
      <c r="M177" s="193" t="s">
        <v>378</v>
      </c>
      <c r="N177" s="193" t="s">
        <v>514</v>
      </c>
      <c r="O177" s="193" t="s">
        <v>129</v>
      </c>
      <c r="P177" s="193" t="s">
        <v>150</v>
      </c>
      <c r="Q177" s="193" t="s">
        <v>149</v>
      </c>
      <c r="R177" s="193" t="s">
        <v>148</v>
      </c>
      <c r="S177" s="193" t="s">
        <v>152</v>
      </c>
      <c r="T177" s="193" t="s">
        <v>389</v>
      </c>
      <c r="U177" s="193" t="s">
        <v>390</v>
      </c>
      <c r="V177" s="193">
        <v>0</v>
      </c>
      <c r="W177" s="193">
        <v>0</v>
      </c>
      <c r="X177" s="193">
        <v>0</v>
      </c>
      <c r="Y177" s="194">
        <v>300</v>
      </c>
      <c r="Z177" s="193" t="s">
        <v>515</v>
      </c>
      <c r="AA177" s="193" t="s">
        <v>516</v>
      </c>
      <c r="AB177" s="193">
        <v>300</v>
      </c>
      <c r="AC177" s="193" t="s">
        <v>517</v>
      </c>
      <c r="AD177" s="193" t="s">
        <v>152</v>
      </c>
      <c r="AE177" s="193">
        <v>300</v>
      </c>
      <c r="AF177" s="193" t="s">
        <v>518</v>
      </c>
      <c r="AG177" s="193" t="s">
        <v>519</v>
      </c>
      <c r="AH177" s="193">
        <v>0</v>
      </c>
      <c r="AI177" s="193">
        <v>300</v>
      </c>
      <c r="AJ177" s="193" t="s">
        <v>688</v>
      </c>
      <c r="AL177" s="197" t="s">
        <v>689</v>
      </c>
      <c r="AM177" s="193">
        <v>1</v>
      </c>
      <c r="AN177" s="193">
        <v>0</v>
      </c>
      <c r="AO177" s="193">
        <v>0</v>
      </c>
      <c r="AP177" s="193">
        <v>0</v>
      </c>
      <c r="AQ177" s="193" t="s">
        <v>214</v>
      </c>
      <c r="AS177" s="197" t="s">
        <v>518</v>
      </c>
      <c r="AT177" s="197" t="s">
        <v>519</v>
      </c>
      <c r="AV177" s="194">
        <v>138</v>
      </c>
      <c r="AW177" s="194">
        <v>0</v>
      </c>
      <c r="AX177" s="194">
        <v>0</v>
      </c>
      <c r="AY177" s="549">
        <v>138</v>
      </c>
      <c r="AZ177" s="194">
        <v>0</v>
      </c>
      <c r="BA177" s="194">
        <v>162</v>
      </c>
      <c r="BB177" s="551">
        <v>162</v>
      </c>
      <c r="BC177" s="551">
        <v>300</v>
      </c>
      <c r="BD177" s="551">
        <v>0</v>
      </c>
      <c r="BF177" s="550">
        <f t="shared" si="49"/>
        <v>138</v>
      </c>
      <c r="BG177" s="550">
        <f t="shared" si="50"/>
        <v>0</v>
      </c>
      <c r="BH177" s="550">
        <f t="shared" si="51"/>
        <v>0</v>
      </c>
      <c r="BI177" s="550">
        <f t="shared" si="52"/>
        <v>138</v>
      </c>
      <c r="BJ177" s="550">
        <f t="shared" si="53"/>
        <v>0</v>
      </c>
      <c r="BK177" s="550">
        <f t="shared" si="54"/>
        <v>162</v>
      </c>
      <c r="BL177" s="550">
        <f t="shared" si="55"/>
        <v>162</v>
      </c>
      <c r="BM177" s="550">
        <f t="shared" si="56"/>
        <v>300</v>
      </c>
      <c r="BO177" s="194"/>
      <c r="BQ177" s="193">
        <f t="shared" si="57"/>
        <v>0</v>
      </c>
      <c r="BR177" s="193">
        <f t="shared" si="58"/>
        <v>0</v>
      </c>
      <c r="BS177" s="193">
        <f t="shared" si="59"/>
        <v>0</v>
      </c>
      <c r="BT177" s="193">
        <f t="shared" si="59"/>
        <v>0</v>
      </c>
    </row>
    <row r="178" spans="1:72" ht="13.5" customHeight="1">
      <c r="A178" s="193" t="s">
        <v>378</v>
      </c>
      <c r="B178" s="193" t="s">
        <v>379</v>
      </c>
      <c r="C178" s="193" t="s">
        <v>214</v>
      </c>
      <c r="D178" s="193" t="s">
        <v>490</v>
      </c>
      <c r="E178" s="193" t="s">
        <v>491</v>
      </c>
      <c r="F178" s="193" t="s">
        <v>659</v>
      </c>
      <c r="G178" s="193" t="s">
        <v>659</v>
      </c>
      <c r="H178" s="193" t="s">
        <v>651</v>
      </c>
      <c r="I178" s="193" t="s">
        <v>512</v>
      </c>
      <c r="J178" s="193" t="s">
        <v>660</v>
      </c>
      <c r="K178" s="193" t="s">
        <v>386</v>
      </c>
      <c r="L178" s="193" t="s">
        <v>387</v>
      </c>
      <c r="M178" s="193" t="s">
        <v>378</v>
      </c>
      <c r="N178" s="193" t="s">
        <v>514</v>
      </c>
      <c r="O178" s="193" t="s">
        <v>129</v>
      </c>
      <c r="P178" s="193" t="s">
        <v>150</v>
      </c>
      <c r="Q178" s="193" t="s">
        <v>149</v>
      </c>
      <c r="R178" s="193" t="s">
        <v>148</v>
      </c>
      <c r="S178" s="193" t="s">
        <v>152</v>
      </c>
      <c r="T178" s="193" t="s">
        <v>389</v>
      </c>
      <c r="U178" s="193" t="s">
        <v>390</v>
      </c>
      <c r="V178" s="193">
        <v>0</v>
      </c>
      <c r="W178" s="193">
        <v>0</v>
      </c>
      <c r="X178" s="193">
        <v>0</v>
      </c>
      <c r="Y178" s="194">
        <v>470</v>
      </c>
      <c r="Z178" s="193" t="s">
        <v>515</v>
      </c>
      <c r="AA178" s="193" t="s">
        <v>516</v>
      </c>
      <c r="AB178" s="193">
        <v>470</v>
      </c>
      <c r="AC178" s="193" t="s">
        <v>517</v>
      </c>
      <c r="AD178" s="193" t="s">
        <v>152</v>
      </c>
      <c r="AE178" s="193">
        <v>470</v>
      </c>
      <c r="AF178" s="193" t="s">
        <v>518</v>
      </c>
      <c r="AG178" s="193" t="s">
        <v>519</v>
      </c>
      <c r="AH178" s="193">
        <v>0</v>
      </c>
      <c r="AI178" s="193">
        <v>470</v>
      </c>
      <c r="AJ178" s="193" t="s">
        <v>661</v>
      </c>
      <c r="AL178" s="197" t="s">
        <v>662</v>
      </c>
      <c r="AM178" s="193">
        <v>1</v>
      </c>
      <c r="AN178" s="193">
        <v>0</v>
      </c>
      <c r="AO178" s="193">
        <v>0</v>
      </c>
      <c r="AP178" s="193">
        <v>0</v>
      </c>
      <c r="AQ178" s="193" t="s">
        <v>214</v>
      </c>
      <c r="AS178" s="197" t="s">
        <v>518</v>
      </c>
      <c r="AT178" s="197" t="s">
        <v>519</v>
      </c>
      <c r="AV178" s="194">
        <v>216</v>
      </c>
      <c r="AW178" s="194">
        <v>0</v>
      </c>
      <c r="AX178" s="194">
        <v>0</v>
      </c>
      <c r="AY178" s="549">
        <v>216</v>
      </c>
      <c r="AZ178" s="194">
        <v>0</v>
      </c>
      <c r="BA178" s="194">
        <v>254</v>
      </c>
      <c r="BB178" s="551">
        <v>254</v>
      </c>
      <c r="BC178" s="551">
        <v>470</v>
      </c>
      <c r="BD178" s="551">
        <v>0</v>
      </c>
      <c r="BF178" s="550">
        <f t="shared" si="49"/>
        <v>216</v>
      </c>
      <c r="BG178" s="550">
        <f t="shared" si="50"/>
        <v>0</v>
      </c>
      <c r="BH178" s="550">
        <f t="shared" si="51"/>
        <v>0</v>
      </c>
      <c r="BI178" s="550">
        <f t="shared" si="52"/>
        <v>216</v>
      </c>
      <c r="BJ178" s="550">
        <f t="shared" si="53"/>
        <v>0</v>
      </c>
      <c r="BK178" s="550">
        <f t="shared" si="54"/>
        <v>254</v>
      </c>
      <c r="BL178" s="550">
        <f t="shared" si="55"/>
        <v>254</v>
      </c>
      <c r="BM178" s="550">
        <f t="shared" si="56"/>
        <v>470</v>
      </c>
      <c r="BO178" s="194"/>
      <c r="BQ178" s="193">
        <f t="shared" si="57"/>
        <v>0</v>
      </c>
      <c r="BR178" s="193">
        <f t="shared" si="58"/>
        <v>0</v>
      </c>
      <c r="BS178" s="193">
        <f t="shared" si="59"/>
        <v>0</v>
      </c>
      <c r="BT178" s="193">
        <f t="shared" si="59"/>
        <v>0</v>
      </c>
    </row>
    <row r="179" spans="1:72" ht="13.5" customHeight="1">
      <c r="A179" s="193" t="s">
        <v>378</v>
      </c>
      <c r="B179" s="193" t="s">
        <v>379</v>
      </c>
      <c r="C179" s="193" t="s">
        <v>214</v>
      </c>
      <c r="D179" s="193" t="s">
        <v>667</v>
      </c>
      <c r="E179" s="193" t="s">
        <v>668</v>
      </c>
      <c r="F179" s="193" t="s">
        <v>766</v>
      </c>
      <c r="G179" s="193" t="s">
        <v>766</v>
      </c>
      <c r="H179" s="193" t="s">
        <v>670</v>
      </c>
      <c r="I179" s="193" t="s">
        <v>512</v>
      </c>
      <c r="J179" s="193" t="s">
        <v>767</v>
      </c>
      <c r="K179" s="193" t="s">
        <v>386</v>
      </c>
      <c r="L179" s="193" t="s">
        <v>387</v>
      </c>
      <c r="M179" s="193" t="s">
        <v>378</v>
      </c>
      <c r="N179" s="193" t="s">
        <v>514</v>
      </c>
      <c r="O179" s="193" t="s">
        <v>129</v>
      </c>
      <c r="P179" s="193" t="s">
        <v>150</v>
      </c>
      <c r="Q179" s="193" t="s">
        <v>149</v>
      </c>
      <c r="R179" s="193" t="s">
        <v>148</v>
      </c>
      <c r="S179" s="193" t="s">
        <v>152</v>
      </c>
      <c r="T179" s="193" t="s">
        <v>389</v>
      </c>
      <c r="U179" s="193" t="s">
        <v>390</v>
      </c>
      <c r="V179" s="193">
        <v>0</v>
      </c>
      <c r="W179" s="193">
        <v>0</v>
      </c>
      <c r="X179" s="193">
        <v>0</v>
      </c>
      <c r="Y179" s="194">
        <v>300</v>
      </c>
      <c r="Z179" s="193" t="s">
        <v>515</v>
      </c>
      <c r="AA179" s="193" t="s">
        <v>516</v>
      </c>
      <c r="AB179" s="193">
        <v>300</v>
      </c>
      <c r="AC179" s="193" t="s">
        <v>517</v>
      </c>
      <c r="AD179" s="193" t="s">
        <v>152</v>
      </c>
      <c r="AE179" s="193">
        <v>300</v>
      </c>
      <c r="AF179" s="193" t="s">
        <v>518</v>
      </c>
      <c r="AG179" s="193" t="s">
        <v>519</v>
      </c>
      <c r="AH179" s="193">
        <v>0</v>
      </c>
      <c r="AI179" s="193">
        <v>300</v>
      </c>
      <c r="AJ179" s="193" t="s">
        <v>768</v>
      </c>
      <c r="AL179" s="197" t="s">
        <v>769</v>
      </c>
      <c r="AM179" s="193">
        <v>1</v>
      </c>
      <c r="AN179" s="193">
        <v>0</v>
      </c>
      <c r="AO179" s="193">
        <v>0</v>
      </c>
      <c r="AP179" s="193">
        <v>0</v>
      </c>
      <c r="AQ179" s="193" t="s">
        <v>214</v>
      </c>
      <c r="AS179" s="197" t="s">
        <v>518</v>
      </c>
      <c r="AT179" s="197" t="s">
        <v>519</v>
      </c>
      <c r="AV179" s="194">
        <v>138</v>
      </c>
      <c r="AW179" s="194">
        <v>0</v>
      </c>
      <c r="AX179" s="194">
        <v>0</v>
      </c>
      <c r="AY179" s="549">
        <v>138</v>
      </c>
      <c r="AZ179" s="194">
        <v>0</v>
      </c>
      <c r="BA179" s="194">
        <v>162</v>
      </c>
      <c r="BB179" s="551">
        <v>162</v>
      </c>
      <c r="BC179" s="551">
        <v>300</v>
      </c>
      <c r="BD179" s="551">
        <v>0</v>
      </c>
      <c r="BF179" s="550">
        <f t="shared" si="49"/>
        <v>138</v>
      </c>
      <c r="BG179" s="550">
        <f t="shared" si="50"/>
        <v>0</v>
      </c>
      <c r="BH179" s="550">
        <f t="shared" si="51"/>
        <v>0</v>
      </c>
      <c r="BI179" s="550">
        <f t="shared" si="52"/>
        <v>138</v>
      </c>
      <c r="BJ179" s="550">
        <f t="shared" si="53"/>
        <v>0</v>
      </c>
      <c r="BK179" s="550">
        <f t="shared" si="54"/>
        <v>162</v>
      </c>
      <c r="BL179" s="550">
        <f t="shared" si="55"/>
        <v>162</v>
      </c>
      <c r="BM179" s="550">
        <f t="shared" si="56"/>
        <v>300</v>
      </c>
      <c r="BO179" s="194"/>
      <c r="BQ179" s="193">
        <f t="shared" si="57"/>
        <v>0</v>
      </c>
      <c r="BR179" s="193">
        <f t="shared" si="58"/>
        <v>0</v>
      </c>
      <c r="BS179" s="193">
        <f t="shared" si="59"/>
        <v>0</v>
      </c>
      <c r="BT179" s="193">
        <f t="shared" si="59"/>
        <v>0</v>
      </c>
    </row>
    <row r="180" spans="1:72" ht="13.5" customHeight="1">
      <c r="A180" s="193" t="s">
        <v>378</v>
      </c>
      <c r="B180" s="193" t="s">
        <v>379</v>
      </c>
      <c r="C180" s="193" t="s">
        <v>214</v>
      </c>
      <c r="D180" s="193" t="s">
        <v>667</v>
      </c>
      <c r="E180" s="193" t="s">
        <v>668</v>
      </c>
      <c r="F180" s="193" t="s">
        <v>766</v>
      </c>
      <c r="G180" s="193" t="s">
        <v>766</v>
      </c>
      <c r="H180" s="193" t="s">
        <v>670</v>
      </c>
      <c r="I180" s="193" t="s">
        <v>512</v>
      </c>
      <c r="J180" s="193" t="s">
        <v>767</v>
      </c>
      <c r="K180" s="193" t="s">
        <v>386</v>
      </c>
      <c r="L180" s="193" t="s">
        <v>531</v>
      </c>
      <c r="M180" s="193" t="s">
        <v>378</v>
      </c>
      <c r="N180" s="193" t="s">
        <v>514</v>
      </c>
      <c r="O180" s="193" t="s">
        <v>129</v>
      </c>
      <c r="P180" s="193" t="s">
        <v>150</v>
      </c>
      <c r="Q180" s="193" t="s">
        <v>149</v>
      </c>
      <c r="R180" s="193" t="s">
        <v>148</v>
      </c>
      <c r="S180" s="193" t="s">
        <v>152</v>
      </c>
      <c r="T180" s="193" t="s">
        <v>389</v>
      </c>
      <c r="U180" s="193" t="s">
        <v>390</v>
      </c>
      <c r="V180" s="193">
        <v>0</v>
      </c>
      <c r="W180" s="193">
        <v>0</v>
      </c>
      <c r="X180" s="193">
        <v>0</v>
      </c>
      <c r="Y180" s="194">
        <v>600</v>
      </c>
      <c r="Z180" s="193" t="s">
        <v>515</v>
      </c>
      <c r="AA180" s="193" t="s">
        <v>516</v>
      </c>
      <c r="AB180" s="193">
        <v>600</v>
      </c>
      <c r="AC180" s="193" t="s">
        <v>517</v>
      </c>
      <c r="AD180" s="193" t="s">
        <v>152</v>
      </c>
      <c r="AE180" s="193">
        <v>600</v>
      </c>
      <c r="AF180" s="193" t="s">
        <v>518</v>
      </c>
      <c r="AG180" s="193" t="s">
        <v>519</v>
      </c>
      <c r="AH180" s="193">
        <v>0</v>
      </c>
      <c r="AI180" s="193">
        <v>600</v>
      </c>
      <c r="AJ180" s="193" t="s">
        <v>770</v>
      </c>
      <c r="AL180" s="197" t="s">
        <v>771</v>
      </c>
      <c r="AM180" s="193">
        <v>1</v>
      </c>
      <c r="AN180" s="193">
        <v>0</v>
      </c>
      <c r="AO180" s="193">
        <v>0</v>
      </c>
      <c r="AP180" s="193">
        <v>0</v>
      </c>
      <c r="AQ180" s="193" t="s">
        <v>214</v>
      </c>
      <c r="AS180" s="197" t="s">
        <v>518</v>
      </c>
      <c r="AT180" s="197" t="s">
        <v>519</v>
      </c>
      <c r="AV180" s="194">
        <v>276</v>
      </c>
      <c r="AW180" s="194">
        <v>0</v>
      </c>
      <c r="AX180" s="194">
        <v>0</v>
      </c>
      <c r="AY180" s="549">
        <v>276</v>
      </c>
      <c r="AZ180" s="194">
        <v>0</v>
      </c>
      <c r="BA180" s="194">
        <v>324</v>
      </c>
      <c r="BB180" s="551">
        <v>324</v>
      </c>
      <c r="BC180" s="551">
        <v>600</v>
      </c>
      <c r="BD180" s="551">
        <v>0</v>
      </c>
      <c r="BF180" s="550">
        <f t="shared" si="49"/>
        <v>276</v>
      </c>
      <c r="BG180" s="550">
        <f t="shared" si="50"/>
        <v>0</v>
      </c>
      <c r="BH180" s="550">
        <f t="shared" si="51"/>
        <v>0</v>
      </c>
      <c r="BI180" s="550">
        <f t="shared" si="52"/>
        <v>276</v>
      </c>
      <c r="BJ180" s="550">
        <f t="shared" si="53"/>
        <v>0</v>
      </c>
      <c r="BK180" s="550">
        <f t="shared" si="54"/>
        <v>324</v>
      </c>
      <c r="BL180" s="550">
        <f t="shared" si="55"/>
        <v>324</v>
      </c>
      <c r="BM180" s="550">
        <f t="shared" si="56"/>
        <v>600</v>
      </c>
      <c r="BO180" s="194"/>
      <c r="BQ180" s="193">
        <f t="shared" si="57"/>
        <v>0</v>
      </c>
      <c r="BR180" s="193">
        <f t="shared" si="58"/>
        <v>0</v>
      </c>
      <c r="BS180" s="193">
        <f t="shared" si="59"/>
        <v>0</v>
      </c>
      <c r="BT180" s="193">
        <f t="shared" si="59"/>
        <v>0</v>
      </c>
    </row>
    <row r="181" spans="1:72" ht="13.5" customHeight="1">
      <c r="A181" s="193" t="s">
        <v>378</v>
      </c>
      <c r="B181" s="193" t="s">
        <v>379</v>
      </c>
      <c r="C181" s="193" t="s">
        <v>214</v>
      </c>
      <c r="D181" s="193" t="s">
        <v>667</v>
      </c>
      <c r="E181" s="193" t="s">
        <v>668</v>
      </c>
      <c r="F181" s="193" t="s">
        <v>772</v>
      </c>
      <c r="G181" s="193" t="s">
        <v>772</v>
      </c>
      <c r="H181" s="193" t="s">
        <v>670</v>
      </c>
      <c r="I181" s="193" t="s">
        <v>512</v>
      </c>
      <c r="J181" s="193" t="s">
        <v>773</v>
      </c>
      <c r="K181" s="193" t="s">
        <v>386</v>
      </c>
      <c r="L181" s="193" t="s">
        <v>387</v>
      </c>
      <c r="M181" s="193" t="s">
        <v>378</v>
      </c>
      <c r="N181" s="193" t="s">
        <v>514</v>
      </c>
      <c r="O181" s="193" t="s">
        <v>129</v>
      </c>
      <c r="P181" s="193" t="s">
        <v>150</v>
      </c>
      <c r="Q181" s="193" t="s">
        <v>149</v>
      </c>
      <c r="R181" s="193" t="s">
        <v>148</v>
      </c>
      <c r="S181" s="193" t="s">
        <v>152</v>
      </c>
      <c r="T181" s="193" t="s">
        <v>389</v>
      </c>
      <c r="U181" s="193" t="s">
        <v>390</v>
      </c>
      <c r="V181" s="193">
        <v>0</v>
      </c>
      <c r="W181" s="193">
        <v>0</v>
      </c>
      <c r="X181" s="193">
        <v>0</v>
      </c>
      <c r="Y181" s="194">
        <v>600</v>
      </c>
      <c r="Z181" s="193" t="s">
        <v>515</v>
      </c>
      <c r="AA181" s="193" t="s">
        <v>516</v>
      </c>
      <c r="AB181" s="193">
        <v>600</v>
      </c>
      <c r="AC181" s="193" t="s">
        <v>517</v>
      </c>
      <c r="AD181" s="193" t="s">
        <v>152</v>
      </c>
      <c r="AE181" s="193">
        <v>600</v>
      </c>
      <c r="AF181" s="193" t="s">
        <v>518</v>
      </c>
      <c r="AG181" s="193" t="s">
        <v>519</v>
      </c>
      <c r="AH181" s="193">
        <v>0</v>
      </c>
      <c r="AI181" s="193">
        <v>600</v>
      </c>
      <c r="AJ181" s="193" t="s">
        <v>774</v>
      </c>
      <c r="AL181" s="197" t="s">
        <v>775</v>
      </c>
      <c r="AM181" s="193">
        <v>1</v>
      </c>
      <c r="AN181" s="193">
        <v>0</v>
      </c>
      <c r="AO181" s="193">
        <v>0</v>
      </c>
      <c r="AP181" s="193">
        <v>0</v>
      </c>
      <c r="AQ181" s="193" t="s">
        <v>214</v>
      </c>
      <c r="AS181" s="197" t="s">
        <v>518</v>
      </c>
      <c r="AT181" s="197" t="s">
        <v>519</v>
      </c>
      <c r="AV181" s="194">
        <v>276</v>
      </c>
      <c r="AW181" s="194">
        <v>0</v>
      </c>
      <c r="AX181" s="194">
        <v>0</v>
      </c>
      <c r="AY181" s="549">
        <v>276</v>
      </c>
      <c r="AZ181" s="194">
        <v>0</v>
      </c>
      <c r="BA181" s="194">
        <v>324</v>
      </c>
      <c r="BB181" s="551">
        <v>324</v>
      </c>
      <c r="BC181" s="551">
        <v>600</v>
      </c>
      <c r="BD181" s="551">
        <v>0</v>
      </c>
      <c r="BF181" s="550">
        <f t="shared" si="49"/>
        <v>276</v>
      </c>
      <c r="BG181" s="550">
        <f t="shared" si="50"/>
        <v>0</v>
      </c>
      <c r="BH181" s="550">
        <f t="shared" si="51"/>
        <v>0</v>
      </c>
      <c r="BI181" s="550">
        <f t="shared" si="52"/>
        <v>276</v>
      </c>
      <c r="BJ181" s="550">
        <f t="shared" si="53"/>
        <v>0</v>
      </c>
      <c r="BK181" s="550">
        <f t="shared" si="54"/>
        <v>324</v>
      </c>
      <c r="BL181" s="550">
        <f t="shared" si="55"/>
        <v>324</v>
      </c>
      <c r="BM181" s="550">
        <f t="shared" si="56"/>
        <v>600</v>
      </c>
      <c r="BO181" s="194"/>
      <c r="BQ181" s="193">
        <f t="shared" si="57"/>
        <v>0</v>
      </c>
      <c r="BR181" s="193">
        <f t="shared" si="58"/>
        <v>0</v>
      </c>
      <c r="BS181" s="193">
        <f t="shared" si="59"/>
        <v>0</v>
      </c>
      <c r="BT181" s="193">
        <f t="shared" si="59"/>
        <v>0</v>
      </c>
    </row>
    <row r="182" spans="1:72" ht="13.5" customHeight="1">
      <c r="A182" s="193" t="s">
        <v>378</v>
      </c>
      <c r="B182" s="193" t="s">
        <v>379</v>
      </c>
      <c r="C182" s="193" t="s">
        <v>214</v>
      </c>
      <c r="D182" s="193" t="s">
        <v>667</v>
      </c>
      <c r="E182" s="193" t="s">
        <v>668</v>
      </c>
      <c r="F182" s="193" t="s">
        <v>727</v>
      </c>
      <c r="G182" s="193" t="s">
        <v>727</v>
      </c>
      <c r="H182" s="193" t="s">
        <v>670</v>
      </c>
      <c r="I182" s="193" t="s">
        <v>512</v>
      </c>
      <c r="J182" s="193" t="s">
        <v>763</v>
      </c>
      <c r="K182" s="193" t="s">
        <v>386</v>
      </c>
      <c r="L182" s="193" t="s">
        <v>387</v>
      </c>
      <c r="M182" s="193" t="s">
        <v>378</v>
      </c>
      <c r="N182" s="193" t="s">
        <v>514</v>
      </c>
      <c r="O182" s="193" t="s">
        <v>129</v>
      </c>
      <c r="P182" s="193" t="s">
        <v>150</v>
      </c>
      <c r="Q182" s="193" t="s">
        <v>149</v>
      </c>
      <c r="R182" s="193" t="s">
        <v>148</v>
      </c>
      <c r="S182" s="193" t="s">
        <v>152</v>
      </c>
      <c r="T182" s="193" t="s">
        <v>389</v>
      </c>
      <c r="U182" s="193" t="s">
        <v>390</v>
      </c>
      <c r="V182" s="193">
        <v>0</v>
      </c>
      <c r="W182" s="193">
        <v>0</v>
      </c>
      <c r="X182" s="193">
        <v>0</v>
      </c>
      <c r="Y182" s="194">
        <v>600</v>
      </c>
      <c r="Z182" s="193" t="s">
        <v>515</v>
      </c>
      <c r="AA182" s="193" t="s">
        <v>516</v>
      </c>
      <c r="AB182" s="193">
        <v>600</v>
      </c>
      <c r="AC182" s="193" t="s">
        <v>517</v>
      </c>
      <c r="AD182" s="193" t="s">
        <v>152</v>
      </c>
      <c r="AE182" s="193">
        <v>600</v>
      </c>
      <c r="AF182" s="193" t="s">
        <v>518</v>
      </c>
      <c r="AG182" s="193" t="s">
        <v>519</v>
      </c>
      <c r="AH182" s="193">
        <v>0</v>
      </c>
      <c r="AI182" s="193">
        <v>600</v>
      </c>
      <c r="AJ182" s="193" t="s">
        <v>764</v>
      </c>
      <c r="AL182" s="197" t="s">
        <v>765</v>
      </c>
      <c r="AM182" s="193">
        <v>1</v>
      </c>
      <c r="AN182" s="193">
        <v>0</v>
      </c>
      <c r="AO182" s="193">
        <v>0</v>
      </c>
      <c r="AP182" s="193">
        <v>0</v>
      </c>
      <c r="AQ182" s="193" t="s">
        <v>214</v>
      </c>
      <c r="AS182" s="197" t="s">
        <v>518</v>
      </c>
      <c r="AT182" s="197" t="s">
        <v>519</v>
      </c>
      <c r="AV182" s="194">
        <v>276</v>
      </c>
      <c r="AW182" s="194">
        <v>0</v>
      </c>
      <c r="AX182" s="194">
        <v>0</v>
      </c>
      <c r="AY182" s="549">
        <v>276</v>
      </c>
      <c r="AZ182" s="194">
        <v>0</v>
      </c>
      <c r="BA182" s="194">
        <v>324</v>
      </c>
      <c r="BB182" s="551">
        <v>324</v>
      </c>
      <c r="BC182" s="551">
        <v>600</v>
      </c>
      <c r="BD182" s="551">
        <v>0</v>
      </c>
      <c r="BF182" s="550">
        <f t="shared" si="49"/>
        <v>276</v>
      </c>
      <c r="BG182" s="550">
        <f t="shared" si="50"/>
        <v>0</v>
      </c>
      <c r="BH182" s="550">
        <f t="shared" si="51"/>
        <v>0</v>
      </c>
      <c r="BI182" s="550">
        <f t="shared" si="52"/>
        <v>276</v>
      </c>
      <c r="BJ182" s="550">
        <f t="shared" si="53"/>
        <v>0</v>
      </c>
      <c r="BK182" s="550">
        <f t="shared" si="54"/>
        <v>324</v>
      </c>
      <c r="BL182" s="550">
        <f t="shared" si="55"/>
        <v>324</v>
      </c>
      <c r="BM182" s="550">
        <f t="shared" si="56"/>
        <v>600</v>
      </c>
      <c r="BO182" s="194"/>
      <c r="BQ182" s="193">
        <f t="shared" si="57"/>
        <v>0</v>
      </c>
      <c r="BR182" s="193">
        <f t="shared" si="58"/>
        <v>0</v>
      </c>
      <c r="BS182" s="193">
        <f t="shared" si="59"/>
        <v>0</v>
      </c>
      <c r="BT182" s="193">
        <f t="shared" si="59"/>
        <v>0</v>
      </c>
    </row>
    <row r="183" spans="1:72" ht="13.5" customHeight="1">
      <c r="A183" s="193" t="s">
        <v>378</v>
      </c>
      <c r="B183" s="193" t="s">
        <v>379</v>
      </c>
      <c r="C183" s="193" t="s">
        <v>214</v>
      </c>
      <c r="D183" s="193" t="s">
        <v>490</v>
      </c>
      <c r="E183" s="193" t="s">
        <v>491</v>
      </c>
      <c r="F183" s="193" t="s">
        <v>650</v>
      </c>
      <c r="G183" s="193" t="s">
        <v>650</v>
      </c>
      <c r="H183" s="193" t="s">
        <v>651</v>
      </c>
      <c r="I183" s="193" t="s">
        <v>512</v>
      </c>
      <c r="J183" s="193" t="s">
        <v>652</v>
      </c>
      <c r="K183" s="193" t="s">
        <v>386</v>
      </c>
      <c r="L183" s="193" t="s">
        <v>387</v>
      </c>
      <c r="M183" s="193" t="s">
        <v>378</v>
      </c>
      <c r="N183" s="193" t="s">
        <v>514</v>
      </c>
      <c r="O183" s="193" t="s">
        <v>129</v>
      </c>
      <c r="P183" s="193" t="s">
        <v>150</v>
      </c>
      <c r="Q183" s="193" t="s">
        <v>149</v>
      </c>
      <c r="R183" s="193" t="s">
        <v>148</v>
      </c>
      <c r="S183" s="193" t="s">
        <v>152</v>
      </c>
      <c r="T183" s="193" t="s">
        <v>389</v>
      </c>
      <c r="U183" s="193" t="s">
        <v>390</v>
      </c>
      <c r="V183" s="193">
        <v>0</v>
      </c>
      <c r="W183" s="193">
        <v>0</v>
      </c>
      <c r="X183" s="193">
        <v>0</v>
      </c>
      <c r="Y183" s="194">
        <v>300</v>
      </c>
      <c r="Z183" s="193" t="s">
        <v>515</v>
      </c>
      <c r="AA183" s="193" t="s">
        <v>516</v>
      </c>
      <c r="AB183" s="193">
        <v>300</v>
      </c>
      <c r="AC183" s="193" t="s">
        <v>517</v>
      </c>
      <c r="AD183" s="193" t="s">
        <v>152</v>
      </c>
      <c r="AE183" s="193">
        <v>300</v>
      </c>
      <c r="AF183" s="193" t="s">
        <v>518</v>
      </c>
      <c r="AG183" s="193" t="s">
        <v>519</v>
      </c>
      <c r="AH183" s="193">
        <v>0</v>
      </c>
      <c r="AI183" s="193">
        <v>300</v>
      </c>
      <c r="AJ183" s="193" t="s">
        <v>653</v>
      </c>
      <c r="AL183" s="197" t="s">
        <v>654</v>
      </c>
      <c r="AM183" s="193">
        <v>1</v>
      </c>
      <c r="AN183" s="193">
        <v>0</v>
      </c>
      <c r="AO183" s="193">
        <v>0</v>
      </c>
      <c r="AP183" s="193">
        <v>0</v>
      </c>
      <c r="AQ183" s="193" t="s">
        <v>214</v>
      </c>
      <c r="AS183" s="197" t="s">
        <v>518</v>
      </c>
      <c r="AT183" s="197" t="s">
        <v>519</v>
      </c>
      <c r="AV183" s="194">
        <v>138</v>
      </c>
      <c r="AW183" s="194">
        <v>0</v>
      </c>
      <c r="AX183" s="194">
        <v>0</v>
      </c>
      <c r="AY183" s="549">
        <v>138</v>
      </c>
      <c r="AZ183" s="194">
        <v>0</v>
      </c>
      <c r="BA183" s="194">
        <v>162</v>
      </c>
      <c r="BB183" s="551">
        <v>162</v>
      </c>
      <c r="BC183" s="551">
        <v>300</v>
      </c>
      <c r="BD183" s="551">
        <v>0</v>
      </c>
      <c r="BF183" s="550">
        <f t="shared" si="49"/>
        <v>138</v>
      </c>
      <c r="BG183" s="550">
        <f t="shared" si="50"/>
        <v>0</v>
      </c>
      <c r="BH183" s="550">
        <f t="shared" si="51"/>
        <v>0</v>
      </c>
      <c r="BI183" s="550">
        <f t="shared" si="52"/>
        <v>138</v>
      </c>
      <c r="BJ183" s="550">
        <f t="shared" si="53"/>
        <v>0</v>
      </c>
      <c r="BK183" s="550">
        <f t="shared" si="54"/>
        <v>162</v>
      </c>
      <c r="BL183" s="550">
        <f t="shared" si="55"/>
        <v>162</v>
      </c>
      <c r="BM183" s="550">
        <f t="shared" si="56"/>
        <v>300</v>
      </c>
      <c r="BO183" s="194"/>
      <c r="BQ183" s="193">
        <f t="shared" si="57"/>
        <v>0</v>
      </c>
      <c r="BR183" s="193">
        <f t="shared" si="58"/>
        <v>0</v>
      </c>
      <c r="BS183" s="193">
        <f t="shared" si="59"/>
        <v>0</v>
      </c>
      <c r="BT183" s="193">
        <f t="shared" si="59"/>
        <v>0</v>
      </c>
    </row>
    <row r="184" spans="1:72" ht="13.5" customHeight="1">
      <c r="A184" s="193" t="s">
        <v>378</v>
      </c>
      <c r="B184" s="193" t="s">
        <v>379</v>
      </c>
      <c r="C184" s="193" t="s">
        <v>214</v>
      </c>
      <c r="D184" s="193" t="s">
        <v>667</v>
      </c>
      <c r="E184" s="193" t="s">
        <v>668</v>
      </c>
      <c r="F184" s="193" t="s">
        <v>669</v>
      </c>
      <c r="G184" s="193" t="s">
        <v>669</v>
      </c>
      <c r="H184" s="193" t="s">
        <v>670</v>
      </c>
      <c r="I184" s="193" t="s">
        <v>512</v>
      </c>
      <c r="J184" s="193" t="s">
        <v>671</v>
      </c>
      <c r="K184" s="193" t="s">
        <v>386</v>
      </c>
      <c r="L184" s="193" t="s">
        <v>387</v>
      </c>
      <c r="M184" s="193" t="s">
        <v>378</v>
      </c>
      <c r="N184" s="193" t="s">
        <v>514</v>
      </c>
      <c r="O184" s="193" t="s">
        <v>129</v>
      </c>
      <c r="P184" s="193" t="s">
        <v>150</v>
      </c>
      <c r="Q184" s="193" t="s">
        <v>149</v>
      </c>
      <c r="R184" s="193" t="s">
        <v>148</v>
      </c>
      <c r="S184" s="193" t="s">
        <v>152</v>
      </c>
      <c r="T184" s="193" t="s">
        <v>389</v>
      </c>
      <c r="U184" s="193" t="s">
        <v>390</v>
      </c>
      <c r="V184" s="193">
        <v>0</v>
      </c>
      <c r="W184" s="193">
        <v>0</v>
      </c>
      <c r="X184" s="193">
        <v>0</v>
      </c>
      <c r="Y184" s="194">
        <v>300</v>
      </c>
      <c r="Z184" s="193" t="s">
        <v>515</v>
      </c>
      <c r="AA184" s="193" t="s">
        <v>516</v>
      </c>
      <c r="AB184" s="193">
        <v>300</v>
      </c>
      <c r="AC184" s="193" t="s">
        <v>517</v>
      </c>
      <c r="AD184" s="193" t="s">
        <v>152</v>
      </c>
      <c r="AE184" s="193">
        <v>300</v>
      </c>
      <c r="AF184" s="193" t="s">
        <v>518</v>
      </c>
      <c r="AG184" s="193" t="s">
        <v>519</v>
      </c>
      <c r="AH184" s="193">
        <v>0</v>
      </c>
      <c r="AI184" s="193">
        <v>300</v>
      </c>
      <c r="AJ184" s="193" t="s">
        <v>672</v>
      </c>
      <c r="AL184" s="197" t="s">
        <v>673</v>
      </c>
      <c r="AM184" s="193">
        <v>1</v>
      </c>
      <c r="AN184" s="193">
        <v>0</v>
      </c>
      <c r="AO184" s="193">
        <v>0</v>
      </c>
      <c r="AP184" s="193">
        <v>0</v>
      </c>
      <c r="AQ184" s="193" t="s">
        <v>214</v>
      </c>
      <c r="AS184" s="197" t="s">
        <v>518</v>
      </c>
      <c r="AT184" s="197" t="s">
        <v>519</v>
      </c>
      <c r="AV184" s="194">
        <v>138</v>
      </c>
      <c r="AW184" s="194">
        <v>0</v>
      </c>
      <c r="AX184" s="194">
        <v>0</v>
      </c>
      <c r="AY184" s="549">
        <v>138</v>
      </c>
      <c r="AZ184" s="194">
        <v>0</v>
      </c>
      <c r="BA184" s="194">
        <v>162</v>
      </c>
      <c r="BB184" s="551">
        <v>162</v>
      </c>
      <c r="BC184" s="551">
        <v>300</v>
      </c>
      <c r="BD184" s="551">
        <v>0</v>
      </c>
      <c r="BF184" s="550">
        <f t="shared" si="49"/>
        <v>138</v>
      </c>
      <c r="BG184" s="550">
        <f t="shared" si="50"/>
        <v>0</v>
      </c>
      <c r="BH184" s="550">
        <f t="shared" si="51"/>
        <v>0</v>
      </c>
      <c r="BI184" s="550">
        <f t="shared" si="52"/>
        <v>138</v>
      </c>
      <c r="BJ184" s="550">
        <f t="shared" si="53"/>
        <v>0</v>
      </c>
      <c r="BK184" s="550">
        <f t="shared" si="54"/>
        <v>162</v>
      </c>
      <c r="BL184" s="550">
        <f t="shared" si="55"/>
        <v>162</v>
      </c>
      <c r="BM184" s="550">
        <f t="shared" si="56"/>
        <v>300</v>
      </c>
      <c r="BO184" s="194"/>
      <c r="BQ184" s="193">
        <f t="shared" si="57"/>
        <v>0</v>
      </c>
      <c r="BR184" s="193">
        <f t="shared" si="58"/>
        <v>0</v>
      </c>
      <c r="BS184" s="193">
        <f t="shared" si="59"/>
        <v>0</v>
      </c>
      <c r="BT184" s="193">
        <f t="shared" si="59"/>
        <v>0</v>
      </c>
    </row>
    <row r="185" spans="1:72" ht="13.5" customHeight="1">
      <c r="A185" s="193" t="s">
        <v>378</v>
      </c>
      <c r="B185" s="193" t="s">
        <v>379</v>
      </c>
      <c r="C185" s="193" t="s">
        <v>214</v>
      </c>
      <c r="D185" s="193" t="s">
        <v>490</v>
      </c>
      <c r="E185" s="193" t="s">
        <v>491</v>
      </c>
      <c r="F185" s="193" t="s">
        <v>690</v>
      </c>
      <c r="G185" s="193" t="s">
        <v>690</v>
      </c>
      <c r="H185" s="193" t="s">
        <v>670</v>
      </c>
      <c r="I185" s="193" t="s">
        <v>512</v>
      </c>
      <c r="J185" s="193" t="s">
        <v>691</v>
      </c>
      <c r="K185" s="193" t="s">
        <v>386</v>
      </c>
      <c r="L185" s="193" t="s">
        <v>387</v>
      </c>
      <c r="M185" s="193" t="s">
        <v>378</v>
      </c>
      <c r="N185" s="193" t="s">
        <v>514</v>
      </c>
      <c r="O185" s="193" t="s">
        <v>129</v>
      </c>
      <c r="P185" s="193" t="s">
        <v>150</v>
      </c>
      <c r="Q185" s="193" t="s">
        <v>149</v>
      </c>
      <c r="R185" s="193" t="s">
        <v>148</v>
      </c>
      <c r="S185" s="193" t="s">
        <v>152</v>
      </c>
      <c r="T185" s="193" t="s">
        <v>389</v>
      </c>
      <c r="U185" s="193" t="s">
        <v>390</v>
      </c>
      <c r="V185" s="193">
        <v>0</v>
      </c>
      <c r="W185" s="193">
        <v>0</v>
      </c>
      <c r="X185" s="193">
        <v>0</v>
      </c>
      <c r="Y185" s="194">
        <v>600</v>
      </c>
      <c r="Z185" s="193" t="s">
        <v>515</v>
      </c>
      <c r="AA185" s="193" t="s">
        <v>516</v>
      </c>
      <c r="AB185" s="193">
        <v>600</v>
      </c>
      <c r="AC185" s="193" t="s">
        <v>517</v>
      </c>
      <c r="AD185" s="193" t="s">
        <v>152</v>
      </c>
      <c r="AE185" s="193">
        <v>600</v>
      </c>
      <c r="AF185" s="193" t="s">
        <v>518</v>
      </c>
      <c r="AG185" s="193" t="s">
        <v>519</v>
      </c>
      <c r="AH185" s="193">
        <v>0</v>
      </c>
      <c r="AI185" s="193">
        <v>600</v>
      </c>
      <c r="AJ185" s="193" t="s">
        <v>692</v>
      </c>
      <c r="AL185" s="197" t="s">
        <v>693</v>
      </c>
      <c r="AM185" s="193">
        <v>1</v>
      </c>
      <c r="AN185" s="193">
        <v>0</v>
      </c>
      <c r="AO185" s="193">
        <v>0</v>
      </c>
      <c r="AP185" s="193">
        <v>0</v>
      </c>
      <c r="AQ185" s="193" t="s">
        <v>214</v>
      </c>
      <c r="AS185" s="197" t="s">
        <v>518</v>
      </c>
      <c r="AT185" s="197" t="s">
        <v>519</v>
      </c>
      <c r="AV185" s="194">
        <v>276</v>
      </c>
      <c r="AW185" s="194">
        <v>0</v>
      </c>
      <c r="AX185" s="194">
        <v>0</v>
      </c>
      <c r="AY185" s="549">
        <v>276</v>
      </c>
      <c r="AZ185" s="194">
        <v>0</v>
      </c>
      <c r="BA185" s="194">
        <v>324</v>
      </c>
      <c r="BB185" s="551">
        <v>324</v>
      </c>
      <c r="BC185" s="551">
        <v>600</v>
      </c>
      <c r="BD185" s="551">
        <v>0</v>
      </c>
      <c r="BF185" s="550">
        <f t="shared" si="49"/>
        <v>276</v>
      </c>
      <c r="BG185" s="550">
        <f t="shared" si="50"/>
        <v>0</v>
      </c>
      <c r="BH185" s="550">
        <f t="shared" si="51"/>
        <v>0</v>
      </c>
      <c r="BI185" s="550">
        <f t="shared" si="52"/>
        <v>276</v>
      </c>
      <c r="BJ185" s="550">
        <f t="shared" si="53"/>
        <v>0</v>
      </c>
      <c r="BK185" s="550">
        <f t="shared" si="54"/>
        <v>324</v>
      </c>
      <c r="BL185" s="550">
        <f t="shared" si="55"/>
        <v>324</v>
      </c>
      <c r="BM185" s="550">
        <f t="shared" si="56"/>
        <v>600</v>
      </c>
      <c r="BO185" s="194"/>
      <c r="BQ185" s="193">
        <f t="shared" si="57"/>
        <v>0</v>
      </c>
      <c r="BR185" s="193">
        <f t="shared" si="58"/>
        <v>0</v>
      </c>
      <c r="BS185" s="193">
        <f t="shared" si="59"/>
        <v>0</v>
      </c>
      <c r="BT185" s="193">
        <f t="shared" si="59"/>
        <v>0</v>
      </c>
    </row>
    <row r="186" spans="1:72" ht="13.5" customHeight="1">
      <c r="A186" s="193" t="s">
        <v>378</v>
      </c>
      <c r="B186" s="193" t="s">
        <v>379</v>
      </c>
      <c r="C186" s="193" t="s">
        <v>214</v>
      </c>
      <c r="D186" s="193" t="s">
        <v>667</v>
      </c>
      <c r="E186" s="193" t="s">
        <v>668</v>
      </c>
      <c r="F186" s="193" t="s">
        <v>694</v>
      </c>
      <c r="G186" s="193" t="s">
        <v>694</v>
      </c>
      <c r="H186" s="193" t="s">
        <v>670</v>
      </c>
      <c r="I186" s="193" t="s">
        <v>512</v>
      </c>
      <c r="J186" s="193" t="s">
        <v>695</v>
      </c>
      <c r="K186" s="193" t="s">
        <v>386</v>
      </c>
      <c r="L186" s="193" t="s">
        <v>387</v>
      </c>
      <c r="M186" s="193" t="s">
        <v>378</v>
      </c>
      <c r="N186" s="193" t="s">
        <v>514</v>
      </c>
      <c r="O186" s="193" t="s">
        <v>129</v>
      </c>
      <c r="P186" s="193" t="s">
        <v>150</v>
      </c>
      <c r="Q186" s="193" t="s">
        <v>149</v>
      </c>
      <c r="R186" s="193" t="s">
        <v>148</v>
      </c>
      <c r="S186" s="193" t="s">
        <v>152</v>
      </c>
      <c r="T186" s="193" t="s">
        <v>389</v>
      </c>
      <c r="U186" s="193" t="s">
        <v>390</v>
      </c>
      <c r="V186" s="193">
        <v>0</v>
      </c>
      <c r="W186" s="193">
        <v>0</v>
      </c>
      <c r="X186" s="193">
        <v>0</v>
      </c>
      <c r="Y186" s="194">
        <v>600</v>
      </c>
      <c r="Z186" s="193" t="s">
        <v>515</v>
      </c>
      <c r="AA186" s="193" t="s">
        <v>516</v>
      </c>
      <c r="AB186" s="193">
        <v>600</v>
      </c>
      <c r="AC186" s="193" t="s">
        <v>517</v>
      </c>
      <c r="AD186" s="193" t="s">
        <v>152</v>
      </c>
      <c r="AE186" s="193">
        <v>600</v>
      </c>
      <c r="AF186" s="193" t="s">
        <v>518</v>
      </c>
      <c r="AG186" s="193" t="s">
        <v>519</v>
      </c>
      <c r="AH186" s="193">
        <v>0</v>
      </c>
      <c r="AI186" s="193">
        <v>600</v>
      </c>
      <c r="AJ186" s="193" t="s">
        <v>696</v>
      </c>
      <c r="AL186" s="197" t="s">
        <v>697</v>
      </c>
      <c r="AM186" s="193">
        <v>1</v>
      </c>
      <c r="AN186" s="193">
        <v>0</v>
      </c>
      <c r="AO186" s="193">
        <v>0</v>
      </c>
      <c r="AP186" s="193">
        <v>0</v>
      </c>
      <c r="AQ186" s="193" t="s">
        <v>214</v>
      </c>
      <c r="AS186" s="197" t="s">
        <v>518</v>
      </c>
      <c r="AT186" s="197" t="s">
        <v>519</v>
      </c>
      <c r="AV186" s="194">
        <v>276</v>
      </c>
      <c r="AW186" s="194">
        <v>0</v>
      </c>
      <c r="AX186" s="194">
        <v>0</v>
      </c>
      <c r="AY186" s="549">
        <v>276</v>
      </c>
      <c r="AZ186" s="194">
        <v>0</v>
      </c>
      <c r="BA186" s="194">
        <v>324</v>
      </c>
      <c r="BB186" s="551">
        <v>324</v>
      </c>
      <c r="BC186" s="551">
        <v>600</v>
      </c>
      <c r="BD186" s="551">
        <v>0</v>
      </c>
      <c r="BF186" s="550">
        <f t="shared" si="49"/>
        <v>276</v>
      </c>
      <c r="BG186" s="550">
        <f t="shared" si="50"/>
        <v>0</v>
      </c>
      <c r="BH186" s="550">
        <f t="shared" si="51"/>
        <v>0</v>
      </c>
      <c r="BI186" s="550">
        <f t="shared" si="52"/>
        <v>276</v>
      </c>
      <c r="BJ186" s="550">
        <f t="shared" si="53"/>
        <v>0</v>
      </c>
      <c r="BK186" s="550">
        <f t="shared" si="54"/>
        <v>324</v>
      </c>
      <c r="BL186" s="550">
        <f t="shared" si="55"/>
        <v>324</v>
      </c>
      <c r="BM186" s="550">
        <f t="shared" si="56"/>
        <v>600</v>
      </c>
      <c r="BO186" s="194"/>
      <c r="BQ186" s="193">
        <f t="shared" si="57"/>
        <v>0</v>
      </c>
      <c r="BR186" s="193">
        <f t="shared" si="58"/>
        <v>0</v>
      </c>
      <c r="BS186" s="193">
        <f t="shared" si="59"/>
        <v>0</v>
      </c>
      <c r="BT186" s="193">
        <f t="shared" si="59"/>
        <v>0</v>
      </c>
    </row>
    <row r="187" spans="1:72" ht="13.5" customHeight="1">
      <c r="A187" s="193" t="s">
        <v>378</v>
      </c>
      <c r="B187" s="193" t="s">
        <v>379</v>
      </c>
      <c r="C187" s="193" t="s">
        <v>214</v>
      </c>
      <c r="D187" s="193" t="s">
        <v>667</v>
      </c>
      <c r="E187" s="193" t="s">
        <v>668</v>
      </c>
      <c r="F187" s="193" t="s">
        <v>698</v>
      </c>
      <c r="G187" s="193" t="s">
        <v>698</v>
      </c>
      <c r="H187" s="193" t="s">
        <v>670</v>
      </c>
      <c r="I187" s="193" t="s">
        <v>512</v>
      </c>
      <c r="J187" s="193" t="s">
        <v>699</v>
      </c>
      <c r="K187" s="193" t="s">
        <v>386</v>
      </c>
      <c r="L187" s="193" t="s">
        <v>387</v>
      </c>
      <c r="M187" s="193" t="s">
        <v>378</v>
      </c>
      <c r="N187" s="193" t="s">
        <v>514</v>
      </c>
      <c r="O187" s="193" t="s">
        <v>129</v>
      </c>
      <c r="P187" s="193" t="s">
        <v>150</v>
      </c>
      <c r="Q187" s="193" t="s">
        <v>149</v>
      </c>
      <c r="R187" s="193" t="s">
        <v>148</v>
      </c>
      <c r="S187" s="193" t="s">
        <v>152</v>
      </c>
      <c r="T187" s="193" t="s">
        <v>389</v>
      </c>
      <c r="U187" s="193" t="s">
        <v>390</v>
      </c>
      <c r="V187" s="193">
        <v>0</v>
      </c>
      <c r="W187" s="193">
        <v>0</v>
      </c>
      <c r="X187" s="193">
        <v>0</v>
      </c>
      <c r="Y187" s="194">
        <v>300</v>
      </c>
      <c r="Z187" s="193" t="s">
        <v>515</v>
      </c>
      <c r="AA187" s="193" t="s">
        <v>516</v>
      </c>
      <c r="AB187" s="193">
        <v>300</v>
      </c>
      <c r="AC187" s="193" t="s">
        <v>517</v>
      </c>
      <c r="AD187" s="193" t="s">
        <v>152</v>
      </c>
      <c r="AE187" s="193">
        <v>300</v>
      </c>
      <c r="AF187" s="193" t="s">
        <v>518</v>
      </c>
      <c r="AG187" s="193" t="s">
        <v>519</v>
      </c>
      <c r="AH187" s="193">
        <v>0</v>
      </c>
      <c r="AI187" s="193">
        <v>300</v>
      </c>
      <c r="AJ187" s="193" t="s">
        <v>700</v>
      </c>
      <c r="AL187" s="197" t="s">
        <v>701</v>
      </c>
      <c r="AM187" s="193">
        <v>1</v>
      </c>
      <c r="AN187" s="193">
        <v>0</v>
      </c>
      <c r="AO187" s="193">
        <v>0</v>
      </c>
      <c r="AP187" s="193">
        <v>0</v>
      </c>
      <c r="AQ187" s="193" t="s">
        <v>214</v>
      </c>
      <c r="AS187" s="197" t="s">
        <v>518</v>
      </c>
      <c r="AT187" s="197" t="s">
        <v>519</v>
      </c>
      <c r="AV187" s="194">
        <v>138</v>
      </c>
      <c r="AW187" s="194">
        <v>0</v>
      </c>
      <c r="AX187" s="194">
        <v>0</v>
      </c>
      <c r="AY187" s="549">
        <v>138</v>
      </c>
      <c r="AZ187" s="194">
        <v>0</v>
      </c>
      <c r="BA187" s="194">
        <v>162</v>
      </c>
      <c r="BB187" s="551">
        <v>162</v>
      </c>
      <c r="BC187" s="551">
        <v>300</v>
      </c>
      <c r="BD187" s="551">
        <v>0</v>
      </c>
      <c r="BF187" s="550">
        <f t="shared" si="49"/>
        <v>138</v>
      </c>
      <c r="BG187" s="550">
        <f t="shared" si="50"/>
        <v>0</v>
      </c>
      <c r="BH187" s="550">
        <f t="shared" si="51"/>
        <v>0</v>
      </c>
      <c r="BI187" s="550">
        <f t="shared" si="52"/>
        <v>138</v>
      </c>
      <c r="BJ187" s="550">
        <f t="shared" si="53"/>
        <v>0</v>
      </c>
      <c r="BK187" s="550">
        <f t="shared" si="54"/>
        <v>162</v>
      </c>
      <c r="BL187" s="550">
        <f t="shared" si="55"/>
        <v>162</v>
      </c>
      <c r="BM187" s="550">
        <f t="shared" si="56"/>
        <v>300</v>
      </c>
      <c r="BO187" s="194"/>
      <c r="BQ187" s="193">
        <f t="shared" si="57"/>
        <v>0</v>
      </c>
      <c r="BR187" s="193">
        <f t="shared" si="58"/>
        <v>0</v>
      </c>
      <c r="BS187" s="193">
        <f t="shared" si="59"/>
        <v>0</v>
      </c>
      <c r="BT187" s="193">
        <f t="shared" si="59"/>
        <v>0</v>
      </c>
    </row>
    <row r="188" spans="1:72" ht="13.5" customHeight="1">
      <c r="A188" s="193" t="s">
        <v>378</v>
      </c>
      <c r="B188" s="193" t="s">
        <v>379</v>
      </c>
      <c r="C188" s="193" t="s">
        <v>214</v>
      </c>
      <c r="D188" s="193" t="s">
        <v>667</v>
      </c>
      <c r="E188" s="193" t="s">
        <v>668</v>
      </c>
      <c r="F188" s="193" t="s">
        <v>702</v>
      </c>
      <c r="G188" s="193" t="s">
        <v>702</v>
      </c>
      <c r="H188" s="193" t="s">
        <v>670</v>
      </c>
      <c r="I188" s="193" t="s">
        <v>512</v>
      </c>
      <c r="J188" s="193" t="s">
        <v>703</v>
      </c>
      <c r="K188" s="193" t="s">
        <v>386</v>
      </c>
      <c r="L188" s="193" t="s">
        <v>387</v>
      </c>
      <c r="M188" s="193" t="s">
        <v>378</v>
      </c>
      <c r="N188" s="193" t="s">
        <v>514</v>
      </c>
      <c r="O188" s="193" t="s">
        <v>129</v>
      </c>
      <c r="P188" s="193" t="s">
        <v>150</v>
      </c>
      <c r="Q188" s="193" t="s">
        <v>149</v>
      </c>
      <c r="R188" s="193" t="s">
        <v>148</v>
      </c>
      <c r="S188" s="193" t="s">
        <v>152</v>
      </c>
      <c r="T188" s="193" t="s">
        <v>389</v>
      </c>
      <c r="U188" s="193" t="s">
        <v>390</v>
      </c>
      <c r="V188" s="193">
        <v>0</v>
      </c>
      <c r="W188" s="193">
        <v>0</v>
      </c>
      <c r="X188" s="193">
        <v>0</v>
      </c>
      <c r="Y188" s="194">
        <v>300</v>
      </c>
      <c r="Z188" s="193" t="s">
        <v>515</v>
      </c>
      <c r="AA188" s="193" t="s">
        <v>516</v>
      </c>
      <c r="AB188" s="193">
        <v>300</v>
      </c>
      <c r="AC188" s="193" t="s">
        <v>517</v>
      </c>
      <c r="AD188" s="193" t="s">
        <v>152</v>
      </c>
      <c r="AE188" s="193">
        <v>300</v>
      </c>
      <c r="AF188" s="193" t="s">
        <v>518</v>
      </c>
      <c r="AG188" s="193" t="s">
        <v>519</v>
      </c>
      <c r="AH188" s="193">
        <v>0</v>
      </c>
      <c r="AI188" s="193">
        <v>300</v>
      </c>
      <c r="AJ188" s="193" t="s">
        <v>704</v>
      </c>
      <c r="AL188" s="197" t="s">
        <v>705</v>
      </c>
      <c r="AM188" s="193">
        <v>1</v>
      </c>
      <c r="AN188" s="193">
        <v>0</v>
      </c>
      <c r="AO188" s="193">
        <v>0</v>
      </c>
      <c r="AP188" s="193">
        <v>0</v>
      </c>
      <c r="AQ188" s="193" t="s">
        <v>214</v>
      </c>
      <c r="AS188" s="197" t="s">
        <v>518</v>
      </c>
      <c r="AT188" s="197" t="s">
        <v>519</v>
      </c>
      <c r="AV188" s="194">
        <v>138</v>
      </c>
      <c r="AW188" s="194">
        <v>0</v>
      </c>
      <c r="AX188" s="194">
        <v>0</v>
      </c>
      <c r="AY188" s="549">
        <v>138</v>
      </c>
      <c r="AZ188" s="194">
        <v>0</v>
      </c>
      <c r="BA188" s="194">
        <v>162</v>
      </c>
      <c r="BB188" s="551">
        <v>162</v>
      </c>
      <c r="BC188" s="551">
        <v>300</v>
      </c>
      <c r="BD188" s="551">
        <v>0</v>
      </c>
      <c r="BF188" s="550">
        <f t="shared" si="49"/>
        <v>138</v>
      </c>
      <c r="BG188" s="550">
        <f t="shared" si="50"/>
        <v>0</v>
      </c>
      <c r="BH188" s="550">
        <f t="shared" si="51"/>
        <v>0</v>
      </c>
      <c r="BI188" s="550">
        <f t="shared" si="52"/>
        <v>138</v>
      </c>
      <c r="BJ188" s="550">
        <f t="shared" si="53"/>
        <v>0</v>
      </c>
      <c r="BK188" s="550">
        <f t="shared" si="54"/>
        <v>162</v>
      </c>
      <c r="BL188" s="550">
        <f t="shared" si="55"/>
        <v>162</v>
      </c>
      <c r="BM188" s="550">
        <f t="shared" si="56"/>
        <v>300</v>
      </c>
      <c r="BO188" s="194"/>
      <c r="BQ188" s="193">
        <f t="shared" si="57"/>
        <v>0</v>
      </c>
      <c r="BR188" s="193">
        <f t="shared" si="58"/>
        <v>0</v>
      </c>
      <c r="BS188" s="193">
        <f t="shared" si="59"/>
        <v>0</v>
      </c>
      <c r="BT188" s="193">
        <f t="shared" si="59"/>
        <v>0</v>
      </c>
    </row>
    <row r="189" spans="1:72" ht="13.5" customHeight="1">
      <c r="A189" s="193" t="s">
        <v>378</v>
      </c>
      <c r="B189" s="193" t="s">
        <v>379</v>
      </c>
      <c r="C189" s="193" t="s">
        <v>214</v>
      </c>
      <c r="D189" s="193" t="s">
        <v>490</v>
      </c>
      <c r="E189" s="193" t="s">
        <v>491</v>
      </c>
      <c r="F189" s="193" t="s">
        <v>706</v>
      </c>
      <c r="G189" s="193" t="s">
        <v>706</v>
      </c>
      <c r="H189" s="193" t="s">
        <v>670</v>
      </c>
      <c r="I189" s="193" t="s">
        <v>512</v>
      </c>
      <c r="J189" s="193" t="s">
        <v>707</v>
      </c>
      <c r="K189" s="193" t="s">
        <v>386</v>
      </c>
      <c r="L189" s="193" t="s">
        <v>387</v>
      </c>
      <c r="M189" s="193" t="s">
        <v>378</v>
      </c>
      <c r="N189" s="193" t="s">
        <v>514</v>
      </c>
      <c r="O189" s="193" t="s">
        <v>129</v>
      </c>
      <c r="P189" s="193" t="s">
        <v>150</v>
      </c>
      <c r="Q189" s="193" t="s">
        <v>149</v>
      </c>
      <c r="R189" s="193" t="s">
        <v>148</v>
      </c>
      <c r="S189" s="193" t="s">
        <v>152</v>
      </c>
      <c r="T189" s="193" t="s">
        <v>389</v>
      </c>
      <c r="U189" s="193" t="s">
        <v>390</v>
      </c>
      <c r="V189" s="193">
        <v>0</v>
      </c>
      <c r="W189" s="193">
        <v>0</v>
      </c>
      <c r="X189" s="193">
        <v>0</v>
      </c>
      <c r="Y189" s="194">
        <v>300</v>
      </c>
      <c r="Z189" s="193" t="s">
        <v>515</v>
      </c>
      <c r="AA189" s="193" t="s">
        <v>516</v>
      </c>
      <c r="AB189" s="193">
        <v>300</v>
      </c>
      <c r="AC189" s="193" t="s">
        <v>517</v>
      </c>
      <c r="AD189" s="193" t="s">
        <v>152</v>
      </c>
      <c r="AE189" s="193">
        <v>300</v>
      </c>
      <c r="AF189" s="193" t="s">
        <v>518</v>
      </c>
      <c r="AG189" s="193" t="s">
        <v>519</v>
      </c>
      <c r="AH189" s="193">
        <v>0</v>
      </c>
      <c r="AI189" s="193">
        <v>300</v>
      </c>
      <c r="AJ189" s="193" t="s">
        <v>708</v>
      </c>
      <c r="AL189" s="197" t="s">
        <v>709</v>
      </c>
      <c r="AM189" s="193">
        <v>1</v>
      </c>
      <c r="AN189" s="193">
        <v>0</v>
      </c>
      <c r="AO189" s="193">
        <v>0</v>
      </c>
      <c r="AP189" s="193">
        <v>0</v>
      </c>
      <c r="AQ189" s="193" t="s">
        <v>214</v>
      </c>
      <c r="AS189" s="197" t="s">
        <v>518</v>
      </c>
      <c r="AT189" s="197" t="s">
        <v>519</v>
      </c>
      <c r="AV189" s="194">
        <v>138</v>
      </c>
      <c r="AW189" s="194">
        <v>0</v>
      </c>
      <c r="AX189" s="194">
        <v>0</v>
      </c>
      <c r="AY189" s="549">
        <v>138</v>
      </c>
      <c r="AZ189" s="194">
        <v>0</v>
      </c>
      <c r="BA189" s="194">
        <v>162</v>
      </c>
      <c r="BB189" s="551">
        <v>162</v>
      </c>
      <c r="BC189" s="551">
        <v>300</v>
      </c>
      <c r="BD189" s="551">
        <v>0</v>
      </c>
      <c r="BF189" s="550">
        <f t="shared" si="49"/>
        <v>138</v>
      </c>
      <c r="BG189" s="550">
        <f t="shared" si="50"/>
        <v>0</v>
      </c>
      <c r="BH189" s="550">
        <f t="shared" si="51"/>
        <v>0</v>
      </c>
      <c r="BI189" s="550">
        <f t="shared" si="52"/>
        <v>138</v>
      </c>
      <c r="BJ189" s="550">
        <f t="shared" si="53"/>
        <v>0</v>
      </c>
      <c r="BK189" s="550">
        <f t="shared" si="54"/>
        <v>162</v>
      </c>
      <c r="BL189" s="550">
        <f t="shared" si="55"/>
        <v>162</v>
      </c>
      <c r="BM189" s="550">
        <f t="shared" si="56"/>
        <v>300</v>
      </c>
      <c r="BO189" s="194"/>
      <c r="BQ189" s="193">
        <f t="shared" si="57"/>
        <v>0</v>
      </c>
      <c r="BR189" s="193">
        <f t="shared" si="58"/>
        <v>0</v>
      </c>
      <c r="BS189" s="193">
        <f t="shared" si="59"/>
        <v>0</v>
      </c>
      <c r="BT189" s="193">
        <f t="shared" si="59"/>
        <v>0</v>
      </c>
    </row>
    <row r="190" spans="1:72" ht="13.5" customHeight="1">
      <c r="A190" s="193" t="s">
        <v>378</v>
      </c>
      <c r="B190" s="193" t="s">
        <v>379</v>
      </c>
      <c r="C190" s="193" t="s">
        <v>214</v>
      </c>
      <c r="D190" s="193" t="s">
        <v>667</v>
      </c>
      <c r="E190" s="193" t="s">
        <v>668</v>
      </c>
      <c r="F190" s="193" t="s">
        <v>710</v>
      </c>
      <c r="G190" s="193" t="s">
        <v>710</v>
      </c>
      <c r="H190" s="193" t="s">
        <v>651</v>
      </c>
      <c r="I190" s="193" t="s">
        <v>512</v>
      </c>
      <c r="J190" s="193" t="s">
        <v>711</v>
      </c>
      <c r="K190" s="193" t="s">
        <v>386</v>
      </c>
      <c r="L190" s="193" t="s">
        <v>387</v>
      </c>
      <c r="M190" s="193" t="s">
        <v>378</v>
      </c>
      <c r="N190" s="193" t="s">
        <v>514</v>
      </c>
      <c r="O190" s="193" t="s">
        <v>129</v>
      </c>
      <c r="P190" s="193" t="s">
        <v>150</v>
      </c>
      <c r="Q190" s="193" t="s">
        <v>149</v>
      </c>
      <c r="R190" s="193" t="s">
        <v>148</v>
      </c>
      <c r="S190" s="193" t="s">
        <v>152</v>
      </c>
      <c r="T190" s="193" t="s">
        <v>389</v>
      </c>
      <c r="U190" s="193" t="s">
        <v>390</v>
      </c>
      <c r="V190" s="193">
        <v>0</v>
      </c>
      <c r="W190" s="193">
        <v>0</v>
      </c>
      <c r="X190" s="193">
        <v>0</v>
      </c>
      <c r="Y190" s="194">
        <v>300</v>
      </c>
      <c r="Z190" s="193" t="s">
        <v>515</v>
      </c>
      <c r="AA190" s="193" t="s">
        <v>516</v>
      </c>
      <c r="AB190" s="193">
        <v>300</v>
      </c>
      <c r="AC190" s="193" t="s">
        <v>517</v>
      </c>
      <c r="AD190" s="193" t="s">
        <v>152</v>
      </c>
      <c r="AE190" s="193">
        <v>300</v>
      </c>
      <c r="AF190" s="193" t="s">
        <v>518</v>
      </c>
      <c r="AG190" s="193" t="s">
        <v>519</v>
      </c>
      <c r="AH190" s="193">
        <v>0</v>
      </c>
      <c r="AI190" s="193">
        <v>300</v>
      </c>
      <c r="AJ190" s="193" t="s">
        <v>712</v>
      </c>
      <c r="AL190" s="197" t="s">
        <v>713</v>
      </c>
      <c r="AM190" s="193">
        <v>1</v>
      </c>
      <c r="AN190" s="193">
        <v>0</v>
      </c>
      <c r="AO190" s="193">
        <v>0</v>
      </c>
      <c r="AP190" s="193">
        <v>0</v>
      </c>
      <c r="AQ190" s="193" t="s">
        <v>214</v>
      </c>
      <c r="AS190" s="197" t="s">
        <v>518</v>
      </c>
      <c r="AT190" s="197" t="s">
        <v>519</v>
      </c>
      <c r="AV190" s="194">
        <v>138</v>
      </c>
      <c r="AW190" s="194">
        <v>0</v>
      </c>
      <c r="AX190" s="194">
        <v>0</v>
      </c>
      <c r="AY190" s="549">
        <v>138</v>
      </c>
      <c r="AZ190" s="194">
        <v>0</v>
      </c>
      <c r="BA190" s="194">
        <v>162</v>
      </c>
      <c r="BB190" s="551">
        <v>162</v>
      </c>
      <c r="BC190" s="551">
        <v>300</v>
      </c>
      <c r="BD190" s="551">
        <v>0</v>
      </c>
      <c r="BF190" s="550">
        <f t="shared" si="49"/>
        <v>138</v>
      </c>
      <c r="BG190" s="550">
        <f t="shared" si="50"/>
        <v>0</v>
      </c>
      <c r="BH190" s="550">
        <f t="shared" si="51"/>
        <v>0</v>
      </c>
      <c r="BI190" s="550">
        <f t="shared" si="52"/>
        <v>138</v>
      </c>
      <c r="BJ190" s="550">
        <f t="shared" si="53"/>
        <v>0</v>
      </c>
      <c r="BK190" s="550">
        <f t="shared" si="54"/>
        <v>162</v>
      </c>
      <c r="BL190" s="550">
        <f t="shared" si="55"/>
        <v>162</v>
      </c>
      <c r="BM190" s="550">
        <f t="shared" si="56"/>
        <v>300</v>
      </c>
      <c r="BO190" s="194"/>
      <c r="BQ190" s="193">
        <f t="shared" si="57"/>
        <v>0</v>
      </c>
      <c r="BR190" s="193">
        <f t="shared" si="58"/>
        <v>0</v>
      </c>
      <c r="BS190" s="193">
        <f t="shared" si="59"/>
        <v>0</v>
      </c>
      <c r="BT190" s="193">
        <f t="shared" si="59"/>
        <v>0</v>
      </c>
    </row>
    <row r="191" spans="1:72" ht="13.5" customHeight="1">
      <c r="A191" s="193" t="s">
        <v>378</v>
      </c>
      <c r="B191" s="193" t="s">
        <v>379</v>
      </c>
      <c r="C191" s="193" t="s">
        <v>214</v>
      </c>
      <c r="D191" s="193" t="s">
        <v>667</v>
      </c>
      <c r="E191" s="193" t="s">
        <v>668</v>
      </c>
      <c r="F191" s="193" t="s">
        <v>710</v>
      </c>
      <c r="G191" s="193" t="s">
        <v>710</v>
      </c>
      <c r="H191" s="193" t="s">
        <v>651</v>
      </c>
      <c r="I191" s="193" t="s">
        <v>512</v>
      </c>
      <c r="J191" s="193" t="s">
        <v>711</v>
      </c>
      <c r="K191" s="193" t="s">
        <v>386</v>
      </c>
      <c r="L191" s="193" t="s">
        <v>531</v>
      </c>
      <c r="M191" s="193" t="s">
        <v>378</v>
      </c>
      <c r="N191" s="193" t="s">
        <v>514</v>
      </c>
      <c r="O191" s="193" t="s">
        <v>129</v>
      </c>
      <c r="P191" s="193" t="s">
        <v>150</v>
      </c>
      <c r="Q191" s="193" t="s">
        <v>149</v>
      </c>
      <c r="R191" s="193" t="s">
        <v>148</v>
      </c>
      <c r="S191" s="193" t="s">
        <v>152</v>
      </c>
      <c r="T191" s="193" t="s">
        <v>389</v>
      </c>
      <c r="U191" s="193" t="s">
        <v>390</v>
      </c>
      <c r="V191" s="193">
        <v>0</v>
      </c>
      <c r="W191" s="193">
        <v>0</v>
      </c>
      <c r="X191" s="193">
        <v>0</v>
      </c>
      <c r="Y191" s="194">
        <v>300</v>
      </c>
      <c r="Z191" s="193" t="s">
        <v>515</v>
      </c>
      <c r="AA191" s="193" t="s">
        <v>516</v>
      </c>
      <c r="AB191" s="193">
        <v>300</v>
      </c>
      <c r="AC191" s="193" t="s">
        <v>517</v>
      </c>
      <c r="AD191" s="193" t="s">
        <v>152</v>
      </c>
      <c r="AE191" s="193">
        <v>300</v>
      </c>
      <c r="AF191" s="193" t="s">
        <v>518</v>
      </c>
      <c r="AG191" s="193" t="s">
        <v>519</v>
      </c>
      <c r="AH191" s="193">
        <v>0</v>
      </c>
      <c r="AI191" s="193">
        <v>300</v>
      </c>
      <c r="AJ191" s="193" t="s">
        <v>714</v>
      </c>
      <c r="AL191" s="197" t="s">
        <v>715</v>
      </c>
      <c r="AM191" s="193">
        <v>1</v>
      </c>
      <c r="AN191" s="193">
        <v>0</v>
      </c>
      <c r="AO191" s="193">
        <v>0</v>
      </c>
      <c r="AP191" s="193">
        <v>0</v>
      </c>
      <c r="AQ191" s="193" t="s">
        <v>214</v>
      </c>
      <c r="AS191" s="197" t="s">
        <v>518</v>
      </c>
      <c r="AT191" s="197" t="s">
        <v>519</v>
      </c>
      <c r="AV191" s="194">
        <v>138</v>
      </c>
      <c r="AW191" s="194">
        <v>0</v>
      </c>
      <c r="AX191" s="194">
        <v>0</v>
      </c>
      <c r="AY191" s="549">
        <v>138</v>
      </c>
      <c r="AZ191" s="194">
        <v>0</v>
      </c>
      <c r="BA191" s="194">
        <v>162</v>
      </c>
      <c r="BB191" s="551">
        <v>162</v>
      </c>
      <c r="BC191" s="551">
        <v>300</v>
      </c>
      <c r="BD191" s="551">
        <v>0</v>
      </c>
      <c r="BF191" s="550">
        <f t="shared" si="49"/>
        <v>138</v>
      </c>
      <c r="BG191" s="550">
        <f t="shared" si="50"/>
        <v>0</v>
      </c>
      <c r="BH191" s="550">
        <f t="shared" si="51"/>
        <v>0</v>
      </c>
      <c r="BI191" s="550">
        <f t="shared" si="52"/>
        <v>138</v>
      </c>
      <c r="BJ191" s="550">
        <f t="shared" si="53"/>
        <v>0</v>
      </c>
      <c r="BK191" s="550">
        <f t="shared" si="54"/>
        <v>162</v>
      </c>
      <c r="BL191" s="550">
        <f t="shared" si="55"/>
        <v>162</v>
      </c>
      <c r="BM191" s="550">
        <f t="shared" si="56"/>
        <v>300</v>
      </c>
      <c r="BO191" s="194"/>
      <c r="BQ191" s="193">
        <f t="shared" si="57"/>
        <v>0</v>
      </c>
      <c r="BR191" s="193">
        <f t="shared" si="58"/>
        <v>0</v>
      </c>
      <c r="BS191" s="193">
        <f t="shared" si="59"/>
        <v>0</v>
      </c>
      <c r="BT191" s="193">
        <f t="shared" si="59"/>
        <v>0</v>
      </c>
    </row>
    <row r="192" spans="1:72" ht="13.5" customHeight="1">
      <c r="A192" s="193" t="s">
        <v>378</v>
      </c>
      <c r="B192" s="193" t="s">
        <v>379</v>
      </c>
      <c r="C192" s="193" t="s">
        <v>214</v>
      </c>
      <c r="D192" s="193" t="s">
        <v>667</v>
      </c>
      <c r="E192" s="193" t="s">
        <v>668</v>
      </c>
      <c r="F192" s="193" t="s">
        <v>674</v>
      </c>
      <c r="G192" s="193" t="s">
        <v>674</v>
      </c>
      <c r="H192" s="193" t="s">
        <v>651</v>
      </c>
      <c r="I192" s="193" t="s">
        <v>512</v>
      </c>
      <c r="J192" s="193" t="s">
        <v>675</v>
      </c>
      <c r="K192" s="193" t="s">
        <v>386</v>
      </c>
      <c r="L192" s="193" t="s">
        <v>387</v>
      </c>
      <c r="M192" s="193" t="s">
        <v>378</v>
      </c>
      <c r="N192" s="193" t="s">
        <v>514</v>
      </c>
      <c r="O192" s="193" t="s">
        <v>129</v>
      </c>
      <c r="P192" s="193" t="s">
        <v>150</v>
      </c>
      <c r="Q192" s="193" t="s">
        <v>149</v>
      </c>
      <c r="R192" s="193" t="s">
        <v>148</v>
      </c>
      <c r="S192" s="193" t="s">
        <v>152</v>
      </c>
      <c r="T192" s="193" t="s">
        <v>389</v>
      </c>
      <c r="U192" s="193" t="s">
        <v>390</v>
      </c>
      <c r="V192" s="193">
        <v>0</v>
      </c>
      <c r="W192" s="193">
        <v>0</v>
      </c>
      <c r="X192" s="193">
        <v>0</v>
      </c>
      <c r="Y192" s="194">
        <v>600</v>
      </c>
      <c r="Z192" s="193" t="s">
        <v>515</v>
      </c>
      <c r="AA192" s="193" t="s">
        <v>516</v>
      </c>
      <c r="AB192" s="193">
        <v>600</v>
      </c>
      <c r="AC192" s="193" t="s">
        <v>517</v>
      </c>
      <c r="AD192" s="193" t="s">
        <v>152</v>
      </c>
      <c r="AE192" s="193">
        <v>600</v>
      </c>
      <c r="AF192" s="193" t="s">
        <v>518</v>
      </c>
      <c r="AG192" s="193" t="s">
        <v>519</v>
      </c>
      <c r="AH192" s="193">
        <v>0</v>
      </c>
      <c r="AI192" s="193">
        <v>600</v>
      </c>
      <c r="AJ192" s="193" t="s">
        <v>676</v>
      </c>
      <c r="AL192" s="197" t="s">
        <v>677</v>
      </c>
      <c r="AM192" s="193">
        <v>1</v>
      </c>
      <c r="AN192" s="193">
        <v>0</v>
      </c>
      <c r="AO192" s="193">
        <v>0</v>
      </c>
      <c r="AP192" s="193">
        <v>0</v>
      </c>
      <c r="AQ192" s="193" t="s">
        <v>214</v>
      </c>
      <c r="AS192" s="197" t="s">
        <v>518</v>
      </c>
      <c r="AT192" s="197" t="s">
        <v>519</v>
      </c>
      <c r="AV192" s="194">
        <v>276</v>
      </c>
      <c r="AW192" s="194">
        <v>0</v>
      </c>
      <c r="AX192" s="194">
        <v>0</v>
      </c>
      <c r="AY192" s="549">
        <v>276</v>
      </c>
      <c r="AZ192" s="194">
        <v>0</v>
      </c>
      <c r="BA192" s="194">
        <v>324</v>
      </c>
      <c r="BB192" s="551">
        <v>324</v>
      </c>
      <c r="BC192" s="551">
        <v>600</v>
      </c>
      <c r="BD192" s="551">
        <v>0</v>
      </c>
      <c r="BF192" s="550">
        <f t="shared" si="49"/>
        <v>276</v>
      </c>
      <c r="BG192" s="550">
        <f t="shared" si="50"/>
        <v>0</v>
      </c>
      <c r="BH192" s="550">
        <f t="shared" si="51"/>
        <v>0</v>
      </c>
      <c r="BI192" s="550">
        <f t="shared" si="52"/>
        <v>276</v>
      </c>
      <c r="BJ192" s="550">
        <f t="shared" si="53"/>
        <v>0</v>
      </c>
      <c r="BK192" s="550">
        <f t="shared" si="54"/>
        <v>324</v>
      </c>
      <c r="BL192" s="550">
        <f t="shared" si="55"/>
        <v>324</v>
      </c>
      <c r="BM192" s="550">
        <f t="shared" si="56"/>
        <v>600</v>
      </c>
      <c r="BO192" s="194"/>
      <c r="BQ192" s="193">
        <f t="shared" si="57"/>
        <v>0</v>
      </c>
      <c r="BR192" s="193">
        <f t="shared" si="58"/>
        <v>0</v>
      </c>
      <c r="BS192" s="193">
        <f t="shared" si="59"/>
        <v>0</v>
      </c>
      <c r="BT192" s="193">
        <f t="shared" si="59"/>
        <v>0</v>
      </c>
    </row>
    <row r="193" spans="1:72" ht="13.5" customHeight="1">
      <c r="A193" s="193" t="s">
        <v>378</v>
      </c>
      <c r="B193" s="193" t="s">
        <v>379</v>
      </c>
      <c r="C193" s="193" t="s">
        <v>214</v>
      </c>
      <c r="D193" s="193" t="s">
        <v>667</v>
      </c>
      <c r="E193" s="193" t="s">
        <v>668</v>
      </c>
      <c r="F193" s="193" t="s">
        <v>678</v>
      </c>
      <c r="G193" s="193" t="s">
        <v>678</v>
      </c>
      <c r="H193" s="193" t="s">
        <v>651</v>
      </c>
      <c r="I193" s="193" t="s">
        <v>512</v>
      </c>
      <c r="J193" s="193" t="s">
        <v>679</v>
      </c>
      <c r="K193" s="193" t="s">
        <v>386</v>
      </c>
      <c r="L193" s="193" t="s">
        <v>387</v>
      </c>
      <c r="M193" s="193" t="s">
        <v>378</v>
      </c>
      <c r="N193" s="193" t="s">
        <v>514</v>
      </c>
      <c r="O193" s="193" t="s">
        <v>129</v>
      </c>
      <c r="P193" s="193" t="s">
        <v>150</v>
      </c>
      <c r="Q193" s="193" t="s">
        <v>149</v>
      </c>
      <c r="R193" s="193" t="s">
        <v>148</v>
      </c>
      <c r="S193" s="193" t="s">
        <v>152</v>
      </c>
      <c r="T193" s="193" t="s">
        <v>389</v>
      </c>
      <c r="U193" s="193" t="s">
        <v>390</v>
      </c>
      <c r="V193" s="193">
        <v>0</v>
      </c>
      <c r="W193" s="193">
        <v>0</v>
      </c>
      <c r="X193" s="193">
        <v>0</v>
      </c>
      <c r="Y193" s="194">
        <v>470</v>
      </c>
      <c r="Z193" s="193" t="s">
        <v>515</v>
      </c>
      <c r="AA193" s="193" t="s">
        <v>516</v>
      </c>
      <c r="AB193" s="193">
        <v>470</v>
      </c>
      <c r="AC193" s="193" t="s">
        <v>517</v>
      </c>
      <c r="AD193" s="193" t="s">
        <v>152</v>
      </c>
      <c r="AE193" s="193">
        <v>470</v>
      </c>
      <c r="AF193" s="193" t="s">
        <v>518</v>
      </c>
      <c r="AG193" s="193" t="s">
        <v>519</v>
      </c>
      <c r="AH193" s="193">
        <v>0</v>
      </c>
      <c r="AI193" s="193">
        <v>470</v>
      </c>
      <c r="AJ193" s="193" t="s">
        <v>680</v>
      </c>
      <c r="AL193" s="197" t="s">
        <v>681</v>
      </c>
      <c r="AM193" s="193">
        <v>1</v>
      </c>
      <c r="AN193" s="193">
        <v>0</v>
      </c>
      <c r="AO193" s="193">
        <v>0</v>
      </c>
      <c r="AP193" s="193">
        <v>0</v>
      </c>
      <c r="AQ193" s="193" t="s">
        <v>214</v>
      </c>
      <c r="AS193" s="197" t="s">
        <v>518</v>
      </c>
      <c r="AT193" s="197" t="s">
        <v>519</v>
      </c>
      <c r="AV193" s="194">
        <v>216</v>
      </c>
      <c r="AW193" s="194">
        <v>0</v>
      </c>
      <c r="AX193" s="194">
        <v>0</v>
      </c>
      <c r="AY193" s="549">
        <v>216</v>
      </c>
      <c r="AZ193" s="194">
        <v>0</v>
      </c>
      <c r="BA193" s="194">
        <v>254</v>
      </c>
      <c r="BB193" s="551">
        <v>254</v>
      </c>
      <c r="BC193" s="551">
        <v>470</v>
      </c>
      <c r="BD193" s="551">
        <v>0</v>
      </c>
      <c r="BF193" s="550">
        <f t="shared" si="49"/>
        <v>216</v>
      </c>
      <c r="BG193" s="550">
        <f t="shared" si="50"/>
        <v>0</v>
      </c>
      <c r="BH193" s="550">
        <f t="shared" si="51"/>
        <v>0</v>
      </c>
      <c r="BI193" s="550">
        <f t="shared" si="52"/>
        <v>216</v>
      </c>
      <c r="BJ193" s="550">
        <f t="shared" si="53"/>
        <v>0</v>
      </c>
      <c r="BK193" s="550">
        <f t="shared" si="54"/>
        <v>254</v>
      </c>
      <c r="BL193" s="550">
        <f t="shared" si="55"/>
        <v>254</v>
      </c>
      <c r="BM193" s="550">
        <f t="shared" si="56"/>
        <v>470</v>
      </c>
      <c r="BO193" s="194"/>
      <c r="BQ193" s="193">
        <f t="shared" si="57"/>
        <v>0</v>
      </c>
      <c r="BR193" s="193">
        <f t="shared" si="58"/>
        <v>0</v>
      </c>
      <c r="BS193" s="193">
        <f t="shared" si="59"/>
        <v>0</v>
      </c>
      <c r="BT193" s="193">
        <f t="shared" si="59"/>
        <v>0</v>
      </c>
    </row>
    <row r="194" spans="1:72" ht="13.5" customHeight="1">
      <c r="A194" s="193" t="s">
        <v>378</v>
      </c>
      <c r="B194" s="193" t="s">
        <v>379</v>
      </c>
      <c r="C194" s="193" t="s">
        <v>214</v>
      </c>
      <c r="D194" s="193" t="s">
        <v>667</v>
      </c>
      <c r="E194" s="193" t="s">
        <v>668</v>
      </c>
      <c r="F194" s="193" t="s">
        <v>937</v>
      </c>
      <c r="G194" s="193" t="s">
        <v>937</v>
      </c>
      <c r="H194" s="193" t="s">
        <v>651</v>
      </c>
      <c r="I194" s="193" t="s">
        <v>512</v>
      </c>
      <c r="J194" s="193" t="s">
        <v>938</v>
      </c>
      <c r="K194" s="193" t="s">
        <v>386</v>
      </c>
      <c r="L194" s="193" t="s">
        <v>387</v>
      </c>
      <c r="M194" s="193" t="s">
        <v>378</v>
      </c>
      <c r="N194" s="193" t="s">
        <v>514</v>
      </c>
      <c r="O194" s="193" t="s">
        <v>129</v>
      </c>
      <c r="P194" s="193" t="s">
        <v>150</v>
      </c>
      <c r="Q194" s="193" t="s">
        <v>149</v>
      </c>
      <c r="R194" s="193" t="s">
        <v>148</v>
      </c>
      <c r="S194" s="193" t="s">
        <v>152</v>
      </c>
      <c r="T194" s="193" t="s">
        <v>389</v>
      </c>
      <c r="U194" s="193" t="s">
        <v>390</v>
      </c>
      <c r="V194" s="193">
        <v>0</v>
      </c>
      <c r="W194" s="193">
        <v>0</v>
      </c>
      <c r="X194" s="193">
        <v>0</v>
      </c>
      <c r="Y194" s="194">
        <v>300</v>
      </c>
      <c r="Z194" s="193" t="s">
        <v>515</v>
      </c>
      <c r="AA194" s="193" t="s">
        <v>516</v>
      </c>
      <c r="AB194" s="193">
        <v>300</v>
      </c>
      <c r="AC194" s="193" t="s">
        <v>517</v>
      </c>
      <c r="AD194" s="193" t="s">
        <v>152</v>
      </c>
      <c r="AE194" s="193">
        <v>300</v>
      </c>
      <c r="AF194" s="193" t="s">
        <v>518</v>
      </c>
      <c r="AG194" s="193" t="s">
        <v>519</v>
      </c>
      <c r="AH194" s="193">
        <v>0</v>
      </c>
      <c r="AI194" s="193">
        <v>300</v>
      </c>
      <c r="AJ194" s="193" t="s">
        <v>939</v>
      </c>
      <c r="AL194" s="197" t="s">
        <v>940</v>
      </c>
      <c r="AM194" s="193">
        <v>1</v>
      </c>
      <c r="AN194" s="193">
        <v>0</v>
      </c>
      <c r="AO194" s="193">
        <v>0</v>
      </c>
      <c r="AP194" s="193">
        <v>0</v>
      </c>
      <c r="AQ194" s="193" t="s">
        <v>214</v>
      </c>
      <c r="AS194" s="197" t="s">
        <v>518</v>
      </c>
      <c r="AT194" s="197" t="s">
        <v>519</v>
      </c>
      <c r="AV194" s="194">
        <v>138</v>
      </c>
      <c r="AW194" s="194">
        <v>0</v>
      </c>
      <c r="AX194" s="194">
        <v>0</v>
      </c>
      <c r="AY194" s="549">
        <v>138</v>
      </c>
      <c r="AZ194" s="194">
        <v>0</v>
      </c>
      <c r="BA194" s="194">
        <v>162</v>
      </c>
      <c r="BB194" s="551">
        <v>162</v>
      </c>
      <c r="BC194" s="551">
        <v>300</v>
      </c>
      <c r="BD194" s="551">
        <v>0</v>
      </c>
      <c r="BF194" s="550">
        <f t="shared" si="49"/>
        <v>138</v>
      </c>
      <c r="BG194" s="550">
        <f t="shared" si="50"/>
        <v>0</v>
      </c>
      <c r="BH194" s="550">
        <f t="shared" si="51"/>
        <v>0</v>
      </c>
      <c r="BI194" s="550">
        <f t="shared" si="52"/>
        <v>138</v>
      </c>
      <c r="BJ194" s="550">
        <f t="shared" si="53"/>
        <v>0</v>
      </c>
      <c r="BK194" s="550">
        <f t="shared" si="54"/>
        <v>162</v>
      </c>
      <c r="BL194" s="550">
        <f t="shared" si="55"/>
        <v>162</v>
      </c>
      <c r="BM194" s="550">
        <f t="shared" si="56"/>
        <v>300</v>
      </c>
      <c r="BO194" s="194"/>
      <c r="BQ194" s="193">
        <f t="shared" si="57"/>
        <v>0</v>
      </c>
      <c r="BR194" s="193">
        <f t="shared" si="58"/>
        <v>0</v>
      </c>
      <c r="BS194" s="193">
        <f t="shared" si="59"/>
        <v>0</v>
      </c>
      <c r="BT194" s="193">
        <f t="shared" si="59"/>
        <v>0</v>
      </c>
    </row>
    <row r="195" spans="1:72" ht="13.5" customHeight="1">
      <c r="A195" s="193" t="s">
        <v>378</v>
      </c>
      <c r="B195" s="193" t="s">
        <v>379</v>
      </c>
      <c r="C195" s="193" t="s">
        <v>214</v>
      </c>
      <c r="D195" s="193" t="s">
        <v>667</v>
      </c>
      <c r="E195" s="193" t="s">
        <v>668</v>
      </c>
      <c r="F195" s="193" t="s">
        <v>919</v>
      </c>
      <c r="G195" s="193" t="s">
        <v>919</v>
      </c>
      <c r="H195" s="193" t="s">
        <v>651</v>
      </c>
      <c r="I195" s="193" t="s">
        <v>512</v>
      </c>
      <c r="J195" s="193" t="s">
        <v>920</v>
      </c>
      <c r="K195" s="193" t="s">
        <v>386</v>
      </c>
      <c r="L195" s="193" t="s">
        <v>387</v>
      </c>
      <c r="M195" s="193" t="s">
        <v>378</v>
      </c>
      <c r="N195" s="193" t="s">
        <v>514</v>
      </c>
      <c r="O195" s="193" t="s">
        <v>129</v>
      </c>
      <c r="P195" s="193" t="s">
        <v>150</v>
      </c>
      <c r="Q195" s="193" t="s">
        <v>149</v>
      </c>
      <c r="R195" s="193" t="s">
        <v>148</v>
      </c>
      <c r="S195" s="193" t="s">
        <v>152</v>
      </c>
      <c r="T195" s="193" t="s">
        <v>389</v>
      </c>
      <c r="U195" s="193" t="s">
        <v>390</v>
      </c>
      <c r="V195" s="193">
        <v>0</v>
      </c>
      <c r="W195" s="193">
        <v>0</v>
      </c>
      <c r="X195" s="193">
        <v>0</v>
      </c>
      <c r="Y195" s="194">
        <v>310</v>
      </c>
      <c r="Z195" s="193" t="s">
        <v>515</v>
      </c>
      <c r="AA195" s="193" t="s">
        <v>516</v>
      </c>
      <c r="AB195" s="193">
        <v>310</v>
      </c>
      <c r="AC195" s="193" t="s">
        <v>517</v>
      </c>
      <c r="AD195" s="193" t="s">
        <v>152</v>
      </c>
      <c r="AE195" s="193">
        <v>310</v>
      </c>
      <c r="AF195" s="193" t="s">
        <v>518</v>
      </c>
      <c r="AG195" s="193" t="s">
        <v>519</v>
      </c>
      <c r="AH195" s="193">
        <v>0</v>
      </c>
      <c r="AI195" s="193">
        <v>310</v>
      </c>
      <c r="AJ195" s="193" t="s">
        <v>921</v>
      </c>
      <c r="AL195" s="197" t="s">
        <v>922</v>
      </c>
      <c r="AM195" s="193">
        <v>1</v>
      </c>
      <c r="AN195" s="193">
        <v>0</v>
      </c>
      <c r="AO195" s="193">
        <v>0</v>
      </c>
      <c r="AP195" s="193">
        <v>0</v>
      </c>
      <c r="AQ195" s="193" t="s">
        <v>214</v>
      </c>
      <c r="AS195" s="197" t="s">
        <v>518</v>
      </c>
      <c r="AT195" s="197" t="s">
        <v>519</v>
      </c>
      <c r="AV195" s="194">
        <v>143</v>
      </c>
      <c r="AW195" s="194">
        <v>0</v>
      </c>
      <c r="AX195" s="194">
        <v>0</v>
      </c>
      <c r="AY195" s="549">
        <v>143</v>
      </c>
      <c r="AZ195" s="194">
        <v>0</v>
      </c>
      <c r="BA195" s="194">
        <v>167</v>
      </c>
      <c r="BB195" s="551">
        <v>167</v>
      </c>
      <c r="BC195" s="551">
        <v>310</v>
      </c>
      <c r="BD195" s="551">
        <v>0</v>
      </c>
      <c r="BF195" s="550">
        <f t="shared" si="49"/>
        <v>143</v>
      </c>
      <c r="BG195" s="550">
        <f t="shared" si="50"/>
        <v>0</v>
      </c>
      <c r="BH195" s="550">
        <f t="shared" si="51"/>
        <v>0</v>
      </c>
      <c r="BI195" s="550">
        <f t="shared" si="52"/>
        <v>143</v>
      </c>
      <c r="BJ195" s="550">
        <f t="shared" si="53"/>
        <v>0</v>
      </c>
      <c r="BK195" s="550">
        <f t="shared" si="54"/>
        <v>167</v>
      </c>
      <c r="BL195" s="550">
        <f t="shared" si="55"/>
        <v>167</v>
      </c>
      <c r="BM195" s="550">
        <f t="shared" si="56"/>
        <v>310</v>
      </c>
      <c r="BO195" s="194"/>
      <c r="BQ195" s="193">
        <f t="shared" si="57"/>
        <v>0</v>
      </c>
      <c r="BR195" s="193">
        <f t="shared" si="58"/>
        <v>0</v>
      </c>
      <c r="BS195" s="193">
        <f t="shared" si="59"/>
        <v>0</v>
      </c>
      <c r="BT195" s="193">
        <f t="shared" si="59"/>
        <v>0</v>
      </c>
    </row>
    <row r="196" spans="1:72" ht="13.5" customHeight="1">
      <c r="A196" s="193" t="s">
        <v>378</v>
      </c>
      <c r="B196" s="193" t="s">
        <v>379</v>
      </c>
      <c r="C196" s="193" t="s">
        <v>214</v>
      </c>
      <c r="D196" s="193" t="s">
        <v>667</v>
      </c>
      <c r="E196" s="193" t="s">
        <v>668</v>
      </c>
      <c r="F196" s="193" t="s">
        <v>923</v>
      </c>
      <c r="G196" s="193" t="s">
        <v>923</v>
      </c>
      <c r="H196" s="193" t="s">
        <v>651</v>
      </c>
      <c r="I196" s="193" t="s">
        <v>512</v>
      </c>
      <c r="J196" s="193" t="s">
        <v>924</v>
      </c>
      <c r="K196" s="193" t="s">
        <v>386</v>
      </c>
      <c r="L196" s="193" t="s">
        <v>387</v>
      </c>
      <c r="M196" s="193" t="s">
        <v>378</v>
      </c>
      <c r="N196" s="193" t="s">
        <v>514</v>
      </c>
      <c r="O196" s="193" t="s">
        <v>129</v>
      </c>
      <c r="P196" s="193" t="s">
        <v>150</v>
      </c>
      <c r="Q196" s="193" t="s">
        <v>149</v>
      </c>
      <c r="R196" s="193" t="s">
        <v>148</v>
      </c>
      <c r="S196" s="193" t="s">
        <v>152</v>
      </c>
      <c r="T196" s="193" t="s">
        <v>389</v>
      </c>
      <c r="U196" s="193" t="s">
        <v>390</v>
      </c>
      <c r="V196" s="193">
        <v>0</v>
      </c>
      <c r="W196" s="193">
        <v>0</v>
      </c>
      <c r="X196" s="193">
        <v>0</v>
      </c>
      <c r="Y196" s="194">
        <v>300</v>
      </c>
      <c r="Z196" s="193" t="s">
        <v>515</v>
      </c>
      <c r="AA196" s="193" t="s">
        <v>516</v>
      </c>
      <c r="AB196" s="193">
        <v>300</v>
      </c>
      <c r="AC196" s="193" t="s">
        <v>517</v>
      </c>
      <c r="AD196" s="193" t="s">
        <v>152</v>
      </c>
      <c r="AE196" s="193">
        <v>300</v>
      </c>
      <c r="AF196" s="193" t="s">
        <v>518</v>
      </c>
      <c r="AG196" s="193" t="s">
        <v>519</v>
      </c>
      <c r="AH196" s="193">
        <v>0</v>
      </c>
      <c r="AI196" s="193">
        <v>300</v>
      </c>
      <c r="AJ196" s="193" t="s">
        <v>925</v>
      </c>
      <c r="AL196" s="197" t="s">
        <v>926</v>
      </c>
      <c r="AM196" s="193">
        <v>1</v>
      </c>
      <c r="AN196" s="193">
        <v>0</v>
      </c>
      <c r="AO196" s="193">
        <v>0</v>
      </c>
      <c r="AP196" s="193">
        <v>0</v>
      </c>
      <c r="AQ196" s="193" t="s">
        <v>214</v>
      </c>
      <c r="AS196" s="197" t="s">
        <v>518</v>
      </c>
      <c r="AT196" s="197" t="s">
        <v>519</v>
      </c>
      <c r="AV196" s="194">
        <v>138</v>
      </c>
      <c r="AW196" s="194">
        <v>0</v>
      </c>
      <c r="AX196" s="194">
        <v>0</v>
      </c>
      <c r="AY196" s="549">
        <v>138</v>
      </c>
      <c r="AZ196" s="194">
        <v>0</v>
      </c>
      <c r="BA196" s="194">
        <v>162</v>
      </c>
      <c r="BB196" s="551">
        <v>162</v>
      </c>
      <c r="BC196" s="551">
        <v>300</v>
      </c>
      <c r="BD196" s="551">
        <v>0</v>
      </c>
      <c r="BF196" s="550">
        <f t="shared" si="49"/>
        <v>138</v>
      </c>
      <c r="BG196" s="550">
        <f t="shared" si="50"/>
        <v>0</v>
      </c>
      <c r="BH196" s="550">
        <f t="shared" si="51"/>
        <v>0</v>
      </c>
      <c r="BI196" s="550">
        <f t="shared" si="52"/>
        <v>138</v>
      </c>
      <c r="BJ196" s="550">
        <f t="shared" si="53"/>
        <v>0</v>
      </c>
      <c r="BK196" s="550">
        <f t="shared" si="54"/>
        <v>162</v>
      </c>
      <c r="BL196" s="550">
        <f t="shared" si="55"/>
        <v>162</v>
      </c>
      <c r="BM196" s="550">
        <f t="shared" si="56"/>
        <v>300</v>
      </c>
      <c r="BO196" s="194"/>
      <c r="BQ196" s="193">
        <f t="shared" si="57"/>
        <v>0</v>
      </c>
      <c r="BR196" s="193">
        <f t="shared" si="58"/>
        <v>0</v>
      </c>
      <c r="BS196" s="193">
        <f t="shared" si="59"/>
        <v>0</v>
      </c>
      <c r="BT196" s="193">
        <f t="shared" si="59"/>
        <v>0</v>
      </c>
    </row>
    <row r="197" spans="1:72" ht="13.5" customHeight="1">
      <c r="A197" s="193" t="s">
        <v>378</v>
      </c>
      <c r="B197" s="193" t="s">
        <v>379</v>
      </c>
      <c r="C197" s="193" t="s">
        <v>214</v>
      </c>
      <c r="D197" s="193" t="s">
        <v>667</v>
      </c>
      <c r="E197" s="193" t="s">
        <v>668</v>
      </c>
      <c r="F197" s="193" t="s">
        <v>927</v>
      </c>
      <c r="G197" s="193" t="s">
        <v>927</v>
      </c>
      <c r="H197" s="193" t="s">
        <v>651</v>
      </c>
      <c r="I197" s="193" t="s">
        <v>512</v>
      </c>
      <c r="J197" s="193" t="s">
        <v>928</v>
      </c>
      <c r="K197" s="193" t="s">
        <v>386</v>
      </c>
      <c r="L197" s="193" t="s">
        <v>387</v>
      </c>
      <c r="M197" s="193" t="s">
        <v>378</v>
      </c>
      <c r="N197" s="193" t="s">
        <v>514</v>
      </c>
      <c r="O197" s="193" t="s">
        <v>129</v>
      </c>
      <c r="P197" s="193" t="s">
        <v>150</v>
      </c>
      <c r="Q197" s="193" t="s">
        <v>149</v>
      </c>
      <c r="R197" s="193" t="s">
        <v>148</v>
      </c>
      <c r="S197" s="193" t="s">
        <v>152</v>
      </c>
      <c r="T197" s="193" t="s">
        <v>389</v>
      </c>
      <c r="U197" s="193" t="s">
        <v>390</v>
      </c>
      <c r="V197" s="193">
        <v>0</v>
      </c>
      <c r="W197" s="193">
        <v>0</v>
      </c>
      <c r="X197" s="193">
        <v>0</v>
      </c>
      <c r="Y197" s="194">
        <v>300</v>
      </c>
      <c r="Z197" s="193" t="s">
        <v>515</v>
      </c>
      <c r="AA197" s="193" t="s">
        <v>516</v>
      </c>
      <c r="AB197" s="193">
        <v>300</v>
      </c>
      <c r="AC197" s="193" t="s">
        <v>517</v>
      </c>
      <c r="AD197" s="193" t="s">
        <v>152</v>
      </c>
      <c r="AE197" s="193">
        <v>300</v>
      </c>
      <c r="AF197" s="193" t="s">
        <v>518</v>
      </c>
      <c r="AG197" s="193" t="s">
        <v>519</v>
      </c>
      <c r="AH197" s="193">
        <v>0</v>
      </c>
      <c r="AI197" s="193">
        <v>300</v>
      </c>
      <c r="AJ197" s="193" t="s">
        <v>929</v>
      </c>
      <c r="AL197" s="197" t="s">
        <v>930</v>
      </c>
      <c r="AM197" s="193">
        <v>1</v>
      </c>
      <c r="AN197" s="193">
        <v>0</v>
      </c>
      <c r="AO197" s="193">
        <v>0</v>
      </c>
      <c r="AP197" s="193">
        <v>0</v>
      </c>
      <c r="AQ197" s="193" t="s">
        <v>214</v>
      </c>
      <c r="AS197" s="197" t="s">
        <v>518</v>
      </c>
      <c r="AT197" s="197" t="s">
        <v>519</v>
      </c>
      <c r="AV197" s="194">
        <v>138</v>
      </c>
      <c r="AW197" s="194">
        <v>0</v>
      </c>
      <c r="AX197" s="194">
        <v>0</v>
      </c>
      <c r="AY197" s="549">
        <v>138</v>
      </c>
      <c r="AZ197" s="194">
        <v>0</v>
      </c>
      <c r="BA197" s="194">
        <v>162</v>
      </c>
      <c r="BB197" s="551">
        <v>162</v>
      </c>
      <c r="BC197" s="551">
        <v>300</v>
      </c>
      <c r="BD197" s="551">
        <v>0</v>
      </c>
      <c r="BF197" s="550">
        <f t="shared" si="49"/>
        <v>138</v>
      </c>
      <c r="BG197" s="550">
        <f t="shared" si="50"/>
        <v>0</v>
      </c>
      <c r="BH197" s="550">
        <f t="shared" si="51"/>
        <v>0</v>
      </c>
      <c r="BI197" s="550">
        <f t="shared" si="52"/>
        <v>138</v>
      </c>
      <c r="BJ197" s="550">
        <f t="shared" si="53"/>
        <v>0</v>
      </c>
      <c r="BK197" s="550">
        <f t="shared" si="54"/>
        <v>162</v>
      </c>
      <c r="BL197" s="550">
        <f t="shared" si="55"/>
        <v>162</v>
      </c>
      <c r="BM197" s="550">
        <f t="shared" si="56"/>
        <v>300</v>
      </c>
      <c r="BO197" s="194"/>
      <c r="BQ197" s="193">
        <f t="shared" si="57"/>
        <v>0</v>
      </c>
      <c r="BR197" s="193">
        <f t="shared" si="58"/>
        <v>0</v>
      </c>
      <c r="BS197" s="193">
        <f t="shared" si="59"/>
        <v>0</v>
      </c>
      <c r="BT197" s="193">
        <f t="shared" si="59"/>
        <v>0</v>
      </c>
    </row>
    <row r="198" spans="1:72" ht="13.5" customHeight="1">
      <c r="A198" s="193" t="s">
        <v>378</v>
      </c>
      <c r="B198" s="193" t="s">
        <v>379</v>
      </c>
      <c r="C198" s="193" t="s">
        <v>214</v>
      </c>
      <c r="D198" s="193" t="s">
        <v>667</v>
      </c>
      <c r="E198" s="193" t="s">
        <v>668</v>
      </c>
      <c r="F198" s="193" t="s">
        <v>927</v>
      </c>
      <c r="G198" s="193" t="s">
        <v>927</v>
      </c>
      <c r="H198" s="193" t="s">
        <v>651</v>
      </c>
      <c r="I198" s="193" t="s">
        <v>512</v>
      </c>
      <c r="J198" s="193" t="s">
        <v>928</v>
      </c>
      <c r="K198" s="193" t="s">
        <v>386</v>
      </c>
      <c r="L198" s="193" t="s">
        <v>531</v>
      </c>
      <c r="M198" s="193" t="s">
        <v>378</v>
      </c>
      <c r="N198" s="193" t="s">
        <v>514</v>
      </c>
      <c r="O198" s="193" t="s">
        <v>129</v>
      </c>
      <c r="P198" s="193" t="s">
        <v>150</v>
      </c>
      <c r="Q198" s="193" t="s">
        <v>149</v>
      </c>
      <c r="R198" s="193" t="s">
        <v>148</v>
      </c>
      <c r="S198" s="193" t="s">
        <v>152</v>
      </c>
      <c r="T198" s="193" t="s">
        <v>389</v>
      </c>
      <c r="U198" s="193" t="s">
        <v>390</v>
      </c>
      <c r="V198" s="193">
        <v>0</v>
      </c>
      <c r="W198" s="193">
        <v>0</v>
      </c>
      <c r="X198" s="193">
        <v>0</v>
      </c>
      <c r="Y198" s="194">
        <v>300</v>
      </c>
      <c r="Z198" s="193" t="s">
        <v>515</v>
      </c>
      <c r="AA198" s="193" t="s">
        <v>516</v>
      </c>
      <c r="AB198" s="193">
        <v>300</v>
      </c>
      <c r="AC198" s="193" t="s">
        <v>517</v>
      </c>
      <c r="AD198" s="193" t="s">
        <v>152</v>
      </c>
      <c r="AE198" s="193">
        <v>300</v>
      </c>
      <c r="AF198" s="193" t="s">
        <v>518</v>
      </c>
      <c r="AG198" s="193" t="s">
        <v>519</v>
      </c>
      <c r="AH198" s="193">
        <v>0</v>
      </c>
      <c r="AI198" s="193">
        <v>300</v>
      </c>
      <c r="AJ198" s="193" t="s">
        <v>931</v>
      </c>
      <c r="AL198" s="197" t="s">
        <v>932</v>
      </c>
      <c r="AM198" s="193">
        <v>1</v>
      </c>
      <c r="AN198" s="193">
        <v>0</v>
      </c>
      <c r="AO198" s="193">
        <v>0</v>
      </c>
      <c r="AP198" s="193">
        <v>0</v>
      </c>
      <c r="AQ198" s="193" t="s">
        <v>214</v>
      </c>
      <c r="AS198" s="197" t="s">
        <v>518</v>
      </c>
      <c r="AT198" s="197" t="s">
        <v>519</v>
      </c>
      <c r="AV198" s="194">
        <v>138</v>
      </c>
      <c r="AW198" s="194">
        <v>0</v>
      </c>
      <c r="AX198" s="194">
        <v>0</v>
      </c>
      <c r="AY198" s="549">
        <v>138</v>
      </c>
      <c r="AZ198" s="194">
        <v>0</v>
      </c>
      <c r="BA198" s="194">
        <v>162</v>
      </c>
      <c r="BB198" s="551">
        <v>162</v>
      </c>
      <c r="BC198" s="551">
        <v>300</v>
      </c>
      <c r="BD198" s="551">
        <v>0</v>
      </c>
      <c r="BF198" s="550">
        <f t="shared" si="49"/>
        <v>138</v>
      </c>
      <c r="BG198" s="550">
        <f t="shared" si="50"/>
        <v>0</v>
      </c>
      <c r="BH198" s="550">
        <f t="shared" si="51"/>
        <v>0</v>
      </c>
      <c r="BI198" s="550">
        <f t="shared" si="52"/>
        <v>138</v>
      </c>
      <c r="BJ198" s="550">
        <f t="shared" si="53"/>
        <v>0</v>
      </c>
      <c r="BK198" s="550">
        <f t="shared" si="54"/>
        <v>162</v>
      </c>
      <c r="BL198" s="550">
        <f t="shared" si="55"/>
        <v>162</v>
      </c>
      <c r="BM198" s="550">
        <f t="shared" si="56"/>
        <v>300</v>
      </c>
      <c r="BO198" s="194"/>
      <c r="BQ198" s="193">
        <f t="shared" si="57"/>
        <v>0</v>
      </c>
      <c r="BR198" s="193">
        <f t="shared" si="58"/>
        <v>0</v>
      </c>
      <c r="BS198" s="193">
        <f t="shared" si="59"/>
        <v>0</v>
      </c>
      <c r="BT198" s="193">
        <f t="shared" si="59"/>
        <v>0</v>
      </c>
    </row>
    <row r="199" spans="1:72" ht="13.5" customHeight="1">
      <c r="A199" s="193" t="s">
        <v>378</v>
      </c>
      <c r="B199" s="193" t="s">
        <v>379</v>
      </c>
      <c r="C199" s="193" t="s">
        <v>214</v>
      </c>
      <c r="D199" s="193" t="s">
        <v>542</v>
      </c>
      <c r="E199" s="193" t="s">
        <v>543</v>
      </c>
      <c r="F199" s="193" t="s">
        <v>941</v>
      </c>
      <c r="G199" s="193" t="s">
        <v>941</v>
      </c>
      <c r="H199" s="193" t="s">
        <v>651</v>
      </c>
      <c r="I199" s="193" t="s">
        <v>512</v>
      </c>
      <c r="J199" s="193" t="s">
        <v>942</v>
      </c>
      <c r="K199" s="193" t="s">
        <v>386</v>
      </c>
      <c r="L199" s="193" t="s">
        <v>387</v>
      </c>
      <c r="M199" s="193" t="s">
        <v>378</v>
      </c>
      <c r="N199" s="193" t="s">
        <v>514</v>
      </c>
      <c r="O199" s="193" t="s">
        <v>129</v>
      </c>
      <c r="P199" s="193" t="s">
        <v>150</v>
      </c>
      <c r="Q199" s="193" t="s">
        <v>149</v>
      </c>
      <c r="R199" s="193" t="s">
        <v>148</v>
      </c>
      <c r="S199" s="193" t="s">
        <v>152</v>
      </c>
      <c r="T199" s="193" t="s">
        <v>389</v>
      </c>
      <c r="U199" s="193" t="s">
        <v>390</v>
      </c>
      <c r="V199" s="193">
        <v>0</v>
      </c>
      <c r="W199" s="193">
        <v>0</v>
      </c>
      <c r="X199" s="193">
        <v>0</v>
      </c>
      <c r="Y199" s="194">
        <v>300</v>
      </c>
      <c r="Z199" s="193" t="s">
        <v>515</v>
      </c>
      <c r="AA199" s="193" t="s">
        <v>516</v>
      </c>
      <c r="AB199" s="193">
        <v>300</v>
      </c>
      <c r="AC199" s="193" t="s">
        <v>517</v>
      </c>
      <c r="AD199" s="193" t="s">
        <v>152</v>
      </c>
      <c r="AE199" s="193">
        <v>300</v>
      </c>
      <c r="AF199" s="193" t="s">
        <v>518</v>
      </c>
      <c r="AG199" s="193" t="s">
        <v>519</v>
      </c>
      <c r="AH199" s="193">
        <v>0</v>
      </c>
      <c r="AI199" s="193">
        <v>300</v>
      </c>
      <c r="AJ199" s="193" t="s">
        <v>943</v>
      </c>
      <c r="AL199" s="197" t="s">
        <v>944</v>
      </c>
      <c r="AM199" s="193">
        <v>1</v>
      </c>
      <c r="AN199" s="193">
        <v>0</v>
      </c>
      <c r="AO199" s="193">
        <v>0</v>
      </c>
      <c r="AP199" s="193">
        <v>0</v>
      </c>
      <c r="AQ199" s="193" t="s">
        <v>214</v>
      </c>
      <c r="AS199" s="197" t="s">
        <v>518</v>
      </c>
      <c r="AT199" s="197" t="s">
        <v>519</v>
      </c>
      <c r="AV199" s="194">
        <v>138</v>
      </c>
      <c r="AW199" s="194">
        <v>0</v>
      </c>
      <c r="AX199" s="194">
        <v>0</v>
      </c>
      <c r="AY199" s="549">
        <v>138</v>
      </c>
      <c r="AZ199" s="194">
        <v>0</v>
      </c>
      <c r="BA199" s="194">
        <v>162</v>
      </c>
      <c r="BB199" s="551">
        <v>162</v>
      </c>
      <c r="BC199" s="551">
        <v>300</v>
      </c>
      <c r="BD199" s="551">
        <v>0</v>
      </c>
      <c r="BF199" s="550">
        <f t="shared" ref="BF199:BF262" si="60">+IFERROR(ROUND(AV199*100/(100+$AT199),0),AV199)</f>
        <v>138</v>
      </c>
      <c r="BG199" s="550">
        <f t="shared" ref="BG199:BG262" si="61">+IFERROR(ROUND(AW199*100/(100+$AT199),0),AW199)</f>
        <v>0</v>
      </c>
      <c r="BH199" s="550">
        <f t="shared" ref="BH199:BH262" si="62">+IFERROR(ROUND(AX199*100/(100+$AT199),0),AX199)</f>
        <v>0</v>
      </c>
      <c r="BI199" s="550">
        <f t="shared" ref="BI199:BI262" si="63">SUM(BF199:BH199)</f>
        <v>138</v>
      </c>
      <c r="BJ199" s="550">
        <f t="shared" ref="BJ199:BJ262" si="64">+IFERROR(ROUND(AZ199*100/(100+$AT199),0),AZ199)</f>
        <v>0</v>
      </c>
      <c r="BK199" s="550">
        <f t="shared" ref="BK199:BK262" si="65">+IFERROR(ROUND(BA199*100/(100+$AT199),0),BA199)</f>
        <v>162</v>
      </c>
      <c r="BL199" s="550">
        <f t="shared" ref="BL199:BL262" si="66">SUM(BJ199:BK199)</f>
        <v>162</v>
      </c>
      <c r="BM199" s="550">
        <f t="shared" ref="BM199:BM262" si="67">+BI199+BL199</f>
        <v>300</v>
      </c>
      <c r="BO199" s="194"/>
      <c r="BQ199" s="193">
        <f t="shared" ref="BQ199:BQ262" si="68">AY199*100/(100+$AT199)-BI199</f>
        <v>0</v>
      </c>
      <c r="BR199" s="193">
        <f t="shared" ref="BR199:BR262" si="69">BB199*100/(100+$AT199)-BL199</f>
        <v>0</v>
      </c>
      <c r="BS199" s="193">
        <f t="shared" si="59"/>
        <v>0</v>
      </c>
      <c r="BT199" s="193">
        <f t="shared" si="59"/>
        <v>0</v>
      </c>
    </row>
    <row r="200" spans="1:72" ht="13.5" customHeight="1">
      <c r="A200" s="193" t="s">
        <v>378</v>
      </c>
      <c r="B200" s="193" t="s">
        <v>379</v>
      </c>
      <c r="C200" s="193" t="s">
        <v>214</v>
      </c>
      <c r="D200" s="193" t="s">
        <v>667</v>
      </c>
      <c r="E200" s="193" t="s">
        <v>668</v>
      </c>
      <c r="F200" s="193" t="s">
        <v>398</v>
      </c>
      <c r="G200" s="193" t="s">
        <v>398</v>
      </c>
      <c r="H200" s="193" t="s">
        <v>651</v>
      </c>
      <c r="I200" s="193" t="s">
        <v>512</v>
      </c>
      <c r="J200" s="193" t="s">
        <v>945</v>
      </c>
      <c r="K200" s="193" t="s">
        <v>386</v>
      </c>
      <c r="L200" s="193" t="s">
        <v>387</v>
      </c>
      <c r="M200" s="193" t="s">
        <v>378</v>
      </c>
      <c r="N200" s="193" t="s">
        <v>514</v>
      </c>
      <c r="O200" s="193" t="s">
        <v>129</v>
      </c>
      <c r="P200" s="193" t="s">
        <v>150</v>
      </c>
      <c r="Q200" s="193" t="s">
        <v>149</v>
      </c>
      <c r="R200" s="193" t="s">
        <v>148</v>
      </c>
      <c r="S200" s="193" t="s">
        <v>152</v>
      </c>
      <c r="T200" s="193" t="s">
        <v>389</v>
      </c>
      <c r="U200" s="193" t="s">
        <v>390</v>
      </c>
      <c r="V200" s="193">
        <v>0</v>
      </c>
      <c r="W200" s="193">
        <v>0</v>
      </c>
      <c r="X200" s="193">
        <v>0</v>
      </c>
      <c r="Y200" s="194">
        <v>200</v>
      </c>
      <c r="Z200" s="193" t="s">
        <v>515</v>
      </c>
      <c r="AA200" s="193" t="s">
        <v>516</v>
      </c>
      <c r="AB200" s="193">
        <v>200</v>
      </c>
      <c r="AC200" s="193" t="s">
        <v>517</v>
      </c>
      <c r="AD200" s="193" t="s">
        <v>152</v>
      </c>
      <c r="AE200" s="193">
        <v>200</v>
      </c>
      <c r="AF200" s="193" t="s">
        <v>518</v>
      </c>
      <c r="AG200" s="193" t="s">
        <v>519</v>
      </c>
      <c r="AH200" s="193">
        <v>0</v>
      </c>
      <c r="AI200" s="193">
        <v>200</v>
      </c>
      <c r="AJ200" s="193" t="s">
        <v>946</v>
      </c>
      <c r="AL200" s="197" t="s">
        <v>947</v>
      </c>
      <c r="AM200" s="193">
        <v>1</v>
      </c>
      <c r="AN200" s="193">
        <v>0</v>
      </c>
      <c r="AO200" s="193">
        <v>0</v>
      </c>
      <c r="AP200" s="193">
        <v>0</v>
      </c>
      <c r="AQ200" s="193" t="s">
        <v>214</v>
      </c>
      <c r="AS200" s="197" t="s">
        <v>518</v>
      </c>
      <c r="AT200" s="197" t="s">
        <v>519</v>
      </c>
      <c r="AV200" s="194">
        <v>92</v>
      </c>
      <c r="AW200" s="194">
        <v>0</v>
      </c>
      <c r="AX200" s="194">
        <v>0</v>
      </c>
      <c r="AY200" s="549">
        <v>92</v>
      </c>
      <c r="AZ200" s="194">
        <v>0</v>
      </c>
      <c r="BA200" s="194">
        <v>108</v>
      </c>
      <c r="BB200" s="551">
        <v>108</v>
      </c>
      <c r="BC200" s="551">
        <v>200</v>
      </c>
      <c r="BD200" s="551">
        <v>0</v>
      </c>
      <c r="BF200" s="550">
        <f t="shared" si="60"/>
        <v>92</v>
      </c>
      <c r="BG200" s="550">
        <f t="shared" si="61"/>
        <v>0</v>
      </c>
      <c r="BH200" s="550">
        <f t="shared" si="62"/>
        <v>0</v>
      </c>
      <c r="BI200" s="550">
        <f t="shared" si="63"/>
        <v>92</v>
      </c>
      <c r="BJ200" s="550">
        <f t="shared" si="64"/>
        <v>0</v>
      </c>
      <c r="BK200" s="550">
        <f t="shared" si="65"/>
        <v>108</v>
      </c>
      <c r="BL200" s="550">
        <f t="shared" si="66"/>
        <v>108</v>
      </c>
      <c r="BM200" s="550">
        <f t="shared" si="67"/>
        <v>200</v>
      </c>
      <c r="BO200" s="194"/>
      <c r="BQ200" s="193">
        <f t="shared" si="68"/>
        <v>0</v>
      </c>
      <c r="BR200" s="193">
        <f t="shared" si="69"/>
        <v>0</v>
      </c>
      <c r="BS200" s="193">
        <f t="shared" si="59"/>
        <v>0</v>
      </c>
      <c r="BT200" s="193">
        <f t="shared" si="59"/>
        <v>0</v>
      </c>
    </row>
    <row r="201" spans="1:72" ht="13.5" customHeight="1">
      <c r="A201" s="193" t="s">
        <v>378</v>
      </c>
      <c r="B201" s="193" t="s">
        <v>379</v>
      </c>
      <c r="C201" s="193" t="s">
        <v>214</v>
      </c>
      <c r="D201" s="193" t="s">
        <v>490</v>
      </c>
      <c r="E201" s="193" t="s">
        <v>491</v>
      </c>
      <c r="F201" s="193" t="s">
        <v>809</v>
      </c>
      <c r="G201" s="193" t="s">
        <v>809</v>
      </c>
      <c r="H201" s="193" t="s">
        <v>651</v>
      </c>
      <c r="I201" s="193" t="s">
        <v>512</v>
      </c>
      <c r="J201" s="193" t="s">
        <v>810</v>
      </c>
      <c r="K201" s="193" t="s">
        <v>386</v>
      </c>
      <c r="L201" s="193" t="s">
        <v>387</v>
      </c>
      <c r="M201" s="193" t="s">
        <v>378</v>
      </c>
      <c r="N201" s="193" t="s">
        <v>514</v>
      </c>
      <c r="O201" s="193" t="s">
        <v>129</v>
      </c>
      <c r="P201" s="193" t="s">
        <v>150</v>
      </c>
      <c r="Q201" s="193" t="s">
        <v>149</v>
      </c>
      <c r="R201" s="193" t="s">
        <v>148</v>
      </c>
      <c r="S201" s="193" t="s">
        <v>152</v>
      </c>
      <c r="T201" s="193" t="s">
        <v>389</v>
      </c>
      <c r="U201" s="193" t="s">
        <v>390</v>
      </c>
      <c r="V201" s="193">
        <v>0</v>
      </c>
      <c r="W201" s="193">
        <v>0</v>
      </c>
      <c r="X201" s="193">
        <v>0</v>
      </c>
      <c r="Y201" s="194">
        <v>300</v>
      </c>
      <c r="Z201" s="193" t="s">
        <v>515</v>
      </c>
      <c r="AA201" s="193" t="s">
        <v>516</v>
      </c>
      <c r="AB201" s="193">
        <v>300</v>
      </c>
      <c r="AC201" s="193" t="s">
        <v>517</v>
      </c>
      <c r="AD201" s="193" t="s">
        <v>152</v>
      </c>
      <c r="AE201" s="193">
        <v>300</v>
      </c>
      <c r="AF201" s="193" t="s">
        <v>518</v>
      </c>
      <c r="AG201" s="193" t="s">
        <v>519</v>
      </c>
      <c r="AH201" s="193">
        <v>0</v>
      </c>
      <c r="AI201" s="193">
        <v>300</v>
      </c>
      <c r="AJ201" s="193" t="s">
        <v>811</v>
      </c>
      <c r="AL201" s="197" t="s">
        <v>812</v>
      </c>
      <c r="AM201" s="193">
        <v>1</v>
      </c>
      <c r="AN201" s="193">
        <v>0</v>
      </c>
      <c r="AO201" s="193">
        <v>0</v>
      </c>
      <c r="AP201" s="193">
        <v>0</v>
      </c>
      <c r="AQ201" s="193" t="s">
        <v>214</v>
      </c>
      <c r="AS201" s="197" t="s">
        <v>518</v>
      </c>
      <c r="AT201" s="197" t="s">
        <v>519</v>
      </c>
      <c r="AV201" s="194">
        <v>138</v>
      </c>
      <c r="AW201" s="194">
        <v>0</v>
      </c>
      <c r="AX201" s="194">
        <v>0</v>
      </c>
      <c r="AY201" s="549">
        <v>138</v>
      </c>
      <c r="AZ201" s="194">
        <v>0</v>
      </c>
      <c r="BA201" s="194">
        <v>162</v>
      </c>
      <c r="BB201" s="551">
        <v>162</v>
      </c>
      <c r="BC201" s="551">
        <v>300</v>
      </c>
      <c r="BD201" s="551">
        <v>0</v>
      </c>
      <c r="BF201" s="550">
        <f t="shared" si="60"/>
        <v>138</v>
      </c>
      <c r="BG201" s="550">
        <f t="shared" si="61"/>
        <v>0</v>
      </c>
      <c r="BH201" s="550">
        <f t="shared" si="62"/>
        <v>0</v>
      </c>
      <c r="BI201" s="550">
        <f t="shared" si="63"/>
        <v>138</v>
      </c>
      <c r="BJ201" s="550">
        <f t="shared" si="64"/>
        <v>0</v>
      </c>
      <c r="BK201" s="550">
        <f t="shared" si="65"/>
        <v>162</v>
      </c>
      <c r="BL201" s="550">
        <f t="shared" si="66"/>
        <v>162</v>
      </c>
      <c r="BM201" s="550">
        <f t="shared" si="67"/>
        <v>300</v>
      </c>
      <c r="BO201" s="194"/>
      <c r="BQ201" s="193">
        <f t="shared" si="68"/>
        <v>0</v>
      </c>
      <c r="BR201" s="193">
        <f t="shared" si="69"/>
        <v>0</v>
      </c>
      <c r="BS201" s="193">
        <f t="shared" si="59"/>
        <v>0</v>
      </c>
      <c r="BT201" s="193">
        <f t="shared" si="59"/>
        <v>0</v>
      </c>
    </row>
    <row r="202" spans="1:72" ht="13.5" customHeight="1">
      <c r="A202" s="193" t="s">
        <v>378</v>
      </c>
      <c r="B202" s="193" t="s">
        <v>379</v>
      </c>
      <c r="C202" s="193" t="s">
        <v>214</v>
      </c>
      <c r="D202" s="193" t="s">
        <v>490</v>
      </c>
      <c r="E202" s="193" t="s">
        <v>491</v>
      </c>
      <c r="F202" s="193" t="s">
        <v>575</v>
      </c>
      <c r="G202" s="193" t="s">
        <v>575</v>
      </c>
      <c r="H202" s="193" t="s">
        <v>651</v>
      </c>
      <c r="I202" s="193" t="s">
        <v>512</v>
      </c>
      <c r="J202" s="193" t="s">
        <v>813</v>
      </c>
      <c r="K202" s="193" t="s">
        <v>386</v>
      </c>
      <c r="L202" s="193" t="s">
        <v>387</v>
      </c>
      <c r="M202" s="193" t="s">
        <v>378</v>
      </c>
      <c r="N202" s="193" t="s">
        <v>514</v>
      </c>
      <c r="O202" s="193" t="s">
        <v>129</v>
      </c>
      <c r="P202" s="193" t="s">
        <v>150</v>
      </c>
      <c r="Q202" s="193" t="s">
        <v>149</v>
      </c>
      <c r="R202" s="193" t="s">
        <v>148</v>
      </c>
      <c r="S202" s="193" t="s">
        <v>152</v>
      </c>
      <c r="T202" s="193" t="s">
        <v>389</v>
      </c>
      <c r="U202" s="193" t="s">
        <v>390</v>
      </c>
      <c r="V202" s="193">
        <v>0</v>
      </c>
      <c r="W202" s="193">
        <v>0</v>
      </c>
      <c r="X202" s="193">
        <v>0</v>
      </c>
      <c r="Y202" s="194">
        <v>300</v>
      </c>
      <c r="Z202" s="193" t="s">
        <v>515</v>
      </c>
      <c r="AA202" s="193" t="s">
        <v>516</v>
      </c>
      <c r="AB202" s="193">
        <v>300</v>
      </c>
      <c r="AC202" s="193" t="s">
        <v>517</v>
      </c>
      <c r="AD202" s="193" t="s">
        <v>152</v>
      </c>
      <c r="AE202" s="193">
        <v>300</v>
      </c>
      <c r="AF202" s="193" t="s">
        <v>518</v>
      </c>
      <c r="AG202" s="193" t="s">
        <v>519</v>
      </c>
      <c r="AH202" s="193">
        <v>0</v>
      </c>
      <c r="AI202" s="193">
        <v>300</v>
      </c>
      <c r="AJ202" s="193" t="s">
        <v>814</v>
      </c>
      <c r="AL202" s="197" t="s">
        <v>815</v>
      </c>
      <c r="AM202" s="193">
        <v>1</v>
      </c>
      <c r="AN202" s="193">
        <v>0</v>
      </c>
      <c r="AO202" s="193">
        <v>0</v>
      </c>
      <c r="AP202" s="193">
        <v>0</v>
      </c>
      <c r="AQ202" s="193" t="s">
        <v>214</v>
      </c>
      <c r="AS202" s="197" t="s">
        <v>518</v>
      </c>
      <c r="AT202" s="197" t="s">
        <v>519</v>
      </c>
      <c r="AV202" s="194">
        <v>138</v>
      </c>
      <c r="AW202" s="194">
        <v>0</v>
      </c>
      <c r="AX202" s="194">
        <v>0</v>
      </c>
      <c r="AY202" s="549">
        <v>138</v>
      </c>
      <c r="AZ202" s="194">
        <v>0</v>
      </c>
      <c r="BA202" s="194">
        <v>162</v>
      </c>
      <c r="BB202" s="551">
        <v>162</v>
      </c>
      <c r="BC202" s="551">
        <v>300</v>
      </c>
      <c r="BD202" s="551">
        <v>0</v>
      </c>
      <c r="BF202" s="550">
        <f t="shared" si="60"/>
        <v>138</v>
      </c>
      <c r="BG202" s="550">
        <f t="shared" si="61"/>
        <v>0</v>
      </c>
      <c r="BH202" s="550">
        <f t="shared" si="62"/>
        <v>0</v>
      </c>
      <c r="BI202" s="550">
        <f t="shared" si="63"/>
        <v>138</v>
      </c>
      <c r="BJ202" s="550">
        <f t="shared" si="64"/>
        <v>0</v>
      </c>
      <c r="BK202" s="550">
        <f t="shared" si="65"/>
        <v>162</v>
      </c>
      <c r="BL202" s="550">
        <f t="shared" si="66"/>
        <v>162</v>
      </c>
      <c r="BM202" s="550">
        <f t="shared" si="67"/>
        <v>300</v>
      </c>
      <c r="BO202" s="194"/>
      <c r="BQ202" s="193">
        <f t="shared" si="68"/>
        <v>0</v>
      </c>
      <c r="BR202" s="193">
        <f t="shared" si="69"/>
        <v>0</v>
      </c>
      <c r="BS202" s="193">
        <f t="shared" si="59"/>
        <v>0</v>
      </c>
      <c r="BT202" s="193">
        <f t="shared" si="59"/>
        <v>0</v>
      </c>
    </row>
    <row r="203" spans="1:72" ht="13.5" customHeight="1">
      <c r="A203" s="193" t="s">
        <v>378</v>
      </c>
      <c r="B203" s="193" t="s">
        <v>379</v>
      </c>
      <c r="C203" s="193" t="s">
        <v>214</v>
      </c>
      <c r="D203" s="193" t="s">
        <v>667</v>
      </c>
      <c r="E203" s="193" t="s">
        <v>668</v>
      </c>
      <c r="F203" s="193" t="s">
        <v>816</v>
      </c>
      <c r="G203" s="193" t="s">
        <v>816</v>
      </c>
      <c r="H203" s="193" t="s">
        <v>651</v>
      </c>
      <c r="I203" s="193" t="s">
        <v>512</v>
      </c>
      <c r="J203" s="193" t="s">
        <v>817</v>
      </c>
      <c r="K203" s="193" t="s">
        <v>386</v>
      </c>
      <c r="L203" s="193" t="s">
        <v>387</v>
      </c>
      <c r="M203" s="193" t="s">
        <v>378</v>
      </c>
      <c r="N203" s="193" t="s">
        <v>514</v>
      </c>
      <c r="O203" s="193" t="s">
        <v>129</v>
      </c>
      <c r="P203" s="193" t="s">
        <v>150</v>
      </c>
      <c r="Q203" s="193" t="s">
        <v>149</v>
      </c>
      <c r="R203" s="193" t="s">
        <v>148</v>
      </c>
      <c r="S203" s="193" t="s">
        <v>152</v>
      </c>
      <c r="T203" s="193" t="s">
        <v>389</v>
      </c>
      <c r="U203" s="193" t="s">
        <v>390</v>
      </c>
      <c r="V203" s="193">
        <v>0</v>
      </c>
      <c r="W203" s="193">
        <v>0</v>
      </c>
      <c r="X203" s="193">
        <v>0</v>
      </c>
      <c r="Y203" s="194">
        <v>300</v>
      </c>
      <c r="Z203" s="193" t="s">
        <v>515</v>
      </c>
      <c r="AA203" s="193" t="s">
        <v>516</v>
      </c>
      <c r="AB203" s="193">
        <v>300</v>
      </c>
      <c r="AC203" s="193" t="s">
        <v>517</v>
      </c>
      <c r="AD203" s="193" t="s">
        <v>152</v>
      </c>
      <c r="AE203" s="193">
        <v>300</v>
      </c>
      <c r="AF203" s="193" t="s">
        <v>518</v>
      </c>
      <c r="AG203" s="193" t="s">
        <v>519</v>
      </c>
      <c r="AH203" s="193">
        <v>0</v>
      </c>
      <c r="AI203" s="193">
        <v>300</v>
      </c>
      <c r="AJ203" s="193" t="s">
        <v>818</v>
      </c>
      <c r="AL203" s="197" t="s">
        <v>819</v>
      </c>
      <c r="AM203" s="193">
        <v>1</v>
      </c>
      <c r="AN203" s="193">
        <v>0</v>
      </c>
      <c r="AO203" s="193">
        <v>0</v>
      </c>
      <c r="AP203" s="193">
        <v>0</v>
      </c>
      <c r="AQ203" s="193" t="s">
        <v>214</v>
      </c>
      <c r="AS203" s="197" t="s">
        <v>518</v>
      </c>
      <c r="AT203" s="197" t="s">
        <v>519</v>
      </c>
      <c r="AV203" s="194">
        <v>138</v>
      </c>
      <c r="AW203" s="194">
        <v>0</v>
      </c>
      <c r="AX203" s="194">
        <v>0</v>
      </c>
      <c r="AY203" s="549">
        <v>138</v>
      </c>
      <c r="AZ203" s="194">
        <v>0</v>
      </c>
      <c r="BA203" s="194">
        <v>162</v>
      </c>
      <c r="BB203" s="551">
        <v>162</v>
      </c>
      <c r="BC203" s="551">
        <v>300</v>
      </c>
      <c r="BD203" s="551">
        <v>0</v>
      </c>
      <c r="BF203" s="550">
        <f t="shared" si="60"/>
        <v>138</v>
      </c>
      <c r="BG203" s="550">
        <f t="shared" si="61"/>
        <v>0</v>
      </c>
      <c r="BH203" s="550">
        <f t="shared" si="62"/>
        <v>0</v>
      </c>
      <c r="BI203" s="550">
        <f t="shared" si="63"/>
        <v>138</v>
      </c>
      <c r="BJ203" s="550">
        <f t="shared" si="64"/>
        <v>0</v>
      </c>
      <c r="BK203" s="550">
        <f t="shared" si="65"/>
        <v>162</v>
      </c>
      <c r="BL203" s="550">
        <f t="shared" si="66"/>
        <v>162</v>
      </c>
      <c r="BM203" s="550">
        <f t="shared" si="67"/>
        <v>300</v>
      </c>
      <c r="BO203" s="194"/>
      <c r="BQ203" s="193">
        <f t="shared" si="68"/>
        <v>0</v>
      </c>
      <c r="BR203" s="193">
        <f t="shared" si="69"/>
        <v>0</v>
      </c>
      <c r="BS203" s="193">
        <f t="shared" si="59"/>
        <v>0</v>
      </c>
      <c r="BT203" s="193">
        <f t="shared" si="59"/>
        <v>0</v>
      </c>
    </row>
    <row r="204" spans="1:72" ht="13.5" customHeight="1">
      <c r="A204" s="193" t="s">
        <v>378</v>
      </c>
      <c r="B204" s="193" t="s">
        <v>379</v>
      </c>
      <c r="C204" s="193" t="s">
        <v>214</v>
      </c>
      <c r="D204" s="193" t="s">
        <v>667</v>
      </c>
      <c r="E204" s="193" t="s">
        <v>668</v>
      </c>
      <c r="F204" s="193" t="s">
        <v>820</v>
      </c>
      <c r="G204" s="193" t="s">
        <v>820</v>
      </c>
      <c r="H204" s="193" t="s">
        <v>651</v>
      </c>
      <c r="I204" s="193" t="s">
        <v>512</v>
      </c>
      <c r="J204" s="193" t="s">
        <v>821</v>
      </c>
      <c r="K204" s="193" t="s">
        <v>386</v>
      </c>
      <c r="L204" s="193" t="s">
        <v>387</v>
      </c>
      <c r="M204" s="193" t="s">
        <v>378</v>
      </c>
      <c r="N204" s="193" t="s">
        <v>514</v>
      </c>
      <c r="O204" s="193" t="s">
        <v>129</v>
      </c>
      <c r="P204" s="193" t="s">
        <v>150</v>
      </c>
      <c r="Q204" s="193" t="s">
        <v>149</v>
      </c>
      <c r="R204" s="193" t="s">
        <v>148</v>
      </c>
      <c r="S204" s="193" t="s">
        <v>152</v>
      </c>
      <c r="T204" s="193" t="s">
        <v>389</v>
      </c>
      <c r="U204" s="193" t="s">
        <v>390</v>
      </c>
      <c r="V204" s="193">
        <v>0</v>
      </c>
      <c r="W204" s="193">
        <v>0</v>
      </c>
      <c r="X204" s="193">
        <v>0</v>
      </c>
      <c r="Y204" s="194">
        <v>600</v>
      </c>
      <c r="Z204" s="193" t="s">
        <v>515</v>
      </c>
      <c r="AA204" s="193" t="s">
        <v>516</v>
      </c>
      <c r="AB204" s="193">
        <v>600</v>
      </c>
      <c r="AC204" s="193" t="s">
        <v>517</v>
      </c>
      <c r="AD204" s="193" t="s">
        <v>152</v>
      </c>
      <c r="AE204" s="193">
        <v>600</v>
      </c>
      <c r="AF204" s="193" t="s">
        <v>518</v>
      </c>
      <c r="AG204" s="193" t="s">
        <v>519</v>
      </c>
      <c r="AH204" s="193">
        <v>0</v>
      </c>
      <c r="AI204" s="193">
        <v>600</v>
      </c>
      <c r="AJ204" s="193" t="s">
        <v>822</v>
      </c>
      <c r="AL204" s="197" t="s">
        <v>823</v>
      </c>
      <c r="AM204" s="193">
        <v>1</v>
      </c>
      <c r="AN204" s="193">
        <v>0</v>
      </c>
      <c r="AO204" s="193">
        <v>0</v>
      </c>
      <c r="AP204" s="193">
        <v>0</v>
      </c>
      <c r="AQ204" s="193" t="s">
        <v>214</v>
      </c>
      <c r="AS204" s="197" t="s">
        <v>518</v>
      </c>
      <c r="AT204" s="197" t="s">
        <v>519</v>
      </c>
      <c r="AV204" s="194">
        <v>276</v>
      </c>
      <c r="AW204" s="194">
        <v>0</v>
      </c>
      <c r="AX204" s="194">
        <v>0</v>
      </c>
      <c r="AY204" s="549">
        <v>276</v>
      </c>
      <c r="AZ204" s="194">
        <v>0</v>
      </c>
      <c r="BA204" s="194">
        <v>324</v>
      </c>
      <c r="BB204" s="551">
        <v>324</v>
      </c>
      <c r="BC204" s="551">
        <v>600</v>
      </c>
      <c r="BD204" s="551">
        <v>0</v>
      </c>
      <c r="BF204" s="550">
        <f t="shared" si="60"/>
        <v>276</v>
      </c>
      <c r="BG204" s="550">
        <f t="shared" si="61"/>
        <v>0</v>
      </c>
      <c r="BH204" s="550">
        <f t="shared" si="62"/>
        <v>0</v>
      </c>
      <c r="BI204" s="550">
        <f t="shared" si="63"/>
        <v>276</v>
      </c>
      <c r="BJ204" s="550">
        <f t="shared" si="64"/>
        <v>0</v>
      </c>
      <c r="BK204" s="550">
        <f t="shared" si="65"/>
        <v>324</v>
      </c>
      <c r="BL204" s="550">
        <f t="shared" si="66"/>
        <v>324</v>
      </c>
      <c r="BM204" s="550">
        <f t="shared" si="67"/>
        <v>600</v>
      </c>
      <c r="BO204" s="194"/>
      <c r="BQ204" s="193">
        <f t="shared" si="68"/>
        <v>0</v>
      </c>
      <c r="BR204" s="193">
        <f t="shared" si="69"/>
        <v>0</v>
      </c>
      <c r="BS204" s="193">
        <f t="shared" si="59"/>
        <v>0</v>
      </c>
      <c r="BT204" s="193">
        <f t="shared" si="59"/>
        <v>0</v>
      </c>
    </row>
    <row r="205" spans="1:72" ht="13.5" customHeight="1">
      <c r="A205" s="193" t="s">
        <v>378</v>
      </c>
      <c r="B205" s="193" t="s">
        <v>379</v>
      </c>
      <c r="C205" s="193" t="s">
        <v>214</v>
      </c>
      <c r="D205" s="193" t="s">
        <v>667</v>
      </c>
      <c r="E205" s="193" t="s">
        <v>668</v>
      </c>
      <c r="F205" s="193" t="s">
        <v>824</v>
      </c>
      <c r="G205" s="193" t="s">
        <v>824</v>
      </c>
      <c r="H205" s="193" t="s">
        <v>651</v>
      </c>
      <c r="I205" s="193" t="s">
        <v>512</v>
      </c>
      <c r="J205" s="193" t="s">
        <v>825</v>
      </c>
      <c r="K205" s="193" t="s">
        <v>386</v>
      </c>
      <c r="L205" s="193" t="s">
        <v>387</v>
      </c>
      <c r="M205" s="193" t="s">
        <v>378</v>
      </c>
      <c r="N205" s="193" t="s">
        <v>514</v>
      </c>
      <c r="O205" s="193" t="s">
        <v>129</v>
      </c>
      <c r="P205" s="193" t="s">
        <v>150</v>
      </c>
      <c r="Q205" s="193" t="s">
        <v>149</v>
      </c>
      <c r="R205" s="193" t="s">
        <v>148</v>
      </c>
      <c r="S205" s="193" t="s">
        <v>152</v>
      </c>
      <c r="T205" s="193" t="s">
        <v>389</v>
      </c>
      <c r="U205" s="193" t="s">
        <v>390</v>
      </c>
      <c r="V205" s="193">
        <v>0</v>
      </c>
      <c r="W205" s="193">
        <v>0</v>
      </c>
      <c r="X205" s="193">
        <v>0</v>
      </c>
      <c r="Y205" s="194">
        <v>300</v>
      </c>
      <c r="Z205" s="193" t="s">
        <v>515</v>
      </c>
      <c r="AA205" s="193" t="s">
        <v>516</v>
      </c>
      <c r="AB205" s="193">
        <v>300</v>
      </c>
      <c r="AC205" s="193" t="s">
        <v>517</v>
      </c>
      <c r="AD205" s="193" t="s">
        <v>152</v>
      </c>
      <c r="AE205" s="193">
        <v>300</v>
      </c>
      <c r="AF205" s="193" t="s">
        <v>518</v>
      </c>
      <c r="AG205" s="193" t="s">
        <v>519</v>
      </c>
      <c r="AH205" s="193">
        <v>0</v>
      </c>
      <c r="AI205" s="193">
        <v>300</v>
      </c>
      <c r="AJ205" s="193" t="s">
        <v>826</v>
      </c>
      <c r="AL205" s="197" t="s">
        <v>827</v>
      </c>
      <c r="AM205" s="193">
        <v>1</v>
      </c>
      <c r="AN205" s="193">
        <v>0</v>
      </c>
      <c r="AO205" s="193">
        <v>0</v>
      </c>
      <c r="AP205" s="193">
        <v>0</v>
      </c>
      <c r="AQ205" s="193" t="s">
        <v>214</v>
      </c>
      <c r="AS205" s="197" t="s">
        <v>518</v>
      </c>
      <c r="AT205" s="197" t="s">
        <v>519</v>
      </c>
      <c r="AV205" s="194">
        <v>138</v>
      </c>
      <c r="AW205" s="194">
        <v>0</v>
      </c>
      <c r="AX205" s="194">
        <v>0</v>
      </c>
      <c r="AY205" s="549">
        <v>138</v>
      </c>
      <c r="AZ205" s="194">
        <v>0</v>
      </c>
      <c r="BA205" s="194">
        <v>162</v>
      </c>
      <c r="BB205" s="551">
        <v>162</v>
      </c>
      <c r="BC205" s="551">
        <v>300</v>
      </c>
      <c r="BD205" s="551">
        <v>0</v>
      </c>
      <c r="BF205" s="550">
        <f t="shared" si="60"/>
        <v>138</v>
      </c>
      <c r="BG205" s="550">
        <f t="shared" si="61"/>
        <v>0</v>
      </c>
      <c r="BH205" s="550">
        <f t="shared" si="62"/>
        <v>0</v>
      </c>
      <c r="BI205" s="550">
        <f t="shared" si="63"/>
        <v>138</v>
      </c>
      <c r="BJ205" s="550">
        <f t="shared" si="64"/>
        <v>0</v>
      </c>
      <c r="BK205" s="550">
        <f t="shared" si="65"/>
        <v>162</v>
      </c>
      <c r="BL205" s="550">
        <f t="shared" si="66"/>
        <v>162</v>
      </c>
      <c r="BM205" s="550">
        <f t="shared" si="67"/>
        <v>300</v>
      </c>
      <c r="BO205" s="194"/>
      <c r="BQ205" s="193">
        <f t="shared" si="68"/>
        <v>0</v>
      </c>
      <c r="BR205" s="193">
        <f t="shared" si="69"/>
        <v>0</v>
      </c>
      <c r="BS205" s="193">
        <f t="shared" si="59"/>
        <v>0</v>
      </c>
      <c r="BT205" s="193">
        <f t="shared" si="59"/>
        <v>0</v>
      </c>
    </row>
    <row r="206" spans="1:72" ht="13.5" customHeight="1">
      <c r="A206" s="193" t="s">
        <v>378</v>
      </c>
      <c r="B206" s="193" t="s">
        <v>379</v>
      </c>
      <c r="C206" s="193" t="s">
        <v>214</v>
      </c>
      <c r="D206" s="193" t="s">
        <v>667</v>
      </c>
      <c r="E206" s="193" t="s">
        <v>668</v>
      </c>
      <c r="F206" s="193" t="s">
        <v>575</v>
      </c>
      <c r="G206" s="193" t="s">
        <v>575</v>
      </c>
      <c r="H206" s="193" t="s">
        <v>651</v>
      </c>
      <c r="I206" s="193" t="s">
        <v>512</v>
      </c>
      <c r="J206" s="193" t="s">
        <v>828</v>
      </c>
      <c r="K206" s="193" t="s">
        <v>386</v>
      </c>
      <c r="L206" s="193" t="s">
        <v>387</v>
      </c>
      <c r="M206" s="193" t="s">
        <v>378</v>
      </c>
      <c r="N206" s="193" t="s">
        <v>514</v>
      </c>
      <c r="O206" s="193" t="s">
        <v>129</v>
      </c>
      <c r="P206" s="193" t="s">
        <v>150</v>
      </c>
      <c r="Q206" s="193" t="s">
        <v>149</v>
      </c>
      <c r="R206" s="193" t="s">
        <v>148</v>
      </c>
      <c r="S206" s="193" t="s">
        <v>152</v>
      </c>
      <c r="T206" s="193" t="s">
        <v>389</v>
      </c>
      <c r="U206" s="193" t="s">
        <v>390</v>
      </c>
      <c r="V206" s="193">
        <v>0</v>
      </c>
      <c r="W206" s="193">
        <v>0</v>
      </c>
      <c r="X206" s="193">
        <v>0</v>
      </c>
      <c r="Y206" s="194">
        <v>950</v>
      </c>
      <c r="Z206" s="193" t="s">
        <v>515</v>
      </c>
      <c r="AA206" s="193" t="s">
        <v>516</v>
      </c>
      <c r="AB206" s="193">
        <v>950</v>
      </c>
      <c r="AC206" s="193" t="s">
        <v>517</v>
      </c>
      <c r="AD206" s="193" t="s">
        <v>152</v>
      </c>
      <c r="AE206" s="193">
        <v>950</v>
      </c>
      <c r="AF206" s="193" t="s">
        <v>518</v>
      </c>
      <c r="AG206" s="193" t="s">
        <v>519</v>
      </c>
      <c r="AH206" s="193">
        <v>0</v>
      </c>
      <c r="AI206" s="193">
        <v>950</v>
      </c>
      <c r="AJ206" s="193" t="s">
        <v>829</v>
      </c>
      <c r="AL206" s="197" t="s">
        <v>830</v>
      </c>
      <c r="AM206" s="193">
        <v>1</v>
      </c>
      <c r="AN206" s="193">
        <v>0</v>
      </c>
      <c r="AO206" s="193">
        <v>0</v>
      </c>
      <c r="AP206" s="193">
        <v>0</v>
      </c>
      <c r="AQ206" s="193" t="s">
        <v>214</v>
      </c>
      <c r="AS206" s="197" t="s">
        <v>518</v>
      </c>
      <c r="AT206" s="197" t="s">
        <v>519</v>
      </c>
      <c r="AV206" s="194">
        <v>437</v>
      </c>
      <c r="AW206" s="194">
        <v>0</v>
      </c>
      <c r="AX206" s="194">
        <v>0</v>
      </c>
      <c r="AY206" s="549">
        <v>437</v>
      </c>
      <c r="AZ206" s="194">
        <v>0</v>
      </c>
      <c r="BA206" s="194">
        <v>513</v>
      </c>
      <c r="BB206" s="551">
        <v>513</v>
      </c>
      <c r="BC206" s="551">
        <v>950</v>
      </c>
      <c r="BD206" s="551">
        <v>0</v>
      </c>
      <c r="BF206" s="550">
        <f t="shared" si="60"/>
        <v>437</v>
      </c>
      <c r="BG206" s="550">
        <f t="shared" si="61"/>
        <v>0</v>
      </c>
      <c r="BH206" s="550">
        <f t="shared" si="62"/>
        <v>0</v>
      </c>
      <c r="BI206" s="550">
        <f t="shared" si="63"/>
        <v>437</v>
      </c>
      <c r="BJ206" s="550">
        <f t="shared" si="64"/>
        <v>0</v>
      </c>
      <c r="BK206" s="550">
        <f t="shared" si="65"/>
        <v>513</v>
      </c>
      <c r="BL206" s="550">
        <f t="shared" si="66"/>
        <v>513</v>
      </c>
      <c r="BM206" s="550">
        <f t="shared" si="67"/>
        <v>950</v>
      </c>
      <c r="BO206" s="194"/>
      <c r="BQ206" s="193">
        <f t="shared" si="68"/>
        <v>0</v>
      </c>
      <c r="BR206" s="193">
        <f t="shared" si="69"/>
        <v>0</v>
      </c>
      <c r="BS206" s="193">
        <f t="shared" si="59"/>
        <v>0</v>
      </c>
      <c r="BT206" s="193">
        <f t="shared" si="59"/>
        <v>0</v>
      </c>
    </row>
    <row r="207" spans="1:72" ht="13.5" customHeight="1">
      <c r="A207" s="193" t="s">
        <v>378</v>
      </c>
      <c r="B207" s="193" t="s">
        <v>379</v>
      </c>
      <c r="C207" s="193" t="s">
        <v>214</v>
      </c>
      <c r="D207" s="193" t="s">
        <v>667</v>
      </c>
      <c r="E207" s="193" t="s">
        <v>668</v>
      </c>
      <c r="F207" s="193" t="s">
        <v>902</v>
      </c>
      <c r="G207" s="193" t="s">
        <v>902</v>
      </c>
      <c r="H207" s="193" t="s">
        <v>651</v>
      </c>
      <c r="I207" s="193" t="s">
        <v>512</v>
      </c>
      <c r="J207" s="193" t="s">
        <v>903</v>
      </c>
      <c r="K207" s="193" t="s">
        <v>386</v>
      </c>
      <c r="L207" s="193" t="s">
        <v>387</v>
      </c>
      <c r="M207" s="193" t="s">
        <v>378</v>
      </c>
      <c r="N207" s="193" t="s">
        <v>514</v>
      </c>
      <c r="O207" s="193" t="s">
        <v>129</v>
      </c>
      <c r="P207" s="193" t="s">
        <v>150</v>
      </c>
      <c r="Q207" s="193" t="s">
        <v>149</v>
      </c>
      <c r="R207" s="193" t="s">
        <v>148</v>
      </c>
      <c r="S207" s="193" t="s">
        <v>152</v>
      </c>
      <c r="T207" s="193" t="s">
        <v>389</v>
      </c>
      <c r="U207" s="193" t="s">
        <v>390</v>
      </c>
      <c r="V207" s="193">
        <v>0</v>
      </c>
      <c r="W207" s="193">
        <v>0</v>
      </c>
      <c r="X207" s="193">
        <v>0</v>
      </c>
      <c r="Y207" s="194">
        <v>470</v>
      </c>
      <c r="Z207" s="193" t="s">
        <v>515</v>
      </c>
      <c r="AA207" s="193" t="s">
        <v>516</v>
      </c>
      <c r="AB207" s="193">
        <v>470</v>
      </c>
      <c r="AC207" s="193" t="s">
        <v>517</v>
      </c>
      <c r="AD207" s="193" t="s">
        <v>152</v>
      </c>
      <c r="AE207" s="193">
        <v>470</v>
      </c>
      <c r="AF207" s="193" t="s">
        <v>518</v>
      </c>
      <c r="AG207" s="193" t="s">
        <v>519</v>
      </c>
      <c r="AH207" s="193">
        <v>0</v>
      </c>
      <c r="AI207" s="193">
        <v>470</v>
      </c>
      <c r="AJ207" s="193" t="s">
        <v>904</v>
      </c>
      <c r="AL207" s="197" t="s">
        <v>905</v>
      </c>
      <c r="AM207" s="193">
        <v>1</v>
      </c>
      <c r="AN207" s="193">
        <v>0</v>
      </c>
      <c r="AO207" s="193">
        <v>0</v>
      </c>
      <c r="AP207" s="193">
        <v>0</v>
      </c>
      <c r="AQ207" s="193" t="s">
        <v>214</v>
      </c>
      <c r="AS207" s="197" t="s">
        <v>518</v>
      </c>
      <c r="AT207" s="197" t="s">
        <v>519</v>
      </c>
      <c r="AV207" s="194">
        <v>216</v>
      </c>
      <c r="AW207" s="194">
        <v>0</v>
      </c>
      <c r="AX207" s="194">
        <v>0</v>
      </c>
      <c r="AY207" s="549">
        <v>216</v>
      </c>
      <c r="AZ207" s="194">
        <v>0</v>
      </c>
      <c r="BA207" s="194">
        <v>254</v>
      </c>
      <c r="BB207" s="551">
        <v>254</v>
      </c>
      <c r="BC207" s="551">
        <v>470</v>
      </c>
      <c r="BD207" s="551">
        <v>0</v>
      </c>
      <c r="BF207" s="550">
        <f t="shared" si="60"/>
        <v>216</v>
      </c>
      <c r="BG207" s="550">
        <f t="shared" si="61"/>
        <v>0</v>
      </c>
      <c r="BH207" s="550">
        <f t="shared" si="62"/>
        <v>0</v>
      </c>
      <c r="BI207" s="550">
        <f t="shared" si="63"/>
        <v>216</v>
      </c>
      <c r="BJ207" s="550">
        <f t="shared" si="64"/>
        <v>0</v>
      </c>
      <c r="BK207" s="550">
        <f t="shared" si="65"/>
        <v>254</v>
      </c>
      <c r="BL207" s="550">
        <f t="shared" si="66"/>
        <v>254</v>
      </c>
      <c r="BM207" s="550">
        <f t="shared" si="67"/>
        <v>470</v>
      </c>
      <c r="BO207" s="194"/>
      <c r="BQ207" s="193">
        <f t="shared" si="68"/>
        <v>0</v>
      </c>
      <c r="BR207" s="193">
        <f t="shared" si="69"/>
        <v>0</v>
      </c>
      <c r="BS207" s="193">
        <f t="shared" si="59"/>
        <v>0</v>
      </c>
      <c r="BT207" s="193">
        <f t="shared" si="59"/>
        <v>0</v>
      </c>
    </row>
    <row r="208" spans="1:72" ht="13.5" customHeight="1">
      <c r="A208" s="193" t="s">
        <v>378</v>
      </c>
      <c r="B208" s="193" t="s">
        <v>379</v>
      </c>
      <c r="C208" s="193" t="s">
        <v>214</v>
      </c>
      <c r="D208" s="193" t="s">
        <v>667</v>
      </c>
      <c r="E208" s="193" t="s">
        <v>668</v>
      </c>
      <c r="F208" s="193" t="s">
        <v>902</v>
      </c>
      <c r="G208" s="193" t="s">
        <v>902</v>
      </c>
      <c r="H208" s="193" t="s">
        <v>651</v>
      </c>
      <c r="I208" s="193" t="s">
        <v>512</v>
      </c>
      <c r="J208" s="193" t="s">
        <v>903</v>
      </c>
      <c r="K208" s="193" t="s">
        <v>386</v>
      </c>
      <c r="L208" s="193" t="s">
        <v>531</v>
      </c>
      <c r="M208" s="193" t="s">
        <v>378</v>
      </c>
      <c r="N208" s="193" t="s">
        <v>514</v>
      </c>
      <c r="O208" s="193" t="s">
        <v>129</v>
      </c>
      <c r="P208" s="193" t="s">
        <v>150</v>
      </c>
      <c r="Q208" s="193" t="s">
        <v>149</v>
      </c>
      <c r="R208" s="193" t="s">
        <v>148</v>
      </c>
      <c r="S208" s="193" t="s">
        <v>152</v>
      </c>
      <c r="T208" s="193" t="s">
        <v>389</v>
      </c>
      <c r="U208" s="193" t="s">
        <v>390</v>
      </c>
      <c r="V208" s="193">
        <v>0</v>
      </c>
      <c r="W208" s="193">
        <v>0</v>
      </c>
      <c r="X208" s="193">
        <v>0</v>
      </c>
      <c r="Y208" s="194">
        <v>600</v>
      </c>
      <c r="Z208" s="193" t="s">
        <v>515</v>
      </c>
      <c r="AA208" s="193" t="s">
        <v>516</v>
      </c>
      <c r="AB208" s="193">
        <v>600</v>
      </c>
      <c r="AC208" s="193" t="s">
        <v>517</v>
      </c>
      <c r="AD208" s="193" t="s">
        <v>152</v>
      </c>
      <c r="AE208" s="193">
        <v>600</v>
      </c>
      <c r="AF208" s="193" t="s">
        <v>518</v>
      </c>
      <c r="AG208" s="193" t="s">
        <v>519</v>
      </c>
      <c r="AH208" s="193">
        <v>0</v>
      </c>
      <c r="AI208" s="193">
        <v>600</v>
      </c>
      <c r="AJ208" s="193" t="s">
        <v>906</v>
      </c>
      <c r="AL208" s="197" t="s">
        <v>907</v>
      </c>
      <c r="AM208" s="193">
        <v>1</v>
      </c>
      <c r="AN208" s="193">
        <v>0</v>
      </c>
      <c r="AO208" s="193">
        <v>0</v>
      </c>
      <c r="AP208" s="193">
        <v>0</v>
      </c>
      <c r="AQ208" s="193" t="s">
        <v>214</v>
      </c>
      <c r="AS208" s="197" t="s">
        <v>518</v>
      </c>
      <c r="AT208" s="197" t="s">
        <v>519</v>
      </c>
      <c r="AV208" s="194">
        <v>276</v>
      </c>
      <c r="AW208" s="194">
        <v>0</v>
      </c>
      <c r="AX208" s="194">
        <v>0</v>
      </c>
      <c r="AY208" s="549">
        <v>276</v>
      </c>
      <c r="AZ208" s="194">
        <v>0</v>
      </c>
      <c r="BA208" s="194">
        <v>324</v>
      </c>
      <c r="BB208" s="551">
        <v>324</v>
      </c>
      <c r="BC208" s="551">
        <v>600</v>
      </c>
      <c r="BD208" s="551">
        <v>0</v>
      </c>
      <c r="BF208" s="550">
        <f t="shared" si="60"/>
        <v>276</v>
      </c>
      <c r="BG208" s="550">
        <f t="shared" si="61"/>
        <v>0</v>
      </c>
      <c r="BH208" s="550">
        <f t="shared" si="62"/>
        <v>0</v>
      </c>
      <c r="BI208" s="550">
        <f t="shared" si="63"/>
        <v>276</v>
      </c>
      <c r="BJ208" s="550">
        <f t="shared" si="64"/>
        <v>0</v>
      </c>
      <c r="BK208" s="550">
        <f t="shared" si="65"/>
        <v>324</v>
      </c>
      <c r="BL208" s="550">
        <f t="shared" si="66"/>
        <v>324</v>
      </c>
      <c r="BM208" s="550">
        <f t="shared" si="67"/>
        <v>600</v>
      </c>
      <c r="BO208" s="194"/>
      <c r="BQ208" s="193">
        <f t="shared" si="68"/>
        <v>0</v>
      </c>
      <c r="BR208" s="193">
        <f t="shared" si="69"/>
        <v>0</v>
      </c>
      <c r="BS208" s="193">
        <f t="shared" si="59"/>
        <v>0</v>
      </c>
      <c r="BT208" s="193">
        <f t="shared" si="59"/>
        <v>0</v>
      </c>
    </row>
    <row r="209" spans="1:72" ht="13.5" customHeight="1">
      <c r="A209" s="193" t="s">
        <v>378</v>
      </c>
      <c r="B209" s="193" t="s">
        <v>379</v>
      </c>
      <c r="C209" s="193" t="s">
        <v>214</v>
      </c>
      <c r="D209" s="193" t="s">
        <v>667</v>
      </c>
      <c r="E209" s="193" t="s">
        <v>668</v>
      </c>
      <c r="F209" s="193" t="s">
        <v>902</v>
      </c>
      <c r="G209" s="193" t="s">
        <v>902</v>
      </c>
      <c r="H209" s="193" t="s">
        <v>651</v>
      </c>
      <c r="I209" s="193" t="s">
        <v>512</v>
      </c>
      <c r="J209" s="193" t="s">
        <v>903</v>
      </c>
      <c r="K209" s="193" t="s">
        <v>386</v>
      </c>
      <c r="L209" s="193" t="s">
        <v>553</v>
      </c>
      <c r="M209" s="193" t="s">
        <v>378</v>
      </c>
      <c r="N209" s="193" t="s">
        <v>514</v>
      </c>
      <c r="O209" s="193" t="s">
        <v>129</v>
      </c>
      <c r="P209" s="193" t="s">
        <v>150</v>
      </c>
      <c r="Q209" s="193" t="s">
        <v>149</v>
      </c>
      <c r="R209" s="193" t="s">
        <v>148</v>
      </c>
      <c r="S209" s="193" t="s">
        <v>152</v>
      </c>
      <c r="T209" s="193" t="s">
        <v>389</v>
      </c>
      <c r="U209" s="193" t="s">
        <v>390</v>
      </c>
      <c r="V209" s="193">
        <v>0</v>
      </c>
      <c r="W209" s="193">
        <v>0</v>
      </c>
      <c r="X209" s="193">
        <v>0</v>
      </c>
      <c r="Y209" s="194">
        <v>300</v>
      </c>
      <c r="Z209" s="193" t="s">
        <v>515</v>
      </c>
      <c r="AA209" s="193" t="s">
        <v>516</v>
      </c>
      <c r="AB209" s="193">
        <v>300</v>
      </c>
      <c r="AC209" s="193" t="s">
        <v>517</v>
      </c>
      <c r="AD209" s="193" t="s">
        <v>152</v>
      </c>
      <c r="AE209" s="193">
        <v>300</v>
      </c>
      <c r="AF209" s="193" t="s">
        <v>518</v>
      </c>
      <c r="AG209" s="193" t="s">
        <v>519</v>
      </c>
      <c r="AH209" s="193">
        <v>0</v>
      </c>
      <c r="AI209" s="193">
        <v>300</v>
      </c>
      <c r="AJ209" s="193" t="s">
        <v>906</v>
      </c>
      <c r="AL209" s="197" t="s">
        <v>908</v>
      </c>
      <c r="AM209" s="193">
        <v>1</v>
      </c>
      <c r="AN209" s="193">
        <v>0</v>
      </c>
      <c r="AO209" s="193">
        <v>0</v>
      </c>
      <c r="AP209" s="193">
        <v>0</v>
      </c>
      <c r="AQ209" s="193" t="s">
        <v>214</v>
      </c>
      <c r="AS209" s="197" t="s">
        <v>518</v>
      </c>
      <c r="AT209" s="197" t="s">
        <v>519</v>
      </c>
      <c r="AV209" s="194">
        <v>138</v>
      </c>
      <c r="AW209" s="194">
        <v>0</v>
      </c>
      <c r="AX209" s="194">
        <v>0</v>
      </c>
      <c r="AY209" s="549">
        <v>138</v>
      </c>
      <c r="AZ209" s="194">
        <v>0</v>
      </c>
      <c r="BA209" s="194">
        <v>162</v>
      </c>
      <c r="BB209" s="551">
        <v>162</v>
      </c>
      <c r="BC209" s="551">
        <v>300</v>
      </c>
      <c r="BD209" s="551">
        <v>0</v>
      </c>
      <c r="BF209" s="550">
        <f t="shared" si="60"/>
        <v>138</v>
      </c>
      <c r="BG209" s="550">
        <f t="shared" si="61"/>
        <v>0</v>
      </c>
      <c r="BH209" s="550">
        <f t="shared" si="62"/>
        <v>0</v>
      </c>
      <c r="BI209" s="550">
        <f t="shared" si="63"/>
        <v>138</v>
      </c>
      <c r="BJ209" s="550">
        <f t="shared" si="64"/>
        <v>0</v>
      </c>
      <c r="BK209" s="550">
        <f t="shared" si="65"/>
        <v>162</v>
      </c>
      <c r="BL209" s="550">
        <f t="shared" si="66"/>
        <v>162</v>
      </c>
      <c r="BM209" s="550">
        <f t="shared" si="67"/>
        <v>300</v>
      </c>
      <c r="BO209" s="194"/>
      <c r="BQ209" s="193">
        <f t="shared" si="68"/>
        <v>0</v>
      </c>
      <c r="BR209" s="193">
        <f t="shared" si="69"/>
        <v>0</v>
      </c>
      <c r="BS209" s="193">
        <f t="shared" si="59"/>
        <v>0</v>
      </c>
      <c r="BT209" s="193">
        <f t="shared" si="59"/>
        <v>0</v>
      </c>
    </row>
    <row r="210" spans="1:72" ht="13.5" customHeight="1">
      <c r="A210" s="193" t="s">
        <v>378</v>
      </c>
      <c r="B210" s="193" t="s">
        <v>379</v>
      </c>
      <c r="C210" s="193" t="s">
        <v>214</v>
      </c>
      <c r="D210" s="193" t="s">
        <v>667</v>
      </c>
      <c r="E210" s="193" t="s">
        <v>668</v>
      </c>
      <c r="F210" s="193" t="s">
        <v>902</v>
      </c>
      <c r="G210" s="193" t="s">
        <v>902</v>
      </c>
      <c r="H210" s="193" t="s">
        <v>651</v>
      </c>
      <c r="I210" s="193" t="s">
        <v>512</v>
      </c>
      <c r="J210" s="193" t="s">
        <v>903</v>
      </c>
      <c r="K210" s="193" t="s">
        <v>386</v>
      </c>
      <c r="L210" s="193" t="s">
        <v>556</v>
      </c>
      <c r="M210" s="193" t="s">
        <v>378</v>
      </c>
      <c r="N210" s="193" t="s">
        <v>514</v>
      </c>
      <c r="O210" s="193" t="s">
        <v>129</v>
      </c>
      <c r="P210" s="193" t="s">
        <v>150</v>
      </c>
      <c r="Q210" s="193" t="s">
        <v>149</v>
      </c>
      <c r="R210" s="193" t="s">
        <v>148</v>
      </c>
      <c r="S210" s="193" t="s">
        <v>152</v>
      </c>
      <c r="T210" s="193" t="s">
        <v>389</v>
      </c>
      <c r="U210" s="193" t="s">
        <v>390</v>
      </c>
      <c r="V210" s="193">
        <v>0</v>
      </c>
      <c r="W210" s="193">
        <v>0</v>
      </c>
      <c r="X210" s="193">
        <v>0</v>
      </c>
      <c r="Y210" s="194">
        <v>300</v>
      </c>
      <c r="Z210" s="193" t="s">
        <v>515</v>
      </c>
      <c r="AA210" s="193" t="s">
        <v>516</v>
      </c>
      <c r="AB210" s="193">
        <v>300</v>
      </c>
      <c r="AC210" s="193" t="s">
        <v>517</v>
      </c>
      <c r="AD210" s="193" t="s">
        <v>152</v>
      </c>
      <c r="AE210" s="193">
        <v>300</v>
      </c>
      <c r="AF210" s="193" t="s">
        <v>518</v>
      </c>
      <c r="AG210" s="193" t="s">
        <v>519</v>
      </c>
      <c r="AH210" s="193">
        <v>0</v>
      </c>
      <c r="AI210" s="193">
        <v>300</v>
      </c>
      <c r="AJ210" s="193" t="s">
        <v>909</v>
      </c>
      <c r="AL210" s="197" t="s">
        <v>910</v>
      </c>
      <c r="AM210" s="193">
        <v>1</v>
      </c>
      <c r="AN210" s="193">
        <v>0</v>
      </c>
      <c r="AO210" s="193">
        <v>0</v>
      </c>
      <c r="AP210" s="193">
        <v>0</v>
      </c>
      <c r="AQ210" s="193" t="s">
        <v>214</v>
      </c>
      <c r="AS210" s="197" t="s">
        <v>518</v>
      </c>
      <c r="AT210" s="197" t="s">
        <v>519</v>
      </c>
      <c r="AV210" s="194">
        <v>138</v>
      </c>
      <c r="AW210" s="194">
        <v>0</v>
      </c>
      <c r="AX210" s="194">
        <v>0</v>
      </c>
      <c r="AY210" s="549">
        <v>138</v>
      </c>
      <c r="AZ210" s="194">
        <v>0</v>
      </c>
      <c r="BA210" s="194">
        <v>162</v>
      </c>
      <c r="BB210" s="551">
        <v>162</v>
      </c>
      <c r="BC210" s="551">
        <v>300</v>
      </c>
      <c r="BD210" s="551">
        <v>0</v>
      </c>
      <c r="BF210" s="550">
        <f t="shared" si="60"/>
        <v>138</v>
      </c>
      <c r="BG210" s="550">
        <f t="shared" si="61"/>
        <v>0</v>
      </c>
      <c r="BH210" s="550">
        <f t="shared" si="62"/>
        <v>0</v>
      </c>
      <c r="BI210" s="550">
        <f t="shared" si="63"/>
        <v>138</v>
      </c>
      <c r="BJ210" s="550">
        <f t="shared" si="64"/>
        <v>0</v>
      </c>
      <c r="BK210" s="550">
        <f t="shared" si="65"/>
        <v>162</v>
      </c>
      <c r="BL210" s="550">
        <f t="shared" si="66"/>
        <v>162</v>
      </c>
      <c r="BM210" s="550">
        <f t="shared" si="67"/>
        <v>300</v>
      </c>
      <c r="BO210" s="194"/>
      <c r="BQ210" s="193">
        <f t="shared" si="68"/>
        <v>0</v>
      </c>
      <c r="BR210" s="193">
        <f t="shared" si="69"/>
        <v>0</v>
      </c>
      <c r="BS210" s="193">
        <f t="shared" si="59"/>
        <v>0</v>
      </c>
      <c r="BT210" s="193">
        <f t="shared" si="59"/>
        <v>0</v>
      </c>
    </row>
    <row r="211" spans="1:72" ht="13.5" customHeight="1">
      <c r="A211" s="193" t="s">
        <v>378</v>
      </c>
      <c r="B211" s="193" t="s">
        <v>379</v>
      </c>
      <c r="C211" s="193" t="s">
        <v>214</v>
      </c>
      <c r="D211" s="193" t="s">
        <v>667</v>
      </c>
      <c r="E211" s="193" t="s">
        <v>668</v>
      </c>
      <c r="F211" s="193" t="s">
        <v>971</v>
      </c>
      <c r="G211" s="193" t="s">
        <v>971</v>
      </c>
      <c r="H211" s="193" t="s">
        <v>651</v>
      </c>
      <c r="I211" s="193" t="s">
        <v>512</v>
      </c>
      <c r="J211" s="193" t="s">
        <v>972</v>
      </c>
      <c r="K211" s="193" t="s">
        <v>386</v>
      </c>
      <c r="L211" s="193" t="s">
        <v>387</v>
      </c>
      <c r="M211" s="193" t="s">
        <v>378</v>
      </c>
      <c r="N211" s="193" t="s">
        <v>514</v>
      </c>
      <c r="O211" s="193" t="s">
        <v>129</v>
      </c>
      <c r="P211" s="193" t="s">
        <v>150</v>
      </c>
      <c r="Q211" s="193" t="s">
        <v>149</v>
      </c>
      <c r="R211" s="193" t="s">
        <v>148</v>
      </c>
      <c r="S211" s="193" t="s">
        <v>152</v>
      </c>
      <c r="T211" s="193" t="s">
        <v>389</v>
      </c>
      <c r="U211" s="193" t="s">
        <v>390</v>
      </c>
      <c r="V211" s="193">
        <v>0</v>
      </c>
      <c r="W211" s="193">
        <v>0</v>
      </c>
      <c r="X211" s="193">
        <v>0</v>
      </c>
      <c r="Y211" s="194">
        <v>300</v>
      </c>
      <c r="Z211" s="193" t="s">
        <v>515</v>
      </c>
      <c r="AA211" s="193" t="s">
        <v>516</v>
      </c>
      <c r="AB211" s="193">
        <v>300</v>
      </c>
      <c r="AC211" s="193" t="s">
        <v>517</v>
      </c>
      <c r="AD211" s="193" t="s">
        <v>152</v>
      </c>
      <c r="AE211" s="193">
        <v>300</v>
      </c>
      <c r="AF211" s="193" t="s">
        <v>518</v>
      </c>
      <c r="AG211" s="193" t="s">
        <v>519</v>
      </c>
      <c r="AH211" s="193">
        <v>0</v>
      </c>
      <c r="AI211" s="193">
        <v>300</v>
      </c>
      <c r="AJ211" s="193" t="s">
        <v>973</v>
      </c>
      <c r="AL211" s="197" t="s">
        <v>974</v>
      </c>
      <c r="AM211" s="193">
        <v>1</v>
      </c>
      <c r="AN211" s="193">
        <v>0</v>
      </c>
      <c r="AO211" s="193">
        <v>0</v>
      </c>
      <c r="AP211" s="193">
        <v>0</v>
      </c>
      <c r="AQ211" s="193" t="s">
        <v>214</v>
      </c>
      <c r="AS211" s="197" t="s">
        <v>518</v>
      </c>
      <c r="AT211" s="197" t="s">
        <v>519</v>
      </c>
      <c r="AV211" s="194">
        <v>138</v>
      </c>
      <c r="AW211" s="194">
        <v>0</v>
      </c>
      <c r="AX211" s="194">
        <v>0</v>
      </c>
      <c r="AY211" s="549">
        <v>138</v>
      </c>
      <c r="AZ211" s="194">
        <v>0</v>
      </c>
      <c r="BA211" s="194">
        <v>162</v>
      </c>
      <c r="BB211" s="551">
        <v>162</v>
      </c>
      <c r="BC211" s="551">
        <v>300</v>
      </c>
      <c r="BD211" s="551">
        <v>0</v>
      </c>
      <c r="BF211" s="550">
        <f t="shared" si="60"/>
        <v>138</v>
      </c>
      <c r="BG211" s="550">
        <f t="shared" si="61"/>
        <v>0</v>
      </c>
      <c r="BH211" s="550">
        <f t="shared" si="62"/>
        <v>0</v>
      </c>
      <c r="BI211" s="550">
        <f t="shared" si="63"/>
        <v>138</v>
      </c>
      <c r="BJ211" s="550">
        <f t="shared" si="64"/>
        <v>0</v>
      </c>
      <c r="BK211" s="550">
        <f t="shared" si="65"/>
        <v>162</v>
      </c>
      <c r="BL211" s="550">
        <f t="shared" si="66"/>
        <v>162</v>
      </c>
      <c r="BM211" s="550">
        <f t="shared" si="67"/>
        <v>300</v>
      </c>
      <c r="BO211" s="194"/>
      <c r="BQ211" s="193">
        <f t="shared" si="68"/>
        <v>0</v>
      </c>
      <c r="BR211" s="193">
        <f t="shared" si="69"/>
        <v>0</v>
      </c>
      <c r="BS211" s="193">
        <f t="shared" si="59"/>
        <v>0</v>
      </c>
      <c r="BT211" s="193">
        <f t="shared" si="59"/>
        <v>0</v>
      </c>
    </row>
    <row r="212" spans="1:72" ht="13.5" customHeight="1">
      <c r="A212" s="193" t="s">
        <v>378</v>
      </c>
      <c r="B212" s="193" t="s">
        <v>379</v>
      </c>
      <c r="C212" s="193" t="s">
        <v>214</v>
      </c>
      <c r="D212" s="193" t="s">
        <v>667</v>
      </c>
      <c r="E212" s="193" t="s">
        <v>668</v>
      </c>
      <c r="F212" s="193" t="s">
        <v>975</v>
      </c>
      <c r="G212" s="193" t="s">
        <v>975</v>
      </c>
      <c r="H212" s="193" t="s">
        <v>651</v>
      </c>
      <c r="I212" s="193" t="s">
        <v>512</v>
      </c>
      <c r="J212" s="193" t="s">
        <v>976</v>
      </c>
      <c r="K212" s="193" t="s">
        <v>386</v>
      </c>
      <c r="L212" s="193" t="s">
        <v>387</v>
      </c>
      <c r="M212" s="193" t="s">
        <v>378</v>
      </c>
      <c r="N212" s="193" t="s">
        <v>514</v>
      </c>
      <c r="O212" s="193" t="s">
        <v>129</v>
      </c>
      <c r="P212" s="193" t="s">
        <v>150</v>
      </c>
      <c r="Q212" s="193" t="s">
        <v>149</v>
      </c>
      <c r="R212" s="193" t="s">
        <v>148</v>
      </c>
      <c r="S212" s="193" t="s">
        <v>152</v>
      </c>
      <c r="T212" s="193" t="s">
        <v>389</v>
      </c>
      <c r="U212" s="193" t="s">
        <v>390</v>
      </c>
      <c r="V212" s="193">
        <v>0</v>
      </c>
      <c r="W212" s="193">
        <v>0</v>
      </c>
      <c r="X212" s="193">
        <v>0</v>
      </c>
      <c r="Y212" s="194">
        <v>300</v>
      </c>
      <c r="Z212" s="193" t="s">
        <v>515</v>
      </c>
      <c r="AA212" s="193" t="s">
        <v>516</v>
      </c>
      <c r="AB212" s="193">
        <v>300</v>
      </c>
      <c r="AC212" s="193" t="s">
        <v>517</v>
      </c>
      <c r="AD212" s="193" t="s">
        <v>152</v>
      </c>
      <c r="AE212" s="193">
        <v>300</v>
      </c>
      <c r="AF212" s="193" t="s">
        <v>518</v>
      </c>
      <c r="AG212" s="193" t="s">
        <v>519</v>
      </c>
      <c r="AH212" s="193">
        <v>0</v>
      </c>
      <c r="AI212" s="193">
        <v>300</v>
      </c>
      <c r="AJ212" s="193" t="s">
        <v>977</v>
      </c>
      <c r="AL212" s="197" t="s">
        <v>978</v>
      </c>
      <c r="AM212" s="193">
        <v>1</v>
      </c>
      <c r="AN212" s="193">
        <v>0</v>
      </c>
      <c r="AO212" s="193">
        <v>0</v>
      </c>
      <c r="AP212" s="193">
        <v>0</v>
      </c>
      <c r="AQ212" s="193" t="s">
        <v>214</v>
      </c>
      <c r="AS212" s="197" t="s">
        <v>518</v>
      </c>
      <c r="AT212" s="197" t="s">
        <v>519</v>
      </c>
      <c r="AV212" s="194">
        <v>138</v>
      </c>
      <c r="AW212" s="194">
        <v>0</v>
      </c>
      <c r="AX212" s="194">
        <v>0</v>
      </c>
      <c r="AY212" s="549">
        <v>138</v>
      </c>
      <c r="AZ212" s="194">
        <v>0</v>
      </c>
      <c r="BA212" s="194">
        <v>162</v>
      </c>
      <c r="BB212" s="551">
        <v>162</v>
      </c>
      <c r="BC212" s="551">
        <v>300</v>
      </c>
      <c r="BD212" s="551">
        <v>0</v>
      </c>
      <c r="BF212" s="550">
        <f t="shared" si="60"/>
        <v>138</v>
      </c>
      <c r="BG212" s="550">
        <f t="shared" si="61"/>
        <v>0</v>
      </c>
      <c r="BH212" s="550">
        <f t="shared" si="62"/>
        <v>0</v>
      </c>
      <c r="BI212" s="550">
        <f t="shared" si="63"/>
        <v>138</v>
      </c>
      <c r="BJ212" s="550">
        <f t="shared" si="64"/>
        <v>0</v>
      </c>
      <c r="BK212" s="550">
        <f t="shared" si="65"/>
        <v>162</v>
      </c>
      <c r="BL212" s="550">
        <f t="shared" si="66"/>
        <v>162</v>
      </c>
      <c r="BM212" s="550">
        <f t="shared" si="67"/>
        <v>300</v>
      </c>
      <c r="BO212" s="194"/>
      <c r="BQ212" s="193">
        <f t="shared" si="68"/>
        <v>0</v>
      </c>
      <c r="BR212" s="193">
        <f t="shared" si="69"/>
        <v>0</v>
      </c>
      <c r="BS212" s="193">
        <f t="shared" si="59"/>
        <v>0</v>
      </c>
      <c r="BT212" s="193">
        <f t="shared" si="59"/>
        <v>0</v>
      </c>
    </row>
    <row r="213" spans="1:72" ht="13.5" customHeight="1">
      <c r="A213" s="193" t="s">
        <v>378</v>
      </c>
      <c r="B213" s="193" t="s">
        <v>379</v>
      </c>
      <c r="C213" s="193" t="s">
        <v>214</v>
      </c>
      <c r="D213" s="193" t="s">
        <v>667</v>
      </c>
      <c r="E213" s="193" t="s">
        <v>668</v>
      </c>
      <c r="F213" s="193" t="s">
        <v>911</v>
      </c>
      <c r="G213" s="193" t="s">
        <v>911</v>
      </c>
      <c r="H213" s="193" t="s">
        <v>651</v>
      </c>
      <c r="I213" s="193" t="s">
        <v>512</v>
      </c>
      <c r="J213" s="193" t="s">
        <v>912</v>
      </c>
      <c r="K213" s="193" t="s">
        <v>386</v>
      </c>
      <c r="L213" s="193" t="s">
        <v>387</v>
      </c>
      <c r="M213" s="193" t="s">
        <v>378</v>
      </c>
      <c r="N213" s="193" t="s">
        <v>514</v>
      </c>
      <c r="O213" s="193" t="s">
        <v>129</v>
      </c>
      <c r="P213" s="193" t="s">
        <v>150</v>
      </c>
      <c r="Q213" s="193" t="s">
        <v>149</v>
      </c>
      <c r="R213" s="193" t="s">
        <v>148</v>
      </c>
      <c r="S213" s="193" t="s">
        <v>152</v>
      </c>
      <c r="T213" s="193" t="s">
        <v>389</v>
      </c>
      <c r="U213" s="193" t="s">
        <v>390</v>
      </c>
      <c r="V213" s="193">
        <v>0</v>
      </c>
      <c r="W213" s="193">
        <v>0</v>
      </c>
      <c r="X213" s="193">
        <v>0</v>
      </c>
      <c r="Y213" s="194">
        <v>1420</v>
      </c>
      <c r="Z213" s="193" t="s">
        <v>515</v>
      </c>
      <c r="AA213" s="193" t="s">
        <v>516</v>
      </c>
      <c r="AB213" s="193">
        <v>1420</v>
      </c>
      <c r="AC213" s="193" t="s">
        <v>517</v>
      </c>
      <c r="AD213" s="193" t="s">
        <v>152</v>
      </c>
      <c r="AE213" s="193">
        <v>1420</v>
      </c>
      <c r="AF213" s="193" t="s">
        <v>518</v>
      </c>
      <c r="AG213" s="193" t="s">
        <v>519</v>
      </c>
      <c r="AH213" s="193">
        <v>0</v>
      </c>
      <c r="AI213" s="193">
        <v>1420</v>
      </c>
      <c r="AJ213" s="193" t="s">
        <v>913</v>
      </c>
      <c r="AL213" s="197" t="s">
        <v>914</v>
      </c>
      <c r="AM213" s="193">
        <v>1</v>
      </c>
      <c r="AN213" s="193">
        <v>0</v>
      </c>
      <c r="AO213" s="193">
        <v>0</v>
      </c>
      <c r="AP213" s="193">
        <v>0</v>
      </c>
      <c r="AQ213" s="193" t="s">
        <v>214</v>
      </c>
      <c r="AS213" s="197" t="s">
        <v>518</v>
      </c>
      <c r="AT213" s="197" t="s">
        <v>519</v>
      </c>
      <c r="AV213" s="194">
        <v>653</v>
      </c>
      <c r="AW213" s="194">
        <v>0</v>
      </c>
      <c r="AX213" s="194">
        <v>0</v>
      </c>
      <c r="AY213" s="549">
        <v>653</v>
      </c>
      <c r="AZ213" s="194">
        <v>0</v>
      </c>
      <c r="BA213" s="194">
        <v>767</v>
      </c>
      <c r="BB213" s="551">
        <v>767</v>
      </c>
      <c r="BC213" s="551">
        <v>1420</v>
      </c>
      <c r="BD213" s="551">
        <v>0</v>
      </c>
      <c r="BF213" s="550">
        <f t="shared" si="60"/>
        <v>653</v>
      </c>
      <c r="BG213" s="550">
        <f t="shared" si="61"/>
        <v>0</v>
      </c>
      <c r="BH213" s="550">
        <f t="shared" si="62"/>
        <v>0</v>
      </c>
      <c r="BI213" s="550">
        <f t="shared" si="63"/>
        <v>653</v>
      </c>
      <c r="BJ213" s="550">
        <f t="shared" si="64"/>
        <v>0</v>
      </c>
      <c r="BK213" s="550">
        <f t="shared" si="65"/>
        <v>767</v>
      </c>
      <c r="BL213" s="550">
        <f t="shared" si="66"/>
        <v>767</v>
      </c>
      <c r="BM213" s="550">
        <f t="shared" si="67"/>
        <v>1420</v>
      </c>
      <c r="BO213" s="194"/>
      <c r="BQ213" s="193">
        <f t="shared" si="68"/>
        <v>0</v>
      </c>
      <c r="BR213" s="193">
        <f t="shared" si="69"/>
        <v>0</v>
      </c>
      <c r="BS213" s="193">
        <f t="shared" si="59"/>
        <v>0</v>
      </c>
      <c r="BT213" s="193">
        <f t="shared" si="59"/>
        <v>0</v>
      </c>
    </row>
    <row r="214" spans="1:72" ht="13.5" customHeight="1">
      <c r="A214" s="193" t="s">
        <v>378</v>
      </c>
      <c r="B214" s="193" t="s">
        <v>379</v>
      </c>
      <c r="C214" s="193" t="s">
        <v>214</v>
      </c>
      <c r="D214" s="193" t="s">
        <v>667</v>
      </c>
      <c r="E214" s="193" t="s">
        <v>668</v>
      </c>
      <c r="F214" s="193" t="s">
        <v>915</v>
      </c>
      <c r="G214" s="193" t="s">
        <v>915</v>
      </c>
      <c r="H214" s="193" t="s">
        <v>651</v>
      </c>
      <c r="I214" s="193" t="s">
        <v>512</v>
      </c>
      <c r="J214" s="193" t="s">
        <v>916</v>
      </c>
      <c r="K214" s="193" t="s">
        <v>386</v>
      </c>
      <c r="L214" s="193" t="s">
        <v>387</v>
      </c>
      <c r="M214" s="193" t="s">
        <v>378</v>
      </c>
      <c r="N214" s="193" t="s">
        <v>514</v>
      </c>
      <c r="O214" s="193" t="s">
        <v>129</v>
      </c>
      <c r="P214" s="193" t="s">
        <v>150</v>
      </c>
      <c r="Q214" s="193" t="s">
        <v>149</v>
      </c>
      <c r="R214" s="193" t="s">
        <v>148</v>
      </c>
      <c r="S214" s="193" t="s">
        <v>152</v>
      </c>
      <c r="T214" s="193" t="s">
        <v>389</v>
      </c>
      <c r="U214" s="193" t="s">
        <v>390</v>
      </c>
      <c r="V214" s="193">
        <v>0</v>
      </c>
      <c r="W214" s="193">
        <v>0</v>
      </c>
      <c r="X214" s="193">
        <v>0</v>
      </c>
      <c r="Y214" s="194">
        <v>300</v>
      </c>
      <c r="Z214" s="193" t="s">
        <v>515</v>
      </c>
      <c r="AA214" s="193" t="s">
        <v>516</v>
      </c>
      <c r="AB214" s="193">
        <v>300</v>
      </c>
      <c r="AC214" s="193" t="s">
        <v>517</v>
      </c>
      <c r="AD214" s="193" t="s">
        <v>152</v>
      </c>
      <c r="AE214" s="193">
        <v>300</v>
      </c>
      <c r="AF214" s="193" t="s">
        <v>518</v>
      </c>
      <c r="AG214" s="193" t="s">
        <v>519</v>
      </c>
      <c r="AH214" s="193">
        <v>0</v>
      </c>
      <c r="AI214" s="193">
        <v>300</v>
      </c>
      <c r="AJ214" s="193" t="s">
        <v>917</v>
      </c>
      <c r="AL214" s="197" t="s">
        <v>918</v>
      </c>
      <c r="AM214" s="193">
        <v>1</v>
      </c>
      <c r="AN214" s="193">
        <v>0</v>
      </c>
      <c r="AO214" s="193">
        <v>0</v>
      </c>
      <c r="AP214" s="193">
        <v>0</v>
      </c>
      <c r="AQ214" s="193" t="s">
        <v>214</v>
      </c>
      <c r="AS214" s="197" t="s">
        <v>518</v>
      </c>
      <c r="AT214" s="197" t="s">
        <v>519</v>
      </c>
      <c r="AV214" s="194">
        <v>138</v>
      </c>
      <c r="AW214" s="194">
        <v>0</v>
      </c>
      <c r="AX214" s="194">
        <v>0</v>
      </c>
      <c r="AY214" s="549">
        <v>138</v>
      </c>
      <c r="AZ214" s="194">
        <v>0</v>
      </c>
      <c r="BA214" s="194">
        <v>162</v>
      </c>
      <c r="BB214" s="551">
        <v>162</v>
      </c>
      <c r="BC214" s="551">
        <v>300</v>
      </c>
      <c r="BD214" s="551">
        <v>0</v>
      </c>
      <c r="BF214" s="550">
        <f t="shared" si="60"/>
        <v>138</v>
      </c>
      <c r="BG214" s="550">
        <f t="shared" si="61"/>
        <v>0</v>
      </c>
      <c r="BH214" s="550">
        <f t="shared" si="62"/>
        <v>0</v>
      </c>
      <c r="BI214" s="550">
        <f t="shared" si="63"/>
        <v>138</v>
      </c>
      <c r="BJ214" s="550">
        <f t="shared" si="64"/>
        <v>0</v>
      </c>
      <c r="BK214" s="550">
        <f t="shared" si="65"/>
        <v>162</v>
      </c>
      <c r="BL214" s="550">
        <f t="shared" si="66"/>
        <v>162</v>
      </c>
      <c r="BM214" s="550">
        <f t="shared" si="67"/>
        <v>300</v>
      </c>
      <c r="BO214" s="194"/>
      <c r="BQ214" s="193">
        <f t="shared" si="68"/>
        <v>0</v>
      </c>
      <c r="BR214" s="193">
        <f t="shared" si="69"/>
        <v>0</v>
      </c>
      <c r="BS214" s="193">
        <f t="shared" si="59"/>
        <v>0</v>
      </c>
      <c r="BT214" s="193">
        <f t="shared" si="59"/>
        <v>0</v>
      </c>
    </row>
    <row r="215" spans="1:72" ht="13.5" customHeight="1">
      <c r="A215" s="193" t="s">
        <v>378</v>
      </c>
      <c r="B215" s="193" t="s">
        <v>379</v>
      </c>
      <c r="C215" s="193" t="s">
        <v>214</v>
      </c>
      <c r="D215" s="193" t="s">
        <v>667</v>
      </c>
      <c r="E215" s="193" t="s">
        <v>668</v>
      </c>
      <c r="F215" s="193" t="s">
        <v>890</v>
      </c>
      <c r="G215" s="193" t="s">
        <v>890</v>
      </c>
      <c r="H215" s="193" t="s">
        <v>651</v>
      </c>
      <c r="I215" s="193" t="s">
        <v>512</v>
      </c>
      <c r="J215" s="193" t="s">
        <v>891</v>
      </c>
      <c r="K215" s="193" t="s">
        <v>386</v>
      </c>
      <c r="L215" s="193" t="s">
        <v>387</v>
      </c>
      <c r="M215" s="193" t="s">
        <v>378</v>
      </c>
      <c r="N215" s="193" t="s">
        <v>514</v>
      </c>
      <c r="O215" s="193" t="s">
        <v>129</v>
      </c>
      <c r="P215" s="193" t="s">
        <v>150</v>
      </c>
      <c r="Q215" s="193" t="s">
        <v>149</v>
      </c>
      <c r="R215" s="193" t="s">
        <v>148</v>
      </c>
      <c r="S215" s="193" t="s">
        <v>152</v>
      </c>
      <c r="T215" s="193" t="s">
        <v>389</v>
      </c>
      <c r="U215" s="193" t="s">
        <v>390</v>
      </c>
      <c r="V215" s="193">
        <v>0</v>
      </c>
      <c r="W215" s="193">
        <v>0</v>
      </c>
      <c r="X215" s="193">
        <v>0</v>
      </c>
      <c r="Y215" s="194">
        <v>300</v>
      </c>
      <c r="Z215" s="193" t="s">
        <v>515</v>
      </c>
      <c r="AA215" s="193" t="s">
        <v>516</v>
      </c>
      <c r="AB215" s="193">
        <v>300</v>
      </c>
      <c r="AC215" s="193" t="s">
        <v>517</v>
      </c>
      <c r="AD215" s="193" t="s">
        <v>152</v>
      </c>
      <c r="AE215" s="193">
        <v>300</v>
      </c>
      <c r="AF215" s="193" t="s">
        <v>518</v>
      </c>
      <c r="AG215" s="193" t="s">
        <v>519</v>
      </c>
      <c r="AH215" s="193">
        <v>0</v>
      </c>
      <c r="AI215" s="193">
        <v>300</v>
      </c>
      <c r="AJ215" s="193" t="s">
        <v>892</v>
      </c>
      <c r="AL215" s="197" t="s">
        <v>893</v>
      </c>
      <c r="AM215" s="193">
        <v>1</v>
      </c>
      <c r="AN215" s="193">
        <v>0</v>
      </c>
      <c r="AO215" s="193">
        <v>0</v>
      </c>
      <c r="AP215" s="193">
        <v>0</v>
      </c>
      <c r="AQ215" s="193" t="s">
        <v>214</v>
      </c>
      <c r="AS215" s="197" t="s">
        <v>518</v>
      </c>
      <c r="AT215" s="197" t="s">
        <v>519</v>
      </c>
      <c r="AV215" s="194">
        <v>138</v>
      </c>
      <c r="AW215" s="194">
        <v>0</v>
      </c>
      <c r="AX215" s="194">
        <v>0</v>
      </c>
      <c r="AY215" s="549">
        <v>138</v>
      </c>
      <c r="AZ215" s="194">
        <v>0</v>
      </c>
      <c r="BA215" s="194">
        <v>162</v>
      </c>
      <c r="BB215" s="551">
        <v>162</v>
      </c>
      <c r="BC215" s="551">
        <v>300</v>
      </c>
      <c r="BD215" s="551">
        <v>0</v>
      </c>
      <c r="BF215" s="550">
        <f t="shared" si="60"/>
        <v>138</v>
      </c>
      <c r="BG215" s="550">
        <f t="shared" si="61"/>
        <v>0</v>
      </c>
      <c r="BH215" s="550">
        <f t="shared" si="62"/>
        <v>0</v>
      </c>
      <c r="BI215" s="550">
        <f t="shared" si="63"/>
        <v>138</v>
      </c>
      <c r="BJ215" s="550">
        <f t="shared" si="64"/>
        <v>0</v>
      </c>
      <c r="BK215" s="550">
        <f t="shared" si="65"/>
        <v>162</v>
      </c>
      <c r="BL215" s="550">
        <f t="shared" si="66"/>
        <v>162</v>
      </c>
      <c r="BM215" s="550">
        <f t="shared" si="67"/>
        <v>300</v>
      </c>
      <c r="BO215" s="194"/>
      <c r="BQ215" s="193">
        <f t="shared" si="68"/>
        <v>0</v>
      </c>
      <c r="BR215" s="193">
        <f t="shared" si="69"/>
        <v>0</v>
      </c>
      <c r="BS215" s="193">
        <f t="shared" si="59"/>
        <v>0</v>
      </c>
      <c r="BT215" s="193">
        <f t="shared" si="59"/>
        <v>0</v>
      </c>
    </row>
    <row r="216" spans="1:72" ht="13.5" customHeight="1">
      <c r="A216" s="193" t="s">
        <v>378</v>
      </c>
      <c r="B216" s="193" t="s">
        <v>379</v>
      </c>
      <c r="C216" s="193" t="s">
        <v>214</v>
      </c>
      <c r="D216" s="193" t="s">
        <v>542</v>
      </c>
      <c r="E216" s="193" t="s">
        <v>543</v>
      </c>
      <c r="F216" s="193" t="s">
        <v>894</v>
      </c>
      <c r="G216" s="193" t="s">
        <v>894</v>
      </c>
      <c r="H216" s="193" t="s">
        <v>651</v>
      </c>
      <c r="I216" s="193" t="s">
        <v>512</v>
      </c>
      <c r="J216" s="193" t="s">
        <v>895</v>
      </c>
      <c r="K216" s="193" t="s">
        <v>386</v>
      </c>
      <c r="L216" s="193" t="s">
        <v>387</v>
      </c>
      <c r="M216" s="193" t="s">
        <v>378</v>
      </c>
      <c r="N216" s="193" t="s">
        <v>514</v>
      </c>
      <c r="O216" s="193" t="s">
        <v>129</v>
      </c>
      <c r="P216" s="193" t="s">
        <v>150</v>
      </c>
      <c r="Q216" s="193" t="s">
        <v>149</v>
      </c>
      <c r="R216" s="193" t="s">
        <v>148</v>
      </c>
      <c r="S216" s="193" t="s">
        <v>152</v>
      </c>
      <c r="T216" s="193" t="s">
        <v>389</v>
      </c>
      <c r="U216" s="193" t="s">
        <v>390</v>
      </c>
      <c r="V216" s="193">
        <v>0</v>
      </c>
      <c r="W216" s="193">
        <v>0</v>
      </c>
      <c r="X216" s="193">
        <v>0</v>
      </c>
      <c r="Y216" s="194">
        <v>300</v>
      </c>
      <c r="Z216" s="193" t="s">
        <v>515</v>
      </c>
      <c r="AA216" s="193" t="s">
        <v>516</v>
      </c>
      <c r="AB216" s="193">
        <v>300</v>
      </c>
      <c r="AC216" s="193" t="s">
        <v>517</v>
      </c>
      <c r="AD216" s="193" t="s">
        <v>152</v>
      </c>
      <c r="AE216" s="193">
        <v>300</v>
      </c>
      <c r="AF216" s="193" t="s">
        <v>518</v>
      </c>
      <c r="AG216" s="193" t="s">
        <v>519</v>
      </c>
      <c r="AH216" s="193">
        <v>0</v>
      </c>
      <c r="AI216" s="193">
        <v>300</v>
      </c>
      <c r="AJ216" s="193" t="s">
        <v>896</v>
      </c>
      <c r="AL216" s="197" t="s">
        <v>897</v>
      </c>
      <c r="AM216" s="193">
        <v>1</v>
      </c>
      <c r="AN216" s="193">
        <v>0</v>
      </c>
      <c r="AO216" s="193">
        <v>0</v>
      </c>
      <c r="AP216" s="193">
        <v>0</v>
      </c>
      <c r="AQ216" s="193" t="s">
        <v>214</v>
      </c>
      <c r="AS216" s="197" t="s">
        <v>518</v>
      </c>
      <c r="AT216" s="197" t="s">
        <v>519</v>
      </c>
      <c r="AV216" s="194">
        <v>138</v>
      </c>
      <c r="AW216" s="194">
        <v>0</v>
      </c>
      <c r="AX216" s="194">
        <v>0</v>
      </c>
      <c r="AY216" s="549">
        <v>138</v>
      </c>
      <c r="AZ216" s="194">
        <v>0</v>
      </c>
      <c r="BA216" s="194">
        <v>162</v>
      </c>
      <c r="BB216" s="551">
        <v>162</v>
      </c>
      <c r="BC216" s="551">
        <v>300</v>
      </c>
      <c r="BD216" s="551">
        <v>0</v>
      </c>
      <c r="BF216" s="550">
        <f t="shared" si="60"/>
        <v>138</v>
      </c>
      <c r="BG216" s="550">
        <f t="shared" si="61"/>
        <v>0</v>
      </c>
      <c r="BH216" s="550">
        <f t="shared" si="62"/>
        <v>0</v>
      </c>
      <c r="BI216" s="550">
        <f t="shared" si="63"/>
        <v>138</v>
      </c>
      <c r="BJ216" s="550">
        <f t="shared" si="64"/>
        <v>0</v>
      </c>
      <c r="BK216" s="550">
        <f t="shared" si="65"/>
        <v>162</v>
      </c>
      <c r="BL216" s="550">
        <f t="shared" si="66"/>
        <v>162</v>
      </c>
      <c r="BM216" s="550">
        <f t="shared" si="67"/>
        <v>300</v>
      </c>
      <c r="BO216" s="194"/>
      <c r="BQ216" s="193">
        <f t="shared" si="68"/>
        <v>0</v>
      </c>
      <c r="BR216" s="193">
        <f t="shared" si="69"/>
        <v>0</v>
      </c>
      <c r="BS216" s="193">
        <f t="shared" si="59"/>
        <v>0</v>
      </c>
      <c r="BT216" s="193">
        <f t="shared" si="59"/>
        <v>0</v>
      </c>
    </row>
    <row r="217" spans="1:72" ht="13.5" customHeight="1">
      <c r="A217" s="193" t="s">
        <v>378</v>
      </c>
      <c r="B217" s="193" t="s">
        <v>379</v>
      </c>
      <c r="C217" s="193" t="s">
        <v>214</v>
      </c>
      <c r="D217" s="193" t="s">
        <v>667</v>
      </c>
      <c r="E217" s="193" t="s">
        <v>668</v>
      </c>
      <c r="F217" s="193" t="s">
        <v>963</v>
      </c>
      <c r="G217" s="193" t="s">
        <v>963</v>
      </c>
      <c r="H217" s="193" t="s">
        <v>651</v>
      </c>
      <c r="I217" s="193" t="s">
        <v>512</v>
      </c>
      <c r="J217" s="193" t="s">
        <v>964</v>
      </c>
      <c r="K217" s="193" t="s">
        <v>386</v>
      </c>
      <c r="L217" s="193" t="s">
        <v>387</v>
      </c>
      <c r="M217" s="193" t="s">
        <v>378</v>
      </c>
      <c r="N217" s="193" t="s">
        <v>514</v>
      </c>
      <c r="O217" s="193" t="s">
        <v>129</v>
      </c>
      <c r="P217" s="193" t="s">
        <v>150</v>
      </c>
      <c r="Q217" s="193" t="s">
        <v>149</v>
      </c>
      <c r="R217" s="193" t="s">
        <v>148</v>
      </c>
      <c r="S217" s="193" t="s">
        <v>152</v>
      </c>
      <c r="T217" s="193" t="s">
        <v>389</v>
      </c>
      <c r="U217" s="193" t="s">
        <v>390</v>
      </c>
      <c r="V217" s="193">
        <v>0</v>
      </c>
      <c r="W217" s="193">
        <v>0</v>
      </c>
      <c r="X217" s="193">
        <v>0</v>
      </c>
      <c r="Y217" s="194">
        <v>300</v>
      </c>
      <c r="Z217" s="193" t="s">
        <v>515</v>
      </c>
      <c r="AA217" s="193" t="s">
        <v>516</v>
      </c>
      <c r="AB217" s="193">
        <v>300</v>
      </c>
      <c r="AC217" s="193" t="s">
        <v>517</v>
      </c>
      <c r="AD217" s="193" t="s">
        <v>152</v>
      </c>
      <c r="AE217" s="193">
        <v>300</v>
      </c>
      <c r="AF217" s="193" t="s">
        <v>518</v>
      </c>
      <c r="AG217" s="193" t="s">
        <v>519</v>
      </c>
      <c r="AH217" s="193">
        <v>0</v>
      </c>
      <c r="AI217" s="193">
        <v>300</v>
      </c>
      <c r="AJ217" s="193" t="s">
        <v>965</v>
      </c>
      <c r="AL217" s="197" t="s">
        <v>966</v>
      </c>
      <c r="AM217" s="193">
        <v>1</v>
      </c>
      <c r="AN217" s="193">
        <v>0</v>
      </c>
      <c r="AO217" s="193">
        <v>0</v>
      </c>
      <c r="AP217" s="193">
        <v>0</v>
      </c>
      <c r="AQ217" s="193" t="s">
        <v>214</v>
      </c>
      <c r="AS217" s="197" t="s">
        <v>518</v>
      </c>
      <c r="AT217" s="197" t="s">
        <v>519</v>
      </c>
      <c r="AV217" s="194">
        <v>138</v>
      </c>
      <c r="AW217" s="194">
        <v>0</v>
      </c>
      <c r="AX217" s="194">
        <v>0</v>
      </c>
      <c r="AY217" s="549">
        <v>138</v>
      </c>
      <c r="AZ217" s="194">
        <v>0</v>
      </c>
      <c r="BA217" s="194">
        <v>162</v>
      </c>
      <c r="BB217" s="551">
        <v>162</v>
      </c>
      <c r="BC217" s="551">
        <v>300</v>
      </c>
      <c r="BD217" s="551">
        <v>0</v>
      </c>
      <c r="BF217" s="550">
        <f t="shared" si="60"/>
        <v>138</v>
      </c>
      <c r="BG217" s="550">
        <f t="shared" si="61"/>
        <v>0</v>
      </c>
      <c r="BH217" s="550">
        <f t="shared" si="62"/>
        <v>0</v>
      </c>
      <c r="BI217" s="550">
        <f t="shared" si="63"/>
        <v>138</v>
      </c>
      <c r="BJ217" s="550">
        <f t="shared" si="64"/>
        <v>0</v>
      </c>
      <c r="BK217" s="550">
        <f t="shared" si="65"/>
        <v>162</v>
      </c>
      <c r="BL217" s="550">
        <f t="shared" si="66"/>
        <v>162</v>
      </c>
      <c r="BM217" s="550">
        <f t="shared" si="67"/>
        <v>300</v>
      </c>
      <c r="BO217" s="194"/>
      <c r="BQ217" s="193">
        <f t="shared" si="68"/>
        <v>0</v>
      </c>
      <c r="BR217" s="193">
        <f t="shared" si="69"/>
        <v>0</v>
      </c>
      <c r="BS217" s="193">
        <f t="shared" si="59"/>
        <v>0</v>
      </c>
      <c r="BT217" s="193">
        <f t="shared" si="59"/>
        <v>0</v>
      </c>
    </row>
    <row r="218" spans="1:72" ht="13.5" customHeight="1">
      <c r="A218" s="193" t="s">
        <v>378</v>
      </c>
      <c r="B218" s="193" t="s">
        <v>379</v>
      </c>
      <c r="C218" s="193" t="s">
        <v>214</v>
      </c>
      <c r="D218" s="193" t="s">
        <v>667</v>
      </c>
      <c r="E218" s="193" t="s">
        <v>668</v>
      </c>
      <c r="F218" s="193" t="s">
        <v>963</v>
      </c>
      <c r="G218" s="193" t="s">
        <v>963</v>
      </c>
      <c r="H218" s="193" t="s">
        <v>651</v>
      </c>
      <c r="I218" s="193" t="s">
        <v>512</v>
      </c>
      <c r="J218" s="193" t="s">
        <v>964</v>
      </c>
      <c r="K218" s="193" t="s">
        <v>386</v>
      </c>
      <c r="L218" s="193" t="s">
        <v>531</v>
      </c>
      <c r="M218" s="193" t="s">
        <v>378</v>
      </c>
      <c r="N218" s="193" t="s">
        <v>514</v>
      </c>
      <c r="O218" s="193" t="s">
        <v>129</v>
      </c>
      <c r="P218" s="193" t="s">
        <v>150</v>
      </c>
      <c r="Q218" s="193" t="s">
        <v>149</v>
      </c>
      <c r="R218" s="193" t="s">
        <v>148</v>
      </c>
      <c r="S218" s="193" t="s">
        <v>152</v>
      </c>
      <c r="T218" s="193" t="s">
        <v>389</v>
      </c>
      <c r="U218" s="193" t="s">
        <v>390</v>
      </c>
      <c r="V218" s="193">
        <v>0</v>
      </c>
      <c r="W218" s="193">
        <v>0</v>
      </c>
      <c r="X218" s="193">
        <v>0</v>
      </c>
      <c r="Y218" s="194">
        <v>300</v>
      </c>
      <c r="Z218" s="193" t="s">
        <v>515</v>
      </c>
      <c r="AA218" s="193" t="s">
        <v>516</v>
      </c>
      <c r="AB218" s="193">
        <v>300</v>
      </c>
      <c r="AC218" s="193" t="s">
        <v>517</v>
      </c>
      <c r="AD218" s="193" t="s">
        <v>152</v>
      </c>
      <c r="AE218" s="193">
        <v>300</v>
      </c>
      <c r="AF218" s="193" t="s">
        <v>518</v>
      </c>
      <c r="AG218" s="193" t="s">
        <v>519</v>
      </c>
      <c r="AH218" s="193">
        <v>0</v>
      </c>
      <c r="AI218" s="193">
        <v>300</v>
      </c>
      <c r="AJ218" s="193" t="s">
        <v>967</v>
      </c>
      <c r="AL218" s="197" t="s">
        <v>968</v>
      </c>
      <c r="AM218" s="193">
        <v>1</v>
      </c>
      <c r="AN218" s="193">
        <v>0</v>
      </c>
      <c r="AO218" s="193">
        <v>0</v>
      </c>
      <c r="AP218" s="193">
        <v>0</v>
      </c>
      <c r="AQ218" s="193" t="s">
        <v>214</v>
      </c>
      <c r="AS218" s="197" t="s">
        <v>518</v>
      </c>
      <c r="AT218" s="197" t="s">
        <v>519</v>
      </c>
      <c r="AV218" s="194">
        <v>138</v>
      </c>
      <c r="AW218" s="194">
        <v>0</v>
      </c>
      <c r="AX218" s="194">
        <v>0</v>
      </c>
      <c r="AY218" s="549">
        <v>138</v>
      </c>
      <c r="AZ218" s="194">
        <v>0</v>
      </c>
      <c r="BA218" s="194">
        <v>162</v>
      </c>
      <c r="BB218" s="551">
        <v>162</v>
      </c>
      <c r="BC218" s="551">
        <v>300</v>
      </c>
      <c r="BD218" s="551">
        <v>0</v>
      </c>
      <c r="BF218" s="550">
        <f t="shared" si="60"/>
        <v>138</v>
      </c>
      <c r="BG218" s="550">
        <f t="shared" si="61"/>
        <v>0</v>
      </c>
      <c r="BH218" s="550">
        <f t="shared" si="62"/>
        <v>0</v>
      </c>
      <c r="BI218" s="550">
        <f t="shared" si="63"/>
        <v>138</v>
      </c>
      <c r="BJ218" s="550">
        <f t="shared" si="64"/>
        <v>0</v>
      </c>
      <c r="BK218" s="550">
        <f t="shared" si="65"/>
        <v>162</v>
      </c>
      <c r="BL218" s="550">
        <f t="shared" si="66"/>
        <v>162</v>
      </c>
      <c r="BM218" s="550">
        <f t="shared" si="67"/>
        <v>300</v>
      </c>
      <c r="BO218" s="194"/>
      <c r="BQ218" s="193">
        <f t="shared" si="68"/>
        <v>0</v>
      </c>
      <c r="BR218" s="193">
        <f t="shared" si="69"/>
        <v>0</v>
      </c>
      <c r="BS218" s="193">
        <f t="shared" si="59"/>
        <v>0</v>
      </c>
      <c r="BT218" s="193">
        <f t="shared" si="59"/>
        <v>0</v>
      </c>
    </row>
    <row r="219" spans="1:72" ht="13.5" customHeight="1">
      <c r="A219" s="193" t="s">
        <v>378</v>
      </c>
      <c r="B219" s="193" t="s">
        <v>379</v>
      </c>
      <c r="C219" s="193" t="s">
        <v>214</v>
      </c>
      <c r="D219" s="193" t="s">
        <v>667</v>
      </c>
      <c r="E219" s="193" t="s">
        <v>668</v>
      </c>
      <c r="F219" s="193" t="s">
        <v>963</v>
      </c>
      <c r="G219" s="193" t="s">
        <v>963</v>
      </c>
      <c r="H219" s="193" t="s">
        <v>651</v>
      </c>
      <c r="I219" s="193" t="s">
        <v>512</v>
      </c>
      <c r="J219" s="193" t="s">
        <v>964</v>
      </c>
      <c r="K219" s="193" t="s">
        <v>386</v>
      </c>
      <c r="L219" s="193" t="s">
        <v>553</v>
      </c>
      <c r="M219" s="193" t="s">
        <v>378</v>
      </c>
      <c r="N219" s="193" t="s">
        <v>514</v>
      </c>
      <c r="O219" s="193" t="s">
        <v>129</v>
      </c>
      <c r="P219" s="193" t="s">
        <v>150</v>
      </c>
      <c r="Q219" s="193" t="s">
        <v>149</v>
      </c>
      <c r="R219" s="193" t="s">
        <v>148</v>
      </c>
      <c r="S219" s="193" t="s">
        <v>152</v>
      </c>
      <c r="T219" s="193" t="s">
        <v>389</v>
      </c>
      <c r="U219" s="193" t="s">
        <v>390</v>
      </c>
      <c r="V219" s="193">
        <v>0</v>
      </c>
      <c r="W219" s="193">
        <v>0</v>
      </c>
      <c r="X219" s="193">
        <v>0</v>
      </c>
      <c r="Y219" s="194">
        <v>300</v>
      </c>
      <c r="Z219" s="193" t="s">
        <v>515</v>
      </c>
      <c r="AA219" s="193" t="s">
        <v>516</v>
      </c>
      <c r="AB219" s="193">
        <v>300</v>
      </c>
      <c r="AC219" s="193" t="s">
        <v>517</v>
      </c>
      <c r="AD219" s="193" t="s">
        <v>152</v>
      </c>
      <c r="AE219" s="193">
        <v>300</v>
      </c>
      <c r="AF219" s="193" t="s">
        <v>518</v>
      </c>
      <c r="AG219" s="193" t="s">
        <v>519</v>
      </c>
      <c r="AH219" s="193">
        <v>0</v>
      </c>
      <c r="AI219" s="193">
        <v>300</v>
      </c>
      <c r="AJ219" s="193" t="s">
        <v>969</v>
      </c>
      <c r="AL219" s="197" t="s">
        <v>970</v>
      </c>
      <c r="AM219" s="193">
        <v>1</v>
      </c>
      <c r="AN219" s="193">
        <v>0</v>
      </c>
      <c r="AO219" s="193">
        <v>0</v>
      </c>
      <c r="AP219" s="193">
        <v>0</v>
      </c>
      <c r="AQ219" s="193" t="s">
        <v>214</v>
      </c>
      <c r="AS219" s="197" t="s">
        <v>518</v>
      </c>
      <c r="AT219" s="197" t="s">
        <v>519</v>
      </c>
      <c r="AV219" s="194">
        <v>138</v>
      </c>
      <c r="AW219" s="194">
        <v>0</v>
      </c>
      <c r="AX219" s="194">
        <v>0</v>
      </c>
      <c r="AY219" s="549">
        <v>138</v>
      </c>
      <c r="AZ219" s="194">
        <v>0</v>
      </c>
      <c r="BA219" s="194">
        <v>162</v>
      </c>
      <c r="BB219" s="551">
        <v>162</v>
      </c>
      <c r="BC219" s="551">
        <v>300</v>
      </c>
      <c r="BD219" s="551">
        <v>0</v>
      </c>
      <c r="BF219" s="550">
        <f t="shared" si="60"/>
        <v>138</v>
      </c>
      <c r="BG219" s="550">
        <f t="shared" si="61"/>
        <v>0</v>
      </c>
      <c r="BH219" s="550">
        <f t="shared" si="62"/>
        <v>0</v>
      </c>
      <c r="BI219" s="550">
        <f t="shared" si="63"/>
        <v>138</v>
      </c>
      <c r="BJ219" s="550">
        <f t="shared" si="64"/>
        <v>0</v>
      </c>
      <c r="BK219" s="550">
        <f t="shared" si="65"/>
        <v>162</v>
      </c>
      <c r="BL219" s="550">
        <f t="shared" si="66"/>
        <v>162</v>
      </c>
      <c r="BM219" s="550">
        <f t="shared" si="67"/>
        <v>300</v>
      </c>
      <c r="BO219" s="194"/>
      <c r="BQ219" s="193">
        <f t="shared" si="68"/>
        <v>0</v>
      </c>
      <c r="BR219" s="193">
        <f t="shared" si="69"/>
        <v>0</v>
      </c>
      <c r="BS219" s="193">
        <f t="shared" si="59"/>
        <v>0</v>
      </c>
      <c r="BT219" s="193">
        <f t="shared" si="59"/>
        <v>0</v>
      </c>
    </row>
    <row r="220" spans="1:72" ht="13.5" customHeight="1">
      <c r="A220" s="193" t="s">
        <v>378</v>
      </c>
      <c r="B220" s="193" t="s">
        <v>379</v>
      </c>
      <c r="C220" s="193" t="s">
        <v>214</v>
      </c>
      <c r="D220" s="193" t="s">
        <v>667</v>
      </c>
      <c r="E220" s="193" t="s">
        <v>668</v>
      </c>
      <c r="F220" s="193" t="s">
        <v>898</v>
      </c>
      <c r="G220" s="193" t="s">
        <v>898</v>
      </c>
      <c r="H220" s="193" t="s">
        <v>651</v>
      </c>
      <c r="I220" s="193" t="s">
        <v>512</v>
      </c>
      <c r="J220" s="193" t="s">
        <v>899</v>
      </c>
      <c r="K220" s="193" t="s">
        <v>386</v>
      </c>
      <c r="L220" s="193" t="s">
        <v>387</v>
      </c>
      <c r="M220" s="193" t="s">
        <v>378</v>
      </c>
      <c r="N220" s="193" t="s">
        <v>514</v>
      </c>
      <c r="O220" s="193" t="s">
        <v>129</v>
      </c>
      <c r="P220" s="193" t="s">
        <v>150</v>
      </c>
      <c r="Q220" s="193" t="s">
        <v>149</v>
      </c>
      <c r="R220" s="193" t="s">
        <v>148</v>
      </c>
      <c r="S220" s="193" t="s">
        <v>152</v>
      </c>
      <c r="T220" s="193" t="s">
        <v>389</v>
      </c>
      <c r="U220" s="193" t="s">
        <v>390</v>
      </c>
      <c r="V220" s="193">
        <v>0</v>
      </c>
      <c r="W220" s="193">
        <v>0</v>
      </c>
      <c r="X220" s="193">
        <v>0</v>
      </c>
      <c r="Y220" s="194">
        <v>300</v>
      </c>
      <c r="Z220" s="193" t="s">
        <v>515</v>
      </c>
      <c r="AA220" s="193" t="s">
        <v>516</v>
      </c>
      <c r="AB220" s="193">
        <v>300</v>
      </c>
      <c r="AC220" s="193" t="s">
        <v>517</v>
      </c>
      <c r="AD220" s="193" t="s">
        <v>152</v>
      </c>
      <c r="AE220" s="193">
        <v>300</v>
      </c>
      <c r="AF220" s="193" t="s">
        <v>518</v>
      </c>
      <c r="AG220" s="193" t="s">
        <v>519</v>
      </c>
      <c r="AH220" s="193">
        <v>0</v>
      </c>
      <c r="AI220" s="193">
        <v>300</v>
      </c>
      <c r="AJ220" s="193" t="s">
        <v>900</v>
      </c>
      <c r="AL220" s="197" t="s">
        <v>901</v>
      </c>
      <c r="AM220" s="193">
        <v>1</v>
      </c>
      <c r="AN220" s="193">
        <v>0</v>
      </c>
      <c r="AO220" s="193">
        <v>0</v>
      </c>
      <c r="AP220" s="193">
        <v>0</v>
      </c>
      <c r="AQ220" s="193" t="s">
        <v>214</v>
      </c>
      <c r="AS220" s="197" t="s">
        <v>518</v>
      </c>
      <c r="AT220" s="197" t="s">
        <v>519</v>
      </c>
      <c r="AV220" s="194">
        <v>138</v>
      </c>
      <c r="AW220" s="194">
        <v>0</v>
      </c>
      <c r="AX220" s="194">
        <v>0</v>
      </c>
      <c r="AY220" s="549">
        <v>138</v>
      </c>
      <c r="AZ220" s="194">
        <v>0</v>
      </c>
      <c r="BA220" s="194">
        <v>162</v>
      </c>
      <c r="BB220" s="551">
        <v>162</v>
      </c>
      <c r="BC220" s="551">
        <v>300</v>
      </c>
      <c r="BD220" s="551">
        <v>0</v>
      </c>
      <c r="BF220" s="550">
        <f t="shared" si="60"/>
        <v>138</v>
      </c>
      <c r="BG220" s="550">
        <f t="shared" si="61"/>
        <v>0</v>
      </c>
      <c r="BH220" s="550">
        <f t="shared" si="62"/>
        <v>0</v>
      </c>
      <c r="BI220" s="550">
        <f t="shared" si="63"/>
        <v>138</v>
      </c>
      <c r="BJ220" s="550">
        <f t="shared" si="64"/>
        <v>0</v>
      </c>
      <c r="BK220" s="550">
        <f t="shared" si="65"/>
        <v>162</v>
      </c>
      <c r="BL220" s="550">
        <f t="shared" si="66"/>
        <v>162</v>
      </c>
      <c r="BM220" s="550">
        <f t="shared" si="67"/>
        <v>300</v>
      </c>
      <c r="BO220" s="194"/>
      <c r="BQ220" s="193">
        <f t="shared" si="68"/>
        <v>0</v>
      </c>
      <c r="BR220" s="193">
        <f t="shared" si="69"/>
        <v>0</v>
      </c>
      <c r="BS220" s="193">
        <f t="shared" si="59"/>
        <v>0</v>
      </c>
      <c r="BT220" s="193">
        <f t="shared" si="59"/>
        <v>0</v>
      </c>
    </row>
    <row r="221" spans="1:72" ht="13.5" customHeight="1">
      <c r="A221" s="193" t="s">
        <v>378</v>
      </c>
      <c r="B221" s="193" t="s">
        <v>379</v>
      </c>
      <c r="C221" s="193" t="s">
        <v>214</v>
      </c>
      <c r="D221" s="193" t="s">
        <v>667</v>
      </c>
      <c r="E221" s="193" t="s">
        <v>668</v>
      </c>
      <c r="F221" s="193" t="s">
        <v>933</v>
      </c>
      <c r="G221" s="193" t="s">
        <v>933</v>
      </c>
      <c r="H221" s="193" t="s">
        <v>651</v>
      </c>
      <c r="I221" s="193" t="s">
        <v>512</v>
      </c>
      <c r="J221" s="193" t="s">
        <v>960</v>
      </c>
      <c r="K221" s="193" t="s">
        <v>386</v>
      </c>
      <c r="L221" s="193" t="s">
        <v>387</v>
      </c>
      <c r="M221" s="193" t="s">
        <v>378</v>
      </c>
      <c r="N221" s="193" t="s">
        <v>514</v>
      </c>
      <c r="O221" s="193" t="s">
        <v>129</v>
      </c>
      <c r="P221" s="193" t="s">
        <v>150</v>
      </c>
      <c r="Q221" s="193" t="s">
        <v>149</v>
      </c>
      <c r="R221" s="193" t="s">
        <v>148</v>
      </c>
      <c r="S221" s="193" t="s">
        <v>152</v>
      </c>
      <c r="T221" s="193" t="s">
        <v>389</v>
      </c>
      <c r="U221" s="193" t="s">
        <v>390</v>
      </c>
      <c r="V221" s="193">
        <v>0</v>
      </c>
      <c r="W221" s="193">
        <v>0</v>
      </c>
      <c r="X221" s="193">
        <v>0</v>
      </c>
      <c r="Y221" s="194">
        <v>200</v>
      </c>
      <c r="Z221" s="193" t="s">
        <v>515</v>
      </c>
      <c r="AA221" s="193" t="s">
        <v>516</v>
      </c>
      <c r="AB221" s="193">
        <v>200</v>
      </c>
      <c r="AC221" s="193" t="s">
        <v>517</v>
      </c>
      <c r="AD221" s="193" t="s">
        <v>152</v>
      </c>
      <c r="AE221" s="193">
        <v>200</v>
      </c>
      <c r="AF221" s="193" t="s">
        <v>518</v>
      </c>
      <c r="AG221" s="193" t="s">
        <v>519</v>
      </c>
      <c r="AH221" s="193">
        <v>0</v>
      </c>
      <c r="AI221" s="193">
        <v>200</v>
      </c>
      <c r="AJ221" s="193" t="s">
        <v>961</v>
      </c>
      <c r="AL221" s="197" t="s">
        <v>962</v>
      </c>
      <c r="AM221" s="193">
        <v>1</v>
      </c>
      <c r="AN221" s="193">
        <v>0</v>
      </c>
      <c r="AO221" s="193">
        <v>0</v>
      </c>
      <c r="AP221" s="193">
        <v>0</v>
      </c>
      <c r="AQ221" s="193" t="s">
        <v>214</v>
      </c>
      <c r="AS221" s="197" t="s">
        <v>518</v>
      </c>
      <c r="AT221" s="197" t="s">
        <v>519</v>
      </c>
      <c r="AV221" s="194">
        <v>92</v>
      </c>
      <c r="AW221" s="194">
        <v>0</v>
      </c>
      <c r="AX221" s="194">
        <v>0</v>
      </c>
      <c r="AY221" s="549">
        <v>92</v>
      </c>
      <c r="AZ221" s="194">
        <v>0</v>
      </c>
      <c r="BA221" s="194">
        <v>108</v>
      </c>
      <c r="BB221" s="551">
        <v>108</v>
      </c>
      <c r="BC221" s="551">
        <v>200</v>
      </c>
      <c r="BD221" s="551">
        <v>0</v>
      </c>
      <c r="BF221" s="550">
        <f t="shared" si="60"/>
        <v>92</v>
      </c>
      <c r="BG221" s="550">
        <f t="shared" si="61"/>
        <v>0</v>
      </c>
      <c r="BH221" s="550">
        <f t="shared" si="62"/>
        <v>0</v>
      </c>
      <c r="BI221" s="550">
        <f t="shared" si="63"/>
        <v>92</v>
      </c>
      <c r="BJ221" s="550">
        <f t="shared" si="64"/>
        <v>0</v>
      </c>
      <c r="BK221" s="550">
        <f t="shared" si="65"/>
        <v>108</v>
      </c>
      <c r="BL221" s="550">
        <f t="shared" si="66"/>
        <v>108</v>
      </c>
      <c r="BM221" s="550">
        <f t="shared" si="67"/>
        <v>200</v>
      </c>
      <c r="BO221" s="194"/>
      <c r="BQ221" s="193">
        <f t="shared" si="68"/>
        <v>0</v>
      </c>
      <c r="BR221" s="193">
        <f t="shared" si="69"/>
        <v>0</v>
      </c>
      <c r="BS221" s="193">
        <f t="shared" si="59"/>
        <v>0</v>
      </c>
      <c r="BT221" s="193">
        <f t="shared" si="59"/>
        <v>0</v>
      </c>
    </row>
    <row r="222" spans="1:72" ht="13.5" customHeight="1">
      <c r="A222" s="193" t="s">
        <v>378</v>
      </c>
      <c r="B222" s="193" t="s">
        <v>379</v>
      </c>
      <c r="C222" s="193" t="s">
        <v>214</v>
      </c>
      <c r="D222" s="193" t="s">
        <v>542</v>
      </c>
      <c r="E222" s="193" t="s">
        <v>543</v>
      </c>
      <c r="F222" s="193" t="s">
        <v>933</v>
      </c>
      <c r="G222" s="193" t="s">
        <v>933</v>
      </c>
      <c r="H222" s="193" t="s">
        <v>651</v>
      </c>
      <c r="I222" s="193" t="s">
        <v>512</v>
      </c>
      <c r="J222" s="193" t="s">
        <v>934</v>
      </c>
      <c r="K222" s="193" t="s">
        <v>386</v>
      </c>
      <c r="L222" s="193" t="s">
        <v>387</v>
      </c>
      <c r="M222" s="193" t="s">
        <v>378</v>
      </c>
      <c r="N222" s="193" t="s">
        <v>514</v>
      </c>
      <c r="O222" s="193" t="s">
        <v>129</v>
      </c>
      <c r="P222" s="193" t="s">
        <v>150</v>
      </c>
      <c r="Q222" s="193" t="s">
        <v>149</v>
      </c>
      <c r="R222" s="193" t="s">
        <v>148</v>
      </c>
      <c r="S222" s="193" t="s">
        <v>152</v>
      </c>
      <c r="T222" s="193" t="s">
        <v>389</v>
      </c>
      <c r="U222" s="193" t="s">
        <v>390</v>
      </c>
      <c r="V222" s="193">
        <v>0</v>
      </c>
      <c r="W222" s="193">
        <v>0</v>
      </c>
      <c r="X222" s="193">
        <v>0</v>
      </c>
      <c r="Y222" s="194">
        <v>600</v>
      </c>
      <c r="Z222" s="193" t="s">
        <v>515</v>
      </c>
      <c r="AA222" s="193" t="s">
        <v>516</v>
      </c>
      <c r="AB222" s="193">
        <v>600</v>
      </c>
      <c r="AC222" s="193" t="s">
        <v>517</v>
      </c>
      <c r="AD222" s="193" t="s">
        <v>152</v>
      </c>
      <c r="AE222" s="193">
        <v>600</v>
      </c>
      <c r="AF222" s="193" t="s">
        <v>518</v>
      </c>
      <c r="AG222" s="193" t="s">
        <v>519</v>
      </c>
      <c r="AH222" s="193">
        <v>0</v>
      </c>
      <c r="AI222" s="193">
        <v>600</v>
      </c>
      <c r="AJ222" s="193" t="s">
        <v>935</v>
      </c>
      <c r="AL222" s="197" t="s">
        <v>936</v>
      </c>
      <c r="AM222" s="193">
        <v>1</v>
      </c>
      <c r="AN222" s="193">
        <v>0</v>
      </c>
      <c r="AO222" s="193">
        <v>0</v>
      </c>
      <c r="AP222" s="193">
        <v>0</v>
      </c>
      <c r="AQ222" s="193" t="s">
        <v>214</v>
      </c>
      <c r="AS222" s="197" t="s">
        <v>518</v>
      </c>
      <c r="AT222" s="197" t="s">
        <v>519</v>
      </c>
      <c r="AV222" s="194">
        <v>276</v>
      </c>
      <c r="AW222" s="194">
        <v>0</v>
      </c>
      <c r="AX222" s="194">
        <v>0</v>
      </c>
      <c r="AY222" s="549">
        <v>276</v>
      </c>
      <c r="AZ222" s="194">
        <v>0</v>
      </c>
      <c r="BA222" s="194">
        <v>324</v>
      </c>
      <c r="BB222" s="551">
        <v>324</v>
      </c>
      <c r="BC222" s="551">
        <v>600</v>
      </c>
      <c r="BD222" s="551">
        <v>0</v>
      </c>
      <c r="BF222" s="550">
        <f t="shared" si="60"/>
        <v>276</v>
      </c>
      <c r="BG222" s="550">
        <f t="shared" si="61"/>
        <v>0</v>
      </c>
      <c r="BH222" s="550">
        <f t="shared" si="62"/>
        <v>0</v>
      </c>
      <c r="BI222" s="550">
        <f t="shared" si="63"/>
        <v>276</v>
      </c>
      <c r="BJ222" s="550">
        <f t="shared" si="64"/>
        <v>0</v>
      </c>
      <c r="BK222" s="550">
        <f t="shared" si="65"/>
        <v>324</v>
      </c>
      <c r="BL222" s="550">
        <f t="shared" si="66"/>
        <v>324</v>
      </c>
      <c r="BM222" s="550">
        <f t="shared" si="67"/>
        <v>600</v>
      </c>
      <c r="BO222" s="194"/>
      <c r="BQ222" s="193">
        <f t="shared" si="68"/>
        <v>0</v>
      </c>
      <c r="BR222" s="193">
        <f t="shared" si="69"/>
        <v>0</v>
      </c>
      <c r="BS222" s="193">
        <f t="shared" si="59"/>
        <v>0</v>
      </c>
      <c r="BT222" s="193">
        <f t="shared" si="59"/>
        <v>0</v>
      </c>
    </row>
    <row r="223" spans="1:72" ht="13.5" customHeight="1">
      <c r="A223" s="193" t="s">
        <v>378</v>
      </c>
      <c r="B223" s="193" t="s">
        <v>379</v>
      </c>
      <c r="C223" s="193" t="s">
        <v>214</v>
      </c>
      <c r="D223" s="193" t="s">
        <v>490</v>
      </c>
      <c r="E223" s="193" t="s">
        <v>491</v>
      </c>
      <c r="F223" s="193" t="s">
        <v>948</v>
      </c>
      <c r="G223" s="193" t="s">
        <v>948</v>
      </c>
      <c r="H223" s="193" t="s">
        <v>651</v>
      </c>
      <c r="I223" s="193" t="s">
        <v>512</v>
      </c>
      <c r="J223" s="193" t="s">
        <v>949</v>
      </c>
      <c r="K223" s="193" t="s">
        <v>386</v>
      </c>
      <c r="L223" s="193" t="s">
        <v>387</v>
      </c>
      <c r="M223" s="193" t="s">
        <v>378</v>
      </c>
      <c r="N223" s="193" t="s">
        <v>514</v>
      </c>
      <c r="O223" s="193" t="s">
        <v>129</v>
      </c>
      <c r="P223" s="193" t="s">
        <v>150</v>
      </c>
      <c r="Q223" s="193" t="s">
        <v>149</v>
      </c>
      <c r="R223" s="193" t="s">
        <v>148</v>
      </c>
      <c r="S223" s="193" t="s">
        <v>152</v>
      </c>
      <c r="T223" s="193" t="s">
        <v>389</v>
      </c>
      <c r="U223" s="193" t="s">
        <v>390</v>
      </c>
      <c r="V223" s="193">
        <v>0</v>
      </c>
      <c r="W223" s="193">
        <v>0</v>
      </c>
      <c r="X223" s="193">
        <v>0</v>
      </c>
      <c r="Y223" s="194">
        <v>300</v>
      </c>
      <c r="Z223" s="193" t="s">
        <v>515</v>
      </c>
      <c r="AA223" s="193" t="s">
        <v>516</v>
      </c>
      <c r="AB223" s="193">
        <v>300</v>
      </c>
      <c r="AC223" s="193" t="s">
        <v>517</v>
      </c>
      <c r="AD223" s="193" t="s">
        <v>152</v>
      </c>
      <c r="AE223" s="193">
        <v>300</v>
      </c>
      <c r="AF223" s="193" t="s">
        <v>518</v>
      </c>
      <c r="AG223" s="193" t="s">
        <v>519</v>
      </c>
      <c r="AH223" s="193">
        <v>0</v>
      </c>
      <c r="AI223" s="193">
        <v>300</v>
      </c>
      <c r="AJ223" s="193" t="s">
        <v>950</v>
      </c>
      <c r="AL223" s="197" t="s">
        <v>951</v>
      </c>
      <c r="AM223" s="193">
        <v>1</v>
      </c>
      <c r="AN223" s="193">
        <v>0</v>
      </c>
      <c r="AO223" s="193">
        <v>0</v>
      </c>
      <c r="AP223" s="193">
        <v>0</v>
      </c>
      <c r="AQ223" s="193" t="s">
        <v>214</v>
      </c>
      <c r="AS223" s="197" t="s">
        <v>518</v>
      </c>
      <c r="AT223" s="197" t="s">
        <v>519</v>
      </c>
      <c r="AV223" s="194">
        <v>138</v>
      </c>
      <c r="AW223" s="194">
        <v>0</v>
      </c>
      <c r="AX223" s="194">
        <v>0</v>
      </c>
      <c r="AY223" s="549">
        <v>138</v>
      </c>
      <c r="AZ223" s="194">
        <v>0</v>
      </c>
      <c r="BA223" s="194">
        <v>162</v>
      </c>
      <c r="BB223" s="551">
        <v>162</v>
      </c>
      <c r="BC223" s="551">
        <v>300</v>
      </c>
      <c r="BD223" s="551">
        <v>0</v>
      </c>
      <c r="BF223" s="550">
        <f t="shared" si="60"/>
        <v>138</v>
      </c>
      <c r="BG223" s="550">
        <f t="shared" si="61"/>
        <v>0</v>
      </c>
      <c r="BH223" s="550">
        <f t="shared" si="62"/>
        <v>0</v>
      </c>
      <c r="BI223" s="550">
        <f t="shared" si="63"/>
        <v>138</v>
      </c>
      <c r="BJ223" s="550">
        <f t="shared" si="64"/>
        <v>0</v>
      </c>
      <c r="BK223" s="550">
        <f t="shared" si="65"/>
        <v>162</v>
      </c>
      <c r="BL223" s="550">
        <f t="shared" si="66"/>
        <v>162</v>
      </c>
      <c r="BM223" s="550">
        <f t="shared" si="67"/>
        <v>300</v>
      </c>
      <c r="BO223" s="194"/>
      <c r="BQ223" s="193">
        <f t="shared" si="68"/>
        <v>0</v>
      </c>
      <c r="BR223" s="193">
        <f t="shared" si="69"/>
        <v>0</v>
      </c>
      <c r="BS223" s="193">
        <f t="shared" ref="BS223:BT273" si="70">AZ223*100/(100+$AT223)-BJ223</f>
        <v>0</v>
      </c>
      <c r="BT223" s="193">
        <f t="shared" si="70"/>
        <v>0</v>
      </c>
    </row>
    <row r="224" spans="1:72" ht="13.5" customHeight="1">
      <c r="A224" s="193" t="s">
        <v>378</v>
      </c>
      <c r="B224" s="193" t="s">
        <v>379</v>
      </c>
      <c r="C224" s="193" t="s">
        <v>214</v>
      </c>
      <c r="D224" s="193" t="s">
        <v>667</v>
      </c>
      <c r="E224" s="193" t="s">
        <v>668</v>
      </c>
      <c r="F224" s="193" t="s">
        <v>952</v>
      </c>
      <c r="G224" s="193" t="s">
        <v>952</v>
      </c>
      <c r="H224" s="193" t="s">
        <v>651</v>
      </c>
      <c r="I224" s="193" t="s">
        <v>512</v>
      </c>
      <c r="J224" s="193" t="s">
        <v>953</v>
      </c>
      <c r="K224" s="193" t="s">
        <v>386</v>
      </c>
      <c r="L224" s="193" t="s">
        <v>387</v>
      </c>
      <c r="M224" s="193" t="s">
        <v>378</v>
      </c>
      <c r="N224" s="193" t="s">
        <v>514</v>
      </c>
      <c r="O224" s="193" t="s">
        <v>129</v>
      </c>
      <c r="P224" s="193" t="s">
        <v>150</v>
      </c>
      <c r="Q224" s="193" t="s">
        <v>149</v>
      </c>
      <c r="R224" s="193" t="s">
        <v>148</v>
      </c>
      <c r="S224" s="193" t="s">
        <v>152</v>
      </c>
      <c r="T224" s="193" t="s">
        <v>389</v>
      </c>
      <c r="U224" s="193" t="s">
        <v>390</v>
      </c>
      <c r="V224" s="193">
        <v>0</v>
      </c>
      <c r="W224" s="193">
        <v>0</v>
      </c>
      <c r="X224" s="193">
        <v>0</v>
      </c>
      <c r="Y224" s="194">
        <v>300</v>
      </c>
      <c r="Z224" s="193" t="s">
        <v>515</v>
      </c>
      <c r="AA224" s="193" t="s">
        <v>516</v>
      </c>
      <c r="AB224" s="193">
        <v>300</v>
      </c>
      <c r="AC224" s="193" t="s">
        <v>517</v>
      </c>
      <c r="AD224" s="193" t="s">
        <v>152</v>
      </c>
      <c r="AE224" s="193">
        <v>300</v>
      </c>
      <c r="AF224" s="193" t="s">
        <v>518</v>
      </c>
      <c r="AG224" s="193" t="s">
        <v>519</v>
      </c>
      <c r="AH224" s="193">
        <v>0</v>
      </c>
      <c r="AI224" s="193">
        <v>300</v>
      </c>
      <c r="AJ224" s="193" t="s">
        <v>954</v>
      </c>
      <c r="AL224" s="197" t="s">
        <v>955</v>
      </c>
      <c r="AM224" s="193">
        <v>1</v>
      </c>
      <c r="AN224" s="193">
        <v>0</v>
      </c>
      <c r="AO224" s="193">
        <v>0</v>
      </c>
      <c r="AP224" s="193">
        <v>0</v>
      </c>
      <c r="AQ224" s="193" t="s">
        <v>214</v>
      </c>
      <c r="AS224" s="197" t="s">
        <v>518</v>
      </c>
      <c r="AT224" s="197" t="s">
        <v>519</v>
      </c>
      <c r="AV224" s="194">
        <v>138</v>
      </c>
      <c r="AW224" s="194">
        <v>0</v>
      </c>
      <c r="AX224" s="194">
        <v>0</v>
      </c>
      <c r="AY224" s="549">
        <v>138</v>
      </c>
      <c r="AZ224" s="194">
        <v>0</v>
      </c>
      <c r="BA224" s="194">
        <v>162</v>
      </c>
      <c r="BB224" s="551">
        <v>162</v>
      </c>
      <c r="BC224" s="551">
        <v>300</v>
      </c>
      <c r="BD224" s="551">
        <v>0</v>
      </c>
      <c r="BF224" s="550">
        <f t="shared" si="60"/>
        <v>138</v>
      </c>
      <c r="BG224" s="550">
        <f t="shared" si="61"/>
        <v>0</v>
      </c>
      <c r="BH224" s="550">
        <f t="shared" si="62"/>
        <v>0</v>
      </c>
      <c r="BI224" s="550">
        <f t="shared" si="63"/>
        <v>138</v>
      </c>
      <c r="BJ224" s="550">
        <f t="shared" si="64"/>
        <v>0</v>
      </c>
      <c r="BK224" s="550">
        <f t="shared" si="65"/>
        <v>162</v>
      </c>
      <c r="BL224" s="550">
        <f t="shared" si="66"/>
        <v>162</v>
      </c>
      <c r="BM224" s="550">
        <f t="shared" si="67"/>
        <v>300</v>
      </c>
      <c r="BO224" s="194"/>
      <c r="BQ224" s="193">
        <f t="shared" si="68"/>
        <v>0</v>
      </c>
      <c r="BR224" s="193">
        <f t="shared" si="69"/>
        <v>0</v>
      </c>
      <c r="BS224" s="193">
        <f t="shared" si="70"/>
        <v>0</v>
      </c>
      <c r="BT224" s="193">
        <f t="shared" si="70"/>
        <v>0</v>
      </c>
    </row>
    <row r="225" spans="1:72" ht="13.5" customHeight="1">
      <c r="A225" s="193" t="s">
        <v>378</v>
      </c>
      <c r="B225" s="193" t="s">
        <v>379</v>
      </c>
      <c r="C225" s="193" t="s">
        <v>214</v>
      </c>
      <c r="D225" s="193" t="s">
        <v>667</v>
      </c>
      <c r="E225" s="193" t="s">
        <v>668</v>
      </c>
      <c r="F225" s="193" t="s">
        <v>956</v>
      </c>
      <c r="G225" s="193" t="s">
        <v>956</v>
      </c>
      <c r="H225" s="193" t="s">
        <v>651</v>
      </c>
      <c r="I225" s="193" t="s">
        <v>512</v>
      </c>
      <c r="J225" s="193" t="s">
        <v>957</v>
      </c>
      <c r="K225" s="193" t="s">
        <v>386</v>
      </c>
      <c r="L225" s="193" t="s">
        <v>387</v>
      </c>
      <c r="M225" s="193" t="s">
        <v>378</v>
      </c>
      <c r="N225" s="193" t="s">
        <v>514</v>
      </c>
      <c r="O225" s="193" t="s">
        <v>129</v>
      </c>
      <c r="P225" s="193" t="s">
        <v>150</v>
      </c>
      <c r="Q225" s="193" t="s">
        <v>149</v>
      </c>
      <c r="R225" s="193" t="s">
        <v>148</v>
      </c>
      <c r="S225" s="193" t="s">
        <v>152</v>
      </c>
      <c r="T225" s="193" t="s">
        <v>389</v>
      </c>
      <c r="U225" s="193" t="s">
        <v>390</v>
      </c>
      <c r="V225" s="193">
        <v>0</v>
      </c>
      <c r="W225" s="193">
        <v>0</v>
      </c>
      <c r="X225" s="193">
        <v>0</v>
      </c>
      <c r="Y225" s="194">
        <v>300</v>
      </c>
      <c r="Z225" s="193" t="s">
        <v>515</v>
      </c>
      <c r="AA225" s="193" t="s">
        <v>516</v>
      </c>
      <c r="AB225" s="193">
        <v>300</v>
      </c>
      <c r="AC225" s="193" t="s">
        <v>517</v>
      </c>
      <c r="AD225" s="193" t="s">
        <v>152</v>
      </c>
      <c r="AE225" s="193">
        <v>300</v>
      </c>
      <c r="AF225" s="193" t="s">
        <v>518</v>
      </c>
      <c r="AG225" s="193" t="s">
        <v>519</v>
      </c>
      <c r="AH225" s="193">
        <v>0</v>
      </c>
      <c r="AI225" s="193">
        <v>300</v>
      </c>
      <c r="AJ225" s="193" t="s">
        <v>958</v>
      </c>
      <c r="AL225" s="197" t="s">
        <v>959</v>
      </c>
      <c r="AM225" s="193">
        <v>1</v>
      </c>
      <c r="AN225" s="193">
        <v>0</v>
      </c>
      <c r="AO225" s="193">
        <v>0</v>
      </c>
      <c r="AP225" s="193">
        <v>0</v>
      </c>
      <c r="AQ225" s="193" t="s">
        <v>214</v>
      </c>
      <c r="AS225" s="197" t="s">
        <v>518</v>
      </c>
      <c r="AT225" s="197" t="s">
        <v>519</v>
      </c>
      <c r="AV225" s="194">
        <v>138</v>
      </c>
      <c r="AW225" s="194">
        <v>0</v>
      </c>
      <c r="AX225" s="194">
        <v>0</v>
      </c>
      <c r="AY225" s="549">
        <v>138</v>
      </c>
      <c r="AZ225" s="194">
        <v>0</v>
      </c>
      <c r="BA225" s="194">
        <v>162</v>
      </c>
      <c r="BB225" s="551">
        <v>162</v>
      </c>
      <c r="BC225" s="551">
        <v>300</v>
      </c>
      <c r="BD225" s="551">
        <v>0</v>
      </c>
      <c r="BF225" s="550">
        <f t="shared" si="60"/>
        <v>138</v>
      </c>
      <c r="BG225" s="550">
        <f t="shared" si="61"/>
        <v>0</v>
      </c>
      <c r="BH225" s="550">
        <f t="shared" si="62"/>
        <v>0</v>
      </c>
      <c r="BI225" s="550">
        <f t="shared" si="63"/>
        <v>138</v>
      </c>
      <c r="BJ225" s="550">
        <f t="shared" si="64"/>
        <v>0</v>
      </c>
      <c r="BK225" s="550">
        <f t="shared" si="65"/>
        <v>162</v>
      </c>
      <c r="BL225" s="550">
        <f t="shared" si="66"/>
        <v>162</v>
      </c>
      <c r="BM225" s="550">
        <f t="shared" si="67"/>
        <v>300</v>
      </c>
      <c r="BO225" s="194"/>
      <c r="BQ225" s="193">
        <f t="shared" si="68"/>
        <v>0</v>
      </c>
      <c r="BR225" s="193">
        <f t="shared" si="69"/>
        <v>0</v>
      </c>
      <c r="BS225" s="193">
        <f t="shared" si="70"/>
        <v>0</v>
      </c>
      <c r="BT225" s="193">
        <f t="shared" si="70"/>
        <v>0</v>
      </c>
    </row>
    <row r="226" spans="1:72" ht="13.5" customHeight="1">
      <c r="A226" s="193" t="s">
        <v>378</v>
      </c>
      <c r="B226" s="193" t="s">
        <v>379</v>
      </c>
      <c r="C226" s="193" t="s">
        <v>214</v>
      </c>
      <c r="D226" s="193" t="s">
        <v>667</v>
      </c>
      <c r="E226" s="193" t="s">
        <v>668</v>
      </c>
      <c r="F226" s="193" t="s">
        <v>642</v>
      </c>
      <c r="G226" s="193" t="s">
        <v>642</v>
      </c>
      <c r="H226" s="193" t="s">
        <v>651</v>
      </c>
      <c r="I226" s="193" t="s">
        <v>512</v>
      </c>
      <c r="J226" s="193" t="s">
        <v>979</v>
      </c>
      <c r="K226" s="193" t="s">
        <v>386</v>
      </c>
      <c r="L226" s="193" t="s">
        <v>387</v>
      </c>
      <c r="M226" s="193" t="s">
        <v>378</v>
      </c>
      <c r="N226" s="193" t="s">
        <v>514</v>
      </c>
      <c r="O226" s="193" t="s">
        <v>129</v>
      </c>
      <c r="P226" s="193" t="s">
        <v>150</v>
      </c>
      <c r="Q226" s="193" t="s">
        <v>149</v>
      </c>
      <c r="R226" s="193" t="s">
        <v>148</v>
      </c>
      <c r="S226" s="193" t="s">
        <v>152</v>
      </c>
      <c r="T226" s="193" t="s">
        <v>389</v>
      </c>
      <c r="U226" s="193" t="s">
        <v>390</v>
      </c>
      <c r="V226" s="193">
        <v>0</v>
      </c>
      <c r="W226" s="193">
        <v>0</v>
      </c>
      <c r="X226" s="193">
        <v>0</v>
      </c>
      <c r="Y226" s="194">
        <v>300</v>
      </c>
      <c r="Z226" s="193" t="s">
        <v>515</v>
      </c>
      <c r="AA226" s="193" t="s">
        <v>516</v>
      </c>
      <c r="AB226" s="193">
        <v>300</v>
      </c>
      <c r="AC226" s="193" t="s">
        <v>517</v>
      </c>
      <c r="AD226" s="193" t="s">
        <v>152</v>
      </c>
      <c r="AE226" s="193">
        <v>300</v>
      </c>
      <c r="AF226" s="193" t="s">
        <v>518</v>
      </c>
      <c r="AG226" s="193" t="s">
        <v>519</v>
      </c>
      <c r="AH226" s="193">
        <v>0</v>
      </c>
      <c r="AI226" s="193">
        <v>300</v>
      </c>
      <c r="AJ226" s="193" t="s">
        <v>980</v>
      </c>
      <c r="AL226" s="197" t="s">
        <v>981</v>
      </c>
      <c r="AM226" s="193">
        <v>1</v>
      </c>
      <c r="AN226" s="193">
        <v>0</v>
      </c>
      <c r="AO226" s="193">
        <v>0</v>
      </c>
      <c r="AP226" s="193">
        <v>0</v>
      </c>
      <c r="AQ226" s="193" t="s">
        <v>214</v>
      </c>
      <c r="AS226" s="197" t="s">
        <v>518</v>
      </c>
      <c r="AT226" s="197" t="s">
        <v>519</v>
      </c>
      <c r="AV226" s="194">
        <v>138</v>
      </c>
      <c r="AW226" s="194">
        <v>0</v>
      </c>
      <c r="AX226" s="194">
        <v>0</v>
      </c>
      <c r="AY226" s="549">
        <v>138</v>
      </c>
      <c r="AZ226" s="194">
        <v>0</v>
      </c>
      <c r="BA226" s="194">
        <v>162</v>
      </c>
      <c r="BB226" s="551">
        <v>162</v>
      </c>
      <c r="BC226" s="551">
        <v>300</v>
      </c>
      <c r="BD226" s="551">
        <v>0</v>
      </c>
      <c r="BF226" s="550">
        <f t="shared" si="60"/>
        <v>138</v>
      </c>
      <c r="BG226" s="550">
        <f t="shared" si="61"/>
        <v>0</v>
      </c>
      <c r="BH226" s="550">
        <f t="shared" si="62"/>
        <v>0</v>
      </c>
      <c r="BI226" s="550">
        <f t="shared" si="63"/>
        <v>138</v>
      </c>
      <c r="BJ226" s="550">
        <f t="shared" si="64"/>
        <v>0</v>
      </c>
      <c r="BK226" s="550">
        <f t="shared" si="65"/>
        <v>162</v>
      </c>
      <c r="BL226" s="550">
        <f t="shared" si="66"/>
        <v>162</v>
      </c>
      <c r="BM226" s="550">
        <f t="shared" si="67"/>
        <v>300</v>
      </c>
      <c r="BO226" s="194"/>
      <c r="BQ226" s="193">
        <f t="shared" si="68"/>
        <v>0</v>
      </c>
      <c r="BR226" s="193">
        <f t="shared" si="69"/>
        <v>0</v>
      </c>
      <c r="BS226" s="193">
        <f t="shared" si="70"/>
        <v>0</v>
      </c>
      <c r="BT226" s="193">
        <f t="shared" si="70"/>
        <v>0</v>
      </c>
    </row>
    <row r="227" spans="1:72" ht="13.5" customHeight="1">
      <c r="A227" s="193" t="s">
        <v>378</v>
      </c>
      <c r="B227" s="193" t="s">
        <v>379</v>
      </c>
      <c r="C227" s="193" t="s">
        <v>214</v>
      </c>
      <c r="D227" s="193" t="s">
        <v>667</v>
      </c>
      <c r="E227" s="193" t="s">
        <v>668</v>
      </c>
      <c r="F227" s="193" t="s">
        <v>642</v>
      </c>
      <c r="G227" s="193" t="s">
        <v>642</v>
      </c>
      <c r="H227" s="193" t="s">
        <v>651</v>
      </c>
      <c r="I227" s="193" t="s">
        <v>512</v>
      </c>
      <c r="J227" s="193" t="s">
        <v>979</v>
      </c>
      <c r="K227" s="193" t="s">
        <v>386</v>
      </c>
      <c r="L227" s="193" t="s">
        <v>531</v>
      </c>
      <c r="M227" s="193" t="s">
        <v>378</v>
      </c>
      <c r="N227" s="193" t="s">
        <v>514</v>
      </c>
      <c r="O227" s="193" t="s">
        <v>129</v>
      </c>
      <c r="P227" s="193" t="s">
        <v>150</v>
      </c>
      <c r="Q227" s="193" t="s">
        <v>149</v>
      </c>
      <c r="R227" s="193" t="s">
        <v>148</v>
      </c>
      <c r="S227" s="193" t="s">
        <v>152</v>
      </c>
      <c r="T227" s="193" t="s">
        <v>389</v>
      </c>
      <c r="U227" s="193" t="s">
        <v>390</v>
      </c>
      <c r="V227" s="193">
        <v>0</v>
      </c>
      <c r="W227" s="193">
        <v>0</v>
      </c>
      <c r="X227" s="193">
        <v>0</v>
      </c>
      <c r="Y227" s="194">
        <v>600</v>
      </c>
      <c r="Z227" s="193" t="s">
        <v>515</v>
      </c>
      <c r="AA227" s="193" t="s">
        <v>516</v>
      </c>
      <c r="AB227" s="193">
        <v>600</v>
      </c>
      <c r="AC227" s="193" t="s">
        <v>517</v>
      </c>
      <c r="AD227" s="193" t="s">
        <v>152</v>
      </c>
      <c r="AE227" s="193">
        <v>600</v>
      </c>
      <c r="AF227" s="193" t="s">
        <v>518</v>
      </c>
      <c r="AG227" s="193" t="s">
        <v>519</v>
      </c>
      <c r="AH227" s="193">
        <v>0</v>
      </c>
      <c r="AI227" s="193">
        <v>600</v>
      </c>
      <c r="AJ227" s="193" t="s">
        <v>982</v>
      </c>
      <c r="AL227" s="197" t="s">
        <v>983</v>
      </c>
      <c r="AM227" s="193">
        <v>1</v>
      </c>
      <c r="AN227" s="193">
        <v>0</v>
      </c>
      <c r="AO227" s="193">
        <v>0</v>
      </c>
      <c r="AP227" s="193">
        <v>0</v>
      </c>
      <c r="AQ227" s="193" t="s">
        <v>214</v>
      </c>
      <c r="AS227" s="197" t="s">
        <v>518</v>
      </c>
      <c r="AT227" s="197" t="s">
        <v>519</v>
      </c>
      <c r="AV227" s="194">
        <v>276</v>
      </c>
      <c r="AW227" s="194">
        <v>0</v>
      </c>
      <c r="AX227" s="194">
        <v>0</v>
      </c>
      <c r="AY227" s="549">
        <v>276</v>
      </c>
      <c r="AZ227" s="194">
        <v>0</v>
      </c>
      <c r="BA227" s="194">
        <v>324</v>
      </c>
      <c r="BB227" s="551">
        <v>324</v>
      </c>
      <c r="BC227" s="551">
        <v>600</v>
      </c>
      <c r="BD227" s="551">
        <v>0</v>
      </c>
      <c r="BF227" s="550">
        <f t="shared" si="60"/>
        <v>276</v>
      </c>
      <c r="BG227" s="550">
        <f t="shared" si="61"/>
        <v>0</v>
      </c>
      <c r="BH227" s="550">
        <f t="shared" si="62"/>
        <v>0</v>
      </c>
      <c r="BI227" s="550">
        <f t="shared" si="63"/>
        <v>276</v>
      </c>
      <c r="BJ227" s="550">
        <f t="shared" si="64"/>
        <v>0</v>
      </c>
      <c r="BK227" s="550">
        <f t="shared" si="65"/>
        <v>324</v>
      </c>
      <c r="BL227" s="550">
        <f t="shared" si="66"/>
        <v>324</v>
      </c>
      <c r="BM227" s="550">
        <f t="shared" si="67"/>
        <v>600</v>
      </c>
      <c r="BO227" s="194"/>
      <c r="BQ227" s="193">
        <f t="shared" si="68"/>
        <v>0</v>
      </c>
      <c r="BR227" s="193">
        <f t="shared" si="69"/>
        <v>0</v>
      </c>
      <c r="BS227" s="193">
        <f t="shared" si="70"/>
        <v>0</v>
      </c>
      <c r="BT227" s="193">
        <f t="shared" si="70"/>
        <v>0</v>
      </c>
    </row>
    <row r="228" spans="1:72" ht="13.5" customHeight="1">
      <c r="A228" s="193" t="s">
        <v>378</v>
      </c>
      <c r="B228" s="193" t="s">
        <v>379</v>
      </c>
      <c r="C228" s="193" t="s">
        <v>214</v>
      </c>
      <c r="D228" s="193" t="s">
        <v>667</v>
      </c>
      <c r="E228" s="193" t="s">
        <v>668</v>
      </c>
      <c r="F228" s="193" t="s">
        <v>984</v>
      </c>
      <c r="G228" s="193" t="s">
        <v>984</v>
      </c>
      <c r="H228" s="193" t="s">
        <v>651</v>
      </c>
      <c r="I228" s="193" t="s">
        <v>512</v>
      </c>
      <c r="J228" s="193" t="s">
        <v>985</v>
      </c>
      <c r="K228" s="193" t="s">
        <v>386</v>
      </c>
      <c r="L228" s="193" t="s">
        <v>387</v>
      </c>
      <c r="M228" s="193" t="s">
        <v>378</v>
      </c>
      <c r="N228" s="193" t="s">
        <v>514</v>
      </c>
      <c r="O228" s="193" t="s">
        <v>129</v>
      </c>
      <c r="P228" s="193" t="s">
        <v>150</v>
      </c>
      <c r="Q228" s="193" t="s">
        <v>149</v>
      </c>
      <c r="R228" s="193" t="s">
        <v>148</v>
      </c>
      <c r="S228" s="193" t="s">
        <v>152</v>
      </c>
      <c r="T228" s="193" t="s">
        <v>389</v>
      </c>
      <c r="U228" s="193" t="s">
        <v>390</v>
      </c>
      <c r="V228" s="193">
        <v>0</v>
      </c>
      <c r="W228" s="193">
        <v>0</v>
      </c>
      <c r="X228" s="193">
        <v>0</v>
      </c>
      <c r="Y228" s="194">
        <v>300</v>
      </c>
      <c r="Z228" s="193" t="s">
        <v>515</v>
      </c>
      <c r="AA228" s="193" t="s">
        <v>516</v>
      </c>
      <c r="AB228" s="193">
        <v>300</v>
      </c>
      <c r="AC228" s="193" t="s">
        <v>517</v>
      </c>
      <c r="AD228" s="193" t="s">
        <v>152</v>
      </c>
      <c r="AE228" s="193">
        <v>300</v>
      </c>
      <c r="AF228" s="193" t="s">
        <v>518</v>
      </c>
      <c r="AG228" s="193" t="s">
        <v>519</v>
      </c>
      <c r="AH228" s="193">
        <v>0</v>
      </c>
      <c r="AI228" s="193">
        <v>300</v>
      </c>
      <c r="AJ228" s="193" t="s">
        <v>986</v>
      </c>
      <c r="AL228" s="197" t="s">
        <v>987</v>
      </c>
      <c r="AM228" s="193">
        <v>1</v>
      </c>
      <c r="AN228" s="193">
        <v>0</v>
      </c>
      <c r="AO228" s="193">
        <v>0</v>
      </c>
      <c r="AP228" s="193">
        <v>0</v>
      </c>
      <c r="AQ228" s="193" t="s">
        <v>214</v>
      </c>
      <c r="AS228" s="197" t="s">
        <v>518</v>
      </c>
      <c r="AT228" s="197" t="s">
        <v>519</v>
      </c>
      <c r="AV228" s="194">
        <v>138</v>
      </c>
      <c r="AW228" s="194">
        <v>0</v>
      </c>
      <c r="AX228" s="194">
        <v>0</v>
      </c>
      <c r="AY228" s="549">
        <v>138</v>
      </c>
      <c r="AZ228" s="194">
        <v>0</v>
      </c>
      <c r="BA228" s="194">
        <v>162</v>
      </c>
      <c r="BB228" s="551">
        <v>162</v>
      </c>
      <c r="BC228" s="551">
        <v>300</v>
      </c>
      <c r="BD228" s="551">
        <v>0</v>
      </c>
      <c r="BF228" s="550">
        <f t="shared" si="60"/>
        <v>138</v>
      </c>
      <c r="BG228" s="550">
        <f t="shared" si="61"/>
        <v>0</v>
      </c>
      <c r="BH228" s="550">
        <f t="shared" si="62"/>
        <v>0</v>
      </c>
      <c r="BI228" s="550">
        <f t="shared" si="63"/>
        <v>138</v>
      </c>
      <c r="BJ228" s="550">
        <f t="shared" si="64"/>
        <v>0</v>
      </c>
      <c r="BK228" s="550">
        <f t="shared" si="65"/>
        <v>162</v>
      </c>
      <c r="BL228" s="550">
        <f t="shared" si="66"/>
        <v>162</v>
      </c>
      <c r="BM228" s="550">
        <f t="shared" si="67"/>
        <v>300</v>
      </c>
      <c r="BO228" s="194"/>
      <c r="BQ228" s="193">
        <f t="shared" si="68"/>
        <v>0</v>
      </c>
      <c r="BR228" s="193">
        <f t="shared" si="69"/>
        <v>0</v>
      </c>
      <c r="BS228" s="193">
        <f t="shared" si="70"/>
        <v>0</v>
      </c>
      <c r="BT228" s="193">
        <f t="shared" si="70"/>
        <v>0</v>
      </c>
    </row>
    <row r="229" spans="1:72" ht="13.5" customHeight="1">
      <c r="A229" s="193" t="s">
        <v>378</v>
      </c>
      <c r="B229" s="193" t="s">
        <v>379</v>
      </c>
      <c r="C229" s="193" t="s">
        <v>214</v>
      </c>
      <c r="D229" s="193" t="s">
        <v>667</v>
      </c>
      <c r="E229" s="193" t="s">
        <v>668</v>
      </c>
      <c r="F229" s="193" t="s">
        <v>638</v>
      </c>
      <c r="G229" s="193" t="s">
        <v>638</v>
      </c>
      <c r="H229" s="193" t="s">
        <v>651</v>
      </c>
      <c r="I229" s="193" t="s">
        <v>512</v>
      </c>
      <c r="J229" s="193" t="s">
        <v>988</v>
      </c>
      <c r="K229" s="193" t="s">
        <v>386</v>
      </c>
      <c r="L229" s="193" t="s">
        <v>387</v>
      </c>
      <c r="M229" s="193" t="s">
        <v>378</v>
      </c>
      <c r="N229" s="193" t="s">
        <v>514</v>
      </c>
      <c r="O229" s="193" t="s">
        <v>129</v>
      </c>
      <c r="P229" s="193" t="s">
        <v>150</v>
      </c>
      <c r="Q229" s="193" t="s">
        <v>149</v>
      </c>
      <c r="R229" s="193" t="s">
        <v>148</v>
      </c>
      <c r="S229" s="193" t="s">
        <v>152</v>
      </c>
      <c r="T229" s="193" t="s">
        <v>389</v>
      </c>
      <c r="U229" s="193" t="s">
        <v>390</v>
      </c>
      <c r="V229" s="193">
        <v>0</v>
      </c>
      <c r="W229" s="193">
        <v>0</v>
      </c>
      <c r="X229" s="193">
        <v>0</v>
      </c>
      <c r="Y229" s="194">
        <v>600</v>
      </c>
      <c r="Z229" s="193" t="s">
        <v>515</v>
      </c>
      <c r="AA229" s="193" t="s">
        <v>516</v>
      </c>
      <c r="AB229" s="193">
        <v>600</v>
      </c>
      <c r="AC229" s="193" t="s">
        <v>517</v>
      </c>
      <c r="AD229" s="193" t="s">
        <v>152</v>
      </c>
      <c r="AE229" s="193">
        <v>600</v>
      </c>
      <c r="AF229" s="193" t="s">
        <v>518</v>
      </c>
      <c r="AG229" s="193" t="s">
        <v>519</v>
      </c>
      <c r="AH229" s="193">
        <v>0</v>
      </c>
      <c r="AI229" s="193">
        <v>600</v>
      </c>
      <c r="AJ229" s="193" t="s">
        <v>989</v>
      </c>
      <c r="AL229" s="197" t="s">
        <v>990</v>
      </c>
      <c r="AM229" s="193">
        <v>1</v>
      </c>
      <c r="AN229" s="193">
        <v>0</v>
      </c>
      <c r="AO229" s="193">
        <v>0</v>
      </c>
      <c r="AP229" s="193">
        <v>0</v>
      </c>
      <c r="AQ229" s="193" t="s">
        <v>214</v>
      </c>
      <c r="AS229" s="197" t="s">
        <v>518</v>
      </c>
      <c r="AT229" s="197" t="s">
        <v>519</v>
      </c>
      <c r="AV229" s="194">
        <v>276</v>
      </c>
      <c r="AW229" s="194">
        <v>0</v>
      </c>
      <c r="AX229" s="194">
        <v>0</v>
      </c>
      <c r="AY229" s="549">
        <v>276</v>
      </c>
      <c r="AZ229" s="194">
        <v>0</v>
      </c>
      <c r="BA229" s="194">
        <v>324</v>
      </c>
      <c r="BB229" s="551">
        <v>324</v>
      </c>
      <c r="BC229" s="551">
        <v>600</v>
      </c>
      <c r="BD229" s="551">
        <v>0</v>
      </c>
      <c r="BF229" s="550">
        <f t="shared" si="60"/>
        <v>276</v>
      </c>
      <c r="BG229" s="550">
        <f t="shared" si="61"/>
        <v>0</v>
      </c>
      <c r="BH229" s="550">
        <f t="shared" si="62"/>
        <v>0</v>
      </c>
      <c r="BI229" s="550">
        <f t="shared" si="63"/>
        <v>276</v>
      </c>
      <c r="BJ229" s="550">
        <f t="shared" si="64"/>
        <v>0</v>
      </c>
      <c r="BK229" s="550">
        <f t="shared" si="65"/>
        <v>324</v>
      </c>
      <c r="BL229" s="550">
        <f t="shared" si="66"/>
        <v>324</v>
      </c>
      <c r="BM229" s="550">
        <f t="shared" si="67"/>
        <v>600</v>
      </c>
      <c r="BO229" s="194"/>
      <c r="BQ229" s="193">
        <f t="shared" si="68"/>
        <v>0</v>
      </c>
      <c r="BR229" s="193">
        <f t="shared" si="69"/>
        <v>0</v>
      </c>
      <c r="BS229" s="193">
        <f t="shared" si="70"/>
        <v>0</v>
      </c>
      <c r="BT229" s="193">
        <f t="shared" si="70"/>
        <v>0</v>
      </c>
    </row>
    <row r="230" spans="1:72" ht="13.5" customHeight="1">
      <c r="A230" s="193" t="s">
        <v>378</v>
      </c>
      <c r="B230" s="193" t="s">
        <v>379</v>
      </c>
      <c r="C230" s="193" t="s">
        <v>214</v>
      </c>
      <c r="D230" s="193" t="s">
        <v>667</v>
      </c>
      <c r="E230" s="193" t="s">
        <v>668</v>
      </c>
      <c r="F230" s="193" t="s">
        <v>991</v>
      </c>
      <c r="G230" s="193" t="s">
        <v>991</v>
      </c>
      <c r="H230" s="193" t="s">
        <v>651</v>
      </c>
      <c r="I230" s="193" t="s">
        <v>512</v>
      </c>
      <c r="J230" s="193" t="s">
        <v>992</v>
      </c>
      <c r="K230" s="193" t="s">
        <v>386</v>
      </c>
      <c r="L230" s="193" t="s">
        <v>387</v>
      </c>
      <c r="M230" s="193" t="s">
        <v>378</v>
      </c>
      <c r="N230" s="193" t="s">
        <v>514</v>
      </c>
      <c r="O230" s="193" t="s">
        <v>129</v>
      </c>
      <c r="P230" s="193" t="s">
        <v>150</v>
      </c>
      <c r="Q230" s="193" t="s">
        <v>149</v>
      </c>
      <c r="R230" s="193" t="s">
        <v>148</v>
      </c>
      <c r="S230" s="193" t="s">
        <v>152</v>
      </c>
      <c r="T230" s="193" t="s">
        <v>389</v>
      </c>
      <c r="U230" s="193" t="s">
        <v>390</v>
      </c>
      <c r="V230" s="193">
        <v>0</v>
      </c>
      <c r="W230" s="193">
        <v>0</v>
      </c>
      <c r="X230" s="193">
        <v>0</v>
      </c>
      <c r="Y230" s="194">
        <v>300</v>
      </c>
      <c r="Z230" s="193" t="s">
        <v>515</v>
      </c>
      <c r="AA230" s="193" t="s">
        <v>516</v>
      </c>
      <c r="AB230" s="193">
        <v>300</v>
      </c>
      <c r="AC230" s="193" t="s">
        <v>517</v>
      </c>
      <c r="AD230" s="193" t="s">
        <v>152</v>
      </c>
      <c r="AE230" s="193">
        <v>300</v>
      </c>
      <c r="AF230" s="193" t="s">
        <v>518</v>
      </c>
      <c r="AG230" s="193" t="s">
        <v>519</v>
      </c>
      <c r="AH230" s="193">
        <v>0</v>
      </c>
      <c r="AI230" s="193">
        <v>300</v>
      </c>
      <c r="AJ230" s="193" t="s">
        <v>993</v>
      </c>
      <c r="AL230" s="197" t="s">
        <v>994</v>
      </c>
      <c r="AM230" s="193">
        <v>1</v>
      </c>
      <c r="AN230" s="193">
        <v>0</v>
      </c>
      <c r="AO230" s="193">
        <v>0</v>
      </c>
      <c r="AP230" s="193">
        <v>0</v>
      </c>
      <c r="AQ230" s="193" t="s">
        <v>214</v>
      </c>
      <c r="AS230" s="197" t="s">
        <v>518</v>
      </c>
      <c r="AT230" s="197" t="s">
        <v>519</v>
      </c>
      <c r="AV230" s="194">
        <v>138</v>
      </c>
      <c r="AW230" s="194">
        <v>0</v>
      </c>
      <c r="AX230" s="194">
        <v>0</v>
      </c>
      <c r="AY230" s="549">
        <v>138</v>
      </c>
      <c r="AZ230" s="194">
        <v>0</v>
      </c>
      <c r="BA230" s="194">
        <v>162</v>
      </c>
      <c r="BB230" s="551">
        <v>162</v>
      </c>
      <c r="BC230" s="551">
        <v>300</v>
      </c>
      <c r="BD230" s="551">
        <v>0</v>
      </c>
      <c r="BF230" s="550">
        <f t="shared" si="60"/>
        <v>138</v>
      </c>
      <c r="BG230" s="550">
        <f t="shared" si="61"/>
        <v>0</v>
      </c>
      <c r="BH230" s="550">
        <f t="shared" si="62"/>
        <v>0</v>
      </c>
      <c r="BI230" s="550">
        <f t="shared" si="63"/>
        <v>138</v>
      </c>
      <c r="BJ230" s="550">
        <f t="shared" si="64"/>
        <v>0</v>
      </c>
      <c r="BK230" s="550">
        <f t="shared" si="65"/>
        <v>162</v>
      </c>
      <c r="BL230" s="550">
        <f t="shared" si="66"/>
        <v>162</v>
      </c>
      <c r="BM230" s="550">
        <f t="shared" si="67"/>
        <v>300</v>
      </c>
      <c r="BO230" s="194"/>
      <c r="BQ230" s="193">
        <f t="shared" si="68"/>
        <v>0</v>
      </c>
      <c r="BR230" s="193">
        <f t="shared" si="69"/>
        <v>0</v>
      </c>
      <c r="BS230" s="193">
        <f t="shared" si="70"/>
        <v>0</v>
      </c>
      <c r="BT230" s="193">
        <f t="shared" si="70"/>
        <v>0</v>
      </c>
    </row>
    <row r="231" spans="1:72" ht="13.5" customHeight="1">
      <c r="A231" s="193" t="s">
        <v>378</v>
      </c>
      <c r="B231" s="193" t="s">
        <v>379</v>
      </c>
      <c r="C231" s="193" t="s">
        <v>214</v>
      </c>
      <c r="D231" s="193" t="s">
        <v>667</v>
      </c>
      <c r="E231" s="193" t="s">
        <v>668</v>
      </c>
      <c r="F231" s="193" t="s">
        <v>991</v>
      </c>
      <c r="G231" s="193" t="s">
        <v>991</v>
      </c>
      <c r="H231" s="193" t="s">
        <v>651</v>
      </c>
      <c r="I231" s="193" t="s">
        <v>512</v>
      </c>
      <c r="J231" s="193" t="s">
        <v>992</v>
      </c>
      <c r="K231" s="193" t="s">
        <v>386</v>
      </c>
      <c r="L231" s="193" t="s">
        <v>531</v>
      </c>
      <c r="M231" s="193" t="s">
        <v>378</v>
      </c>
      <c r="N231" s="193" t="s">
        <v>514</v>
      </c>
      <c r="O231" s="193" t="s">
        <v>129</v>
      </c>
      <c r="P231" s="193" t="s">
        <v>150</v>
      </c>
      <c r="Q231" s="193" t="s">
        <v>149</v>
      </c>
      <c r="R231" s="193" t="s">
        <v>148</v>
      </c>
      <c r="S231" s="193" t="s">
        <v>152</v>
      </c>
      <c r="T231" s="193" t="s">
        <v>389</v>
      </c>
      <c r="U231" s="193" t="s">
        <v>390</v>
      </c>
      <c r="V231" s="193">
        <v>0</v>
      </c>
      <c r="W231" s="193">
        <v>0</v>
      </c>
      <c r="X231" s="193">
        <v>0</v>
      </c>
      <c r="Y231" s="194">
        <v>300</v>
      </c>
      <c r="Z231" s="193" t="s">
        <v>515</v>
      </c>
      <c r="AA231" s="193" t="s">
        <v>516</v>
      </c>
      <c r="AB231" s="193">
        <v>300</v>
      </c>
      <c r="AC231" s="193" t="s">
        <v>517</v>
      </c>
      <c r="AD231" s="193" t="s">
        <v>152</v>
      </c>
      <c r="AE231" s="193">
        <v>300</v>
      </c>
      <c r="AF231" s="193" t="s">
        <v>518</v>
      </c>
      <c r="AG231" s="193" t="s">
        <v>519</v>
      </c>
      <c r="AH231" s="193">
        <v>0</v>
      </c>
      <c r="AI231" s="193">
        <v>300</v>
      </c>
      <c r="AJ231" s="193" t="s">
        <v>995</v>
      </c>
      <c r="AL231" s="197" t="s">
        <v>996</v>
      </c>
      <c r="AM231" s="193">
        <v>1</v>
      </c>
      <c r="AN231" s="193">
        <v>0</v>
      </c>
      <c r="AO231" s="193">
        <v>0</v>
      </c>
      <c r="AP231" s="193">
        <v>0</v>
      </c>
      <c r="AQ231" s="193" t="s">
        <v>214</v>
      </c>
      <c r="AS231" s="197" t="s">
        <v>518</v>
      </c>
      <c r="AT231" s="197" t="s">
        <v>519</v>
      </c>
      <c r="AV231" s="194">
        <v>138</v>
      </c>
      <c r="AW231" s="194">
        <v>0</v>
      </c>
      <c r="AX231" s="194">
        <v>0</v>
      </c>
      <c r="AY231" s="549">
        <v>138</v>
      </c>
      <c r="AZ231" s="194">
        <v>0</v>
      </c>
      <c r="BA231" s="194">
        <v>162</v>
      </c>
      <c r="BB231" s="551">
        <v>162</v>
      </c>
      <c r="BC231" s="551">
        <v>300</v>
      </c>
      <c r="BD231" s="551">
        <v>0</v>
      </c>
      <c r="BF231" s="550">
        <f t="shared" si="60"/>
        <v>138</v>
      </c>
      <c r="BG231" s="550">
        <f t="shared" si="61"/>
        <v>0</v>
      </c>
      <c r="BH231" s="550">
        <f t="shared" si="62"/>
        <v>0</v>
      </c>
      <c r="BI231" s="550">
        <f t="shared" si="63"/>
        <v>138</v>
      </c>
      <c r="BJ231" s="550">
        <f t="shared" si="64"/>
        <v>0</v>
      </c>
      <c r="BK231" s="550">
        <f t="shared" si="65"/>
        <v>162</v>
      </c>
      <c r="BL231" s="550">
        <f t="shared" si="66"/>
        <v>162</v>
      </c>
      <c r="BM231" s="550">
        <f t="shared" si="67"/>
        <v>300</v>
      </c>
      <c r="BO231" s="194"/>
      <c r="BQ231" s="193">
        <f t="shared" si="68"/>
        <v>0</v>
      </c>
      <c r="BR231" s="193">
        <f t="shared" si="69"/>
        <v>0</v>
      </c>
      <c r="BS231" s="193">
        <f t="shared" si="70"/>
        <v>0</v>
      </c>
      <c r="BT231" s="193">
        <f t="shared" si="70"/>
        <v>0</v>
      </c>
    </row>
    <row r="232" spans="1:72" ht="13.5" customHeight="1">
      <c r="A232" s="193" t="s">
        <v>378</v>
      </c>
      <c r="B232" s="193" t="s">
        <v>379</v>
      </c>
      <c r="C232" s="193" t="s">
        <v>214</v>
      </c>
      <c r="D232" s="193" t="s">
        <v>997</v>
      </c>
      <c r="E232" s="193" t="s">
        <v>998</v>
      </c>
      <c r="F232" s="193" t="s">
        <v>690</v>
      </c>
      <c r="G232" s="193" t="s">
        <v>690</v>
      </c>
      <c r="H232" s="193" t="s">
        <v>1003</v>
      </c>
      <c r="I232" s="193" t="s">
        <v>512</v>
      </c>
      <c r="J232" s="193" t="s">
        <v>1004</v>
      </c>
      <c r="K232" s="193" t="s">
        <v>386</v>
      </c>
      <c r="L232" s="193" t="s">
        <v>387</v>
      </c>
      <c r="M232" s="193" t="s">
        <v>378</v>
      </c>
      <c r="N232" s="193" t="s">
        <v>514</v>
      </c>
      <c r="O232" s="193" t="s">
        <v>129</v>
      </c>
      <c r="P232" s="193" t="s">
        <v>150</v>
      </c>
      <c r="Q232" s="193" t="s">
        <v>149</v>
      </c>
      <c r="R232" s="193" t="s">
        <v>148</v>
      </c>
      <c r="S232" s="193" t="s">
        <v>152</v>
      </c>
      <c r="T232" s="193" t="s">
        <v>389</v>
      </c>
      <c r="U232" s="193" t="s">
        <v>390</v>
      </c>
      <c r="V232" s="193">
        <v>0</v>
      </c>
      <c r="W232" s="193">
        <v>0</v>
      </c>
      <c r="X232" s="193">
        <v>0</v>
      </c>
      <c r="Y232" s="194">
        <v>300</v>
      </c>
      <c r="Z232" s="193" t="s">
        <v>515</v>
      </c>
      <c r="AA232" s="193" t="s">
        <v>516</v>
      </c>
      <c r="AB232" s="193">
        <v>300</v>
      </c>
      <c r="AC232" s="193" t="s">
        <v>517</v>
      </c>
      <c r="AD232" s="193" t="s">
        <v>152</v>
      </c>
      <c r="AE232" s="193">
        <v>300</v>
      </c>
      <c r="AF232" s="193" t="s">
        <v>518</v>
      </c>
      <c r="AG232" s="193" t="s">
        <v>519</v>
      </c>
      <c r="AH232" s="193">
        <v>0</v>
      </c>
      <c r="AI232" s="193">
        <v>300</v>
      </c>
      <c r="AJ232" s="193" t="s">
        <v>1005</v>
      </c>
      <c r="AL232" s="197" t="s">
        <v>1006</v>
      </c>
      <c r="AM232" s="193">
        <v>1</v>
      </c>
      <c r="AN232" s="193">
        <v>0</v>
      </c>
      <c r="AO232" s="193">
        <v>0</v>
      </c>
      <c r="AP232" s="193">
        <v>0</v>
      </c>
      <c r="AQ232" s="193" t="s">
        <v>214</v>
      </c>
      <c r="AS232" s="197" t="s">
        <v>518</v>
      </c>
      <c r="AT232" s="197" t="s">
        <v>519</v>
      </c>
      <c r="AV232" s="194">
        <v>138</v>
      </c>
      <c r="AW232" s="194">
        <v>0</v>
      </c>
      <c r="AX232" s="194">
        <v>0</v>
      </c>
      <c r="AY232" s="549">
        <v>138</v>
      </c>
      <c r="AZ232" s="194">
        <v>0</v>
      </c>
      <c r="BA232" s="194">
        <v>162</v>
      </c>
      <c r="BB232" s="551">
        <v>162</v>
      </c>
      <c r="BC232" s="551">
        <v>300</v>
      </c>
      <c r="BD232" s="551">
        <v>0</v>
      </c>
      <c r="BF232" s="550">
        <f t="shared" si="60"/>
        <v>138</v>
      </c>
      <c r="BG232" s="550">
        <f t="shared" si="61"/>
        <v>0</v>
      </c>
      <c r="BH232" s="550">
        <f t="shared" si="62"/>
        <v>0</v>
      </c>
      <c r="BI232" s="550">
        <f t="shared" si="63"/>
        <v>138</v>
      </c>
      <c r="BJ232" s="550">
        <f t="shared" si="64"/>
        <v>0</v>
      </c>
      <c r="BK232" s="550">
        <f t="shared" si="65"/>
        <v>162</v>
      </c>
      <c r="BL232" s="550">
        <f t="shared" si="66"/>
        <v>162</v>
      </c>
      <c r="BM232" s="550">
        <f t="shared" si="67"/>
        <v>300</v>
      </c>
      <c r="BO232" s="194"/>
      <c r="BQ232" s="193">
        <f t="shared" si="68"/>
        <v>0</v>
      </c>
      <c r="BR232" s="193">
        <f t="shared" si="69"/>
        <v>0</v>
      </c>
      <c r="BS232" s="193">
        <f t="shared" si="70"/>
        <v>0</v>
      </c>
      <c r="BT232" s="193">
        <f t="shared" si="70"/>
        <v>0</v>
      </c>
    </row>
    <row r="233" spans="1:72" ht="13.5" customHeight="1">
      <c r="A233" s="193" t="s">
        <v>378</v>
      </c>
      <c r="B233" s="193" t="s">
        <v>379</v>
      </c>
      <c r="C233" s="193" t="s">
        <v>214</v>
      </c>
      <c r="D233" s="193" t="s">
        <v>997</v>
      </c>
      <c r="E233" s="193" t="s">
        <v>998</v>
      </c>
      <c r="F233" s="193" t="s">
        <v>1007</v>
      </c>
      <c r="G233" s="193" t="s">
        <v>1007</v>
      </c>
      <c r="H233" s="193" t="s">
        <v>1003</v>
      </c>
      <c r="I233" s="193" t="s">
        <v>512</v>
      </c>
      <c r="J233" s="193" t="s">
        <v>1008</v>
      </c>
      <c r="K233" s="193" t="s">
        <v>386</v>
      </c>
      <c r="L233" s="193" t="s">
        <v>387</v>
      </c>
      <c r="M233" s="193" t="s">
        <v>378</v>
      </c>
      <c r="N233" s="193" t="s">
        <v>514</v>
      </c>
      <c r="O233" s="193" t="s">
        <v>129</v>
      </c>
      <c r="P233" s="193" t="s">
        <v>150</v>
      </c>
      <c r="Q233" s="193" t="s">
        <v>149</v>
      </c>
      <c r="R233" s="193" t="s">
        <v>148</v>
      </c>
      <c r="S233" s="193" t="s">
        <v>152</v>
      </c>
      <c r="T233" s="193" t="s">
        <v>389</v>
      </c>
      <c r="U233" s="193" t="s">
        <v>390</v>
      </c>
      <c r="V233" s="193">
        <v>0</v>
      </c>
      <c r="W233" s="193">
        <v>0</v>
      </c>
      <c r="X233" s="193">
        <v>0</v>
      </c>
      <c r="Y233" s="194">
        <v>300</v>
      </c>
      <c r="Z233" s="193" t="s">
        <v>515</v>
      </c>
      <c r="AA233" s="193" t="s">
        <v>516</v>
      </c>
      <c r="AB233" s="193">
        <v>300</v>
      </c>
      <c r="AC233" s="193" t="s">
        <v>517</v>
      </c>
      <c r="AD233" s="193" t="s">
        <v>152</v>
      </c>
      <c r="AE233" s="193">
        <v>300</v>
      </c>
      <c r="AF233" s="193" t="s">
        <v>518</v>
      </c>
      <c r="AG233" s="193" t="s">
        <v>519</v>
      </c>
      <c r="AH233" s="193">
        <v>0</v>
      </c>
      <c r="AI233" s="193">
        <v>300</v>
      </c>
      <c r="AJ233" s="193" t="s">
        <v>1009</v>
      </c>
      <c r="AL233" s="197" t="s">
        <v>1010</v>
      </c>
      <c r="AM233" s="193">
        <v>1</v>
      </c>
      <c r="AN233" s="193">
        <v>0</v>
      </c>
      <c r="AO233" s="193">
        <v>0</v>
      </c>
      <c r="AP233" s="193">
        <v>0</v>
      </c>
      <c r="AQ233" s="193" t="s">
        <v>214</v>
      </c>
      <c r="AS233" s="197" t="s">
        <v>518</v>
      </c>
      <c r="AT233" s="197" t="s">
        <v>519</v>
      </c>
      <c r="AV233" s="194">
        <v>138</v>
      </c>
      <c r="AW233" s="194">
        <v>0</v>
      </c>
      <c r="AX233" s="194">
        <v>0</v>
      </c>
      <c r="AY233" s="549">
        <v>138</v>
      </c>
      <c r="AZ233" s="194">
        <v>0</v>
      </c>
      <c r="BA233" s="194">
        <v>162</v>
      </c>
      <c r="BB233" s="551">
        <v>162</v>
      </c>
      <c r="BC233" s="551">
        <v>300</v>
      </c>
      <c r="BD233" s="551">
        <v>0</v>
      </c>
      <c r="BF233" s="550">
        <f t="shared" si="60"/>
        <v>138</v>
      </c>
      <c r="BG233" s="550">
        <f t="shared" si="61"/>
        <v>0</v>
      </c>
      <c r="BH233" s="550">
        <f t="shared" si="62"/>
        <v>0</v>
      </c>
      <c r="BI233" s="550">
        <f t="shared" si="63"/>
        <v>138</v>
      </c>
      <c r="BJ233" s="550">
        <f t="shared" si="64"/>
        <v>0</v>
      </c>
      <c r="BK233" s="550">
        <f t="shared" si="65"/>
        <v>162</v>
      </c>
      <c r="BL233" s="550">
        <f t="shared" si="66"/>
        <v>162</v>
      </c>
      <c r="BM233" s="550">
        <f t="shared" si="67"/>
        <v>300</v>
      </c>
      <c r="BO233" s="194"/>
      <c r="BQ233" s="193">
        <f t="shared" si="68"/>
        <v>0</v>
      </c>
      <c r="BR233" s="193">
        <f t="shared" si="69"/>
        <v>0</v>
      </c>
      <c r="BS233" s="193">
        <f t="shared" si="70"/>
        <v>0</v>
      </c>
      <c r="BT233" s="193">
        <f t="shared" si="70"/>
        <v>0</v>
      </c>
    </row>
    <row r="234" spans="1:72" ht="13.5" customHeight="1">
      <c r="A234" s="193" t="s">
        <v>378</v>
      </c>
      <c r="B234" s="193" t="s">
        <v>379</v>
      </c>
      <c r="C234" s="193" t="s">
        <v>214</v>
      </c>
      <c r="D234" s="193" t="s">
        <v>997</v>
      </c>
      <c r="E234" s="193" t="s">
        <v>998</v>
      </c>
      <c r="F234" s="193" t="s">
        <v>1007</v>
      </c>
      <c r="G234" s="193" t="s">
        <v>1007</v>
      </c>
      <c r="H234" s="193" t="s">
        <v>1003</v>
      </c>
      <c r="I234" s="193" t="s">
        <v>512</v>
      </c>
      <c r="J234" s="193" t="s">
        <v>1008</v>
      </c>
      <c r="K234" s="193" t="s">
        <v>386</v>
      </c>
      <c r="L234" s="193" t="s">
        <v>531</v>
      </c>
      <c r="M234" s="193" t="s">
        <v>378</v>
      </c>
      <c r="N234" s="193" t="s">
        <v>514</v>
      </c>
      <c r="O234" s="193" t="s">
        <v>129</v>
      </c>
      <c r="P234" s="193" t="s">
        <v>150</v>
      </c>
      <c r="Q234" s="193" t="s">
        <v>149</v>
      </c>
      <c r="R234" s="193" t="s">
        <v>148</v>
      </c>
      <c r="S234" s="193" t="s">
        <v>152</v>
      </c>
      <c r="T234" s="193" t="s">
        <v>389</v>
      </c>
      <c r="U234" s="193" t="s">
        <v>390</v>
      </c>
      <c r="V234" s="193">
        <v>0</v>
      </c>
      <c r="W234" s="193">
        <v>0</v>
      </c>
      <c r="X234" s="193">
        <v>0</v>
      </c>
      <c r="Y234" s="194">
        <v>300</v>
      </c>
      <c r="Z234" s="193" t="s">
        <v>515</v>
      </c>
      <c r="AA234" s="193" t="s">
        <v>516</v>
      </c>
      <c r="AB234" s="193">
        <v>300</v>
      </c>
      <c r="AC234" s="193" t="s">
        <v>517</v>
      </c>
      <c r="AD234" s="193" t="s">
        <v>152</v>
      </c>
      <c r="AE234" s="193">
        <v>300</v>
      </c>
      <c r="AF234" s="193" t="s">
        <v>518</v>
      </c>
      <c r="AG234" s="193" t="s">
        <v>519</v>
      </c>
      <c r="AH234" s="193">
        <v>0</v>
      </c>
      <c r="AI234" s="193">
        <v>300</v>
      </c>
      <c r="AJ234" s="193" t="s">
        <v>1011</v>
      </c>
      <c r="AL234" s="197" t="s">
        <v>1012</v>
      </c>
      <c r="AM234" s="193">
        <v>1</v>
      </c>
      <c r="AN234" s="193">
        <v>0</v>
      </c>
      <c r="AO234" s="193">
        <v>0</v>
      </c>
      <c r="AP234" s="193">
        <v>0</v>
      </c>
      <c r="AQ234" s="193" t="s">
        <v>214</v>
      </c>
      <c r="AS234" s="197" t="s">
        <v>518</v>
      </c>
      <c r="AT234" s="197" t="s">
        <v>519</v>
      </c>
      <c r="AV234" s="194">
        <v>138</v>
      </c>
      <c r="AW234" s="194">
        <v>0</v>
      </c>
      <c r="AX234" s="194">
        <v>0</v>
      </c>
      <c r="AY234" s="549">
        <v>138</v>
      </c>
      <c r="AZ234" s="194">
        <v>0</v>
      </c>
      <c r="BA234" s="194">
        <v>162</v>
      </c>
      <c r="BB234" s="551">
        <v>162</v>
      </c>
      <c r="BC234" s="551">
        <v>300</v>
      </c>
      <c r="BD234" s="551">
        <v>0</v>
      </c>
      <c r="BF234" s="550">
        <f t="shared" si="60"/>
        <v>138</v>
      </c>
      <c r="BG234" s="550">
        <f t="shared" si="61"/>
        <v>0</v>
      </c>
      <c r="BH234" s="550">
        <f t="shared" si="62"/>
        <v>0</v>
      </c>
      <c r="BI234" s="550">
        <f t="shared" si="63"/>
        <v>138</v>
      </c>
      <c r="BJ234" s="550">
        <f t="shared" si="64"/>
        <v>0</v>
      </c>
      <c r="BK234" s="550">
        <f t="shared" si="65"/>
        <v>162</v>
      </c>
      <c r="BL234" s="550">
        <f t="shared" si="66"/>
        <v>162</v>
      </c>
      <c r="BM234" s="550">
        <f t="shared" si="67"/>
        <v>300</v>
      </c>
      <c r="BO234" s="194"/>
      <c r="BQ234" s="193">
        <f t="shared" si="68"/>
        <v>0</v>
      </c>
      <c r="BR234" s="193">
        <f t="shared" si="69"/>
        <v>0</v>
      </c>
      <c r="BS234" s="193">
        <f t="shared" si="70"/>
        <v>0</v>
      </c>
      <c r="BT234" s="193">
        <f t="shared" si="70"/>
        <v>0</v>
      </c>
    </row>
    <row r="235" spans="1:72" ht="13.5" customHeight="1">
      <c r="A235" s="193" t="s">
        <v>378</v>
      </c>
      <c r="B235" s="193" t="s">
        <v>379</v>
      </c>
      <c r="C235" s="193" t="s">
        <v>214</v>
      </c>
      <c r="D235" s="193" t="s">
        <v>997</v>
      </c>
      <c r="E235" s="193" t="s">
        <v>998</v>
      </c>
      <c r="F235" s="193" t="s">
        <v>716</v>
      </c>
      <c r="G235" s="193" t="s">
        <v>716</v>
      </c>
      <c r="H235" s="193" t="s">
        <v>999</v>
      </c>
      <c r="I235" s="193" t="s">
        <v>512</v>
      </c>
      <c r="J235" s="193" t="s">
        <v>1017</v>
      </c>
      <c r="K235" s="193" t="s">
        <v>386</v>
      </c>
      <c r="L235" s="193" t="s">
        <v>387</v>
      </c>
      <c r="M235" s="193" t="s">
        <v>378</v>
      </c>
      <c r="N235" s="193" t="s">
        <v>514</v>
      </c>
      <c r="O235" s="193" t="s">
        <v>129</v>
      </c>
      <c r="P235" s="193" t="s">
        <v>150</v>
      </c>
      <c r="Q235" s="193" t="s">
        <v>149</v>
      </c>
      <c r="R235" s="193" t="s">
        <v>148</v>
      </c>
      <c r="S235" s="193" t="s">
        <v>152</v>
      </c>
      <c r="T235" s="193" t="s">
        <v>389</v>
      </c>
      <c r="U235" s="193" t="s">
        <v>390</v>
      </c>
      <c r="V235" s="193">
        <v>0</v>
      </c>
      <c r="W235" s="193">
        <v>0</v>
      </c>
      <c r="X235" s="193">
        <v>0</v>
      </c>
      <c r="Y235" s="194">
        <v>600</v>
      </c>
      <c r="Z235" s="193" t="s">
        <v>515</v>
      </c>
      <c r="AA235" s="193" t="s">
        <v>516</v>
      </c>
      <c r="AB235" s="193">
        <v>600</v>
      </c>
      <c r="AC235" s="193" t="s">
        <v>517</v>
      </c>
      <c r="AD235" s="193" t="s">
        <v>152</v>
      </c>
      <c r="AE235" s="193">
        <v>600</v>
      </c>
      <c r="AF235" s="193" t="s">
        <v>518</v>
      </c>
      <c r="AG235" s="193" t="s">
        <v>519</v>
      </c>
      <c r="AH235" s="193">
        <v>0</v>
      </c>
      <c r="AI235" s="193">
        <v>600</v>
      </c>
      <c r="AJ235" s="193" t="s">
        <v>1018</v>
      </c>
      <c r="AL235" s="197" t="s">
        <v>1019</v>
      </c>
      <c r="AM235" s="193">
        <v>1</v>
      </c>
      <c r="AN235" s="193">
        <v>0</v>
      </c>
      <c r="AO235" s="193">
        <v>0</v>
      </c>
      <c r="AP235" s="193">
        <v>0</v>
      </c>
      <c r="AQ235" s="193" t="s">
        <v>214</v>
      </c>
      <c r="AS235" s="197" t="s">
        <v>518</v>
      </c>
      <c r="AT235" s="197" t="s">
        <v>519</v>
      </c>
      <c r="AV235" s="194">
        <v>276</v>
      </c>
      <c r="AW235" s="194">
        <v>0</v>
      </c>
      <c r="AX235" s="194">
        <v>0</v>
      </c>
      <c r="AY235" s="549">
        <v>276</v>
      </c>
      <c r="AZ235" s="194">
        <v>0</v>
      </c>
      <c r="BA235" s="194">
        <v>324</v>
      </c>
      <c r="BB235" s="551">
        <v>324</v>
      </c>
      <c r="BC235" s="551">
        <v>600</v>
      </c>
      <c r="BD235" s="551">
        <v>0</v>
      </c>
      <c r="BF235" s="550">
        <f t="shared" si="60"/>
        <v>276</v>
      </c>
      <c r="BG235" s="550">
        <f t="shared" si="61"/>
        <v>0</v>
      </c>
      <c r="BH235" s="550">
        <f t="shared" si="62"/>
        <v>0</v>
      </c>
      <c r="BI235" s="550">
        <f t="shared" si="63"/>
        <v>276</v>
      </c>
      <c r="BJ235" s="550">
        <f t="shared" si="64"/>
        <v>0</v>
      </c>
      <c r="BK235" s="550">
        <f t="shared" si="65"/>
        <v>324</v>
      </c>
      <c r="BL235" s="550">
        <f t="shared" si="66"/>
        <v>324</v>
      </c>
      <c r="BM235" s="550">
        <f t="shared" si="67"/>
        <v>600</v>
      </c>
      <c r="BO235" s="194"/>
      <c r="BQ235" s="193">
        <f t="shared" si="68"/>
        <v>0</v>
      </c>
      <c r="BR235" s="193">
        <f t="shared" si="69"/>
        <v>0</v>
      </c>
      <c r="BS235" s="193">
        <f t="shared" si="70"/>
        <v>0</v>
      </c>
      <c r="BT235" s="193">
        <f t="shared" si="70"/>
        <v>0</v>
      </c>
    </row>
    <row r="236" spans="1:72" ht="13.5" customHeight="1">
      <c r="A236" s="193" t="s">
        <v>378</v>
      </c>
      <c r="B236" s="193" t="s">
        <v>379</v>
      </c>
      <c r="C236" s="193" t="s">
        <v>214</v>
      </c>
      <c r="D236" s="193" t="s">
        <v>997</v>
      </c>
      <c r="E236" s="193" t="s">
        <v>998</v>
      </c>
      <c r="F236" s="193" t="s">
        <v>1027</v>
      </c>
      <c r="G236" s="193" t="s">
        <v>1027</v>
      </c>
      <c r="H236" s="193" t="s">
        <v>999</v>
      </c>
      <c r="I236" s="193" t="s">
        <v>512</v>
      </c>
      <c r="J236" s="193" t="s">
        <v>1028</v>
      </c>
      <c r="K236" s="193" t="s">
        <v>386</v>
      </c>
      <c r="L236" s="193" t="s">
        <v>387</v>
      </c>
      <c r="M236" s="193" t="s">
        <v>378</v>
      </c>
      <c r="N236" s="193" t="s">
        <v>514</v>
      </c>
      <c r="O236" s="193" t="s">
        <v>129</v>
      </c>
      <c r="P236" s="193" t="s">
        <v>150</v>
      </c>
      <c r="Q236" s="193" t="s">
        <v>149</v>
      </c>
      <c r="R236" s="193" t="s">
        <v>148</v>
      </c>
      <c r="S236" s="193" t="s">
        <v>152</v>
      </c>
      <c r="T236" s="193" t="s">
        <v>389</v>
      </c>
      <c r="U236" s="193" t="s">
        <v>390</v>
      </c>
      <c r="V236" s="193">
        <v>0</v>
      </c>
      <c r="W236" s="193">
        <v>0</v>
      </c>
      <c r="X236" s="193">
        <v>0</v>
      </c>
      <c r="Y236" s="194">
        <v>300</v>
      </c>
      <c r="Z236" s="193" t="s">
        <v>515</v>
      </c>
      <c r="AA236" s="193" t="s">
        <v>516</v>
      </c>
      <c r="AB236" s="193">
        <v>300</v>
      </c>
      <c r="AC236" s="193" t="s">
        <v>517</v>
      </c>
      <c r="AD236" s="193" t="s">
        <v>152</v>
      </c>
      <c r="AE236" s="193">
        <v>300</v>
      </c>
      <c r="AF236" s="193" t="s">
        <v>518</v>
      </c>
      <c r="AG236" s="193" t="s">
        <v>519</v>
      </c>
      <c r="AH236" s="193">
        <v>0</v>
      </c>
      <c r="AI236" s="193">
        <v>300</v>
      </c>
      <c r="AJ236" s="193" t="s">
        <v>1029</v>
      </c>
      <c r="AL236" s="197" t="s">
        <v>1030</v>
      </c>
      <c r="AM236" s="193">
        <v>1</v>
      </c>
      <c r="AN236" s="193">
        <v>0</v>
      </c>
      <c r="AO236" s="193">
        <v>0</v>
      </c>
      <c r="AP236" s="193">
        <v>0</v>
      </c>
      <c r="AQ236" s="193" t="s">
        <v>214</v>
      </c>
      <c r="AS236" s="197" t="s">
        <v>518</v>
      </c>
      <c r="AT236" s="197" t="s">
        <v>519</v>
      </c>
      <c r="AV236" s="194">
        <v>138</v>
      </c>
      <c r="AW236" s="194">
        <v>0</v>
      </c>
      <c r="AX236" s="194">
        <v>0</v>
      </c>
      <c r="AY236" s="549">
        <v>138</v>
      </c>
      <c r="AZ236" s="194">
        <v>0</v>
      </c>
      <c r="BA236" s="194">
        <v>162</v>
      </c>
      <c r="BB236" s="551">
        <v>162</v>
      </c>
      <c r="BC236" s="551">
        <v>300</v>
      </c>
      <c r="BD236" s="551">
        <v>0</v>
      </c>
      <c r="BF236" s="550">
        <f t="shared" si="60"/>
        <v>138</v>
      </c>
      <c r="BG236" s="550">
        <f t="shared" si="61"/>
        <v>0</v>
      </c>
      <c r="BH236" s="550">
        <f t="shared" si="62"/>
        <v>0</v>
      </c>
      <c r="BI236" s="550">
        <f t="shared" si="63"/>
        <v>138</v>
      </c>
      <c r="BJ236" s="550">
        <f t="shared" si="64"/>
        <v>0</v>
      </c>
      <c r="BK236" s="550">
        <f t="shared" si="65"/>
        <v>162</v>
      </c>
      <c r="BL236" s="550">
        <f t="shared" si="66"/>
        <v>162</v>
      </c>
      <c r="BM236" s="550">
        <f t="shared" si="67"/>
        <v>300</v>
      </c>
      <c r="BO236" s="194"/>
      <c r="BQ236" s="193">
        <f t="shared" si="68"/>
        <v>0</v>
      </c>
      <c r="BR236" s="193">
        <f t="shared" si="69"/>
        <v>0</v>
      </c>
      <c r="BS236" s="193">
        <f t="shared" si="70"/>
        <v>0</v>
      </c>
      <c r="BT236" s="193">
        <f t="shared" si="70"/>
        <v>0</v>
      </c>
    </row>
    <row r="237" spans="1:72" ht="13.5" customHeight="1">
      <c r="A237" s="193" t="s">
        <v>378</v>
      </c>
      <c r="B237" s="193" t="s">
        <v>379</v>
      </c>
      <c r="C237" s="193" t="s">
        <v>214</v>
      </c>
      <c r="D237" s="193" t="s">
        <v>997</v>
      </c>
      <c r="E237" s="193" t="s">
        <v>998</v>
      </c>
      <c r="F237" s="193" t="s">
        <v>1031</v>
      </c>
      <c r="G237" s="193" t="s">
        <v>1031</v>
      </c>
      <c r="H237" s="193" t="s">
        <v>999</v>
      </c>
      <c r="I237" s="193" t="s">
        <v>512</v>
      </c>
      <c r="J237" s="193" t="s">
        <v>1032</v>
      </c>
      <c r="K237" s="193" t="s">
        <v>386</v>
      </c>
      <c r="L237" s="193" t="s">
        <v>387</v>
      </c>
      <c r="M237" s="193" t="s">
        <v>378</v>
      </c>
      <c r="N237" s="193" t="s">
        <v>514</v>
      </c>
      <c r="O237" s="193" t="s">
        <v>129</v>
      </c>
      <c r="P237" s="193" t="s">
        <v>150</v>
      </c>
      <c r="Q237" s="193" t="s">
        <v>149</v>
      </c>
      <c r="R237" s="193" t="s">
        <v>148</v>
      </c>
      <c r="S237" s="193" t="s">
        <v>152</v>
      </c>
      <c r="T237" s="193" t="s">
        <v>389</v>
      </c>
      <c r="U237" s="193" t="s">
        <v>390</v>
      </c>
      <c r="V237" s="193">
        <v>0</v>
      </c>
      <c r="W237" s="193">
        <v>0</v>
      </c>
      <c r="X237" s="193">
        <v>0</v>
      </c>
      <c r="Y237" s="194">
        <v>470</v>
      </c>
      <c r="Z237" s="193" t="s">
        <v>515</v>
      </c>
      <c r="AA237" s="193" t="s">
        <v>516</v>
      </c>
      <c r="AB237" s="193">
        <v>470</v>
      </c>
      <c r="AC237" s="193" t="s">
        <v>517</v>
      </c>
      <c r="AD237" s="193" t="s">
        <v>152</v>
      </c>
      <c r="AE237" s="193">
        <v>470</v>
      </c>
      <c r="AF237" s="193" t="s">
        <v>518</v>
      </c>
      <c r="AG237" s="193" t="s">
        <v>519</v>
      </c>
      <c r="AH237" s="193">
        <v>0</v>
      </c>
      <c r="AI237" s="193">
        <v>470</v>
      </c>
      <c r="AJ237" s="193" t="s">
        <v>1033</v>
      </c>
      <c r="AL237" s="197" t="s">
        <v>1034</v>
      </c>
      <c r="AM237" s="193">
        <v>1</v>
      </c>
      <c r="AN237" s="193">
        <v>0</v>
      </c>
      <c r="AO237" s="193">
        <v>0</v>
      </c>
      <c r="AP237" s="193">
        <v>0</v>
      </c>
      <c r="AQ237" s="193" t="s">
        <v>214</v>
      </c>
      <c r="AS237" s="197" t="s">
        <v>518</v>
      </c>
      <c r="AT237" s="197" t="s">
        <v>519</v>
      </c>
      <c r="AV237" s="194">
        <v>216</v>
      </c>
      <c r="AW237" s="194">
        <v>0</v>
      </c>
      <c r="AX237" s="194">
        <v>0</v>
      </c>
      <c r="AY237" s="549">
        <v>216</v>
      </c>
      <c r="AZ237" s="194">
        <v>0</v>
      </c>
      <c r="BA237" s="194">
        <v>254</v>
      </c>
      <c r="BB237" s="551">
        <v>254</v>
      </c>
      <c r="BC237" s="551">
        <v>470</v>
      </c>
      <c r="BD237" s="551">
        <v>0</v>
      </c>
      <c r="BF237" s="550">
        <f t="shared" si="60"/>
        <v>216</v>
      </c>
      <c r="BG237" s="550">
        <f t="shared" si="61"/>
        <v>0</v>
      </c>
      <c r="BH237" s="550">
        <f t="shared" si="62"/>
        <v>0</v>
      </c>
      <c r="BI237" s="550">
        <f t="shared" si="63"/>
        <v>216</v>
      </c>
      <c r="BJ237" s="550">
        <f t="shared" si="64"/>
        <v>0</v>
      </c>
      <c r="BK237" s="550">
        <f t="shared" si="65"/>
        <v>254</v>
      </c>
      <c r="BL237" s="550">
        <f t="shared" si="66"/>
        <v>254</v>
      </c>
      <c r="BM237" s="550">
        <f t="shared" si="67"/>
        <v>470</v>
      </c>
      <c r="BO237" s="194"/>
      <c r="BQ237" s="193">
        <f t="shared" si="68"/>
        <v>0</v>
      </c>
      <c r="BR237" s="193">
        <f t="shared" si="69"/>
        <v>0</v>
      </c>
      <c r="BS237" s="193">
        <f t="shared" si="70"/>
        <v>0</v>
      </c>
      <c r="BT237" s="193">
        <f t="shared" si="70"/>
        <v>0</v>
      </c>
    </row>
    <row r="238" spans="1:72" ht="13.5" customHeight="1">
      <c r="A238" s="193" t="s">
        <v>378</v>
      </c>
      <c r="B238" s="193" t="s">
        <v>379</v>
      </c>
      <c r="C238" s="193" t="s">
        <v>214</v>
      </c>
      <c r="D238" s="193" t="s">
        <v>997</v>
      </c>
      <c r="E238" s="193" t="s">
        <v>998</v>
      </c>
      <c r="F238" s="193" t="s">
        <v>583</v>
      </c>
      <c r="G238" s="193" t="s">
        <v>583</v>
      </c>
      <c r="H238" s="193" t="s">
        <v>999</v>
      </c>
      <c r="I238" s="193" t="s">
        <v>512</v>
      </c>
      <c r="J238" s="193" t="s">
        <v>1035</v>
      </c>
      <c r="K238" s="193" t="s">
        <v>386</v>
      </c>
      <c r="L238" s="193" t="s">
        <v>387</v>
      </c>
      <c r="M238" s="193" t="s">
        <v>378</v>
      </c>
      <c r="N238" s="193" t="s">
        <v>514</v>
      </c>
      <c r="O238" s="193" t="s">
        <v>129</v>
      </c>
      <c r="P238" s="193" t="s">
        <v>150</v>
      </c>
      <c r="Q238" s="193" t="s">
        <v>149</v>
      </c>
      <c r="R238" s="193" t="s">
        <v>148</v>
      </c>
      <c r="S238" s="193" t="s">
        <v>152</v>
      </c>
      <c r="T238" s="193" t="s">
        <v>389</v>
      </c>
      <c r="U238" s="193" t="s">
        <v>390</v>
      </c>
      <c r="V238" s="193">
        <v>0</v>
      </c>
      <c r="W238" s="193">
        <v>0</v>
      </c>
      <c r="X238" s="193">
        <v>0</v>
      </c>
      <c r="Y238" s="194">
        <v>300</v>
      </c>
      <c r="Z238" s="193" t="s">
        <v>515</v>
      </c>
      <c r="AA238" s="193" t="s">
        <v>516</v>
      </c>
      <c r="AB238" s="193">
        <v>300</v>
      </c>
      <c r="AC238" s="193" t="s">
        <v>517</v>
      </c>
      <c r="AD238" s="193" t="s">
        <v>152</v>
      </c>
      <c r="AE238" s="193">
        <v>300</v>
      </c>
      <c r="AF238" s="193" t="s">
        <v>518</v>
      </c>
      <c r="AG238" s="193" t="s">
        <v>519</v>
      </c>
      <c r="AH238" s="193">
        <v>0</v>
      </c>
      <c r="AI238" s="193">
        <v>300</v>
      </c>
      <c r="AJ238" s="193" t="s">
        <v>1036</v>
      </c>
      <c r="AL238" s="197" t="s">
        <v>1037</v>
      </c>
      <c r="AM238" s="193">
        <v>1</v>
      </c>
      <c r="AN238" s="193">
        <v>0</v>
      </c>
      <c r="AO238" s="193">
        <v>0</v>
      </c>
      <c r="AP238" s="193">
        <v>0</v>
      </c>
      <c r="AQ238" s="193" t="s">
        <v>214</v>
      </c>
      <c r="AS238" s="197" t="s">
        <v>518</v>
      </c>
      <c r="AT238" s="197" t="s">
        <v>519</v>
      </c>
      <c r="AV238" s="194">
        <v>138</v>
      </c>
      <c r="AW238" s="194">
        <v>0</v>
      </c>
      <c r="AX238" s="194">
        <v>0</v>
      </c>
      <c r="AY238" s="549">
        <v>138</v>
      </c>
      <c r="AZ238" s="194">
        <v>0</v>
      </c>
      <c r="BA238" s="194">
        <v>162</v>
      </c>
      <c r="BB238" s="551">
        <v>162</v>
      </c>
      <c r="BC238" s="551">
        <v>300</v>
      </c>
      <c r="BD238" s="551">
        <v>0</v>
      </c>
      <c r="BF238" s="550">
        <f t="shared" si="60"/>
        <v>138</v>
      </c>
      <c r="BG238" s="550">
        <f t="shared" si="61"/>
        <v>0</v>
      </c>
      <c r="BH238" s="550">
        <f t="shared" si="62"/>
        <v>0</v>
      </c>
      <c r="BI238" s="550">
        <f t="shared" si="63"/>
        <v>138</v>
      </c>
      <c r="BJ238" s="550">
        <f t="shared" si="64"/>
        <v>0</v>
      </c>
      <c r="BK238" s="550">
        <f t="shared" si="65"/>
        <v>162</v>
      </c>
      <c r="BL238" s="550">
        <f t="shared" si="66"/>
        <v>162</v>
      </c>
      <c r="BM238" s="550">
        <f t="shared" si="67"/>
        <v>300</v>
      </c>
      <c r="BO238" s="194"/>
      <c r="BQ238" s="193">
        <f t="shared" si="68"/>
        <v>0</v>
      </c>
      <c r="BR238" s="193">
        <f t="shared" si="69"/>
        <v>0</v>
      </c>
      <c r="BS238" s="193">
        <f t="shared" si="70"/>
        <v>0</v>
      </c>
      <c r="BT238" s="193">
        <f t="shared" si="70"/>
        <v>0</v>
      </c>
    </row>
    <row r="239" spans="1:72" ht="13.5" customHeight="1">
      <c r="A239" s="193" t="s">
        <v>378</v>
      </c>
      <c r="B239" s="193" t="s">
        <v>379</v>
      </c>
      <c r="C239" s="193" t="s">
        <v>214</v>
      </c>
      <c r="D239" s="193" t="s">
        <v>997</v>
      </c>
      <c r="E239" s="193" t="s">
        <v>998</v>
      </c>
      <c r="F239" s="193" t="s">
        <v>607</v>
      </c>
      <c r="G239" s="193" t="s">
        <v>607</v>
      </c>
      <c r="H239" s="193" t="s">
        <v>999</v>
      </c>
      <c r="I239" s="193" t="s">
        <v>512</v>
      </c>
      <c r="J239" s="193" t="s">
        <v>1038</v>
      </c>
      <c r="K239" s="193" t="s">
        <v>386</v>
      </c>
      <c r="L239" s="193" t="s">
        <v>387</v>
      </c>
      <c r="M239" s="193" t="s">
        <v>378</v>
      </c>
      <c r="N239" s="193" t="s">
        <v>514</v>
      </c>
      <c r="O239" s="193" t="s">
        <v>129</v>
      </c>
      <c r="P239" s="193" t="s">
        <v>150</v>
      </c>
      <c r="Q239" s="193" t="s">
        <v>149</v>
      </c>
      <c r="R239" s="193" t="s">
        <v>148</v>
      </c>
      <c r="S239" s="193" t="s">
        <v>152</v>
      </c>
      <c r="T239" s="193" t="s">
        <v>389</v>
      </c>
      <c r="U239" s="193" t="s">
        <v>390</v>
      </c>
      <c r="V239" s="193">
        <v>0</v>
      </c>
      <c r="W239" s="193">
        <v>0</v>
      </c>
      <c r="X239" s="193">
        <v>0</v>
      </c>
      <c r="Y239" s="194">
        <v>300</v>
      </c>
      <c r="Z239" s="193" t="s">
        <v>515</v>
      </c>
      <c r="AA239" s="193" t="s">
        <v>516</v>
      </c>
      <c r="AB239" s="193">
        <v>300</v>
      </c>
      <c r="AC239" s="193" t="s">
        <v>517</v>
      </c>
      <c r="AD239" s="193" t="s">
        <v>152</v>
      </c>
      <c r="AE239" s="193">
        <v>300</v>
      </c>
      <c r="AF239" s="193" t="s">
        <v>518</v>
      </c>
      <c r="AG239" s="193" t="s">
        <v>519</v>
      </c>
      <c r="AH239" s="193">
        <v>0</v>
      </c>
      <c r="AI239" s="193">
        <v>300</v>
      </c>
      <c r="AJ239" s="193" t="s">
        <v>1039</v>
      </c>
      <c r="AL239" s="197" t="s">
        <v>1040</v>
      </c>
      <c r="AM239" s="193">
        <v>1</v>
      </c>
      <c r="AN239" s="193">
        <v>0</v>
      </c>
      <c r="AO239" s="193">
        <v>0</v>
      </c>
      <c r="AP239" s="193">
        <v>0</v>
      </c>
      <c r="AQ239" s="193" t="s">
        <v>214</v>
      </c>
      <c r="AS239" s="197" t="s">
        <v>518</v>
      </c>
      <c r="AT239" s="197" t="s">
        <v>519</v>
      </c>
      <c r="AV239" s="194">
        <v>138</v>
      </c>
      <c r="AW239" s="194">
        <v>0</v>
      </c>
      <c r="AX239" s="194">
        <v>0</v>
      </c>
      <c r="AY239" s="549">
        <v>138</v>
      </c>
      <c r="AZ239" s="194">
        <v>0</v>
      </c>
      <c r="BA239" s="194">
        <v>162</v>
      </c>
      <c r="BB239" s="551">
        <v>162</v>
      </c>
      <c r="BC239" s="551">
        <v>300</v>
      </c>
      <c r="BD239" s="551">
        <v>0</v>
      </c>
      <c r="BF239" s="550">
        <f t="shared" si="60"/>
        <v>138</v>
      </c>
      <c r="BG239" s="550">
        <f t="shared" si="61"/>
        <v>0</v>
      </c>
      <c r="BH239" s="550">
        <f t="shared" si="62"/>
        <v>0</v>
      </c>
      <c r="BI239" s="550">
        <f t="shared" si="63"/>
        <v>138</v>
      </c>
      <c r="BJ239" s="550">
        <f t="shared" si="64"/>
        <v>0</v>
      </c>
      <c r="BK239" s="550">
        <f t="shared" si="65"/>
        <v>162</v>
      </c>
      <c r="BL239" s="550">
        <f t="shared" si="66"/>
        <v>162</v>
      </c>
      <c r="BM239" s="550">
        <f t="shared" si="67"/>
        <v>300</v>
      </c>
      <c r="BO239" s="194"/>
      <c r="BQ239" s="193">
        <f t="shared" si="68"/>
        <v>0</v>
      </c>
      <c r="BR239" s="193">
        <f t="shared" si="69"/>
        <v>0</v>
      </c>
      <c r="BS239" s="193">
        <f t="shared" si="70"/>
        <v>0</v>
      </c>
      <c r="BT239" s="193">
        <f t="shared" si="70"/>
        <v>0</v>
      </c>
    </row>
    <row r="240" spans="1:72" ht="13.5" customHeight="1">
      <c r="A240" s="193" t="s">
        <v>378</v>
      </c>
      <c r="B240" s="193" t="s">
        <v>379</v>
      </c>
      <c r="C240" s="193" t="s">
        <v>214</v>
      </c>
      <c r="D240" s="193" t="s">
        <v>997</v>
      </c>
      <c r="E240" s="193" t="s">
        <v>998</v>
      </c>
      <c r="F240" s="193" t="s">
        <v>607</v>
      </c>
      <c r="G240" s="193" t="s">
        <v>607</v>
      </c>
      <c r="H240" s="193" t="s">
        <v>999</v>
      </c>
      <c r="I240" s="193" t="s">
        <v>512</v>
      </c>
      <c r="J240" s="193" t="s">
        <v>1038</v>
      </c>
      <c r="K240" s="193" t="s">
        <v>386</v>
      </c>
      <c r="L240" s="193" t="s">
        <v>531</v>
      </c>
      <c r="M240" s="193" t="s">
        <v>378</v>
      </c>
      <c r="N240" s="193" t="s">
        <v>514</v>
      </c>
      <c r="O240" s="193" t="s">
        <v>129</v>
      </c>
      <c r="P240" s="193" t="s">
        <v>150</v>
      </c>
      <c r="Q240" s="193" t="s">
        <v>149</v>
      </c>
      <c r="R240" s="193" t="s">
        <v>148</v>
      </c>
      <c r="S240" s="193" t="s">
        <v>152</v>
      </c>
      <c r="T240" s="193" t="s">
        <v>389</v>
      </c>
      <c r="U240" s="193" t="s">
        <v>390</v>
      </c>
      <c r="V240" s="193">
        <v>0</v>
      </c>
      <c r="W240" s="193">
        <v>0</v>
      </c>
      <c r="X240" s="193">
        <v>0</v>
      </c>
      <c r="Y240" s="194">
        <v>900</v>
      </c>
      <c r="Z240" s="193" t="s">
        <v>515</v>
      </c>
      <c r="AA240" s="193" t="s">
        <v>516</v>
      </c>
      <c r="AB240" s="193">
        <v>900</v>
      </c>
      <c r="AC240" s="193" t="s">
        <v>517</v>
      </c>
      <c r="AD240" s="193" t="s">
        <v>152</v>
      </c>
      <c r="AE240" s="193">
        <v>900</v>
      </c>
      <c r="AF240" s="193" t="s">
        <v>518</v>
      </c>
      <c r="AG240" s="193" t="s">
        <v>519</v>
      </c>
      <c r="AH240" s="193">
        <v>0</v>
      </c>
      <c r="AI240" s="193">
        <v>900</v>
      </c>
      <c r="AJ240" s="193" t="s">
        <v>1041</v>
      </c>
      <c r="AL240" s="197" t="s">
        <v>1042</v>
      </c>
      <c r="AM240" s="193">
        <v>1</v>
      </c>
      <c r="AN240" s="193">
        <v>0</v>
      </c>
      <c r="AO240" s="193">
        <v>0</v>
      </c>
      <c r="AP240" s="193">
        <v>0</v>
      </c>
      <c r="AQ240" s="193" t="s">
        <v>214</v>
      </c>
      <c r="AS240" s="197" t="s">
        <v>518</v>
      </c>
      <c r="AT240" s="197" t="s">
        <v>519</v>
      </c>
      <c r="AV240" s="194">
        <v>414</v>
      </c>
      <c r="AW240" s="194">
        <v>0</v>
      </c>
      <c r="AX240" s="194">
        <v>0</v>
      </c>
      <c r="AY240" s="549">
        <v>414</v>
      </c>
      <c r="AZ240" s="194">
        <v>0</v>
      </c>
      <c r="BA240" s="194">
        <v>486</v>
      </c>
      <c r="BB240" s="551">
        <v>486</v>
      </c>
      <c r="BC240" s="551">
        <v>900</v>
      </c>
      <c r="BD240" s="551">
        <v>0</v>
      </c>
      <c r="BF240" s="550">
        <f t="shared" si="60"/>
        <v>414</v>
      </c>
      <c r="BG240" s="550">
        <f t="shared" si="61"/>
        <v>0</v>
      </c>
      <c r="BH240" s="550">
        <f t="shared" si="62"/>
        <v>0</v>
      </c>
      <c r="BI240" s="550">
        <f t="shared" si="63"/>
        <v>414</v>
      </c>
      <c r="BJ240" s="550">
        <f t="shared" si="64"/>
        <v>0</v>
      </c>
      <c r="BK240" s="550">
        <f t="shared" si="65"/>
        <v>486</v>
      </c>
      <c r="BL240" s="550">
        <f t="shared" si="66"/>
        <v>486</v>
      </c>
      <c r="BM240" s="550">
        <f t="shared" si="67"/>
        <v>900</v>
      </c>
      <c r="BO240" s="194"/>
      <c r="BQ240" s="193">
        <f t="shared" si="68"/>
        <v>0</v>
      </c>
      <c r="BR240" s="193">
        <f t="shared" si="69"/>
        <v>0</v>
      </c>
      <c r="BS240" s="193">
        <f t="shared" si="70"/>
        <v>0</v>
      </c>
      <c r="BT240" s="193">
        <f t="shared" si="70"/>
        <v>0</v>
      </c>
    </row>
    <row r="241" spans="1:72" ht="13.5" customHeight="1">
      <c r="A241" s="193" t="s">
        <v>378</v>
      </c>
      <c r="B241" s="193" t="s">
        <v>379</v>
      </c>
      <c r="C241" s="193" t="s">
        <v>214</v>
      </c>
      <c r="D241" s="193" t="s">
        <v>997</v>
      </c>
      <c r="E241" s="193" t="s">
        <v>998</v>
      </c>
      <c r="F241" s="193" t="s">
        <v>845</v>
      </c>
      <c r="G241" s="193" t="s">
        <v>845</v>
      </c>
      <c r="H241" s="193" t="s">
        <v>999</v>
      </c>
      <c r="I241" s="193" t="s">
        <v>512</v>
      </c>
      <c r="J241" s="193" t="s">
        <v>1043</v>
      </c>
      <c r="K241" s="193" t="s">
        <v>386</v>
      </c>
      <c r="L241" s="193" t="s">
        <v>387</v>
      </c>
      <c r="M241" s="193" t="s">
        <v>378</v>
      </c>
      <c r="N241" s="193" t="s">
        <v>514</v>
      </c>
      <c r="O241" s="193" t="s">
        <v>129</v>
      </c>
      <c r="P241" s="193" t="s">
        <v>150</v>
      </c>
      <c r="Q241" s="193" t="s">
        <v>149</v>
      </c>
      <c r="R241" s="193" t="s">
        <v>148</v>
      </c>
      <c r="S241" s="193" t="s">
        <v>152</v>
      </c>
      <c r="T241" s="193" t="s">
        <v>389</v>
      </c>
      <c r="U241" s="193" t="s">
        <v>390</v>
      </c>
      <c r="V241" s="193">
        <v>0</v>
      </c>
      <c r="W241" s="193">
        <v>0</v>
      </c>
      <c r="X241" s="193">
        <v>0</v>
      </c>
      <c r="Y241" s="194">
        <v>300</v>
      </c>
      <c r="Z241" s="193" t="s">
        <v>515</v>
      </c>
      <c r="AA241" s="193" t="s">
        <v>516</v>
      </c>
      <c r="AB241" s="193">
        <v>300</v>
      </c>
      <c r="AC241" s="193" t="s">
        <v>517</v>
      </c>
      <c r="AD241" s="193" t="s">
        <v>152</v>
      </c>
      <c r="AE241" s="193">
        <v>300</v>
      </c>
      <c r="AF241" s="193" t="s">
        <v>518</v>
      </c>
      <c r="AG241" s="193" t="s">
        <v>519</v>
      </c>
      <c r="AH241" s="193">
        <v>0</v>
      </c>
      <c r="AI241" s="193">
        <v>300</v>
      </c>
      <c r="AJ241" s="193" t="s">
        <v>1044</v>
      </c>
      <c r="AL241" s="197" t="s">
        <v>1045</v>
      </c>
      <c r="AM241" s="193">
        <v>1</v>
      </c>
      <c r="AN241" s="193">
        <v>0</v>
      </c>
      <c r="AO241" s="193">
        <v>0</v>
      </c>
      <c r="AP241" s="193">
        <v>0</v>
      </c>
      <c r="AQ241" s="193" t="s">
        <v>214</v>
      </c>
      <c r="AS241" s="197" t="s">
        <v>518</v>
      </c>
      <c r="AT241" s="197" t="s">
        <v>519</v>
      </c>
      <c r="AV241" s="194">
        <v>138</v>
      </c>
      <c r="AW241" s="194">
        <v>0</v>
      </c>
      <c r="AX241" s="194">
        <v>0</v>
      </c>
      <c r="AY241" s="549">
        <v>138</v>
      </c>
      <c r="AZ241" s="194">
        <v>0</v>
      </c>
      <c r="BA241" s="194">
        <v>162</v>
      </c>
      <c r="BB241" s="551">
        <v>162</v>
      </c>
      <c r="BC241" s="551">
        <v>300</v>
      </c>
      <c r="BD241" s="551">
        <v>0</v>
      </c>
      <c r="BF241" s="550">
        <f t="shared" si="60"/>
        <v>138</v>
      </c>
      <c r="BG241" s="550">
        <f t="shared" si="61"/>
        <v>0</v>
      </c>
      <c r="BH241" s="550">
        <f t="shared" si="62"/>
        <v>0</v>
      </c>
      <c r="BI241" s="550">
        <f t="shared" si="63"/>
        <v>138</v>
      </c>
      <c r="BJ241" s="550">
        <f t="shared" si="64"/>
        <v>0</v>
      </c>
      <c r="BK241" s="550">
        <f t="shared" si="65"/>
        <v>162</v>
      </c>
      <c r="BL241" s="550">
        <f t="shared" si="66"/>
        <v>162</v>
      </c>
      <c r="BM241" s="550">
        <f t="shared" si="67"/>
        <v>300</v>
      </c>
      <c r="BO241" s="194"/>
      <c r="BQ241" s="193">
        <f t="shared" si="68"/>
        <v>0</v>
      </c>
      <c r="BR241" s="193">
        <f t="shared" si="69"/>
        <v>0</v>
      </c>
      <c r="BS241" s="193">
        <f t="shared" si="70"/>
        <v>0</v>
      </c>
      <c r="BT241" s="193">
        <f t="shared" si="70"/>
        <v>0</v>
      </c>
    </row>
    <row r="242" spans="1:72" ht="13.5" customHeight="1">
      <c r="A242" s="193" t="s">
        <v>378</v>
      </c>
      <c r="B242" s="193" t="s">
        <v>379</v>
      </c>
      <c r="C242" s="193" t="s">
        <v>214</v>
      </c>
      <c r="D242" s="193" t="s">
        <v>997</v>
      </c>
      <c r="E242" s="193" t="s">
        <v>998</v>
      </c>
      <c r="F242" s="193" t="s">
        <v>845</v>
      </c>
      <c r="G242" s="193" t="s">
        <v>845</v>
      </c>
      <c r="H242" s="193" t="s">
        <v>999</v>
      </c>
      <c r="I242" s="193" t="s">
        <v>512</v>
      </c>
      <c r="J242" s="193" t="s">
        <v>1043</v>
      </c>
      <c r="K242" s="193" t="s">
        <v>386</v>
      </c>
      <c r="L242" s="193" t="s">
        <v>531</v>
      </c>
      <c r="M242" s="193" t="s">
        <v>378</v>
      </c>
      <c r="N242" s="193" t="s">
        <v>514</v>
      </c>
      <c r="O242" s="193" t="s">
        <v>129</v>
      </c>
      <c r="P242" s="193" t="s">
        <v>150</v>
      </c>
      <c r="Q242" s="193" t="s">
        <v>149</v>
      </c>
      <c r="R242" s="193" t="s">
        <v>148</v>
      </c>
      <c r="S242" s="193" t="s">
        <v>152</v>
      </c>
      <c r="T242" s="193" t="s">
        <v>389</v>
      </c>
      <c r="U242" s="193" t="s">
        <v>390</v>
      </c>
      <c r="V242" s="193">
        <v>0</v>
      </c>
      <c r="W242" s="193">
        <v>0</v>
      </c>
      <c r="X242" s="193">
        <v>0</v>
      </c>
      <c r="Y242" s="194">
        <v>300</v>
      </c>
      <c r="Z242" s="193" t="s">
        <v>515</v>
      </c>
      <c r="AA242" s="193" t="s">
        <v>516</v>
      </c>
      <c r="AB242" s="193">
        <v>300</v>
      </c>
      <c r="AC242" s="193" t="s">
        <v>517</v>
      </c>
      <c r="AD242" s="193" t="s">
        <v>152</v>
      </c>
      <c r="AE242" s="193">
        <v>300</v>
      </c>
      <c r="AF242" s="193" t="s">
        <v>518</v>
      </c>
      <c r="AG242" s="193" t="s">
        <v>519</v>
      </c>
      <c r="AH242" s="193">
        <v>0</v>
      </c>
      <c r="AI242" s="193">
        <v>300</v>
      </c>
      <c r="AJ242" s="193" t="s">
        <v>1046</v>
      </c>
      <c r="AL242" s="197" t="s">
        <v>1047</v>
      </c>
      <c r="AM242" s="193">
        <v>1</v>
      </c>
      <c r="AN242" s="193">
        <v>0</v>
      </c>
      <c r="AO242" s="193">
        <v>0</v>
      </c>
      <c r="AP242" s="193">
        <v>0</v>
      </c>
      <c r="AQ242" s="193" t="s">
        <v>214</v>
      </c>
      <c r="AS242" s="197" t="s">
        <v>518</v>
      </c>
      <c r="AT242" s="197" t="s">
        <v>519</v>
      </c>
      <c r="AV242" s="194">
        <v>138</v>
      </c>
      <c r="AW242" s="194">
        <v>0</v>
      </c>
      <c r="AX242" s="194">
        <v>0</v>
      </c>
      <c r="AY242" s="549">
        <v>138</v>
      </c>
      <c r="AZ242" s="194">
        <v>0</v>
      </c>
      <c r="BA242" s="194">
        <v>162</v>
      </c>
      <c r="BB242" s="551">
        <v>162</v>
      </c>
      <c r="BC242" s="551">
        <v>300</v>
      </c>
      <c r="BD242" s="551">
        <v>0</v>
      </c>
      <c r="BF242" s="550">
        <f t="shared" si="60"/>
        <v>138</v>
      </c>
      <c r="BG242" s="550">
        <f t="shared" si="61"/>
        <v>0</v>
      </c>
      <c r="BH242" s="550">
        <f t="shared" si="62"/>
        <v>0</v>
      </c>
      <c r="BI242" s="550">
        <f t="shared" si="63"/>
        <v>138</v>
      </c>
      <c r="BJ242" s="550">
        <f t="shared" si="64"/>
        <v>0</v>
      </c>
      <c r="BK242" s="550">
        <f t="shared" si="65"/>
        <v>162</v>
      </c>
      <c r="BL242" s="550">
        <f t="shared" si="66"/>
        <v>162</v>
      </c>
      <c r="BM242" s="550">
        <f t="shared" si="67"/>
        <v>300</v>
      </c>
      <c r="BO242" s="194"/>
      <c r="BQ242" s="193">
        <f t="shared" si="68"/>
        <v>0</v>
      </c>
      <c r="BR242" s="193">
        <f t="shared" si="69"/>
        <v>0</v>
      </c>
      <c r="BS242" s="193">
        <f t="shared" si="70"/>
        <v>0</v>
      </c>
      <c r="BT242" s="193">
        <f t="shared" si="70"/>
        <v>0</v>
      </c>
    </row>
    <row r="243" spans="1:72" ht="13.5" customHeight="1">
      <c r="A243" s="193" t="s">
        <v>378</v>
      </c>
      <c r="B243" s="193" t="s">
        <v>379</v>
      </c>
      <c r="C243" s="193" t="s">
        <v>214</v>
      </c>
      <c r="D243" s="193" t="s">
        <v>997</v>
      </c>
      <c r="E243" s="193" t="s">
        <v>998</v>
      </c>
      <c r="F243" s="193" t="s">
        <v>1048</v>
      </c>
      <c r="G243" s="193" t="s">
        <v>1048</v>
      </c>
      <c r="H243" s="193" t="s">
        <v>999</v>
      </c>
      <c r="I243" s="193" t="s">
        <v>512</v>
      </c>
      <c r="J243" s="193" t="s">
        <v>1049</v>
      </c>
      <c r="K243" s="193" t="s">
        <v>386</v>
      </c>
      <c r="L243" s="193" t="s">
        <v>387</v>
      </c>
      <c r="M243" s="193" t="s">
        <v>378</v>
      </c>
      <c r="N243" s="193" t="s">
        <v>514</v>
      </c>
      <c r="O243" s="193" t="s">
        <v>129</v>
      </c>
      <c r="P243" s="193" t="s">
        <v>150</v>
      </c>
      <c r="Q243" s="193" t="s">
        <v>149</v>
      </c>
      <c r="R243" s="193" t="s">
        <v>148</v>
      </c>
      <c r="S243" s="193" t="s">
        <v>152</v>
      </c>
      <c r="T243" s="193" t="s">
        <v>389</v>
      </c>
      <c r="U243" s="193" t="s">
        <v>390</v>
      </c>
      <c r="V243" s="193">
        <v>0</v>
      </c>
      <c r="W243" s="193">
        <v>0</v>
      </c>
      <c r="X243" s="193">
        <v>0</v>
      </c>
      <c r="Y243" s="194">
        <v>470</v>
      </c>
      <c r="Z243" s="193" t="s">
        <v>515</v>
      </c>
      <c r="AA243" s="193" t="s">
        <v>516</v>
      </c>
      <c r="AB243" s="193">
        <v>470</v>
      </c>
      <c r="AC243" s="193" t="s">
        <v>517</v>
      </c>
      <c r="AD243" s="193" t="s">
        <v>152</v>
      </c>
      <c r="AE243" s="193">
        <v>470</v>
      </c>
      <c r="AF243" s="193" t="s">
        <v>518</v>
      </c>
      <c r="AG243" s="193" t="s">
        <v>519</v>
      </c>
      <c r="AH243" s="193">
        <v>0</v>
      </c>
      <c r="AI243" s="193">
        <v>470</v>
      </c>
      <c r="AJ243" s="193" t="s">
        <v>1050</v>
      </c>
      <c r="AL243" s="197" t="s">
        <v>1051</v>
      </c>
      <c r="AM243" s="193">
        <v>1</v>
      </c>
      <c r="AN243" s="193">
        <v>0</v>
      </c>
      <c r="AO243" s="193">
        <v>0</v>
      </c>
      <c r="AP243" s="193">
        <v>0</v>
      </c>
      <c r="AQ243" s="193" t="s">
        <v>214</v>
      </c>
      <c r="AS243" s="197" t="s">
        <v>518</v>
      </c>
      <c r="AT243" s="197" t="s">
        <v>519</v>
      </c>
      <c r="AV243" s="194">
        <v>216</v>
      </c>
      <c r="AW243" s="194">
        <v>0</v>
      </c>
      <c r="AX243" s="194">
        <v>0</v>
      </c>
      <c r="AY243" s="549">
        <v>216</v>
      </c>
      <c r="AZ243" s="194">
        <v>0</v>
      </c>
      <c r="BA243" s="194">
        <v>254</v>
      </c>
      <c r="BB243" s="551">
        <v>254</v>
      </c>
      <c r="BC243" s="551">
        <v>470</v>
      </c>
      <c r="BD243" s="551">
        <v>0</v>
      </c>
      <c r="BF243" s="550">
        <f t="shared" si="60"/>
        <v>216</v>
      </c>
      <c r="BG243" s="550">
        <f t="shared" si="61"/>
        <v>0</v>
      </c>
      <c r="BH243" s="550">
        <f t="shared" si="62"/>
        <v>0</v>
      </c>
      <c r="BI243" s="550">
        <f t="shared" si="63"/>
        <v>216</v>
      </c>
      <c r="BJ243" s="550">
        <f t="shared" si="64"/>
        <v>0</v>
      </c>
      <c r="BK243" s="550">
        <f t="shared" si="65"/>
        <v>254</v>
      </c>
      <c r="BL243" s="550">
        <f t="shared" si="66"/>
        <v>254</v>
      </c>
      <c r="BM243" s="550">
        <f t="shared" si="67"/>
        <v>470</v>
      </c>
      <c r="BO243" s="194"/>
      <c r="BQ243" s="193">
        <f t="shared" si="68"/>
        <v>0</v>
      </c>
      <c r="BR243" s="193">
        <f t="shared" si="69"/>
        <v>0</v>
      </c>
      <c r="BS243" s="193">
        <f t="shared" si="70"/>
        <v>0</v>
      </c>
      <c r="BT243" s="193">
        <f t="shared" si="70"/>
        <v>0</v>
      </c>
    </row>
    <row r="244" spans="1:72" ht="13.5" customHeight="1">
      <c r="A244" s="193" t="s">
        <v>378</v>
      </c>
      <c r="B244" s="193" t="s">
        <v>379</v>
      </c>
      <c r="C244" s="193" t="s">
        <v>214</v>
      </c>
      <c r="D244" s="193" t="s">
        <v>997</v>
      </c>
      <c r="E244" s="193" t="s">
        <v>998</v>
      </c>
      <c r="F244" s="193" t="s">
        <v>601</v>
      </c>
      <c r="G244" s="193" t="s">
        <v>601</v>
      </c>
      <c r="H244" s="193" t="s">
        <v>999</v>
      </c>
      <c r="I244" s="193" t="s">
        <v>512</v>
      </c>
      <c r="J244" s="193" t="s">
        <v>1052</v>
      </c>
      <c r="K244" s="193" t="s">
        <v>386</v>
      </c>
      <c r="L244" s="193" t="s">
        <v>387</v>
      </c>
      <c r="M244" s="193" t="s">
        <v>378</v>
      </c>
      <c r="N244" s="193" t="s">
        <v>514</v>
      </c>
      <c r="O244" s="193" t="s">
        <v>129</v>
      </c>
      <c r="P244" s="193" t="s">
        <v>150</v>
      </c>
      <c r="Q244" s="193" t="s">
        <v>149</v>
      </c>
      <c r="R244" s="193" t="s">
        <v>148</v>
      </c>
      <c r="S244" s="193" t="s">
        <v>152</v>
      </c>
      <c r="T244" s="193" t="s">
        <v>389</v>
      </c>
      <c r="U244" s="193" t="s">
        <v>390</v>
      </c>
      <c r="V244" s="193">
        <v>0</v>
      </c>
      <c r="W244" s="193">
        <v>0</v>
      </c>
      <c r="X244" s="193">
        <v>0</v>
      </c>
      <c r="Y244" s="194">
        <v>300</v>
      </c>
      <c r="Z244" s="193" t="s">
        <v>515</v>
      </c>
      <c r="AA244" s="193" t="s">
        <v>516</v>
      </c>
      <c r="AB244" s="193">
        <v>300</v>
      </c>
      <c r="AC244" s="193" t="s">
        <v>517</v>
      </c>
      <c r="AD244" s="193" t="s">
        <v>152</v>
      </c>
      <c r="AE244" s="193">
        <v>300</v>
      </c>
      <c r="AF244" s="193" t="s">
        <v>518</v>
      </c>
      <c r="AG244" s="193" t="s">
        <v>519</v>
      </c>
      <c r="AH244" s="193">
        <v>0</v>
      </c>
      <c r="AI244" s="193">
        <v>300</v>
      </c>
      <c r="AJ244" s="193" t="s">
        <v>1053</v>
      </c>
      <c r="AL244" s="197" t="s">
        <v>1054</v>
      </c>
      <c r="AM244" s="193">
        <v>1</v>
      </c>
      <c r="AN244" s="193">
        <v>0</v>
      </c>
      <c r="AO244" s="193">
        <v>0</v>
      </c>
      <c r="AP244" s="193">
        <v>0</v>
      </c>
      <c r="AQ244" s="193" t="s">
        <v>214</v>
      </c>
      <c r="AS244" s="197" t="s">
        <v>518</v>
      </c>
      <c r="AT244" s="197" t="s">
        <v>519</v>
      </c>
      <c r="AV244" s="194">
        <v>138</v>
      </c>
      <c r="AW244" s="194">
        <v>0</v>
      </c>
      <c r="AX244" s="194">
        <v>0</v>
      </c>
      <c r="AY244" s="549">
        <v>138</v>
      </c>
      <c r="AZ244" s="194">
        <v>0</v>
      </c>
      <c r="BA244" s="194">
        <v>162</v>
      </c>
      <c r="BB244" s="551">
        <v>162</v>
      </c>
      <c r="BC244" s="551">
        <v>300</v>
      </c>
      <c r="BD244" s="551">
        <v>0</v>
      </c>
      <c r="BF244" s="550">
        <f t="shared" si="60"/>
        <v>138</v>
      </c>
      <c r="BG244" s="550">
        <f t="shared" si="61"/>
        <v>0</v>
      </c>
      <c r="BH244" s="550">
        <f t="shared" si="62"/>
        <v>0</v>
      </c>
      <c r="BI244" s="550">
        <f t="shared" si="63"/>
        <v>138</v>
      </c>
      <c r="BJ244" s="550">
        <f t="shared" si="64"/>
        <v>0</v>
      </c>
      <c r="BK244" s="550">
        <f t="shared" si="65"/>
        <v>162</v>
      </c>
      <c r="BL244" s="550">
        <f t="shared" si="66"/>
        <v>162</v>
      </c>
      <c r="BM244" s="550">
        <f t="shared" si="67"/>
        <v>300</v>
      </c>
      <c r="BO244" s="194"/>
      <c r="BQ244" s="193">
        <f t="shared" si="68"/>
        <v>0</v>
      </c>
      <c r="BR244" s="193">
        <f t="shared" si="69"/>
        <v>0</v>
      </c>
      <c r="BS244" s="193">
        <f t="shared" si="70"/>
        <v>0</v>
      </c>
      <c r="BT244" s="193">
        <f t="shared" si="70"/>
        <v>0</v>
      </c>
    </row>
    <row r="245" spans="1:72" ht="13.5" customHeight="1">
      <c r="A245" s="193" t="s">
        <v>378</v>
      </c>
      <c r="B245" s="193" t="s">
        <v>379</v>
      </c>
      <c r="C245" s="193" t="s">
        <v>214</v>
      </c>
      <c r="D245" s="193" t="s">
        <v>997</v>
      </c>
      <c r="E245" s="193" t="s">
        <v>998</v>
      </c>
      <c r="F245" s="193" t="s">
        <v>1013</v>
      </c>
      <c r="G245" s="193" t="s">
        <v>1013</v>
      </c>
      <c r="H245" s="193" t="s">
        <v>999</v>
      </c>
      <c r="I245" s="193" t="s">
        <v>512</v>
      </c>
      <c r="J245" s="193" t="s">
        <v>1014</v>
      </c>
      <c r="K245" s="193" t="s">
        <v>386</v>
      </c>
      <c r="L245" s="193" t="s">
        <v>387</v>
      </c>
      <c r="M245" s="193" t="s">
        <v>378</v>
      </c>
      <c r="N245" s="193" t="s">
        <v>514</v>
      </c>
      <c r="O245" s="193" t="s">
        <v>129</v>
      </c>
      <c r="P245" s="193" t="s">
        <v>150</v>
      </c>
      <c r="Q245" s="193" t="s">
        <v>149</v>
      </c>
      <c r="R245" s="193" t="s">
        <v>148</v>
      </c>
      <c r="S245" s="193" t="s">
        <v>152</v>
      </c>
      <c r="T245" s="193" t="s">
        <v>389</v>
      </c>
      <c r="U245" s="193" t="s">
        <v>390</v>
      </c>
      <c r="V245" s="193">
        <v>0</v>
      </c>
      <c r="W245" s="193">
        <v>0</v>
      </c>
      <c r="X245" s="193">
        <v>0</v>
      </c>
      <c r="Y245" s="194">
        <v>300</v>
      </c>
      <c r="Z245" s="193" t="s">
        <v>515</v>
      </c>
      <c r="AA245" s="193" t="s">
        <v>516</v>
      </c>
      <c r="AB245" s="193">
        <v>300</v>
      </c>
      <c r="AC245" s="193" t="s">
        <v>517</v>
      </c>
      <c r="AD245" s="193" t="s">
        <v>152</v>
      </c>
      <c r="AE245" s="193">
        <v>300</v>
      </c>
      <c r="AF245" s="193" t="s">
        <v>518</v>
      </c>
      <c r="AG245" s="193" t="s">
        <v>519</v>
      </c>
      <c r="AH245" s="193">
        <v>0</v>
      </c>
      <c r="AI245" s="193">
        <v>300</v>
      </c>
      <c r="AJ245" s="193" t="s">
        <v>1015</v>
      </c>
      <c r="AL245" s="197" t="s">
        <v>1016</v>
      </c>
      <c r="AM245" s="193">
        <v>1</v>
      </c>
      <c r="AN245" s="193">
        <v>0</v>
      </c>
      <c r="AO245" s="193">
        <v>0</v>
      </c>
      <c r="AP245" s="193">
        <v>0</v>
      </c>
      <c r="AQ245" s="193" t="s">
        <v>214</v>
      </c>
      <c r="AS245" s="197" t="s">
        <v>518</v>
      </c>
      <c r="AT245" s="197" t="s">
        <v>519</v>
      </c>
      <c r="AV245" s="194">
        <v>138</v>
      </c>
      <c r="AW245" s="194">
        <v>0</v>
      </c>
      <c r="AX245" s="194">
        <v>0</v>
      </c>
      <c r="AY245" s="549">
        <v>138</v>
      </c>
      <c r="AZ245" s="194">
        <v>0</v>
      </c>
      <c r="BA245" s="194">
        <v>162</v>
      </c>
      <c r="BB245" s="551">
        <v>162</v>
      </c>
      <c r="BC245" s="551">
        <v>300</v>
      </c>
      <c r="BD245" s="551">
        <v>0</v>
      </c>
      <c r="BF245" s="550">
        <f t="shared" si="60"/>
        <v>138</v>
      </c>
      <c r="BG245" s="550">
        <f t="shared" si="61"/>
        <v>0</v>
      </c>
      <c r="BH245" s="550">
        <f t="shared" si="62"/>
        <v>0</v>
      </c>
      <c r="BI245" s="550">
        <f t="shared" si="63"/>
        <v>138</v>
      </c>
      <c r="BJ245" s="550">
        <f t="shared" si="64"/>
        <v>0</v>
      </c>
      <c r="BK245" s="550">
        <f t="shared" si="65"/>
        <v>162</v>
      </c>
      <c r="BL245" s="550">
        <f t="shared" si="66"/>
        <v>162</v>
      </c>
      <c r="BM245" s="550">
        <f t="shared" si="67"/>
        <v>300</v>
      </c>
      <c r="BO245" s="194"/>
      <c r="BQ245" s="193">
        <f t="shared" si="68"/>
        <v>0</v>
      </c>
      <c r="BR245" s="193">
        <f t="shared" si="69"/>
        <v>0</v>
      </c>
      <c r="BS245" s="193">
        <f t="shared" si="70"/>
        <v>0</v>
      </c>
      <c r="BT245" s="193">
        <f t="shared" si="70"/>
        <v>0</v>
      </c>
    </row>
    <row r="246" spans="1:72" ht="13.5" customHeight="1">
      <c r="A246" s="193" t="s">
        <v>378</v>
      </c>
      <c r="B246" s="193" t="s">
        <v>379</v>
      </c>
      <c r="C246" s="193" t="s">
        <v>214</v>
      </c>
      <c r="D246" s="193" t="s">
        <v>997</v>
      </c>
      <c r="E246" s="193" t="s">
        <v>998</v>
      </c>
      <c r="F246" s="193" t="s">
        <v>650</v>
      </c>
      <c r="G246" s="193" t="s">
        <v>650</v>
      </c>
      <c r="H246" s="193" t="s">
        <v>999</v>
      </c>
      <c r="I246" s="193" t="s">
        <v>512</v>
      </c>
      <c r="J246" s="193" t="s">
        <v>1000</v>
      </c>
      <c r="K246" s="193" t="s">
        <v>386</v>
      </c>
      <c r="L246" s="193" t="s">
        <v>387</v>
      </c>
      <c r="M246" s="193" t="s">
        <v>378</v>
      </c>
      <c r="N246" s="193" t="s">
        <v>514</v>
      </c>
      <c r="O246" s="193" t="s">
        <v>129</v>
      </c>
      <c r="P246" s="193" t="s">
        <v>150</v>
      </c>
      <c r="Q246" s="193" t="s">
        <v>149</v>
      </c>
      <c r="R246" s="193" t="s">
        <v>148</v>
      </c>
      <c r="S246" s="193" t="s">
        <v>152</v>
      </c>
      <c r="T246" s="193" t="s">
        <v>389</v>
      </c>
      <c r="U246" s="193" t="s">
        <v>390</v>
      </c>
      <c r="V246" s="193">
        <v>0</v>
      </c>
      <c r="W246" s="193">
        <v>0</v>
      </c>
      <c r="X246" s="193">
        <v>0</v>
      </c>
      <c r="Y246" s="194">
        <v>300</v>
      </c>
      <c r="Z246" s="193" t="s">
        <v>515</v>
      </c>
      <c r="AA246" s="193" t="s">
        <v>516</v>
      </c>
      <c r="AB246" s="193">
        <v>300</v>
      </c>
      <c r="AC246" s="193" t="s">
        <v>517</v>
      </c>
      <c r="AD246" s="193" t="s">
        <v>152</v>
      </c>
      <c r="AE246" s="193">
        <v>300</v>
      </c>
      <c r="AF246" s="193" t="s">
        <v>518</v>
      </c>
      <c r="AG246" s="193" t="s">
        <v>519</v>
      </c>
      <c r="AH246" s="193">
        <v>0</v>
      </c>
      <c r="AI246" s="193">
        <v>300</v>
      </c>
      <c r="AJ246" s="193" t="s">
        <v>1001</v>
      </c>
      <c r="AL246" s="197" t="s">
        <v>1002</v>
      </c>
      <c r="AM246" s="193">
        <v>1</v>
      </c>
      <c r="AN246" s="193">
        <v>0</v>
      </c>
      <c r="AO246" s="193">
        <v>0</v>
      </c>
      <c r="AP246" s="193">
        <v>0</v>
      </c>
      <c r="AQ246" s="193" t="s">
        <v>214</v>
      </c>
      <c r="AS246" s="197" t="s">
        <v>518</v>
      </c>
      <c r="AT246" s="197" t="s">
        <v>519</v>
      </c>
      <c r="AV246" s="194">
        <v>138</v>
      </c>
      <c r="AW246" s="194">
        <v>0</v>
      </c>
      <c r="AX246" s="194">
        <v>0</v>
      </c>
      <c r="AY246" s="549">
        <v>138</v>
      </c>
      <c r="AZ246" s="194">
        <v>0</v>
      </c>
      <c r="BA246" s="194">
        <v>162</v>
      </c>
      <c r="BB246" s="551">
        <v>162</v>
      </c>
      <c r="BC246" s="551">
        <v>300</v>
      </c>
      <c r="BD246" s="551">
        <v>0</v>
      </c>
      <c r="BF246" s="550">
        <f t="shared" si="60"/>
        <v>138</v>
      </c>
      <c r="BG246" s="550">
        <f t="shared" si="61"/>
        <v>0</v>
      </c>
      <c r="BH246" s="550">
        <f t="shared" si="62"/>
        <v>0</v>
      </c>
      <c r="BI246" s="550">
        <f t="shared" si="63"/>
        <v>138</v>
      </c>
      <c r="BJ246" s="550">
        <f t="shared" si="64"/>
        <v>0</v>
      </c>
      <c r="BK246" s="550">
        <f t="shared" si="65"/>
        <v>162</v>
      </c>
      <c r="BL246" s="550">
        <f t="shared" si="66"/>
        <v>162</v>
      </c>
      <c r="BM246" s="550">
        <f t="shared" si="67"/>
        <v>300</v>
      </c>
      <c r="BO246" s="194"/>
      <c r="BQ246" s="193">
        <f t="shared" si="68"/>
        <v>0</v>
      </c>
      <c r="BR246" s="193">
        <f t="shared" si="69"/>
        <v>0</v>
      </c>
      <c r="BS246" s="193">
        <f t="shared" si="70"/>
        <v>0</v>
      </c>
      <c r="BT246" s="193">
        <f t="shared" si="70"/>
        <v>0</v>
      </c>
    </row>
    <row r="247" spans="1:72" ht="13.5" customHeight="1">
      <c r="A247" s="193" t="s">
        <v>378</v>
      </c>
      <c r="B247" s="193" t="s">
        <v>379</v>
      </c>
      <c r="C247" s="193" t="s">
        <v>214</v>
      </c>
      <c r="D247" s="193" t="s">
        <v>997</v>
      </c>
      <c r="E247" s="193" t="s">
        <v>998</v>
      </c>
      <c r="F247" s="193" t="s">
        <v>1077</v>
      </c>
      <c r="G247" s="193" t="s">
        <v>1077</v>
      </c>
      <c r="H247" s="193" t="s">
        <v>999</v>
      </c>
      <c r="I247" s="193" t="s">
        <v>512</v>
      </c>
      <c r="J247" s="193" t="s">
        <v>1078</v>
      </c>
      <c r="K247" s="193" t="s">
        <v>386</v>
      </c>
      <c r="L247" s="193" t="s">
        <v>387</v>
      </c>
      <c r="M247" s="193" t="s">
        <v>378</v>
      </c>
      <c r="N247" s="193" t="s">
        <v>514</v>
      </c>
      <c r="O247" s="193" t="s">
        <v>129</v>
      </c>
      <c r="P247" s="193" t="s">
        <v>150</v>
      </c>
      <c r="Q247" s="193" t="s">
        <v>149</v>
      </c>
      <c r="R247" s="193" t="s">
        <v>148</v>
      </c>
      <c r="S247" s="193" t="s">
        <v>152</v>
      </c>
      <c r="T247" s="193" t="s">
        <v>389</v>
      </c>
      <c r="U247" s="193" t="s">
        <v>390</v>
      </c>
      <c r="V247" s="193">
        <v>0</v>
      </c>
      <c r="W247" s="193">
        <v>0</v>
      </c>
      <c r="X247" s="193">
        <v>0</v>
      </c>
      <c r="Y247" s="194">
        <v>200</v>
      </c>
      <c r="Z247" s="193" t="s">
        <v>515</v>
      </c>
      <c r="AA247" s="193" t="s">
        <v>516</v>
      </c>
      <c r="AB247" s="193">
        <v>200</v>
      </c>
      <c r="AC247" s="193" t="s">
        <v>517</v>
      </c>
      <c r="AD247" s="193" t="s">
        <v>152</v>
      </c>
      <c r="AE247" s="193">
        <v>200</v>
      </c>
      <c r="AF247" s="193" t="s">
        <v>518</v>
      </c>
      <c r="AG247" s="193" t="s">
        <v>519</v>
      </c>
      <c r="AH247" s="193">
        <v>0</v>
      </c>
      <c r="AI247" s="193">
        <v>200</v>
      </c>
      <c r="AJ247" s="193" t="s">
        <v>1079</v>
      </c>
      <c r="AL247" s="197" t="s">
        <v>1080</v>
      </c>
      <c r="AM247" s="193">
        <v>1</v>
      </c>
      <c r="AN247" s="193">
        <v>0</v>
      </c>
      <c r="AO247" s="193">
        <v>0</v>
      </c>
      <c r="AP247" s="193">
        <v>0</v>
      </c>
      <c r="AQ247" s="193" t="s">
        <v>214</v>
      </c>
      <c r="AS247" s="197" t="s">
        <v>518</v>
      </c>
      <c r="AT247" s="197" t="s">
        <v>519</v>
      </c>
      <c r="AV247" s="194">
        <v>92</v>
      </c>
      <c r="AW247" s="194">
        <v>0</v>
      </c>
      <c r="AX247" s="194">
        <v>0</v>
      </c>
      <c r="AY247" s="549">
        <v>92</v>
      </c>
      <c r="AZ247" s="194">
        <v>0</v>
      </c>
      <c r="BA247" s="194">
        <v>108</v>
      </c>
      <c r="BB247" s="551">
        <v>108</v>
      </c>
      <c r="BC247" s="551">
        <v>200</v>
      </c>
      <c r="BD247" s="551">
        <v>0</v>
      </c>
      <c r="BF247" s="550">
        <f t="shared" si="60"/>
        <v>92</v>
      </c>
      <c r="BG247" s="550">
        <f t="shared" si="61"/>
        <v>0</v>
      </c>
      <c r="BH247" s="550">
        <f t="shared" si="62"/>
        <v>0</v>
      </c>
      <c r="BI247" s="550">
        <f t="shared" si="63"/>
        <v>92</v>
      </c>
      <c r="BJ247" s="550">
        <f t="shared" si="64"/>
        <v>0</v>
      </c>
      <c r="BK247" s="550">
        <f t="shared" si="65"/>
        <v>108</v>
      </c>
      <c r="BL247" s="550">
        <f t="shared" si="66"/>
        <v>108</v>
      </c>
      <c r="BM247" s="550">
        <f t="shared" si="67"/>
        <v>200</v>
      </c>
      <c r="BO247" s="194"/>
      <c r="BQ247" s="193">
        <f t="shared" si="68"/>
        <v>0</v>
      </c>
      <c r="BR247" s="193">
        <f t="shared" si="69"/>
        <v>0</v>
      </c>
      <c r="BS247" s="193">
        <f t="shared" si="70"/>
        <v>0</v>
      </c>
      <c r="BT247" s="193">
        <f t="shared" si="70"/>
        <v>0</v>
      </c>
    </row>
    <row r="248" spans="1:72" ht="13.5" customHeight="1">
      <c r="A248" s="193" t="s">
        <v>378</v>
      </c>
      <c r="B248" s="193" t="s">
        <v>379</v>
      </c>
      <c r="C248" s="193" t="s">
        <v>214</v>
      </c>
      <c r="D248" s="193" t="s">
        <v>997</v>
      </c>
      <c r="E248" s="193" t="s">
        <v>998</v>
      </c>
      <c r="F248" s="193" t="s">
        <v>502</v>
      </c>
      <c r="G248" s="193" t="s">
        <v>502</v>
      </c>
      <c r="H248" s="193" t="s">
        <v>999</v>
      </c>
      <c r="I248" s="193" t="s">
        <v>512</v>
      </c>
      <c r="J248" s="193" t="s">
        <v>1081</v>
      </c>
      <c r="K248" s="193" t="s">
        <v>386</v>
      </c>
      <c r="L248" s="193" t="s">
        <v>387</v>
      </c>
      <c r="M248" s="193" t="s">
        <v>378</v>
      </c>
      <c r="N248" s="193" t="s">
        <v>514</v>
      </c>
      <c r="O248" s="193" t="s">
        <v>129</v>
      </c>
      <c r="P248" s="193" t="s">
        <v>150</v>
      </c>
      <c r="Q248" s="193" t="s">
        <v>149</v>
      </c>
      <c r="R248" s="193" t="s">
        <v>148</v>
      </c>
      <c r="S248" s="193" t="s">
        <v>152</v>
      </c>
      <c r="T248" s="193" t="s">
        <v>389</v>
      </c>
      <c r="U248" s="193" t="s">
        <v>390</v>
      </c>
      <c r="V248" s="193">
        <v>0</v>
      </c>
      <c r="W248" s="193">
        <v>0</v>
      </c>
      <c r="X248" s="193">
        <v>0</v>
      </c>
      <c r="Y248" s="194">
        <v>300</v>
      </c>
      <c r="Z248" s="193" t="s">
        <v>515</v>
      </c>
      <c r="AA248" s="193" t="s">
        <v>516</v>
      </c>
      <c r="AB248" s="193">
        <v>300</v>
      </c>
      <c r="AC248" s="193" t="s">
        <v>517</v>
      </c>
      <c r="AD248" s="193" t="s">
        <v>152</v>
      </c>
      <c r="AE248" s="193">
        <v>300</v>
      </c>
      <c r="AF248" s="193" t="s">
        <v>518</v>
      </c>
      <c r="AG248" s="193" t="s">
        <v>519</v>
      </c>
      <c r="AH248" s="193">
        <v>0</v>
      </c>
      <c r="AI248" s="193">
        <v>300</v>
      </c>
      <c r="AJ248" s="193" t="s">
        <v>1082</v>
      </c>
      <c r="AL248" s="197" t="s">
        <v>1083</v>
      </c>
      <c r="AM248" s="193">
        <v>1</v>
      </c>
      <c r="AN248" s="193">
        <v>0</v>
      </c>
      <c r="AO248" s="193">
        <v>0</v>
      </c>
      <c r="AP248" s="193">
        <v>0</v>
      </c>
      <c r="AQ248" s="193" t="s">
        <v>214</v>
      </c>
      <c r="AS248" s="197" t="s">
        <v>518</v>
      </c>
      <c r="AT248" s="197" t="s">
        <v>519</v>
      </c>
      <c r="AV248" s="194">
        <v>138</v>
      </c>
      <c r="AW248" s="194">
        <v>0</v>
      </c>
      <c r="AX248" s="194">
        <v>0</v>
      </c>
      <c r="AY248" s="549">
        <v>138</v>
      </c>
      <c r="AZ248" s="194">
        <v>0</v>
      </c>
      <c r="BA248" s="194">
        <v>162</v>
      </c>
      <c r="BB248" s="551">
        <v>162</v>
      </c>
      <c r="BC248" s="551">
        <v>300</v>
      </c>
      <c r="BD248" s="551">
        <v>0</v>
      </c>
      <c r="BF248" s="550">
        <f t="shared" si="60"/>
        <v>138</v>
      </c>
      <c r="BG248" s="550">
        <f t="shared" si="61"/>
        <v>0</v>
      </c>
      <c r="BH248" s="550">
        <f t="shared" si="62"/>
        <v>0</v>
      </c>
      <c r="BI248" s="550">
        <f t="shared" si="63"/>
        <v>138</v>
      </c>
      <c r="BJ248" s="550">
        <f t="shared" si="64"/>
        <v>0</v>
      </c>
      <c r="BK248" s="550">
        <f t="shared" si="65"/>
        <v>162</v>
      </c>
      <c r="BL248" s="550">
        <f t="shared" si="66"/>
        <v>162</v>
      </c>
      <c r="BM248" s="550">
        <f t="shared" si="67"/>
        <v>300</v>
      </c>
      <c r="BO248" s="194"/>
      <c r="BQ248" s="193">
        <f t="shared" si="68"/>
        <v>0</v>
      </c>
      <c r="BR248" s="193">
        <f t="shared" si="69"/>
        <v>0</v>
      </c>
      <c r="BS248" s="193">
        <f t="shared" si="70"/>
        <v>0</v>
      </c>
      <c r="BT248" s="193">
        <f t="shared" si="70"/>
        <v>0</v>
      </c>
    </row>
    <row r="249" spans="1:72" ht="13.5" customHeight="1">
      <c r="A249" s="193" t="s">
        <v>378</v>
      </c>
      <c r="B249" s="193" t="s">
        <v>379</v>
      </c>
      <c r="C249" s="193" t="s">
        <v>214</v>
      </c>
      <c r="D249" s="193" t="s">
        <v>997</v>
      </c>
      <c r="E249" s="193" t="s">
        <v>998</v>
      </c>
      <c r="F249" s="193" t="s">
        <v>919</v>
      </c>
      <c r="G249" s="193" t="s">
        <v>919</v>
      </c>
      <c r="H249" s="193" t="s">
        <v>999</v>
      </c>
      <c r="I249" s="193" t="s">
        <v>512</v>
      </c>
      <c r="J249" s="193" t="s">
        <v>1055</v>
      </c>
      <c r="K249" s="193" t="s">
        <v>386</v>
      </c>
      <c r="L249" s="193" t="s">
        <v>387</v>
      </c>
      <c r="M249" s="193" t="s">
        <v>378</v>
      </c>
      <c r="N249" s="193" t="s">
        <v>514</v>
      </c>
      <c r="O249" s="193" t="s">
        <v>129</v>
      </c>
      <c r="P249" s="193" t="s">
        <v>150</v>
      </c>
      <c r="Q249" s="193" t="s">
        <v>149</v>
      </c>
      <c r="R249" s="193" t="s">
        <v>148</v>
      </c>
      <c r="S249" s="193" t="s">
        <v>152</v>
      </c>
      <c r="T249" s="193" t="s">
        <v>389</v>
      </c>
      <c r="U249" s="193" t="s">
        <v>390</v>
      </c>
      <c r="V249" s="193">
        <v>0</v>
      </c>
      <c r="W249" s="193">
        <v>0</v>
      </c>
      <c r="X249" s="193">
        <v>0</v>
      </c>
      <c r="Y249" s="194">
        <v>300</v>
      </c>
      <c r="Z249" s="193" t="s">
        <v>515</v>
      </c>
      <c r="AA249" s="193" t="s">
        <v>516</v>
      </c>
      <c r="AB249" s="193">
        <v>300</v>
      </c>
      <c r="AC249" s="193" t="s">
        <v>517</v>
      </c>
      <c r="AD249" s="193" t="s">
        <v>152</v>
      </c>
      <c r="AE249" s="193">
        <v>300</v>
      </c>
      <c r="AF249" s="193" t="s">
        <v>518</v>
      </c>
      <c r="AG249" s="193" t="s">
        <v>519</v>
      </c>
      <c r="AH249" s="193">
        <v>0</v>
      </c>
      <c r="AI249" s="193">
        <v>300</v>
      </c>
      <c r="AJ249" s="193" t="s">
        <v>1056</v>
      </c>
      <c r="AL249" s="197" t="s">
        <v>1057</v>
      </c>
      <c r="AM249" s="193">
        <v>1</v>
      </c>
      <c r="AN249" s="193">
        <v>0</v>
      </c>
      <c r="AO249" s="193">
        <v>0</v>
      </c>
      <c r="AP249" s="193">
        <v>0</v>
      </c>
      <c r="AQ249" s="193" t="s">
        <v>214</v>
      </c>
      <c r="AS249" s="197" t="s">
        <v>518</v>
      </c>
      <c r="AT249" s="197" t="s">
        <v>519</v>
      </c>
      <c r="AV249" s="194">
        <v>138</v>
      </c>
      <c r="AW249" s="194">
        <v>0</v>
      </c>
      <c r="AX249" s="194">
        <v>0</v>
      </c>
      <c r="AY249" s="549">
        <v>138</v>
      </c>
      <c r="AZ249" s="194">
        <v>0</v>
      </c>
      <c r="BA249" s="194">
        <v>162</v>
      </c>
      <c r="BB249" s="551">
        <v>162</v>
      </c>
      <c r="BC249" s="551">
        <v>300</v>
      </c>
      <c r="BD249" s="551">
        <v>0</v>
      </c>
      <c r="BF249" s="550">
        <f t="shared" si="60"/>
        <v>138</v>
      </c>
      <c r="BG249" s="550">
        <f t="shared" si="61"/>
        <v>0</v>
      </c>
      <c r="BH249" s="550">
        <f t="shared" si="62"/>
        <v>0</v>
      </c>
      <c r="BI249" s="550">
        <f t="shared" si="63"/>
        <v>138</v>
      </c>
      <c r="BJ249" s="550">
        <f t="shared" si="64"/>
        <v>0</v>
      </c>
      <c r="BK249" s="550">
        <f t="shared" si="65"/>
        <v>162</v>
      </c>
      <c r="BL249" s="550">
        <f t="shared" si="66"/>
        <v>162</v>
      </c>
      <c r="BM249" s="550">
        <f t="shared" si="67"/>
        <v>300</v>
      </c>
      <c r="BO249" s="194"/>
      <c r="BQ249" s="193">
        <f t="shared" si="68"/>
        <v>0</v>
      </c>
      <c r="BR249" s="193">
        <f t="shared" si="69"/>
        <v>0</v>
      </c>
      <c r="BS249" s="193">
        <f t="shared" si="70"/>
        <v>0</v>
      </c>
      <c r="BT249" s="193">
        <f t="shared" si="70"/>
        <v>0</v>
      </c>
    </row>
    <row r="250" spans="1:72" ht="13.5" customHeight="1">
      <c r="A250" s="193" t="s">
        <v>378</v>
      </c>
      <c r="B250" s="193" t="s">
        <v>379</v>
      </c>
      <c r="C250" s="193" t="s">
        <v>214</v>
      </c>
      <c r="D250" s="193" t="s">
        <v>997</v>
      </c>
      <c r="E250" s="193" t="s">
        <v>998</v>
      </c>
      <c r="F250" s="193" t="s">
        <v>941</v>
      </c>
      <c r="G250" s="193" t="s">
        <v>941</v>
      </c>
      <c r="H250" s="193" t="s">
        <v>999</v>
      </c>
      <c r="I250" s="193" t="s">
        <v>512</v>
      </c>
      <c r="J250" s="193" t="s">
        <v>1068</v>
      </c>
      <c r="K250" s="193" t="s">
        <v>386</v>
      </c>
      <c r="L250" s="193" t="s">
        <v>387</v>
      </c>
      <c r="M250" s="193" t="s">
        <v>378</v>
      </c>
      <c r="N250" s="193" t="s">
        <v>514</v>
      </c>
      <c r="O250" s="193" t="s">
        <v>129</v>
      </c>
      <c r="P250" s="193" t="s">
        <v>150</v>
      </c>
      <c r="Q250" s="193" t="s">
        <v>149</v>
      </c>
      <c r="R250" s="193" t="s">
        <v>148</v>
      </c>
      <c r="S250" s="193" t="s">
        <v>152</v>
      </c>
      <c r="T250" s="193" t="s">
        <v>389</v>
      </c>
      <c r="U250" s="193" t="s">
        <v>390</v>
      </c>
      <c r="V250" s="193">
        <v>0</v>
      </c>
      <c r="W250" s="193">
        <v>0</v>
      </c>
      <c r="X250" s="193">
        <v>0</v>
      </c>
      <c r="Y250" s="194">
        <v>300</v>
      </c>
      <c r="Z250" s="193" t="s">
        <v>515</v>
      </c>
      <c r="AA250" s="193" t="s">
        <v>516</v>
      </c>
      <c r="AB250" s="193">
        <v>300</v>
      </c>
      <c r="AC250" s="193" t="s">
        <v>517</v>
      </c>
      <c r="AD250" s="193" t="s">
        <v>152</v>
      </c>
      <c r="AE250" s="193">
        <v>300</v>
      </c>
      <c r="AF250" s="193" t="s">
        <v>518</v>
      </c>
      <c r="AG250" s="193" t="s">
        <v>519</v>
      </c>
      <c r="AH250" s="193">
        <v>0</v>
      </c>
      <c r="AI250" s="193">
        <v>300</v>
      </c>
      <c r="AJ250" s="193" t="s">
        <v>1069</v>
      </c>
      <c r="AL250" s="197" t="s">
        <v>1070</v>
      </c>
      <c r="AM250" s="193">
        <v>1</v>
      </c>
      <c r="AN250" s="193">
        <v>0</v>
      </c>
      <c r="AO250" s="193">
        <v>0</v>
      </c>
      <c r="AP250" s="193">
        <v>0</v>
      </c>
      <c r="AQ250" s="193" t="s">
        <v>214</v>
      </c>
      <c r="AS250" s="197" t="s">
        <v>518</v>
      </c>
      <c r="AT250" s="197" t="s">
        <v>519</v>
      </c>
      <c r="AV250" s="194">
        <v>138</v>
      </c>
      <c r="AW250" s="194">
        <v>0</v>
      </c>
      <c r="AX250" s="194">
        <v>0</v>
      </c>
      <c r="AY250" s="549">
        <v>138</v>
      </c>
      <c r="AZ250" s="194">
        <v>0</v>
      </c>
      <c r="BA250" s="194">
        <v>162</v>
      </c>
      <c r="BB250" s="551">
        <v>162</v>
      </c>
      <c r="BC250" s="551">
        <v>300</v>
      </c>
      <c r="BD250" s="551">
        <v>0</v>
      </c>
      <c r="BF250" s="550">
        <f t="shared" si="60"/>
        <v>138</v>
      </c>
      <c r="BG250" s="550">
        <f t="shared" si="61"/>
        <v>0</v>
      </c>
      <c r="BH250" s="550">
        <f t="shared" si="62"/>
        <v>0</v>
      </c>
      <c r="BI250" s="550">
        <f t="shared" si="63"/>
        <v>138</v>
      </c>
      <c r="BJ250" s="550">
        <f t="shared" si="64"/>
        <v>0</v>
      </c>
      <c r="BK250" s="550">
        <f t="shared" si="65"/>
        <v>162</v>
      </c>
      <c r="BL250" s="550">
        <f t="shared" si="66"/>
        <v>162</v>
      </c>
      <c r="BM250" s="550">
        <f t="shared" si="67"/>
        <v>300</v>
      </c>
      <c r="BO250" s="194"/>
      <c r="BQ250" s="193">
        <f t="shared" si="68"/>
        <v>0</v>
      </c>
      <c r="BR250" s="193">
        <f t="shared" si="69"/>
        <v>0</v>
      </c>
      <c r="BS250" s="193">
        <f t="shared" si="70"/>
        <v>0</v>
      </c>
      <c r="BT250" s="193">
        <f t="shared" si="70"/>
        <v>0</v>
      </c>
    </row>
    <row r="251" spans="1:72" ht="13.5" customHeight="1">
      <c r="A251" s="193" t="s">
        <v>378</v>
      </c>
      <c r="B251" s="193" t="s">
        <v>379</v>
      </c>
      <c r="C251" s="193" t="s">
        <v>214</v>
      </c>
      <c r="D251" s="193" t="s">
        <v>997</v>
      </c>
      <c r="E251" s="193" t="s">
        <v>998</v>
      </c>
      <c r="F251" s="193" t="s">
        <v>638</v>
      </c>
      <c r="G251" s="193" t="s">
        <v>638</v>
      </c>
      <c r="H251" s="193" t="s">
        <v>999</v>
      </c>
      <c r="I251" s="193" t="s">
        <v>512</v>
      </c>
      <c r="J251" s="193" t="s">
        <v>1058</v>
      </c>
      <c r="K251" s="193" t="s">
        <v>386</v>
      </c>
      <c r="L251" s="193" t="s">
        <v>387</v>
      </c>
      <c r="M251" s="193" t="s">
        <v>378</v>
      </c>
      <c r="N251" s="193" t="s">
        <v>514</v>
      </c>
      <c r="O251" s="193" t="s">
        <v>129</v>
      </c>
      <c r="P251" s="193" t="s">
        <v>150</v>
      </c>
      <c r="Q251" s="193" t="s">
        <v>149</v>
      </c>
      <c r="R251" s="193" t="s">
        <v>148</v>
      </c>
      <c r="S251" s="193" t="s">
        <v>152</v>
      </c>
      <c r="T251" s="193" t="s">
        <v>389</v>
      </c>
      <c r="U251" s="193" t="s">
        <v>390</v>
      </c>
      <c r="V251" s="193">
        <v>0</v>
      </c>
      <c r="W251" s="193">
        <v>0</v>
      </c>
      <c r="X251" s="193">
        <v>0</v>
      </c>
      <c r="Y251" s="194">
        <v>300</v>
      </c>
      <c r="Z251" s="193" t="s">
        <v>515</v>
      </c>
      <c r="AA251" s="193" t="s">
        <v>516</v>
      </c>
      <c r="AB251" s="193">
        <v>300</v>
      </c>
      <c r="AC251" s="193" t="s">
        <v>517</v>
      </c>
      <c r="AD251" s="193" t="s">
        <v>152</v>
      </c>
      <c r="AE251" s="193">
        <v>300</v>
      </c>
      <c r="AF251" s="193" t="s">
        <v>518</v>
      </c>
      <c r="AG251" s="193" t="s">
        <v>519</v>
      </c>
      <c r="AH251" s="193">
        <v>0</v>
      </c>
      <c r="AI251" s="193">
        <v>300</v>
      </c>
      <c r="AJ251" s="193" t="s">
        <v>1059</v>
      </c>
      <c r="AL251" s="197" t="s">
        <v>1060</v>
      </c>
      <c r="AM251" s="193">
        <v>1</v>
      </c>
      <c r="AN251" s="193">
        <v>0</v>
      </c>
      <c r="AO251" s="193">
        <v>0</v>
      </c>
      <c r="AP251" s="193">
        <v>0</v>
      </c>
      <c r="AQ251" s="193" t="s">
        <v>214</v>
      </c>
      <c r="AS251" s="197" t="s">
        <v>518</v>
      </c>
      <c r="AT251" s="197" t="s">
        <v>519</v>
      </c>
      <c r="AV251" s="194">
        <v>138</v>
      </c>
      <c r="AW251" s="194">
        <v>0</v>
      </c>
      <c r="AX251" s="194">
        <v>0</v>
      </c>
      <c r="AY251" s="549">
        <v>138</v>
      </c>
      <c r="AZ251" s="194">
        <v>0</v>
      </c>
      <c r="BA251" s="194">
        <v>162</v>
      </c>
      <c r="BB251" s="551">
        <v>162</v>
      </c>
      <c r="BC251" s="551">
        <v>300</v>
      </c>
      <c r="BD251" s="551">
        <v>0</v>
      </c>
      <c r="BF251" s="550">
        <f t="shared" si="60"/>
        <v>138</v>
      </c>
      <c r="BG251" s="550">
        <f t="shared" si="61"/>
        <v>0</v>
      </c>
      <c r="BH251" s="550">
        <f t="shared" si="62"/>
        <v>0</v>
      </c>
      <c r="BI251" s="550">
        <f t="shared" si="63"/>
        <v>138</v>
      </c>
      <c r="BJ251" s="550">
        <f t="shared" si="64"/>
        <v>0</v>
      </c>
      <c r="BK251" s="550">
        <f t="shared" si="65"/>
        <v>162</v>
      </c>
      <c r="BL251" s="550">
        <f t="shared" si="66"/>
        <v>162</v>
      </c>
      <c r="BM251" s="550">
        <f t="shared" si="67"/>
        <v>300</v>
      </c>
      <c r="BO251" s="194"/>
      <c r="BQ251" s="193">
        <f t="shared" si="68"/>
        <v>0</v>
      </c>
      <c r="BR251" s="193">
        <f t="shared" si="69"/>
        <v>0</v>
      </c>
      <c r="BS251" s="193">
        <f t="shared" si="70"/>
        <v>0</v>
      </c>
      <c r="BT251" s="193">
        <f t="shared" si="70"/>
        <v>0</v>
      </c>
    </row>
    <row r="252" spans="1:72" ht="13.5" customHeight="1">
      <c r="A252" s="193" t="s">
        <v>378</v>
      </c>
      <c r="B252" s="193" t="s">
        <v>379</v>
      </c>
      <c r="C252" s="193" t="s">
        <v>214</v>
      </c>
      <c r="D252" s="193" t="s">
        <v>997</v>
      </c>
      <c r="E252" s="193" t="s">
        <v>998</v>
      </c>
      <c r="F252" s="193" t="s">
        <v>975</v>
      </c>
      <c r="G252" s="193" t="s">
        <v>975</v>
      </c>
      <c r="H252" s="193" t="s">
        <v>999</v>
      </c>
      <c r="I252" s="193" t="s">
        <v>512</v>
      </c>
      <c r="J252" s="193" t="s">
        <v>1061</v>
      </c>
      <c r="K252" s="193" t="s">
        <v>386</v>
      </c>
      <c r="L252" s="193" t="s">
        <v>387</v>
      </c>
      <c r="M252" s="193" t="s">
        <v>378</v>
      </c>
      <c r="N252" s="193" t="s">
        <v>514</v>
      </c>
      <c r="O252" s="193" t="s">
        <v>129</v>
      </c>
      <c r="P252" s="193" t="s">
        <v>150</v>
      </c>
      <c r="Q252" s="193" t="s">
        <v>149</v>
      </c>
      <c r="R252" s="193" t="s">
        <v>148</v>
      </c>
      <c r="S252" s="193" t="s">
        <v>152</v>
      </c>
      <c r="T252" s="193" t="s">
        <v>389</v>
      </c>
      <c r="U252" s="193" t="s">
        <v>390</v>
      </c>
      <c r="V252" s="193">
        <v>0</v>
      </c>
      <c r="W252" s="193">
        <v>0</v>
      </c>
      <c r="X252" s="193">
        <v>0</v>
      </c>
      <c r="Y252" s="194">
        <v>300</v>
      </c>
      <c r="Z252" s="193" t="s">
        <v>515</v>
      </c>
      <c r="AA252" s="193" t="s">
        <v>516</v>
      </c>
      <c r="AB252" s="193">
        <v>300</v>
      </c>
      <c r="AC252" s="193" t="s">
        <v>517</v>
      </c>
      <c r="AD252" s="193" t="s">
        <v>152</v>
      </c>
      <c r="AE252" s="193">
        <v>300</v>
      </c>
      <c r="AF252" s="193" t="s">
        <v>518</v>
      </c>
      <c r="AG252" s="193" t="s">
        <v>519</v>
      </c>
      <c r="AH252" s="193">
        <v>0</v>
      </c>
      <c r="AI252" s="193">
        <v>300</v>
      </c>
      <c r="AJ252" s="193" t="s">
        <v>1062</v>
      </c>
      <c r="AL252" s="197" t="s">
        <v>1063</v>
      </c>
      <c r="AM252" s="193">
        <v>1</v>
      </c>
      <c r="AN252" s="193">
        <v>0</v>
      </c>
      <c r="AO252" s="193">
        <v>0</v>
      </c>
      <c r="AP252" s="193">
        <v>0</v>
      </c>
      <c r="AQ252" s="193" t="s">
        <v>214</v>
      </c>
      <c r="AS252" s="197" t="s">
        <v>518</v>
      </c>
      <c r="AT252" s="197" t="s">
        <v>519</v>
      </c>
      <c r="AV252" s="194">
        <v>138</v>
      </c>
      <c r="AW252" s="194">
        <v>0</v>
      </c>
      <c r="AX252" s="194">
        <v>0</v>
      </c>
      <c r="AY252" s="549">
        <v>138</v>
      </c>
      <c r="AZ252" s="194">
        <v>0</v>
      </c>
      <c r="BA252" s="194">
        <v>162</v>
      </c>
      <c r="BB252" s="551">
        <v>162</v>
      </c>
      <c r="BC252" s="551">
        <v>300</v>
      </c>
      <c r="BD252" s="551">
        <v>0</v>
      </c>
      <c r="BF252" s="550">
        <f t="shared" si="60"/>
        <v>138</v>
      </c>
      <c r="BG252" s="550">
        <f t="shared" si="61"/>
        <v>0</v>
      </c>
      <c r="BH252" s="550">
        <f t="shared" si="62"/>
        <v>0</v>
      </c>
      <c r="BI252" s="550">
        <f t="shared" si="63"/>
        <v>138</v>
      </c>
      <c r="BJ252" s="550">
        <f t="shared" si="64"/>
        <v>0</v>
      </c>
      <c r="BK252" s="550">
        <f t="shared" si="65"/>
        <v>162</v>
      </c>
      <c r="BL252" s="550">
        <f t="shared" si="66"/>
        <v>162</v>
      </c>
      <c r="BM252" s="550">
        <f t="shared" si="67"/>
        <v>300</v>
      </c>
      <c r="BO252" s="194"/>
      <c r="BQ252" s="193">
        <f t="shared" si="68"/>
        <v>0</v>
      </c>
      <c r="BR252" s="193">
        <f t="shared" si="69"/>
        <v>0</v>
      </c>
      <c r="BS252" s="193">
        <f t="shared" si="70"/>
        <v>0</v>
      </c>
      <c r="BT252" s="193">
        <f t="shared" si="70"/>
        <v>0</v>
      </c>
    </row>
    <row r="253" spans="1:72" ht="13.5" customHeight="1">
      <c r="A253" s="193" t="s">
        <v>378</v>
      </c>
      <c r="B253" s="193" t="s">
        <v>379</v>
      </c>
      <c r="C253" s="193" t="s">
        <v>214</v>
      </c>
      <c r="D253" s="193" t="s">
        <v>997</v>
      </c>
      <c r="E253" s="193" t="s">
        <v>998</v>
      </c>
      <c r="F253" s="193" t="s">
        <v>1064</v>
      </c>
      <c r="G253" s="193" t="s">
        <v>1064</v>
      </c>
      <c r="H253" s="193" t="s">
        <v>999</v>
      </c>
      <c r="I253" s="193" t="s">
        <v>512</v>
      </c>
      <c r="J253" s="193" t="s">
        <v>1065</v>
      </c>
      <c r="K253" s="193" t="s">
        <v>386</v>
      </c>
      <c r="L253" s="193" t="s">
        <v>387</v>
      </c>
      <c r="M253" s="193" t="s">
        <v>378</v>
      </c>
      <c r="N253" s="193" t="s">
        <v>514</v>
      </c>
      <c r="O253" s="193" t="s">
        <v>129</v>
      </c>
      <c r="P253" s="193" t="s">
        <v>150</v>
      </c>
      <c r="Q253" s="193" t="s">
        <v>149</v>
      </c>
      <c r="R253" s="193" t="s">
        <v>148</v>
      </c>
      <c r="S253" s="193" t="s">
        <v>152</v>
      </c>
      <c r="T253" s="193" t="s">
        <v>389</v>
      </c>
      <c r="U253" s="193" t="s">
        <v>390</v>
      </c>
      <c r="V253" s="193">
        <v>0</v>
      </c>
      <c r="W253" s="193">
        <v>0</v>
      </c>
      <c r="X253" s="193">
        <v>0</v>
      </c>
      <c r="Y253" s="194">
        <v>300</v>
      </c>
      <c r="Z253" s="193" t="s">
        <v>515</v>
      </c>
      <c r="AA253" s="193" t="s">
        <v>516</v>
      </c>
      <c r="AB253" s="193">
        <v>300</v>
      </c>
      <c r="AC253" s="193" t="s">
        <v>517</v>
      </c>
      <c r="AD253" s="193" t="s">
        <v>152</v>
      </c>
      <c r="AE253" s="193">
        <v>300</v>
      </c>
      <c r="AF253" s="193" t="s">
        <v>518</v>
      </c>
      <c r="AG253" s="193" t="s">
        <v>519</v>
      </c>
      <c r="AH253" s="193">
        <v>0</v>
      </c>
      <c r="AI253" s="193">
        <v>300</v>
      </c>
      <c r="AJ253" s="193" t="s">
        <v>1066</v>
      </c>
      <c r="AL253" s="197" t="s">
        <v>1067</v>
      </c>
      <c r="AM253" s="193">
        <v>1</v>
      </c>
      <c r="AN253" s="193">
        <v>0</v>
      </c>
      <c r="AO253" s="193">
        <v>0</v>
      </c>
      <c r="AP253" s="193">
        <v>0</v>
      </c>
      <c r="AQ253" s="193" t="s">
        <v>214</v>
      </c>
      <c r="AS253" s="197" t="s">
        <v>518</v>
      </c>
      <c r="AT253" s="197" t="s">
        <v>519</v>
      </c>
      <c r="AV253" s="194">
        <v>138</v>
      </c>
      <c r="AW253" s="194">
        <v>0</v>
      </c>
      <c r="AX253" s="194">
        <v>0</v>
      </c>
      <c r="AY253" s="549">
        <v>138</v>
      </c>
      <c r="AZ253" s="194">
        <v>0</v>
      </c>
      <c r="BA253" s="194">
        <v>162</v>
      </c>
      <c r="BB253" s="551">
        <v>162</v>
      </c>
      <c r="BC253" s="551">
        <v>300</v>
      </c>
      <c r="BD253" s="551">
        <v>0</v>
      </c>
      <c r="BF253" s="550">
        <f t="shared" si="60"/>
        <v>138</v>
      </c>
      <c r="BG253" s="550">
        <f t="shared" si="61"/>
        <v>0</v>
      </c>
      <c r="BH253" s="550">
        <f t="shared" si="62"/>
        <v>0</v>
      </c>
      <c r="BI253" s="550">
        <f t="shared" si="63"/>
        <v>138</v>
      </c>
      <c r="BJ253" s="550">
        <f t="shared" si="64"/>
        <v>0</v>
      </c>
      <c r="BK253" s="550">
        <f t="shared" si="65"/>
        <v>162</v>
      </c>
      <c r="BL253" s="550">
        <f t="shared" si="66"/>
        <v>162</v>
      </c>
      <c r="BM253" s="550">
        <f t="shared" si="67"/>
        <v>300</v>
      </c>
      <c r="BO253" s="194"/>
      <c r="BQ253" s="193">
        <f t="shared" si="68"/>
        <v>0</v>
      </c>
      <c r="BR253" s="193">
        <f t="shared" si="69"/>
        <v>0</v>
      </c>
      <c r="BS253" s="193">
        <f t="shared" si="70"/>
        <v>0</v>
      </c>
      <c r="BT253" s="193">
        <f t="shared" si="70"/>
        <v>0</v>
      </c>
    </row>
    <row r="254" spans="1:72" ht="13.5" customHeight="1">
      <c r="A254" s="193" t="s">
        <v>378</v>
      </c>
      <c r="B254" s="193" t="s">
        <v>379</v>
      </c>
      <c r="C254" s="193" t="s">
        <v>214</v>
      </c>
      <c r="D254" s="193" t="s">
        <v>997</v>
      </c>
      <c r="E254" s="193" t="s">
        <v>998</v>
      </c>
      <c r="F254" s="193" t="s">
        <v>963</v>
      </c>
      <c r="G254" s="193" t="s">
        <v>963</v>
      </c>
      <c r="H254" s="193" t="s">
        <v>999</v>
      </c>
      <c r="I254" s="193" t="s">
        <v>512</v>
      </c>
      <c r="J254" s="193" t="s">
        <v>1071</v>
      </c>
      <c r="K254" s="193" t="s">
        <v>386</v>
      </c>
      <c r="L254" s="193" t="s">
        <v>387</v>
      </c>
      <c r="M254" s="193" t="s">
        <v>378</v>
      </c>
      <c r="N254" s="193" t="s">
        <v>514</v>
      </c>
      <c r="O254" s="193" t="s">
        <v>129</v>
      </c>
      <c r="P254" s="193" t="s">
        <v>150</v>
      </c>
      <c r="Q254" s="193" t="s">
        <v>149</v>
      </c>
      <c r="R254" s="193" t="s">
        <v>148</v>
      </c>
      <c r="S254" s="193" t="s">
        <v>152</v>
      </c>
      <c r="T254" s="193" t="s">
        <v>389</v>
      </c>
      <c r="U254" s="193" t="s">
        <v>390</v>
      </c>
      <c r="V254" s="193">
        <v>0</v>
      </c>
      <c r="W254" s="193">
        <v>0</v>
      </c>
      <c r="X254" s="193">
        <v>0</v>
      </c>
      <c r="Y254" s="194">
        <v>470</v>
      </c>
      <c r="Z254" s="193" t="s">
        <v>515</v>
      </c>
      <c r="AA254" s="193" t="s">
        <v>516</v>
      </c>
      <c r="AB254" s="193">
        <v>470</v>
      </c>
      <c r="AC254" s="193" t="s">
        <v>517</v>
      </c>
      <c r="AD254" s="193" t="s">
        <v>152</v>
      </c>
      <c r="AE254" s="193">
        <v>470</v>
      </c>
      <c r="AF254" s="193" t="s">
        <v>518</v>
      </c>
      <c r="AG254" s="193" t="s">
        <v>519</v>
      </c>
      <c r="AH254" s="193">
        <v>0</v>
      </c>
      <c r="AI254" s="193">
        <v>470</v>
      </c>
      <c r="AJ254" s="193" t="s">
        <v>1072</v>
      </c>
      <c r="AL254" s="197" t="s">
        <v>1073</v>
      </c>
      <c r="AM254" s="193">
        <v>1</v>
      </c>
      <c r="AN254" s="193">
        <v>0</v>
      </c>
      <c r="AO254" s="193">
        <v>0</v>
      </c>
      <c r="AP254" s="193">
        <v>0</v>
      </c>
      <c r="AQ254" s="193" t="s">
        <v>214</v>
      </c>
      <c r="AS254" s="197" t="s">
        <v>518</v>
      </c>
      <c r="AT254" s="197" t="s">
        <v>519</v>
      </c>
      <c r="AV254" s="194">
        <v>216</v>
      </c>
      <c r="AW254" s="194">
        <v>0</v>
      </c>
      <c r="AX254" s="194">
        <v>0</v>
      </c>
      <c r="AY254" s="549">
        <v>216</v>
      </c>
      <c r="AZ254" s="194">
        <v>0</v>
      </c>
      <c r="BA254" s="194">
        <v>254</v>
      </c>
      <c r="BB254" s="551">
        <v>254</v>
      </c>
      <c r="BC254" s="551">
        <v>470</v>
      </c>
      <c r="BD254" s="551">
        <v>0</v>
      </c>
      <c r="BF254" s="550">
        <f t="shared" si="60"/>
        <v>216</v>
      </c>
      <c r="BG254" s="550">
        <f t="shared" si="61"/>
        <v>0</v>
      </c>
      <c r="BH254" s="550">
        <f t="shared" si="62"/>
        <v>0</v>
      </c>
      <c r="BI254" s="550">
        <f t="shared" si="63"/>
        <v>216</v>
      </c>
      <c r="BJ254" s="550">
        <f t="shared" si="64"/>
        <v>0</v>
      </c>
      <c r="BK254" s="550">
        <f t="shared" si="65"/>
        <v>254</v>
      </c>
      <c r="BL254" s="550">
        <f t="shared" si="66"/>
        <v>254</v>
      </c>
      <c r="BM254" s="550">
        <f t="shared" si="67"/>
        <v>470</v>
      </c>
      <c r="BO254" s="194"/>
      <c r="BQ254" s="193">
        <f t="shared" si="68"/>
        <v>0</v>
      </c>
      <c r="BR254" s="193">
        <f t="shared" si="69"/>
        <v>0</v>
      </c>
      <c r="BS254" s="193">
        <f t="shared" si="70"/>
        <v>0</v>
      </c>
      <c r="BT254" s="193">
        <f t="shared" si="70"/>
        <v>0</v>
      </c>
    </row>
    <row r="255" spans="1:72" ht="13.5" customHeight="1">
      <c r="A255" s="193" t="s">
        <v>378</v>
      </c>
      <c r="B255" s="193" t="s">
        <v>379</v>
      </c>
      <c r="C255" s="193" t="s">
        <v>214</v>
      </c>
      <c r="D255" s="193" t="s">
        <v>997</v>
      </c>
      <c r="E255" s="193" t="s">
        <v>998</v>
      </c>
      <c r="F255" s="193" t="s">
        <v>622</v>
      </c>
      <c r="G255" s="193" t="s">
        <v>622</v>
      </c>
      <c r="H255" s="193" t="s">
        <v>999</v>
      </c>
      <c r="I255" s="193" t="s">
        <v>512</v>
      </c>
      <c r="J255" s="193" t="s">
        <v>1074</v>
      </c>
      <c r="K255" s="193" t="s">
        <v>386</v>
      </c>
      <c r="L255" s="193" t="s">
        <v>387</v>
      </c>
      <c r="M255" s="193" t="s">
        <v>378</v>
      </c>
      <c r="N255" s="193" t="s">
        <v>514</v>
      </c>
      <c r="O255" s="193" t="s">
        <v>129</v>
      </c>
      <c r="P255" s="193" t="s">
        <v>150</v>
      </c>
      <c r="Q255" s="193" t="s">
        <v>149</v>
      </c>
      <c r="R255" s="193" t="s">
        <v>148</v>
      </c>
      <c r="S255" s="193" t="s">
        <v>152</v>
      </c>
      <c r="T255" s="193" t="s">
        <v>389</v>
      </c>
      <c r="U255" s="193" t="s">
        <v>390</v>
      </c>
      <c r="V255" s="193">
        <v>0</v>
      </c>
      <c r="W255" s="193">
        <v>0</v>
      </c>
      <c r="X255" s="193">
        <v>0</v>
      </c>
      <c r="Y255" s="194">
        <v>470</v>
      </c>
      <c r="Z255" s="193" t="s">
        <v>515</v>
      </c>
      <c r="AA255" s="193" t="s">
        <v>516</v>
      </c>
      <c r="AB255" s="193">
        <v>470</v>
      </c>
      <c r="AC255" s="193" t="s">
        <v>517</v>
      </c>
      <c r="AD255" s="193" t="s">
        <v>152</v>
      </c>
      <c r="AE255" s="193">
        <v>470</v>
      </c>
      <c r="AF255" s="193" t="s">
        <v>518</v>
      </c>
      <c r="AG255" s="193" t="s">
        <v>519</v>
      </c>
      <c r="AH255" s="193">
        <v>0</v>
      </c>
      <c r="AI255" s="193">
        <v>470</v>
      </c>
      <c r="AJ255" s="193" t="s">
        <v>1075</v>
      </c>
      <c r="AL255" s="197" t="s">
        <v>1076</v>
      </c>
      <c r="AM255" s="193">
        <v>1</v>
      </c>
      <c r="AN255" s="193">
        <v>0</v>
      </c>
      <c r="AO255" s="193">
        <v>0</v>
      </c>
      <c r="AP255" s="193">
        <v>0</v>
      </c>
      <c r="AQ255" s="193" t="s">
        <v>214</v>
      </c>
      <c r="AS255" s="197" t="s">
        <v>518</v>
      </c>
      <c r="AT255" s="197" t="s">
        <v>519</v>
      </c>
      <c r="AV255" s="194">
        <v>216</v>
      </c>
      <c r="AW255" s="194">
        <v>0</v>
      </c>
      <c r="AX255" s="194">
        <v>0</v>
      </c>
      <c r="AY255" s="549">
        <v>216</v>
      </c>
      <c r="AZ255" s="194">
        <v>0</v>
      </c>
      <c r="BA255" s="194">
        <v>254</v>
      </c>
      <c r="BB255" s="551">
        <v>254</v>
      </c>
      <c r="BC255" s="551">
        <v>470</v>
      </c>
      <c r="BD255" s="551">
        <v>0</v>
      </c>
      <c r="BF255" s="550">
        <f t="shared" si="60"/>
        <v>216</v>
      </c>
      <c r="BG255" s="550">
        <f t="shared" si="61"/>
        <v>0</v>
      </c>
      <c r="BH255" s="550">
        <f t="shared" si="62"/>
        <v>0</v>
      </c>
      <c r="BI255" s="550">
        <f t="shared" si="63"/>
        <v>216</v>
      </c>
      <c r="BJ255" s="550">
        <f t="shared" si="64"/>
        <v>0</v>
      </c>
      <c r="BK255" s="550">
        <f t="shared" si="65"/>
        <v>254</v>
      </c>
      <c r="BL255" s="550">
        <f t="shared" si="66"/>
        <v>254</v>
      </c>
      <c r="BM255" s="550">
        <f t="shared" si="67"/>
        <v>470</v>
      </c>
      <c r="BO255" s="194"/>
      <c r="BQ255" s="193">
        <f t="shared" si="68"/>
        <v>0</v>
      </c>
      <c r="BR255" s="193">
        <f t="shared" si="69"/>
        <v>0</v>
      </c>
      <c r="BS255" s="193">
        <f t="shared" si="70"/>
        <v>0</v>
      </c>
      <c r="BT255" s="193">
        <f t="shared" si="70"/>
        <v>0</v>
      </c>
    </row>
    <row r="256" spans="1:72" ht="13.5" customHeight="1">
      <c r="A256" s="193" t="s">
        <v>378</v>
      </c>
      <c r="B256" s="193" t="s">
        <v>379</v>
      </c>
      <c r="C256" s="193" t="s">
        <v>214</v>
      </c>
      <c r="D256" s="193" t="s">
        <v>997</v>
      </c>
      <c r="E256" s="193" t="s">
        <v>998</v>
      </c>
      <c r="F256" s="193" t="s">
        <v>1090</v>
      </c>
      <c r="G256" s="193" t="s">
        <v>1090</v>
      </c>
      <c r="H256" s="193" t="s">
        <v>999</v>
      </c>
      <c r="I256" s="193" t="s">
        <v>512</v>
      </c>
      <c r="J256" s="193" t="s">
        <v>1091</v>
      </c>
      <c r="K256" s="193" t="s">
        <v>386</v>
      </c>
      <c r="L256" s="193" t="s">
        <v>387</v>
      </c>
      <c r="M256" s="193" t="s">
        <v>378</v>
      </c>
      <c r="N256" s="193" t="s">
        <v>514</v>
      </c>
      <c r="O256" s="193" t="s">
        <v>129</v>
      </c>
      <c r="P256" s="193" t="s">
        <v>150</v>
      </c>
      <c r="Q256" s="193" t="s">
        <v>149</v>
      </c>
      <c r="R256" s="193" t="s">
        <v>148</v>
      </c>
      <c r="S256" s="193" t="s">
        <v>152</v>
      </c>
      <c r="T256" s="193" t="s">
        <v>389</v>
      </c>
      <c r="U256" s="193" t="s">
        <v>390</v>
      </c>
      <c r="V256" s="193">
        <v>0</v>
      </c>
      <c r="W256" s="193">
        <v>0</v>
      </c>
      <c r="X256" s="193">
        <v>0</v>
      </c>
      <c r="Y256" s="194">
        <v>300</v>
      </c>
      <c r="Z256" s="193" t="s">
        <v>515</v>
      </c>
      <c r="AA256" s="193" t="s">
        <v>516</v>
      </c>
      <c r="AB256" s="193">
        <v>300</v>
      </c>
      <c r="AC256" s="193" t="s">
        <v>517</v>
      </c>
      <c r="AD256" s="193" t="s">
        <v>152</v>
      </c>
      <c r="AE256" s="193">
        <v>300</v>
      </c>
      <c r="AF256" s="193" t="s">
        <v>518</v>
      </c>
      <c r="AG256" s="193" t="s">
        <v>519</v>
      </c>
      <c r="AH256" s="193">
        <v>0</v>
      </c>
      <c r="AI256" s="193">
        <v>300</v>
      </c>
      <c r="AJ256" s="193" t="s">
        <v>1092</v>
      </c>
      <c r="AL256" s="197" t="s">
        <v>1093</v>
      </c>
      <c r="AM256" s="193">
        <v>1</v>
      </c>
      <c r="AN256" s="193">
        <v>0</v>
      </c>
      <c r="AO256" s="193">
        <v>0</v>
      </c>
      <c r="AP256" s="193">
        <v>0</v>
      </c>
      <c r="AQ256" s="193" t="s">
        <v>214</v>
      </c>
      <c r="AS256" s="197" t="s">
        <v>518</v>
      </c>
      <c r="AT256" s="197" t="s">
        <v>519</v>
      </c>
      <c r="AV256" s="194">
        <v>138</v>
      </c>
      <c r="AW256" s="194">
        <v>0</v>
      </c>
      <c r="AX256" s="194">
        <v>0</v>
      </c>
      <c r="AY256" s="549">
        <v>138</v>
      </c>
      <c r="AZ256" s="194">
        <v>0</v>
      </c>
      <c r="BA256" s="194">
        <v>162</v>
      </c>
      <c r="BB256" s="551">
        <v>162</v>
      </c>
      <c r="BC256" s="551">
        <v>300</v>
      </c>
      <c r="BD256" s="551">
        <v>0</v>
      </c>
      <c r="BF256" s="550">
        <f t="shared" si="60"/>
        <v>138</v>
      </c>
      <c r="BG256" s="550">
        <f t="shared" si="61"/>
        <v>0</v>
      </c>
      <c r="BH256" s="550">
        <f t="shared" si="62"/>
        <v>0</v>
      </c>
      <c r="BI256" s="550">
        <f t="shared" si="63"/>
        <v>138</v>
      </c>
      <c r="BJ256" s="550">
        <f t="shared" si="64"/>
        <v>0</v>
      </c>
      <c r="BK256" s="550">
        <f t="shared" si="65"/>
        <v>162</v>
      </c>
      <c r="BL256" s="550">
        <f t="shared" si="66"/>
        <v>162</v>
      </c>
      <c r="BM256" s="550">
        <f t="shared" si="67"/>
        <v>300</v>
      </c>
      <c r="BO256" s="194"/>
      <c r="BQ256" s="193">
        <f t="shared" si="68"/>
        <v>0</v>
      </c>
      <c r="BR256" s="193">
        <f t="shared" si="69"/>
        <v>0</v>
      </c>
      <c r="BS256" s="193">
        <f t="shared" si="70"/>
        <v>0</v>
      </c>
      <c r="BT256" s="193">
        <f t="shared" si="70"/>
        <v>0</v>
      </c>
    </row>
    <row r="257" spans="1:72" ht="13.5" customHeight="1">
      <c r="A257" s="193" t="s">
        <v>378</v>
      </c>
      <c r="B257" s="193" t="s">
        <v>379</v>
      </c>
      <c r="C257" s="193" t="s">
        <v>214</v>
      </c>
      <c r="D257" s="193" t="s">
        <v>997</v>
      </c>
      <c r="E257" s="193" t="s">
        <v>998</v>
      </c>
      <c r="F257" s="193" t="s">
        <v>1084</v>
      </c>
      <c r="G257" s="193" t="s">
        <v>1084</v>
      </c>
      <c r="H257" s="193" t="s">
        <v>999</v>
      </c>
      <c r="I257" s="193" t="s">
        <v>512</v>
      </c>
      <c r="J257" s="193" t="s">
        <v>1085</v>
      </c>
      <c r="K257" s="193" t="s">
        <v>386</v>
      </c>
      <c r="L257" s="193" t="s">
        <v>387</v>
      </c>
      <c r="M257" s="193" t="s">
        <v>378</v>
      </c>
      <c r="N257" s="193" t="s">
        <v>514</v>
      </c>
      <c r="O257" s="193" t="s">
        <v>129</v>
      </c>
      <c r="P257" s="193" t="s">
        <v>150</v>
      </c>
      <c r="Q257" s="193" t="s">
        <v>149</v>
      </c>
      <c r="R257" s="193" t="s">
        <v>148</v>
      </c>
      <c r="S257" s="193" t="s">
        <v>152</v>
      </c>
      <c r="T257" s="193" t="s">
        <v>389</v>
      </c>
      <c r="U257" s="193" t="s">
        <v>390</v>
      </c>
      <c r="V257" s="193">
        <v>0</v>
      </c>
      <c r="W257" s="193">
        <v>0</v>
      </c>
      <c r="X257" s="193">
        <v>0</v>
      </c>
      <c r="Y257" s="194">
        <v>600</v>
      </c>
      <c r="Z257" s="193" t="s">
        <v>515</v>
      </c>
      <c r="AA257" s="193" t="s">
        <v>516</v>
      </c>
      <c r="AB257" s="193">
        <v>600</v>
      </c>
      <c r="AC257" s="193" t="s">
        <v>517</v>
      </c>
      <c r="AD257" s="193" t="s">
        <v>152</v>
      </c>
      <c r="AE257" s="193">
        <v>600</v>
      </c>
      <c r="AF257" s="193" t="s">
        <v>518</v>
      </c>
      <c r="AG257" s="193" t="s">
        <v>519</v>
      </c>
      <c r="AH257" s="193">
        <v>0</v>
      </c>
      <c r="AI257" s="193">
        <v>600</v>
      </c>
      <c r="AJ257" s="193" t="s">
        <v>1086</v>
      </c>
      <c r="AL257" s="197" t="s">
        <v>1087</v>
      </c>
      <c r="AM257" s="193">
        <v>1</v>
      </c>
      <c r="AN257" s="193">
        <v>0</v>
      </c>
      <c r="AO257" s="193">
        <v>0</v>
      </c>
      <c r="AP257" s="193">
        <v>0</v>
      </c>
      <c r="AQ257" s="193" t="s">
        <v>214</v>
      </c>
      <c r="AS257" s="197" t="s">
        <v>518</v>
      </c>
      <c r="AT257" s="197" t="s">
        <v>519</v>
      </c>
      <c r="AV257" s="194">
        <v>276</v>
      </c>
      <c r="AW257" s="194">
        <v>0</v>
      </c>
      <c r="AX257" s="194">
        <v>0</v>
      </c>
      <c r="AY257" s="549">
        <v>276</v>
      </c>
      <c r="AZ257" s="194">
        <v>0</v>
      </c>
      <c r="BA257" s="194">
        <v>324</v>
      </c>
      <c r="BB257" s="551">
        <v>324</v>
      </c>
      <c r="BC257" s="551">
        <v>600</v>
      </c>
      <c r="BD257" s="551">
        <v>0</v>
      </c>
      <c r="BF257" s="550">
        <f t="shared" si="60"/>
        <v>276</v>
      </c>
      <c r="BG257" s="550">
        <f t="shared" si="61"/>
        <v>0</v>
      </c>
      <c r="BH257" s="550">
        <f t="shared" si="62"/>
        <v>0</v>
      </c>
      <c r="BI257" s="550">
        <f t="shared" si="63"/>
        <v>276</v>
      </c>
      <c r="BJ257" s="550">
        <f t="shared" si="64"/>
        <v>0</v>
      </c>
      <c r="BK257" s="550">
        <f t="shared" si="65"/>
        <v>324</v>
      </c>
      <c r="BL257" s="550">
        <f t="shared" si="66"/>
        <v>324</v>
      </c>
      <c r="BM257" s="550">
        <f t="shared" si="67"/>
        <v>600</v>
      </c>
      <c r="BO257" s="194"/>
      <c r="BQ257" s="193">
        <f t="shared" si="68"/>
        <v>0</v>
      </c>
      <c r="BR257" s="193">
        <f t="shared" si="69"/>
        <v>0</v>
      </c>
      <c r="BS257" s="193">
        <f t="shared" si="70"/>
        <v>0</v>
      </c>
      <c r="BT257" s="193">
        <f t="shared" si="70"/>
        <v>0</v>
      </c>
    </row>
    <row r="258" spans="1:72" ht="13.5" customHeight="1">
      <c r="A258" s="193" t="s">
        <v>378</v>
      </c>
      <c r="B258" s="193" t="s">
        <v>379</v>
      </c>
      <c r="C258" s="193" t="s">
        <v>214</v>
      </c>
      <c r="D258" s="193" t="s">
        <v>997</v>
      </c>
      <c r="E258" s="193" t="s">
        <v>998</v>
      </c>
      <c r="F258" s="193" t="s">
        <v>1084</v>
      </c>
      <c r="G258" s="193" t="s">
        <v>1084</v>
      </c>
      <c r="H258" s="193" t="s">
        <v>999</v>
      </c>
      <c r="I258" s="193" t="s">
        <v>512</v>
      </c>
      <c r="J258" s="193" t="s">
        <v>1085</v>
      </c>
      <c r="K258" s="193" t="s">
        <v>386</v>
      </c>
      <c r="L258" s="193" t="s">
        <v>531</v>
      </c>
      <c r="M258" s="193" t="s">
        <v>378</v>
      </c>
      <c r="N258" s="193" t="s">
        <v>514</v>
      </c>
      <c r="O258" s="193" t="s">
        <v>129</v>
      </c>
      <c r="P258" s="193" t="s">
        <v>150</v>
      </c>
      <c r="Q258" s="193" t="s">
        <v>149</v>
      </c>
      <c r="R258" s="193" t="s">
        <v>148</v>
      </c>
      <c r="S258" s="193" t="s">
        <v>152</v>
      </c>
      <c r="T258" s="193" t="s">
        <v>389</v>
      </c>
      <c r="U258" s="193" t="s">
        <v>390</v>
      </c>
      <c r="V258" s="193">
        <v>0</v>
      </c>
      <c r="W258" s="193">
        <v>0</v>
      </c>
      <c r="X258" s="193">
        <v>0</v>
      </c>
      <c r="Y258" s="194">
        <v>300</v>
      </c>
      <c r="Z258" s="193" t="s">
        <v>515</v>
      </c>
      <c r="AA258" s="193" t="s">
        <v>516</v>
      </c>
      <c r="AB258" s="193">
        <v>300</v>
      </c>
      <c r="AC258" s="193" t="s">
        <v>517</v>
      </c>
      <c r="AD258" s="193" t="s">
        <v>152</v>
      </c>
      <c r="AE258" s="193">
        <v>300</v>
      </c>
      <c r="AF258" s="193" t="s">
        <v>518</v>
      </c>
      <c r="AG258" s="193" t="s">
        <v>519</v>
      </c>
      <c r="AH258" s="193">
        <v>0</v>
      </c>
      <c r="AI258" s="193">
        <v>300</v>
      </c>
      <c r="AJ258" s="193" t="s">
        <v>1088</v>
      </c>
      <c r="AL258" s="197" t="s">
        <v>1089</v>
      </c>
      <c r="AM258" s="193">
        <v>1</v>
      </c>
      <c r="AN258" s="193">
        <v>0</v>
      </c>
      <c r="AO258" s="193">
        <v>0</v>
      </c>
      <c r="AP258" s="193">
        <v>0</v>
      </c>
      <c r="AQ258" s="193" t="s">
        <v>214</v>
      </c>
      <c r="AS258" s="197" t="s">
        <v>518</v>
      </c>
      <c r="AT258" s="197" t="s">
        <v>519</v>
      </c>
      <c r="AV258" s="194">
        <v>138</v>
      </c>
      <c r="AW258" s="194">
        <v>0</v>
      </c>
      <c r="AX258" s="194">
        <v>0</v>
      </c>
      <c r="AY258" s="549">
        <v>138</v>
      </c>
      <c r="AZ258" s="194">
        <v>0</v>
      </c>
      <c r="BA258" s="194">
        <v>162</v>
      </c>
      <c r="BB258" s="551">
        <v>162</v>
      </c>
      <c r="BC258" s="551">
        <v>300</v>
      </c>
      <c r="BD258" s="551">
        <v>0</v>
      </c>
      <c r="BF258" s="550">
        <f t="shared" si="60"/>
        <v>138</v>
      </c>
      <c r="BG258" s="550">
        <f t="shared" si="61"/>
        <v>0</v>
      </c>
      <c r="BH258" s="550">
        <f t="shared" si="62"/>
        <v>0</v>
      </c>
      <c r="BI258" s="550">
        <f t="shared" si="63"/>
        <v>138</v>
      </c>
      <c r="BJ258" s="550">
        <f t="shared" si="64"/>
        <v>0</v>
      </c>
      <c r="BK258" s="550">
        <f t="shared" si="65"/>
        <v>162</v>
      </c>
      <c r="BL258" s="550">
        <f t="shared" si="66"/>
        <v>162</v>
      </c>
      <c r="BM258" s="550">
        <f t="shared" si="67"/>
        <v>300</v>
      </c>
      <c r="BO258" s="194"/>
      <c r="BQ258" s="193">
        <f t="shared" si="68"/>
        <v>0</v>
      </c>
      <c r="BR258" s="193">
        <f t="shared" si="69"/>
        <v>0</v>
      </c>
      <c r="BS258" s="193">
        <f t="shared" si="70"/>
        <v>0</v>
      </c>
      <c r="BT258" s="193">
        <f t="shared" si="70"/>
        <v>0</v>
      </c>
    </row>
    <row r="259" spans="1:72" ht="13.5" customHeight="1">
      <c r="A259" s="193" t="s">
        <v>378</v>
      </c>
      <c r="B259" s="193" t="s">
        <v>379</v>
      </c>
      <c r="C259" s="193" t="s">
        <v>214</v>
      </c>
      <c r="D259" s="193" t="s">
        <v>997</v>
      </c>
      <c r="E259" s="193" t="s">
        <v>998</v>
      </c>
      <c r="F259" s="193" t="s">
        <v>883</v>
      </c>
      <c r="G259" s="193" t="s">
        <v>883</v>
      </c>
      <c r="H259" s="193" t="s">
        <v>999</v>
      </c>
      <c r="I259" s="193" t="s">
        <v>512</v>
      </c>
      <c r="J259" s="193" t="s">
        <v>1020</v>
      </c>
      <c r="K259" s="193" t="s">
        <v>386</v>
      </c>
      <c r="L259" s="193" t="s">
        <v>387</v>
      </c>
      <c r="M259" s="193" t="s">
        <v>378</v>
      </c>
      <c r="N259" s="193" t="s">
        <v>514</v>
      </c>
      <c r="O259" s="193" t="s">
        <v>129</v>
      </c>
      <c r="P259" s="193" t="s">
        <v>150</v>
      </c>
      <c r="Q259" s="193" t="s">
        <v>149</v>
      </c>
      <c r="R259" s="193" t="s">
        <v>148</v>
      </c>
      <c r="S259" s="193" t="s">
        <v>152</v>
      </c>
      <c r="T259" s="193" t="s">
        <v>389</v>
      </c>
      <c r="U259" s="193" t="s">
        <v>390</v>
      </c>
      <c r="V259" s="193">
        <v>0</v>
      </c>
      <c r="W259" s="193">
        <v>0</v>
      </c>
      <c r="X259" s="193">
        <v>0</v>
      </c>
      <c r="Y259" s="194">
        <v>300</v>
      </c>
      <c r="Z259" s="193" t="s">
        <v>515</v>
      </c>
      <c r="AA259" s="193" t="s">
        <v>516</v>
      </c>
      <c r="AB259" s="193">
        <v>300</v>
      </c>
      <c r="AC259" s="193" t="s">
        <v>517</v>
      </c>
      <c r="AD259" s="193" t="s">
        <v>152</v>
      </c>
      <c r="AE259" s="193">
        <v>300</v>
      </c>
      <c r="AF259" s="193" t="s">
        <v>518</v>
      </c>
      <c r="AG259" s="193" t="s">
        <v>519</v>
      </c>
      <c r="AH259" s="193">
        <v>0</v>
      </c>
      <c r="AI259" s="193">
        <v>300</v>
      </c>
      <c r="AJ259" s="193" t="s">
        <v>1021</v>
      </c>
      <c r="AL259" s="197" t="s">
        <v>1022</v>
      </c>
      <c r="AM259" s="193">
        <v>1</v>
      </c>
      <c r="AN259" s="193">
        <v>0</v>
      </c>
      <c r="AO259" s="193">
        <v>0</v>
      </c>
      <c r="AP259" s="193">
        <v>0</v>
      </c>
      <c r="AQ259" s="193" t="s">
        <v>214</v>
      </c>
      <c r="AS259" s="197" t="s">
        <v>518</v>
      </c>
      <c r="AT259" s="197" t="s">
        <v>519</v>
      </c>
      <c r="AV259" s="194">
        <v>138</v>
      </c>
      <c r="AW259" s="194">
        <v>0</v>
      </c>
      <c r="AX259" s="194">
        <v>0</v>
      </c>
      <c r="AY259" s="549">
        <v>138</v>
      </c>
      <c r="AZ259" s="194">
        <v>0</v>
      </c>
      <c r="BA259" s="194">
        <v>162</v>
      </c>
      <c r="BB259" s="551">
        <v>162</v>
      </c>
      <c r="BC259" s="551">
        <v>300</v>
      </c>
      <c r="BD259" s="551">
        <v>0</v>
      </c>
      <c r="BF259" s="550">
        <f t="shared" si="60"/>
        <v>138</v>
      </c>
      <c r="BG259" s="550">
        <f t="shared" si="61"/>
        <v>0</v>
      </c>
      <c r="BH259" s="550">
        <f t="shared" si="62"/>
        <v>0</v>
      </c>
      <c r="BI259" s="550">
        <f t="shared" si="63"/>
        <v>138</v>
      </c>
      <c r="BJ259" s="550">
        <f t="shared" si="64"/>
        <v>0</v>
      </c>
      <c r="BK259" s="550">
        <f t="shared" si="65"/>
        <v>162</v>
      </c>
      <c r="BL259" s="550">
        <f t="shared" si="66"/>
        <v>162</v>
      </c>
      <c r="BM259" s="550">
        <f t="shared" si="67"/>
        <v>300</v>
      </c>
      <c r="BO259" s="194"/>
      <c r="BQ259" s="193">
        <f t="shared" si="68"/>
        <v>0</v>
      </c>
      <c r="BR259" s="193">
        <f t="shared" si="69"/>
        <v>0</v>
      </c>
      <c r="BS259" s="193">
        <f t="shared" si="70"/>
        <v>0</v>
      </c>
      <c r="BT259" s="193">
        <f t="shared" si="70"/>
        <v>0</v>
      </c>
    </row>
    <row r="260" spans="1:72" ht="13.5" customHeight="1">
      <c r="A260" s="193" t="s">
        <v>378</v>
      </c>
      <c r="B260" s="193" t="s">
        <v>379</v>
      </c>
      <c r="C260" s="193" t="s">
        <v>214</v>
      </c>
      <c r="D260" s="193" t="s">
        <v>997</v>
      </c>
      <c r="E260" s="193" t="s">
        <v>998</v>
      </c>
      <c r="F260" s="193" t="s">
        <v>1023</v>
      </c>
      <c r="G260" s="193" t="s">
        <v>1023</v>
      </c>
      <c r="H260" s="193" t="s">
        <v>999</v>
      </c>
      <c r="I260" s="193" t="s">
        <v>512</v>
      </c>
      <c r="J260" s="193" t="s">
        <v>1024</v>
      </c>
      <c r="K260" s="193" t="s">
        <v>386</v>
      </c>
      <c r="L260" s="193" t="s">
        <v>387</v>
      </c>
      <c r="M260" s="193" t="s">
        <v>378</v>
      </c>
      <c r="N260" s="193" t="s">
        <v>514</v>
      </c>
      <c r="O260" s="193" t="s">
        <v>129</v>
      </c>
      <c r="P260" s="193" t="s">
        <v>150</v>
      </c>
      <c r="Q260" s="193" t="s">
        <v>149</v>
      </c>
      <c r="R260" s="193" t="s">
        <v>148</v>
      </c>
      <c r="S260" s="193" t="s">
        <v>152</v>
      </c>
      <c r="T260" s="193" t="s">
        <v>389</v>
      </c>
      <c r="U260" s="193" t="s">
        <v>390</v>
      </c>
      <c r="V260" s="193">
        <v>0</v>
      </c>
      <c r="W260" s="193">
        <v>0</v>
      </c>
      <c r="X260" s="193">
        <v>0</v>
      </c>
      <c r="Y260" s="194">
        <v>600</v>
      </c>
      <c r="Z260" s="193" t="s">
        <v>515</v>
      </c>
      <c r="AA260" s="193" t="s">
        <v>516</v>
      </c>
      <c r="AB260" s="193">
        <v>600</v>
      </c>
      <c r="AC260" s="193" t="s">
        <v>517</v>
      </c>
      <c r="AD260" s="193" t="s">
        <v>152</v>
      </c>
      <c r="AE260" s="193">
        <v>600</v>
      </c>
      <c r="AF260" s="193" t="s">
        <v>518</v>
      </c>
      <c r="AG260" s="193" t="s">
        <v>519</v>
      </c>
      <c r="AH260" s="193">
        <v>0</v>
      </c>
      <c r="AI260" s="193">
        <v>600</v>
      </c>
      <c r="AJ260" s="193" t="s">
        <v>1025</v>
      </c>
      <c r="AL260" s="197" t="s">
        <v>1026</v>
      </c>
      <c r="AM260" s="193">
        <v>1</v>
      </c>
      <c r="AN260" s="193">
        <v>0</v>
      </c>
      <c r="AO260" s="193">
        <v>0</v>
      </c>
      <c r="AP260" s="193">
        <v>0</v>
      </c>
      <c r="AQ260" s="193" t="s">
        <v>214</v>
      </c>
      <c r="AS260" s="197" t="s">
        <v>518</v>
      </c>
      <c r="AT260" s="197" t="s">
        <v>519</v>
      </c>
      <c r="AV260" s="194">
        <v>276</v>
      </c>
      <c r="AW260" s="194">
        <v>0</v>
      </c>
      <c r="AX260" s="194">
        <v>0</v>
      </c>
      <c r="AY260" s="549">
        <v>276</v>
      </c>
      <c r="AZ260" s="194">
        <v>0</v>
      </c>
      <c r="BA260" s="194">
        <v>324</v>
      </c>
      <c r="BB260" s="551">
        <v>324</v>
      </c>
      <c r="BC260" s="551">
        <v>600</v>
      </c>
      <c r="BD260" s="551">
        <v>0</v>
      </c>
      <c r="BF260" s="550">
        <f t="shared" si="60"/>
        <v>276</v>
      </c>
      <c r="BG260" s="550">
        <f t="shared" si="61"/>
        <v>0</v>
      </c>
      <c r="BH260" s="550">
        <f t="shared" si="62"/>
        <v>0</v>
      </c>
      <c r="BI260" s="550">
        <f t="shared" si="63"/>
        <v>276</v>
      </c>
      <c r="BJ260" s="550">
        <f t="shared" si="64"/>
        <v>0</v>
      </c>
      <c r="BK260" s="550">
        <f t="shared" si="65"/>
        <v>324</v>
      </c>
      <c r="BL260" s="550">
        <f t="shared" si="66"/>
        <v>324</v>
      </c>
      <c r="BM260" s="550">
        <f t="shared" si="67"/>
        <v>600</v>
      </c>
      <c r="BO260" s="194"/>
      <c r="BQ260" s="193">
        <f t="shared" si="68"/>
        <v>0</v>
      </c>
      <c r="BR260" s="193">
        <f t="shared" si="69"/>
        <v>0</v>
      </c>
      <c r="BS260" s="193">
        <f t="shared" si="70"/>
        <v>0</v>
      </c>
      <c r="BT260" s="193">
        <f t="shared" si="70"/>
        <v>0</v>
      </c>
    </row>
    <row r="261" spans="1:72" ht="13.5" customHeight="1">
      <c r="A261" s="193" t="s">
        <v>378</v>
      </c>
      <c r="B261" s="193" t="s">
        <v>379</v>
      </c>
      <c r="C261" s="193" t="s">
        <v>214</v>
      </c>
      <c r="D261" s="193" t="s">
        <v>997</v>
      </c>
      <c r="E261" s="193" t="s">
        <v>998</v>
      </c>
      <c r="F261" s="193" t="s">
        <v>1094</v>
      </c>
      <c r="G261" s="193" t="s">
        <v>1094</v>
      </c>
      <c r="H261" s="193" t="s">
        <v>999</v>
      </c>
      <c r="I261" s="193" t="s">
        <v>512</v>
      </c>
      <c r="J261" s="193" t="s">
        <v>1095</v>
      </c>
      <c r="K261" s="193" t="s">
        <v>386</v>
      </c>
      <c r="L261" s="193" t="s">
        <v>387</v>
      </c>
      <c r="M261" s="193" t="s">
        <v>378</v>
      </c>
      <c r="N261" s="193" t="s">
        <v>514</v>
      </c>
      <c r="O261" s="193" t="s">
        <v>129</v>
      </c>
      <c r="P261" s="193" t="s">
        <v>150</v>
      </c>
      <c r="Q261" s="193" t="s">
        <v>149</v>
      </c>
      <c r="R261" s="193" t="s">
        <v>148</v>
      </c>
      <c r="S261" s="193" t="s">
        <v>152</v>
      </c>
      <c r="T261" s="193" t="s">
        <v>389</v>
      </c>
      <c r="U261" s="193" t="s">
        <v>390</v>
      </c>
      <c r="V261" s="193">
        <v>0</v>
      </c>
      <c r="W261" s="193">
        <v>0</v>
      </c>
      <c r="X261" s="193">
        <v>0</v>
      </c>
      <c r="Y261" s="194">
        <v>600</v>
      </c>
      <c r="Z261" s="193" t="s">
        <v>515</v>
      </c>
      <c r="AA261" s="193" t="s">
        <v>516</v>
      </c>
      <c r="AB261" s="193">
        <v>600</v>
      </c>
      <c r="AC261" s="193" t="s">
        <v>517</v>
      </c>
      <c r="AD261" s="193" t="s">
        <v>152</v>
      </c>
      <c r="AE261" s="193">
        <v>600</v>
      </c>
      <c r="AF261" s="193" t="s">
        <v>518</v>
      </c>
      <c r="AG261" s="193" t="s">
        <v>519</v>
      </c>
      <c r="AH261" s="193">
        <v>0</v>
      </c>
      <c r="AI261" s="193">
        <v>600</v>
      </c>
      <c r="AJ261" s="193" t="s">
        <v>1096</v>
      </c>
      <c r="AL261" s="197" t="s">
        <v>1097</v>
      </c>
      <c r="AM261" s="193">
        <v>1</v>
      </c>
      <c r="AN261" s="193">
        <v>0</v>
      </c>
      <c r="AO261" s="193">
        <v>0</v>
      </c>
      <c r="AP261" s="193">
        <v>0</v>
      </c>
      <c r="AQ261" s="193" t="s">
        <v>214</v>
      </c>
      <c r="AS261" s="197" t="s">
        <v>518</v>
      </c>
      <c r="AT261" s="197" t="s">
        <v>519</v>
      </c>
      <c r="AV261" s="194">
        <v>276</v>
      </c>
      <c r="AW261" s="194">
        <v>0</v>
      </c>
      <c r="AX261" s="194">
        <v>0</v>
      </c>
      <c r="AY261" s="549">
        <v>276</v>
      </c>
      <c r="AZ261" s="194">
        <v>0</v>
      </c>
      <c r="BA261" s="194">
        <v>324</v>
      </c>
      <c r="BB261" s="551">
        <v>324</v>
      </c>
      <c r="BC261" s="551">
        <v>600</v>
      </c>
      <c r="BD261" s="551">
        <v>0</v>
      </c>
      <c r="BF261" s="550">
        <f t="shared" si="60"/>
        <v>276</v>
      </c>
      <c r="BG261" s="550">
        <f t="shared" si="61"/>
        <v>0</v>
      </c>
      <c r="BH261" s="550">
        <f t="shared" si="62"/>
        <v>0</v>
      </c>
      <c r="BI261" s="550">
        <f t="shared" si="63"/>
        <v>276</v>
      </c>
      <c r="BJ261" s="550">
        <f t="shared" si="64"/>
        <v>0</v>
      </c>
      <c r="BK261" s="550">
        <f t="shared" si="65"/>
        <v>324</v>
      </c>
      <c r="BL261" s="550">
        <f t="shared" si="66"/>
        <v>324</v>
      </c>
      <c r="BM261" s="550">
        <f t="shared" si="67"/>
        <v>600</v>
      </c>
      <c r="BO261" s="194"/>
      <c r="BQ261" s="193">
        <f t="shared" si="68"/>
        <v>0</v>
      </c>
      <c r="BR261" s="193">
        <f t="shared" si="69"/>
        <v>0</v>
      </c>
      <c r="BS261" s="193">
        <f t="shared" si="70"/>
        <v>0</v>
      </c>
      <c r="BT261" s="193">
        <f t="shared" si="70"/>
        <v>0</v>
      </c>
    </row>
    <row r="262" spans="1:72" ht="13.5" customHeight="1">
      <c r="A262" s="193" t="s">
        <v>378</v>
      </c>
      <c r="B262" s="193" t="s">
        <v>379</v>
      </c>
      <c r="C262" s="193" t="s">
        <v>214</v>
      </c>
      <c r="D262" s="193" t="s">
        <v>1098</v>
      </c>
      <c r="E262" s="193" t="s">
        <v>1099</v>
      </c>
      <c r="F262" s="193" t="s">
        <v>801</v>
      </c>
      <c r="G262" s="193" t="s">
        <v>801</v>
      </c>
      <c r="H262" s="193" t="s">
        <v>1100</v>
      </c>
      <c r="I262" s="193" t="s">
        <v>512</v>
      </c>
      <c r="J262" s="193" t="s">
        <v>1101</v>
      </c>
      <c r="K262" s="193" t="s">
        <v>386</v>
      </c>
      <c r="L262" s="193" t="s">
        <v>387</v>
      </c>
      <c r="M262" s="193" t="s">
        <v>378</v>
      </c>
      <c r="N262" s="193" t="s">
        <v>514</v>
      </c>
      <c r="O262" s="193" t="s">
        <v>129</v>
      </c>
      <c r="P262" s="193" t="s">
        <v>150</v>
      </c>
      <c r="Q262" s="193" t="s">
        <v>149</v>
      </c>
      <c r="R262" s="193" t="s">
        <v>148</v>
      </c>
      <c r="S262" s="193" t="s">
        <v>152</v>
      </c>
      <c r="T262" s="193" t="s">
        <v>389</v>
      </c>
      <c r="U262" s="193" t="s">
        <v>390</v>
      </c>
      <c r="V262" s="193">
        <v>0</v>
      </c>
      <c r="W262" s="193">
        <v>0</v>
      </c>
      <c r="X262" s="193">
        <v>0</v>
      </c>
      <c r="Y262" s="194">
        <v>600</v>
      </c>
      <c r="Z262" s="193" t="s">
        <v>515</v>
      </c>
      <c r="AA262" s="193" t="s">
        <v>516</v>
      </c>
      <c r="AB262" s="193">
        <v>600</v>
      </c>
      <c r="AC262" s="193" t="s">
        <v>517</v>
      </c>
      <c r="AD262" s="193" t="s">
        <v>152</v>
      </c>
      <c r="AE262" s="193">
        <v>600</v>
      </c>
      <c r="AF262" s="193" t="s">
        <v>518</v>
      </c>
      <c r="AG262" s="193" t="s">
        <v>519</v>
      </c>
      <c r="AH262" s="193">
        <v>0</v>
      </c>
      <c r="AI262" s="193">
        <v>600</v>
      </c>
      <c r="AJ262" s="193" t="s">
        <v>1102</v>
      </c>
      <c r="AL262" s="197" t="s">
        <v>1103</v>
      </c>
      <c r="AM262" s="193">
        <v>1</v>
      </c>
      <c r="AN262" s="193">
        <v>0</v>
      </c>
      <c r="AO262" s="193">
        <v>0</v>
      </c>
      <c r="AP262" s="193">
        <v>0</v>
      </c>
      <c r="AQ262" s="193" t="s">
        <v>214</v>
      </c>
      <c r="AS262" s="197" t="s">
        <v>518</v>
      </c>
      <c r="AT262" s="197" t="s">
        <v>519</v>
      </c>
      <c r="AV262" s="194">
        <v>276</v>
      </c>
      <c r="AW262" s="194">
        <v>0</v>
      </c>
      <c r="AX262" s="194">
        <v>0</v>
      </c>
      <c r="AY262" s="549">
        <v>276</v>
      </c>
      <c r="AZ262" s="194">
        <v>0</v>
      </c>
      <c r="BA262" s="194">
        <v>324</v>
      </c>
      <c r="BB262" s="551">
        <v>324</v>
      </c>
      <c r="BC262" s="551">
        <v>600</v>
      </c>
      <c r="BD262" s="551">
        <v>0</v>
      </c>
      <c r="BF262" s="550">
        <f t="shared" si="60"/>
        <v>276</v>
      </c>
      <c r="BG262" s="550">
        <f t="shared" si="61"/>
        <v>0</v>
      </c>
      <c r="BH262" s="550">
        <f t="shared" si="62"/>
        <v>0</v>
      </c>
      <c r="BI262" s="550">
        <f t="shared" si="63"/>
        <v>276</v>
      </c>
      <c r="BJ262" s="550">
        <f t="shared" si="64"/>
        <v>0</v>
      </c>
      <c r="BK262" s="550">
        <f t="shared" si="65"/>
        <v>324</v>
      </c>
      <c r="BL262" s="550">
        <f t="shared" si="66"/>
        <v>324</v>
      </c>
      <c r="BM262" s="550">
        <f t="shared" si="67"/>
        <v>600</v>
      </c>
      <c r="BO262" s="194"/>
      <c r="BQ262" s="193">
        <f t="shared" si="68"/>
        <v>0</v>
      </c>
      <c r="BR262" s="193">
        <f t="shared" si="69"/>
        <v>0</v>
      </c>
      <c r="BS262" s="193">
        <f t="shared" si="70"/>
        <v>0</v>
      </c>
      <c r="BT262" s="193">
        <f t="shared" si="70"/>
        <v>0</v>
      </c>
    </row>
    <row r="263" spans="1:72" ht="13.5" customHeight="1">
      <c r="A263" s="193" t="s">
        <v>378</v>
      </c>
      <c r="B263" s="193" t="s">
        <v>379</v>
      </c>
      <c r="C263" s="193" t="s">
        <v>214</v>
      </c>
      <c r="D263" s="193" t="s">
        <v>380</v>
      </c>
      <c r="E263" s="193" t="s">
        <v>381</v>
      </c>
      <c r="F263" s="193" t="s">
        <v>1104</v>
      </c>
      <c r="G263" s="193" t="s">
        <v>1104</v>
      </c>
      <c r="H263" s="193" t="s">
        <v>1105</v>
      </c>
      <c r="I263" s="193" t="s">
        <v>512</v>
      </c>
      <c r="J263" s="193" t="s">
        <v>1106</v>
      </c>
      <c r="K263" s="193" t="s">
        <v>386</v>
      </c>
      <c r="L263" s="193" t="s">
        <v>387</v>
      </c>
      <c r="M263" s="193" t="s">
        <v>378</v>
      </c>
      <c r="N263" s="193" t="s">
        <v>514</v>
      </c>
      <c r="O263" s="193" t="s">
        <v>129</v>
      </c>
      <c r="P263" s="193" t="s">
        <v>150</v>
      </c>
      <c r="Q263" s="193" t="s">
        <v>149</v>
      </c>
      <c r="R263" s="193" t="s">
        <v>148</v>
      </c>
      <c r="S263" s="193" t="s">
        <v>152</v>
      </c>
      <c r="T263" s="193" t="s">
        <v>389</v>
      </c>
      <c r="U263" s="193" t="s">
        <v>390</v>
      </c>
      <c r="V263" s="193">
        <v>0</v>
      </c>
      <c r="W263" s="193">
        <v>0</v>
      </c>
      <c r="X263" s="193">
        <v>0</v>
      </c>
      <c r="Y263" s="194">
        <v>600</v>
      </c>
      <c r="Z263" s="193" t="s">
        <v>515</v>
      </c>
      <c r="AA263" s="193" t="s">
        <v>516</v>
      </c>
      <c r="AB263" s="193">
        <v>600</v>
      </c>
      <c r="AC263" s="193" t="s">
        <v>517</v>
      </c>
      <c r="AD263" s="193" t="s">
        <v>152</v>
      </c>
      <c r="AE263" s="193">
        <v>600</v>
      </c>
      <c r="AF263" s="193" t="s">
        <v>518</v>
      </c>
      <c r="AG263" s="193" t="s">
        <v>519</v>
      </c>
      <c r="AH263" s="193">
        <v>0</v>
      </c>
      <c r="AI263" s="193">
        <v>600</v>
      </c>
      <c r="AJ263" s="193" t="s">
        <v>1107</v>
      </c>
      <c r="AL263" s="197" t="s">
        <v>1108</v>
      </c>
      <c r="AM263" s="193">
        <v>1</v>
      </c>
      <c r="AN263" s="193">
        <v>0</v>
      </c>
      <c r="AO263" s="193">
        <v>0</v>
      </c>
      <c r="AP263" s="193">
        <v>0</v>
      </c>
      <c r="AQ263" s="193" t="s">
        <v>214</v>
      </c>
      <c r="AS263" s="197" t="s">
        <v>518</v>
      </c>
      <c r="AT263" s="197" t="s">
        <v>519</v>
      </c>
      <c r="AV263" s="194">
        <v>276</v>
      </c>
      <c r="AW263" s="194">
        <v>0</v>
      </c>
      <c r="AX263" s="194">
        <v>0</v>
      </c>
      <c r="AY263" s="549">
        <v>276</v>
      </c>
      <c r="AZ263" s="194">
        <v>0</v>
      </c>
      <c r="BA263" s="194">
        <v>324</v>
      </c>
      <c r="BB263" s="551">
        <v>324</v>
      </c>
      <c r="BC263" s="551">
        <v>600</v>
      </c>
      <c r="BD263" s="551">
        <v>0</v>
      </c>
      <c r="BF263" s="550">
        <f t="shared" ref="BF263:BF326" si="71">+IFERROR(ROUND(AV263*100/(100+$AT263),0),AV263)</f>
        <v>276</v>
      </c>
      <c r="BG263" s="550">
        <f t="shared" ref="BG263:BG326" si="72">+IFERROR(ROUND(AW263*100/(100+$AT263),0),AW263)</f>
        <v>0</v>
      </c>
      <c r="BH263" s="550">
        <f t="shared" ref="BH263:BH326" si="73">+IFERROR(ROUND(AX263*100/(100+$AT263),0),AX263)</f>
        <v>0</v>
      </c>
      <c r="BI263" s="550">
        <f t="shared" ref="BI263:BI326" si="74">SUM(BF263:BH263)</f>
        <v>276</v>
      </c>
      <c r="BJ263" s="550">
        <f t="shared" ref="BJ263:BJ326" si="75">+IFERROR(ROUND(AZ263*100/(100+$AT263),0),AZ263)</f>
        <v>0</v>
      </c>
      <c r="BK263" s="550">
        <f t="shared" ref="BK263:BK326" si="76">+IFERROR(ROUND(BA263*100/(100+$AT263),0),BA263)</f>
        <v>324</v>
      </c>
      <c r="BL263" s="550">
        <f t="shared" ref="BL263:BL326" si="77">SUM(BJ263:BK263)</f>
        <v>324</v>
      </c>
      <c r="BM263" s="550">
        <f t="shared" ref="BM263:BM326" si="78">+BI263+BL263</f>
        <v>600</v>
      </c>
      <c r="BO263" s="194"/>
      <c r="BQ263" s="193">
        <f t="shared" ref="BQ263:BQ326" si="79">AY263*100/(100+$AT263)-BI263</f>
        <v>0</v>
      </c>
      <c r="BR263" s="193">
        <f t="shared" ref="BR263:BR326" si="80">BB263*100/(100+$AT263)-BL263</f>
        <v>0</v>
      </c>
      <c r="BS263" s="193">
        <f t="shared" si="70"/>
        <v>0</v>
      </c>
      <c r="BT263" s="193">
        <f t="shared" si="70"/>
        <v>0</v>
      </c>
    </row>
    <row r="264" spans="1:72" ht="13.5" customHeight="1">
      <c r="A264" s="193" t="s">
        <v>378</v>
      </c>
      <c r="B264" s="193" t="s">
        <v>379</v>
      </c>
      <c r="C264" s="193" t="s">
        <v>214</v>
      </c>
      <c r="D264" s="193" t="s">
        <v>1109</v>
      </c>
      <c r="E264" s="193" t="s">
        <v>1110</v>
      </c>
      <c r="F264" s="193" t="s">
        <v>1132</v>
      </c>
      <c r="G264" s="193" t="s">
        <v>1132</v>
      </c>
      <c r="H264" s="193" t="s">
        <v>1111</v>
      </c>
      <c r="I264" s="193" t="s">
        <v>512</v>
      </c>
      <c r="J264" s="193" t="s">
        <v>1133</v>
      </c>
      <c r="K264" s="193" t="s">
        <v>386</v>
      </c>
      <c r="L264" s="193" t="s">
        <v>387</v>
      </c>
      <c r="M264" s="193" t="s">
        <v>378</v>
      </c>
      <c r="N264" s="193" t="s">
        <v>514</v>
      </c>
      <c r="O264" s="193" t="s">
        <v>129</v>
      </c>
      <c r="P264" s="193" t="s">
        <v>150</v>
      </c>
      <c r="Q264" s="193" t="s">
        <v>149</v>
      </c>
      <c r="R264" s="193" t="s">
        <v>148</v>
      </c>
      <c r="S264" s="193" t="s">
        <v>152</v>
      </c>
      <c r="T264" s="193" t="s">
        <v>389</v>
      </c>
      <c r="U264" s="193" t="s">
        <v>390</v>
      </c>
      <c r="V264" s="193">
        <v>0</v>
      </c>
      <c r="W264" s="193">
        <v>0</v>
      </c>
      <c r="X264" s="193">
        <v>0</v>
      </c>
      <c r="Y264" s="194">
        <v>300</v>
      </c>
      <c r="Z264" s="193" t="s">
        <v>515</v>
      </c>
      <c r="AA264" s="193" t="s">
        <v>516</v>
      </c>
      <c r="AB264" s="193">
        <v>300</v>
      </c>
      <c r="AC264" s="193" t="s">
        <v>517</v>
      </c>
      <c r="AD264" s="193" t="s">
        <v>152</v>
      </c>
      <c r="AE264" s="193">
        <v>300</v>
      </c>
      <c r="AF264" s="193" t="s">
        <v>518</v>
      </c>
      <c r="AG264" s="193" t="s">
        <v>519</v>
      </c>
      <c r="AH264" s="193">
        <v>0</v>
      </c>
      <c r="AI264" s="193">
        <v>300</v>
      </c>
      <c r="AJ264" s="193" t="s">
        <v>1134</v>
      </c>
      <c r="AL264" s="197" t="s">
        <v>1135</v>
      </c>
      <c r="AM264" s="193">
        <v>1</v>
      </c>
      <c r="AN264" s="193">
        <v>0</v>
      </c>
      <c r="AO264" s="193">
        <v>0</v>
      </c>
      <c r="AP264" s="193">
        <v>0</v>
      </c>
      <c r="AQ264" s="193" t="s">
        <v>214</v>
      </c>
      <c r="AS264" s="197" t="s">
        <v>518</v>
      </c>
      <c r="AT264" s="197" t="s">
        <v>519</v>
      </c>
      <c r="AV264" s="194">
        <v>138</v>
      </c>
      <c r="AW264" s="194">
        <v>0</v>
      </c>
      <c r="AX264" s="194">
        <v>0</v>
      </c>
      <c r="AY264" s="549">
        <v>138</v>
      </c>
      <c r="AZ264" s="194">
        <v>0</v>
      </c>
      <c r="BA264" s="194">
        <v>162</v>
      </c>
      <c r="BB264" s="551">
        <v>162</v>
      </c>
      <c r="BC264" s="551">
        <v>300</v>
      </c>
      <c r="BD264" s="551">
        <v>0</v>
      </c>
      <c r="BF264" s="550">
        <f t="shared" si="71"/>
        <v>138</v>
      </c>
      <c r="BG264" s="550">
        <f t="shared" si="72"/>
        <v>0</v>
      </c>
      <c r="BH264" s="550">
        <f t="shared" si="73"/>
        <v>0</v>
      </c>
      <c r="BI264" s="550">
        <f t="shared" si="74"/>
        <v>138</v>
      </c>
      <c r="BJ264" s="550">
        <f t="shared" si="75"/>
        <v>0</v>
      </c>
      <c r="BK264" s="550">
        <f t="shared" si="76"/>
        <v>162</v>
      </c>
      <c r="BL264" s="550">
        <f t="shared" si="77"/>
        <v>162</v>
      </c>
      <c r="BM264" s="550">
        <f t="shared" si="78"/>
        <v>300</v>
      </c>
      <c r="BO264" s="194"/>
      <c r="BQ264" s="193">
        <f t="shared" si="79"/>
        <v>0</v>
      </c>
      <c r="BR264" s="193">
        <f t="shared" si="80"/>
        <v>0</v>
      </c>
      <c r="BS264" s="193">
        <f t="shared" si="70"/>
        <v>0</v>
      </c>
      <c r="BT264" s="193">
        <f t="shared" si="70"/>
        <v>0</v>
      </c>
    </row>
    <row r="265" spans="1:72" ht="13.5" customHeight="1">
      <c r="A265" s="193" t="s">
        <v>378</v>
      </c>
      <c r="B265" s="193" t="s">
        <v>379</v>
      </c>
      <c r="C265" s="193" t="s">
        <v>214</v>
      </c>
      <c r="D265" s="193" t="s">
        <v>1109</v>
      </c>
      <c r="E265" s="193" t="s">
        <v>1110</v>
      </c>
      <c r="F265" s="193" t="s">
        <v>544</v>
      </c>
      <c r="G265" s="193" t="s">
        <v>544</v>
      </c>
      <c r="H265" s="193" t="s">
        <v>1119</v>
      </c>
      <c r="I265" s="193" t="s">
        <v>512</v>
      </c>
      <c r="J265" s="193" t="s">
        <v>1120</v>
      </c>
      <c r="K265" s="193" t="s">
        <v>386</v>
      </c>
      <c r="L265" s="193" t="s">
        <v>387</v>
      </c>
      <c r="M265" s="193" t="s">
        <v>378</v>
      </c>
      <c r="N265" s="193" t="s">
        <v>514</v>
      </c>
      <c r="O265" s="193" t="s">
        <v>129</v>
      </c>
      <c r="P265" s="193" t="s">
        <v>150</v>
      </c>
      <c r="Q265" s="193" t="s">
        <v>149</v>
      </c>
      <c r="R265" s="193" t="s">
        <v>148</v>
      </c>
      <c r="S265" s="193" t="s">
        <v>152</v>
      </c>
      <c r="T265" s="193" t="s">
        <v>389</v>
      </c>
      <c r="U265" s="193" t="s">
        <v>390</v>
      </c>
      <c r="V265" s="193">
        <v>0</v>
      </c>
      <c r="W265" s="193">
        <v>0</v>
      </c>
      <c r="X265" s="193">
        <v>0</v>
      </c>
      <c r="Y265" s="194">
        <v>300</v>
      </c>
      <c r="Z265" s="193" t="s">
        <v>515</v>
      </c>
      <c r="AA265" s="193" t="s">
        <v>516</v>
      </c>
      <c r="AB265" s="193">
        <v>300</v>
      </c>
      <c r="AC265" s="193" t="s">
        <v>517</v>
      </c>
      <c r="AD265" s="193" t="s">
        <v>152</v>
      </c>
      <c r="AE265" s="193">
        <v>300</v>
      </c>
      <c r="AF265" s="193" t="s">
        <v>518</v>
      </c>
      <c r="AG265" s="193" t="s">
        <v>519</v>
      </c>
      <c r="AH265" s="193">
        <v>0</v>
      </c>
      <c r="AI265" s="193">
        <v>300</v>
      </c>
      <c r="AJ265" s="193" t="s">
        <v>1121</v>
      </c>
      <c r="AL265" s="197" t="s">
        <v>1122</v>
      </c>
      <c r="AM265" s="193">
        <v>1</v>
      </c>
      <c r="AN265" s="193">
        <v>0</v>
      </c>
      <c r="AO265" s="193">
        <v>0</v>
      </c>
      <c r="AP265" s="193">
        <v>0</v>
      </c>
      <c r="AQ265" s="193" t="s">
        <v>214</v>
      </c>
      <c r="AS265" s="197" t="s">
        <v>518</v>
      </c>
      <c r="AT265" s="197" t="s">
        <v>519</v>
      </c>
      <c r="AV265" s="194">
        <v>138</v>
      </c>
      <c r="AW265" s="194">
        <v>0</v>
      </c>
      <c r="AX265" s="194">
        <v>0</v>
      </c>
      <c r="AY265" s="549">
        <v>138</v>
      </c>
      <c r="AZ265" s="194">
        <v>0</v>
      </c>
      <c r="BA265" s="194">
        <v>162</v>
      </c>
      <c r="BB265" s="551">
        <v>162</v>
      </c>
      <c r="BC265" s="551">
        <v>300</v>
      </c>
      <c r="BD265" s="551">
        <v>0</v>
      </c>
      <c r="BF265" s="550">
        <f t="shared" si="71"/>
        <v>138</v>
      </c>
      <c r="BG265" s="550">
        <f t="shared" si="72"/>
        <v>0</v>
      </c>
      <c r="BH265" s="550">
        <f t="shared" si="73"/>
        <v>0</v>
      </c>
      <c r="BI265" s="550">
        <f t="shared" si="74"/>
        <v>138</v>
      </c>
      <c r="BJ265" s="550">
        <f t="shared" si="75"/>
        <v>0</v>
      </c>
      <c r="BK265" s="550">
        <f t="shared" si="76"/>
        <v>162</v>
      </c>
      <c r="BL265" s="550">
        <f t="shared" si="77"/>
        <v>162</v>
      </c>
      <c r="BM265" s="550">
        <f t="shared" si="78"/>
        <v>300</v>
      </c>
      <c r="BO265" s="194"/>
      <c r="BQ265" s="193">
        <f t="shared" si="79"/>
        <v>0</v>
      </c>
      <c r="BR265" s="193">
        <f t="shared" si="80"/>
        <v>0</v>
      </c>
      <c r="BS265" s="193">
        <f t="shared" si="70"/>
        <v>0</v>
      </c>
      <c r="BT265" s="193">
        <f t="shared" si="70"/>
        <v>0</v>
      </c>
    </row>
    <row r="266" spans="1:72" ht="13.5" customHeight="1">
      <c r="A266" s="193" t="s">
        <v>378</v>
      </c>
      <c r="B266" s="193" t="s">
        <v>379</v>
      </c>
      <c r="C266" s="193" t="s">
        <v>214</v>
      </c>
      <c r="D266" s="193" t="s">
        <v>1109</v>
      </c>
      <c r="E266" s="193" t="s">
        <v>1110</v>
      </c>
      <c r="F266" s="193" t="s">
        <v>559</v>
      </c>
      <c r="G266" s="193" t="s">
        <v>559</v>
      </c>
      <c r="H266" s="193" t="s">
        <v>1111</v>
      </c>
      <c r="I266" s="193" t="s">
        <v>512</v>
      </c>
      <c r="J266" s="193" t="s">
        <v>1123</v>
      </c>
      <c r="K266" s="193" t="s">
        <v>386</v>
      </c>
      <c r="L266" s="193" t="s">
        <v>387</v>
      </c>
      <c r="M266" s="193" t="s">
        <v>378</v>
      </c>
      <c r="N266" s="193" t="s">
        <v>514</v>
      </c>
      <c r="O266" s="193" t="s">
        <v>129</v>
      </c>
      <c r="P266" s="193" t="s">
        <v>150</v>
      </c>
      <c r="Q266" s="193" t="s">
        <v>149</v>
      </c>
      <c r="R266" s="193" t="s">
        <v>148</v>
      </c>
      <c r="S266" s="193" t="s">
        <v>152</v>
      </c>
      <c r="T266" s="193" t="s">
        <v>389</v>
      </c>
      <c r="U266" s="193" t="s">
        <v>390</v>
      </c>
      <c r="V266" s="193">
        <v>0</v>
      </c>
      <c r="W266" s="193">
        <v>0</v>
      </c>
      <c r="X266" s="193">
        <v>0</v>
      </c>
      <c r="Y266" s="194">
        <v>600</v>
      </c>
      <c r="Z266" s="193" t="s">
        <v>515</v>
      </c>
      <c r="AA266" s="193" t="s">
        <v>516</v>
      </c>
      <c r="AB266" s="193">
        <v>600</v>
      </c>
      <c r="AC266" s="193" t="s">
        <v>517</v>
      </c>
      <c r="AD266" s="193" t="s">
        <v>152</v>
      </c>
      <c r="AE266" s="193">
        <v>600</v>
      </c>
      <c r="AF266" s="193" t="s">
        <v>518</v>
      </c>
      <c r="AG266" s="193" t="s">
        <v>519</v>
      </c>
      <c r="AH266" s="193">
        <v>0</v>
      </c>
      <c r="AI266" s="193">
        <v>600</v>
      </c>
      <c r="AJ266" s="193" t="s">
        <v>1124</v>
      </c>
      <c r="AL266" s="197" t="s">
        <v>1125</v>
      </c>
      <c r="AM266" s="193">
        <v>1</v>
      </c>
      <c r="AN266" s="193">
        <v>0</v>
      </c>
      <c r="AO266" s="193">
        <v>0</v>
      </c>
      <c r="AP266" s="193">
        <v>0</v>
      </c>
      <c r="AQ266" s="193" t="s">
        <v>214</v>
      </c>
      <c r="AS266" s="197" t="s">
        <v>518</v>
      </c>
      <c r="AT266" s="197" t="s">
        <v>519</v>
      </c>
      <c r="AV266" s="194">
        <v>276</v>
      </c>
      <c r="AW266" s="194">
        <v>0</v>
      </c>
      <c r="AX266" s="194">
        <v>0</v>
      </c>
      <c r="AY266" s="549">
        <v>276</v>
      </c>
      <c r="AZ266" s="194">
        <v>0</v>
      </c>
      <c r="BA266" s="194">
        <v>324</v>
      </c>
      <c r="BB266" s="551">
        <v>324</v>
      </c>
      <c r="BC266" s="551">
        <v>600</v>
      </c>
      <c r="BD266" s="551">
        <v>0</v>
      </c>
      <c r="BF266" s="550">
        <f t="shared" si="71"/>
        <v>276</v>
      </c>
      <c r="BG266" s="550">
        <f t="shared" si="72"/>
        <v>0</v>
      </c>
      <c r="BH266" s="550">
        <f t="shared" si="73"/>
        <v>0</v>
      </c>
      <c r="BI266" s="550">
        <f t="shared" si="74"/>
        <v>276</v>
      </c>
      <c r="BJ266" s="550">
        <f t="shared" si="75"/>
        <v>0</v>
      </c>
      <c r="BK266" s="550">
        <f t="shared" si="76"/>
        <v>324</v>
      </c>
      <c r="BL266" s="550">
        <f t="shared" si="77"/>
        <v>324</v>
      </c>
      <c r="BM266" s="550">
        <f t="shared" si="78"/>
        <v>600</v>
      </c>
      <c r="BO266" s="194"/>
      <c r="BQ266" s="193">
        <f t="shared" si="79"/>
        <v>0</v>
      </c>
      <c r="BR266" s="193">
        <f t="shared" si="80"/>
        <v>0</v>
      </c>
      <c r="BS266" s="193">
        <f t="shared" si="70"/>
        <v>0</v>
      </c>
      <c r="BT266" s="193">
        <f t="shared" si="70"/>
        <v>0</v>
      </c>
    </row>
    <row r="267" spans="1:72" ht="13.5" customHeight="1">
      <c r="A267" s="193" t="s">
        <v>378</v>
      </c>
      <c r="B267" s="193" t="s">
        <v>379</v>
      </c>
      <c r="C267" s="193" t="s">
        <v>214</v>
      </c>
      <c r="D267" s="193" t="s">
        <v>1109</v>
      </c>
      <c r="E267" s="193" t="s">
        <v>1110</v>
      </c>
      <c r="F267" s="193" t="s">
        <v>411</v>
      </c>
      <c r="G267" s="193" t="s">
        <v>411</v>
      </c>
      <c r="H267" s="193" t="s">
        <v>1111</v>
      </c>
      <c r="I267" s="193" t="s">
        <v>512</v>
      </c>
      <c r="J267" s="193" t="s">
        <v>1126</v>
      </c>
      <c r="K267" s="193" t="s">
        <v>386</v>
      </c>
      <c r="L267" s="193" t="s">
        <v>387</v>
      </c>
      <c r="M267" s="193" t="s">
        <v>378</v>
      </c>
      <c r="N267" s="193" t="s">
        <v>514</v>
      </c>
      <c r="O267" s="193" t="s">
        <v>129</v>
      </c>
      <c r="P267" s="193" t="s">
        <v>150</v>
      </c>
      <c r="Q267" s="193" t="s">
        <v>149</v>
      </c>
      <c r="R267" s="193" t="s">
        <v>148</v>
      </c>
      <c r="S267" s="193" t="s">
        <v>152</v>
      </c>
      <c r="T267" s="193" t="s">
        <v>389</v>
      </c>
      <c r="U267" s="193" t="s">
        <v>390</v>
      </c>
      <c r="V267" s="193">
        <v>0</v>
      </c>
      <c r="W267" s="193">
        <v>0</v>
      </c>
      <c r="X267" s="193">
        <v>0</v>
      </c>
      <c r="Y267" s="194">
        <v>300</v>
      </c>
      <c r="Z267" s="193" t="s">
        <v>515</v>
      </c>
      <c r="AA267" s="193" t="s">
        <v>516</v>
      </c>
      <c r="AB267" s="193">
        <v>300</v>
      </c>
      <c r="AC267" s="193" t="s">
        <v>517</v>
      </c>
      <c r="AD267" s="193" t="s">
        <v>152</v>
      </c>
      <c r="AE267" s="193">
        <v>300</v>
      </c>
      <c r="AF267" s="193" t="s">
        <v>518</v>
      </c>
      <c r="AG267" s="193" t="s">
        <v>519</v>
      </c>
      <c r="AH267" s="193">
        <v>0</v>
      </c>
      <c r="AI267" s="193">
        <v>300</v>
      </c>
      <c r="AJ267" s="193" t="s">
        <v>1127</v>
      </c>
      <c r="AL267" s="197" t="s">
        <v>1128</v>
      </c>
      <c r="AM267" s="193">
        <v>1</v>
      </c>
      <c r="AN267" s="193">
        <v>0</v>
      </c>
      <c r="AO267" s="193">
        <v>0</v>
      </c>
      <c r="AP267" s="193">
        <v>0</v>
      </c>
      <c r="AQ267" s="193" t="s">
        <v>214</v>
      </c>
      <c r="AS267" s="197" t="s">
        <v>518</v>
      </c>
      <c r="AT267" s="197" t="s">
        <v>519</v>
      </c>
      <c r="AV267" s="194">
        <v>138</v>
      </c>
      <c r="AW267" s="194">
        <v>0</v>
      </c>
      <c r="AX267" s="194">
        <v>0</v>
      </c>
      <c r="AY267" s="549">
        <v>138</v>
      </c>
      <c r="AZ267" s="194">
        <v>0</v>
      </c>
      <c r="BA267" s="194">
        <v>162</v>
      </c>
      <c r="BB267" s="551">
        <v>162</v>
      </c>
      <c r="BC267" s="551">
        <v>300</v>
      </c>
      <c r="BD267" s="551">
        <v>0</v>
      </c>
      <c r="BF267" s="550">
        <f t="shared" si="71"/>
        <v>138</v>
      </c>
      <c r="BG267" s="550">
        <f t="shared" si="72"/>
        <v>0</v>
      </c>
      <c r="BH267" s="550">
        <f t="shared" si="73"/>
        <v>0</v>
      </c>
      <c r="BI267" s="550">
        <f t="shared" si="74"/>
        <v>138</v>
      </c>
      <c r="BJ267" s="550">
        <f t="shared" si="75"/>
        <v>0</v>
      </c>
      <c r="BK267" s="550">
        <f t="shared" si="76"/>
        <v>162</v>
      </c>
      <c r="BL267" s="550">
        <f t="shared" si="77"/>
        <v>162</v>
      </c>
      <c r="BM267" s="550">
        <f t="shared" si="78"/>
        <v>300</v>
      </c>
      <c r="BO267" s="194"/>
      <c r="BQ267" s="193">
        <f t="shared" si="79"/>
        <v>0</v>
      </c>
      <c r="BR267" s="193">
        <f t="shared" si="80"/>
        <v>0</v>
      </c>
      <c r="BS267" s="193">
        <f t="shared" si="70"/>
        <v>0</v>
      </c>
      <c r="BT267" s="193">
        <f t="shared" si="70"/>
        <v>0</v>
      </c>
    </row>
    <row r="268" spans="1:72" ht="13.5" customHeight="1">
      <c r="A268" s="193" t="s">
        <v>378</v>
      </c>
      <c r="B268" s="193" t="s">
        <v>379</v>
      </c>
      <c r="C268" s="193" t="s">
        <v>214</v>
      </c>
      <c r="D268" s="193" t="s">
        <v>1109</v>
      </c>
      <c r="E268" s="193" t="s">
        <v>1110</v>
      </c>
      <c r="F268" s="193" t="s">
        <v>1136</v>
      </c>
      <c r="G268" s="193" t="s">
        <v>1136</v>
      </c>
      <c r="H268" s="193" t="s">
        <v>1111</v>
      </c>
      <c r="I268" s="193" t="s">
        <v>512</v>
      </c>
      <c r="J268" s="193" t="s">
        <v>1137</v>
      </c>
      <c r="K268" s="193" t="s">
        <v>386</v>
      </c>
      <c r="L268" s="193" t="s">
        <v>387</v>
      </c>
      <c r="M268" s="193" t="s">
        <v>378</v>
      </c>
      <c r="N268" s="193" t="s">
        <v>514</v>
      </c>
      <c r="O268" s="193" t="s">
        <v>129</v>
      </c>
      <c r="P268" s="193" t="s">
        <v>150</v>
      </c>
      <c r="Q268" s="193" t="s">
        <v>149</v>
      </c>
      <c r="R268" s="193" t="s">
        <v>148</v>
      </c>
      <c r="S268" s="193" t="s">
        <v>152</v>
      </c>
      <c r="T268" s="193" t="s">
        <v>389</v>
      </c>
      <c r="U268" s="193" t="s">
        <v>390</v>
      </c>
      <c r="V268" s="193">
        <v>0</v>
      </c>
      <c r="W268" s="193">
        <v>0</v>
      </c>
      <c r="X268" s="193">
        <v>0</v>
      </c>
      <c r="Y268" s="194">
        <v>600</v>
      </c>
      <c r="Z268" s="193" t="s">
        <v>515</v>
      </c>
      <c r="AA268" s="193" t="s">
        <v>516</v>
      </c>
      <c r="AB268" s="193">
        <v>600</v>
      </c>
      <c r="AC268" s="193" t="s">
        <v>517</v>
      </c>
      <c r="AD268" s="193" t="s">
        <v>152</v>
      </c>
      <c r="AE268" s="193">
        <v>600</v>
      </c>
      <c r="AF268" s="193" t="s">
        <v>518</v>
      </c>
      <c r="AG268" s="193" t="s">
        <v>519</v>
      </c>
      <c r="AH268" s="193">
        <v>0</v>
      </c>
      <c r="AI268" s="193">
        <v>600</v>
      </c>
      <c r="AJ268" s="193" t="s">
        <v>1138</v>
      </c>
      <c r="AL268" s="197" t="s">
        <v>1139</v>
      </c>
      <c r="AM268" s="193">
        <v>1</v>
      </c>
      <c r="AN268" s="193">
        <v>0</v>
      </c>
      <c r="AO268" s="193">
        <v>0</v>
      </c>
      <c r="AP268" s="193">
        <v>0</v>
      </c>
      <c r="AQ268" s="193" t="s">
        <v>214</v>
      </c>
      <c r="AS268" s="197" t="s">
        <v>518</v>
      </c>
      <c r="AT268" s="197" t="s">
        <v>519</v>
      </c>
      <c r="AV268" s="194">
        <v>276</v>
      </c>
      <c r="AW268" s="194">
        <v>0</v>
      </c>
      <c r="AX268" s="194">
        <v>0</v>
      </c>
      <c r="AY268" s="549">
        <v>276</v>
      </c>
      <c r="AZ268" s="194">
        <v>0</v>
      </c>
      <c r="BA268" s="194">
        <v>324</v>
      </c>
      <c r="BB268" s="551">
        <v>324</v>
      </c>
      <c r="BC268" s="551">
        <v>600</v>
      </c>
      <c r="BD268" s="551">
        <v>0</v>
      </c>
      <c r="BF268" s="550">
        <f t="shared" si="71"/>
        <v>276</v>
      </c>
      <c r="BG268" s="550">
        <f t="shared" si="72"/>
        <v>0</v>
      </c>
      <c r="BH268" s="550">
        <f t="shared" si="73"/>
        <v>0</v>
      </c>
      <c r="BI268" s="550">
        <f t="shared" si="74"/>
        <v>276</v>
      </c>
      <c r="BJ268" s="550">
        <f t="shared" si="75"/>
        <v>0</v>
      </c>
      <c r="BK268" s="550">
        <f t="shared" si="76"/>
        <v>324</v>
      </c>
      <c r="BL268" s="550">
        <f t="shared" si="77"/>
        <v>324</v>
      </c>
      <c r="BM268" s="550">
        <f t="shared" si="78"/>
        <v>600</v>
      </c>
      <c r="BO268" s="194"/>
      <c r="BQ268" s="193">
        <f t="shared" si="79"/>
        <v>0</v>
      </c>
      <c r="BR268" s="193">
        <f t="shared" si="80"/>
        <v>0</v>
      </c>
      <c r="BS268" s="193">
        <f t="shared" si="70"/>
        <v>0</v>
      </c>
      <c r="BT268" s="193">
        <f t="shared" si="70"/>
        <v>0</v>
      </c>
    </row>
    <row r="269" spans="1:72" ht="13.5" customHeight="1">
      <c r="A269" s="193" t="s">
        <v>378</v>
      </c>
      <c r="B269" s="193" t="s">
        <v>379</v>
      </c>
      <c r="C269" s="193" t="s">
        <v>214</v>
      </c>
      <c r="D269" s="193" t="s">
        <v>1109</v>
      </c>
      <c r="E269" s="193" t="s">
        <v>1110</v>
      </c>
      <c r="F269" s="193" t="s">
        <v>1143</v>
      </c>
      <c r="G269" s="193" t="s">
        <v>1143</v>
      </c>
      <c r="H269" s="193" t="s">
        <v>1111</v>
      </c>
      <c r="I269" s="193" t="s">
        <v>512</v>
      </c>
      <c r="J269" s="193" t="s">
        <v>1144</v>
      </c>
      <c r="K269" s="193" t="s">
        <v>386</v>
      </c>
      <c r="L269" s="193" t="s">
        <v>387</v>
      </c>
      <c r="M269" s="193" t="s">
        <v>378</v>
      </c>
      <c r="N269" s="193" t="s">
        <v>514</v>
      </c>
      <c r="O269" s="193" t="s">
        <v>129</v>
      </c>
      <c r="P269" s="193" t="s">
        <v>150</v>
      </c>
      <c r="Q269" s="193" t="s">
        <v>149</v>
      </c>
      <c r="R269" s="193" t="s">
        <v>148</v>
      </c>
      <c r="S269" s="193" t="s">
        <v>152</v>
      </c>
      <c r="T269" s="193" t="s">
        <v>389</v>
      </c>
      <c r="U269" s="193" t="s">
        <v>390</v>
      </c>
      <c r="V269" s="193">
        <v>0</v>
      </c>
      <c r="W269" s="193">
        <v>0</v>
      </c>
      <c r="X269" s="193">
        <v>0</v>
      </c>
      <c r="Y269" s="194">
        <v>300</v>
      </c>
      <c r="Z269" s="193" t="s">
        <v>515</v>
      </c>
      <c r="AA269" s="193" t="s">
        <v>516</v>
      </c>
      <c r="AB269" s="193">
        <v>300</v>
      </c>
      <c r="AC269" s="193" t="s">
        <v>517</v>
      </c>
      <c r="AD269" s="193" t="s">
        <v>152</v>
      </c>
      <c r="AE269" s="193">
        <v>300</v>
      </c>
      <c r="AF269" s="193" t="s">
        <v>518</v>
      </c>
      <c r="AG269" s="193" t="s">
        <v>519</v>
      </c>
      <c r="AH269" s="193">
        <v>0</v>
      </c>
      <c r="AI269" s="193">
        <v>300</v>
      </c>
      <c r="AJ269" s="193" t="s">
        <v>1145</v>
      </c>
      <c r="AL269" s="197" t="s">
        <v>1146</v>
      </c>
      <c r="AM269" s="193">
        <v>1</v>
      </c>
      <c r="AN269" s="193">
        <v>0</v>
      </c>
      <c r="AO269" s="193">
        <v>0</v>
      </c>
      <c r="AP269" s="193">
        <v>0</v>
      </c>
      <c r="AQ269" s="193" t="s">
        <v>214</v>
      </c>
      <c r="AS269" s="197" t="s">
        <v>518</v>
      </c>
      <c r="AT269" s="197" t="s">
        <v>519</v>
      </c>
      <c r="AV269" s="194">
        <v>138</v>
      </c>
      <c r="AW269" s="194">
        <v>0</v>
      </c>
      <c r="AX269" s="194">
        <v>0</v>
      </c>
      <c r="AY269" s="549">
        <v>138</v>
      </c>
      <c r="AZ269" s="194">
        <v>0</v>
      </c>
      <c r="BA269" s="194">
        <v>162</v>
      </c>
      <c r="BB269" s="551">
        <v>162</v>
      </c>
      <c r="BC269" s="551">
        <v>300</v>
      </c>
      <c r="BD269" s="551">
        <v>0</v>
      </c>
      <c r="BF269" s="550">
        <f t="shared" si="71"/>
        <v>138</v>
      </c>
      <c r="BG269" s="550">
        <f t="shared" si="72"/>
        <v>0</v>
      </c>
      <c r="BH269" s="550">
        <f t="shared" si="73"/>
        <v>0</v>
      </c>
      <c r="BI269" s="550">
        <f t="shared" si="74"/>
        <v>138</v>
      </c>
      <c r="BJ269" s="550">
        <f t="shared" si="75"/>
        <v>0</v>
      </c>
      <c r="BK269" s="550">
        <f t="shared" si="76"/>
        <v>162</v>
      </c>
      <c r="BL269" s="550">
        <f t="shared" si="77"/>
        <v>162</v>
      </c>
      <c r="BM269" s="550">
        <f t="shared" si="78"/>
        <v>300</v>
      </c>
      <c r="BO269" s="194"/>
      <c r="BQ269" s="193">
        <f t="shared" si="79"/>
        <v>0</v>
      </c>
      <c r="BR269" s="193">
        <f t="shared" si="80"/>
        <v>0</v>
      </c>
      <c r="BS269" s="193">
        <f t="shared" si="70"/>
        <v>0</v>
      </c>
      <c r="BT269" s="193">
        <f t="shared" si="70"/>
        <v>0</v>
      </c>
    </row>
    <row r="270" spans="1:72" ht="13.5" customHeight="1">
      <c r="A270" s="193" t="s">
        <v>378</v>
      </c>
      <c r="B270" s="193" t="s">
        <v>379</v>
      </c>
      <c r="C270" s="193" t="s">
        <v>214</v>
      </c>
      <c r="D270" s="193" t="s">
        <v>1109</v>
      </c>
      <c r="E270" s="193" t="s">
        <v>1110</v>
      </c>
      <c r="F270" s="193" t="s">
        <v>402</v>
      </c>
      <c r="G270" s="193" t="s">
        <v>402</v>
      </c>
      <c r="H270" s="193" t="s">
        <v>1111</v>
      </c>
      <c r="I270" s="193" t="s">
        <v>512</v>
      </c>
      <c r="J270" s="193" t="s">
        <v>1112</v>
      </c>
      <c r="K270" s="193" t="s">
        <v>386</v>
      </c>
      <c r="L270" s="193" t="s">
        <v>387</v>
      </c>
      <c r="M270" s="193" t="s">
        <v>378</v>
      </c>
      <c r="N270" s="193" t="s">
        <v>514</v>
      </c>
      <c r="O270" s="193" t="s">
        <v>129</v>
      </c>
      <c r="P270" s="193" t="s">
        <v>150</v>
      </c>
      <c r="Q270" s="193" t="s">
        <v>149</v>
      </c>
      <c r="R270" s="193" t="s">
        <v>148</v>
      </c>
      <c r="S270" s="193" t="s">
        <v>152</v>
      </c>
      <c r="T270" s="193" t="s">
        <v>389</v>
      </c>
      <c r="U270" s="193" t="s">
        <v>390</v>
      </c>
      <c r="V270" s="193">
        <v>0</v>
      </c>
      <c r="W270" s="193">
        <v>0</v>
      </c>
      <c r="X270" s="193">
        <v>0</v>
      </c>
      <c r="Y270" s="194">
        <v>1150</v>
      </c>
      <c r="Z270" s="193" t="s">
        <v>515</v>
      </c>
      <c r="AA270" s="193" t="s">
        <v>516</v>
      </c>
      <c r="AB270" s="193">
        <v>1150</v>
      </c>
      <c r="AC270" s="193" t="s">
        <v>517</v>
      </c>
      <c r="AD270" s="193" t="s">
        <v>152</v>
      </c>
      <c r="AE270" s="193">
        <v>1150</v>
      </c>
      <c r="AF270" s="193" t="s">
        <v>518</v>
      </c>
      <c r="AG270" s="193" t="s">
        <v>519</v>
      </c>
      <c r="AH270" s="193">
        <v>0</v>
      </c>
      <c r="AI270" s="193">
        <v>1150</v>
      </c>
      <c r="AJ270" s="193" t="s">
        <v>1113</v>
      </c>
      <c r="AL270" s="197" t="s">
        <v>1114</v>
      </c>
      <c r="AM270" s="193">
        <v>1</v>
      </c>
      <c r="AN270" s="193">
        <v>0</v>
      </c>
      <c r="AO270" s="193">
        <v>0</v>
      </c>
      <c r="AP270" s="193">
        <v>0</v>
      </c>
      <c r="AQ270" s="193" t="s">
        <v>214</v>
      </c>
      <c r="AS270" s="197" t="s">
        <v>518</v>
      </c>
      <c r="AT270" s="197" t="s">
        <v>519</v>
      </c>
      <c r="AV270" s="194">
        <v>529</v>
      </c>
      <c r="AW270" s="194">
        <v>0</v>
      </c>
      <c r="AX270" s="194">
        <v>0</v>
      </c>
      <c r="AY270" s="549">
        <v>529</v>
      </c>
      <c r="AZ270" s="194">
        <v>0</v>
      </c>
      <c r="BA270" s="194">
        <v>621</v>
      </c>
      <c r="BB270" s="551">
        <v>621</v>
      </c>
      <c r="BC270" s="551">
        <v>1150</v>
      </c>
      <c r="BD270" s="551">
        <v>0</v>
      </c>
      <c r="BF270" s="550">
        <f t="shared" si="71"/>
        <v>529</v>
      </c>
      <c r="BG270" s="550">
        <f t="shared" si="72"/>
        <v>0</v>
      </c>
      <c r="BH270" s="550">
        <f t="shared" si="73"/>
        <v>0</v>
      </c>
      <c r="BI270" s="550">
        <f t="shared" si="74"/>
        <v>529</v>
      </c>
      <c r="BJ270" s="550">
        <f t="shared" si="75"/>
        <v>0</v>
      </c>
      <c r="BK270" s="550">
        <f t="shared" si="76"/>
        <v>621</v>
      </c>
      <c r="BL270" s="550">
        <f t="shared" si="77"/>
        <v>621</v>
      </c>
      <c r="BM270" s="550">
        <f t="shared" si="78"/>
        <v>1150</v>
      </c>
      <c r="BO270" s="194"/>
      <c r="BQ270" s="193">
        <f t="shared" si="79"/>
        <v>0</v>
      </c>
      <c r="BR270" s="193">
        <f t="shared" si="80"/>
        <v>0</v>
      </c>
      <c r="BS270" s="193">
        <f t="shared" si="70"/>
        <v>0</v>
      </c>
      <c r="BT270" s="193">
        <f t="shared" si="70"/>
        <v>0</v>
      </c>
    </row>
    <row r="271" spans="1:72" ht="13.5" customHeight="1">
      <c r="A271" s="193" t="s">
        <v>378</v>
      </c>
      <c r="B271" s="193" t="s">
        <v>379</v>
      </c>
      <c r="C271" s="193" t="s">
        <v>214</v>
      </c>
      <c r="D271" s="193" t="s">
        <v>1109</v>
      </c>
      <c r="E271" s="193" t="s">
        <v>1110</v>
      </c>
      <c r="F271" s="193" t="s">
        <v>1115</v>
      </c>
      <c r="G271" s="193" t="s">
        <v>1115</v>
      </c>
      <c r="H271" s="193" t="s">
        <v>1111</v>
      </c>
      <c r="I271" s="193" t="s">
        <v>512</v>
      </c>
      <c r="J271" s="193" t="s">
        <v>1116</v>
      </c>
      <c r="K271" s="193" t="s">
        <v>386</v>
      </c>
      <c r="L271" s="193" t="s">
        <v>387</v>
      </c>
      <c r="M271" s="193" t="s">
        <v>378</v>
      </c>
      <c r="N271" s="193" t="s">
        <v>514</v>
      </c>
      <c r="O271" s="193" t="s">
        <v>129</v>
      </c>
      <c r="P271" s="193" t="s">
        <v>150</v>
      </c>
      <c r="Q271" s="193" t="s">
        <v>149</v>
      </c>
      <c r="R271" s="193" t="s">
        <v>148</v>
      </c>
      <c r="S271" s="193" t="s">
        <v>152</v>
      </c>
      <c r="T271" s="193" t="s">
        <v>389</v>
      </c>
      <c r="U271" s="193" t="s">
        <v>390</v>
      </c>
      <c r="V271" s="193">
        <v>0</v>
      </c>
      <c r="W271" s="193">
        <v>0</v>
      </c>
      <c r="X271" s="193">
        <v>0</v>
      </c>
      <c r="Y271" s="194">
        <v>300</v>
      </c>
      <c r="Z271" s="193" t="s">
        <v>515</v>
      </c>
      <c r="AA271" s="193" t="s">
        <v>516</v>
      </c>
      <c r="AB271" s="193">
        <v>300</v>
      </c>
      <c r="AC271" s="193" t="s">
        <v>517</v>
      </c>
      <c r="AD271" s="193" t="s">
        <v>152</v>
      </c>
      <c r="AE271" s="193">
        <v>300</v>
      </c>
      <c r="AF271" s="193" t="s">
        <v>518</v>
      </c>
      <c r="AG271" s="193" t="s">
        <v>519</v>
      </c>
      <c r="AH271" s="193">
        <v>0</v>
      </c>
      <c r="AI271" s="193">
        <v>300</v>
      </c>
      <c r="AJ271" s="193" t="s">
        <v>1117</v>
      </c>
      <c r="AL271" s="197" t="s">
        <v>1118</v>
      </c>
      <c r="AM271" s="193">
        <v>1</v>
      </c>
      <c r="AN271" s="193">
        <v>0</v>
      </c>
      <c r="AO271" s="193">
        <v>0</v>
      </c>
      <c r="AP271" s="193">
        <v>0</v>
      </c>
      <c r="AQ271" s="193" t="s">
        <v>214</v>
      </c>
      <c r="AS271" s="197" t="s">
        <v>518</v>
      </c>
      <c r="AT271" s="197" t="s">
        <v>519</v>
      </c>
      <c r="AV271" s="194">
        <v>138</v>
      </c>
      <c r="AW271" s="194">
        <v>0</v>
      </c>
      <c r="AX271" s="194">
        <v>0</v>
      </c>
      <c r="AY271" s="549">
        <v>138</v>
      </c>
      <c r="AZ271" s="194">
        <v>0</v>
      </c>
      <c r="BA271" s="194">
        <v>162</v>
      </c>
      <c r="BB271" s="551">
        <v>162</v>
      </c>
      <c r="BC271" s="551">
        <v>300</v>
      </c>
      <c r="BD271" s="551">
        <v>0</v>
      </c>
      <c r="BF271" s="550">
        <f t="shared" si="71"/>
        <v>138</v>
      </c>
      <c r="BG271" s="550">
        <f t="shared" si="72"/>
        <v>0</v>
      </c>
      <c r="BH271" s="550">
        <f t="shared" si="73"/>
        <v>0</v>
      </c>
      <c r="BI271" s="550">
        <f t="shared" si="74"/>
        <v>138</v>
      </c>
      <c r="BJ271" s="550">
        <f t="shared" si="75"/>
        <v>0</v>
      </c>
      <c r="BK271" s="550">
        <f t="shared" si="76"/>
        <v>162</v>
      </c>
      <c r="BL271" s="550">
        <f t="shared" si="77"/>
        <v>162</v>
      </c>
      <c r="BM271" s="550">
        <f t="shared" si="78"/>
        <v>300</v>
      </c>
      <c r="BO271" s="194"/>
      <c r="BQ271" s="193">
        <f t="shared" si="79"/>
        <v>0</v>
      </c>
      <c r="BR271" s="193">
        <f t="shared" si="80"/>
        <v>0</v>
      </c>
      <c r="BS271" s="193">
        <f t="shared" si="70"/>
        <v>0</v>
      </c>
      <c r="BT271" s="193">
        <f t="shared" si="70"/>
        <v>0</v>
      </c>
    </row>
    <row r="272" spans="1:72" ht="13.5" customHeight="1">
      <c r="A272" s="193" t="s">
        <v>378</v>
      </c>
      <c r="B272" s="193" t="s">
        <v>379</v>
      </c>
      <c r="C272" s="193" t="s">
        <v>214</v>
      </c>
      <c r="D272" s="193" t="s">
        <v>1109</v>
      </c>
      <c r="E272" s="193" t="s">
        <v>1110</v>
      </c>
      <c r="F272" s="193" t="s">
        <v>820</v>
      </c>
      <c r="G272" s="193" t="s">
        <v>820</v>
      </c>
      <c r="H272" s="193" t="s">
        <v>1111</v>
      </c>
      <c r="I272" s="193" t="s">
        <v>512</v>
      </c>
      <c r="J272" s="193" t="s">
        <v>1140</v>
      </c>
      <c r="K272" s="193" t="s">
        <v>386</v>
      </c>
      <c r="L272" s="193" t="s">
        <v>387</v>
      </c>
      <c r="M272" s="193" t="s">
        <v>378</v>
      </c>
      <c r="N272" s="193" t="s">
        <v>514</v>
      </c>
      <c r="O272" s="193" t="s">
        <v>129</v>
      </c>
      <c r="P272" s="193" t="s">
        <v>150</v>
      </c>
      <c r="Q272" s="193" t="s">
        <v>149</v>
      </c>
      <c r="R272" s="193" t="s">
        <v>148</v>
      </c>
      <c r="S272" s="193" t="s">
        <v>152</v>
      </c>
      <c r="T272" s="193" t="s">
        <v>389</v>
      </c>
      <c r="U272" s="193" t="s">
        <v>390</v>
      </c>
      <c r="V272" s="193">
        <v>0</v>
      </c>
      <c r="W272" s="193">
        <v>0</v>
      </c>
      <c r="X272" s="193">
        <v>0</v>
      </c>
      <c r="Y272" s="194">
        <v>300</v>
      </c>
      <c r="Z272" s="193" t="s">
        <v>515</v>
      </c>
      <c r="AA272" s="193" t="s">
        <v>516</v>
      </c>
      <c r="AB272" s="193">
        <v>300</v>
      </c>
      <c r="AC272" s="193" t="s">
        <v>517</v>
      </c>
      <c r="AD272" s="193" t="s">
        <v>152</v>
      </c>
      <c r="AE272" s="193">
        <v>300</v>
      </c>
      <c r="AF272" s="193" t="s">
        <v>518</v>
      </c>
      <c r="AG272" s="193" t="s">
        <v>519</v>
      </c>
      <c r="AH272" s="193">
        <v>0</v>
      </c>
      <c r="AI272" s="193">
        <v>300</v>
      </c>
      <c r="AJ272" s="193" t="s">
        <v>1141</v>
      </c>
      <c r="AL272" s="197" t="s">
        <v>1142</v>
      </c>
      <c r="AM272" s="193">
        <v>1</v>
      </c>
      <c r="AN272" s="193">
        <v>0</v>
      </c>
      <c r="AO272" s="193">
        <v>0</v>
      </c>
      <c r="AP272" s="193">
        <v>0</v>
      </c>
      <c r="AQ272" s="193" t="s">
        <v>214</v>
      </c>
      <c r="AS272" s="197" t="s">
        <v>518</v>
      </c>
      <c r="AT272" s="197" t="s">
        <v>519</v>
      </c>
      <c r="AV272" s="194">
        <v>138</v>
      </c>
      <c r="AW272" s="194">
        <v>0</v>
      </c>
      <c r="AX272" s="194">
        <v>0</v>
      </c>
      <c r="AY272" s="549">
        <v>138</v>
      </c>
      <c r="AZ272" s="194">
        <v>0</v>
      </c>
      <c r="BA272" s="194">
        <v>162</v>
      </c>
      <c r="BB272" s="551">
        <v>162</v>
      </c>
      <c r="BC272" s="551">
        <v>300</v>
      </c>
      <c r="BD272" s="551">
        <v>0</v>
      </c>
      <c r="BF272" s="550">
        <f t="shared" si="71"/>
        <v>138</v>
      </c>
      <c r="BG272" s="550">
        <f t="shared" si="72"/>
        <v>0</v>
      </c>
      <c r="BH272" s="550">
        <f t="shared" si="73"/>
        <v>0</v>
      </c>
      <c r="BI272" s="550">
        <f t="shared" si="74"/>
        <v>138</v>
      </c>
      <c r="BJ272" s="550">
        <f t="shared" si="75"/>
        <v>0</v>
      </c>
      <c r="BK272" s="550">
        <f t="shared" si="76"/>
        <v>162</v>
      </c>
      <c r="BL272" s="550">
        <f t="shared" si="77"/>
        <v>162</v>
      </c>
      <c r="BM272" s="550">
        <f t="shared" si="78"/>
        <v>300</v>
      </c>
      <c r="BO272" s="194"/>
      <c r="BQ272" s="193">
        <f t="shared" si="79"/>
        <v>0</v>
      </c>
      <c r="BR272" s="193">
        <f t="shared" si="80"/>
        <v>0</v>
      </c>
      <c r="BS272" s="193">
        <f t="shared" si="70"/>
        <v>0</v>
      </c>
      <c r="BT272" s="193">
        <f t="shared" si="70"/>
        <v>0</v>
      </c>
    </row>
    <row r="273" spans="1:72" ht="13.5" customHeight="1">
      <c r="A273" s="193" t="s">
        <v>378</v>
      </c>
      <c r="B273" s="193" t="s">
        <v>379</v>
      </c>
      <c r="C273" s="193" t="s">
        <v>214</v>
      </c>
      <c r="D273" s="193" t="s">
        <v>1109</v>
      </c>
      <c r="E273" s="193" t="s">
        <v>1110</v>
      </c>
      <c r="F273" s="193" t="s">
        <v>1064</v>
      </c>
      <c r="G273" s="193" t="s">
        <v>1064</v>
      </c>
      <c r="H273" s="193" t="s">
        <v>1111</v>
      </c>
      <c r="I273" s="193" t="s">
        <v>512</v>
      </c>
      <c r="J273" s="193" t="s">
        <v>1147</v>
      </c>
      <c r="K273" s="193" t="s">
        <v>386</v>
      </c>
      <c r="L273" s="193" t="s">
        <v>387</v>
      </c>
      <c r="M273" s="193" t="s">
        <v>378</v>
      </c>
      <c r="N273" s="193" t="s">
        <v>514</v>
      </c>
      <c r="O273" s="193" t="s">
        <v>129</v>
      </c>
      <c r="P273" s="193" t="s">
        <v>150</v>
      </c>
      <c r="Q273" s="193" t="s">
        <v>149</v>
      </c>
      <c r="R273" s="193" t="s">
        <v>148</v>
      </c>
      <c r="S273" s="193" t="s">
        <v>152</v>
      </c>
      <c r="T273" s="193" t="s">
        <v>389</v>
      </c>
      <c r="U273" s="193" t="s">
        <v>390</v>
      </c>
      <c r="V273" s="193">
        <v>0</v>
      </c>
      <c r="W273" s="193">
        <v>0</v>
      </c>
      <c r="X273" s="193">
        <v>0</v>
      </c>
      <c r="Y273" s="194">
        <v>600</v>
      </c>
      <c r="Z273" s="193" t="s">
        <v>515</v>
      </c>
      <c r="AA273" s="193" t="s">
        <v>516</v>
      </c>
      <c r="AB273" s="193">
        <v>600</v>
      </c>
      <c r="AC273" s="193" t="s">
        <v>517</v>
      </c>
      <c r="AD273" s="193" t="s">
        <v>152</v>
      </c>
      <c r="AE273" s="193">
        <v>600</v>
      </c>
      <c r="AF273" s="193" t="s">
        <v>518</v>
      </c>
      <c r="AG273" s="193" t="s">
        <v>519</v>
      </c>
      <c r="AH273" s="193">
        <v>0</v>
      </c>
      <c r="AI273" s="193">
        <v>600</v>
      </c>
      <c r="AJ273" s="193" t="s">
        <v>1148</v>
      </c>
      <c r="AL273" s="197" t="s">
        <v>1149</v>
      </c>
      <c r="AM273" s="193">
        <v>1</v>
      </c>
      <c r="AN273" s="193">
        <v>0</v>
      </c>
      <c r="AO273" s="193">
        <v>0</v>
      </c>
      <c r="AP273" s="193">
        <v>0</v>
      </c>
      <c r="AQ273" s="193" t="s">
        <v>214</v>
      </c>
      <c r="AS273" s="197" t="s">
        <v>518</v>
      </c>
      <c r="AT273" s="197" t="s">
        <v>519</v>
      </c>
      <c r="AV273" s="194">
        <v>276</v>
      </c>
      <c r="AW273" s="194">
        <v>0</v>
      </c>
      <c r="AX273" s="194">
        <v>0</v>
      </c>
      <c r="AY273" s="549">
        <v>276</v>
      </c>
      <c r="AZ273" s="194">
        <v>0</v>
      </c>
      <c r="BA273" s="194">
        <v>324</v>
      </c>
      <c r="BB273" s="551">
        <v>324</v>
      </c>
      <c r="BC273" s="551">
        <v>600</v>
      </c>
      <c r="BD273" s="551">
        <v>0</v>
      </c>
      <c r="BF273" s="550">
        <f t="shared" si="71"/>
        <v>276</v>
      </c>
      <c r="BG273" s="550">
        <f t="shared" si="72"/>
        <v>0</v>
      </c>
      <c r="BH273" s="550">
        <f t="shared" si="73"/>
        <v>0</v>
      </c>
      <c r="BI273" s="550">
        <f t="shared" si="74"/>
        <v>276</v>
      </c>
      <c r="BJ273" s="550">
        <f t="shared" si="75"/>
        <v>0</v>
      </c>
      <c r="BK273" s="550">
        <f t="shared" si="76"/>
        <v>324</v>
      </c>
      <c r="BL273" s="550">
        <f t="shared" si="77"/>
        <v>324</v>
      </c>
      <c r="BM273" s="550">
        <f t="shared" si="78"/>
        <v>600</v>
      </c>
      <c r="BO273" s="194"/>
      <c r="BQ273" s="193">
        <f t="shared" si="79"/>
        <v>0</v>
      </c>
      <c r="BR273" s="193">
        <f t="shared" si="80"/>
        <v>0</v>
      </c>
      <c r="BS273" s="193">
        <f t="shared" si="70"/>
        <v>0</v>
      </c>
      <c r="BT273" s="193">
        <f t="shared" si="70"/>
        <v>0</v>
      </c>
    </row>
    <row r="274" spans="1:72" ht="13.5" customHeight="1">
      <c r="A274" s="193" t="s">
        <v>378</v>
      </c>
      <c r="B274" s="193" t="s">
        <v>379</v>
      </c>
      <c r="C274" s="193" t="s">
        <v>214</v>
      </c>
      <c r="D274" s="193" t="s">
        <v>1109</v>
      </c>
      <c r="E274" s="193" t="s">
        <v>1110</v>
      </c>
      <c r="F274" s="193" t="s">
        <v>794</v>
      </c>
      <c r="G274" s="193" t="s">
        <v>794</v>
      </c>
      <c r="H274" s="193" t="s">
        <v>1111</v>
      </c>
      <c r="I274" s="193" t="s">
        <v>512</v>
      </c>
      <c r="J274" s="193" t="s">
        <v>1129</v>
      </c>
      <c r="K274" s="193" t="s">
        <v>386</v>
      </c>
      <c r="L274" s="193" t="s">
        <v>387</v>
      </c>
      <c r="M274" s="193" t="s">
        <v>378</v>
      </c>
      <c r="N274" s="193" t="s">
        <v>514</v>
      </c>
      <c r="O274" s="193" t="s">
        <v>129</v>
      </c>
      <c r="P274" s="193" t="s">
        <v>150</v>
      </c>
      <c r="Q274" s="193" t="s">
        <v>149</v>
      </c>
      <c r="R274" s="193" t="s">
        <v>148</v>
      </c>
      <c r="S274" s="193" t="s">
        <v>152</v>
      </c>
      <c r="T274" s="193" t="s">
        <v>389</v>
      </c>
      <c r="U274" s="193" t="s">
        <v>390</v>
      </c>
      <c r="V274" s="193">
        <v>0</v>
      </c>
      <c r="W274" s="193">
        <v>0</v>
      </c>
      <c r="X274" s="193">
        <v>0</v>
      </c>
      <c r="Y274" s="194">
        <v>600</v>
      </c>
      <c r="Z274" s="193" t="s">
        <v>515</v>
      </c>
      <c r="AA274" s="193" t="s">
        <v>516</v>
      </c>
      <c r="AB274" s="193">
        <v>600</v>
      </c>
      <c r="AC274" s="193" t="s">
        <v>517</v>
      </c>
      <c r="AD274" s="193" t="s">
        <v>152</v>
      </c>
      <c r="AE274" s="193">
        <v>600</v>
      </c>
      <c r="AF274" s="193" t="s">
        <v>518</v>
      </c>
      <c r="AG274" s="193" t="s">
        <v>519</v>
      </c>
      <c r="AH274" s="193">
        <v>0</v>
      </c>
      <c r="AI274" s="193">
        <v>600</v>
      </c>
      <c r="AJ274" s="193" t="s">
        <v>1130</v>
      </c>
      <c r="AL274" s="197" t="s">
        <v>1131</v>
      </c>
      <c r="AM274" s="193">
        <v>1</v>
      </c>
      <c r="AN274" s="193">
        <v>0</v>
      </c>
      <c r="AO274" s="193">
        <v>0</v>
      </c>
      <c r="AP274" s="193">
        <v>0</v>
      </c>
      <c r="AQ274" s="193" t="s">
        <v>214</v>
      </c>
      <c r="AS274" s="197" t="s">
        <v>518</v>
      </c>
      <c r="AT274" s="197" t="s">
        <v>519</v>
      </c>
      <c r="AV274" s="194">
        <v>276</v>
      </c>
      <c r="AW274" s="194">
        <v>0</v>
      </c>
      <c r="AX274" s="194">
        <v>0</v>
      </c>
      <c r="AY274" s="549">
        <v>276</v>
      </c>
      <c r="AZ274" s="194">
        <v>0</v>
      </c>
      <c r="BA274" s="194">
        <v>324</v>
      </c>
      <c r="BB274" s="551">
        <v>324</v>
      </c>
      <c r="BC274" s="551">
        <v>600</v>
      </c>
      <c r="BD274" s="551">
        <v>0</v>
      </c>
      <c r="BF274" s="550">
        <f t="shared" si="71"/>
        <v>276</v>
      </c>
      <c r="BG274" s="550">
        <f t="shared" si="72"/>
        <v>0</v>
      </c>
      <c r="BH274" s="550">
        <f t="shared" si="73"/>
        <v>0</v>
      </c>
      <c r="BI274" s="550">
        <f t="shared" si="74"/>
        <v>276</v>
      </c>
      <c r="BJ274" s="550">
        <f t="shared" si="75"/>
        <v>0</v>
      </c>
      <c r="BK274" s="550">
        <f t="shared" si="76"/>
        <v>324</v>
      </c>
      <c r="BL274" s="550">
        <f t="shared" si="77"/>
        <v>324</v>
      </c>
      <c r="BM274" s="550">
        <f t="shared" si="78"/>
        <v>600</v>
      </c>
      <c r="BO274" s="194"/>
      <c r="BQ274" s="193">
        <f t="shared" si="79"/>
        <v>0</v>
      </c>
      <c r="BR274" s="193">
        <f t="shared" si="80"/>
        <v>0</v>
      </c>
      <c r="BS274" s="193">
        <f t="shared" ref="BS274:BT322" si="81">AZ274*100/(100+$AT274)-BJ274</f>
        <v>0</v>
      </c>
      <c r="BT274" s="193">
        <f t="shared" si="81"/>
        <v>0</v>
      </c>
    </row>
    <row r="275" spans="1:72" ht="13.5" customHeight="1">
      <c r="A275" s="193" t="s">
        <v>378</v>
      </c>
      <c r="B275" s="193" t="s">
        <v>379</v>
      </c>
      <c r="C275" s="193" t="s">
        <v>214</v>
      </c>
      <c r="D275" s="193" t="s">
        <v>1109</v>
      </c>
      <c r="E275" s="193" t="s">
        <v>1110</v>
      </c>
      <c r="F275" s="193" t="s">
        <v>1150</v>
      </c>
      <c r="G275" s="193" t="s">
        <v>1150</v>
      </c>
      <c r="H275" s="193" t="s">
        <v>1111</v>
      </c>
      <c r="I275" s="193" t="s">
        <v>512</v>
      </c>
      <c r="J275" s="193" t="s">
        <v>1151</v>
      </c>
      <c r="K275" s="193" t="s">
        <v>386</v>
      </c>
      <c r="L275" s="193" t="s">
        <v>387</v>
      </c>
      <c r="M275" s="193" t="s">
        <v>378</v>
      </c>
      <c r="N275" s="193" t="s">
        <v>514</v>
      </c>
      <c r="O275" s="193" t="s">
        <v>129</v>
      </c>
      <c r="P275" s="193" t="s">
        <v>150</v>
      </c>
      <c r="Q275" s="193" t="s">
        <v>149</v>
      </c>
      <c r="R275" s="193" t="s">
        <v>148</v>
      </c>
      <c r="S275" s="193" t="s">
        <v>152</v>
      </c>
      <c r="T275" s="193" t="s">
        <v>389</v>
      </c>
      <c r="U275" s="193" t="s">
        <v>390</v>
      </c>
      <c r="V275" s="193">
        <v>0</v>
      </c>
      <c r="W275" s="193">
        <v>0</v>
      </c>
      <c r="X275" s="193">
        <v>0</v>
      </c>
      <c r="Y275" s="194">
        <v>300</v>
      </c>
      <c r="Z275" s="193" t="s">
        <v>515</v>
      </c>
      <c r="AA275" s="193" t="s">
        <v>516</v>
      </c>
      <c r="AB275" s="193">
        <v>300</v>
      </c>
      <c r="AC275" s="193" t="s">
        <v>517</v>
      </c>
      <c r="AD275" s="193" t="s">
        <v>152</v>
      </c>
      <c r="AE275" s="193">
        <v>300</v>
      </c>
      <c r="AF275" s="193" t="s">
        <v>518</v>
      </c>
      <c r="AG275" s="193" t="s">
        <v>519</v>
      </c>
      <c r="AH275" s="193">
        <v>0</v>
      </c>
      <c r="AI275" s="193">
        <v>300</v>
      </c>
      <c r="AJ275" s="193" t="s">
        <v>1152</v>
      </c>
      <c r="AL275" s="197" t="s">
        <v>1153</v>
      </c>
      <c r="AM275" s="193">
        <v>1</v>
      </c>
      <c r="AN275" s="193">
        <v>0</v>
      </c>
      <c r="AO275" s="193">
        <v>0</v>
      </c>
      <c r="AP275" s="193">
        <v>0</v>
      </c>
      <c r="AQ275" s="193" t="s">
        <v>214</v>
      </c>
      <c r="AS275" s="197" t="s">
        <v>518</v>
      </c>
      <c r="AT275" s="197" t="s">
        <v>519</v>
      </c>
      <c r="AV275" s="194">
        <v>138</v>
      </c>
      <c r="AW275" s="194">
        <v>0</v>
      </c>
      <c r="AX275" s="194">
        <v>0</v>
      </c>
      <c r="AY275" s="549">
        <v>138</v>
      </c>
      <c r="AZ275" s="194">
        <v>0</v>
      </c>
      <c r="BA275" s="194">
        <v>162</v>
      </c>
      <c r="BB275" s="551">
        <v>162</v>
      </c>
      <c r="BC275" s="551">
        <v>300</v>
      </c>
      <c r="BD275" s="551">
        <v>0</v>
      </c>
      <c r="BF275" s="550">
        <f t="shared" si="71"/>
        <v>138</v>
      </c>
      <c r="BG275" s="550">
        <f t="shared" si="72"/>
        <v>0</v>
      </c>
      <c r="BH275" s="550">
        <f t="shared" si="73"/>
        <v>0</v>
      </c>
      <c r="BI275" s="550">
        <f t="shared" si="74"/>
        <v>138</v>
      </c>
      <c r="BJ275" s="550">
        <f t="shared" si="75"/>
        <v>0</v>
      </c>
      <c r="BK275" s="550">
        <f t="shared" si="76"/>
        <v>162</v>
      </c>
      <c r="BL275" s="550">
        <f t="shared" si="77"/>
        <v>162</v>
      </c>
      <c r="BM275" s="550">
        <f t="shared" si="78"/>
        <v>300</v>
      </c>
      <c r="BO275" s="194"/>
      <c r="BQ275" s="193">
        <f t="shared" si="79"/>
        <v>0</v>
      </c>
      <c r="BR275" s="193">
        <f t="shared" si="80"/>
        <v>0</v>
      </c>
      <c r="BS275" s="193">
        <f t="shared" si="81"/>
        <v>0</v>
      </c>
      <c r="BT275" s="193">
        <f t="shared" si="81"/>
        <v>0</v>
      </c>
    </row>
    <row r="276" spans="1:72" ht="13.5" customHeight="1">
      <c r="A276" s="193" t="s">
        <v>378</v>
      </c>
      <c r="B276" s="193" t="s">
        <v>379</v>
      </c>
      <c r="C276" s="193" t="s">
        <v>214</v>
      </c>
      <c r="D276" s="193" t="s">
        <v>1109</v>
      </c>
      <c r="E276" s="193" t="s">
        <v>1110</v>
      </c>
      <c r="F276" s="193" t="s">
        <v>427</v>
      </c>
      <c r="G276" s="193" t="s">
        <v>427</v>
      </c>
      <c r="H276" s="193" t="s">
        <v>1111</v>
      </c>
      <c r="I276" s="193" t="s">
        <v>512</v>
      </c>
      <c r="J276" s="193" t="s">
        <v>1154</v>
      </c>
      <c r="K276" s="193" t="s">
        <v>386</v>
      </c>
      <c r="L276" s="193" t="s">
        <v>387</v>
      </c>
      <c r="M276" s="193" t="s">
        <v>378</v>
      </c>
      <c r="N276" s="193" t="s">
        <v>514</v>
      </c>
      <c r="O276" s="193" t="s">
        <v>129</v>
      </c>
      <c r="P276" s="193" t="s">
        <v>150</v>
      </c>
      <c r="Q276" s="193" t="s">
        <v>149</v>
      </c>
      <c r="R276" s="193" t="s">
        <v>148</v>
      </c>
      <c r="S276" s="193" t="s">
        <v>152</v>
      </c>
      <c r="T276" s="193" t="s">
        <v>389</v>
      </c>
      <c r="U276" s="193" t="s">
        <v>390</v>
      </c>
      <c r="V276" s="193">
        <v>0</v>
      </c>
      <c r="W276" s="193">
        <v>0</v>
      </c>
      <c r="X276" s="193">
        <v>0</v>
      </c>
      <c r="Y276" s="194">
        <v>300</v>
      </c>
      <c r="Z276" s="193" t="s">
        <v>515</v>
      </c>
      <c r="AA276" s="193" t="s">
        <v>516</v>
      </c>
      <c r="AB276" s="193">
        <v>300</v>
      </c>
      <c r="AC276" s="193" t="s">
        <v>517</v>
      </c>
      <c r="AD276" s="193" t="s">
        <v>152</v>
      </c>
      <c r="AE276" s="193">
        <v>300</v>
      </c>
      <c r="AF276" s="193" t="s">
        <v>518</v>
      </c>
      <c r="AG276" s="193" t="s">
        <v>519</v>
      </c>
      <c r="AH276" s="193">
        <v>0</v>
      </c>
      <c r="AI276" s="193">
        <v>300</v>
      </c>
      <c r="AJ276" s="193" t="s">
        <v>1155</v>
      </c>
      <c r="AL276" s="197" t="s">
        <v>1156</v>
      </c>
      <c r="AM276" s="193">
        <v>1</v>
      </c>
      <c r="AN276" s="193">
        <v>0</v>
      </c>
      <c r="AO276" s="193">
        <v>0</v>
      </c>
      <c r="AP276" s="193">
        <v>0</v>
      </c>
      <c r="AQ276" s="193" t="s">
        <v>214</v>
      </c>
      <c r="AS276" s="197" t="s">
        <v>518</v>
      </c>
      <c r="AT276" s="197" t="s">
        <v>519</v>
      </c>
      <c r="AV276" s="194">
        <v>138</v>
      </c>
      <c r="AW276" s="194">
        <v>0</v>
      </c>
      <c r="AX276" s="194">
        <v>0</v>
      </c>
      <c r="AY276" s="549">
        <v>138</v>
      </c>
      <c r="AZ276" s="194">
        <v>0</v>
      </c>
      <c r="BA276" s="194">
        <v>162</v>
      </c>
      <c r="BB276" s="551">
        <v>162</v>
      </c>
      <c r="BC276" s="551">
        <v>300</v>
      </c>
      <c r="BD276" s="551">
        <v>0</v>
      </c>
      <c r="BF276" s="550">
        <f t="shared" si="71"/>
        <v>138</v>
      </c>
      <c r="BG276" s="550">
        <f t="shared" si="72"/>
        <v>0</v>
      </c>
      <c r="BH276" s="550">
        <f t="shared" si="73"/>
        <v>0</v>
      </c>
      <c r="BI276" s="550">
        <f t="shared" si="74"/>
        <v>138</v>
      </c>
      <c r="BJ276" s="550">
        <f t="shared" si="75"/>
        <v>0</v>
      </c>
      <c r="BK276" s="550">
        <f t="shared" si="76"/>
        <v>162</v>
      </c>
      <c r="BL276" s="550">
        <f t="shared" si="77"/>
        <v>162</v>
      </c>
      <c r="BM276" s="550">
        <f t="shared" si="78"/>
        <v>300</v>
      </c>
      <c r="BO276" s="194"/>
      <c r="BQ276" s="193">
        <f t="shared" si="79"/>
        <v>0</v>
      </c>
      <c r="BR276" s="193">
        <f t="shared" si="80"/>
        <v>0</v>
      </c>
      <c r="BS276" s="193">
        <f t="shared" si="81"/>
        <v>0</v>
      </c>
      <c r="BT276" s="193">
        <f t="shared" si="81"/>
        <v>0</v>
      </c>
    </row>
    <row r="277" spans="1:72" ht="13.5" customHeight="1">
      <c r="A277" s="193" t="s">
        <v>378</v>
      </c>
      <c r="B277" s="193" t="s">
        <v>379</v>
      </c>
      <c r="C277" s="193" t="s">
        <v>214</v>
      </c>
      <c r="D277" s="193" t="s">
        <v>1109</v>
      </c>
      <c r="E277" s="193" t="s">
        <v>1110</v>
      </c>
      <c r="F277" s="193" t="s">
        <v>952</v>
      </c>
      <c r="G277" s="193" t="s">
        <v>952</v>
      </c>
      <c r="H277" s="193" t="s">
        <v>1111</v>
      </c>
      <c r="I277" s="193" t="s">
        <v>512</v>
      </c>
      <c r="J277" s="193" t="s">
        <v>1157</v>
      </c>
      <c r="K277" s="193" t="s">
        <v>386</v>
      </c>
      <c r="L277" s="193" t="s">
        <v>387</v>
      </c>
      <c r="M277" s="193" t="s">
        <v>378</v>
      </c>
      <c r="N277" s="193" t="s">
        <v>514</v>
      </c>
      <c r="O277" s="193" t="s">
        <v>129</v>
      </c>
      <c r="P277" s="193" t="s">
        <v>150</v>
      </c>
      <c r="Q277" s="193" t="s">
        <v>149</v>
      </c>
      <c r="R277" s="193" t="s">
        <v>148</v>
      </c>
      <c r="S277" s="193" t="s">
        <v>152</v>
      </c>
      <c r="T277" s="193" t="s">
        <v>389</v>
      </c>
      <c r="U277" s="193" t="s">
        <v>390</v>
      </c>
      <c r="V277" s="193">
        <v>0</v>
      </c>
      <c r="W277" s="193">
        <v>0</v>
      </c>
      <c r="X277" s="193">
        <v>0</v>
      </c>
      <c r="Y277" s="194">
        <v>300</v>
      </c>
      <c r="Z277" s="193" t="s">
        <v>515</v>
      </c>
      <c r="AA277" s="193" t="s">
        <v>516</v>
      </c>
      <c r="AB277" s="193">
        <v>300</v>
      </c>
      <c r="AC277" s="193" t="s">
        <v>517</v>
      </c>
      <c r="AD277" s="193" t="s">
        <v>152</v>
      </c>
      <c r="AE277" s="193">
        <v>300</v>
      </c>
      <c r="AF277" s="193" t="s">
        <v>518</v>
      </c>
      <c r="AG277" s="193" t="s">
        <v>519</v>
      </c>
      <c r="AH277" s="193">
        <v>0</v>
      </c>
      <c r="AI277" s="193">
        <v>300</v>
      </c>
      <c r="AJ277" s="193" t="s">
        <v>1158</v>
      </c>
      <c r="AL277" s="197" t="s">
        <v>1159</v>
      </c>
      <c r="AM277" s="193">
        <v>1</v>
      </c>
      <c r="AN277" s="193">
        <v>0</v>
      </c>
      <c r="AO277" s="193">
        <v>0</v>
      </c>
      <c r="AP277" s="193">
        <v>0</v>
      </c>
      <c r="AQ277" s="193" t="s">
        <v>214</v>
      </c>
      <c r="AS277" s="197" t="s">
        <v>518</v>
      </c>
      <c r="AT277" s="197" t="s">
        <v>519</v>
      </c>
      <c r="AV277" s="194">
        <v>138</v>
      </c>
      <c r="AW277" s="194">
        <v>0</v>
      </c>
      <c r="AX277" s="194">
        <v>0</v>
      </c>
      <c r="AY277" s="549">
        <v>138</v>
      </c>
      <c r="AZ277" s="194">
        <v>0</v>
      </c>
      <c r="BA277" s="194">
        <v>162</v>
      </c>
      <c r="BB277" s="551">
        <v>162</v>
      </c>
      <c r="BC277" s="551">
        <v>300</v>
      </c>
      <c r="BD277" s="551">
        <v>0</v>
      </c>
      <c r="BF277" s="550">
        <f t="shared" si="71"/>
        <v>138</v>
      </c>
      <c r="BG277" s="550">
        <f t="shared" si="72"/>
        <v>0</v>
      </c>
      <c r="BH277" s="550">
        <f t="shared" si="73"/>
        <v>0</v>
      </c>
      <c r="BI277" s="550">
        <f t="shared" si="74"/>
        <v>138</v>
      </c>
      <c r="BJ277" s="550">
        <f t="shared" si="75"/>
        <v>0</v>
      </c>
      <c r="BK277" s="550">
        <f t="shared" si="76"/>
        <v>162</v>
      </c>
      <c r="BL277" s="550">
        <f t="shared" si="77"/>
        <v>162</v>
      </c>
      <c r="BM277" s="550">
        <f t="shared" si="78"/>
        <v>300</v>
      </c>
      <c r="BO277" s="194"/>
      <c r="BQ277" s="193">
        <f t="shared" si="79"/>
        <v>0</v>
      </c>
      <c r="BR277" s="193">
        <f t="shared" si="80"/>
        <v>0</v>
      </c>
      <c r="BS277" s="193">
        <f t="shared" si="81"/>
        <v>0</v>
      </c>
      <c r="BT277" s="193">
        <f t="shared" si="81"/>
        <v>0</v>
      </c>
    </row>
    <row r="278" spans="1:72" ht="13.5" customHeight="1">
      <c r="A278" s="193" t="s">
        <v>378</v>
      </c>
      <c r="B278" s="193" t="s">
        <v>379</v>
      </c>
      <c r="C278" s="193" t="s">
        <v>214</v>
      </c>
      <c r="D278" s="193" t="s">
        <v>380</v>
      </c>
      <c r="E278" s="193" t="s">
        <v>381</v>
      </c>
      <c r="F278" s="193" t="s">
        <v>1160</v>
      </c>
      <c r="G278" s="193" t="s">
        <v>1160</v>
      </c>
      <c r="H278" s="193" t="s">
        <v>1161</v>
      </c>
      <c r="I278" s="193" t="s">
        <v>512</v>
      </c>
      <c r="J278" s="193" t="s">
        <v>1162</v>
      </c>
      <c r="K278" s="193" t="s">
        <v>386</v>
      </c>
      <c r="L278" s="193" t="s">
        <v>387</v>
      </c>
      <c r="M278" s="193" t="s">
        <v>378</v>
      </c>
      <c r="N278" s="193" t="s">
        <v>514</v>
      </c>
      <c r="O278" s="193" t="s">
        <v>129</v>
      </c>
      <c r="P278" s="193" t="s">
        <v>150</v>
      </c>
      <c r="Q278" s="193" t="s">
        <v>149</v>
      </c>
      <c r="R278" s="193" t="s">
        <v>148</v>
      </c>
      <c r="S278" s="193" t="s">
        <v>152</v>
      </c>
      <c r="T278" s="193" t="s">
        <v>389</v>
      </c>
      <c r="U278" s="193" t="s">
        <v>390</v>
      </c>
      <c r="V278" s="193">
        <v>0</v>
      </c>
      <c r="W278" s="193">
        <v>0</v>
      </c>
      <c r="X278" s="193">
        <v>0</v>
      </c>
      <c r="Y278" s="194">
        <v>350</v>
      </c>
      <c r="Z278" s="193" t="s">
        <v>515</v>
      </c>
      <c r="AA278" s="193" t="s">
        <v>516</v>
      </c>
      <c r="AB278" s="193">
        <v>350</v>
      </c>
      <c r="AC278" s="193" t="s">
        <v>517</v>
      </c>
      <c r="AD278" s="193" t="s">
        <v>152</v>
      </c>
      <c r="AE278" s="193">
        <v>350</v>
      </c>
      <c r="AF278" s="193" t="s">
        <v>518</v>
      </c>
      <c r="AG278" s="193" t="s">
        <v>519</v>
      </c>
      <c r="AH278" s="193">
        <v>0</v>
      </c>
      <c r="AI278" s="193">
        <v>350</v>
      </c>
      <c r="AJ278" s="193" t="s">
        <v>1163</v>
      </c>
      <c r="AL278" s="197" t="s">
        <v>1164</v>
      </c>
      <c r="AM278" s="193">
        <v>1</v>
      </c>
      <c r="AN278" s="193">
        <v>0</v>
      </c>
      <c r="AO278" s="193">
        <v>0</v>
      </c>
      <c r="AP278" s="193">
        <v>0</v>
      </c>
      <c r="AQ278" s="193" t="s">
        <v>214</v>
      </c>
      <c r="AS278" s="197" t="s">
        <v>518</v>
      </c>
      <c r="AT278" s="197" t="s">
        <v>519</v>
      </c>
      <c r="AV278" s="194">
        <v>0</v>
      </c>
      <c r="AW278" s="194">
        <v>0</v>
      </c>
      <c r="AX278" s="194">
        <v>0</v>
      </c>
      <c r="AY278" s="549">
        <v>0</v>
      </c>
      <c r="AZ278" s="194">
        <v>0</v>
      </c>
      <c r="BA278" s="194">
        <v>350</v>
      </c>
      <c r="BB278" s="551">
        <v>350</v>
      </c>
      <c r="BC278" s="551">
        <v>350</v>
      </c>
      <c r="BD278" s="551">
        <v>0</v>
      </c>
      <c r="BF278" s="550">
        <f t="shared" si="71"/>
        <v>0</v>
      </c>
      <c r="BG278" s="550">
        <f t="shared" si="72"/>
        <v>0</v>
      </c>
      <c r="BH278" s="550">
        <f t="shared" si="73"/>
        <v>0</v>
      </c>
      <c r="BI278" s="550">
        <f t="shared" si="74"/>
        <v>0</v>
      </c>
      <c r="BJ278" s="550">
        <f t="shared" si="75"/>
        <v>0</v>
      </c>
      <c r="BK278" s="550">
        <f t="shared" si="76"/>
        <v>350</v>
      </c>
      <c r="BL278" s="550">
        <f t="shared" si="77"/>
        <v>350</v>
      </c>
      <c r="BM278" s="550">
        <f t="shared" si="78"/>
        <v>350</v>
      </c>
      <c r="BO278" s="194"/>
      <c r="BQ278" s="193">
        <f t="shared" si="79"/>
        <v>0</v>
      </c>
      <c r="BR278" s="193">
        <f t="shared" si="80"/>
        <v>0</v>
      </c>
      <c r="BS278" s="193">
        <f t="shared" si="81"/>
        <v>0</v>
      </c>
      <c r="BT278" s="193">
        <f t="shared" si="81"/>
        <v>0</v>
      </c>
    </row>
    <row r="279" spans="1:72" ht="13.5" customHeight="1">
      <c r="A279" s="193" t="s">
        <v>378</v>
      </c>
      <c r="B279" s="193" t="s">
        <v>379</v>
      </c>
      <c r="C279" s="193" t="s">
        <v>214</v>
      </c>
      <c r="D279" s="193" t="s">
        <v>1165</v>
      </c>
      <c r="E279" s="193" t="s">
        <v>1166</v>
      </c>
      <c r="F279" s="193" t="s">
        <v>1178</v>
      </c>
      <c r="G279" s="193" t="s">
        <v>1178</v>
      </c>
      <c r="H279" s="193" t="s">
        <v>1168</v>
      </c>
      <c r="I279" s="193" t="s">
        <v>512</v>
      </c>
      <c r="J279" s="193" t="s">
        <v>1179</v>
      </c>
      <c r="K279" s="193" t="s">
        <v>386</v>
      </c>
      <c r="L279" s="193" t="s">
        <v>387</v>
      </c>
      <c r="M279" s="193" t="s">
        <v>378</v>
      </c>
      <c r="N279" s="193" t="s">
        <v>1170</v>
      </c>
      <c r="O279" s="193" t="s">
        <v>129</v>
      </c>
      <c r="P279" s="193" t="s">
        <v>150</v>
      </c>
      <c r="Q279" s="193" t="s">
        <v>149</v>
      </c>
      <c r="R279" s="193" t="s">
        <v>148</v>
      </c>
      <c r="S279" s="193" t="s">
        <v>147</v>
      </c>
      <c r="T279" s="193" t="s">
        <v>389</v>
      </c>
      <c r="U279" s="193" t="s">
        <v>390</v>
      </c>
      <c r="V279" s="193">
        <v>0</v>
      </c>
      <c r="W279" s="193">
        <v>0</v>
      </c>
      <c r="X279" s="193">
        <v>0</v>
      </c>
      <c r="Y279" s="194">
        <v>15000</v>
      </c>
      <c r="Z279" s="193" t="s">
        <v>515</v>
      </c>
      <c r="AA279" s="193" t="s">
        <v>516</v>
      </c>
      <c r="AB279" s="193">
        <v>15000</v>
      </c>
      <c r="AC279" s="193" t="s">
        <v>1171</v>
      </c>
      <c r="AD279" s="193" t="s">
        <v>147</v>
      </c>
      <c r="AE279" s="193">
        <v>15000</v>
      </c>
      <c r="AF279" s="193" t="s">
        <v>518</v>
      </c>
      <c r="AG279" s="193" t="s">
        <v>519</v>
      </c>
      <c r="AH279" s="193">
        <v>0</v>
      </c>
      <c r="AI279" s="193">
        <v>15000</v>
      </c>
      <c r="AJ279" s="193" t="s">
        <v>1180</v>
      </c>
      <c r="AL279" s="197" t="s">
        <v>1181</v>
      </c>
      <c r="AM279" s="193">
        <v>1</v>
      </c>
      <c r="AN279" s="193">
        <v>0</v>
      </c>
      <c r="AO279" s="193">
        <v>0</v>
      </c>
      <c r="AP279" s="193">
        <v>0</v>
      </c>
      <c r="AQ279" s="193" t="s">
        <v>214</v>
      </c>
      <c r="AS279" s="197" t="s">
        <v>518</v>
      </c>
      <c r="AT279" s="197" t="s">
        <v>519</v>
      </c>
      <c r="AV279" s="194">
        <v>0</v>
      </c>
      <c r="AW279" s="194">
        <v>0</v>
      </c>
      <c r="AX279" s="194">
        <v>0</v>
      </c>
      <c r="AY279" s="549">
        <v>0</v>
      </c>
      <c r="AZ279" s="194">
        <v>7500</v>
      </c>
      <c r="BA279" s="194">
        <v>7500</v>
      </c>
      <c r="BB279" s="551">
        <v>15000</v>
      </c>
      <c r="BC279" s="551">
        <v>15000</v>
      </c>
      <c r="BD279" s="551">
        <v>0</v>
      </c>
      <c r="BF279" s="550">
        <f t="shared" si="71"/>
        <v>0</v>
      </c>
      <c r="BG279" s="550">
        <f t="shared" si="72"/>
        <v>0</v>
      </c>
      <c r="BH279" s="550">
        <f t="shared" si="73"/>
        <v>0</v>
      </c>
      <c r="BI279" s="550">
        <f t="shared" si="74"/>
        <v>0</v>
      </c>
      <c r="BJ279" s="550">
        <f t="shared" si="75"/>
        <v>7500</v>
      </c>
      <c r="BK279" s="550">
        <f t="shared" si="76"/>
        <v>7500</v>
      </c>
      <c r="BL279" s="550">
        <f t="shared" si="77"/>
        <v>15000</v>
      </c>
      <c r="BM279" s="550">
        <f t="shared" si="78"/>
        <v>15000</v>
      </c>
      <c r="BO279" s="194"/>
      <c r="BQ279" s="193">
        <f t="shared" si="79"/>
        <v>0</v>
      </c>
      <c r="BR279" s="193">
        <f t="shared" si="80"/>
        <v>0</v>
      </c>
      <c r="BS279" s="193">
        <f t="shared" si="81"/>
        <v>0</v>
      </c>
      <c r="BT279" s="193">
        <f t="shared" si="81"/>
        <v>0</v>
      </c>
    </row>
    <row r="280" spans="1:72" ht="13.5" customHeight="1">
      <c r="A280" s="193" t="s">
        <v>378</v>
      </c>
      <c r="B280" s="193" t="s">
        <v>379</v>
      </c>
      <c r="C280" s="193" t="s">
        <v>214</v>
      </c>
      <c r="D280" s="193" t="s">
        <v>1165</v>
      </c>
      <c r="E280" s="193" t="s">
        <v>1166</v>
      </c>
      <c r="F280" s="193" t="s">
        <v>1182</v>
      </c>
      <c r="G280" s="193" t="s">
        <v>1182</v>
      </c>
      <c r="H280" s="193" t="s">
        <v>1168</v>
      </c>
      <c r="I280" s="193" t="s">
        <v>512</v>
      </c>
      <c r="J280" s="193" t="s">
        <v>1183</v>
      </c>
      <c r="K280" s="193" t="s">
        <v>386</v>
      </c>
      <c r="L280" s="193" t="s">
        <v>387</v>
      </c>
      <c r="M280" s="193" t="s">
        <v>378</v>
      </c>
      <c r="N280" s="193" t="s">
        <v>1170</v>
      </c>
      <c r="O280" s="193" t="s">
        <v>129</v>
      </c>
      <c r="P280" s="193" t="s">
        <v>150</v>
      </c>
      <c r="Q280" s="193" t="s">
        <v>149</v>
      </c>
      <c r="R280" s="193" t="s">
        <v>148</v>
      </c>
      <c r="S280" s="193" t="s">
        <v>147</v>
      </c>
      <c r="T280" s="193" t="s">
        <v>389</v>
      </c>
      <c r="U280" s="193" t="s">
        <v>390</v>
      </c>
      <c r="V280" s="193">
        <v>0</v>
      </c>
      <c r="W280" s="193">
        <v>0</v>
      </c>
      <c r="X280" s="193">
        <v>0</v>
      </c>
      <c r="Y280" s="194">
        <v>15000</v>
      </c>
      <c r="Z280" s="193" t="s">
        <v>515</v>
      </c>
      <c r="AA280" s="193" t="s">
        <v>516</v>
      </c>
      <c r="AB280" s="193">
        <v>15000</v>
      </c>
      <c r="AC280" s="193" t="s">
        <v>1171</v>
      </c>
      <c r="AD280" s="193" t="s">
        <v>147</v>
      </c>
      <c r="AE280" s="193">
        <v>15000</v>
      </c>
      <c r="AF280" s="193" t="s">
        <v>518</v>
      </c>
      <c r="AG280" s="193" t="s">
        <v>519</v>
      </c>
      <c r="AH280" s="193">
        <v>0</v>
      </c>
      <c r="AI280" s="193">
        <v>15000</v>
      </c>
      <c r="AJ280" s="193" t="s">
        <v>1184</v>
      </c>
      <c r="AL280" s="197" t="s">
        <v>1185</v>
      </c>
      <c r="AM280" s="193">
        <v>1</v>
      </c>
      <c r="AN280" s="193">
        <v>0</v>
      </c>
      <c r="AO280" s="193">
        <v>0</v>
      </c>
      <c r="AP280" s="193">
        <v>0</v>
      </c>
      <c r="AQ280" s="193" t="s">
        <v>214</v>
      </c>
      <c r="AS280" s="197" t="s">
        <v>518</v>
      </c>
      <c r="AT280" s="197" t="s">
        <v>519</v>
      </c>
      <c r="AV280" s="194">
        <v>0</v>
      </c>
      <c r="AW280" s="194">
        <v>0</v>
      </c>
      <c r="AX280" s="194">
        <v>0</v>
      </c>
      <c r="AY280" s="549">
        <v>0</v>
      </c>
      <c r="AZ280" s="194">
        <v>7500</v>
      </c>
      <c r="BA280" s="194">
        <v>7500</v>
      </c>
      <c r="BB280" s="551">
        <v>15000</v>
      </c>
      <c r="BC280" s="551">
        <v>15000</v>
      </c>
      <c r="BD280" s="551">
        <v>0</v>
      </c>
      <c r="BF280" s="550">
        <f t="shared" si="71"/>
        <v>0</v>
      </c>
      <c r="BG280" s="550">
        <f t="shared" si="72"/>
        <v>0</v>
      </c>
      <c r="BH280" s="550">
        <f t="shared" si="73"/>
        <v>0</v>
      </c>
      <c r="BI280" s="550">
        <f t="shared" si="74"/>
        <v>0</v>
      </c>
      <c r="BJ280" s="550">
        <f t="shared" si="75"/>
        <v>7500</v>
      </c>
      <c r="BK280" s="550">
        <f t="shared" si="76"/>
        <v>7500</v>
      </c>
      <c r="BL280" s="550">
        <f t="shared" si="77"/>
        <v>15000</v>
      </c>
      <c r="BM280" s="550">
        <f t="shared" si="78"/>
        <v>15000</v>
      </c>
      <c r="BO280" s="194"/>
      <c r="BQ280" s="193">
        <f t="shared" si="79"/>
        <v>0</v>
      </c>
      <c r="BR280" s="193">
        <f t="shared" si="80"/>
        <v>0</v>
      </c>
      <c r="BS280" s="193">
        <f t="shared" si="81"/>
        <v>0</v>
      </c>
      <c r="BT280" s="193">
        <f t="shared" si="81"/>
        <v>0</v>
      </c>
    </row>
    <row r="281" spans="1:72" ht="13.5" customHeight="1">
      <c r="A281" s="193" t="s">
        <v>378</v>
      </c>
      <c r="B281" s="193" t="s">
        <v>379</v>
      </c>
      <c r="C281" s="193" t="s">
        <v>214</v>
      </c>
      <c r="D281" s="193" t="s">
        <v>1165</v>
      </c>
      <c r="E281" s="193" t="s">
        <v>1166</v>
      </c>
      <c r="F281" s="193" t="s">
        <v>1186</v>
      </c>
      <c r="G281" s="193" t="s">
        <v>1186</v>
      </c>
      <c r="H281" s="193" t="s">
        <v>1168</v>
      </c>
      <c r="I281" s="193" t="s">
        <v>512</v>
      </c>
      <c r="J281" s="193" t="s">
        <v>1187</v>
      </c>
      <c r="K281" s="193" t="s">
        <v>386</v>
      </c>
      <c r="L281" s="193" t="s">
        <v>387</v>
      </c>
      <c r="M281" s="193" t="s">
        <v>378</v>
      </c>
      <c r="N281" s="193" t="s">
        <v>1170</v>
      </c>
      <c r="O281" s="193" t="s">
        <v>129</v>
      </c>
      <c r="P281" s="193" t="s">
        <v>150</v>
      </c>
      <c r="Q281" s="193" t="s">
        <v>149</v>
      </c>
      <c r="R281" s="193" t="s">
        <v>148</v>
      </c>
      <c r="S281" s="193" t="s">
        <v>147</v>
      </c>
      <c r="T281" s="193" t="s">
        <v>389</v>
      </c>
      <c r="U281" s="193" t="s">
        <v>390</v>
      </c>
      <c r="V281" s="193">
        <v>0</v>
      </c>
      <c r="W281" s="193">
        <v>0</v>
      </c>
      <c r="X281" s="193">
        <v>0</v>
      </c>
      <c r="Y281" s="194">
        <v>4000</v>
      </c>
      <c r="Z281" s="193" t="s">
        <v>515</v>
      </c>
      <c r="AA281" s="193" t="s">
        <v>516</v>
      </c>
      <c r="AB281" s="193">
        <v>4000</v>
      </c>
      <c r="AC281" s="193" t="s">
        <v>1171</v>
      </c>
      <c r="AD281" s="193" t="s">
        <v>147</v>
      </c>
      <c r="AE281" s="193">
        <v>4000</v>
      </c>
      <c r="AF281" s="193" t="s">
        <v>518</v>
      </c>
      <c r="AG281" s="193" t="s">
        <v>519</v>
      </c>
      <c r="AH281" s="193">
        <v>0</v>
      </c>
      <c r="AI281" s="193">
        <v>4000</v>
      </c>
      <c r="AJ281" s="193" t="s">
        <v>1188</v>
      </c>
      <c r="AL281" s="197" t="s">
        <v>1189</v>
      </c>
      <c r="AM281" s="193">
        <v>1</v>
      </c>
      <c r="AN281" s="193">
        <v>0</v>
      </c>
      <c r="AO281" s="193">
        <v>0</v>
      </c>
      <c r="AP281" s="193">
        <v>0</v>
      </c>
      <c r="AQ281" s="193" t="s">
        <v>214</v>
      </c>
      <c r="AS281" s="197" t="s">
        <v>518</v>
      </c>
      <c r="AT281" s="197" t="s">
        <v>519</v>
      </c>
      <c r="AV281" s="194">
        <v>0</v>
      </c>
      <c r="AW281" s="194">
        <v>0</v>
      </c>
      <c r="AX281" s="194">
        <v>0</v>
      </c>
      <c r="AY281" s="549">
        <v>0</v>
      </c>
      <c r="AZ281" s="194">
        <v>2000</v>
      </c>
      <c r="BA281" s="194">
        <v>2000</v>
      </c>
      <c r="BB281" s="551">
        <v>4000</v>
      </c>
      <c r="BC281" s="551">
        <v>4000</v>
      </c>
      <c r="BD281" s="551">
        <v>0</v>
      </c>
      <c r="BF281" s="550">
        <f t="shared" si="71"/>
        <v>0</v>
      </c>
      <c r="BG281" s="550">
        <f t="shared" si="72"/>
        <v>0</v>
      </c>
      <c r="BH281" s="550">
        <f t="shared" si="73"/>
        <v>0</v>
      </c>
      <c r="BI281" s="550">
        <f t="shared" si="74"/>
        <v>0</v>
      </c>
      <c r="BJ281" s="550">
        <f t="shared" si="75"/>
        <v>2000</v>
      </c>
      <c r="BK281" s="550">
        <f t="shared" si="76"/>
        <v>2000</v>
      </c>
      <c r="BL281" s="550">
        <f t="shared" si="77"/>
        <v>4000</v>
      </c>
      <c r="BM281" s="550">
        <f t="shared" si="78"/>
        <v>4000</v>
      </c>
      <c r="BO281" s="194"/>
      <c r="BQ281" s="193">
        <f t="shared" si="79"/>
        <v>0</v>
      </c>
      <c r="BR281" s="193">
        <f t="shared" si="80"/>
        <v>0</v>
      </c>
      <c r="BS281" s="193">
        <f t="shared" si="81"/>
        <v>0</v>
      </c>
      <c r="BT281" s="193">
        <f t="shared" si="81"/>
        <v>0</v>
      </c>
    </row>
    <row r="282" spans="1:72" ht="13.5" customHeight="1">
      <c r="A282" s="193" t="s">
        <v>378</v>
      </c>
      <c r="B282" s="193" t="s">
        <v>379</v>
      </c>
      <c r="C282" s="193" t="s">
        <v>214</v>
      </c>
      <c r="D282" s="193" t="s">
        <v>1165</v>
      </c>
      <c r="E282" s="193" t="s">
        <v>1166</v>
      </c>
      <c r="F282" s="193" t="s">
        <v>1167</v>
      </c>
      <c r="G282" s="193" t="s">
        <v>1167</v>
      </c>
      <c r="H282" s="193" t="s">
        <v>1168</v>
      </c>
      <c r="I282" s="193" t="s">
        <v>512</v>
      </c>
      <c r="J282" s="193" t="s">
        <v>1169</v>
      </c>
      <c r="K282" s="193" t="s">
        <v>386</v>
      </c>
      <c r="L282" s="193" t="s">
        <v>387</v>
      </c>
      <c r="M282" s="193" t="s">
        <v>378</v>
      </c>
      <c r="N282" s="193" t="s">
        <v>1170</v>
      </c>
      <c r="O282" s="193" t="s">
        <v>129</v>
      </c>
      <c r="P282" s="193" t="s">
        <v>150</v>
      </c>
      <c r="Q282" s="193" t="s">
        <v>149</v>
      </c>
      <c r="R282" s="193" t="s">
        <v>148</v>
      </c>
      <c r="S282" s="193" t="s">
        <v>147</v>
      </c>
      <c r="T282" s="193" t="s">
        <v>389</v>
      </c>
      <c r="U282" s="193" t="s">
        <v>390</v>
      </c>
      <c r="V282" s="193">
        <v>0</v>
      </c>
      <c r="W282" s="193">
        <v>0</v>
      </c>
      <c r="X282" s="193">
        <v>0</v>
      </c>
      <c r="Y282" s="194">
        <v>4000</v>
      </c>
      <c r="Z282" s="193" t="s">
        <v>515</v>
      </c>
      <c r="AA282" s="193" t="s">
        <v>516</v>
      </c>
      <c r="AB282" s="193">
        <v>4000</v>
      </c>
      <c r="AC282" s="193" t="s">
        <v>1171</v>
      </c>
      <c r="AD282" s="193" t="s">
        <v>147</v>
      </c>
      <c r="AE282" s="193">
        <v>4000</v>
      </c>
      <c r="AF282" s="193" t="s">
        <v>518</v>
      </c>
      <c r="AG282" s="193" t="s">
        <v>519</v>
      </c>
      <c r="AH282" s="193">
        <v>0</v>
      </c>
      <c r="AI282" s="193">
        <v>4000</v>
      </c>
      <c r="AJ282" s="193" t="s">
        <v>1172</v>
      </c>
      <c r="AL282" s="197" t="s">
        <v>1173</v>
      </c>
      <c r="AM282" s="193">
        <v>1</v>
      </c>
      <c r="AN282" s="193">
        <v>0</v>
      </c>
      <c r="AO282" s="193">
        <v>0</v>
      </c>
      <c r="AP282" s="193">
        <v>0</v>
      </c>
      <c r="AQ282" s="193" t="s">
        <v>214</v>
      </c>
      <c r="AS282" s="197" t="s">
        <v>518</v>
      </c>
      <c r="AT282" s="197" t="s">
        <v>519</v>
      </c>
      <c r="AV282" s="194">
        <v>0</v>
      </c>
      <c r="AW282" s="194">
        <v>0</v>
      </c>
      <c r="AX282" s="194">
        <v>0</v>
      </c>
      <c r="AY282" s="549">
        <v>0</v>
      </c>
      <c r="AZ282" s="194">
        <v>2000</v>
      </c>
      <c r="BA282" s="194">
        <v>2000</v>
      </c>
      <c r="BB282" s="551">
        <v>4000</v>
      </c>
      <c r="BC282" s="551">
        <v>4000</v>
      </c>
      <c r="BD282" s="551">
        <v>0</v>
      </c>
      <c r="BF282" s="550">
        <f t="shared" si="71"/>
        <v>0</v>
      </c>
      <c r="BG282" s="550">
        <f t="shared" si="72"/>
        <v>0</v>
      </c>
      <c r="BH282" s="550">
        <f t="shared" si="73"/>
        <v>0</v>
      </c>
      <c r="BI282" s="550">
        <f t="shared" si="74"/>
        <v>0</v>
      </c>
      <c r="BJ282" s="550">
        <f t="shared" si="75"/>
        <v>2000</v>
      </c>
      <c r="BK282" s="550">
        <f t="shared" si="76"/>
        <v>2000</v>
      </c>
      <c r="BL282" s="550">
        <f t="shared" si="77"/>
        <v>4000</v>
      </c>
      <c r="BM282" s="550">
        <f t="shared" si="78"/>
        <v>4000</v>
      </c>
      <c r="BO282" s="194"/>
      <c r="BQ282" s="193">
        <f t="shared" si="79"/>
        <v>0</v>
      </c>
      <c r="BR282" s="193">
        <f t="shared" si="80"/>
        <v>0</v>
      </c>
      <c r="BS282" s="193">
        <f t="shared" si="81"/>
        <v>0</v>
      </c>
      <c r="BT282" s="193">
        <f t="shared" si="81"/>
        <v>0</v>
      </c>
    </row>
    <row r="283" spans="1:72" ht="13.5" customHeight="1">
      <c r="A283" s="193" t="s">
        <v>378</v>
      </c>
      <c r="B283" s="193" t="s">
        <v>379</v>
      </c>
      <c r="C283" s="193" t="s">
        <v>214</v>
      </c>
      <c r="D283" s="193" t="s">
        <v>1165</v>
      </c>
      <c r="E283" s="193" t="s">
        <v>1166</v>
      </c>
      <c r="F283" s="193" t="s">
        <v>1174</v>
      </c>
      <c r="G283" s="193" t="s">
        <v>1174</v>
      </c>
      <c r="H283" s="193" t="s">
        <v>1168</v>
      </c>
      <c r="I283" s="193" t="s">
        <v>512</v>
      </c>
      <c r="J283" s="193" t="s">
        <v>1175</v>
      </c>
      <c r="K283" s="193" t="s">
        <v>386</v>
      </c>
      <c r="L283" s="193" t="s">
        <v>387</v>
      </c>
      <c r="M283" s="193" t="s">
        <v>378</v>
      </c>
      <c r="N283" s="193" t="s">
        <v>1170</v>
      </c>
      <c r="O283" s="193" t="s">
        <v>129</v>
      </c>
      <c r="P283" s="193" t="s">
        <v>150</v>
      </c>
      <c r="Q283" s="193" t="s">
        <v>149</v>
      </c>
      <c r="R283" s="193" t="s">
        <v>148</v>
      </c>
      <c r="S283" s="193" t="s">
        <v>147</v>
      </c>
      <c r="T283" s="193" t="s">
        <v>389</v>
      </c>
      <c r="U283" s="193" t="s">
        <v>390</v>
      </c>
      <c r="V283" s="193">
        <v>0</v>
      </c>
      <c r="W283" s="193">
        <v>0</v>
      </c>
      <c r="X283" s="193">
        <v>0</v>
      </c>
      <c r="Y283" s="194">
        <v>8000</v>
      </c>
      <c r="Z283" s="193" t="s">
        <v>515</v>
      </c>
      <c r="AA283" s="193" t="s">
        <v>516</v>
      </c>
      <c r="AB283" s="193">
        <v>8000</v>
      </c>
      <c r="AC283" s="193" t="s">
        <v>1171</v>
      </c>
      <c r="AD283" s="193" t="s">
        <v>147</v>
      </c>
      <c r="AE283" s="193">
        <v>8000</v>
      </c>
      <c r="AF283" s="193" t="s">
        <v>518</v>
      </c>
      <c r="AG283" s="193" t="s">
        <v>519</v>
      </c>
      <c r="AH283" s="193">
        <v>0</v>
      </c>
      <c r="AI283" s="193">
        <v>8000</v>
      </c>
      <c r="AJ283" s="193" t="s">
        <v>1176</v>
      </c>
      <c r="AL283" s="197" t="s">
        <v>1177</v>
      </c>
      <c r="AM283" s="193">
        <v>1</v>
      </c>
      <c r="AN283" s="193">
        <v>0</v>
      </c>
      <c r="AO283" s="193">
        <v>0</v>
      </c>
      <c r="AP283" s="193">
        <v>0</v>
      </c>
      <c r="AQ283" s="193" t="s">
        <v>214</v>
      </c>
      <c r="AS283" s="197" t="s">
        <v>518</v>
      </c>
      <c r="AT283" s="197" t="s">
        <v>519</v>
      </c>
      <c r="AV283" s="194">
        <v>0</v>
      </c>
      <c r="AW283" s="194">
        <v>0</v>
      </c>
      <c r="AX283" s="194">
        <v>0</v>
      </c>
      <c r="AY283" s="549">
        <v>0</v>
      </c>
      <c r="AZ283" s="194">
        <v>4000</v>
      </c>
      <c r="BA283" s="194">
        <v>4000</v>
      </c>
      <c r="BB283" s="551">
        <v>8000</v>
      </c>
      <c r="BC283" s="551">
        <v>8000</v>
      </c>
      <c r="BD283" s="551">
        <v>0</v>
      </c>
      <c r="BF283" s="550">
        <f t="shared" si="71"/>
        <v>0</v>
      </c>
      <c r="BG283" s="550">
        <f t="shared" si="72"/>
        <v>0</v>
      </c>
      <c r="BH283" s="550">
        <f t="shared" si="73"/>
        <v>0</v>
      </c>
      <c r="BI283" s="550">
        <f t="shared" si="74"/>
        <v>0</v>
      </c>
      <c r="BJ283" s="550">
        <f t="shared" si="75"/>
        <v>4000</v>
      </c>
      <c r="BK283" s="550">
        <f t="shared" si="76"/>
        <v>4000</v>
      </c>
      <c r="BL283" s="550">
        <f t="shared" si="77"/>
        <v>8000</v>
      </c>
      <c r="BM283" s="550">
        <f t="shared" si="78"/>
        <v>8000</v>
      </c>
      <c r="BO283" s="194"/>
      <c r="BQ283" s="193">
        <f t="shared" si="79"/>
        <v>0</v>
      </c>
      <c r="BR283" s="193">
        <f t="shared" si="80"/>
        <v>0</v>
      </c>
      <c r="BS283" s="193">
        <f t="shared" si="81"/>
        <v>0</v>
      </c>
      <c r="BT283" s="193">
        <f t="shared" si="81"/>
        <v>0</v>
      </c>
    </row>
    <row r="284" spans="1:72" ht="13.5" customHeight="1">
      <c r="A284" s="193" t="s">
        <v>378</v>
      </c>
      <c r="B284" s="193" t="s">
        <v>379</v>
      </c>
      <c r="C284" s="193" t="s">
        <v>214</v>
      </c>
      <c r="D284" s="193" t="s">
        <v>1165</v>
      </c>
      <c r="E284" s="193" t="s">
        <v>1166</v>
      </c>
      <c r="F284" s="193" t="s">
        <v>1228</v>
      </c>
      <c r="G284" s="193" t="s">
        <v>1228</v>
      </c>
      <c r="H284" s="193" t="s">
        <v>1168</v>
      </c>
      <c r="I284" s="193" t="s">
        <v>512</v>
      </c>
      <c r="J284" s="193" t="s">
        <v>1229</v>
      </c>
      <c r="K284" s="193" t="s">
        <v>386</v>
      </c>
      <c r="L284" s="193" t="s">
        <v>387</v>
      </c>
      <c r="M284" s="193" t="s">
        <v>378</v>
      </c>
      <c r="N284" s="193" t="s">
        <v>1170</v>
      </c>
      <c r="O284" s="193" t="s">
        <v>129</v>
      </c>
      <c r="P284" s="193" t="s">
        <v>150</v>
      </c>
      <c r="Q284" s="193" t="s">
        <v>149</v>
      </c>
      <c r="R284" s="193" t="s">
        <v>148</v>
      </c>
      <c r="S284" s="193" t="s">
        <v>147</v>
      </c>
      <c r="T284" s="193" t="s">
        <v>389</v>
      </c>
      <c r="U284" s="193" t="s">
        <v>390</v>
      </c>
      <c r="V284" s="193">
        <v>0</v>
      </c>
      <c r="W284" s="193">
        <v>0</v>
      </c>
      <c r="X284" s="193">
        <v>0</v>
      </c>
      <c r="Y284" s="194">
        <v>4000</v>
      </c>
      <c r="Z284" s="193" t="s">
        <v>515</v>
      </c>
      <c r="AA284" s="193" t="s">
        <v>516</v>
      </c>
      <c r="AB284" s="193">
        <v>4000</v>
      </c>
      <c r="AC284" s="193" t="s">
        <v>1171</v>
      </c>
      <c r="AD284" s="193" t="s">
        <v>147</v>
      </c>
      <c r="AE284" s="193">
        <v>4000</v>
      </c>
      <c r="AF284" s="193" t="s">
        <v>518</v>
      </c>
      <c r="AG284" s="193" t="s">
        <v>519</v>
      </c>
      <c r="AH284" s="193">
        <v>0</v>
      </c>
      <c r="AI284" s="193">
        <v>4000</v>
      </c>
      <c r="AJ284" s="193" t="s">
        <v>1230</v>
      </c>
      <c r="AL284" s="197" t="s">
        <v>1231</v>
      </c>
      <c r="AM284" s="193">
        <v>1</v>
      </c>
      <c r="AN284" s="193">
        <v>0</v>
      </c>
      <c r="AO284" s="193">
        <v>0</v>
      </c>
      <c r="AP284" s="193">
        <v>0</v>
      </c>
      <c r="AQ284" s="193" t="s">
        <v>214</v>
      </c>
      <c r="AS284" s="197" t="s">
        <v>518</v>
      </c>
      <c r="AT284" s="197" t="s">
        <v>519</v>
      </c>
      <c r="AV284" s="194">
        <v>0</v>
      </c>
      <c r="AW284" s="194">
        <v>0</v>
      </c>
      <c r="AX284" s="194">
        <v>0</v>
      </c>
      <c r="AY284" s="549">
        <v>0</v>
      </c>
      <c r="AZ284" s="194">
        <v>2000</v>
      </c>
      <c r="BA284" s="194">
        <v>2000</v>
      </c>
      <c r="BB284" s="551">
        <v>4000</v>
      </c>
      <c r="BC284" s="551">
        <v>4000</v>
      </c>
      <c r="BD284" s="551">
        <v>0</v>
      </c>
      <c r="BF284" s="550">
        <f t="shared" si="71"/>
        <v>0</v>
      </c>
      <c r="BG284" s="550">
        <f t="shared" si="72"/>
        <v>0</v>
      </c>
      <c r="BH284" s="550">
        <f t="shared" si="73"/>
        <v>0</v>
      </c>
      <c r="BI284" s="550">
        <f t="shared" si="74"/>
        <v>0</v>
      </c>
      <c r="BJ284" s="550">
        <f t="shared" si="75"/>
        <v>2000</v>
      </c>
      <c r="BK284" s="550">
        <f t="shared" si="76"/>
        <v>2000</v>
      </c>
      <c r="BL284" s="550">
        <f t="shared" si="77"/>
        <v>4000</v>
      </c>
      <c r="BM284" s="550">
        <f t="shared" si="78"/>
        <v>4000</v>
      </c>
      <c r="BO284" s="194"/>
      <c r="BQ284" s="193">
        <f t="shared" si="79"/>
        <v>0</v>
      </c>
      <c r="BR284" s="193">
        <f t="shared" si="80"/>
        <v>0</v>
      </c>
      <c r="BS284" s="193">
        <f t="shared" si="81"/>
        <v>0</v>
      </c>
      <c r="BT284" s="193">
        <f t="shared" si="81"/>
        <v>0</v>
      </c>
    </row>
    <row r="285" spans="1:72" ht="13.5" customHeight="1">
      <c r="A285" s="193" t="s">
        <v>378</v>
      </c>
      <c r="B285" s="193" t="s">
        <v>379</v>
      </c>
      <c r="C285" s="193" t="s">
        <v>214</v>
      </c>
      <c r="D285" s="193" t="s">
        <v>1165</v>
      </c>
      <c r="E285" s="193" t="s">
        <v>1166</v>
      </c>
      <c r="F285" s="193" t="s">
        <v>1232</v>
      </c>
      <c r="G285" s="193" t="s">
        <v>1232</v>
      </c>
      <c r="H285" s="193" t="s">
        <v>1168</v>
      </c>
      <c r="I285" s="193" t="s">
        <v>512</v>
      </c>
      <c r="J285" s="193" t="s">
        <v>1233</v>
      </c>
      <c r="K285" s="193" t="s">
        <v>386</v>
      </c>
      <c r="L285" s="193" t="s">
        <v>387</v>
      </c>
      <c r="M285" s="193" t="s">
        <v>378</v>
      </c>
      <c r="N285" s="193" t="s">
        <v>1170</v>
      </c>
      <c r="O285" s="193" t="s">
        <v>129</v>
      </c>
      <c r="P285" s="193" t="s">
        <v>150</v>
      </c>
      <c r="Q285" s="193" t="s">
        <v>149</v>
      </c>
      <c r="R285" s="193" t="s">
        <v>148</v>
      </c>
      <c r="S285" s="193" t="s">
        <v>147</v>
      </c>
      <c r="T285" s="193" t="s">
        <v>389</v>
      </c>
      <c r="U285" s="193" t="s">
        <v>390</v>
      </c>
      <c r="V285" s="193">
        <v>0</v>
      </c>
      <c r="W285" s="193">
        <v>0</v>
      </c>
      <c r="X285" s="193">
        <v>0</v>
      </c>
      <c r="Y285" s="194">
        <v>4000</v>
      </c>
      <c r="Z285" s="193" t="s">
        <v>515</v>
      </c>
      <c r="AA285" s="193" t="s">
        <v>516</v>
      </c>
      <c r="AB285" s="193">
        <v>4000</v>
      </c>
      <c r="AC285" s="193" t="s">
        <v>1171</v>
      </c>
      <c r="AD285" s="193" t="s">
        <v>147</v>
      </c>
      <c r="AE285" s="193">
        <v>4000</v>
      </c>
      <c r="AF285" s="193" t="s">
        <v>518</v>
      </c>
      <c r="AG285" s="193" t="s">
        <v>519</v>
      </c>
      <c r="AH285" s="193">
        <v>0</v>
      </c>
      <c r="AI285" s="193">
        <v>4000</v>
      </c>
      <c r="AJ285" s="193" t="s">
        <v>1234</v>
      </c>
      <c r="AL285" s="197" t="s">
        <v>1235</v>
      </c>
      <c r="AM285" s="193">
        <v>1</v>
      </c>
      <c r="AN285" s="193">
        <v>0</v>
      </c>
      <c r="AO285" s="193">
        <v>0</v>
      </c>
      <c r="AP285" s="193">
        <v>0</v>
      </c>
      <c r="AQ285" s="193" t="s">
        <v>214</v>
      </c>
      <c r="AS285" s="197" t="s">
        <v>518</v>
      </c>
      <c r="AT285" s="197" t="s">
        <v>519</v>
      </c>
      <c r="AV285" s="194">
        <v>0</v>
      </c>
      <c r="AW285" s="194">
        <v>0</v>
      </c>
      <c r="AX285" s="194">
        <v>0</v>
      </c>
      <c r="AY285" s="549">
        <v>0</v>
      </c>
      <c r="AZ285" s="194">
        <v>2000</v>
      </c>
      <c r="BA285" s="194">
        <v>2000</v>
      </c>
      <c r="BB285" s="551">
        <v>4000</v>
      </c>
      <c r="BC285" s="551">
        <v>4000</v>
      </c>
      <c r="BD285" s="551">
        <v>0</v>
      </c>
      <c r="BF285" s="550">
        <f t="shared" si="71"/>
        <v>0</v>
      </c>
      <c r="BG285" s="550">
        <f t="shared" si="72"/>
        <v>0</v>
      </c>
      <c r="BH285" s="550">
        <f t="shared" si="73"/>
        <v>0</v>
      </c>
      <c r="BI285" s="550">
        <f t="shared" si="74"/>
        <v>0</v>
      </c>
      <c r="BJ285" s="550">
        <f t="shared" si="75"/>
        <v>2000</v>
      </c>
      <c r="BK285" s="550">
        <f t="shared" si="76"/>
        <v>2000</v>
      </c>
      <c r="BL285" s="550">
        <f t="shared" si="77"/>
        <v>4000</v>
      </c>
      <c r="BM285" s="550">
        <f t="shared" si="78"/>
        <v>4000</v>
      </c>
      <c r="BO285" s="194"/>
      <c r="BQ285" s="193">
        <f t="shared" si="79"/>
        <v>0</v>
      </c>
      <c r="BR285" s="193">
        <f t="shared" si="80"/>
        <v>0</v>
      </c>
      <c r="BS285" s="193">
        <f t="shared" si="81"/>
        <v>0</v>
      </c>
      <c r="BT285" s="193">
        <f t="shared" si="81"/>
        <v>0</v>
      </c>
    </row>
    <row r="286" spans="1:72" ht="13.5" customHeight="1">
      <c r="A286" s="193" t="s">
        <v>378</v>
      </c>
      <c r="B286" s="193" t="s">
        <v>379</v>
      </c>
      <c r="C286" s="193" t="s">
        <v>214</v>
      </c>
      <c r="D286" s="193" t="s">
        <v>1165</v>
      </c>
      <c r="E286" s="193" t="s">
        <v>1166</v>
      </c>
      <c r="F286" s="193" t="s">
        <v>1236</v>
      </c>
      <c r="G286" s="193" t="s">
        <v>1236</v>
      </c>
      <c r="H286" s="193" t="s">
        <v>1168</v>
      </c>
      <c r="I286" s="193" t="s">
        <v>512</v>
      </c>
      <c r="J286" s="193" t="s">
        <v>1237</v>
      </c>
      <c r="K286" s="193" t="s">
        <v>386</v>
      </c>
      <c r="L286" s="193" t="s">
        <v>387</v>
      </c>
      <c r="M286" s="193" t="s">
        <v>378</v>
      </c>
      <c r="N286" s="193" t="s">
        <v>1170</v>
      </c>
      <c r="O286" s="193" t="s">
        <v>129</v>
      </c>
      <c r="P286" s="193" t="s">
        <v>150</v>
      </c>
      <c r="Q286" s="193" t="s">
        <v>149</v>
      </c>
      <c r="R286" s="193" t="s">
        <v>148</v>
      </c>
      <c r="S286" s="193" t="s">
        <v>147</v>
      </c>
      <c r="T286" s="193" t="s">
        <v>389</v>
      </c>
      <c r="U286" s="193" t="s">
        <v>390</v>
      </c>
      <c r="V286" s="193">
        <v>0</v>
      </c>
      <c r="W286" s="193">
        <v>0</v>
      </c>
      <c r="X286" s="193">
        <v>0</v>
      </c>
      <c r="Y286" s="194">
        <v>4000</v>
      </c>
      <c r="Z286" s="193" t="s">
        <v>515</v>
      </c>
      <c r="AA286" s="193" t="s">
        <v>516</v>
      </c>
      <c r="AB286" s="193">
        <v>4000</v>
      </c>
      <c r="AC286" s="193" t="s">
        <v>1171</v>
      </c>
      <c r="AD286" s="193" t="s">
        <v>147</v>
      </c>
      <c r="AE286" s="193">
        <v>4000</v>
      </c>
      <c r="AF286" s="193" t="s">
        <v>518</v>
      </c>
      <c r="AG286" s="193" t="s">
        <v>519</v>
      </c>
      <c r="AH286" s="193">
        <v>0</v>
      </c>
      <c r="AI286" s="193">
        <v>4000</v>
      </c>
      <c r="AJ286" s="193" t="s">
        <v>1238</v>
      </c>
      <c r="AL286" s="197" t="s">
        <v>1239</v>
      </c>
      <c r="AM286" s="193">
        <v>1</v>
      </c>
      <c r="AN286" s="193">
        <v>0</v>
      </c>
      <c r="AO286" s="193">
        <v>0</v>
      </c>
      <c r="AP286" s="193">
        <v>0</v>
      </c>
      <c r="AQ286" s="193" t="s">
        <v>214</v>
      </c>
      <c r="AS286" s="197" t="s">
        <v>518</v>
      </c>
      <c r="AT286" s="197" t="s">
        <v>519</v>
      </c>
      <c r="AV286" s="194">
        <v>0</v>
      </c>
      <c r="AW286" s="194">
        <v>0</v>
      </c>
      <c r="AX286" s="194">
        <v>0</v>
      </c>
      <c r="AY286" s="549">
        <v>0</v>
      </c>
      <c r="AZ286" s="194">
        <v>2000</v>
      </c>
      <c r="BA286" s="194">
        <v>2000</v>
      </c>
      <c r="BB286" s="551">
        <v>4000</v>
      </c>
      <c r="BC286" s="551">
        <v>4000</v>
      </c>
      <c r="BD286" s="551">
        <v>0</v>
      </c>
      <c r="BF286" s="550">
        <f t="shared" si="71"/>
        <v>0</v>
      </c>
      <c r="BG286" s="550">
        <f t="shared" si="72"/>
        <v>0</v>
      </c>
      <c r="BH286" s="550">
        <f t="shared" si="73"/>
        <v>0</v>
      </c>
      <c r="BI286" s="550">
        <f t="shared" si="74"/>
        <v>0</v>
      </c>
      <c r="BJ286" s="550">
        <f t="shared" si="75"/>
        <v>2000</v>
      </c>
      <c r="BK286" s="550">
        <f t="shared" si="76"/>
        <v>2000</v>
      </c>
      <c r="BL286" s="550">
        <f t="shared" si="77"/>
        <v>4000</v>
      </c>
      <c r="BM286" s="550">
        <f t="shared" si="78"/>
        <v>4000</v>
      </c>
      <c r="BO286" s="194"/>
      <c r="BQ286" s="193">
        <f t="shared" si="79"/>
        <v>0</v>
      </c>
      <c r="BR286" s="193">
        <f t="shared" si="80"/>
        <v>0</v>
      </c>
      <c r="BS286" s="193">
        <f t="shared" si="81"/>
        <v>0</v>
      </c>
      <c r="BT286" s="193">
        <f t="shared" si="81"/>
        <v>0</v>
      </c>
    </row>
    <row r="287" spans="1:72" ht="13.5" customHeight="1">
      <c r="A287" s="193" t="s">
        <v>378</v>
      </c>
      <c r="B287" s="193" t="s">
        <v>379</v>
      </c>
      <c r="C287" s="193" t="s">
        <v>214</v>
      </c>
      <c r="D287" s="193" t="s">
        <v>1165</v>
      </c>
      <c r="E287" s="193" t="s">
        <v>1166</v>
      </c>
      <c r="F287" s="193" t="s">
        <v>1190</v>
      </c>
      <c r="G287" s="193" t="s">
        <v>1190</v>
      </c>
      <c r="H287" s="193" t="s">
        <v>1168</v>
      </c>
      <c r="I287" s="193" t="s">
        <v>512</v>
      </c>
      <c r="J287" s="193" t="s">
        <v>1191</v>
      </c>
      <c r="K287" s="193" t="s">
        <v>386</v>
      </c>
      <c r="L287" s="193" t="s">
        <v>387</v>
      </c>
      <c r="M287" s="193" t="s">
        <v>378</v>
      </c>
      <c r="N287" s="193" t="s">
        <v>1170</v>
      </c>
      <c r="O287" s="193" t="s">
        <v>129</v>
      </c>
      <c r="P287" s="193" t="s">
        <v>150</v>
      </c>
      <c r="Q287" s="193" t="s">
        <v>149</v>
      </c>
      <c r="R287" s="193" t="s">
        <v>148</v>
      </c>
      <c r="S287" s="193" t="s">
        <v>147</v>
      </c>
      <c r="T287" s="193" t="s">
        <v>389</v>
      </c>
      <c r="U287" s="193" t="s">
        <v>390</v>
      </c>
      <c r="V287" s="193">
        <v>0</v>
      </c>
      <c r="W287" s="193">
        <v>0</v>
      </c>
      <c r="X287" s="193">
        <v>0</v>
      </c>
      <c r="Y287" s="194">
        <v>4000</v>
      </c>
      <c r="Z287" s="193" t="s">
        <v>515</v>
      </c>
      <c r="AA287" s="193" t="s">
        <v>516</v>
      </c>
      <c r="AB287" s="193">
        <v>4000</v>
      </c>
      <c r="AC287" s="193" t="s">
        <v>1171</v>
      </c>
      <c r="AD287" s="193" t="s">
        <v>147</v>
      </c>
      <c r="AE287" s="193">
        <v>4000</v>
      </c>
      <c r="AF287" s="193" t="s">
        <v>518</v>
      </c>
      <c r="AG287" s="193" t="s">
        <v>519</v>
      </c>
      <c r="AH287" s="193">
        <v>0</v>
      </c>
      <c r="AI287" s="193">
        <v>4000</v>
      </c>
      <c r="AJ287" s="193" t="s">
        <v>1192</v>
      </c>
      <c r="AL287" s="197" t="s">
        <v>1193</v>
      </c>
      <c r="AM287" s="193">
        <v>1</v>
      </c>
      <c r="AN287" s="193">
        <v>0</v>
      </c>
      <c r="AO287" s="193">
        <v>0</v>
      </c>
      <c r="AP287" s="193">
        <v>0</v>
      </c>
      <c r="AQ287" s="193" t="s">
        <v>214</v>
      </c>
      <c r="AS287" s="197" t="s">
        <v>518</v>
      </c>
      <c r="AT287" s="197" t="s">
        <v>519</v>
      </c>
      <c r="AV287" s="194">
        <v>0</v>
      </c>
      <c r="AW287" s="194">
        <v>0</v>
      </c>
      <c r="AX287" s="194">
        <v>0</v>
      </c>
      <c r="AY287" s="549">
        <v>0</v>
      </c>
      <c r="AZ287" s="194">
        <v>2000</v>
      </c>
      <c r="BA287" s="194">
        <v>2000</v>
      </c>
      <c r="BB287" s="551">
        <v>4000</v>
      </c>
      <c r="BC287" s="551">
        <v>4000</v>
      </c>
      <c r="BD287" s="551">
        <v>0</v>
      </c>
      <c r="BF287" s="550">
        <f t="shared" si="71"/>
        <v>0</v>
      </c>
      <c r="BG287" s="550">
        <f t="shared" si="72"/>
        <v>0</v>
      </c>
      <c r="BH287" s="550">
        <f t="shared" si="73"/>
        <v>0</v>
      </c>
      <c r="BI287" s="550">
        <f t="shared" si="74"/>
        <v>0</v>
      </c>
      <c r="BJ287" s="550">
        <f t="shared" si="75"/>
        <v>2000</v>
      </c>
      <c r="BK287" s="550">
        <f t="shared" si="76"/>
        <v>2000</v>
      </c>
      <c r="BL287" s="550">
        <f t="shared" si="77"/>
        <v>4000</v>
      </c>
      <c r="BM287" s="550">
        <f t="shared" si="78"/>
        <v>4000</v>
      </c>
      <c r="BO287" s="194"/>
      <c r="BQ287" s="193">
        <f t="shared" si="79"/>
        <v>0</v>
      </c>
      <c r="BR287" s="193">
        <f t="shared" si="80"/>
        <v>0</v>
      </c>
      <c r="BS287" s="193">
        <f t="shared" si="81"/>
        <v>0</v>
      </c>
      <c r="BT287" s="193">
        <f t="shared" si="81"/>
        <v>0</v>
      </c>
    </row>
    <row r="288" spans="1:72" ht="13.5" customHeight="1">
      <c r="A288" s="193" t="s">
        <v>378</v>
      </c>
      <c r="B288" s="193" t="s">
        <v>379</v>
      </c>
      <c r="C288" s="193" t="s">
        <v>214</v>
      </c>
      <c r="D288" s="193" t="s">
        <v>1165</v>
      </c>
      <c r="E288" s="193" t="s">
        <v>1166</v>
      </c>
      <c r="F288" s="193" t="s">
        <v>1240</v>
      </c>
      <c r="G288" s="193" t="s">
        <v>1240</v>
      </c>
      <c r="H288" s="193" t="s">
        <v>1168</v>
      </c>
      <c r="I288" s="193" t="s">
        <v>512</v>
      </c>
      <c r="J288" s="193" t="s">
        <v>1241</v>
      </c>
      <c r="K288" s="193" t="s">
        <v>386</v>
      </c>
      <c r="L288" s="193" t="s">
        <v>387</v>
      </c>
      <c r="M288" s="193" t="s">
        <v>378</v>
      </c>
      <c r="N288" s="193" t="s">
        <v>1170</v>
      </c>
      <c r="O288" s="193" t="s">
        <v>129</v>
      </c>
      <c r="P288" s="193" t="s">
        <v>150</v>
      </c>
      <c r="Q288" s="193" t="s">
        <v>149</v>
      </c>
      <c r="R288" s="193" t="s">
        <v>148</v>
      </c>
      <c r="S288" s="193" t="s">
        <v>147</v>
      </c>
      <c r="T288" s="193" t="s">
        <v>389</v>
      </c>
      <c r="U288" s="193" t="s">
        <v>390</v>
      </c>
      <c r="V288" s="193">
        <v>0</v>
      </c>
      <c r="W288" s="193">
        <v>0</v>
      </c>
      <c r="X288" s="193">
        <v>0</v>
      </c>
      <c r="Y288" s="194">
        <v>4000</v>
      </c>
      <c r="Z288" s="193" t="s">
        <v>515</v>
      </c>
      <c r="AA288" s="193" t="s">
        <v>516</v>
      </c>
      <c r="AB288" s="193">
        <v>4000</v>
      </c>
      <c r="AC288" s="193" t="s">
        <v>1171</v>
      </c>
      <c r="AD288" s="193" t="s">
        <v>147</v>
      </c>
      <c r="AE288" s="193">
        <v>4000</v>
      </c>
      <c r="AF288" s="193" t="s">
        <v>518</v>
      </c>
      <c r="AG288" s="193" t="s">
        <v>519</v>
      </c>
      <c r="AH288" s="193">
        <v>0</v>
      </c>
      <c r="AI288" s="193">
        <v>4000</v>
      </c>
      <c r="AJ288" s="193" t="s">
        <v>1242</v>
      </c>
      <c r="AL288" s="197" t="s">
        <v>1243</v>
      </c>
      <c r="AM288" s="193">
        <v>1</v>
      </c>
      <c r="AN288" s="193">
        <v>0</v>
      </c>
      <c r="AO288" s="193">
        <v>0</v>
      </c>
      <c r="AP288" s="193">
        <v>0</v>
      </c>
      <c r="AQ288" s="193" t="s">
        <v>214</v>
      </c>
      <c r="AS288" s="197" t="s">
        <v>518</v>
      </c>
      <c r="AT288" s="197" t="s">
        <v>519</v>
      </c>
      <c r="AV288" s="194">
        <v>0</v>
      </c>
      <c r="AW288" s="194">
        <v>0</v>
      </c>
      <c r="AX288" s="194">
        <v>0</v>
      </c>
      <c r="AY288" s="549">
        <v>0</v>
      </c>
      <c r="AZ288" s="194">
        <v>2000</v>
      </c>
      <c r="BA288" s="194">
        <v>2000</v>
      </c>
      <c r="BB288" s="551">
        <v>4000</v>
      </c>
      <c r="BC288" s="551">
        <v>4000</v>
      </c>
      <c r="BD288" s="551">
        <v>0</v>
      </c>
      <c r="BF288" s="550">
        <f t="shared" si="71"/>
        <v>0</v>
      </c>
      <c r="BG288" s="550">
        <f t="shared" si="72"/>
        <v>0</v>
      </c>
      <c r="BH288" s="550">
        <f t="shared" si="73"/>
        <v>0</v>
      </c>
      <c r="BI288" s="550">
        <f t="shared" si="74"/>
        <v>0</v>
      </c>
      <c r="BJ288" s="550">
        <f t="shared" si="75"/>
        <v>2000</v>
      </c>
      <c r="BK288" s="550">
        <f t="shared" si="76"/>
        <v>2000</v>
      </c>
      <c r="BL288" s="550">
        <f t="shared" si="77"/>
        <v>4000</v>
      </c>
      <c r="BM288" s="550">
        <f t="shared" si="78"/>
        <v>4000</v>
      </c>
      <c r="BO288" s="194"/>
      <c r="BQ288" s="193">
        <f t="shared" si="79"/>
        <v>0</v>
      </c>
      <c r="BR288" s="193">
        <f t="shared" si="80"/>
        <v>0</v>
      </c>
      <c r="BS288" s="193">
        <f t="shared" si="81"/>
        <v>0</v>
      </c>
      <c r="BT288" s="193">
        <f t="shared" si="81"/>
        <v>0</v>
      </c>
    </row>
    <row r="289" spans="1:72" ht="13.5" customHeight="1">
      <c r="A289" s="193" t="s">
        <v>378</v>
      </c>
      <c r="B289" s="193" t="s">
        <v>379</v>
      </c>
      <c r="C289" s="193" t="s">
        <v>214</v>
      </c>
      <c r="D289" s="193" t="s">
        <v>1165</v>
      </c>
      <c r="E289" s="193" t="s">
        <v>1166</v>
      </c>
      <c r="F289" s="193" t="s">
        <v>1244</v>
      </c>
      <c r="G289" s="193" t="s">
        <v>1244</v>
      </c>
      <c r="H289" s="193" t="s">
        <v>1168</v>
      </c>
      <c r="I289" s="193" t="s">
        <v>512</v>
      </c>
      <c r="J289" s="193" t="s">
        <v>1245</v>
      </c>
      <c r="K289" s="193" t="s">
        <v>386</v>
      </c>
      <c r="L289" s="193" t="s">
        <v>387</v>
      </c>
      <c r="M289" s="193" t="s">
        <v>378</v>
      </c>
      <c r="N289" s="193" t="s">
        <v>1170</v>
      </c>
      <c r="O289" s="193" t="s">
        <v>129</v>
      </c>
      <c r="P289" s="193" t="s">
        <v>150</v>
      </c>
      <c r="Q289" s="193" t="s">
        <v>149</v>
      </c>
      <c r="R289" s="193" t="s">
        <v>148</v>
      </c>
      <c r="S289" s="193" t="s">
        <v>147</v>
      </c>
      <c r="T289" s="193" t="s">
        <v>389</v>
      </c>
      <c r="U289" s="193" t="s">
        <v>390</v>
      </c>
      <c r="V289" s="193">
        <v>0</v>
      </c>
      <c r="W289" s="193">
        <v>0</v>
      </c>
      <c r="X289" s="193">
        <v>0</v>
      </c>
      <c r="Y289" s="194">
        <v>4000</v>
      </c>
      <c r="Z289" s="193" t="s">
        <v>515</v>
      </c>
      <c r="AA289" s="193" t="s">
        <v>516</v>
      </c>
      <c r="AB289" s="193">
        <v>4000</v>
      </c>
      <c r="AC289" s="193" t="s">
        <v>1171</v>
      </c>
      <c r="AD289" s="193" t="s">
        <v>147</v>
      </c>
      <c r="AE289" s="193">
        <v>4000</v>
      </c>
      <c r="AF289" s="193" t="s">
        <v>518</v>
      </c>
      <c r="AG289" s="193" t="s">
        <v>519</v>
      </c>
      <c r="AH289" s="193">
        <v>0</v>
      </c>
      <c r="AI289" s="193">
        <v>4000</v>
      </c>
      <c r="AJ289" s="193" t="s">
        <v>1246</v>
      </c>
      <c r="AL289" s="197" t="s">
        <v>1247</v>
      </c>
      <c r="AM289" s="193">
        <v>1</v>
      </c>
      <c r="AN289" s="193">
        <v>0</v>
      </c>
      <c r="AO289" s="193">
        <v>0</v>
      </c>
      <c r="AP289" s="193">
        <v>0</v>
      </c>
      <c r="AQ289" s="193" t="s">
        <v>214</v>
      </c>
      <c r="AS289" s="197" t="s">
        <v>518</v>
      </c>
      <c r="AT289" s="197" t="s">
        <v>519</v>
      </c>
      <c r="AV289" s="194">
        <v>0</v>
      </c>
      <c r="AW289" s="194">
        <v>0</v>
      </c>
      <c r="AX289" s="194">
        <v>0</v>
      </c>
      <c r="AY289" s="549">
        <v>0</v>
      </c>
      <c r="AZ289" s="194">
        <v>2000</v>
      </c>
      <c r="BA289" s="194">
        <v>2000</v>
      </c>
      <c r="BB289" s="551">
        <v>4000</v>
      </c>
      <c r="BC289" s="551">
        <v>4000</v>
      </c>
      <c r="BD289" s="551">
        <v>0</v>
      </c>
      <c r="BF289" s="550">
        <f t="shared" si="71"/>
        <v>0</v>
      </c>
      <c r="BG289" s="550">
        <f t="shared" si="72"/>
        <v>0</v>
      </c>
      <c r="BH289" s="550">
        <f t="shared" si="73"/>
        <v>0</v>
      </c>
      <c r="BI289" s="550">
        <f t="shared" si="74"/>
        <v>0</v>
      </c>
      <c r="BJ289" s="550">
        <f t="shared" si="75"/>
        <v>2000</v>
      </c>
      <c r="BK289" s="550">
        <f t="shared" si="76"/>
        <v>2000</v>
      </c>
      <c r="BL289" s="550">
        <f t="shared" si="77"/>
        <v>4000</v>
      </c>
      <c r="BM289" s="550">
        <f t="shared" si="78"/>
        <v>4000</v>
      </c>
      <c r="BO289" s="194"/>
      <c r="BQ289" s="193">
        <f t="shared" si="79"/>
        <v>0</v>
      </c>
      <c r="BR289" s="193">
        <f t="shared" si="80"/>
        <v>0</v>
      </c>
      <c r="BS289" s="193">
        <f t="shared" si="81"/>
        <v>0</v>
      </c>
      <c r="BT289" s="193">
        <f t="shared" si="81"/>
        <v>0</v>
      </c>
    </row>
    <row r="290" spans="1:72" ht="13.5" customHeight="1">
      <c r="A290" s="193" t="s">
        <v>378</v>
      </c>
      <c r="B290" s="193" t="s">
        <v>379</v>
      </c>
      <c r="C290" s="193" t="s">
        <v>214</v>
      </c>
      <c r="D290" s="193" t="s">
        <v>1165</v>
      </c>
      <c r="E290" s="193" t="s">
        <v>1166</v>
      </c>
      <c r="F290" s="193" t="s">
        <v>1207</v>
      </c>
      <c r="G290" s="193" t="s">
        <v>1207</v>
      </c>
      <c r="H290" s="193" t="s">
        <v>1168</v>
      </c>
      <c r="I290" s="193" t="s">
        <v>512</v>
      </c>
      <c r="J290" s="193" t="s">
        <v>1208</v>
      </c>
      <c r="K290" s="193" t="s">
        <v>386</v>
      </c>
      <c r="L290" s="193" t="s">
        <v>387</v>
      </c>
      <c r="M290" s="193" t="s">
        <v>378</v>
      </c>
      <c r="N290" s="193" t="s">
        <v>1170</v>
      </c>
      <c r="O290" s="193" t="s">
        <v>129</v>
      </c>
      <c r="P290" s="193" t="s">
        <v>150</v>
      </c>
      <c r="Q290" s="193" t="s">
        <v>149</v>
      </c>
      <c r="R290" s="193" t="s">
        <v>148</v>
      </c>
      <c r="S290" s="193" t="s">
        <v>147</v>
      </c>
      <c r="T290" s="193" t="s">
        <v>389</v>
      </c>
      <c r="U290" s="193" t="s">
        <v>390</v>
      </c>
      <c r="V290" s="193">
        <v>0</v>
      </c>
      <c r="W290" s="193">
        <v>0</v>
      </c>
      <c r="X290" s="193">
        <v>0</v>
      </c>
      <c r="Y290" s="194">
        <v>8000</v>
      </c>
      <c r="Z290" s="193" t="s">
        <v>515</v>
      </c>
      <c r="AA290" s="193" t="s">
        <v>516</v>
      </c>
      <c r="AB290" s="193">
        <v>8000</v>
      </c>
      <c r="AC290" s="193" t="s">
        <v>1171</v>
      </c>
      <c r="AD290" s="193" t="s">
        <v>147</v>
      </c>
      <c r="AE290" s="193">
        <v>8000</v>
      </c>
      <c r="AF290" s="193" t="s">
        <v>518</v>
      </c>
      <c r="AG290" s="193" t="s">
        <v>519</v>
      </c>
      <c r="AH290" s="193">
        <v>0</v>
      </c>
      <c r="AI290" s="193">
        <v>8000</v>
      </c>
      <c r="AJ290" s="193" t="s">
        <v>1209</v>
      </c>
      <c r="AL290" s="197" t="s">
        <v>1210</v>
      </c>
      <c r="AM290" s="193">
        <v>1</v>
      </c>
      <c r="AN290" s="193">
        <v>0</v>
      </c>
      <c r="AO290" s="193">
        <v>0</v>
      </c>
      <c r="AP290" s="193">
        <v>0</v>
      </c>
      <c r="AQ290" s="193" t="s">
        <v>214</v>
      </c>
      <c r="AS290" s="197" t="s">
        <v>518</v>
      </c>
      <c r="AT290" s="197" t="s">
        <v>519</v>
      </c>
      <c r="AV290" s="194">
        <v>0</v>
      </c>
      <c r="AW290" s="194">
        <v>0</v>
      </c>
      <c r="AX290" s="194">
        <v>0</v>
      </c>
      <c r="AY290" s="549">
        <v>0</v>
      </c>
      <c r="AZ290" s="194">
        <v>4000</v>
      </c>
      <c r="BA290" s="194">
        <v>4000</v>
      </c>
      <c r="BB290" s="551">
        <v>8000</v>
      </c>
      <c r="BC290" s="551">
        <v>8000</v>
      </c>
      <c r="BD290" s="551">
        <v>0</v>
      </c>
      <c r="BF290" s="550">
        <f t="shared" si="71"/>
        <v>0</v>
      </c>
      <c r="BG290" s="550">
        <f t="shared" si="72"/>
        <v>0</v>
      </c>
      <c r="BH290" s="550">
        <f t="shared" si="73"/>
        <v>0</v>
      </c>
      <c r="BI290" s="550">
        <f t="shared" si="74"/>
        <v>0</v>
      </c>
      <c r="BJ290" s="550">
        <f t="shared" si="75"/>
        <v>4000</v>
      </c>
      <c r="BK290" s="550">
        <f t="shared" si="76"/>
        <v>4000</v>
      </c>
      <c r="BL290" s="550">
        <f t="shared" si="77"/>
        <v>8000</v>
      </c>
      <c r="BM290" s="550">
        <f t="shared" si="78"/>
        <v>8000</v>
      </c>
      <c r="BO290" s="194"/>
      <c r="BQ290" s="193">
        <f t="shared" si="79"/>
        <v>0</v>
      </c>
      <c r="BR290" s="193">
        <f t="shared" si="80"/>
        <v>0</v>
      </c>
      <c r="BS290" s="193">
        <f t="shared" si="81"/>
        <v>0</v>
      </c>
      <c r="BT290" s="193">
        <f t="shared" si="81"/>
        <v>0</v>
      </c>
    </row>
    <row r="291" spans="1:72" ht="13.5" customHeight="1">
      <c r="A291" s="193" t="s">
        <v>378</v>
      </c>
      <c r="B291" s="193" t="s">
        <v>379</v>
      </c>
      <c r="C291" s="193" t="s">
        <v>214</v>
      </c>
      <c r="D291" s="193" t="s">
        <v>1165</v>
      </c>
      <c r="E291" s="193" t="s">
        <v>1166</v>
      </c>
      <c r="F291" s="193" t="s">
        <v>1254</v>
      </c>
      <c r="G291" s="193" t="s">
        <v>1254</v>
      </c>
      <c r="H291" s="193" t="s">
        <v>1168</v>
      </c>
      <c r="I291" s="193" t="s">
        <v>512</v>
      </c>
      <c r="J291" s="193" t="s">
        <v>1255</v>
      </c>
      <c r="K291" s="193" t="s">
        <v>386</v>
      </c>
      <c r="L291" s="193" t="s">
        <v>387</v>
      </c>
      <c r="M291" s="193" t="s">
        <v>378</v>
      </c>
      <c r="N291" s="193" t="s">
        <v>1170</v>
      </c>
      <c r="O291" s="193" t="s">
        <v>129</v>
      </c>
      <c r="P291" s="193" t="s">
        <v>150</v>
      </c>
      <c r="Q291" s="193" t="s">
        <v>149</v>
      </c>
      <c r="R291" s="193" t="s">
        <v>148</v>
      </c>
      <c r="S291" s="193" t="s">
        <v>147</v>
      </c>
      <c r="T291" s="193" t="s">
        <v>389</v>
      </c>
      <c r="U291" s="193" t="s">
        <v>390</v>
      </c>
      <c r="V291" s="193">
        <v>0</v>
      </c>
      <c r="W291" s="193">
        <v>0</v>
      </c>
      <c r="X291" s="193">
        <v>0</v>
      </c>
      <c r="Y291" s="194">
        <v>4000</v>
      </c>
      <c r="Z291" s="193" t="s">
        <v>515</v>
      </c>
      <c r="AA291" s="193" t="s">
        <v>516</v>
      </c>
      <c r="AB291" s="193">
        <v>4000</v>
      </c>
      <c r="AC291" s="193" t="s">
        <v>1171</v>
      </c>
      <c r="AD291" s="193" t="s">
        <v>147</v>
      </c>
      <c r="AE291" s="193">
        <v>4000</v>
      </c>
      <c r="AF291" s="193" t="s">
        <v>518</v>
      </c>
      <c r="AG291" s="193" t="s">
        <v>519</v>
      </c>
      <c r="AH291" s="193">
        <v>0</v>
      </c>
      <c r="AI291" s="193">
        <v>4000</v>
      </c>
      <c r="AJ291" s="193" t="s">
        <v>1256</v>
      </c>
      <c r="AL291" s="197" t="s">
        <v>1257</v>
      </c>
      <c r="AM291" s="193">
        <v>1</v>
      </c>
      <c r="AN291" s="193">
        <v>0</v>
      </c>
      <c r="AO291" s="193">
        <v>0</v>
      </c>
      <c r="AP291" s="193">
        <v>0</v>
      </c>
      <c r="AQ291" s="193" t="s">
        <v>214</v>
      </c>
      <c r="AS291" s="197" t="s">
        <v>518</v>
      </c>
      <c r="AT291" s="197" t="s">
        <v>519</v>
      </c>
      <c r="AV291" s="194">
        <v>0</v>
      </c>
      <c r="AW291" s="194">
        <v>0</v>
      </c>
      <c r="AX291" s="194">
        <v>0</v>
      </c>
      <c r="AY291" s="549">
        <v>0</v>
      </c>
      <c r="AZ291" s="194">
        <v>2000</v>
      </c>
      <c r="BA291" s="194">
        <v>2000</v>
      </c>
      <c r="BB291" s="551">
        <v>4000</v>
      </c>
      <c r="BC291" s="551">
        <v>4000</v>
      </c>
      <c r="BD291" s="551">
        <v>0</v>
      </c>
      <c r="BF291" s="550">
        <f t="shared" si="71"/>
        <v>0</v>
      </c>
      <c r="BG291" s="550">
        <f t="shared" si="72"/>
        <v>0</v>
      </c>
      <c r="BH291" s="550">
        <f t="shared" si="73"/>
        <v>0</v>
      </c>
      <c r="BI291" s="550">
        <f t="shared" si="74"/>
        <v>0</v>
      </c>
      <c r="BJ291" s="550">
        <f t="shared" si="75"/>
        <v>2000</v>
      </c>
      <c r="BK291" s="550">
        <f t="shared" si="76"/>
        <v>2000</v>
      </c>
      <c r="BL291" s="550">
        <f t="shared" si="77"/>
        <v>4000</v>
      </c>
      <c r="BM291" s="550">
        <f t="shared" si="78"/>
        <v>4000</v>
      </c>
      <c r="BO291" s="194"/>
      <c r="BQ291" s="193">
        <f t="shared" si="79"/>
        <v>0</v>
      </c>
      <c r="BR291" s="193">
        <f t="shared" si="80"/>
        <v>0</v>
      </c>
      <c r="BS291" s="193">
        <f t="shared" si="81"/>
        <v>0</v>
      </c>
      <c r="BT291" s="193">
        <f t="shared" si="81"/>
        <v>0</v>
      </c>
    </row>
    <row r="292" spans="1:72" ht="13.5" customHeight="1">
      <c r="A292" s="193" t="s">
        <v>378</v>
      </c>
      <c r="B292" s="193" t="s">
        <v>379</v>
      </c>
      <c r="C292" s="193" t="s">
        <v>214</v>
      </c>
      <c r="D292" s="193" t="s">
        <v>1165</v>
      </c>
      <c r="E292" s="193" t="s">
        <v>1166</v>
      </c>
      <c r="F292" s="193" t="s">
        <v>1258</v>
      </c>
      <c r="G292" s="193" t="s">
        <v>1258</v>
      </c>
      <c r="H292" s="193" t="s">
        <v>1168</v>
      </c>
      <c r="I292" s="193" t="s">
        <v>512</v>
      </c>
      <c r="J292" s="193" t="s">
        <v>1259</v>
      </c>
      <c r="K292" s="193" t="s">
        <v>386</v>
      </c>
      <c r="L292" s="193" t="s">
        <v>387</v>
      </c>
      <c r="M292" s="193" t="s">
        <v>378</v>
      </c>
      <c r="N292" s="193" t="s">
        <v>1170</v>
      </c>
      <c r="O292" s="193" t="s">
        <v>129</v>
      </c>
      <c r="P292" s="193" t="s">
        <v>150</v>
      </c>
      <c r="Q292" s="193" t="s">
        <v>149</v>
      </c>
      <c r="R292" s="193" t="s">
        <v>148</v>
      </c>
      <c r="S292" s="193" t="s">
        <v>147</v>
      </c>
      <c r="T292" s="193" t="s">
        <v>389</v>
      </c>
      <c r="U292" s="193" t="s">
        <v>390</v>
      </c>
      <c r="V292" s="193">
        <v>0</v>
      </c>
      <c r="W292" s="193">
        <v>0</v>
      </c>
      <c r="X292" s="193">
        <v>0</v>
      </c>
      <c r="Y292" s="194">
        <v>4000</v>
      </c>
      <c r="Z292" s="193" t="s">
        <v>515</v>
      </c>
      <c r="AA292" s="193" t="s">
        <v>516</v>
      </c>
      <c r="AB292" s="193">
        <v>4000</v>
      </c>
      <c r="AC292" s="193" t="s">
        <v>1171</v>
      </c>
      <c r="AD292" s="193" t="s">
        <v>147</v>
      </c>
      <c r="AE292" s="193">
        <v>4000</v>
      </c>
      <c r="AF292" s="193" t="s">
        <v>518</v>
      </c>
      <c r="AG292" s="193" t="s">
        <v>519</v>
      </c>
      <c r="AH292" s="193">
        <v>0</v>
      </c>
      <c r="AI292" s="193">
        <v>4000</v>
      </c>
      <c r="AJ292" s="193" t="s">
        <v>1260</v>
      </c>
      <c r="AL292" s="197" t="s">
        <v>1261</v>
      </c>
      <c r="AM292" s="193">
        <v>1</v>
      </c>
      <c r="AN292" s="193">
        <v>0</v>
      </c>
      <c r="AO292" s="193">
        <v>0</v>
      </c>
      <c r="AP292" s="193">
        <v>0</v>
      </c>
      <c r="AQ292" s="193" t="s">
        <v>214</v>
      </c>
      <c r="AS292" s="197" t="s">
        <v>518</v>
      </c>
      <c r="AT292" s="197" t="s">
        <v>519</v>
      </c>
      <c r="AV292" s="194">
        <v>0</v>
      </c>
      <c r="AW292" s="194">
        <v>0</v>
      </c>
      <c r="AX292" s="194">
        <v>0</v>
      </c>
      <c r="AY292" s="549">
        <v>0</v>
      </c>
      <c r="AZ292" s="194">
        <v>2000</v>
      </c>
      <c r="BA292" s="194">
        <v>2000</v>
      </c>
      <c r="BB292" s="551">
        <v>4000</v>
      </c>
      <c r="BC292" s="551">
        <v>4000</v>
      </c>
      <c r="BD292" s="551">
        <v>0</v>
      </c>
      <c r="BF292" s="550">
        <f t="shared" si="71"/>
        <v>0</v>
      </c>
      <c r="BG292" s="550">
        <f t="shared" si="72"/>
        <v>0</v>
      </c>
      <c r="BH292" s="550">
        <f t="shared" si="73"/>
        <v>0</v>
      </c>
      <c r="BI292" s="550">
        <f t="shared" si="74"/>
        <v>0</v>
      </c>
      <c r="BJ292" s="550">
        <f t="shared" si="75"/>
        <v>2000</v>
      </c>
      <c r="BK292" s="550">
        <f t="shared" si="76"/>
        <v>2000</v>
      </c>
      <c r="BL292" s="550">
        <f t="shared" si="77"/>
        <v>4000</v>
      </c>
      <c r="BM292" s="550">
        <f t="shared" si="78"/>
        <v>4000</v>
      </c>
      <c r="BO292" s="194"/>
      <c r="BQ292" s="193">
        <f t="shared" si="79"/>
        <v>0</v>
      </c>
      <c r="BR292" s="193">
        <f t="shared" si="80"/>
        <v>0</v>
      </c>
      <c r="BS292" s="193">
        <f t="shared" si="81"/>
        <v>0</v>
      </c>
      <c r="BT292" s="193">
        <f t="shared" si="81"/>
        <v>0</v>
      </c>
    </row>
    <row r="293" spans="1:72" ht="13.5" customHeight="1">
      <c r="A293" s="193" t="s">
        <v>378</v>
      </c>
      <c r="B293" s="193" t="s">
        <v>379</v>
      </c>
      <c r="C293" s="193" t="s">
        <v>214</v>
      </c>
      <c r="D293" s="193" t="s">
        <v>1165</v>
      </c>
      <c r="E293" s="193" t="s">
        <v>1166</v>
      </c>
      <c r="F293" s="193" t="s">
        <v>427</v>
      </c>
      <c r="G293" s="193" t="s">
        <v>427</v>
      </c>
      <c r="H293" s="193" t="s">
        <v>1168</v>
      </c>
      <c r="I293" s="193" t="s">
        <v>512</v>
      </c>
      <c r="J293" s="193" t="s">
        <v>1211</v>
      </c>
      <c r="K293" s="193" t="s">
        <v>386</v>
      </c>
      <c r="L293" s="193" t="s">
        <v>387</v>
      </c>
      <c r="M293" s="193" t="s">
        <v>378</v>
      </c>
      <c r="N293" s="193" t="s">
        <v>1170</v>
      </c>
      <c r="O293" s="193" t="s">
        <v>129</v>
      </c>
      <c r="P293" s="193" t="s">
        <v>150</v>
      </c>
      <c r="Q293" s="193" t="s">
        <v>149</v>
      </c>
      <c r="R293" s="193" t="s">
        <v>148</v>
      </c>
      <c r="S293" s="193" t="s">
        <v>147</v>
      </c>
      <c r="T293" s="193" t="s">
        <v>389</v>
      </c>
      <c r="U293" s="193" t="s">
        <v>390</v>
      </c>
      <c r="V293" s="193">
        <v>0</v>
      </c>
      <c r="W293" s="193">
        <v>0</v>
      </c>
      <c r="X293" s="193">
        <v>0</v>
      </c>
      <c r="Y293" s="194">
        <v>4000</v>
      </c>
      <c r="Z293" s="193" t="s">
        <v>515</v>
      </c>
      <c r="AA293" s="193" t="s">
        <v>516</v>
      </c>
      <c r="AB293" s="193">
        <v>4000</v>
      </c>
      <c r="AC293" s="193" t="s">
        <v>1171</v>
      </c>
      <c r="AD293" s="193" t="s">
        <v>147</v>
      </c>
      <c r="AE293" s="193">
        <v>4000</v>
      </c>
      <c r="AF293" s="193" t="s">
        <v>518</v>
      </c>
      <c r="AG293" s="193" t="s">
        <v>519</v>
      </c>
      <c r="AH293" s="193">
        <v>0</v>
      </c>
      <c r="AI293" s="193">
        <v>4000</v>
      </c>
      <c r="AJ293" s="193" t="s">
        <v>1212</v>
      </c>
      <c r="AL293" s="197" t="s">
        <v>1213</v>
      </c>
      <c r="AM293" s="193">
        <v>1</v>
      </c>
      <c r="AN293" s="193">
        <v>0</v>
      </c>
      <c r="AO293" s="193">
        <v>0</v>
      </c>
      <c r="AP293" s="193">
        <v>0</v>
      </c>
      <c r="AQ293" s="193" t="s">
        <v>214</v>
      </c>
      <c r="AS293" s="197" t="s">
        <v>518</v>
      </c>
      <c r="AT293" s="197" t="s">
        <v>519</v>
      </c>
      <c r="AV293" s="194">
        <v>0</v>
      </c>
      <c r="AW293" s="194">
        <v>0</v>
      </c>
      <c r="AX293" s="194">
        <v>0</v>
      </c>
      <c r="AY293" s="549">
        <v>0</v>
      </c>
      <c r="AZ293" s="194">
        <v>2000</v>
      </c>
      <c r="BA293" s="194">
        <v>2000</v>
      </c>
      <c r="BB293" s="551">
        <v>4000</v>
      </c>
      <c r="BC293" s="551">
        <v>4000</v>
      </c>
      <c r="BD293" s="551">
        <v>0</v>
      </c>
      <c r="BF293" s="550">
        <f t="shared" si="71"/>
        <v>0</v>
      </c>
      <c r="BG293" s="550">
        <f t="shared" si="72"/>
        <v>0</v>
      </c>
      <c r="BH293" s="550">
        <f t="shared" si="73"/>
        <v>0</v>
      </c>
      <c r="BI293" s="550">
        <f t="shared" si="74"/>
        <v>0</v>
      </c>
      <c r="BJ293" s="550">
        <f t="shared" si="75"/>
        <v>2000</v>
      </c>
      <c r="BK293" s="550">
        <f t="shared" si="76"/>
        <v>2000</v>
      </c>
      <c r="BL293" s="550">
        <f t="shared" si="77"/>
        <v>4000</v>
      </c>
      <c r="BM293" s="550">
        <f t="shared" si="78"/>
        <v>4000</v>
      </c>
      <c r="BO293" s="194"/>
      <c r="BQ293" s="193">
        <f t="shared" si="79"/>
        <v>0</v>
      </c>
      <c r="BR293" s="193">
        <f t="shared" si="80"/>
        <v>0</v>
      </c>
      <c r="BS293" s="193">
        <f t="shared" si="81"/>
        <v>0</v>
      </c>
      <c r="BT293" s="193">
        <f t="shared" si="81"/>
        <v>0</v>
      </c>
    </row>
    <row r="294" spans="1:72" ht="13.5" customHeight="1">
      <c r="A294" s="193" t="s">
        <v>378</v>
      </c>
      <c r="B294" s="193" t="s">
        <v>379</v>
      </c>
      <c r="C294" s="193" t="s">
        <v>214</v>
      </c>
      <c r="D294" s="193" t="s">
        <v>1165</v>
      </c>
      <c r="E294" s="193" t="s">
        <v>1166</v>
      </c>
      <c r="F294" s="193" t="s">
        <v>902</v>
      </c>
      <c r="G294" s="193" t="s">
        <v>902</v>
      </c>
      <c r="H294" s="193" t="s">
        <v>1168</v>
      </c>
      <c r="I294" s="193" t="s">
        <v>512</v>
      </c>
      <c r="J294" s="193" t="s">
        <v>1201</v>
      </c>
      <c r="K294" s="193" t="s">
        <v>386</v>
      </c>
      <c r="L294" s="193" t="s">
        <v>387</v>
      </c>
      <c r="M294" s="193" t="s">
        <v>378</v>
      </c>
      <c r="N294" s="193" t="s">
        <v>1170</v>
      </c>
      <c r="O294" s="193" t="s">
        <v>129</v>
      </c>
      <c r="P294" s="193" t="s">
        <v>150</v>
      </c>
      <c r="Q294" s="193" t="s">
        <v>149</v>
      </c>
      <c r="R294" s="193" t="s">
        <v>148</v>
      </c>
      <c r="S294" s="193" t="s">
        <v>147</v>
      </c>
      <c r="T294" s="193" t="s">
        <v>389</v>
      </c>
      <c r="U294" s="193" t="s">
        <v>390</v>
      </c>
      <c r="V294" s="193">
        <v>0</v>
      </c>
      <c r="W294" s="193">
        <v>0</v>
      </c>
      <c r="X294" s="193">
        <v>0</v>
      </c>
      <c r="Y294" s="194">
        <v>4000</v>
      </c>
      <c r="Z294" s="193" t="s">
        <v>515</v>
      </c>
      <c r="AA294" s="193" t="s">
        <v>516</v>
      </c>
      <c r="AB294" s="193">
        <v>4000</v>
      </c>
      <c r="AC294" s="193" t="s">
        <v>1171</v>
      </c>
      <c r="AD294" s="193" t="s">
        <v>147</v>
      </c>
      <c r="AE294" s="193">
        <v>4000</v>
      </c>
      <c r="AF294" s="193" t="s">
        <v>518</v>
      </c>
      <c r="AG294" s="193" t="s">
        <v>519</v>
      </c>
      <c r="AH294" s="193">
        <v>0</v>
      </c>
      <c r="AI294" s="193">
        <v>4000</v>
      </c>
      <c r="AJ294" s="193" t="s">
        <v>1202</v>
      </c>
      <c r="AL294" s="197" t="s">
        <v>1203</v>
      </c>
      <c r="AM294" s="193">
        <v>1</v>
      </c>
      <c r="AN294" s="193">
        <v>0</v>
      </c>
      <c r="AO294" s="193">
        <v>0</v>
      </c>
      <c r="AP294" s="193">
        <v>0</v>
      </c>
      <c r="AQ294" s="193" t="s">
        <v>214</v>
      </c>
      <c r="AS294" s="197" t="s">
        <v>518</v>
      </c>
      <c r="AT294" s="197" t="s">
        <v>519</v>
      </c>
      <c r="AV294" s="194">
        <v>0</v>
      </c>
      <c r="AW294" s="194">
        <v>0</v>
      </c>
      <c r="AX294" s="194">
        <v>0</v>
      </c>
      <c r="AY294" s="549">
        <v>0</v>
      </c>
      <c r="AZ294" s="194">
        <v>2000</v>
      </c>
      <c r="BA294" s="194">
        <v>2000</v>
      </c>
      <c r="BB294" s="551">
        <v>4000</v>
      </c>
      <c r="BC294" s="551">
        <v>4000</v>
      </c>
      <c r="BD294" s="551">
        <v>0</v>
      </c>
      <c r="BF294" s="550">
        <f t="shared" si="71"/>
        <v>0</v>
      </c>
      <c r="BG294" s="550">
        <f t="shared" si="72"/>
        <v>0</v>
      </c>
      <c r="BH294" s="550">
        <f t="shared" si="73"/>
        <v>0</v>
      </c>
      <c r="BI294" s="550">
        <f t="shared" si="74"/>
        <v>0</v>
      </c>
      <c r="BJ294" s="550">
        <f t="shared" si="75"/>
        <v>2000</v>
      </c>
      <c r="BK294" s="550">
        <f t="shared" si="76"/>
        <v>2000</v>
      </c>
      <c r="BL294" s="550">
        <f t="shared" si="77"/>
        <v>4000</v>
      </c>
      <c r="BM294" s="550">
        <f t="shared" si="78"/>
        <v>4000</v>
      </c>
      <c r="BO294" s="194"/>
      <c r="BQ294" s="193">
        <f t="shared" si="79"/>
        <v>0</v>
      </c>
      <c r="BR294" s="193">
        <f t="shared" si="80"/>
        <v>0</v>
      </c>
      <c r="BS294" s="193">
        <f t="shared" si="81"/>
        <v>0</v>
      </c>
      <c r="BT294" s="193">
        <f t="shared" si="81"/>
        <v>0</v>
      </c>
    </row>
    <row r="295" spans="1:72" ht="13.5" customHeight="1">
      <c r="A295" s="193" t="s">
        <v>378</v>
      </c>
      <c r="B295" s="193" t="s">
        <v>379</v>
      </c>
      <c r="C295" s="193" t="s">
        <v>214</v>
      </c>
      <c r="D295" s="193" t="s">
        <v>1165</v>
      </c>
      <c r="E295" s="193" t="s">
        <v>1166</v>
      </c>
      <c r="F295" s="193" t="s">
        <v>975</v>
      </c>
      <c r="G295" s="193" t="s">
        <v>975</v>
      </c>
      <c r="H295" s="193" t="s">
        <v>1168</v>
      </c>
      <c r="I295" s="193" t="s">
        <v>512</v>
      </c>
      <c r="J295" s="193" t="s">
        <v>1214</v>
      </c>
      <c r="K295" s="193" t="s">
        <v>386</v>
      </c>
      <c r="L295" s="193" t="s">
        <v>387</v>
      </c>
      <c r="M295" s="193" t="s">
        <v>378</v>
      </c>
      <c r="N295" s="193" t="s">
        <v>1170</v>
      </c>
      <c r="O295" s="193" t="s">
        <v>129</v>
      </c>
      <c r="P295" s="193" t="s">
        <v>150</v>
      </c>
      <c r="Q295" s="193" t="s">
        <v>149</v>
      </c>
      <c r="R295" s="193" t="s">
        <v>148</v>
      </c>
      <c r="S295" s="193" t="s">
        <v>147</v>
      </c>
      <c r="T295" s="193" t="s">
        <v>389</v>
      </c>
      <c r="U295" s="193" t="s">
        <v>390</v>
      </c>
      <c r="V295" s="193">
        <v>0</v>
      </c>
      <c r="W295" s="193">
        <v>0</v>
      </c>
      <c r="X295" s="193">
        <v>0</v>
      </c>
      <c r="Y295" s="194">
        <v>4000</v>
      </c>
      <c r="Z295" s="193" t="s">
        <v>515</v>
      </c>
      <c r="AA295" s="193" t="s">
        <v>516</v>
      </c>
      <c r="AB295" s="193">
        <v>4000</v>
      </c>
      <c r="AC295" s="193" t="s">
        <v>1171</v>
      </c>
      <c r="AD295" s="193" t="s">
        <v>147</v>
      </c>
      <c r="AE295" s="193">
        <v>4000</v>
      </c>
      <c r="AF295" s="193" t="s">
        <v>518</v>
      </c>
      <c r="AG295" s="193" t="s">
        <v>519</v>
      </c>
      <c r="AH295" s="193">
        <v>0</v>
      </c>
      <c r="AI295" s="193">
        <v>4000</v>
      </c>
      <c r="AJ295" s="193" t="s">
        <v>1215</v>
      </c>
      <c r="AL295" s="197" t="s">
        <v>1216</v>
      </c>
      <c r="AM295" s="193">
        <v>1</v>
      </c>
      <c r="AN295" s="193">
        <v>0</v>
      </c>
      <c r="AO295" s="193">
        <v>0</v>
      </c>
      <c r="AP295" s="193">
        <v>0</v>
      </c>
      <c r="AQ295" s="193" t="s">
        <v>214</v>
      </c>
      <c r="AS295" s="197" t="s">
        <v>518</v>
      </c>
      <c r="AT295" s="197" t="s">
        <v>519</v>
      </c>
      <c r="AV295" s="194">
        <v>0</v>
      </c>
      <c r="AW295" s="194">
        <v>0</v>
      </c>
      <c r="AX295" s="194">
        <v>0</v>
      </c>
      <c r="AY295" s="549">
        <v>0</v>
      </c>
      <c r="AZ295" s="194">
        <v>2000</v>
      </c>
      <c r="BA295" s="194">
        <v>2000</v>
      </c>
      <c r="BB295" s="551">
        <v>4000</v>
      </c>
      <c r="BC295" s="551">
        <v>4000</v>
      </c>
      <c r="BD295" s="551">
        <v>0</v>
      </c>
      <c r="BF295" s="550">
        <f t="shared" si="71"/>
        <v>0</v>
      </c>
      <c r="BG295" s="550">
        <f t="shared" si="72"/>
        <v>0</v>
      </c>
      <c r="BH295" s="550">
        <f t="shared" si="73"/>
        <v>0</v>
      </c>
      <c r="BI295" s="550">
        <f t="shared" si="74"/>
        <v>0</v>
      </c>
      <c r="BJ295" s="550">
        <f t="shared" si="75"/>
        <v>2000</v>
      </c>
      <c r="BK295" s="550">
        <f t="shared" si="76"/>
        <v>2000</v>
      </c>
      <c r="BL295" s="550">
        <f t="shared" si="77"/>
        <v>4000</v>
      </c>
      <c r="BM295" s="550">
        <f t="shared" si="78"/>
        <v>4000</v>
      </c>
      <c r="BO295" s="194"/>
      <c r="BQ295" s="193">
        <f t="shared" si="79"/>
        <v>0</v>
      </c>
      <c r="BR295" s="193">
        <f t="shared" si="80"/>
        <v>0</v>
      </c>
      <c r="BS295" s="193">
        <f t="shared" si="81"/>
        <v>0</v>
      </c>
      <c r="BT295" s="193">
        <f t="shared" si="81"/>
        <v>0</v>
      </c>
    </row>
    <row r="296" spans="1:72" ht="13.5" customHeight="1">
      <c r="A296" s="193" t="s">
        <v>378</v>
      </c>
      <c r="B296" s="193" t="s">
        <v>379</v>
      </c>
      <c r="C296" s="193" t="s">
        <v>214</v>
      </c>
      <c r="D296" s="193" t="s">
        <v>1165</v>
      </c>
      <c r="E296" s="193" t="s">
        <v>1166</v>
      </c>
      <c r="F296" s="193" t="s">
        <v>1064</v>
      </c>
      <c r="G296" s="193" t="s">
        <v>1064</v>
      </c>
      <c r="H296" s="193" t="s">
        <v>1168</v>
      </c>
      <c r="I296" s="193" t="s">
        <v>512</v>
      </c>
      <c r="J296" s="193" t="s">
        <v>1217</v>
      </c>
      <c r="K296" s="193" t="s">
        <v>386</v>
      </c>
      <c r="L296" s="193" t="s">
        <v>387</v>
      </c>
      <c r="M296" s="193" t="s">
        <v>378</v>
      </c>
      <c r="N296" s="193" t="s">
        <v>1170</v>
      </c>
      <c r="O296" s="193" t="s">
        <v>129</v>
      </c>
      <c r="P296" s="193" t="s">
        <v>150</v>
      </c>
      <c r="Q296" s="193" t="s">
        <v>149</v>
      </c>
      <c r="R296" s="193" t="s">
        <v>148</v>
      </c>
      <c r="S296" s="193" t="s">
        <v>147</v>
      </c>
      <c r="T296" s="193" t="s">
        <v>389</v>
      </c>
      <c r="U296" s="193" t="s">
        <v>390</v>
      </c>
      <c r="V296" s="193">
        <v>0</v>
      </c>
      <c r="W296" s="193">
        <v>0</v>
      </c>
      <c r="X296" s="193">
        <v>0</v>
      </c>
      <c r="Y296" s="194">
        <v>4000</v>
      </c>
      <c r="Z296" s="193" t="s">
        <v>515</v>
      </c>
      <c r="AA296" s="193" t="s">
        <v>516</v>
      </c>
      <c r="AB296" s="193">
        <v>4000</v>
      </c>
      <c r="AC296" s="193" t="s">
        <v>1171</v>
      </c>
      <c r="AD296" s="193" t="s">
        <v>147</v>
      </c>
      <c r="AE296" s="193">
        <v>4000</v>
      </c>
      <c r="AF296" s="193" t="s">
        <v>518</v>
      </c>
      <c r="AG296" s="193" t="s">
        <v>519</v>
      </c>
      <c r="AH296" s="193">
        <v>0</v>
      </c>
      <c r="AI296" s="193">
        <v>4000</v>
      </c>
      <c r="AJ296" s="193" t="s">
        <v>1218</v>
      </c>
      <c r="AL296" s="197" t="s">
        <v>1219</v>
      </c>
      <c r="AM296" s="193">
        <v>1</v>
      </c>
      <c r="AN296" s="193">
        <v>0</v>
      </c>
      <c r="AO296" s="193">
        <v>0</v>
      </c>
      <c r="AP296" s="193">
        <v>0</v>
      </c>
      <c r="AQ296" s="193" t="s">
        <v>214</v>
      </c>
      <c r="AS296" s="197" t="s">
        <v>518</v>
      </c>
      <c r="AT296" s="197" t="s">
        <v>519</v>
      </c>
      <c r="AV296" s="194">
        <v>0</v>
      </c>
      <c r="AW296" s="194">
        <v>0</v>
      </c>
      <c r="AX296" s="194">
        <v>0</v>
      </c>
      <c r="AY296" s="549">
        <v>0</v>
      </c>
      <c r="AZ296" s="194">
        <v>2000</v>
      </c>
      <c r="BA296" s="194">
        <v>2000</v>
      </c>
      <c r="BB296" s="551">
        <v>4000</v>
      </c>
      <c r="BC296" s="551">
        <v>4000</v>
      </c>
      <c r="BD296" s="551">
        <v>0</v>
      </c>
      <c r="BF296" s="550">
        <f t="shared" si="71"/>
        <v>0</v>
      </c>
      <c r="BG296" s="550">
        <f t="shared" si="72"/>
        <v>0</v>
      </c>
      <c r="BH296" s="550">
        <f t="shared" si="73"/>
        <v>0</v>
      </c>
      <c r="BI296" s="550">
        <f t="shared" si="74"/>
        <v>0</v>
      </c>
      <c r="BJ296" s="550">
        <f t="shared" si="75"/>
        <v>2000</v>
      </c>
      <c r="BK296" s="550">
        <f t="shared" si="76"/>
        <v>2000</v>
      </c>
      <c r="BL296" s="550">
        <f t="shared" si="77"/>
        <v>4000</v>
      </c>
      <c r="BM296" s="550">
        <f t="shared" si="78"/>
        <v>4000</v>
      </c>
      <c r="BO296" s="194"/>
      <c r="BQ296" s="193">
        <f t="shared" si="79"/>
        <v>0</v>
      </c>
      <c r="BR296" s="193">
        <f t="shared" si="80"/>
        <v>0</v>
      </c>
      <c r="BS296" s="193">
        <f t="shared" si="81"/>
        <v>0</v>
      </c>
      <c r="BT296" s="193">
        <f t="shared" si="81"/>
        <v>0</v>
      </c>
    </row>
    <row r="297" spans="1:72" ht="13.5" customHeight="1">
      <c r="A297" s="193" t="s">
        <v>378</v>
      </c>
      <c r="B297" s="193" t="s">
        <v>379</v>
      </c>
      <c r="C297" s="193" t="s">
        <v>214</v>
      </c>
      <c r="D297" s="193" t="s">
        <v>1165</v>
      </c>
      <c r="E297" s="193" t="s">
        <v>1166</v>
      </c>
      <c r="F297" s="193" t="s">
        <v>1220</v>
      </c>
      <c r="G297" s="193" t="s">
        <v>1220</v>
      </c>
      <c r="H297" s="193" t="s">
        <v>1168</v>
      </c>
      <c r="I297" s="193" t="s">
        <v>512</v>
      </c>
      <c r="J297" s="193" t="s">
        <v>1221</v>
      </c>
      <c r="K297" s="193" t="s">
        <v>386</v>
      </c>
      <c r="L297" s="193" t="s">
        <v>387</v>
      </c>
      <c r="M297" s="193" t="s">
        <v>378</v>
      </c>
      <c r="N297" s="193" t="s">
        <v>1170</v>
      </c>
      <c r="O297" s="193" t="s">
        <v>129</v>
      </c>
      <c r="P297" s="193" t="s">
        <v>150</v>
      </c>
      <c r="Q297" s="193" t="s">
        <v>149</v>
      </c>
      <c r="R297" s="193" t="s">
        <v>148</v>
      </c>
      <c r="S297" s="193" t="s">
        <v>147</v>
      </c>
      <c r="T297" s="193" t="s">
        <v>389</v>
      </c>
      <c r="U297" s="193" t="s">
        <v>390</v>
      </c>
      <c r="V297" s="193">
        <v>0</v>
      </c>
      <c r="W297" s="193">
        <v>0</v>
      </c>
      <c r="X297" s="193">
        <v>0</v>
      </c>
      <c r="Y297" s="194">
        <v>4000</v>
      </c>
      <c r="Z297" s="193" t="s">
        <v>515</v>
      </c>
      <c r="AA297" s="193" t="s">
        <v>516</v>
      </c>
      <c r="AB297" s="193">
        <v>4000</v>
      </c>
      <c r="AC297" s="193" t="s">
        <v>1171</v>
      </c>
      <c r="AD297" s="193" t="s">
        <v>147</v>
      </c>
      <c r="AE297" s="193">
        <v>4000</v>
      </c>
      <c r="AF297" s="193" t="s">
        <v>518</v>
      </c>
      <c r="AG297" s="193" t="s">
        <v>519</v>
      </c>
      <c r="AH297" s="193">
        <v>0</v>
      </c>
      <c r="AI297" s="193">
        <v>4000</v>
      </c>
      <c r="AJ297" s="193" t="s">
        <v>1222</v>
      </c>
      <c r="AL297" s="197" t="s">
        <v>1223</v>
      </c>
      <c r="AM297" s="193">
        <v>1</v>
      </c>
      <c r="AN297" s="193">
        <v>0</v>
      </c>
      <c r="AO297" s="193">
        <v>0</v>
      </c>
      <c r="AP297" s="193">
        <v>0</v>
      </c>
      <c r="AQ297" s="193" t="s">
        <v>214</v>
      </c>
      <c r="AS297" s="197" t="s">
        <v>518</v>
      </c>
      <c r="AT297" s="197" t="s">
        <v>519</v>
      </c>
      <c r="AV297" s="194">
        <v>0</v>
      </c>
      <c r="AW297" s="194">
        <v>0</v>
      </c>
      <c r="AX297" s="194">
        <v>0</v>
      </c>
      <c r="AY297" s="549">
        <v>0</v>
      </c>
      <c r="AZ297" s="194">
        <v>2000</v>
      </c>
      <c r="BA297" s="194">
        <v>2000</v>
      </c>
      <c r="BB297" s="551">
        <v>4000</v>
      </c>
      <c r="BC297" s="551">
        <v>4000</v>
      </c>
      <c r="BD297" s="551">
        <v>0</v>
      </c>
      <c r="BF297" s="550">
        <f t="shared" si="71"/>
        <v>0</v>
      </c>
      <c r="BG297" s="550">
        <f t="shared" si="72"/>
        <v>0</v>
      </c>
      <c r="BH297" s="550">
        <f t="shared" si="73"/>
        <v>0</v>
      </c>
      <c r="BI297" s="550">
        <f t="shared" si="74"/>
        <v>0</v>
      </c>
      <c r="BJ297" s="550">
        <f t="shared" si="75"/>
        <v>2000</v>
      </c>
      <c r="BK297" s="550">
        <f t="shared" si="76"/>
        <v>2000</v>
      </c>
      <c r="BL297" s="550">
        <f t="shared" si="77"/>
        <v>4000</v>
      </c>
      <c r="BM297" s="550">
        <f t="shared" si="78"/>
        <v>4000</v>
      </c>
      <c r="BO297" s="194"/>
      <c r="BQ297" s="193">
        <f t="shared" si="79"/>
        <v>0</v>
      </c>
      <c r="BR297" s="193">
        <f t="shared" si="80"/>
        <v>0</v>
      </c>
      <c r="BS297" s="193">
        <f t="shared" si="81"/>
        <v>0</v>
      </c>
      <c r="BT297" s="193">
        <f t="shared" si="81"/>
        <v>0</v>
      </c>
    </row>
    <row r="298" spans="1:72" ht="13.5" customHeight="1">
      <c r="A298" s="193" t="s">
        <v>378</v>
      </c>
      <c r="B298" s="193" t="s">
        <v>379</v>
      </c>
      <c r="C298" s="193" t="s">
        <v>214</v>
      </c>
      <c r="D298" s="193" t="s">
        <v>1165</v>
      </c>
      <c r="E298" s="193" t="s">
        <v>1166</v>
      </c>
      <c r="F298" s="193" t="s">
        <v>1224</v>
      </c>
      <c r="G298" s="193" t="s">
        <v>1224</v>
      </c>
      <c r="H298" s="193" t="s">
        <v>1168</v>
      </c>
      <c r="I298" s="193" t="s">
        <v>512</v>
      </c>
      <c r="J298" s="193" t="s">
        <v>1225</v>
      </c>
      <c r="K298" s="193" t="s">
        <v>386</v>
      </c>
      <c r="L298" s="193" t="s">
        <v>387</v>
      </c>
      <c r="M298" s="193" t="s">
        <v>378</v>
      </c>
      <c r="N298" s="193" t="s">
        <v>1170</v>
      </c>
      <c r="O298" s="193" t="s">
        <v>129</v>
      </c>
      <c r="P298" s="193" t="s">
        <v>150</v>
      </c>
      <c r="Q298" s="193" t="s">
        <v>149</v>
      </c>
      <c r="R298" s="193" t="s">
        <v>148</v>
      </c>
      <c r="S298" s="193" t="s">
        <v>147</v>
      </c>
      <c r="T298" s="193" t="s">
        <v>389</v>
      </c>
      <c r="U298" s="193" t="s">
        <v>390</v>
      </c>
      <c r="V298" s="193">
        <v>0</v>
      </c>
      <c r="W298" s="193">
        <v>0</v>
      </c>
      <c r="X298" s="193">
        <v>0</v>
      </c>
      <c r="Y298" s="194">
        <v>8000</v>
      </c>
      <c r="Z298" s="193" t="s">
        <v>515</v>
      </c>
      <c r="AA298" s="193" t="s">
        <v>516</v>
      </c>
      <c r="AB298" s="193">
        <v>8000</v>
      </c>
      <c r="AC298" s="193" t="s">
        <v>1171</v>
      </c>
      <c r="AD298" s="193" t="s">
        <v>147</v>
      </c>
      <c r="AE298" s="193">
        <v>8000</v>
      </c>
      <c r="AF298" s="193" t="s">
        <v>518</v>
      </c>
      <c r="AG298" s="193" t="s">
        <v>519</v>
      </c>
      <c r="AH298" s="193">
        <v>0</v>
      </c>
      <c r="AI298" s="193">
        <v>8000</v>
      </c>
      <c r="AJ298" s="193" t="s">
        <v>1226</v>
      </c>
      <c r="AL298" s="197" t="s">
        <v>1227</v>
      </c>
      <c r="AM298" s="193">
        <v>1</v>
      </c>
      <c r="AN298" s="193">
        <v>0</v>
      </c>
      <c r="AO298" s="193">
        <v>0</v>
      </c>
      <c r="AP298" s="193">
        <v>0</v>
      </c>
      <c r="AQ298" s="193" t="s">
        <v>214</v>
      </c>
      <c r="AS298" s="197" t="s">
        <v>518</v>
      </c>
      <c r="AT298" s="197" t="s">
        <v>519</v>
      </c>
      <c r="AV298" s="194">
        <v>0</v>
      </c>
      <c r="AW298" s="194">
        <v>0</v>
      </c>
      <c r="AX298" s="194">
        <v>0</v>
      </c>
      <c r="AY298" s="549">
        <v>0</v>
      </c>
      <c r="AZ298" s="194">
        <v>4000</v>
      </c>
      <c r="BA298" s="194">
        <v>4000</v>
      </c>
      <c r="BB298" s="551">
        <v>8000</v>
      </c>
      <c r="BC298" s="551">
        <v>8000</v>
      </c>
      <c r="BD298" s="551">
        <v>0</v>
      </c>
      <c r="BF298" s="550">
        <f t="shared" si="71"/>
        <v>0</v>
      </c>
      <c r="BG298" s="550">
        <f t="shared" si="72"/>
        <v>0</v>
      </c>
      <c r="BH298" s="550">
        <f t="shared" si="73"/>
        <v>0</v>
      </c>
      <c r="BI298" s="550">
        <f t="shared" si="74"/>
        <v>0</v>
      </c>
      <c r="BJ298" s="550">
        <f t="shared" si="75"/>
        <v>4000</v>
      </c>
      <c r="BK298" s="550">
        <f t="shared" si="76"/>
        <v>4000</v>
      </c>
      <c r="BL298" s="550">
        <f t="shared" si="77"/>
        <v>8000</v>
      </c>
      <c r="BM298" s="550">
        <f t="shared" si="78"/>
        <v>8000</v>
      </c>
      <c r="BO298" s="194"/>
      <c r="BQ298" s="193">
        <f t="shared" si="79"/>
        <v>0</v>
      </c>
      <c r="BR298" s="193">
        <f t="shared" si="80"/>
        <v>0</v>
      </c>
      <c r="BS298" s="193">
        <f t="shared" si="81"/>
        <v>0</v>
      </c>
      <c r="BT298" s="193">
        <f t="shared" si="81"/>
        <v>0</v>
      </c>
    </row>
    <row r="299" spans="1:72" ht="13.5" customHeight="1">
      <c r="A299" s="193" t="s">
        <v>378</v>
      </c>
      <c r="B299" s="193" t="s">
        <v>379</v>
      </c>
      <c r="C299" s="193" t="s">
        <v>214</v>
      </c>
      <c r="D299" s="193" t="s">
        <v>1165</v>
      </c>
      <c r="E299" s="193" t="s">
        <v>1166</v>
      </c>
      <c r="F299" s="193" t="s">
        <v>1295</v>
      </c>
      <c r="G299" s="193" t="s">
        <v>1295</v>
      </c>
      <c r="H299" s="193" t="s">
        <v>1168</v>
      </c>
      <c r="I299" s="193" t="s">
        <v>512</v>
      </c>
      <c r="J299" s="193" t="s">
        <v>1296</v>
      </c>
      <c r="K299" s="193" t="s">
        <v>386</v>
      </c>
      <c r="L299" s="193" t="s">
        <v>387</v>
      </c>
      <c r="M299" s="193" t="s">
        <v>378</v>
      </c>
      <c r="N299" s="193" t="s">
        <v>1170</v>
      </c>
      <c r="O299" s="193" t="s">
        <v>129</v>
      </c>
      <c r="P299" s="193" t="s">
        <v>150</v>
      </c>
      <c r="Q299" s="193" t="s">
        <v>149</v>
      </c>
      <c r="R299" s="193" t="s">
        <v>148</v>
      </c>
      <c r="S299" s="193" t="s">
        <v>147</v>
      </c>
      <c r="T299" s="193" t="s">
        <v>389</v>
      </c>
      <c r="U299" s="193" t="s">
        <v>390</v>
      </c>
      <c r="V299" s="193">
        <v>0</v>
      </c>
      <c r="W299" s="193">
        <v>0</v>
      </c>
      <c r="X299" s="193">
        <v>0</v>
      </c>
      <c r="Y299" s="194">
        <v>4000</v>
      </c>
      <c r="Z299" s="193" t="s">
        <v>515</v>
      </c>
      <c r="AA299" s="193" t="s">
        <v>516</v>
      </c>
      <c r="AB299" s="193">
        <v>4000</v>
      </c>
      <c r="AC299" s="193" t="s">
        <v>1171</v>
      </c>
      <c r="AD299" s="193" t="s">
        <v>147</v>
      </c>
      <c r="AE299" s="193">
        <v>4000</v>
      </c>
      <c r="AF299" s="193" t="s">
        <v>518</v>
      </c>
      <c r="AG299" s="193" t="s">
        <v>519</v>
      </c>
      <c r="AH299" s="193">
        <v>0</v>
      </c>
      <c r="AI299" s="193">
        <v>4000</v>
      </c>
      <c r="AJ299" s="193" t="s">
        <v>1297</v>
      </c>
      <c r="AL299" s="197" t="s">
        <v>1298</v>
      </c>
      <c r="AM299" s="193">
        <v>1</v>
      </c>
      <c r="AN299" s="193">
        <v>0</v>
      </c>
      <c r="AO299" s="193">
        <v>0</v>
      </c>
      <c r="AP299" s="193">
        <v>0</v>
      </c>
      <c r="AQ299" s="193" t="s">
        <v>214</v>
      </c>
      <c r="AS299" s="197" t="s">
        <v>518</v>
      </c>
      <c r="AT299" s="197" t="s">
        <v>519</v>
      </c>
      <c r="AV299" s="194">
        <v>0</v>
      </c>
      <c r="AW299" s="194">
        <v>0</v>
      </c>
      <c r="AX299" s="194">
        <v>0</v>
      </c>
      <c r="AY299" s="549">
        <v>0</v>
      </c>
      <c r="AZ299" s="194">
        <v>2000</v>
      </c>
      <c r="BA299" s="194">
        <v>2000</v>
      </c>
      <c r="BB299" s="551">
        <v>4000</v>
      </c>
      <c r="BC299" s="551">
        <v>4000</v>
      </c>
      <c r="BD299" s="551">
        <v>0</v>
      </c>
      <c r="BF299" s="550">
        <f t="shared" si="71"/>
        <v>0</v>
      </c>
      <c r="BG299" s="550">
        <f t="shared" si="72"/>
        <v>0</v>
      </c>
      <c r="BH299" s="550">
        <f t="shared" si="73"/>
        <v>0</v>
      </c>
      <c r="BI299" s="550">
        <f t="shared" si="74"/>
        <v>0</v>
      </c>
      <c r="BJ299" s="550">
        <f t="shared" si="75"/>
        <v>2000</v>
      </c>
      <c r="BK299" s="550">
        <f t="shared" si="76"/>
        <v>2000</v>
      </c>
      <c r="BL299" s="550">
        <f t="shared" si="77"/>
        <v>4000</v>
      </c>
      <c r="BM299" s="550">
        <f t="shared" si="78"/>
        <v>4000</v>
      </c>
      <c r="BO299" s="194"/>
      <c r="BQ299" s="193">
        <f t="shared" si="79"/>
        <v>0</v>
      </c>
      <c r="BR299" s="193">
        <f t="shared" si="80"/>
        <v>0</v>
      </c>
      <c r="BS299" s="193">
        <f t="shared" si="81"/>
        <v>0</v>
      </c>
      <c r="BT299" s="193">
        <f t="shared" si="81"/>
        <v>0</v>
      </c>
    </row>
    <row r="300" spans="1:72" ht="13.5" customHeight="1">
      <c r="A300" s="193" t="s">
        <v>378</v>
      </c>
      <c r="B300" s="193" t="s">
        <v>379</v>
      </c>
      <c r="C300" s="193" t="s">
        <v>214</v>
      </c>
      <c r="D300" s="193" t="s">
        <v>1165</v>
      </c>
      <c r="E300" s="193" t="s">
        <v>1166</v>
      </c>
      <c r="F300" s="193" t="s">
        <v>890</v>
      </c>
      <c r="G300" s="193" t="s">
        <v>890</v>
      </c>
      <c r="H300" s="193" t="s">
        <v>1168</v>
      </c>
      <c r="I300" s="193" t="s">
        <v>512</v>
      </c>
      <c r="J300" s="193" t="s">
        <v>1204</v>
      </c>
      <c r="K300" s="193" t="s">
        <v>386</v>
      </c>
      <c r="L300" s="193" t="s">
        <v>387</v>
      </c>
      <c r="M300" s="193" t="s">
        <v>378</v>
      </c>
      <c r="N300" s="193" t="s">
        <v>1170</v>
      </c>
      <c r="O300" s="193" t="s">
        <v>129</v>
      </c>
      <c r="P300" s="193" t="s">
        <v>150</v>
      </c>
      <c r="Q300" s="193" t="s">
        <v>149</v>
      </c>
      <c r="R300" s="193" t="s">
        <v>148</v>
      </c>
      <c r="S300" s="193" t="s">
        <v>147</v>
      </c>
      <c r="T300" s="193" t="s">
        <v>389</v>
      </c>
      <c r="U300" s="193" t="s">
        <v>390</v>
      </c>
      <c r="V300" s="193">
        <v>0</v>
      </c>
      <c r="W300" s="193">
        <v>0</v>
      </c>
      <c r="X300" s="193">
        <v>0</v>
      </c>
      <c r="Y300" s="194">
        <v>4000</v>
      </c>
      <c r="Z300" s="193" t="s">
        <v>515</v>
      </c>
      <c r="AA300" s="193" t="s">
        <v>516</v>
      </c>
      <c r="AB300" s="193">
        <v>4000</v>
      </c>
      <c r="AC300" s="193" t="s">
        <v>1171</v>
      </c>
      <c r="AD300" s="193" t="s">
        <v>147</v>
      </c>
      <c r="AE300" s="193">
        <v>4000</v>
      </c>
      <c r="AF300" s="193" t="s">
        <v>518</v>
      </c>
      <c r="AG300" s="193" t="s">
        <v>519</v>
      </c>
      <c r="AH300" s="193">
        <v>0</v>
      </c>
      <c r="AI300" s="193">
        <v>4000</v>
      </c>
      <c r="AJ300" s="193" t="s">
        <v>1205</v>
      </c>
      <c r="AL300" s="197" t="s">
        <v>1206</v>
      </c>
      <c r="AM300" s="193">
        <v>1</v>
      </c>
      <c r="AN300" s="193">
        <v>0</v>
      </c>
      <c r="AO300" s="193">
        <v>0</v>
      </c>
      <c r="AP300" s="193">
        <v>0</v>
      </c>
      <c r="AQ300" s="193" t="s">
        <v>214</v>
      </c>
      <c r="AS300" s="197" t="s">
        <v>518</v>
      </c>
      <c r="AT300" s="197" t="s">
        <v>519</v>
      </c>
      <c r="AV300" s="194">
        <v>0</v>
      </c>
      <c r="AW300" s="194">
        <v>0</v>
      </c>
      <c r="AX300" s="194">
        <v>0</v>
      </c>
      <c r="AY300" s="549">
        <v>0</v>
      </c>
      <c r="AZ300" s="194">
        <v>2000</v>
      </c>
      <c r="BA300" s="194">
        <v>2000</v>
      </c>
      <c r="BB300" s="551">
        <v>4000</v>
      </c>
      <c r="BC300" s="551">
        <v>4000</v>
      </c>
      <c r="BD300" s="551">
        <v>0</v>
      </c>
      <c r="BF300" s="550">
        <f t="shared" si="71"/>
        <v>0</v>
      </c>
      <c r="BG300" s="550">
        <f t="shared" si="72"/>
        <v>0</v>
      </c>
      <c r="BH300" s="550">
        <f t="shared" si="73"/>
        <v>0</v>
      </c>
      <c r="BI300" s="550">
        <f t="shared" si="74"/>
        <v>0</v>
      </c>
      <c r="BJ300" s="550">
        <f t="shared" si="75"/>
        <v>2000</v>
      </c>
      <c r="BK300" s="550">
        <f t="shared" si="76"/>
        <v>2000</v>
      </c>
      <c r="BL300" s="550">
        <f t="shared" si="77"/>
        <v>4000</v>
      </c>
      <c r="BM300" s="550">
        <f t="shared" si="78"/>
        <v>4000</v>
      </c>
      <c r="BO300" s="194"/>
      <c r="BQ300" s="193">
        <f t="shared" si="79"/>
        <v>0</v>
      </c>
      <c r="BR300" s="193">
        <f t="shared" si="80"/>
        <v>0</v>
      </c>
      <c r="BS300" s="193">
        <f t="shared" si="81"/>
        <v>0</v>
      </c>
      <c r="BT300" s="193">
        <f t="shared" si="81"/>
        <v>0</v>
      </c>
    </row>
    <row r="301" spans="1:72" ht="13.5" customHeight="1">
      <c r="A301" s="193" t="s">
        <v>378</v>
      </c>
      <c r="B301" s="193" t="s">
        <v>379</v>
      </c>
      <c r="C301" s="193" t="s">
        <v>214</v>
      </c>
      <c r="D301" s="193" t="s">
        <v>1165</v>
      </c>
      <c r="E301" s="193" t="s">
        <v>1166</v>
      </c>
      <c r="F301" s="193" t="s">
        <v>622</v>
      </c>
      <c r="G301" s="193" t="s">
        <v>622</v>
      </c>
      <c r="H301" s="193" t="s">
        <v>1168</v>
      </c>
      <c r="I301" s="193" t="s">
        <v>512</v>
      </c>
      <c r="J301" s="193" t="s">
        <v>1198</v>
      </c>
      <c r="K301" s="193" t="s">
        <v>386</v>
      </c>
      <c r="L301" s="193" t="s">
        <v>387</v>
      </c>
      <c r="M301" s="193" t="s">
        <v>378</v>
      </c>
      <c r="N301" s="193" t="s">
        <v>1170</v>
      </c>
      <c r="O301" s="193" t="s">
        <v>129</v>
      </c>
      <c r="P301" s="193" t="s">
        <v>150</v>
      </c>
      <c r="Q301" s="193" t="s">
        <v>149</v>
      </c>
      <c r="R301" s="193" t="s">
        <v>148</v>
      </c>
      <c r="S301" s="193" t="s">
        <v>147</v>
      </c>
      <c r="T301" s="193" t="s">
        <v>389</v>
      </c>
      <c r="U301" s="193" t="s">
        <v>390</v>
      </c>
      <c r="V301" s="193">
        <v>0</v>
      </c>
      <c r="W301" s="193">
        <v>0</v>
      </c>
      <c r="X301" s="193">
        <v>0</v>
      </c>
      <c r="Y301" s="194">
        <v>4000</v>
      </c>
      <c r="Z301" s="193" t="s">
        <v>515</v>
      </c>
      <c r="AA301" s="193" t="s">
        <v>516</v>
      </c>
      <c r="AB301" s="193">
        <v>4000</v>
      </c>
      <c r="AC301" s="193" t="s">
        <v>1171</v>
      </c>
      <c r="AD301" s="193" t="s">
        <v>147</v>
      </c>
      <c r="AE301" s="193">
        <v>4000</v>
      </c>
      <c r="AF301" s="193" t="s">
        <v>518</v>
      </c>
      <c r="AG301" s="193" t="s">
        <v>519</v>
      </c>
      <c r="AH301" s="193">
        <v>0</v>
      </c>
      <c r="AI301" s="193">
        <v>4000</v>
      </c>
      <c r="AJ301" s="193" t="s">
        <v>1199</v>
      </c>
      <c r="AL301" s="197" t="s">
        <v>1200</v>
      </c>
      <c r="AM301" s="193">
        <v>1</v>
      </c>
      <c r="AN301" s="193">
        <v>0</v>
      </c>
      <c r="AO301" s="193">
        <v>0</v>
      </c>
      <c r="AP301" s="193">
        <v>0</v>
      </c>
      <c r="AQ301" s="193" t="s">
        <v>214</v>
      </c>
      <c r="AS301" s="197" t="s">
        <v>518</v>
      </c>
      <c r="AT301" s="197" t="s">
        <v>519</v>
      </c>
      <c r="AV301" s="194">
        <v>0</v>
      </c>
      <c r="AW301" s="194">
        <v>0</v>
      </c>
      <c r="AX301" s="194">
        <v>0</v>
      </c>
      <c r="AY301" s="549">
        <v>0</v>
      </c>
      <c r="AZ301" s="194">
        <v>2000</v>
      </c>
      <c r="BA301" s="194">
        <v>2000</v>
      </c>
      <c r="BB301" s="551">
        <v>4000</v>
      </c>
      <c r="BC301" s="551">
        <v>4000</v>
      </c>
      <c r="BD301" s="551">
        <v>0</v>
      </c>
      <c r="BF301" s="550">
        <f t="shared" si="71"/>
        <v>0</v>
      </c>
      <c r="BG301" s="550">
        <f t="shared" si="72"/>
        <v>0</v>
      </c>
      <c r="BH301" s="550">
        <f t="shared" si="73"/>
        <v>0</v>
      </c>
      <c r="BI301" s="550">
        <f t="shared" si="74"/>
        <v>0</v>
      </c>
      <c r="BJ301" s="550">
        <f t="shared" si="75"/>
        <v>2000</v>
      </c>
      <c r="BK301" s="550">
        <f t="shared" si="76"/>
        <v>2000</v>
      </c>
      <c r="BL301" s="550">
        <f t="shared" si="77"/>
        <v>4000</v>
      </c>
      <c r="BM301" s="550">
        <f t="shared" si="78"/>
        <v>4000</v>
      </c>
      <c r="BO301" s="194"/>
      <c r="BQ301" s="193">
        <f t="shared" si="79"/>
        <v>0</v>
      </c>
      <c r="BR301" s="193">
        <f t="shared" si="80"/>
        <v>0</v>
      </c>
      <c r="BS301" s="193">
        <f t="shared" si="81"/>
        <v>0</v>
      </c>
      <c r="BT301" s="193">
        <f t="shared" si="81"/>
        <v>0</v>
      </c>
    </row>
    <row r="302" spans="1:72" ht="13.5" customHeight="1">
      <c r="A302" s="193" t="s">
        <v>378</v>
      </c>
      <c r="B302" s="193" t="s">
        <v>379</v>
      </c>
      <c r="C302" s="193" t="s">
        <v>214</v>
      </c>
      <c r="D302" s="193" t="s">
        <v>1165</v>
      </c>
      <c r="E302" s="193" t="s">
        <v>1166</v>
      </c>
      <c r="F302" s="193" t="s">
        <v>923</v>
      </c>
      <c r="G302" s="193" t="s">
        <v>923</v>
      </c>
      <c r="H302" s="193" t="s">
        <v>1168</v>
      </c>
      <c r="I302" s="193" t="s">
        <v>512</v>
      </c>
      <c r="J302" s="193" t="s">
        <v>1248</v>
      </c>
      <c r="K302" s="193" t="s">
        <v>386</v>
      </c>
      <c r="L302" s="193" t="s">
        <v>387</v>
      </c>
      <c r="M302" s="193" t="s">
        <v>378</v>
      </c>
      <c r="N302" s="193" t="s">
        <v>1170</v>
      </c>
      <c r="O302" s="193" t="s">
        <v>129</v>
      </c>
      <c r="P302" s="193" t="s">
        <v>150</v>
      </c>
      <c r="Q302" s="193" t="s">
        <v>149</v>
      </c>
      <c r="R302" s="193" t="s">
        <v>148</v>
      </c>
      <c r="S302" s="193" t="s">
        <v>147</v>
      </c>
      <c r="T302" s="193" t="s">
        <v>389</v>
      </c>
      <c r="U302" s="193" t="s">
        <v>390</v>
      </c>
      <c r="V302" s="193">
        <v>0</v>
      </c>
      <c r="W302" s="193">
        <v>0</v>
      </c>
      <c r="X302" s="193">
        <v>0</v>
      </c>
      <c r="Y302" s="194">
        <v>15000</v>
      </c>
      <c r="Z302" s="193" t="s">
        <v>515</v>
      </c>
      <c r="AA302" s="193" t="s">
        <v>516</v>
      </c>
      <c r="AB302" s="193">
        <v>15000</v>
      </c>
      <c r="AC302" s="193" t="s">
        <v>1171</v>
      </c>
      <c r="AD302" s="193" t="s">
        <v>147</v>
      </c>
      <c r="AE302" s="193">
        <v>15000</v>
      </c>
      <c r="AF302" s="193" t="s">
        <v>518</v>
      </c>
      <c r="AG302" s="193" t="s">
        <v>519</v>
      </c>
      <c r="AH302" s="193">
        <v>0</v>
      </c>
      <c r="AI302" s="193">
        <v>15000</v>
      </c>
      <c r="AJ302" s="193" t="s">
        <v>1249</v>
      </c>
      <c r="AL302" s="197" t="s">
        <v>1250</v>
      </c>
      <c r="AM302" s="193">
        <v>1</v>
      </c>
      <c r="AN302" s="193">
        <v>0</v>
      </c>
      <c r="AO302" s="193">
        <v>0</v>
      </c>
      <c r="AP302" s="193">
        <v>0</v>
      </c>
      <c r="AQ302" s="193" t="s">
        <v>214</v>
      </c>
      <c r="AS302" s="197" t="s">
        <v>518</v>
      </c>
      <c r="AT302" s="197" t="s">
        <v>519</v>
      </c>
      <c r="AV302" s="194">
        <v>0</v>
      </c>
      <c r="AW302" s="194">
        <v>0</v>
      </c>
      <c r="AX302" s="194">
        <v>0</v>
      </c>
      <c r="AY302" s="549">
        <v>0</v>
      </c>
      <c r="AZ302" s="194">
        <v>7500</v>
      </c>
      <c r="BA302" s="194">
        <v>7500</v>
      </c>
      <c r="BB302" s="551">
        <v>15000</v>
      </c>
      <c r="BC302" s="551">
        <v>15000</v>
      </c>
      <c r="BD302" s="551">
        <v>0</v>
      </c>
      <c r="BF302" s="550">
        <f t="shared" si="71"/>
        <v>0</v>
      </c>
      <c r="BG302" s="550">
        <f t="shared" si="72"/>
        <v>0</v>
      </c>
      <c r="BH302" s="550">
        <f t="shared" si="73"/>
        <v>0</v>
      </c>
      <c r="BI302" s="550">
        <f t="shared" si="74"/>
        <v>0</v>
      </c>
      <c r="BJ302" s="550">
        <f t="shared" si="75"/>
        <v>7500</v>
      </c>
      <c r="BK302" s="550">
        <f t="shared" si="76"/>
        <v>7500</v>
      </c>
      <c r="BL302" s="550">
        <f t="shared" si="77"/>
        <v>15000</v>
      </c>
      <c r="BM302" s="550">
        <f t="shared" si="78"/>
        <v>15000</v>
      </c>
      <c r="BO302" s="194"/>
      <c r="BQ302" s="193">
        <f t="shared" si="79"/>
        <v>0</v>
      </c>
      <c r="BR302" s="193">
        <f t="shared" si="80"/>
        <v>0</v>
      </c>
      <c r="BS302" s="193">
        <f t="shared" si="81"/>
        <v>0</v>
      </c>
      <c r="BT302" s="193">
        <f t="shared" si="81"/>
        <v>0</v>
      </c>
    </row>
    <row r="303" spans="1:72" ht="13.5" customHeight="1">
      <c r="A303" s="193" t="s">
        <v>378</v>
      </c>
      <c r="B303" s="193" t="s">
        <v>379</v>
      </c>
      <c r="C303" s="193" t="s">
        <v>214</v>
      </c>
      <c r="D303" s="193" t="s">
        <v>1165</v>
      </c>
      <c r="E303" s="193" t="s">
        <v>1166</v>
      </c>
      <c r="F303" s="193" t="s">
        <v>919</v>
      </c>
      <c r="G303" s="193" t="s">
        <v>919</v>
      </c>
      <c r="H303" s="193" t="s">
        <v>1168</v>
      </c>
      <c r="I303" s="193" t="s">
        <v>512</v>
      </c>
      <c r="J303" s="193" t="s">
        <v>1251</v>
      </c>
      <c r="K303" s="193" t="s">
        <v>386</v>
      </c>
      <c r="L303" s="193" t="s">
        <v>387</v>
      </c>
      <c r="M303" s="193" t="s">
        <v>378</v>
      </c>
      <c r="N303" s="193" t="s">
        <v>1170</v>
      </c>
      <c r="O303" s="193" t="s">
        <v>129</v>
      </c>
      <c r="P303" s="193" t="s">
        <v>150</v>
      </c>
      <c r="Q303" s="193" t="s">
        <v>149</v>
      </c>
      <c r="R303" s="193" t="s">
        <v>148</v>
      </c>
      <c r="S303" s="193" t="s">
        <v>147</v>
      </c>
      <c r="T303" s="193" t="s">
        <v>389</v>
      </c>
      <c r="U303" s="193" t="s">
        <v>390</v>
      </c>
      <c r="V303" s="193">
        <v>0</v>
      </c>
      <c r="W303" s="193">
        <v>0</v>
      </c>
      <c r="X303" s="193">
        <v>0</v>
      </c>
      <c r="Y303" s="194">
        <v>4000</v>
      </c>
      <c r="Z303" s="193" t="s">
        <v>515</v>
      </c>
      <c r="AA303" s="193" t="s">
        <v>516</v>
      </c>
      <c r="AB303" s="193">
        <v>4000</v>
      </c>
      <c r="AC303" s="193" t="s">
        <v>1171</v>
      </c>
      <c r="AD303" s="193" t="s">
        <v>147</v>
      </c>
      <c r="AE303" s="193">
        <v>4000</v>
      </c>
      <c r="AF303" s="193" t="s">
        <v>518</v>
      </c>
      <c r="AG303" s="193" t="s">
        <v>519</v>
      </c>
      <c r="AH303" s="193">
        <v>0</v>
      </c>
      <c r="AI303" s="193">
        <v>4000</v>
      </c>
      <c r="AJ303" s="193" t="s">
        <v>1252</v>
      </c>
      <c r="AL303" s="197" t="s">
        <v>1253</v>
      </c>
      <c r="AM303" s="193">
        <v>1</v>
      </c>
      <c r="AN303" s="193">
        <v>0</v>
      </c>
      <c r="AO303" s="193">
        <v>0</v>
      </c>
      <c r="AP303" s="193">
        <v>0</v>
      </c>
      <c r="AQ303" s="193" t="s">
        <v>214</v>
      </c>
      <c r="AS303" s="197" t="s">
        <v>518</v>
      </c>
      <c r="AT303" s="197" t="s">
        <v>519</v>
      </c>
      <c r="AV303" s="194">
        <v>0</v>
      </c>
      <c r="AW303" s="194">
        <v>0</v>
      </c>
      <c r="AX303" s="194">
        <v>0</v>
      </c>
      <c r="AY303" s="549">
        <v>0</v>
      </c>
      <c r="AZ303" s="194">
        <v>2000</v>
      </c>
      <c r="BA303" s="194">
        <v>2000</v>
      </c>
      <c r="BB303" s="551">
        <v>4000</v>
      </c>
      <c r="BC303" s="551">
        <v>4000</v>
      </c>
      <c r="BD303" s="551">
        <v>0</v>
      </c>
      <c r="BF303" s="550">
        <f t="shared" si="71"/>
        <v>0</v>
      </c>
      <c r="BG303" s="550">
        <f t="shared" si="72"/>
        <v>0</v>
      </c>
      <c r="BH303" s="550">
        <f t="shared" si="73"/>
        <v>0</v>
      </c>
      <c r="BI303" s="550">
        <f t="shared" si="74"/>
        <v>0</v>
      </c>
      <c r="BJ303" s="550">
        <f t="shared" si="75"/>
        <v>2000</v>
      </c>
      <c r="BK303" s="550">
        <f t="shared" si="76"/>
        <v>2000</v>
      </c>
      <c r="BL303" s="550">
        <f t="shared" si="77"/>
        <v>4000</v>
      </c>
      <c r="BM303" s="550">
        <f t="shared" si="78"/>
        <v>4000</v>
      </c>
      <c r="BO303" s="194"/>
      <c r="BQ303" s="193">
        <f t="shared" si="79"/>
        <v>0</v>
      </c>
      <c r="BR303" s="193">
        <f t="shared" si="80"/>
        <v>0</v>
      </c>
      <c r="BS303" s="193">
        <f t="shared" si="81"/>
        <v>0</v>
      </c>
      <c r="BT303" s="193">
        <f t="shared" si="81"/>
        <v>0</v>
      </c>
    </row>
    <row r="304" spans="1:72" ht="13.5" customHeight="1">
      <c r="A304" s="193" t="s">
        <v>378</v>
      </c>
      <c r="B304" s="193" t="s">
        <v>379</v>
      </c>
      <c r="C304" s="193" t="s">
        <v>214</v>
      </c>
      <c r="D304" s="193" t="s">
        <v>1165</v>
      </c>
      <c r="E304" s="193" t="s">
        <v>1166</v>
      </c>
      <c r="F304" s="193" t="s">
        <v>1400</v>
      </c>
      <c r="G304" s="193" t="s">
        <v>1400</v>
      </c>
      <c r="H304" s="193" t="s">
        <v>1325</v>
      </c>
      <c r="I304" s="193" t="s">
        <v>512</v>
      </c>
      <c r="J304" s="193" t="s">
        <v>1401</v>
      </c>
      <c r="K304" s="193" t="s">
        <v>386</v>
      </c>
      <c r="L304" s="193" t="s">
        <v>387</v>
      </c>
      <c r="M304" s="193" t="s">
        <v>378</v>
      </c>
      <c r="N304" s="193" t="s">
        <v>1170</v>
      </c>
      <c r="O304" s="193" t="s">
        <v>129</v>
      </c>
      <c r="P304" s="193" t="s">
        <v>150</v>
      </c>
      <c r="Q304" s="193" t="s">
        <v>149</v>
      </c>
      <c r="R304" s="193" t="s">
        <v>148</v>
      </c>
      <c r="S304" s="193" t="s">
        <v>147</v>
      </c>
      <c r="T304" s="193" t="s">
        <v>389</v>
      </c>
      <c r="U304" s="193" t="s">
        <v>390</v>
      </c>
      <c r="V304" s="193">
        <v>0</v>
      </c>
      <c r="W304" s="193">
        <v>0</v>
      </c>
      <c r="X304" s="193">
        <v>0</v>
      </c>
      <c r="Y304" s="194">
        <v>4000</v>
      </c>
      <c r="Z304" s="193" t="s">
        <v>515</v>
      </c>
      <c r="AA304" s="193" t="s">
        <v>516</v>
      </c>
      <c r="AB304" s="193">
        <v>4000</v>
      </c>
      <c r="AC304" s="193" t="s">
        <v>1171</v>
      </c>
      <c r="AD304" s="193" t="s">
        <v>147</v>
      </c>
      <c r="AE304" s="193">
        <v>4000</v>
      </c>
      <c r="AF304" s="193" t="s">
        <v>518</v>
      </c>
      <c r="AG304" s="193" t="s">
        <v>519</v>
      </c>
      <c r="AH304" s="193">
        <v>0</v>
      </c>
      <c r="AI304" s="193">
        <v>4000</v>
      </c>
      <c r="AJ304" s="193" t="s">
        <v>1402</v>
      </c>
      <c r="AL304" s="197" t="s">
        <v>1403</v>
      </c>
      <c r="AM304" s="193">
        <v>1</v>
      </c>
      <c r="AN304" s="193">
        <v>0</v>
      </c>
      <c r="AO304" s="193">
        <v>0</v>
      </c>
      <c r="AP304" s="193">
        <v>0</v>
      </c>
      <c r="AQ304" s="193" t="s">
        <v>214</v>
      </c>
      <c r="AS304" s="197" t="s">
        <v>518</v>
      </c>
      <c r="AT304" s="197" t="s">
        <v>519</v>
      </c>
      <c r="AV304" s="194">
        <v>0</v>
      </c>
      <c r="AW304" s="194">
        <v>0</v>
      </c>
      <c r="AX304" s="194">
        <v>0</v>
      </c>
      <c r="AY304" s="549">
        <v>0</v>
      </c>
      <c r="AZ304" s="194">
        <v>2000</v>
      </c>
      <c r="BA304" s="194">
        <v>2000</v>
      </c>
      <c r="BB304" s="551">
        <v>4000</v>
      </c>
      <c r="BC304" s="551">
        <v>4000</v>
      </c>
      <c r="BD304" s="551">
        <v>0</v>
      </c>
      <c r="BF304" s="550">
        <f t="shared" si="71"/>
        <v>0</v>
      </c>
      <c r="BG304" s="550">
        <f t="shared" si="72"/>
        <v>0</v>
      </c>
      <c r="BH304" s="550">
        <f t="shared" si="73"/>
        <v>0</v>
      </c>
      <c r="BI304" s="550">
        <f t="shared" si="74"/>
        <v>0</v>
      </c>
      <c r="BJ304" s="550">
        <f t="shared" si="75"/>
        <v>2000</v>
      </c>
      <c r="BK304" s="550">
        <f t="shared" si="76"/>
        <v>2000</v>
      </c>
      <c r="BL304" s="550">
        <f t="shared" si="77"/>
        <v>4000</v>
      </c>
      <c r="BM304" s="550">
        <f t="shared" si="78"/>
        <v>4000</v>
      </c>
      <c r="BO304" s="194"/>
      <c r="BQ304" s="193">
        <f t="shared" si="79"/>
        <v>0</v>
      </c>
      <c r="BR304" s="193">
        <f t="shared" si="80"/>
        <v>0</v>
      </c>
      <c r="BS304" s="193">
        <f t="shared" si="81"/>
        <v>0</v>
      </c>
      <c r="BT304" s="193">
        <f t="shared" si="81"/>
        <v>0</v>
      </c>
    </row>
    <row r="305" spans="1:72" ht="13.5" customHeight="1">
      <c r="A305" s="193" t="s">
        <v>378</v>
      </c>
      <c r="B305" s="193" t="s">
        <v>379</v>
      </c>
      <c r="C305" s="193" t="s">
        <v>214</v>
      </c>
      <c r="D305" s="193" t="s">
        <v>1165</v>
      </c>
      <c r="E305" s="193" t="s">
        <v>1166</v>
      </c>
      <c r="F305" s="193" t="s">
        <v>431</v>
      </c>
      <c r="G305" s="193" t="s">
        <v>431</v>
      </c>
      <c r="H305" s="193" t="s">
        <v>1325</v>
      </c>
      <c r="I305" s="193" t="s">
        <v>512</v>
      </c>
      <c r="J305" s="193" t="s">
        <v>1404</v>
      </c>
      <c r="K305" s="193" t="s">
        <v>386</v>
      </c>
      <c r="L305" s="193" t="s">
        <v>387</v>
      </c>
      <c r="M305" s="193" t="s">
        <v>378</v>
      </c>
      <c r="N305" s="193" t="s">
        <v>1170</v>
      </c>
      <c r="O305" s="193" t="s">
        <v>129</v>
      </c>
      <c r="P305" s="193" t="s">
        <v>150</v>
      </c>
      <c r="Q305" s="193" t="s">
        <v>149</v>
      </c>
      <c r="R305" s="193" t="s">
        <v>148</v>
      </c>
      <c r="S305" s="193" t="s">
        <v>147</v>
      </c>
      <c r="T305" s="193" t="s">
        <v>389</v>
      </c>
      <c r="U305" s="193" t="s">
        <v>390</v>
      </c>
      <c r="V305" s="193">
        <v>0</v>
      </c>
      <c r="W305" s="193">
        <v>0</v>
      </c>
      <c r="X305" s="193">
        <v>0</v>
      </c>
      <c r="Y305" s="194">
        <v>4000</v>
      </c>
      <c r="Z305" s="193" t="s">
        <v>515</v>
      </c>
      <c r="AA305" s="193" t="s">
        <v>516</v>
      </c>
      <c r="AB305" s="193">
        <v>4000</v>
      </c>
      <c r="AC305" s="193" t="s">
        <v>1171</v>
      </c>
      <c r="AD305" s="193" t="s">
        <v>147</v>
      </c>
      <c r="AE305" s="193">
        <v>4000</v>
      </c>
      <c r="AF305" s="193" t="s">
        <v>518</v>
      </c>
      <c r="AG305" s="193" t="s">
        <v>519</v>
      </c>
      <c r="AH305" s="193">
        <v>0</v>
      </c>
      <c r="AI305" s="193">
        <v>4000</v>
      </c>
      <c r="AJ305" s="193" t="s">
        <v>1405</v>
      </c>
      <c r="AL305" s="197" t="s">
        <v>1406</v>
      </c>
      <c r="AM305" s="193">
        <v>1</v>
      </c>
      <c r="AN305" s="193">
        <v>0</v>
      </c>
      <c r="AO305" s="193">
        <v>0</v>
      </c>
      <c r="AP305" s="193">
        <v>0</v>
      </c>
      <c r="AQ305" s="193" t="s">
        <v>214</v>
      </c>
      <c r="AS305" s="197" t="s">
        <v>518</v>
      </c>
      <c r="AT305" s="197" t="s">
        <v>519</v>
      </c>
      <c r="AV305" s="196">
        <v>0</v>
      </c>
      <c r="AW305" s="196">
        <v>0</v>
      </c>
      <c r="AX305" s="196">
        <v>0</v>
      </c>
      <c r="AY305" s="550">
        <v>0</v>
      </c>
      <c r="AZ305" s="196">
        <v>2000</v>
      </c>
      <c r="BA305" s="196">
        <v>2000</v>
      </c>
      <c r="BB305" s="551">
        <v>4000</v>
      </c>
      <c r="BC305" s="551">
        <v>4000</v>
      </c>
      <c r="BD305" s="551">
        <v>0</v>
      </c>
      <c r="BF305" s="550">
        <f t="shared" si="71"/>
        <v>0</v>
      </c>
      <c r="BG305" s="550">
        <f t="shared" si="72"/>
        <v>0</v>
      </c>
      <c r="BH305" s="550">
        <f t="shared" si="73"/>
        <v>0</v>
      </c>
      <c r="BI305" s="550">
        <f t="shared" si="74"/>
        <v>0</v>
      </c>
      <c r="BJ305" s="550">
        <f t="shared" si="75"/>
        <v>2000</v>
      </c>
      <c r="BK305" s="550">
        <f t="shared" si="76"/>
        <v>2000</v>
      </c>
      <c r="BL305" s="550">
        <f t="shared" si="77"/>
        <v>4000</v>
      </c>
      <c r="BM305" s="550">
        <f t="shared" si="78"/>
        <v>4000</v>
      </c>
      <c r="BO305" s="194"/>
      <c r="BQ305" s="193">
        <f t="shared" si="79"/>
        <v>0</v>
      </c>
      <c r="BR305" s="193">
        <f t="shared" si="80"/>
        <v>0</v>
      </c>
      <c r="BS305" s="193">
        <f t="shared" si="81"/>
        <v>0</v>
      </c>
      <c r="BT305" s="193">
        <f t="shared" si="81"/>
        <v>0</v>
      </c>
    </row>
    <row r="306" spans="1:72" ht="13.5" customHeight="1">
      <c r="A306" s="193" t="s">
        <v>378</v>
      </c>
      <c r="B306" s="193" t="s">
        <v>379</v>
      </c>
      <c r="C306" s="193" t="s">
        <v>214</v>
      </c>
      <c r="D306" s="193" t="s">
        <v>1165</v>
      </c>
      <c r="E306" s="193" t="s">
        <v>1166</v>
      </c>
      <c r="F306" s="193" t="s">
        <v>1013</v>
      </c>
      <c r="G306" s="193" t="s">
        <v>1013</v>
      </c>
      <c r="H306" s="193" t="s">
        <v>1168</v>
      </c>
      <c r="I306" s="193" t="s">
        <v>512</v>
      </c>
      <c r="J306" s="193" t="s">
        <v>1407</v>
      </c>
      <c r="K306" s="193" t="s">
        <v>386</v>
      </c>
      <c r="L306" s="193" t="s">
        <v>387</v>
      </c>
      <c r="M306" s="193" t="s">
        <v>378</v>
      </c>
      <c r="N306" s="193" t="s">
        <v>1170</v>
      </c>
      <c r="O306" s="193" t="s">
        <v>129</v>
      </c>
      <c r="P306" s="193" t="s">
        <v>150</v>
      </c>
      <c r="Q306" s="193" t="s">
        <v>149</v>
      </c>
      <c r="R306" s="193" t="s">
        <v>148</v>
      </c>
      <c r="S306" s="193" t="s">
        <v>147</v>
      </c>
      <c r="T306" s="193" t="s">
        <v>389</v>
      </c>
      <c r="U306" s="193" t="s">
        <v>390</v>
      </c>
      <c r="V306" s="193">
        <v>0</v>
      </c>
      <c r="W306" s="193">
        <v>0</v>
      </c>
      <c r="X306" s="193">
        <v>0</v>
      </c>
      <c r="Y306" s="194">
        <v>8000</v>
      </c>
      <c r="Z306" s="193" t="s">
        <v>515</v>
      </c>
      <c r="AA306" s="193" t="s">
        <v>516</v>
      </c>
      <c r="AB306" s="193">
        <v>8000</v>
      </c>
      <c r="AC306" s="193" t="s">
        <v>1171</v>
      </c>
      <c r="AD306" s="193" t="s">
        <v>147</v>
      </c>
      <c r="AE306" s="193">
        <v>8000</v>
      </c>
      <c r="AF306" s="193" t="s">
        <v>518</v>
      </c>
      <c r="AG306" s="193" t="s">
        <v>519</v>
      </c>
      <c r="AH306" s="193">
        <v>0</v>
      </c>
      <c r="AI306" s="193">
        <v>8000</v>
      </c>
      <c r="AJ306" s="193" t="s">
        <v>1408</v>
      </c>
      <c r="AL306" s="197" t="s">
        <v>1409</v>
      </c>
      <c r="AM306" s="193">
        <v>1</v>
      </c>
      <c r="AN306" s="193">
        <v>0</v>
      </c>
      <c r="AO306" s="193">
        <v>0</v>
      </c>
      <c r="AP306" s="193">
        <v>0</v>
      </c>
      <c r="AQ306" s="193" t="s">
        <v>214</v>
      </c>
      <c r="AS306" s="197" t="s">
        <v>518</v>
      </c>
      <c r="AT306" s="197" t="s">
        <v>519</v>
      </c>
      <c r="AV306" s="194">
        <v>0</v>
      </c>
      <c r="AW306" s="194">
        <v>0</v>
      </c>
      <c r="AX306" s="194">
        <v>0</v>
      </c>
      <c r="AY306" s="549">
        <v>0</v>
      </c>
      <c r="AZ306" s="194">
        <v>4000</v>
      </c>
      <c r="BA306" s="194">
        <v>4000</v>
      </c>
      <c r="BB306" s="551">
        <v>8000</v>
      </c>
      <c r="BC306" s="551">
        <v>8000</v>
      </c>
      <c r="BD306" s="551">
        <v>0</v>
      </c>
      <c r="BF306" s="550">
        <f t="shared" si="71"/>
        <v>0</v>
      </c>
      <c r="BG306" s="550">
        <f t="shared" si="72"/>
        <v>0</v>
      </c>
      <c r="BH306" s="550">
        <f t="shared" si="73"/>
        <v>0</v>
      </c>
      <c r="BI306" s="550">
        <f t="shared" si="74"/>
        <v>0</v>
      </c>
      <c r="BJ306" s="550">
        <f t="shared" si="75"/>
        <v>4000</v>
      </c>
      <c r="BK306" s="550">
        <f t="shared" si="76"/>
        <v>4000</v>
      </c>
      <c r="BL306" s="550">
        <f t="shared" si="77"/>
        <v>8000</v>
      </c>
      <c r="BM306" s="550">
        <f t="shared" si="78"/>
        <v>8000</v>
      </c>
      <c r="BO306" s="194"/>
      <c r="BQ306" s="193">
        <f t="shared" si="79"/>
        <v>0</v>
      </c>
      <c r="BR306" s="193">
        <f t="shared" si="80"/>
        <v>0</v>
      </c>
      <c r="BS306" s="193">
        <f t="shared" si="81"/>
        <v>0</v>
      </c>
      <c r="BT306" s="193">
        <f t="shared" si="81"/>
        <v>0</v>
      </c>
    </row>
    <row r="307" spans="1:72" ht="13.5" customHeight="1">
      <c r="A307" s="193" t="s">
        <v>378</v>
      </c>
      <c r="B307" s="193" t="s">
        <v>379</v>
      </c>
      <c r="C307" s="193" t="s">
        <v>214</v>
      </c>
      <c r="D307" s="193" t="s">
        <v>1165</v>
      </c>
      <c r="E307" s="193" t="s">
        <v>1166</v>
      </c>
      <c r="F307" s="193" t="s">
        <v>706</v>
      </c>
      <c r="G307" s="193" t="s">
        <v>706</v>
      </c>
      <c r="H307" s="193" t="s">
        <v>1325</v>
      </c>
      <c r="I307" s="193" t="s">
        <v>512</v>
      </c>
      <c r="J307" s="193" t="s">
        <v>1410</v>
      </c>
      <c r="K307" s="193" t="s">
        <v>386</v>
      </c>
      <c r="L307" s="193" t="s">
        <v>387</v>
      </c>
      <c r="M307" s="193" t="s">
        <v>378</v>
      </c>
      <c r="N307" s="193" t="s">
        <v>1170</v>
      </c>
      <c r="O307" s="193" t="s">
        <v>129</v>
      </c>
      <c r="P307" s="193" t="s">
        <v>150</v>
      </c>
      <c r="Q307" s="193" t="s">
        <v>149</v>
      </c>
      <c r="R307" s="193" t="s">
        <v>148</v>
      </c>
      <c r="S307" s="193" t="s">
        <v>147</v>
      </c>
      <c r="T307" s="193" t="s">
        <v>389</v>
      </c>
      <c r="U307" s="193" t="s">
        <v>390</v>
      </c>
      <c r="V307" s="193">
        <v>0</v>
      </c>
      <c r="W307" s="193">
        <v>0</v>
      </c>
      <c r="X307" s="193">
        <v>0</v>
      </c>
      <c r="Y307" s="194">
        <v>8000</v>
      </c>
      <c r="Z307" s="193" t="s">
        <v>515</v>
      </c>
      <c r="AA307" s="193" t="s">
        <v>516</v>
      </c>
      <c r="AB307" s="193">
        <v>8000</v>
      </c>
      <c r="AC307" s="193" t="s">
        <v>1171</v>
      </c>
      <c r="AD307" s="193" t="s">
        <v>147</v>
      </c>
      <c r="AE307" s="193">
        <v>8000</v>
      </c>
      <c r="AF307" s="193" t="s">
        <v>518</v>
      </c>
      <c r="AG307" s="193" t="s">
        <v>519</v>
      </c>
      <c r="AH307" s="193">
        <v>0</v>
      </c>
      <c r="AI307" s="193">
        <v>8000</v>
      </c>
      <c r="AJ307" s="193" t="s">
        <v>1411</v>
      </c>
      <c r="AL307" s="197" t="s">
        <v>1412</v>
      </c>
      <c r="AM307" s="193">
        <v>1</v>
      </c>
      <c r="AN307" s="193">
        <v>0</v>
      </c>
      <c r="AO307" s="193">
        <v>0</v>
      </c>
      <c r="AP307" s="193">
        <v>0</v>
      </c>
      <c r="AQ307" s="193" t="s">
        <v>214</v>
      </c>
      <c r="AS307" s="197" t="s">
        <v>518</v>
      </c>
      <c r="AT307" s="197" t="s">
        <v>519</v>
      </c>
      <c r="AV307" s="194">
        <v>0</v>
      </c>
      <c r="AW307" s="194">
        <v>0</v>
      </c>
      <c r="AX307" s="194">
        <v>0</v>
      </c>
      <c r="AY307" s="549">
        <v>0</v>
      </c>
      <c r="AZ307" s="194">
        <v>4000</v>
      </c>
      <c r="BA307" s="194">
        <v>4000</v>
      </c>
      <c r="BB307" s="551">
        <v>8000</v>
      </c>
      <c r="BC307" s="551">
        <v>8000</v>
      </c>
      <c r="BD307" s="551">
        <v>0</v>
      </c>
      <c r="BF307" s="550">
        <f t="shared" si="71"/>
        <v>0</v>
      </c>
      <c r="BG307" s="550">
        <f t="shared" si="72"/>
        <v>0</v>
      </c>
      <c r="BH307" s="550">
        <f t="shared" si="73"/>
        <v>0</v>
      </c>
      <c r="BI307" s="550">
        <f t="shared" si="74"/>
        <v>0</v>
      </c>
      <c r="BJ307" s="550">
        <f t="shared" si="75"/>
        <v>4000</v>
      </c>
      <c r="BK307" s="550">
        <f t="shared" si="76"/>
        <v>4000</v>
      </c>
      <c r="BL307" s="550">
        <f t="shared" si="77"/>
        <v>8000</v>
      </c>
      <c r="BM307" s="550">
        <f t="shared" si="78"/>
        <v>8000</v>
      </c>
      <c r="BO307" s="194"/>
      <c r="BQ307" s="193">
        <f t="shared" si="79"/>
        <v>0</v>
      </c>
      <c r="BR307" s="193">
        <f t="shared" si="80"/>
        <v>0</v>
      </c>
      <c r="BS307" s="193">
        <f t="shared" si="81"/>
        <v>0</v>
      </c>
      <c r="BT307" s="193">
        <f t="shared" si="81"/>
        <v>0</v>
      </c>
    </row>
    <row r="308" spans="1:72" ht="13.5" customHeight="1">
      <c r="A308" s="193" t="s">
        <v>378</v>
      </c>
      <c r="B308" s="193" t="s">
        <v>379</v>
      </c>
      <c r="C308" s="193" t="s">
        <v>214</v>
      </c>
      <c r="D308" s="193" t="s">
        <v>1165</v>
      </c>
      <c r="E308" s="193" t="s">
        <v>1166</v>
      </c>
      <c r="F308" s="193" t="s">
        <v>702</v>
      </c>
      <c r="G308" s="193" t="s">
        <v>702</v>
      </c>
      <c r="H308" s="193" t="s">
        <v>1325</v>
      </c>
      <c r="I308" s="193" t="s">
        <v>512</v>
      </c>
      <c r="J308" s="193" t="s">
        <v>1413</v>
      </c>
      <c r="K308" s="193" t="s">
        <v>386</v>
      </c>
      <c r="L308" s="193" t="s">
        <v>387</v>
      </c>
      <c r="M308" s="193" t="s">
        <v>378</v>
      </c>
      <c r="N308" s="193" t="s">
        <v>1170</v>
      </c>
      <c r="O308" s="193" t="s">
        <v>129</v>
      </c>
      <c r="P308" s="193" t="s">
        <v>150</v>
      </c>
      <c r="Q308" s="193" t="s">
        <v>149</v>
      </c>
      <c r="R308" s="193" t="s">
        <v>148</v>
      </c>
      <c r="S308" s="193" t="s">
        <v>147</v>
      </c>
      <c r="T308" s="193" t="s">
        <v>389</v>
      </c>
      <c r="U308" s="193" t="s">
        <v>390</v>
      </c>
      <c r="V308" s="193">
        <v>0</v>
      </c>
      <c r="W308" s="193">
        <v>0</v>
      </c>
      <c r="X308" s="193">
        <v>0</v>
      </c>
      <c r="Y308" s="194">
        <v>4000</v>
      </c>
      <c r="Z308" s="193" t="s">
        <v>515</v>
      </c>
      <c r="AA308" s="193" t="s">
        <v>516</v>
      </c>
      <c r="AB308" s="193">
        <v>4000</v>
      </c>
      <c r="AC308" s="193" t="s">
        <v>1171</v>
      </c>
      <c r="AD308" s="193" t="s">
        <v>147</v>
      </c>
      <c r="AE308" s="193">
        <v>4000</v>
      </c>
      <c r="AF308" s="193" t="s">
        <v>518</v>
      </c>
      <c r="AG308" s="193" t="s">
        <v>519</v>
      </c>
      <c r="AH308" s="193">
        <v>0</v>
      </c>
      <c r="AI308" s="193">
        <v>4000</v>
      </c>
      <c r="AJ308" s="193" t="s">
        <v>1414</v>
      </c>
      <c r="AL308" s="197" t="s">
        <v>1415</v>
      </c>
      <c r="AM308" s="193">
        <v>1</v>
      </c>
      <c r="AN308" s="193">
        <v>0</v>
      </c>
      <c r="AO308" s="193">
        <v>0</v>
      </c>
      <c r="AP308" s="193">
        <v>0</v>
      </c>
      <c r="AQ308" s="193" t="s">
        <v>214</v>
      </c>
      <c r="AS308" s="197" t="s">
        <v>518</v>
      </c>
      <c r="AT308" s="197" t="s">
        <v>519</v>
      </c>
      <c r="AV308" s="194">
        <v>0</v>
      </c>
      <c r="AW308" s="194">
        <v>0</v>
      </c>
      <c r="AX308" s="194">
        <v>0</v>
      </c>
      <c r="AY308" s="549">
        <v>0</v>
      </c>
      <c r="AZ308" s="194">
        <v>2000</v>
      </c>
      <c r="BA308" s="194">
        <v>2000</v>
      </c>
      <c r="BB308" s="551">
        <v>4000</v>
      </c>
      <c r="BC308" s="551">
        <v>4000</v>
      </c>
      <c r="BD308" s="551">
        <v>0</v>
      </c>
      <c r="BF308" s="550">
        <f t="shared" si="71"/>
        <v>0</v>
      </c>
      <c r="BG308" s="550">
        <f t="shared" si="72"/>
        <v>0</v>
      </c>
      <c r="BH308" s="550">
        <f t="shared" si="73"/>
        <v>0</v>
      </c>
      <c r="BI308" s="550">
        <f t="shared" si="74"/>
        <v>0</v>
      </c>
      <c r="BJ308" s="550">
        <f t="shared" si="75"/>
        <v>2000</v>
      </c>
      <c r="BK308" s="550">
        <f t="shared" si="76"/>
        <v>2000</v>
      </c>
      <c r="BL308" s="550">
        <f t="shared" si="77"/>
        <v>4000</v>
      </c>
      <c r="BM308" s="550">
        <f t="shared" si="78"/>
        <v>4000</v>
      </c>
      <c r="BO308" s="194"/>
      <c r="BQ308" s="193">
        <f t="shared" si="79"/>
        <v>0</v>
      </c>
      <c r="BR308" s="193">
        <f t="shared" si="80"/>
        <v>0</v>
      </c>
      <c r="BS308" s="193">
        <f t="shared" si="81"/>
        <v>0</v>
      </c>
      <c r="BT308" s="193">
        <f t="shared" si="81"/>
        <v>0</v>
      </c>
    </row>
    <row r="309" spans="1:72" ht="13.5" customHeight="1">
      <c r="A309" s="193" t="s">
        <v>378</v>
      </c>
      <c r="B309" s="193" t="s">
        <v>379</v>
      </c>
      <c r="C309" s="193" t="s">
        <v>214</v>
      </c>
      <c r="D309" s="193" t="s">
        <v>1165</v>
      </c>
      <c r="E309" s="193" t="s">
        <v>1166</v>
      </c>
      <c r="F309" s="193" t="s">
        <v>1416</v>
      </c>
      <c r="G309" s="193" t="s">
        <v>1416</v>
      </c>
      <c r="H309" s="193" t="s">
        <v>1325</v>
      </c>
      <c r="I309" s="193" t="s">
        <v>512</v>
      </c>
      <c r="J309" s="193" t="s">
        <v>1417</v>
      </c>
      <c r="K309" s="193" t="s">
        <v>386</v>
      </c>
      <c r="L309" s="193" t="s">
        <v>387</v>
      </c>
      <c r="M309" s="193" t="s">
        <v>378</v>
      </c>
      <c r="N309" s="193" t="s">
        <v>1170</v>
      </c>
      <c r="O309" s="193" t="s">
        <v>129</v>
      </c>
      <c r="P309" s="193" t="s">
        <v>150</v>
      </c>
      <c r="Q309" s="193" t="s">
        <v>149</v>
      </c>
      <c r="R309" s="193" t="s">
        <v>148</v>
      </c>
      <c r="S309" s="193" t="s">
        <v>147</v>
      </c>
      <c r="T309" s="193" t="s">
        <v>389</v>
      </c>
      <c r="U309" s="193" t="s">
        <v>390</v>
      </c>
      <c r="V309" s="193">
        <v>0</v>
      </c>
      <c r="W309" s="193">
        <v>0</v>
      </c>
      <c r="X309" s="193">
        <v>0</v>
      </c>
      <c r="Y309" s="194">
        <v>4000</v>
      </c>
      <c r="Z309" s="193" t="s">
        <v>515</v>
      </c>
      <c r="AA309" s="193" t="s">
        <v>516</v>
      </c>
      <c r="AB309" s="193">
        <v>4000</v>
      </c>
      <c r="AC309" s="193" t="s">
        <v>1171</v>
      </c>
      <c r="AD309" s="193" t="s">
        <v>147</v>
      </c>
      <c r="AE309" s="193">
        <v>4000</v>
      </c>
      <c r="AF309" s="193" t="s">
        <v>518</v>
      </c>
      <c r="AG309" s="193" t="s">
        <v>519</v>
      </c>
      <c r="AH309" s="193">
        <v>0</v>
      </c>
      <c r="AI309" s="193">
        <v>4000</v>
      </c>
      <c r="AJ309" s="193" t="s">
        <v>1418</v>
      </c>
      <c r="AL309" s="197" t="s">
        <v>1419</v>
      </c>
      <c r="AM309" s="193">
        <v>1</v>
      </c>
      <c r="AN309" s="193">
        <v>0</v>
      </c>
      <c r="AO309" s="193">
        <v>0</v>
      </c>
      <c r="AP309" s="193">
        <v>0</v>
      </c>
      <c r="AQ309" s="193" t="s">
        <v>214</v>
      </c>
      <c r="AS309" s="197" t="s">
        <v>518</v>
      </c>
      <c r="AT309" s="197" t="s">
        <v>519</v>
      </c>
      <c r="AV309" s="194">
        <v>0</v>
      </c>
      <c r="AW309" s="194">
        <v>0</v>
      </c>
      <c r="AX309" s="194">
        <v>0</v>
      </c>
      <c r="AY309" s="549">
        <v>0</v>
      </c>
      <c r="AZ309" s="194">
        <v>2000</v>
      </c>
      <c r="BA309" s="194">
        <v>2000</v>
      </c>
      <c r="BB309" s="551">
        <v>4000</v>
      </c>
      <c r="BC309" s="551">
        <v>4000</v>
      </c>
      <c r="BD309" s="551">
        <v>0</v>
      </c>
      <c r="BF309" s="550">
        <f t="shared" si="71"/>
        <v>0</v>
      </c>
      <c r="BG309" s="550">
        <f t="shared" si="72"/>
        <v>0</v>
      </c>
      <c r="BH309" s="550">
        <f t="shared" si="73"/>
        <v>0</v>
      </c>
      <c r="BI309" s="550">
        <f t="shared" si="74"/>
        <v>0</v>
      </c>
      <c r="BJ309" s="550">
        <f t="shared" si="75"/>
        <v>2000</v>
      </c>
      <c r="BK309" s="550">
        <f t="shared" si="76"/>
        <v>2000</v>
      </c>
      <c r="BL309" s="550">
        <f t="shared" si="77"/>
        <v>4000</v>
      </c>
      <c r="BM309" s="550">
        <f t="shared" si="78"/>
        <v>4000</v>
      </c>
      <c r="BO309" s="194"/>
      <c r="BQ309" s="193">
        <f t="shared" si="79"/>
        <v>0</v>
      </c>
      <c r="BR309" s="193">
        <f t="shared" si="80"/>
        <v>0</v>
      </c>
      <c r="BS309" s="193">
        <f t="shared" si="81"/>
        <v>0</v>
      </c>
      <c r="BT309" s="193">
        <f t="shared" si="81"/>
        <v>0</v>
      </c>
    </row>
    <row r="310" spans="1:72" ht="13.5" customHeight="1">
      <c r="A310" s="193" t="s">
        <v>378</v>
      </c>
      <c r="B310" s="193" t="s">
        <v>379</v>
      </c>
      <c r="C310" s="193" t="s">
        <v>214</v>
      </c>
      <c r="D310" s="193" t="s">
        <v>1165</v>
      </c>
      <c r="E310" s="193" t="s">
        <v>1166</v>
      </c>
      <c r="F310" s="193" t="s">
        <v>1396</v>
      </c>
      <c r="G310" s="193" t="s">
        <v>1396</v>
      </c>
      <c r="H310" s="193" t="s">
        <v>1168</v>
      </c>
      <c r="I310" s="193" t="s">
        <v>512</v>
      </c>
      <c r="J310" s="193" t="s">
        <v>1397</v>
      </c>
      <c r="K310" s="193" t="s">
        <v>386</v>
      </c>
      <c r="L310" s="193" t="s">
        <v>387</v>
      </c>
      <c r="M310" s="193" t="s">
        <v>378</v>
      </c>
      <c r="N310" s="193" t="s">
        <v>1170</v>
      </c>
      <c r="O310" s="193" t="s">
        <v>129</v>
      </c>
      <c r="P310" s="193" t="s">
        <v>150</v>
      </c>
      <c r="Q310" s="193" t="s">
        <v>149</v>
      </c>
      <c r="R310" s="193" t="s">
        <v>148</v>
      </c>
      <c r="S310" s="193" t="s">
        <v>147</v>
      </c>
      <c r="T310" s="193" t="s">
        <v>389</v>
      </c>
      <c r="U310" s="193" t="s">
        <v>390</v>
      </c>
      <c r="V310" s="193">
        <v>0</v>
      </c>
      <c r="W310" s="193">
        <v>0</v>
      </c>
      <c r="X310" s="193">
        <v>0</v>
      </c>
      <c r="Y310" s="194">
        <v>4000</v>
      </c>
      <c r="Z310" s="193" t="s">
        <v>515</v>
      </c>
      <c r="AA310" s="193" t="s">
        <v>516</v>
      </c>
      <c r="AB310" s="193">
        <v>4000</v>
      </c>
      <c r="AC310" s="193" t="s">
        <v>1171</v>
      </c>
      <c r="AD310" s="193" t="s">
        <v>147</v>
      </c>
      <c r="AE310" s="193">
        <v>4000</v>
      </c>
      <c r="AF310" s="193" t="s">
        <v>518</v>
      </c>
      <c r="AG310" s="193" t="s">
        <v>519</v>
      </c>
      <c r="AH310" s="193">
        <v>0</v>
      </c>
      <c r="AI310" s="193">
        <v>4000</v>
      </c>
      <c r="AJ310" s="193" t="s">
        <v>1398</v>
      </c>
      <c r="AL310" s="197" t="s">
        <v>1399</v>
      </c>
      <c r="AM310" s="193">
        <v>1</v>
      </c>
      <c r="AN310" s="193">
        <v>0</v>
      </c>
      <c r="AO310" s="193">
        <v>0</v>
      </c>
      <c r="AP310" s="193">
        <v>0</v>
      </c>
      <c r="AQ310" s="193" t="s">
        <v>214</v>
      </c>
      <c r="AS310" s="197" t="s">
        <v>518</v>
      </c>
      <c r="AT310" s="197" t="s">
        <v>519</v>
      </c>
      <c r="AV310" s="194">
        <v>0</v>
      </c>
      <c r="AW310" s="194">
        <v>0</v>
      </c>
      <c r="AX310" s="194">
        <v>0</v>
      </c>
      <c r="AY310" s="549">
        <v>0</v>
      </c>
      <c r="AZ310" s="194">
        <v>2000</v>
      </c>
      <c r="BA310" s="194">
        <v>2000</v>
      </c>
      <c r="BB310" s="551">
        <v>4000</v>
      </c>
      <c r="BC310" s="551">
        <v>4000</v>
      </c>
      <c r="BD310" s="551">
        <v>0</v>
      </c>
      <c r="BF310" s="550">
        <f t="shared" si="71"/>
        <v>0</v>
      </c>
      <c r="BG310" s="550">
        <f t="shared" si="72"/>
        <v>0</v>
      </c>
      <c r="BH310" s="550">
        <f t="shared" si="73"/>
        <v>0</v>
      </c>
      <c r="BI310" s="550">
        <f t="shared" si="74"/>
        <v>0</v>
      </c>
      <c r="BJ310" s="550">
        <f t="shared" si="75"/>
        <v>2000</v>
      </c>
      <c r="BK310" s="550">
        <f t="shared" si="76"/>
        <v>2000</v>
      </c>
      <c r="BL310" s="550">
        <f t="shared" si="77"/>
        <v>4000</v>
      </c>
      <c r="BM310" s="550">
        <f t="shared" si="78"/>
        <v>4000</v>
      </c>
      <c r="BO310" s="194"/>
      <c r="BQ310" s="193">
        <f t="shared" si="79"/>
        <v>0</v>
      </c>
      <c r="BR310" s="193">
        <f t="shared" si="80"/>
        <v>0</v>
      </c>
      <c r="BS310" s="193">
        <f t="shared" si="81"/>
        <v>0</v>
      </c>
      <c r="BT310" s="193">
        <f t="shared" si="81"/>
        <v>0</v>
      </c>
    </row>
    <row r="311" spans="1:72" ht="13.5" customHeight="1">
      <c r="A311" s="193" t="s">
        <v>378</v>
      </c>
      <c r="B311" s="193" t="s">
        <v>379</v>
      </c>
      <c r="C311" s="193" t="s">
        <v>214</v>
      </c>
      <c r="D311" s="193" t="s">
        <v>1165</v>
      </c>
      <c r="E311" s="193" t="s">
        <v>1166</v>
      </c>
      <c r="F311" s="193" t="s">
        <v>1433</v>
      </c>
      <c r="G311" s="193" t="s">
        <v>1433</v>
      </c>
      <c r="H311" s="193" t="s">
        <v>1325</v>
      </c>
      <c r="I311" s="193" t="s">
        <v>512</v>
      </c>
      <c r="J311" s="193" t="s">
        <v>1434</v>
      </c>
      <c r="K311" s="193" t="s">
        <v>386</v>
      </c>
      <c r="L311" s="193" t="s">
        <v>387</v>
      </c>
      <c r="M311" s="193" t="s">
        <v>378</v>
      </c>
      <c r="N311" s="193" t="s">
        <v>1170</v>
      </c>
      <c r="O311" s="193" t="s">
        <v>129</v>
      </c>
      <c r="P311" s="193" t="s">
        <v>150</v>
      </c>
      <c r="Q311" s="193" t="s">
        <v>149</v>
      </c>
      <c r="R311" s="193" t="s">
        <v>148</v>
      </c>
      <c r="S311" s="193" t="s">
        <v>147</v>
      </c>
      <c r="T311" s="193" t="s">
        <v>389</v>
      </c>
      <c r="U311" s="193" t="s">
        <v>390</v>
      </c>
      <c r="V311" s="193">
        <v>0</v>
      </c>
      <c r="W311" s="193">
        <v>0</v>
      </c>
      <c r="X311" s="193">
        <v>0</v>
      </c>
      <c r="Y311" s="555">
        <v>15000</v>
      </c>
      <c r="Z311" s="193" t="s">
        <v>515</v>
      </c>
      <c r="AA311" s="193" t="s">
        <v>516</v>
      </c>
      <c r="AB311" s="193">
        <v>15000</v>
      </c>
      <c r="AC311" s="193" t="s">
        <v>1171</v>
      </c>
      <c r="AD311" s="193" t="s">
        <v>147</v>
      </c>
      <c r="AE311" s="193">
        <v>15000</v>
      </c>
      <c r="AF311" s="193" t="s">
        <v>518</v>
      </c>
      <c r="AG311" s="193" t="s">
        <v>519</v>
      </c>
      <c r="AH311" s="193">
        <v>0</v>
      </c>
      <c r="AI311" s="193">
        <v>15000</v>
      </c>
      <c r="AJ311" s="193" t="s">
        <v>1435</v>
      </c>
      <c r="AL311" s="197" t="s">
        <v>1436</v>
      </c>
      <c r="AM311" s="193">
        <v>1</v>
      </c>
      <c r="AN311" s="193">
        <v>0</v>
      </c>
      <c r="AO311" s="193">
        <v>0</v>
      </c>
      <c r="AP311" s="193">
        <v>0</v>
      </c>
      <c r="AQ311" s="193" t="s">
        <v>214</v>
      </c>
      <c r="AS311" s="197" t="s">
        <v>518</v>
      </c>
      <c r="AT311" s="197" t="s">
        <v>519</v>
      </c>
      <c r="AV311" s="194">
        <v>0</v>
      </c>
      <c r="AW311" s="194">
        <v>0</v>
      </c>
      <c r="AX311" s="194">
        <v>0</v>
      </c>
      <c r="AY311" s="549">
        <v>0</v>
      </c>
      <c r="AZ311" s="194">
        <v>7500</v>
      </c>
      <c r="BA311" s="194">
        <v>7500</v>
      </c>
      <c r="BB311" s="551">
        <v>15000</v>
      </c>
      <c r="BC311" s="551">
        <v>15000</v>
      </c>
      <c r="BD311" s="551">
        <v>0</v>
      </c>
      <c r="BF311" s="550">
        <f t="shared" si="71"/>
        <v>0</v>
      </c>
      <c r="BG311" s="550">
        <f t="shared" si="72"/>
        <v>0</v>
      </c>
      <c r="BH311" s="550">
        <f t="shared" si="73"/>
        <v>0</v>
      </c>
      <c r="BI311" s="550">
        <f t="shared" si="74"/>
        <v>0</v>
      </c>
      <c r="BJ311" s="550">
        <f t="shared" si="75"/>
        <v>7500</v>
      </c>
      <c r="BK311" s="550">
        <f t="shared" si="76"/>
        <v>7500</v>
      </c>
      <c r="BL311" s="550">
        <f t="shared" si="77"/>
        <v>15000</v>
      </c>
      <c r="BM311" s="550">
        <f t="shared" si="78"/>
        <v>15000</v>
      </c>
      <c r="BO311" s="194"/>
      <c r="BQ311" s="193">
        <f t="shared" si="79"/>
        <v>0</v>
      </c>
      <c r="BR311" s="193">
        <f t="shared" si="80"/>
        <v>0</v>
      </c>
      <c r="BS311" s="193">
        <f t="shared" si="81"/>
        <v>0</v>
      </c>
      <c r="BT311" s="193">
        <f t="shared" si="81"/>
        <v>0</v>
      </c>
    </row>
    <row r="312" spans="1:72" ht="13.5" customHeight="1">
      <c r="A312" s="193" t="s">
        <v>378</v>
      </c>
      <c r="B312" s="193" t="s">
        <v>379</v>
      </c>
      <c r="C312" s="193" t="s">
        <v>214</v>
      </c>
      <c r="D312" s="193" t="s">
        <v>1165</v>
      </c>
      <c r="E312" s="193" t="s">
        <v>1166</v>
      </c>
      <c r="F312" s="193" t="s">
        <v>1437</v>
      </c>
      <c r="G312" s="193" t="s">
        <v>1437</v>
      </c>
      <c r="H312" s="193" t="s">
        <v>1168</v>
      </c>
      <c r="I312" s="193" t="s">
        <v>512</v>
      </c>
      <c r="J312" s="193" t="s">
        <v>1438</v>
      </c>
      <c r="K312" s="193" t="s">
        <v>386</v>
      </c>
      <c r="L312" s="193" t="s">
        <v>387</v>
      </c>
      <c r="M312" s="193" t="s">
        <v>378</v>
      </c>
      <c r="N312" s="193" t="s">
        <v>1170</v>
      </c>
      <c r="O312" s="193" t="s">
        <v>129</v>
      </c>
      <c r="P312" s="193" t="s">
        <v>150</v>
      </c>
      <c r="Q312" s="193" t="s">
        <v>149</v>
      </c>
      <c r="R312" s="193" t="s">
        <v>148</v>
      </c>
      <c r="S312" s="193" t="s">
        <v>147</v>
      </c>
      <c r="T312" s="193" t="s">
        <v>389</v>
      </c>
      <c r="U312" s="193" t="s">
        <v>390</v>
      </c>
      <c r="V312" s="193">
        <v>0</v>
      </c>
      <c r="W312" s="193">
        <v>0</v>
      </c>
      <c r="X312" s="193">
        <v>0</v>
      </c>
      <c r="Y312" s="194">
        <v>4000</v>
      </c>
      <c r="Z312" s="193" t="s">
        <v>515</v>
      </c>
      <c r="AA312" s="193" t="s">
        <v>516</v>
      </c>
      <c r="AB312" s="193">
        <v>4000</v>
      </c>
      <c r="AC312" s="193" t="s">
        <v>1171</v>
      </c>
      <c r="AD312" s="193" t="s">
        <v>147</v>
      </c>
      <c r="AE312" s="193">
        <v>4000</v>
      </c>
      <c r="AF312" s="193" t="s">
        <v>518</v>
      </c>
      <c r="AG312" s="193" t="s">
        <v>519</v>
      </c>
      <c r="AH312" s="193">
        <v>0</v>
      </c>
      <c r="AI312" s="193">
        <v>4000</v>
      </c>
      <c r="AJ312" s="193" t="s">
        <v>1439</v>
      </c>
      <c r="AL312" s="197" t="s">
        <v>1440</v>
      </c>
      <c r="AM312" s="193">
        <v>1</v>
      </c>
      <c r="AN312" s="193">
        <v>0</v>
      </c>
      <c r="AO312" s="193">
        <v>0</v>
      </c>
      <c r="AP312" s="193">
        <v>0</v>
      </c>
      <c r="AQ312" s="193" t="s">
        <v>214</v>
      </c>
      <c r="AS312" s="197" t="s">
        <v>518</v>
      </c>
      <c r="AT312" s="197" t="s">
        <v>519</v>
      </c>
      <c r="AV312" s="194">
        <v>0</v>
      </c>
      <c r="AW312" s="194">
        <v>0</v>
      </c>
      <c r="AX312" s="194">
        <v>0</v>
      </c>
      <c r="AY312" s="549">
        <v>0</v>
      </c>
      <c r="AZ312" s="194">
        <v>2000</v>
      </c>
      <c r="BA312" s="194">
        <v>2000</v>
      </c>
      <c r="BB312" s="551">
        <v>4000</v>
      </c>
      <c r="BC312" s="551">
        <v>4000</v>
      </c>
      <c r="BD312" s="551">
        <v>0</v>
      </c>
      <c r="BF312" s="550">
        <f t="shared" si="71"/>
        <v>0</v>
      </c>
      <c r="BG312" s="550">
        <f t="shared" si="72"/>
        <v>0</v>
      </c>
      <c r="BH312" s="550">
        <f t="shared" si="73"/>
        <v>0</v>
      </c>
      <c r="BI312" s="550">
        <f t="shared" si="74"/>
        <v>0</v>
      </c>
      <c r="BJ312" s="550">
        <f t="shared" si="75"/>
        <v>2000</v>
      </c>
      <c r="BK312" s="550">
        <f t="shared" si="76"/>
        <v>2000</v>
      </c>
      <c r="BL312" s="550">
        <f t="shared" si="77"/>
        <v>4000</v>
      </c>
      <c r="BM312" s="550">
        <f t="shared" si="78"/>
        <v>4000</v>
      </c>
      <c r="BO312" s="194"/>
      <c r="BQ312" s="193">
        <f t="shared" si="79"/>
        <v>0</v>
      </c>
      <c r="BR312" s="193">
        <f t="shared" si="80"/>
        <v>0</v>
      </c>
      <c r="BS312" s="193">
        <f t="shared" si="81"/>
        <v>0</v>
      </c>
      <c r="BT312" s="193">
        <f t="shared" si="81"/>
        <v>0</v>
      </c>
    </row>
    <row r="313" spans="1:72" ht="13.5" customHeight="1">
      <c r="A313" s="193" t="s">
        <v>378</v>
      </c>
      <c r="B313" s="193" t="s">
        <v>379</v>
      </c>
      <c r="C313" s="193" t="s">
        <v>214</v>
      </c>
      <c r="D313" s="193" t="s">
        <v>1165</v>
      </c>
      <c r="E313" s="193" t="s">
        <v>1166</v>
      </c>
      <c r="F313" s="193" t="s">
        <v>694</v>
      </c>
      <c r="G313" s="193" t="s">
        <v>694</v>
      </c>
      <c r="H313" s="193" t="s">
        <v>1325</v>
      </c>
      <c r="I313" s="193" t="s">
        <v>512</v>
      </c>
      <c r="J313" s="193" t="s">
        <v>1384</v>
      </c>
      <c r="K313" s="193" t="s">
        <v>386</v>
      </c>
      <c r="L313" s="193" t="s">
        <v>387</v>
      </c>
      <c r="M313" s="193" t="s">
        <v>378</v>
      </c>
      <c r="N313" s="193" t="s">
        <v>1170</v>
      </c>
      <c r="O313" s="193" t="s">
        <v>129</v>
      </c>
      <c r="P313" s="193" t="s">
        <v>150</v>
      </c>
      <c r="Q313" s="193" t="s">
        <v>149</v>
      </c>
      <c r="R313" s="193" t="s">
        <v>148</v>
      </c>
      <c r="S313" s="193" t="s">
        <v>147</v>
      </c>
      <c r="T313" s="193" t="s">
        <v>389</v>
      </c>
      <c r="U313" s="193" t="s">
        <v>390</v>
      </c>
      <c r="V313" s="193">
        <v>0</v>
      </c>
      <c r="W313" s="193">
        <v>0</v>
      </c>
      <c r="X313" s="193">
        <v>0</v>
      </c>
      <c r="Y313" s="194">
        <v>12000</v>
      </c>
      <c r="Z313" s="193" t="s">
        <v>515</v>
      </c>
      <c r="AA313" s="193" t="s">
        <v>516</v>
      </c>
      <c r="AB313" s="193">
        <v>12000</v>
      </c>
      <c r="AC313" s="193" t="s">
        <v>1171</v>
      </c>
      <c r="AD313" s="193" t="s">
        <v>147</v>
      </c>
      <c r="AE313" s="193">
        <v>12000</v>
      </c>
      <c r="AF313" s="193" t="s">
        <v>518</v>
      </c>
      <c r="AG313" s="193" t="s">
        <v>519</v>
      </c>
      <c r="AH313" s="193">
        <v>0</v>
      </c>
      <c r="AI313" s="193">
        <v>12000</v>
      </c>
      <c r="AJ313" s="193" t="s">
        <v>1385</v>
      </c>
      <c r="AL313" s="197" t="s">
        <v>1386</v>
      </c>
      <c r="AM313" s="193">
        <v>1</v>
      </c>
      <c r="AN313" s="193">
        <v>0</v>
      </c>
      <c r="AO313" s="193">
        <v>0</v>
      </c>
      <c r="AP313" s="193">
        <v>0</v>
      </c>
      <c r="AQ313" s="193" t="s">
        <v>214</v>
      </c>
      <c r="AS313" s="197" t="s">
        <v>518</v>
      </c>
      <c r="AT313" s="197" t="s">
        <v>519</v>
      </c>
      <c r="AV313" s="194">
        <v>0</v>
      </c>
      <c r="AW313" s="194">
        <v>0</v>
      </c>
      <c r="AX313" s="194">
        <v>0</v>
      </c>
      <c r="AY313" s="549">
        <v>0</v>
      </c>
      <c r="AZ313" s="194">
        <v>6000</v>
      </c>
      <c r="BA313" s="194">
        <v>6000</v>
      </c>
      <c r="BB313" s="551">
        <v>12000</v>
      </c>
      <c r="BC313" s="551">
        <v>12000</v>
      </c>
      <c r="BD313" s="551">
        <v>0</v>
      </c>
      <c r="BF313" s="550">
        <f t="shared" si="71"/>
        <v>0</v>
      </c>
      <c r="BG313" s="550">
        <f t="shared" si="72"/>
        <v>0</v>
      </c>
      <c r="BH313" s="550">
        <f t="shared" si="73"/>
        <v>0</v>
      </c>
      <c r="BI313" s="550">
        <f t="shared" si="74"/>
        <v>0</v>
      </c>
      <c r="BJ313" s="550">
        <f t="shared" si="75"/>
        <v>6000</v>
      </c>
      <c r="BK313" s="550">
        <f t="shared" si="76"/>
        <v>6000</v>
      </c>
      <c r="BL313" s="550">
        <f t="shared" si="77"/>
        <v>12000</v>
      </c>
      <c r="BM313" s="550">
        <f t="shared" si="78"/>
        <v>12000</v>
      </c>
      <c r="BO313" s="194"/>
      <c r="BQ313" s="193">
        <f t="shared" si="79"/>
        <v>0</v>
      </c>
      <c r="BR313" s="193">
        <f t="shared" si="80"/>
        <v>0</v>
      </c>
      <c r="BS313" s="193">
        <f t="shared" si="81"/>
        <v>0</v>
      </c>
      <c r="BT313" s="193">
        <f t="shared" si="81"/>
        <v>0</v>
      </c>
    </row>
    <row r="314" spans="1:72" ht="13.5" customHeight="1">
      <c r="A314" s="193" t="s">
        <v>378</v>
      </c>
      <c r="B314" s="193" t="s">
        <v>379</v>
      </c>
      <c r="C314" s="193" t="s">
        <v>214</v>
      </c>
      <c r="D314" s="193" t="s">
        <v>1165</v>
      </c>
      <c r="E314" s="193" t="s">
        <v>1166</v>
      </c>
      <c r="F314" s="193" t="s">
        <v>698</v>
      </c>
      <c r="G314" s="193" t="s">
        <v>698</v>
      </c>
      <c r="H314" s="193" t="s">
        <v>1325</v>
      </c>
      <c r="I314" s="193" t="s">
        <v>512</v>
      </c>
      <c r="J314" s="193" t="s">
        <v>1387</v>
      </c>
      <c r="K314" s="193" t="s">
        <v>386</v>
      </c>
      <c r="L314" s="193" t="s">
        <v>387</v>
      </c>
      <c r="M314" s="193" t="s">
        <v>378</v>
      </c>
      <c r="N314" s="193" t="s">
        <v>1170</v>
      </c>
      <c r="O314" s="193" t="s">
        <v>129</v>
      </c>
      <c r="P314" s="193" t="s">
        <v>150</v>
      </c>
      <c r="Q314" s="193" t="s">
        <v>149</v>
      </c>
      <c r="R314" s="193" t="s">
        <v>148</v>
      </c>
      <c r="S314" s="193" t="s">
        <v>147</v>
      </c>
      <c r="T314" s="193" t="s">
        <v>389</v>
      </c>
      <c r="U314" s="193" t="s">
        <v>390</v>
      </c>
      <c r="V314" s="193">
        <v>0</v>
      </c>
      <c r="W314" s="193">
        <v>0</v>
      </c>
      <c r="X314" s="193">
        <v>0</v>
      </c>
      <c r="Y314" s="194">
        <v>4000</v>
      </c>
      <c r="Z314" s="193" t="s">
        <v>515</v>
      </c>
      <c r="AA314" s="193" t="s">
        <v>516</v>
      </c>
      <c r="AB314" s="193">
        <v>4000</v>
      </c>
      <c r="AC314" s="193" t="s">
        <v>1171</v>
      </c>
      <c r="AD314" s="193" t="s">
        <v>147</v>
      </c>
      <c r="AE314" s="193">
        <v>4000</v>
      </c>
      <c r="AF314" s="193" t="s">
        <v>518</v>
      </c>
      <c r="AG314" s="193" t="s">
        <v>519</v>
      </c>
      <c r="AH314" s="193">
        <v>0</v>
      </c>
      <c r="AI314" s="193">
        <v>4000</v>
      </c>
      <c r="AJ314" s="193" t="s">
        <v>1388</v>
      </c>
      <c r="AL314" s="197" t="s">
        <v>1389</v>
      </c>
      <c r="AM314" s="193">
        <v>1</v>
      </c>
      <c r="AN314" s="193">
        <v>0</v>
      </c>
      <c r="AO314" s="193">
        <v>0</v>
      </c>
      <c r="AP314" s="193">
        <v>0</v>
      </c>
      <c r="AQ314" s="193" t="s">
        <v>214</v>
      </c>
      <c r="AS314" s="197" t="s">
        <v>518</v>
      </c>
      <c r="AT314" s="197" t="s">
        <v>519</v>
      </c>
      <c r="AV314" s="194">
        <v>0</v>
      </c>
      <c r="AW314" s="194">
        <v>0</v>
      </c>
      <c r="AX314" s="194">
        <v>0</v>
      </c>
      <c r="AY314" s="549">
        <v>0</v>
      </c>
      <c r="AZ314" s="194">
        <v>2000</v>
      </c>
      <c r="BA314" s="194">
        <v>2000</v>
      </c>
      <c r="BB314" s="551">
        <v>4000</v>
      </c>
      <c r="BC314" s="551">
        <v>4000</v>
      </c>
      <c r="BD314" s="551">
        <v>0</v>
      </c>
      <c r="BF314" s="550">
        <f t="shared" si="71"/>
        <v>0</v>
      </c>
      <c r="BG314" s="550">
        <f t="shared" si="72"/>
        <v>0</v>
      </c>
      <c r="BH314" s="550">
        <f t="shared" si="73"/>
        <v>0</v>
      </c>
      <c r="BI314" s="550">
        <f t="shared" si="74"/>
        <v>0</v>
      </c>
      <c r="BJ314" s="550">
        <f t="shared" si="75"/>
        <v>2000</v>
      </c>
      <c r="BK314" s="550">
        <f t="shared" si="76"/>
        <v>2000</v>
      </c>
      <c r="BL314" s="550">
        <f t="shared" si="77"/>
        <v>4000</v>
      </c>
      <c r="BM314" s="550">
        <f t="shared" si="78"/>
        <v>4000</v>
      </c>
      <c r="BO314" s="194"/>
      <c r="BQ314" s="193">
        <f t="shared" si="79"/>
        <v>0</v>
      </c>
      <c r="BR314" s="193">
        <f t="shared" si="80"/>
        <v>0</v>
      </c>
      <c r="BS314" s="193">
        <f t="shared" si="81"/>
        <v>0</v>
      </c>
      <c r="BT314" s="193">
        <f t="shared" si="81"/>
        <v>0</v>
      </c>
    </row>
    <row r="315" spans="1:72" ht="13.5" customHeight="1">
      <c r="A315" s="193" t="s">
        <v>378</v>
      </c>
      <c r="B315" s="193" t="s">
        <v>379</v>
      </c>
      <c r="C315" s="193" t="s">
        <v>214</v>
      </c>
      <c r="D315" s="193" t="s">
        <v>1165</v>
      </c>
      <c r="E315" s="193" t="s">
        <v>1166</v>
      </c>
      <c r="F315" s="193" t="s">
        <v>669</v>
      </c>
      <c r="G315" s="193" t="s">
        <v>669</v>
      </c>
      <c r="H315" s="193" t="s">
        <v>1325</v>
      </c>
      <c r="I315" s="193" t="s">
        <v>512</v>
      </c>
      <c r="J315" s="193" t="s">
        <v>1390</v>
      </c>
      <c r="K315" s="193" t="s">
        <v>386</v>
      </c>
      <c r="L315" s="193" t="s">
        <v>387</v>
      </c>
      <c r="M315" s="193" t="s">
        <v>378</v>
      </c>
      <c r="N315" s="193" t="s">
        <v>1170</v>
      </c>
      <c r="O315" s="193" t="s">
        <v>129</v>
      </c>
      <c r="P315" s="193" t="s">
        <v>150</v>
      </c>
      <c r="Q315" s="193" t="s">
        <v>149</v>
      </c>
      <c r="R315" s="193" t="s">
        <v>148</v>
      </c>
      <c r="S315" s="193" t="s">
        <v>147</v>
      </c>
      <c r="T315" s="193" t="s">
        <v>389</v>
      </c>
      <c r="U315" s="193" t="s">
        <v>390</v>
      </c>
      <c r="V315" s="193">
        <v>0</v>
      </c>
      <c r="W315" s="193">
        <v>0</v>
      </c>
      <c r="X315" s="193">
        <v>0</v>
      </c>
      <c r="Y315" s="194">
        <v>4000</v>
      </c>
      <c r="Z315" s="193" t="s">
        <v>515</v>
      </c>
      <c r="AA315" s="193" t="s">
        <v>516</v>
      </c>
      <c r="AB315" s="193">
        <v>4000</v>
      </c>
      <c r="AC315" s="193" t="s">
        <v>1171</v>
      </c>
      <c r="AD315" s="193" t="s">
        <v>147</v>
      </c>
      <c r="AE315" s="193">
        <v>4000</v>
      </c>
      <c r="AF315" s="193" t="s">
        <v>518</v>
      </c>
      <c r="AG315" s="193" t="s">
        <v>519</v>
      </c>
      <c r="AH315" s="193">
        <v>0</v>
      </c>
      <c r="AI315" s="193">
        <v>4000</v>
      </c>
      <c r="AJ315" s="193" t="s">
        <v>1391</v>
      </c>
      <c r="AL315" s="197" t="s">
        <v>1392</v>
      </c>
      <c r="AM315" s="193">
        <v>1</v>
      </c>
      <c r="AN315" s="193">
        <v>0</v>
      </c>
      <c r="AO315" s="193">
        <v>0</v>
      </c>
      <c r="AP315" s="193">
        <v>0</v>
      </c>
      <c r="AQ315" s="193" t="s">
        <v>214</v>
      </c>
      <c r="AS315" s="197" t="s">
        <v>518</v>
      </c>
      <c r="AT315" s="197" t="s">
        <v>519</v>
      </c>
      <c r="AV315" s="194">
        <v>0</v>
      </c>
      <c r="AW315" s="194">
        <v>0</v>
      </c>
      <c r="AX315" s="194">
        <v>0</v>
      </c>
      <c r="AY315" s="549">
        <v>0</v>
      </c>
      <c r="AZ315" s="194">
        <v>2000</v>
      </c>
      <c r="BA315" s="194">
        <v>2000</v>
      </c>
      <c r="BB315" s="551">
        <v>4000</v>
      </c>
      <c r="BC315" s="551">
        <v>4000</v>
      </c>
      <c r="BD315" s="551">
        <v>0</v>
      </c>
      <c r="BF315" s="550">
        <f t="shared" si="71"/>
        <v>0</v>
      </c>
      <c r="BG315" s="550">
        <f t="shared" si="72"/>
        <v>0</v>
      </c>
      <c r="BH315" s="550">
        <f t="shared" si="73"/>
        <v>0</v>
      </c>
      <c r="BI315" s="550">
        <f t="shared" si="74"/>
        <v>0</v>
      </c>
      <c r="BJ315" s="550">
        <f t="shared" si="75"/>
        <v>2000</v>
      </c>
      <c r="BK315" s="550">
        <f t="shared" si="76"/>
        <v>2000</v>
      </c>
      <c r="BL315" s="550">
        <f t="shared" si="77"/>
        <v>4000</v>
      </c>
      <c r="BM315" s="550">
        <f t="shared" si="78"/>
        <v>4000</v>
      </c>
      <c r="BO315" s="194"/>
      <c r="BQ315" s="193">
        <f t="shared" si="79"/>
        <v>0</v>
      </c>
      <c r="BR315" s="193">
        <f t="shared" si="80"/>
        <v>0</v>
      </c>
      <c r="BS315" s="193">
        <f t="shared" si="81"/>
        <v>0</v>
      </c>
      <c r="BT315" s="193">
        <f t="shared" si="81"/>
        <v>0</v>
      </c>
    </row>
    <row r="316" spans="1:72" ht="13.5" customHeight="1">
      <c r="A316" s="193" t="s">
        <v>378</v>
      </c>
      <c r="B316" s="193" t="s">
        <v>379</v>
      </c>
      <c r="C316" s="193" t="s">
        <v>214</v>
      </c>
      <c r="D316" s="193" t="s">
        <v>1165</v>
      </c>
      <c r="E316" s="193" t="s">
        <v>1166</v>
      </c>
      <c r="F316" s="193" t="s">
        <v>402</v>
      </c>
      <c r="G316" s="193" t="s">
        <v>402</v>
      </c>
      <c r="H316" s="193" t="s">
        <v>1168</v>
      </c>
      <c r="I316" s="193" t="s">
        <v>512</v>
      </c>
      <c r="J316" s="193" t="s">
        <v>1430</v>
      </c>
      <c r="K316" s="193" t="s">
        <v>386</v>
      </c>
      <c r="L316" s="193" t="s">
        <v>387</v>
      </c>
      <c r="M316" s="193" t="s">
        <v>378</v>
      </c>
      <c r="N316" s="193" t="s">
        <v>1170</v>
      </c>
      <c r="O316" s="193" t="s">
        <v>129</v>
      </c>
      <c r="P316" s="193" t="s">
        <v>150</v>
      </c>
      <c r="Q316" s="193" t="s">
        <v>149</v>
      </c>
      <c r="R316" s="193" t="s">
        <v>148</v>
      </c>
      <c r="S316" s="193" t="s">
        <v>147</v>
      </c>
      <c r="T316" s="193" t="s">
        <v>389</v>
      </c>
      <c r="U316" s="193" t="s">
        <v>390</v>
      </c>
      <c r="V316" s="193">
        <v>0</v>
      </c>
      <c r="W316" s="193">
        <v>0</v>
      </c>
      <c r="X316" s="193">
        <v>0</v>
      </c>
      <c r="Y316" s="194">
        <v>8000</v>
      </c>
      <c r="Z316" s="193" t="s">
        <v>515</v>
      </c>
      <c r="AA316" s="193" t="s">
        <v>516</v>
      </c>
      <c r="AB316" s="193">
        <v>8000</v>
      </c>
      <c r="AC316" s="193" t="s">
        <v>1171</v>
      </c>
      <c r="AD316" s="193" t="s">
        <v>147</v>
      </c>
      <c r="AE316" s="193">
        <v>8000</v>
      </c>
      <c r="AF316" s="193" t="s">
        <v>518</v>
      </c>
      <c r="AG316" s="193" t="s">
        <v>519</v>
      </c>
      <c r="AH316" s="193">
        <v>0</v>
      </c>
      <c r="AI316" s="193">
        <v>8000</v>
      </c>
      <c r="AJ316" s="193" t="s">
        <v>1431</v>
      </c>
      <c r="AL316" s="197" t="s">
        <v>1432</v>
      </c>
      <c r="AM316" s="193">
        <v>1</v>
      </c>
      <c r="AN316" s="193">
        <v>0</v>
      </c>
      <c r="AO316" s="193">
        <v>0</v>
      </c>
      <c r="AP316" s="193">
        <v>0</v>
      </c>
      <c r="AQ316" s="193" t="s">
        <v>214</v>
      </c>
      <c r="AS316" s="197" t="s">
        <v>518</v>
      </c>
      <c r="AT316" s="197" t="s">
        <v>519</v>
      </c>
      <c r="AV316" s="194">
        <v>0</v>
      </c>
      <c r="AW316" s="194">
        <v>0</v>
      </c>
      <c r="AX316" s="194">
        <v>0</v>
      </c>
      <c r="AY316" s="549">
        <v>0</v>
      </c>
      <c r="AZ316" s="194">
        <v>4000</v>
      </c>
      <c r="BA316" s="194">
        <v>4000</v>
      </c>
      <c r="BB316" s="551">
        <v>8000</v>
      </c>
      <c r="BC316" s="551">
        <v>8000</v>
      </c>
      <c r="BD316" s="551">
        <v>0</v>
      </c>
      <c r="BF316" s="550">
        <f t="shared" si="71"/>
        <v>0</v>
      </c>
      <c r="BG316" s="550">
        <f t="shared" si="72"/>
        <v>0</v>
      </c>
      <c r="BH316" s="550">
        <f t="shared" si="73"/>
        <v>0</v>
      </c>
      <c r="BI316" s="550">
        <f t="shared" si="74"/>
        <v>0</v>
      </c>
      <c r="BJ316" s="550">
        <f t="shared" si="75"/>
        <v>4000</v>
      </c>
      <c r="BK316" s="550">
        <f t="shared" si="76"/>
        <v>4000</v>
      </c>
      <c r="BL316" s="550">
        <f t="shared" si="77"/>
        <v>8000</v>
      </c>
      <c r="BM316" s="550">
        <f t="shared" si="78"/>
        <v>8000</v>
      </c>
      <c r="BO316" s="194"/>
      <c r="BQ316" s="193">
        <f t="shared" si="79"/>
        <v>0</v>
      </c>
      <c r="BR316" s="193">
        <f t="shared" si="80"/>
        <v>0</v>
      </c>
      <c r="BS316" s="193">
        <f t="shared" si="81"/>
        <v>0</v>
      </c>
      <c r="BT316" s="193">
        <f t="shared" si="81"/>
        <v>0</v>
      </c>
    </row>
    <row r="317" spans="1:72" ht="13.5" customHeight="1">
      <c r="A317" s="193" t="s">
        <v>378</v>
      </c>
      <c r="B317" s="193" t="s">
        <v>379</v>
      </c>
      <c r="C317" s="193" t="s">
        <v>214</v>
      </c>
      <c r="D317" s="193" t="s">
        <v>1165</v>
      </c>
      <c r="E317" s="193" t="s">
        <v>1166</v>
      </c>
      <c r="F317" s="193" t="s">
        <v>1324</v>
      </c>
      <c r="G317" s="193" t="s">
        <v>1324</v>
      </c>
      <c r="H317" s="193" t="s">
        <v>1325</v>
      </c>
      <c r="I317" s="193" t="s">
        <v>512</v>
      </c>
      <c r="J317" s="193" t="s">
        <v>1326</v>
      </c>
      <c r="K317" s="193" t="s">
        <v>386</v>
      </c>
      <c r="L317" s="193" t="s">
        <v>387</v>
      </c>
      <c r="M317" s="193" t="s">
        <v>378</v>
      </c>
      <c r="N317" s="193" t="s">
        <v>1170</v>
      </c>
      <c r="O317" s="193" t="s">
        <v>129</v>
      </c>
      <c r="P317" s="193" t="s">
        <v>150</v>
      </c>
      <c r="Q317" s="193" t="s">
        <v>149</v>
      </c>
      <c r="R317" s="193" t="s">
        <v>148</v>
      </c>
      <c r="S317" s="193" t="s">
        <v>147</v>
      </c>
      <c r="T317" s="193" t="s">
        <v>389</v>
      </c>
      <c r="U317" s="193" t="s">
        <v>390</v>
      </c>
      <c r="V317" s="193">
        <v>0</v>
      </c>
      <c r="W317" s="193">
        <v>0</v>
      </c>
      <c r="X317" s="193">
        <v>0</v>
      </c>
      <c r="Y317" s="194">
        <v>8000</v>
      </c>
      <c r="Z317" s="193" t="s">
        <v>515</v>
      </c>
      <c r="AA317" s="193" t="s">
        <v>516</v>
      </c>
      <c r="AB317" s="193">
        <v>8000</v>
      </c>
      <c r="AC317" s="193" t="s">
        <v>1171</v>
      </c>
      <c r="AD317" s="193" t="s">
        <v>147</v>
      </c>
      <c r="AE317" s="193">
        <v>8000</v>
      </c>
      <c r="AF317" s="193" t="s">
        <v>518</v>
      </c>
      <c r="AG317" s="193" t="s">
        <v>519</v>
      </c>
      <c r="AH317" s="193">
        <v>0</v>
      </c>
      <c r="AI317" s="193">
        <v>8000</v>
      </c>
      <c r="AJ317" s="193" t="s">
        <v>1327</v>
      </c>
      <c r="AL317" s="197" t="s">
        <v>1328</v>
      </c>
      <c r="AM317" s="193">
        <v>1</v>
      </c>
      <c r="AN317" s="193">
        <v>0</v>
      </c>
      <c r="AO317" s="193">
        <v>0</v>
      </c>
      <c r="AP317" s="193">
        <v>0</v>
      </c>
      <c r="AQ317" s="193" t="s">
        <v>214</v>
      </c>
      <c r="AS317" s="197" t="s">
        <v>518</v>
      </c>
      <c r="AT317" s="197" t="s">
        <v>519</v>
      </c>
      <c r="AV317" s="194">
        <v>0</v>
      </c>
      <c r="AW317" s="194">
        <v>0</v>
      </c>
      <c r="AX317" s="194">
        <v>0</v>
      </c>
      <c r="AY317" s="549">
        <v>0</v>
      </c>
      <c r="AZ317" s="194">
        <v>4000</v>
      </c>
      <c r="BA317" s="194">
        <v>4000</v>
      </c>
      <c r="BB317" s="551">
        <v>8000</v>
      </c>
      <c r="BC317" s="551">
        <v>8000</v>
      </c>
      <c r="BD317" s="551">
        <v>0</v>
      </c>
      <c r="BF317" s="550">
        <f t="shared" si="71"/>
        <v>0</v>
      </c>
      <c r="BG317" s="550">
        <f t="shared" si="72"/>
        <v>0</v>
      </c>
      <c r="BH317" s="550">
        <f t="shared" si="73"/>
        <v>0</v>
      </c>
      <c r="BI317" s="550">
        <f t="shared" si="74"/>
        <v>0</v>
      </c>
      <c r="BJ317" s="550">
        <f t="shared" si="75"/>
        <v>4000</v>
      </c>
      <c r="BK317" s="550">
        <f t="shared" si="76"/>
        <v>4000</v>
      </c>
      <c r="BL317" s="550">
        <f t="shared" si="77"/>
        <v>8000</v>
      </c>
      <c r="BM317" s="550">
        <f t="shared" si="78"/>
        <v>8000</v>
      </c>
      <c r="BO317" s="194"/>
      <c r="BQ317" s="193">
        <f t="shared" si="79"/>
        <v>0</v>
      </c>
      <c r="BR317" s="193">
        <f t="shared" si="80"/>
        <v>0</v>
      </c>
      <c r="BS317" s="193">
        <f t="shared" si="81"/>
        <v>0</v>
      </c>
      <c r="BT317" s="193">
        <f t="shared" si="81"/>
        <v>0</v>
      </c>
    </row>
    <row r="318" spans="1:72" ht="13.5" customHeight="1">
      <c r="A318" s="193" t="s">
        <v>378</v>
      </c>
      <c r="B318" s="193" t="s">
        <v>379</v>
      </c>
      <c r="C318" s="193" t="s">
        <v>214</v>
      </c>
      <c r="D318" s="193" t="s">
        <v>1165</v>
      </c>
      <c r="E318" s="193" t="s">
        <v>1166</v>
      </c>
      <c r="F318" s="193" t="s">
        <v>731</v>
      </c>
      <c r="G318" s="193" t="s">
        <v>731</v>
      </c>
      <c r="H318" s="193" t="s">
        <v>1325</v>
      </c>
      <c r="I318" s="193" t="s">
        <v>512</v>
      </c>
      <c r="J318" s="193" t="s">
        <v>1329</v>
      </c>
      <c r="K318" s="193" t="s">
        <v>386</v>
      </c>
      <c r="L318" s="193" t="s">
        <v>387</v>
      </c>
      <c r="M318" s="193" t="s">
        <v>378</v>
      </c>
      <c r="N318" s="193" t="s">
        <v>1170</v>
      </c>
      <c r="O318" s="193" t="s">
        <v>129</v>
      </c>
      <c r="P318" s="193" t="s">
        <v>150</v>
      </c>
      <c r="Q318" s="193" t="s">
        <v>149</v>
      </c>
      <c r="R318" s="193" t="s">
        <v>148</v>
      </c>
      <c r="S318" s="193" t="s">
        <v>147</v>
      </c>
      <c r="T318" s="193" t="s">
        <v>389</v>
      </c>
      <c r="U318" s="193" t="s">
        <v>390</v>
      </c>
      <c r="V318" s="193">
        <v>0</v>
      </c>
      <c r="W318" s="193">
        <v>0</v>
      </c>
      <c r="X318" s="193">
        <v>0</v>
      </c>
      <c r="Y318" s="194">
        <v>8000</v>
      </c>
      <c r="Z318" s="193" t="s">
        <v>515</v>
      </c>
      <c r="AA318" s="193" t="s">
        <v>516</v>
      </c>
      <c r="AB318" s="193">
        <v>8000</v>
      </c>
      <c r="AC318" s="193" t="s">
        <v>1171</v>
      </c>
      <c r="AD318" s="193" t="s">
        <v>147</v>
      </c>
      <c r="AE318" s="193">
        <v>8000</v>
      </c>
      <c r="AF318" s="193" t="s">
        <v>518</v>
      </c>
      <c r="AG318" s="193" t="s">
        <v>519</v>
      </c>
      <c r="AH318" s="193">
        <v>0</v>
      </c>
      <c r="AI318" s="193">
        <v>8000</v>
      </c>
      <c r="AJ318" s="193" t="s">
        <v>1330</v>
      </c>
      <c r="AL318" s="197" t="s">
        <v>1331</v>
      </c>
      <c r="AM318" s="193">
        <v>1</v>
      </c>
      <c r="AN318" s="193">
        <v>0</v>
      </c>
      <c r="AO318" s="193">
        <v>0</v>
      </c>
      <c r="AP318" s="193">
        <v>0</v>
      </c>
      <c r="AQ318" s="193" t="s">
        <v>214</v>
      </c>
      <c r="AS318" s="197" t="s">
        <v>518</v>
      </c>
      <c r="AT318" s="197" t="s">
        <v>519</v>
      </c>
      <c r="AV318" s="194">
        <v>0</v>
      </c>
      <c r="AW318" s="194">
        <v>0</v>
      </c>
      <c r="AX318" s="194">
        <v>0</v>
      </c>
      <c r="AY318" s="549">
        <v>0</v>
      </c>
      <c r="AZ318" s="194">
        <v>4000</v>
      </c>
      <c r="BA318" s="194">
        <v>4000</v>
      </c>
      <c r="BB318" s="551">
        <v>8000</v>
      </c>
      <c r="BC318" s="551">
        <v>8000</v>
      </c>
      <c r="BD318" s="551">
        <v>0</v>
      </c>
      <c r="BF318" s="550">
        <f t="shared" si="71"/>
        <v>0</v>
      </c>
      <c r="BG318" s="550">
        <f t="shared" si="72"/>
        <v>0</v>
      </c>
      <c r="BH318" s="550">
        <f t="shared" si="73"/>
        <v>0</v>
      </c>
      <c r="BI318" s="550">
        <f t="shared" si="74"/>
        <v>0</v>
      </c>
      <c r="BJ318" s="550">
        <f t="shared" si="75"/>
        <v>4000</v>
      </c>
      <c r="BK318" s="550">
        <f t="shared" si="76"/>
        <v>4000</v>
      </c>
      <c r="BL318" s="550">
        <f t="shared" si="77"/>
        <v>8000</v>
      </c>
      <c r="BM318" s="550">
        <f t="shared" si="78"/>
        <v>8000</v>
      </c>
      <c r="BO318" s="194"/>
      <c r="BQ318" s="193">
        <f t="shared" si="79"/>
        <v>0</v>
      </c>
      <c r="BR318" s="193">
        <f t="shared" si="80"/>
        <v>0</v>
      </c>
      <c r="BS318" s="193">
        <f t="shared" si="81"/>
        <v>0</v>
      </c>
      <c r="BT318" s="193">
        <f t="shared" si="81"/>
        <v>0</v>
      </c>
    </row>
    <row r="319" spans="1:72" ht="13.5" customHeight="1">
      <c r="A319" s="193" t="s">
        <v>378</v>
      </c>
      <c r="B319" s="193" t="s">
        <v>379</v>
      </c>
      <c r="C319" s="193" t="s">
        <v>214</v>
      </c>
      <c r="D319" s="193" t="s">
        <v>1165</v>
      </c>
      <c r="E319" s="193" t="s">
        <v>1166</v>
      </c>
      <c r="F319" s="193" t="s">
        <v>1332</v>
      </c>
      <c r="G319" s="193" t="s">
        <v>1332</v>
      </c>
      <c r="H319" s="193" t="s">
        <v>1325</v>
      </c>
      <c r="I319" s="193" t="s">
        <v>512</v>
      </c>
      <c r="J319" s="193" t="s">
        <v>1333</v>
      </c>
      <c r="K319" s="193" t="s">
        <v>386</v>
      </c>
      <c r="L319" s="193" t="s">
        <v>387</v>
      </c>
      <c r="M319" s="193" t="s">
        <v>378</v>
      </c>
      <c r="N319" s="193" t="s">
        <v>1170</v>
      </c>
      <c r="O319" s="193" t="s">
        <v>129</v>
      </c>
      <c r="P319" s="193" t="s">
        <v>150</v>
      </c>
      <c r="Q319" s="193" t="s">
        <v>149</v>
      </c>
      <c r="R319" s="193" t="s">
        <v>148</v>
      </c>
      <c r="S319" s="193" t="s">
        <v>147</v>
      </c>
      <c r="T319" s="193" t="s">
        <v>389</v>
      </c>
      <c r="U319" s="193" t="s">
        <v>390</v>
      </c>
      <c r="V319" s="193">
        <v>0</v>
      </c>
      <c r="W319" s="193">
        <v>0</v>
      </c>
      <c r="X319" s="193">
        <v>0</v>
      </c>
      <c r="Y319" s="194">
        <v>4000</v>
      </c>
      <c r="Z319" s="193" t="s">
        <v>515</v>
      </c>
      <c r="AA319" s="193" t="s">
        <v>516</v>
      </c>
      <c r="AB319" s="193">
        <v>4000</v>
      </c>
      <c r="AC319" s="193" t="s">
        <v>1171</v>
      </c>
      <c r="AD319" s="193" t="s">
        <v>147</v>
      </c>
      <c r="AE319" s="193">
        <v>4000</v>
      </c>
      <c r="AF319" s="193" t="s">
        <v>518</v>
      </c>
      <c r="AG319" s="193" t="s">
        <v>519</v>
      </c>
      <c r="AH319" s="193">
        <v>0</v>
      </c>
      <c r="AI319" s="193">
        <v>4000</v>
      </c>
      <c r="AJ319" s="193" t="s">
        <v>1334</v>
      </c>
      <c r="AL319" s="197" t="s">
        <v>1335</v>
      </c>
      <c r="AM319" s="193">
        <v>1</v>
      </c>
      <c r="AN319" s="193">
        <v>0</v>
      </c>
      <c r="AO319" s="193">
        <v>0</v>
      </c>
      <c r="AP319" s="193">
        <v>0</v>
      </c>
      <c r="AQ319" s="193" t="s">
        <v>214</v>
      </c>
      <c r="AS319" s="197" t="s">
        <v>518</v>
      </c>
      <c r="AT319" s="197" t="s">
        <v>519</v>
      </c>
      <c r="AV319" s="194">
        <v>0</v>
      </c>
      <c r="AW319" s="194">
        <v>0</v>
      </c>
      <c r="AX319" s="194">
        <v>0</v>
      </c>
      <c r="AY319" s="549">
        <v>0</v>
      </c>
      <c r="AZ319" s="194">
        <v>2000</v>
      </c>
      <c r="BA319" s="194">
        <v>2000</v>
      </c>
      <c r="BB319" s="551">
        <v>4000</v>
      </c>
      <c r="BC319" s="551">
        <v>4000</v>
      </c>
      <c r="BD319" s="551">
        <v>0</v>
      </c>
      <c r="BF319" s="550">
        <f t="shared" si="71"/>
        <v>0</v>
      </c>
      <c r="BG319" s="550">
        <f t="shared" si="72"/>
        <v>0</v>
      </c>
      <c r="BH319" s="550">
        <f t="shared" si="73"/>
        <v>0</v>
      </c>
      <c r="BI319" s="550">
        <f t="shared" si="74"/>
        <v>0</v>
      </c>
      <c r="BJ319" s="550">
        <f t="shared" si="75"/>
        <v>2000</v>
      </c>
      <c r="BK319" s="550">
        <f t="shared" si="76"/>
        <v>2000</v>
      </c>
      <c r="BL319" s="550">
        <f t="shared" si="77"/>
        <v>4000</v>
      </c>
      <c r="BM319" s="550">
        <f t="shared" si="78"/>
        <v>4000</v>
      </c>
      <c r="BO319" s="194"/>
      <c r="BQ319" s="193">
        <f t="shared" si="79"/>
        <v>0</v>
      </c>
      <c r="BR319" s="193">
        <f t="shared" si="80"/>
        <v>0</v>
      </c>
      <c r="BS319" s="193">
        <f t="shared" si="81"/>
        <v>0</v>
      </c>
      <c r="BT319" s="193">
        <f t="shared" si="81"/>
        <v>0</v>
      </c>
    </row>
    <row r="320" spans="1:72" ht="13.5" customHeight="1">
      <c r="A320" s="193" t="s">
        <v>378</v>
      </c>
      <c r="B320" s="193" t="s">
        <v>379</v>
      </c>
      <c r="C320" s="193" t="s">
        <v>214</v>
      </c>
      <c r="D320" s="193" t="s">
        <v>1165</v>
      </c>
      <c r="E320" s="193" t="s">
        <v>1166</v>
      </c>
      <c r="F320" s="193" t="s">
        <v>727</v>
      </c>
      <c r="G320" s="193" t="s">
        <v>727</v>
      </c>
      <c r="H320" s="193" t="s">
        <v>1325</v>
      </c>
      <c r="I320" s="193" t="s">
        <v>512</v>
      </c>
      <c r="J320" s="193" t="s">
        <v>1336</v>
      </c>
      <c r="K320" s="193" t="s">
        <v>386</v>
      </c>
      <c r="L320" s="193" t="s">
        <v>387</v>
      </c>
      <c r="M320" s="193" t="s">
        <v>378</v>
      </c>
      <c r="N320" s="193" t="s">
        <v>1170</v>
      </c>
      <c r="O320" s="193" t="s">
        <v>129</v>
      </c>
      <c r="P320" s="193" t="s">
        <v>150</v>
      </c>
      <c r="Q320" s="193" t="s">
        <v>149</v>
      </c>
      <c r="R320" s="193" t="s">
        <v>148</v>
      </c>
      <c r="S320" s="193" t="s">
        <v>147</v>
      </c>
      <c r="T320" s="193" t="s">
        <v>389</v>
      </c>
      <c r="U320" s="193" t="s">
        <v>390</v>
      </c>
      <c r="V320" s="193">
        <v>0</v>
      </c>
      <c r="W320" s="193">
        <v>0</v>
      </c>
      <c r="X320" s="193">
        <v>0</v>
      </c>
      <c r="Y320" s="194">
        <v>4000</v>
      </c>
      <c r="Z320" s="193" t="s">
        <v>515</v>
      </c>
      <c r="AA320" s="193" t="s">
        <v>516</v>
      </c>
      <c r="AB320" s="193">
        <v>4000</v>
      </c>
      <c r="AC320" s="193" t="s">
        <v>1171</v>
      </c>
      <c r="AD320" s="193" t="s">
        <v>147</v>
      </c>
      <c r="AE320" s="193">
        <v>4000</v>
      </c>
      <c r="AF320" s="193" t="s">
        <v>518</v>
      </c>
      <c r="AG320" s="193" t="s">
        <v>519</v>
      </c>
      <c r="AH320" s="193">
        <v>0</v>
      </c>
      <c r="AI320" s="193">
        <v>4000</v>
      </c>
      <c r="AJ320" s="193" t="s">
        <v>1337</v>
      </c>
      <c r="AL320" s="197" t="s">
        <v>1338</v>
      </c>
      <c r="AM320" s="193">
        <v>1</v>
      </c>
      <c r="AN320" s="193">
        <v>0</v>
      </c>
      <c r="AO320" s="193">
        <v>0</v>
      </c>
      <c r="AP320" s="193">
        <v>0</v>
      </c>
      <c r="AQ320" s="193" t="s">
        <v>214</v>
      </c>
      <c r="AS320" s="197" t="s">
        <v>518</v>
      </c>
      <c r="AT320" s="197" t="s">
        <v>519</v>
      </c>
      <c r="AV320" s="194">
        <v>0</v>
      </c>
      <c r="AW320" s="194">
        <v>0</v>
      </c>
      <c r="AX320" s="194">
        <v>0</v>
      </c>
      <c r="AY320" s="549">
        <v>0</v>
      </c>
      <c r="AZ320" s="194">
        <v>2000</v>
      </c>
      <c r="BA320" s="194">
        <v>2000</v>
      </c>
      <c r="BB320" s="551">
        <v>4000</v>
      </c>
      <c r="BC320" s="551">
        <v>4000</v>
      </c>
      <c r="BD320" s="551">
        <v>0</v>
      </c>
      <c r="BF320" s="550">
        <f t="shared" si="71"/>
        <v>0</v>
      </c>
      <c r="BG320" s="550">
        <f t="shared" si="72"/>
        <v>0</v>
      </c>
      <c r="BH320" s="550">
        <f t="shared" si="73"/>
        <v>0</v>
      </c>
      <c r="BI320" s="550">
        <f t="shared" si="74"/>
        <v>0</v>
      </c>
      <c r="BJ320" s="550">
        <f t="shared" si="75"/>
        <v>2000</v>
      </c>
      <c r="BK320" s="550">
        <f t="shared" si="76"/>
        <v>2000</v>
      </c>
      <c r="BL320" s="550">
        <f t="shared" si="77"/>
        <v>4000</v>
      </c>
      <c r="BM320" s="550">
        <f t="shared" si="78"/>
        <v>4000</v>
      </c>
      <c r="BO320" s="194"/>
      <c r="BQ320" s="193">
        <f t="shared" si="79"/>
        <v>0</v>
      </c>
      <c r="BR320" s="193">
        <f t="shared" si="80"/>
        <v>0</v>
      </c>
      <c r="BS320" s="193">
        <f t="shared" si="81"/>
        <v>0</v>
      </c>
      <c r="BT320" s="193">
        <f t="shared" si="81"/>
        <v>0</v>
      </c>
    </row>
    <row r="321" spans="1:72" ht="13.5" customHeight="1">
      <c r="A321" s="193" t="s">
        <v>378</v>
      </c>
      <c r="B321" s="193" t="s">
        <v>379</v>
      </c>
      <c r="C321" s="193" t="s">
        <v>214</v>
      </c>
      <c r="D321" s="193" t="s">
        <v>1165</v>
      </c>
      <c r="E321" s="193" t="s">
        <v>1166</v>
      </c>
      <c r="F321" s="193" t="s">
        <v>1339</v>
      </c>
      <c r="G321" s="193" t="s">
        <v>1339</v>
      </c>
      <c r="H321" s="193" t="s">
        <v>1325</v>
      </c>
      <c r="I321" s="193" t="s">
        <v>512</v>
      </c>
      <c r="J321" s="193" t="s">
        <v>1340</v>
      </c>
      <c r="K321" s="193" t="s">
        <v>386</v>
      </c>
      <c r="L321" s="193" t="s">
        <v>387</v>
      </c>
      <c r="M321" s="193" t="s">
        <v>378</v>
      </c>
      <c r="N321" s="193" t="s">
        <v>1170</v>
      </c>
      <c r="O321" s="193" t="s">
        <v>129</v>
      </c>
      <c r="P321" s="193" t="s">
        <v>150</v>
      </c>
      <c r="Q321" s="193" t="s">
        <v>149</v>
      </c>
      <c r="R321" s="193" t="s">
        <v>148</v>
      </c>
      <c r="S321" s="193" t="s">
        <v>147</v>
      </c>
      <c r="T321" s="193" t="s">
        <v>389</v>
      </c>
      <c r="U321" s="193" t="s">
        <v>390</v>
      </c>
      <c r="V321" s="193">
        <v>0</v>
      </c>
      <c r="W321" s="193">
        <v>0</v>
      </c>
      <c r="X321" s="193">
        <v>0</v>
      </c>
      <c r="Y321" s="194">
        <v>8000</v>
      </c>
      <c r="Z321" s="193" t="s">
        <v>515</v>
      </c>
      <c r="AA321" s="193" t="s">
        <v>516</v>
      </c>
      <c r="AB321" s="193">
        <v>8000</v>
      </c>
      <c r="AC321" s="193" t="s">
        <v>1171</v>
      </c>
      <c r="AD321" s="193" t="s">
        <v>147</v>
      </c>
      <c r="AE321" s="193">
        <v>8000</v>
      </c>
      <c r="AF321" s="193" t="s">
        <v>518</v>
      </c>
      <c r="AG321" s="193" t="s">
        <v>519</v>
      </c>
      <c r="AH321" s="193">
        <v>0</v>
      </c>
      <c r="AI321" s="193">
        <v>8000</v>
      </c>
      <c r="AJ321" s="193" t="s">
        <v>1341</v>
      </c>
      <c r="AL321" s="197" t="s">
        <v>1342</v>
      </c>
      <c r="AM321" s="193">
        <v>1</v>
      </c>
      <c r="AN321" s="193">
        <v>0</v>
      </c>
      <c r="AO321" s="193">
        <v>0</v>
      </c>
      <c r="AP321" s="193">
        <v>0</v>
      </c>
      <c r="AQ321" s="193" t="s">
        <v>214</v>
      </c>
      <c r="AS321" s="197" t="s">
        <v>518</v>
      </c>
      <c r="AT321" s="197" t="s">
        <v>519</v>
      </c>
      <c r="AV321" s="194">
        <v>0</v>
      </c>
      <c r="AW321" s="194">
        <v>0</v>
      </c>
      <c r="AX321" s="194">
        <v>0</v>
      </c>
      <c r="AY321" s="549">
        <v>0</v>
      </c>
      <c r="AZ321" s="194">
        <v>4000</v>
      </c>
      <c r="BA321" s="194">
        <v>4000</v>
      </c>
      <c r="BB321" s="551">
        <v>8000</v>
      </c>
      <c r="BC321" s="551">
        <v>8000</v>
      </c>
      <c r="BD321" s="551">
        <v>0</v>
      </c>
      <c r="BF321" s="550">
        <f t="shared" si="71"/>
        <v>0</v>
      </c>
      <c r="BG321" s="550">
        <f t="shared" si="72"/>
        <v>0</v>
      </c>
      <c r="BH321" s="550">
        <f t="shared" si="73"/>
        <v>0</v>
      </c>
      <c r="BI321" s="550">
        <f t="shared" si="74"/>
        <v>0</v>
      </c>
      <c r="BJ321" s="550">
        <f t="shared" si="75"/>
        <v>4000</v>
      </c>
      <c r="BK321" s="550">
        <f t="shared" si="76"/>
        <v>4000</v>
      </c>
      <c r="BL321" s="550">
        <f t="shared" si="77"/>
        <v>8000</v>
      </c>
      <c r="BM321" s="550">
        <f t="shared" si="78"/>
        <v>8000</v>
      </c>
      <c r="BO321" s="194"/>
      <c r="BQ321" s="193">
        <f t="shared" si="79"/>
        <v>0</v>
      </c>
      <c r="BR321" s="193">
        <f t="shared" si="80"/>
        <v>0</v>
      </c>
      <c r="BS321" s="193">
        <f t="shared" si="81"/>
        <v>0</v>
      </c>
      <c r="BT321" s="193">
        <f t="shared" si="81"/>
        <v>0</v>
      </c>
    </row>
    <row r="322" spans="1:72" ht="13.5" customHeight="1">
      <c r="A322" s="193" t="s">
        <v>378</v>
      </c>
      <c r="B322" s="193" t="s">
        <v>379</v>
      </c>
      <c r="C322" s="193" t="s">
        <v>214</v>
      </c>
      <c r="D322" s="193" t="s">
        <v>1165</v>
      </c>
      <c r="E322" s="193" t="s">
        <v>1166</v>
      </c>
      <c r="F322" s="193" t="s">
        <v>1007</v>
      </c>
      <c r="G322" s="193" t="s">
        <v>1007</v>
      </c>
      <c r="H322" s="193" t="s">
        <v>1325</v>
      </c>
      <c r="I322" s="193" t="s">
        <v>512</v>
      </c>
      <c r="J322" s="193" t="s">
        <v>1427</v>
      </c>
      <c r="K322" s="193" t="s">
        <v>386</v>
      </c>
      <c r="L322" s="193" t="s">
        <v>387</v>
      </c>
      <c r="M322" s="193" t="s">
        <v>378</v>
      </c>
      <c r="N322" s="193" t="s">
        <v>1170</v>
      </c>
      <c r="O322" s="193" t="s">
        <v>129</v>
      </c>
      <c r="P322" s="193" t="s">
        <v>150</v>
      </c>
      <c r="Q322" s="193" t="s">
        <v>149</v>
      </c>
      <c r="R322" s="193" t="s">
        <v>148</v>
      </c>
      <c r="S322" s="193" t="s">
        <v>147</v>
      </c>
      <c r="T322" s="193" t="s">
        <v>389</v>
      </c>
      <c r="U322" s="193" t="s">
        <v>390</v>
      </c>
      <c r="V322" s="193">
        <v>0</v>
      </c>
      <c r="W322" s="193">
        <v>0</v>
      </c>
      <c r="X322" s="193">
        <v>0</v>
      </c>
      <c r="Y322" s="194">
        <v>4000</v>
      </c>
      <c r="Z322" s="193" t="s">
        <v>515</v>
      </c>
      <c r="AA322" s="193" t="s">
        <v>516</v>
      </c>
      <c r="AB322" s="193">
        <v>4000</v>
      </c>
      <c r="AC322" s="193" t="s">
        <v>1171</v>
      </c>
      <c r="AD322" s="193" t="s">
        <v>147</v>
      </c>
      <c r="AE322" s="193">
        <v>4000</v>
      </c>
      <c r="AF322" s="193" t="s">
        <v>518</v>
      </c>
      <c r="AG322" s="193" t="s">
        <v>519</v>
      </c>
      <c r="AH322" s="193">
        <v>0</v>
      </c>
      <c r="AI322" s="193">
        <v>4000</v>
      </c>
      <c r="AJ322" s="193" t="s">
        <v>1428</v>
      </c>
      <c r="AL322" s="197" t="s">
        <v>1429</v>
      </c>
      <c r="AM322" s="193">
        <v>1</v>
      </c>
      <c r="AN322" s="193">
        <v>0</v>
      </c>
      <c r="AO322" s="193">
        <v>0</v>
      </c>
      <c r="AP322" s="193">
        <v>0</v>
      </c>
      <c r="AQ322" s="193" t="s">
        <v>214</v>
      </c>
      <c r="AS322" s="197" t="s">
        <v>518</v>
      </c>
      <c r="AT322" s="197" t="s">
        <v>519</v>
      </c>
      <c r="AV322" s="194">
        <v>0</v>
      </c>
      <c r="AW322" s="194">
        <v>0</v>
      </c>
      <c r="AX322" s="194">
        <v>0</v>
      </c>
      <c r="AY322" s="549">
        <v>0</v>
      </c>
      <c r="AZ322" s="194">
        <v>2000</v>
      </c>
      <c r="BA322" s="194">
        <v>2000</v>
      </c>
      <c r="BB322" s="551">
        <v>4000</v>
      </c>
      <c r="BC322" s="551">
        <v>4000</v>
      </c>
      <c r="BD322" s="551">
        <v>0</v>
      </c>
      <c r="BF322" s="550">
        <f t="shared" si="71"/>
        <v>0</v>
      </c>
      <c r="BG322" s="550">
        <f t="shared" si="72"/>
        <v>0</v>
      </c>
      <c r="BH322" s="550">
        <f t="shared" si="73"/>
        <v>0</v>
      </c>
      <c r="BI322" s="550">
        <f t="shared" si="74"/>
        <v>0</v>
      </c>
      <c r="BJ322" s="550">
        <f t="shared" si="75"/>
        <v>2000</v>
      </c>
      <c r="BK322" s="550">
        <f t="shared" si="76"/>
        <v>2000</v>
      </c>
      <c r="BL322" s="550">
        <f t="shared" si="77"/>
        <v>4000</v>
      </c>
      <c r="BM322" s="550">
        <f t="shared" si="78"/>
        <v>4000</v>
      </c>
      <c r="BO322" s="194"/>
      <c r="BQ322" s="193">
        <f t="shared" si="79"/>
        <v>0</v>
      </c>
      <c r="BR322" s="193">
        <f t="shared" si="80"/>
        <v>0</v>
      </c>
      <c r="BS322" s="193">
        <f t="shared" si="81"/>
        <v>0</v>
      </c>
      <c r="BT322" s="193">
        <f t="shared" si="81"/>
        <v>0</v>
      </c>
    </row>
    <row r="323" spans="1:72" ht="13.5" customHeight="1">
      <c r="A323" s="193" t="s">
        <v>378</v>
      </c>
      <c r="B323" s="193" t="s">
        <v>379</v>
      </c>
      <c r="C323" s="193" t="s">
        <v>214</v>
      </c>
      <c r="D323" s="193" t="s">
        <v>1165</v>
      </c>
      <c r="E323" s="193" t="s">
        <v>1166</v>
      </c>
      <c r="F323" s="193" t="s">
        <v>1420</v>
      </c>
      <c r="G323" s="193" t="s">
        <v>1420</v>
      </c>
      <c r="H323" s="193" t="s">
        <v>1168</v>
      </c>
      <c r="I323" s="193" t="s">
        <v>512</v>
      </c>
      <c r="J323" s="193" t="s">
        <v>1421</v>
      </c>
      <c r="K323" s="193" t="s">
        <v>386</v>
      </c>
      <c r="L323" s="193" t="s">
        <v>387</v>
      </c>
      <c r="M323" s="193" t="s">
        <v>378</v>
      </c>
      <c r="N323" s="193" t="s">
        <v>1170</v>
      </c>
      <c r="O323" s="193" t="s">
        <v>129</v>
      </c>
      <c r="P323" s="193" t="s">
        <v>150</v>
      </c>
      <c r="Q323" s="193" t="s">
        <v>149</v>
      </c>
      <c r="R323" s="193" t="s">
        <v>148</v>
      </c>
      <c r="S323" s="193" t="s">
        <v>147</v>
      </c>
      <c r="T323" s="193" t="s">
        <v>389</v>
      </c>
      <c r="U323" s="193" t="s">
        <v>390</v>
      </c>
      <c r="V323" s="193">
        <v>0</v>
      </c>
      <c r="W323" s="193">
        <v>0</v>
      </c>
      <c r="X323" s="193">
        <v>0</v>
      </c>
      <c r="Y323" s="194">
        <v>8000</v>
      </c>
      <c r="Z323" s="193" t="s">
        <v>515</v>
      </c>
      <c r="AA323" s="193" t="s">
        <v>516</v>
      </c>
      <c r="AB323" s="193">
        <v>8000</v>
      </c>
      <c r="AC323" s="193" t="s">
        <v>1171</v>
      </c>
      <c r="AD323" s="193" t="s">
        <v>147</v>
      </c>
      <c r="AE323" s="193">
        <v>8000</v>
      </c>
      <c r="AF323" s="193" t="s">
        <v>518</v>
      </c>
      <c r="AG323" s="193" t="s">
        <v>519</v>
      </c>
      <c r="AH323" s="193">
        <v>0</v>
      </c>
      <c r="AI323" s="193">
        <v>8000</v>
      </c>
      <c r="AJ323" s="193" t="s">
        <v>1422</v>
      </c>
      <c r="AL323" s="197" t="s">
        <v>1423</v>
      </c>
      <c r="AM323" s="193">
        <v>1</v>
      </c>
      <c r="AN323" s="193">
        <v>0</v>
      </c>
      <c r="AO323" s="193">
        <v>0</v>
      </c>
      <c r="AP323" s="193">
        <v>0</v>
      </c>
      <c r="AQ323" s="193" t="s">
        <v>214</v>
      </c>
      <c r="AS323" s="197" t="s">
        <v>518</v>
      </c>
      <c r="AT323" s="197" t="s">
        <v>519</v>
      </c>
      <c r="AV323" s="194">
        <v>0</v>
      </c>
      <c r="AW323" s="194">
        <v>0</v>
      </c>
      <c r="AX323" s="194">
        <v>0</v>
      </c>
      <c r="AY323" s="549">
        <v>0</v>
      </c>
      <c r="AZ323" s="194">
        <v>4000</v>
      </c>
      <c r="BA323" s="194">
        <v>4000</v>
      </c>
      <c r="BB323" s="551">
        <v>8000</v>
      </c>
      <c r="BC323" s="551">
        <v>8000</v>
      </c>
      <c r="BD323" s="551">
        <v>0</v>
      </c>
      <c r="BF323" s="550">
        <f t="shared" si="71"/>
        <v>0</v>
      </c>
      <c r="BG323" s="550">
        <f t="shared" si="72"/>
        <v>0</v>
      </c>
      <c r="BH323" s="550">
        <f t="shared" si="73"/>
        <v>0</v>
      </c>
      <c r="BI323" s="550">
        <f t="shared" si="74"/>
        <v>0</v>
      </c>
      <c r="BJ323" s="550">
        <f t="shared" si="75"/>
        <v>4000</v>
      </c>
      <c r="BK323" s="550">
        <f t="shared" si="76"/>
        <v>4000</v>
      </c>
      <c r="BL323" s="550">
        <f t="shared" si="77"/>
        <v>8000</v>
      </c>
      <c r="BM323" s="550">
        <f t="shared" si="78"/>
        <v>8000</v>
      </c>
      <c r="BO323" s="194"/>
      <c r="BQ323" s="193">
        <f t="shared" si="79"/>
        <v>0</v>
      </c>
      <c r="BR323" s="193">
        <f t="shared" si="80"/>
        <v>0</v>
      </c>
    </row>
    <row r="324" spans="1:72" ht="13.5" customHeight="1">
      <c r="A324" s="193" t="s">
        <v>378</v>
      </c>
      <c r="B324" s="193" t="s">
        <v>379</v>
      </c>
      <c r="C324" s="193" t="s">
        <v>214</v>
      </c>
      <c r="D324" s="193" t="s">
        <v>1165</v>
      </c>
      <c r="E324" s="193" t="s">
        <v>1166</v>
      </c>
      <c r="F324" s="193" t="s">
        <v>522</v>
      </c>
      <c r="G324" s="193" t="s">
        <v>522</v>
      </c>
      <c r="H324" s="193" t="s">
        <v>1168</v>
      </c>
      <c r="I324" s="193" t="s">
        <v>512</v>
      </c>
      <c r="J324" s="193" t="s">
        <v>1424</v>
      </c>
      <c r="K324" s="193" t="s">
        <v>386</v>
      </c>
      <c r="L324" s="193" t="s">
        <v>387</v>
      </c>
      <c r="M324" s="193" t="s">
        <v>378</v>
      </c>
      <c r="N324" s="193" t="s">
        <v>1170</v>
      </c>
      <c r="O324" s="193" t="s">
        <v>129</v>
      </c>
      <c r="P324" s="193" t="s">
        <v>150</v>
      </c>
      <c r="Q324" s="193" t="s">
        <v>149</v>
      </c>
      <c r="R324" s="193" t="s">
        <v>148</v>
      </c>
      <c r="S324" s="193" t="s">
        <v>147</v>
      </c>
      <c r="T324" s="193" t="s">
        <v>389</v>
      </c>
      <c r="U324" s="193" t="s">
        <v>390</v>
      </c>
      <c r="V324" s="193">
        <v>0</v>
      </c>
      <c r="W324" s="193">
        <v>0</v>
      </c>
      <c r="X324" s="193">
        <v>0</v>
      </c>
      <c r="Y324" s="194">
        <v>15000</v>
      </c>
      <c r="Z324" s="193" t="s">
        <v>515</v>
      </c>
      <c r="AA324" s="193" t="s">
        <v>516</v>
      </c>
      <c r="AB324" s="193">
        <v>15000</v>
      </c>
      <c r="AC324" s="193" t="s">
        <v>1171</v>
      </c>
      <c r="AD324" s="193" t="s">
        <v>147</v>
      </c>
      <c r="AE324" s="193">
        <v>15000</v>
      </c>
      <c r="AF324" s="193" t="s">
        <v>518</v>
      </c>
      <c r="AG324" s="193" t="s">
        <v>519</v>
      </c>
      <c r="AH324" s="193">
        <v>0</v>
      </c>
      <c r="AI324" s="193">
        <v>15000</v>
      </c>
      <c r="AJ324" s="193" t="s">
        <v>1425</v>
      </c>
      <c r="AL324" s="197" t="s">
        <v>1426</v>
      </c>
      <c r="AM324" s="193">
        <v>1</v>
      </c>
      <c r="AN324" s="193">
        <v>0</v>
      </c>
      <c r="AO324" s="193">
        <v>0</v>
      </c>
      <c r="AP324" s="193">
        <v>0</v>
      </c>
      <c r="AQ324" s="193" t="s">
        <v>214</v>
      </c>
      <c r="AS324" s="197" t="s">
        <v>518</v>
      </c>
      <c r="AT324" s="197" t="s">
        <v>519</v>
      </c>
      <c r="AV324" s="194">
        <v>0</v>
      </c>
      <c r="AW324" s="194">
        <v>0</v>
      </c>
      <c r="AX324" s="194">
        <v>0</v>
      </c>
      <c r="AY324" s="549">
        <v>0</v>
      </c>
      <c r="AZ324" s="194">
        <v>7500</v>
      </c>
      <c r="BA324" s="194">
        <v>7500</v>
      </c>
      <c r="BB324" s="551">
        <v>15000</v>
      </c>
      <c r="BC324" s="551">
        <v>15000</v>
      </c>
      <c r="BD324" s="551">
        <v>0</v>
      </c>
      <c r="BF324" s="550">
        <f t="shared" si="71"/>
        <v>0</v>
      </c>
      <c r="BG324" s="550">
        <f t="shared" si="72"/>
        <v>0</v>
      </c>
      <c r="BH324" s="550">
        <f t="shared" si="73"/>
        <v>0</v>
      </c>
      <c r="BI324" s="550">
        <f t="shared" si="74"/>
        <v>0</v>
      </c>
      <c r="BJ324" s="550">
        <f t="shared" si="75"/>
        <v>7500</v>
      </c>
      <c r="BK324" s="550">
        <f t="shared" si="76"/>
        <v>7500</v>
      </c>
      <c r="BL324" s="550">
        <f t="shared" si="77"/>
        <v>15000</v>
      </c>
      <c r="BM324" s="550">
        <f t="shared" si="78"/>
        <v>15000</v>
      </c>
      <c r="BO324" s="194"/>
      <c r="BQ324" s="193">
        <f t="shared" si="79"/>
        <v>0</v>
      </c>
      <c r="BR324" s="193">
        <f t="shared" si="80"/>
        <v>0</v>
      </c>
    </row>
    <row r="325" spans="1:72" ht="13.5" customHeight="1">
      <c r="A325" s="193" t="s">
        <v>378</v>
      </c>
      <c r="B325" s="193" t="s">
        <v>379</v>
      </c>
      <c r="C325" s="193" t="s">
        <v>214</v>
      </c>
      <c r="D325" s="193" t="s">
        <v>1165</v>
      </c>
      <c r="E325" s="193" t="s">
        <v>1166</v>
      </c>
      <c r="F325" s="193" t="s">
        <v>1299</v>
      </c>
      <c r="G325" s="193" t="s">
        <v>1299</v>
      </c>
      <c r="H325" s="193" t="s">
        <v>1168</v>
      </c>
      <c r="I325" s="193" t="s">
        <v>512</v>
      </c>
      <c r="J325" s="193" t="s">
        <v>1300</v>
      </c>
      <c r="K325" s="193" t="s">
        <v>386</v>
      </c>
      <c r="L325" s="193" t="s">
        <v>387</v>
      </c>
      <c r="M325" s="193" t="s">
        <v>378</v>
      </c>
      <c r="N325" s="193" t="s">
        <v>1170</v>
      </c>
      <c r="O325" s="193" t="s">
        <v>129</v>
      </c>
      <c r="P325" s="193" t="s">
        <v>150</v>
      </c>
      <c r="Q325" s="193" t="s">
        <v>149</v>
      </c>
      <c r="R325" s="193" t="s">
        <v>148</v>
      </c>
      <c r="S325" s="193" t="s">
        <v>147</v>
      </c>
      <c r="T325" s="193" t="s">
        <v>389</v>
      </c>
      <c r="U325" s="193" t="s">
        <v>390</v>
      </c>
      <c r="V325" s="193">
        <v>0</v>
      </c>
      <c r="W325" s="193">
        <v>0</v>
      </c>
      <c r="X325" s="193">
        <v>0</v>
      </c>
      <c r="Y325" s="194">
        <v>4000</v>
      </c>
      <c r="Z325" s="193" t="s">
        <v>515</v>
      </c>
      <c r="AA325" s="193" t="s">
        <v>516</v>
      </c>
      <c r="AB325" s="193">
        <v>4000</v>
      </c>
      <c r="AC325" s="193" t="s">
        <v>1171</v>
      </c>
      <c r="AD325" s="193" t="s">
        <v>147</v>
      </c>
      <c r="AE325" s="193">
        <v>4000</v>
      </c>
      <c r="AF325" s="193" t="s">
        <v>518</v>
      </c>
      <c r="AG325" s="193" t="s">
        <v>519</v>
      </c>
      <c r="AH325" s="193">
        <v>0</v>
      </c>
      <c r="AI325" s="193">
        <v>4000</v>
      </c>
      <c r="AJ325" s="193" t="s">
        <v>1301</v>
      </c>
      <c r="AL325" s="197" t="s">
        <v>1302</v>
      </c>
      <c r="AM325" s="193">
        <v>1</v>
      </c>
      <c r="AN325" s="193">
        <v>0</v>
      </c>
      <c r="AO325" s="193">
        <v>0</v>
      </c>
      <c r="AP325" s="193">
        <v>0</v>
      </c>
      <c r="AQ325" s="193" t="s">
        <v>214</v>
      </c>
      <c r="AS325" s="197" t="s">
        <v>518</v>
      </c>
      <c r="AT325" s="197" t="s">
        <v>519</v>
      </c>
      <c r="AV325" s="194">
        <v>0</v>
      </c>
      <c r="AW325" s="194">
        <v>0</v>
      </c>
      <c r="AX325" s="194">
        <v>0</v>
      </c>
      <c r="AY325" s="549">
        <v>0</v>
      </c>
      <c r="AZ325" s="194">
        <v>2000</v>
      </c>
      <c r="BA325" s="194">
        <v>2000</v>
      </c>
      <c r="BB325" s="551">
        <v>4000</v>
      </c>
      <c r="BC325" s="551">
        <v>4000</v>
      </c>
      <c r="BD325" s="551">
        <v>0</v>
      </c>
      <c r="BF325" s="550">
        <f t="shared" si="71"/>
        <v>0</v>
      </c>
      <c r="BG325" s="550">
        <f t="shared" si="72"/>
        <v>0</v>
      </c>
      <c r="BH325" s="550">
        <f t="shared" si="73"/>
        <v>0</v>
      </c>
      <c r="BI325" s="550">
        <f t="shared" si="74"/>
        <v>0</v>
      </c>
      <c r="BJ325" s="550">
        <f t="shared" si="75"/>
        <v>2000</v>
      </c>
      <c r="BK325" s="550">
        <f t="shared" si="76"/>
        <v>2000</v>
      </c>
      <c r="BL325" s="550">
        <f t="shared" si="77"/>
        <v>4000</v>
      </c>
      <c r="BM325" s="550">
        <f t="shared" si="78"/>
        <v>4000</v>
      </c>
      <c r="BO325" s="194"/>
      <c r="BQ325" s="193">
        <f t="shared" si="79"/>
        <v>0</v>
      </c>
      <c r="BR325" s="193">
        <f t="shared" si="80"/>
        <v>0</v>
      </c>
    </row>
    <row r="326" spans="1:72" ht="13.5" customHeight="1">
      <c r="A326" s="193" t="s">
        <v>378</v>
      </c>
      <c r="B326" s="193" t="s">
        <v>379</v>
      </c>
      <c r="C326" s="193" t="s">
        <v>214</v>
      </c>
      <c r="D326" s="193" t="s">
        <v>1165</v>
      </c>
      <c r="E326" s="193" t="s">
        <v>1166</v>
      </c>
      <c r="F326" s="193" t="s">
        <v>824</v>
      </c>
      <c r="G326" s="193" t="s">
        <v>824</v>
      </c>
      <c r="H326" s="193" t="s">
        <v>1168</v>
      </c>
      <c r="I326" s="193" t="s">
        <v>512</v>
      </c>
      <c r="J326" s="193" t="s">
        <v>1303</v>
      </c>
      <c r="K326" s="193" t="s">
        <v>386</v>
      </c>
      <c r="L326" s="193" t="s">
        <v>387</v>
      </c>
      <c r="M326" s="193" t="s">
        <v>378</v>
      </c>
      <c r="N326" s="193" t="s">
        <v>1170</v>
      </c>
      <c r="O326" s="193" t="s">
        <v>129</v>
      </c>
      <c r="P326" s="193" t="s">
        <v>150</v>
      </c>
      <c r="Q326" s="193" t="s">
        <v>149</v>
      </c>
      <c r="R326" s="193" t="s">
        <v>148</v>
      </c>
      <c r="S326" s="193" t="s">
        <v>147</v>
      </c>
      <c r="T326" s="193" t="s">
        <v>389</v>
      </c>
      <c r="U326" s="193" t="s">
        <v>390</v>
      </c>
      <c r="V326" s="193">
        <v>0</v>
      </c>
      <c r="W326" s="193">
        <v>0</v>
      </c>
      <c r="X326" s="193">
        <v>0</v>
      </c>
      <c r="Y326" s="194">
        <v>4000</v>
      </c>
      <c r="Z326" s="193" t="s">
        <v>515</v>
      </c>
      <c r="AA326" s="193" t="s">
        <v>516</v>
      </c>
      <c r="AB326" s="193">
        <v>4000</v>
      </c>
      <c r="AC326" s="193" t="s">
        <v>1171</v>
      </c>
      <c r="AD326" s="193" t="s">
        <v>147</v>
      </c>
      <c r="AE326" s="193">
        <v>4000</v>
      </c>
      <c r="AF326" s="193" t="s">
        <v>518</v>
      </c>
      <c r="AG326" s="193" t="s">
        <v>519</v>
      </c>
      <c r="AH326" s="193">
        <v>0</v>
      </c>
      <c r="AI326" s="193">
        <v>4000</v>
      </c>
      <c r="AJ326" s="193" t="s">
        <v>1304</v>
      </c>
      <c r="AL326" s="197" t="s">
        <v>1305</v>
      </c>
      <c r="AM326" s="193">
        <v>1</v>
      </c>
      <c r="AN326" s="193">
        <v>0</v>
      </c>
      <c r="AO326" s="193">
        <v>0</v>
      </c>
      <c r="AP326" s="193">
        <v>0</v>
      </c>
      <c r="AQ326" s="193" t="s">
        <v>214</v>
      </c>
      <c r="AS326" s="197" t="s">
        <v>518</v>
      </c>
      <c r="AT326" s="197" t="s">
        <v>519</v>
      </c>
      <c r="AV326" s="194">
        <v>0</v>
      </c>
      <c r="AW326" s="194">
        <v>0</v>
      </c>
      <c r="AX326" s="194">
        <v>0</v>
      </c>
      <c r="AY326" s="549">
        <v>0</v>
      </c>
      <c r="AZ326" s="194">
        <v>2000</v>
      </c>
      <c r="BA326" s="194">
        <v>2000</v>
      </c>
      <c r="BB326" s="551">
        <v>4000</v>
      </c>
      <c r="BC326" s="551">
        <v>4000</v>
      </c>
      <c r="BD326" s="551">
        <v>0</v>
      </c>
      <c r="BF326" s="550">
        <f t="shared" si="71"/>
        <v>0</v>
      </c>
      <c r="BG326" s="550">
        <f t="shared" si="72"/>
        <v>0</v>
      </c>
      <c r="BH326" s="550">
        <f t="shared" si="73"/>
        <v>0</v>
      </c>
      <c r="BI326" s="550">
        <f t="shared" si="74"/>
        <v>0</v>
      </c>
      <c r="BJ326" s="550">
        <f t="shared" si="75"/>
        <v>2000</v>
      </c>
      <c r="BK326" s="550">
        <f t="shared" si="76"/>
        <v>2000</v>
      </c>
      <c r="BL326" s="550">
        <f t="shared" si="77"/>
        <v>4000</v>
      </c>
      <c r="BM326" s="550">
        <f t="shared" si="78"/>
        <v>4000</v>
      </c>
      <c r="BO326" s="194"/>
      <c r="BQ326" s="193">
        <f t="shared" si="79"/>
        <v>0</v>
      </c>
      <c r="BR326" s="193">
        <f t="shared" si="80"/>
        <v>0</v>
      </c>
    </row>
    <row r="327" spans="1:72" ht="13.5" customHeight="1">
      <c r="A327" s="193" t="s">
        <v>378</v>
      </c>
      <c r="B327" s="193" t="s">
        <v>379</v>
      </c>
      <c r="C327" s="193" t="s">
        <v>214</v>
      </c>
      <c r="D327" s="193" t="s">
        <v>1165</v>
      </c>
      <c r="E327" s="193" t="s">
        <v>1166</v>
      </c>
      <c r="F327" s="193" t="s">
        <v>1282</v>
      </c>
      <c r="G327" s="193" t="s">
        <v>1282</v>
      </c>
      <c r="H327" s="193" t="s">
        <v>1168</v>
      </c>
      <c r="I327" s="193" t="s">
        <v>512</v>
      </c>
      <c r="J327" s="193" t="s">
        <v>1283</v>
      </c>
      <c r="K327" s="193" t="s">
        <v>386</v>
      </c>
      <c r="L327" s="193" t="s">
        <v>387</v>
      </c>
      <c r="M327" s="193" t="s">
        <v>378</v>
      </c>
      <c r="N327" s="193" t="s">
        <v>1170</v>
      </c>
      <c r="O327" s="193" t="s">
        <v>129</v>
      </c>
      <c r="P327" s="193" t="s">
        <v>150</v>
      </c>
      <c r="Q327" s="193" t="s">
        <v>149</v>
      </c>
      <c r="R327" s="193" t="s">
        <v>148</v>
      </c>
      <c r="S327" s="193" t="s">
        <v>147</v>
      </c>
      <c r="T327" s="193" t="s">
        <v>389</v>
      </c>
      <c r="U327" s="193" t="s">
        <v>390</v>
      </c>
      <c r="V327" s="193">
        <v>0</v>
      </c>
      <c r="W327" s="193">
        <v>0</v>
      </c>
      <c r="X327" s="193">
        <v>0</v>
      </c>
      <c r="Y327" s="194">
        <v>4000</v>
      </c>
      <c r="Z327" s="193" t="s">
        <v>515</v>
      </c>
      <c r="AA327" s="193" t="s">
        <v>516</v>
      </c>
      <c r="AB327" s="193">
        <v>4000</v>
      </c>
      <c r="AC327" s="193" t="s">
        <v>1171</v>
      </c>
      <c r="AD327" s="193" t="s">
        <v>147</v>
      </c>
      <c r="AE327" s="193">
        <v>4000</v>
      </c>
      <c r="AF327" s="193" t="s">
        <v>518</v>
      </c>
      <c r="AG327" s="193" t="s">
        <v>519</v>
      </c>
      <c r="AH327" s="193">
        <v>0</v>
      </c>
      <c r="AI327" s="193">
        <v>4000</v>
      </c>
      <c r="AJ327" s="193" t="s">
        <v>1284</v>
      </c>
      <c r="AL327" s="197" t="s">
        <v>1285</v>
      </c>
      <c r="AM327" s="193">
        <v>1</v>
      </c>
      <c r="AN327" s="193">
        <v>0</v>
      </c>
      <c r="AO327" s="193">
        <v>0</v>
      </c>
      <c r="AP327" s="193">
        <v>0</v>
      </c>
      <c r="AQ327" s="193" t="s">
        <v>214</v>
      </c>
      <c r="AS327" s="197" t="s">
        <v>518</v>
      </c>
      <c r="AT327" s="197" t="s">
        <v>519</v>
      </c>
      <c r="AV327" s="194">
        <v>0</v>
      </c>
      <c r="AW327" s="194">
        <v>0</v>
      </c>
      <c r="AX327" s="194">
        <v>0</v>
      </c>
      <c r="AY327" s="549">
        <v>0</v>
      </c>
      <c r="AZ327" s="194">
        <v>2000</v>
      </c>
      <c r="BA327" s="194">
        <v>2000</v>
      </c>
      <c r="BB327" s="551">
        <v>4000</v>
      </c>
      <c r="BC327" s="551">
        <v>4000</v>
      </c>
      <c r="BD327" s="551">
        <v>0</v>
      </c>
      <c r="BF327" s="550">
        <f t="shared" ref="BF327:BF390" si="82">+IFERROR(ROUND(AV327*100/(100+$AT327),0),AV327)</f>
        <v>0</v>
      </c>
      <c r="BG327" s="550">
        <f t="shared" ref="BG327:BG390" si="83">+IFERROR(ROUND(AW327*100/(100+$AT327),0),AW327)</f>
        <v>0</v>
      </c>
      <c r="BH327" s="550">
        <f t="shared" ref="BH327:BH390" si="84">+IFERROR(ROUND(AX327*100/(100+$AT327),0),AX327)</f>
        <v>0</v>
      </c>
      <c r="BI327" s="550">
        <f t="shared" ref="BI327:BI390" si="85">SUM(BF327:BH327)</f>
        <v>0</v>
      </c>
      <c r="BJ327" s="550">
        <f t="shared" ref="BJ327:BJ390" si="86">+IFERROR(ROUND(AZ327*100/(100+$AT327),0),AZ327)</f>
        <v>2000</v>
      </c>
      <c r="BK327" s="550">
        <f t="shared" ref="BK327:BK390" si="87">+IFERROR(ROUND(BA327*100/(100+$AT327),0),BA327)</f>
        <v>2000</v>
      </c>
      <c r="BL327" s="550">
        <f t="shared" ref="BL327:BL390" si="88">SUM(BJ327:BK327)</f>
        <v>4000</v>
      </c>
      <c r="BM327" s="550">
        <f t="shared" ref="BM327:BM390" si="89">+BI327+BL327</f>
        <v>4000</v>
      </c>
      <c r="BO327" s="194"/>
      <c r="BQ327" s="193">
        <f t="shared" ref="BQ327:BQ390" si="90">AY327*100/(100+$AT327)-BI327</f>
        <v>0</v>
      </c>
      <c r="BR327" s="193">
        <f t="shared" ref="BR327:BR390" si="91">BB327*100/(100+$AT327)-BL327</f>
        <v>0</v>
      </c>
    </row>
    <row r="328" spans="1:72" ht="13.5" customHeight="1">
      <c r="A328" s="193" t="s">
        <v>378</v>
      </c>
      <c r="B328" s="193" t="s">
        <v>379</v>
      </c>
      <c r="C328" s="193" t="s">
        <v>214</v>
      </c>
      <c r="D328" s="193" t="s">
        <v>1165</v>
      </c>
      <c r="E328" s="193" t="s">
        <v>1166</v>
      </c>
      <c r="F328" s="193" t="s">
        <v>583</v>
      </c>
      <c r="G328" s="193" t="s">
        <v>583</v>
      </c>
      <c r="H328" s="193" t="s">
        <v>1168</v>
      </c>
      <c r="I328" s="193" t="s">
        <v>512</v>
      </c>
      <c r="J328" s="193" t="s">
        <v>1292</v>
      </c>
      <c r="K328" s="193" t="s">
        <v>386</v>
      </c>
      <c r="L328" s="193" t="s">
        <v>387</v>
      </c>
      <c r="M328" s="193" t="s">
        <v>378</v>
      </c>
      <c r="N328" s="193" t="s">
        <v>1170</v>
      </c>
      <c r="O328" s="193" t="s">
        <v>129</v>
      </c>
      <c r="P328" s="193" t="s">
        <v>150</v>
      </c>
      <c r="Q328" s="193" t="s">
        <v>149</v>
      </c>
      <c r="R328" s="193" t="s">
        <v>148</v>
      </c>
      <c r="S328" s="193" t="s">
        <v>147</v>
      </c>
      <c r="T328" s="193" t="s">
        <v>389</v>
      </c>
      <c r="U328" s="193" t="s">
        <v>390</v>
      </c>
      <c r="V328" s="193">
        <v>0</v>
      </c>
      <c r="W328" s="193">
        <v>0</v>
      </c>
      <c r="X328" s="193">
        <v>0</v>
      </c>
      <c r="Y328" s="194">
        <v>12000</v>
      </c>
      <c r="Z328" s="193" t="s">
        <v>515</v>
      </c>
      <c r="AA328" s="193" t="s">
        <v>516</v>
      </c>
      <c r="AB328" s="193">
        <v>12000</v>
      </c>
      <c r="AC328" s="193" t="s">
        <v>1171</v>
      </c>
      <c r="AD328" s="193" t="s">
        <v>147</v>
      </c>
      <c r="AE328" s="193">
        <v>12000</v>
      </c>
      <c r="AF328" s="193" t="s">
        <v>518</v>
      </c>
      <c r="AG328" s="193" t="s">
        <v>519</v>
      </c>
      <c r="AH328" s="193">
        <v>0</v>
      </c>
      <c r="AI328" s="193">
        <v>12000</v>
      </c>
      <c r="AJ328" s="193" t="s">
        <v>1293</v>
      </c>
      <c r="AL328" s="197" t="s">
        <v>1294</v>
      </c>
      <c r="AM328" s="193">
        <v>1</v>
      </c>
      <c r="AN328" s="193">
        <v>0</v>
      </c>
      <c r="AO328" s="193">
        <v>0</v>
      </c>
      <c r="AP328" s="193">
        <v>0</v>
      </c>
      <c r="AQ328" s="193" t="s">
        <v>214</v>
      </c>
      <c r="AS328" s="197" t="s">
        <v>518</v>
      </c>
      <c r="AT328" s="197" t="s">
        <v>519</v>
      </c>
      <c r="AV328" s="194">
        <v>0</v>
      </c>
      <c r="AW328" s="194">
        <v>0</v>
      </c>
      <c r="AX328" s="194">
        <v>0</v>
      </c>
      <c r="AY328" s="549">
        <v>0</v>
      </c>
      <c r="AZ328" s="194">
        <v>6000</v>
      </c>
      <c r="BA328" s="194">
        <v>6000</v>
      </c>
      <c r="BB328" s="551">
        <v>12000</v>
      </c>
      <c r="BC328" s="551">
        <v>12000</v>
      </c>
      <c r="BD328" s="551">
        <v>0</v>
      </c>
      <c r="BF328" s="550">
        <f t="shared" si="82"/>
        <v>0</v>
      </c>
      <c r="BG328" s="550">
        <f t="shared" si="83"/>
        <v>0</v>
      </c>
      <c r="BH328" s="550">
        <f t="shared" si="84"/>
        <v>0</v>
      </c>
      <c r="BI328" s="550">
        <f t="shared" si="85"/>
        <v>0</v>
      </c>
      <c r="BJ328" s="550">
        <f t="shared" si="86"/>
        <v>6000</v>
      </c>
      <c r="BK328" s="550">
        <f t="shared" si="87"/>
        <v>6000</v>
      </c>
      <c r="BL328" s="550">
        <f t="shared" si="88"/>
        <v>12000</v>
      </c>
      <c r="BM328" s="550">
        <f t="shared" si="89"/>
        <v>12000</v>
      </c>
      <c r="BO328" s="194"/>
      <c r="BQ328" s="193">
        <f t="shared" si="90"/>
        <v>0</v>
      </c>
      <c r="BR328" s="193">
        <f t="shared" si="91"/>
        <v>0</v>
      </c>
    </row>
    <row r="329" spans="1:72" ht="13.5" customHeight="1">
      <c r="A329" s="193" t="s">
        <v>378</v>
      </c>
      <c r="B329" s="193" t="s">
        <v>379</v>
      </c>
      <c r="C329" s="193" t="s">
        <v>214</v>
      </c>
      <c r="D329" s="193" t="s">
        <v>1165</v>
      </c>
      <c r="E329" s="193" t="s">
        <v>1166</v>
      </c>
      <c r="F329" s="193" t="s">
        <v>1194</v>
      </c>
      <c r="G329" s="193" t="s">
        <v>1194</v>
      </c>
      <c r="H329" s="193" t="s">
        <v>1168</v>
      </c>
      <c r="I329" s="193" t="s">
        <v>512</v>
      </c>
      <c r="J329" s="193" t="s">
        <v>1195</v>
      </c>
      <c r="K329" s="193" t="s">
        <v>386</v>
      </c>
      <c r="L329" s="193" t="s">
        <v>387</v>
      </c>
      <c r="M329" s="193" t="s">
        <v>378</v>
      </c>
      <c r="N329" s="193" t="s">
        <v>1170</v>
      </c>
      <c r="O329" s="193" t="s">
        <v>129</v>
      </c>
      <c r="P329" s="193" t="s">
        <v>150</v>
      </c>
      <c r="Q329" s="193" t="s">
        <v>149</v>
      </c>
      <c r="R329" s="193" t="s">
        <v>148</v>
      </c>
      <c r="S329" s="193" t="s">
        <v>147</v>
      </c>
      <c r="T329" s="193" t="s">
        <v>389</v>
      </c>
      <c r="U329" s="193" t="s">
        <v>390</v>
      </c>
      <c r="V329" s="193">
        <v>0</v>
      </c>
      <c r="W329" s="193">
        <v>0</v>
      </c>
      <c r="X329" s="193">
        <v>0</v>
      </c>
      <c r="Y329" s="194">
        <v>23000</v>
      </c>
      <c r="Z329" s="193" t="s">
        <v>515</v>
      </c>
      <c r="AA329" s="193" t="s">
        <v>516</v>
      </c>
      <c r="AB329" s="193">
        <v>23000</v>
      </c>
      <c r="AC329" s="193" t="s">
        <v>1171</v>
      </c>
      <c r="AD329" s="193" t="s">
        <v>147</v>
      </c>
      <c r="AE329" s="193">
        <v>23000</v>
      </c>
      <c r="AF329" s="193" t="s">
        <v>518</v>
      </c>
      <c r="AG329" s="193" t="s">
        <v>519</v>
      </c>
      <c r="AH329" s="193">
        <v>0</v>
      </c>
      <c r="AI329" s="193">
        <v>23000</v>
      </c>
      <c r="AJ329" s="193" t="s">
        <v>1196</v>
      </c>
      <c r="AL329" s="197" t="s">
        <v>1197</v>
      </c>
      <c r="AM329" s="193">
        <v>1</v>
      </c>
      <c r="AN329" s="193">
        <v>0</v>
      </c>
      <c r="AO329" s="193">
        <v>0</v>
      </c>
      <c r="AP329" s="193">
        <v>0</v>
      </c>
      <c r="AQ329" s="193" t="s">
        <v>214</v>
      </c>
      <c r="AS329" s="197" t="s">
        <v>518</v>
      </c>
      <c r="AT329" s="197" t="s">
        <v>519</v>
      </c>
      <c r="AV329" s="194">
        <v>0</v>
      </c>
      <c r="AW329" s="194">
        <v>0</v>
      </c>
      <c r="AX329" s="194">
        <v>0</v>
      </c>
      <c r="AY329" s="549">
        <v>0</v>
      </c>
      <c r="AZ329" s="194">
        <v>11500</v>
      </c>
      <c r="BA329" s="194">
        <v>11500</v>
      </c>
      <c r="BB329" s="551">
        <v>23000</v>
      </c>
      <c r="BC329" s="551">
        <v>23000</v>
      </c>
      <c r="BD329" s="551">
        <v>0</v>
      </c>
      <c r="BF329" s="550">
        <f t="shared" si="82"/>
        <v>0</v>
      </c>
      <c r="BG329" s="550">
        <f t="shared" si="83"/>
        <v>0</v>
      </c>
      <c r="BH329" s="550">
        <f t="shared" si="84"/>
        <v>0</v>
      </c>
      <c r="BI329" s="550">
        <f t="shared" si="85"/>
        <v>0</v>
      </c>
      <c r="BJ329" s="550">
        <f t="shared" si="86"/>
        <v>11500</v>
      </c>
      <c r="BK329" s="550">
        <f t="shared" si="87"/>
        <v>11500</v>
      </c>
      <c r="BL329" s="550">
        <f t="shared" si="88"/>
        <v>23000</v>
      </c>
      <c r="BM329" s="550">
        <f t="shared" si="89"/>
        <v>23000</v>
      </c>
      <c r="BO329" s="194"/>
      <c r="BQ329" s="193">
        <f t="shared" si="90"/>
        <v>0</v>
      </c>
      <c r="BR329" s="193">
        <f t="shared" si="91"/>
        <v>0</v>
      </c>
    </row>
    <row r="330" spans="1:72" ht="13.5" customHeight="1">
      <c r="A330" s="193" t="s">
        <v>378</v>
      </c>
      <c r="B330" s="193" t="s">
        <v>379</v>
      </c>
      <c r="C330" s="193" t="s">
        <v>214</v>
      </c>
      <c r="D330" s="193" t="s">
        <v>1165</v>
      </c>
      <c r="E330" s="193" t="s">
        <v>1166</v>
      </c>
      <c r="F330" s="193" t="s">
        <v>834</v>
      </c>
      <c r="G330" s="193" t="s">
        <v>834</v>
      </c>
      <c r="H330" s="193" t="s">
        <v>1168</v>
      </c>
      <c r="I330" s="193" t="s">
        <v>512</v>
      </c>
      <c r="J330" s="193" t="s">
        <v>1276</v>
      </c>
      <c r="K330" s="193" t="s">
        <v>386</v>
      </c>
      <c r="L330" s="193" t="s">
        <v>387</v>
      </c>
      <c r="M330" s="193" t="s">
        <v>378</v>
      </c>
      <c r="N330" s="193" t="s">
        <v>1170</v>
      </c>
      <c r="O330" s="193" t="s">
        <v>129</v>
      </c>
      <c r="P330" s="193" t="s">
        <v>150</v>
      </c>
      <c r="Q330" s="193" t="s">
        <v>149</v>
      </c>
      <c r="R330" s="193" t="s">
        <v>148</v>
      </c>
      <c r="S330" s="193" t="s">
        <v>147</v>
      </c>
      <c r="T330" s="193" t="s">
        <v>389</v>
      </c>
      <c r="U330" s="193" t="s">
        <v>390</v>
      </c>
      <c r="V330" s="193">
        <v>0</v>
      </c>
      <c r="W330" s="193">
        <v>0</v>
      </c>
      <c r="X330" s="193">
        <v>0</v>
      </c>
      <c r="Y330" s="194">
        <v>4000</v>
      </c>
      <c r="Z330" s="193" t="s">
        <v>515</v>
      </c>
      <c r="AA330" s="193" t="s">
        <v>516</v>
      </c>
      <c r="AB330" s="193">
        <v>4000</v>
      </c>
      <c r="AC330" s="193" t="s">
        <v>1171</v>
      </c>
      <c r="AD330" s="193" t="s">
        <v>147</v>
      </c>
      <c r="AE330" s="193">
        <v>4000</v>
      </c>
      <c r="AF330" s="193" t="s">
        <v>518</v>
      </c>
      <c r="AG330" s="193" t="s">
        <v>519</v>
      </c>
      <c r="AH330" s="193">
        <v>0</v>
      </c>
      <c r="AI330" s="193">
        <v>4000</v>
      </c>
      <c r="AJ330" s="193" t="s">
        <v>1277</v>
      </c>
      <c r="AL330" s="197" t="s">
        <v>1278</v>
      </c>
      <c r="AM330" s="193">
        <v>1</v>
      </c>
      <c r="AN330" s="193">
        <v>0</v>
      </c>
      <c r="AO330" s="193">
        <v>0</v>
      </c>
      <c r="AP330" s="193">
        <v>0</v>
      </c>
      <c r="AQ330" s="193" t="s">
        <v>214</v>
      </c>
      <c r="AS330" s="197" t="s">
        <v>518</v>
      </c>
      <c r="AT330" s="197" t="s">
        <v>519</v>
      </c>
      <c r="AV330" s="194">
        <v>0</v>
      </c>
      <c r="AW330" s="194">
        <v>0</v>
      </c>
      <c r="AX330" s="194">
        <v>0</v>
      </c>
      <c r="AY330" s="549">
        <v>0</v>
      </c>
      <c r="AZ330" s="194">
        <v>2000</v>
      </c>
      <c r="BA330" s="194">
        <v>2000</v>
      </c>
      <c r="BB330" s="551">
        <v>4000</v>
      </c>
      <c r="BC330" s="551">
        <v>4000</v>
      </c>
      <c r="BD330" s="551">
        <v>0</v>
      </c>
      <c r="BF330" s="550">
        <f t="shared" si="82"/>
        <v>0</v>
      </c>
      <c r="BG330" s="550">
        <f t="shared" si="83"/>
        <v>0</v>
      </c>
      <c r="BH330" s="550">
        <f t="shared" si="84"/>
        <v>0</v>
      </c>
      <c r="BI330" s="550">
        <f t="shared" si="85"/>
        <v>0</v>
      </c>
      <c r="BJ330" s="550">
        <f t="shared" si="86"/>
        <v>2000</v>
      </c>
      <c r="BK330" s="550">
        <f t="shared" si="87"/>
        <v>2000</v>
      </c>
      <c r="BL330" s="550">
        <f t="shared" si="88"/>
        <v>4000</v>
      </c>
      <c r="BM330" s="550">
        <f t="shared" si="89"/>
        <v>4000</v>
      </c>
      <c r="BO330" s="194"/>
      <c r="BQ330" s="193">
        <f t="shared" si="90"/>
        <v>0</v>
      </c>
      <c r="BR330" s="193">
        <f t="shared" si="91"/>
        <v>0</v>
      </c>
    </row>
    <row r="331" spans="1:72" ht="13.5" customHeight="1">
      <c r="A331" s="193" t="s">
        <v>378</v>
      </c>
      <c r="B331" s="193" t="s">
        <v>379</v>
      </c>
      <c r="C331" s="193" t="s">
        <v>214</v>
      </c>
      <c r="D331" s="193" t="s">
        <v>1165</v>
      </c>
      <c r="E331" s="193" t="s">
        <v>1166</v>
      </c>
      <c r="F331" s="193" t="s">
        <v>593</v>
      </c>
      <c r="G331" s="193" t="s">
        <v>593</v>
      </c>
      <c r="H331" s="193" t="s">
        <v>1168</v>
      </c>
      <c r="I331" s="193" t="s">
        <v>512</v>
      </c>
      <c r="J331" s="193" t="s">
        <v>1286</v>
      </c>
      <c r="K331" s="193" t="s">
        <v>386</v>
      </c>
      <c r="L331" s="193" t="s">
        <v>387</v>
      </c>
      <c r="M331" s="193" t="s">
        <v>378</v>
      </c>
      <c r="N331" s="193" t="s">
        <v>1170</v>
      </c>
      <c r="O331" s="193" t="s">
        <v>129</v>
      </c>
      <c r="P331" s="193" t="s">
        <v>150</v>
      </c>
      <c r="Q331" s="193" t="s">
        <v>149</v>
      </c>
      <c r="R331" s="193" t="s">
        <v>148</v>
      </c>
      <c r="S331" s="193" t="s">
        <v>147</v>
      </c>
      <c r="T331" s="193" t="s">
        <v>389</v>
      </c>
      <c r="U331" s="193" t="s">
        <v>390</v>
      </c>
      <c r="V331" s="193">
        <v>0</v>
      </c>
      <c r="W331" s="193">
        <v>0</v>
      </c>
      <c r="X331" s="193">
        <v>0</v>
      </c>
      <c r="Y331" s="194">
        <v>8000</v>
      </c>
      <c r="Z331" s="193" t="s">
        <v>515</v>
      </c>
      <c r="AA331" s="193" t="s">
        <v>516</v>
      </c>
      <c r="AB331" s="193">
        <v>8000</v>
      </c>
      <c r="AC331" s="193" t="s">
        <v>1171</v>
      </c>
      <c r="AD331" s="193" t="s">
        <v>147</v>
      </c>
      <c r="AE331" s="193">
        <v>8000</v>
      </c>
      <c r="AF331" s="193" t="s">
        <v>518</v>
      </c>
      <c r="AG331" s="193" t="s">
        <v>519</v>
      </c>
      <c r="AH331" s="193">
        <v>0</v>
      </c>
      <c r="AI331" s="193">
        <v>8000</v>
      </c>
      <c r="AJ331" s="193" t="s">
        <v>1287</v>
      </c>
      <c r="AL331" s="197" t="s">
        <v>1288</v>
      </c>
      <c r="AM331" s="193">
        <v>1</v>
      </c>
      <c r="AN331" s="193">
        <v>0</v>
      </c>
      <c r="AO331" s="193">
        <v>0</v>
      </c>
      <c r="AP331" s="193">
        <v>0</v>
      </c>
      <c r="AQ331" s="193" t="s">
        <v>214</v>
      </c>
      <c r="AS331" s="197" t="s">
        <v>518</v>
      </c>
      <c r="AT331" s="197" t="s">
        <v>519</v>
      </c>
      <c r="AV331" s="194">
        <v>0</v>
      </c>
      <c r="AW331" s="194">
        <v>0</v>
      </c>
      <c r="AX331" s="194">
        <v>0</v>
      </c>
      <c r="AY331" s="549">
        <v>0</v>
      </c>
      <c r="AZ331" s="194">
        <v>4000</v>
      </c>
      <c r="BA331" s="194">
        <v>4000</v>
      </c>
      <c r="BB331" s="551">
        <v>8000</v>
      </c>
      <c r="BC331" s="551">
        <v>8000</v>
      </c>
      <c r="BD331" s="551">
        <v>0</v>
      </c>
      <c r="BF331" s="550">
        <f t="shared" si="82"/>
        <v>0</v>
      </c>
      <c r="BG331" s="550">
        <f t="shared" si="83"/>
        <v>0</v>
      </c>
      <c r="BH331" s="550">
        <f t="shared" si="84"/>
        <v>0</v>
      </c>
      <c r="BI331" s="550">
        <f t="shared" si="85"/>
        <v>0</v>
      </c>
      <c r="BJ331" s="550">
        <f t="shared" si="86"/>
        <v>4000</v>
      </c>
      <c r="BK331" s="550">
        <f t="shared" si="87"/>
        <v>4000</v>
      </c>
      <c r="BL331" s="550">
        <f t="shared" si="88"/>
        <v>8000</v>
      </c>
      <c r="BM331" s="550">
        <f t="shared" si="89"/>
        <v>8000</v>
      </c>
      <c r="BO331" s="194"/>
      <c r="BQ331" s="193">
        <f t="shared" si="90"/>
        <v>0</v>
      </c>
      <c r="BR331" s="193">
        <f t="shared" si="91"/>
        <v>0</v>
      </c>
    </row>
    <row r="332" spans="1:72" ht="13.5" customHeight="1">
      <c r="A332" s="193" t="s">
        <v>378</v>
      </c>
      <c r="B332" s="193" t="s">
        <v>379</v>
      </c>
      <c r="C332" s="193" t="s">
        <v>214</v>
      </c>
      <c r="D332" s="193" t="s">
        <v>1165</v>
      </c>
      <c r="E332" s="193" t="s">
        <v>1166</v>
      </c>
      <c r="F332" s="193" t="s">
        <v>597</v>
      </c>
      <c r="G332" s="193" t="s">
        <v>597</v>
      </c>
      <c r="H332" s="193" t="s">
        <v>1168</v>
      </c>
      <c r="I332" s="193" t="s">
        <v>512</v>
      </c>
      <c r="J332" s="193" t="s">
        <v>1289</v>
      </c>
      <c r="K332" s="193" t="s">
        <v>386</v>
      </c>
      <c r="L332" s="193" t="s">
        <v>387</v>
      </c>
      <c r="M332" s="193" t="s">
        <v>378</v>
      </c>
      <c r="N332" s="193" t="s">
        <v>1170</v>
      </c>
      <c r="O332" s="193" t="s">
        <v>129</v>
      </c>
      <c r="P332" s="193" t="s">
        <v>150</v>
      </c>
      <c r="Q332" s="193" t="s">
        <v>149</v>
      </c>
      <c r="R332" s="193" t="s">
        <v>148</v>
      </c>
      <c r="S332" s="193" t="s">
        <v>147</v>
      </c>
      <c r="T332" s="193" t="s">
        <v>389</v>
      </c>
      <c r="U332" s="193" t="s">
        <v>390</v>
      </c>
      <c r="V332" s="193">
        <v>0</v>
      </c>
      <c r="W332" s="193">
        <v>0</v>
      </c>
      <c r="X332" s="193">
        <v>0</v>
      </c>
      <c r="Y332" s="194">
        <v>4000</v>
      </c>
      <c r="Z332" s="193" t="s">
        <v>515</v>
      </c>
      <c r="AA332" s="193" t="s">
        <v>516</v>
      </c>
      <c r="AB332" s="193">
        <v>4000</v>
      </c>
      <c r="AC332" s="193" t="s">
        <v>1171</v>
      </c>
      <c r="AD332" s="193" t="s">
        <v>147</v>
      </c>
      <c r="AE332" s="193">
        <v>4000</v>
      </c>
      <c r="AF332" s="193" t="s">
        <v>518</v>
      </c>
      <c r="AG332" s="193" t="s">
        <v>519</v>
      </c>
      <c r="AH332" s="193">
        <v>0</v>
      </c>
      <c r="AI332" s="193">
        <v>4000</v>
      </c>
      <c r="AJ332" s="193" t="s">
        <v>1290</v>
      </c>
      <c r="AL332" s="197" t="s">
        <v>1291</v>
      </c>
      <c r="AM332" s="193">
        <v>1</v>
      </c>
      <c r="AN332" s="193">
        <v>0</v>
      </c>
      <c r="AO332" s="193">
        <v>0</v>
      </c>
      <c r="AP332" s="193">
        <v>0</v>
      </c>
      <c r="AQ332" s="193" t="s">
        <v>214</v>
      </c>
      <c r="AS332" s="197" t="s">
        <v>518</v>
      </c>
      <c r="AT332" s="197" t="s">
        <v>519</v>
      </c>
      <c r="AV332" s="194">
        <v>0</v>
      </c>
      <c r="AW332" s="194">
        <v>0</v>
      </c>
      <c r="AX332" s="194">
        <v>0</v>
      </c>
      <c r="AY332" s="549">
        <v>0</v>
      </c>
      <c r="AZ332" s="194">
        <v>2000</v>
      </c>
      <c r="BA332" s="194">
        <v>2000</v>
      </c>
      <c r="BB332" s="551">
        <v>4000</v>
      </c>
      <c r="BC332" s="551">
        <v>4000</v>
      </c>
      <c r="BD332" s="551">
        <v>0</v>
      </c>
      <c r="BF332" s="550">
        <f t="shared" si="82"/>
        <v>0</v>
      </c>
      <c r="BG332" s="550">
        <f t="shared" si="83"/>
        <v>0</v>
      </c>
      <c r="BH332" s="550">
        <f t="shared" si="84"/>
        <v>0</v>
      </c>
      <c r="BI332" s="550">
        <f t="shared" si="85"/>
        <v>0</v>
      </c>
      <c r="BJ332" s="550">
        <f t="shared" si="86"/>
        <v>2000</v>
      </c>
      <c r="BK332" s="550">
        <f t="shared" si="87"/>
        <v>2000</v>
      </c>
      <c r="BL332" s="550">
        <f t="shared" si="88"/>
        <v>4000</v>
      </c>
      <c r="BM332" s="550">
        <f t="shared" si="89"/>
        <v>4000</v>
      </c>
      <c r="BO332" s="194"/>
      <c r="BQ332" s="193">
        <f t="shared" si="90"/>
        <v>0</v>
      </c>
      <c r="BR332" s="193">
        <f t="shared" si="91"/>
        <v>0</v>
      </c>
    </row>
    <row r="333" spans="1:72" ht="13.5" customHeight="1">
      <c r="A333" s="193" t="s">
        <v>378</v>
      </c>
      <c r="B333" s="193" t="s">
        <v>379</v>
      </c>
      <c r="C333" s="193" t="s">
        <v>214</v>
      </c>
      <c r="D333" s="193" t="s">
        <v>1165</v>
      </c>
      <c r="E333" s="193" t="s">
        <v>1166</v>
      </c>
      <c r="F333" s="193" t="s">
        <v>1266</v>
      </c>
      <c r="G333" s="193" t="s">
        <v>1266</v>
      </c>
      <c r="H333" s="193" t="s">
        <v>1168</v>
      </c>
      <c r="I333" s="193" t="s">
        <v>512</v>
      </c>
      <c r="J333" s="193" t="s">
        <v>1267</v>
      </c>
      <c r="K333" s="193" t="s">
        <v>386</v>
      </c>
      <c r="L333" s="193" t="s">
        <v>387</v>
      </c>
      <c r="M333" s="193" t="s">
        <v>378</v>
      </c>
      <c r="N333" s="193" t="s">
        <v>1170</v>
      </c>
      <c r="O333" s="193" t="s">
        <v>129</v>
      </c>
      <c r="P333" s="193" t="s">
        <v>150</v>
      </c>
      <c r="Q333" s="193" t="s">
        <v>149</v>
      </c>
      <c r="R333" s="193" t="s">
        <v>148</v>
      </c>
      <c r="S333" s="193" t="s">
        <v>147</v>
      </c>
      <c r="T333" s="193" t="s">
        <v>389</v>
      </c>
      <c r="U333" s="193" t="s">
        <v>390</v>
      </c>
      <c r="V333" s="193">
        <v>0</v>
      </c>
      <c r="W333" s="193">
        <v>0</v>
      </c>
      <c r="X333" s="193">
        <v>0</v>
      </c>
      <c r="Y333" s="194">
        <v>4000</v>
      </c>
      <c r="Z333" s="193" t="s">
        <v>515</v>
      </c>
      <c r="AA333" s="193" t="s">
        <v>516</v>
      </c>
      <c r="AB333" s="193">
        <v>4000</v>
      </c>
      <c r="AC333" s="193" t="s">
        <v>1171</v>
      </c>
      <c r="AD333" s="193" t="s">
        <v>147</v>
      </c>
      <c r="AE333" s="193">
        <v>4000</v>
      </c>
      <c r="AF333" s="193" t="s">
        <v>518</v>
      </c>
      <c r="AG333" s="193" t="s">
        <v>519</v>
      </c>
      <c r="AH333" s="193">
        <v>0</v>
      </c>
      <c r="AI333" s="193">
        <v>4000</v>
      </c>
      <c r="AJ333" s="193" t="s">
        <v>1268</v>
      </c>
      <c r="AL333" s="197" t="s">
        <v>1269</v>
      </c>
      <c r="AM333" s="193">
        <v>1</v>
      </c>
      <c r="AN333" s="193">
        <v>0</v>
      </c>
      <c r="AO333" s="193">
        <v>0</v>
      </c>
      <c r="AP333" s="193">
        <v>0</v>
      </c>
      <c r="AQ333" s="193" t="s">
        <v>214</v>
      </c>
      <c r="AS333" s="197" t="s">
        <v>518</v>
      </c>
      <c r="AT333" s="197" t="s">
        <v>519</v>
      </c>
      <c r="AV333" s="194">
        <v>0</v>
      </c>
      <c r="AW333" s="194">
        <v>0</v>
      </c>
      <c r="AX333" s="194">
        <v>0</v>
      </c>
      <c r="AY333" s="549">
        <v>0</v>
      </c>
      <c r="AZ333" s="194">
        <v>2000</v>
      </c>
      <c r="BA333" s="194">
        <v>2000</v>
      </c>
      <c r="BB333" s="551">
        <v>4000</v>
      </c>
      <c r="BC333" s="551">
        <v>4000</v>
      </c>
      <c r="BD333" s="551">
        <v>0</v>
      </c>
      <c r="BF333" s="550">
        <f t="shared" si="82"/>
        <v>0</v>
      </c>
      <c r="BG333" s="550">
        <f t="shared" si="83"/>
        <v>0</v>
      </c>
      <c r="BH333" s="550">
        <f t="shared" si="84"/>
        <v>0</v>
      </c>
      <c r="BI333" s="550">
        <f t="shared" si="85"/>
        <v>0</v>
      </c>
      <c r="BJ333" s="550">
        <f t="shared" si="86"/>
        <v>2000</v>
      </c>
      <c r="BK333" s="550">
        <f t="shared" si="87"/>
        <v>2000</v>
      </c>
      <c r="BL333" s="550">
        <f t="shared" si="88"/>
        <v>4000</v>
      </c>
      <c r="BM333" s="550">
        <f t="shared" si="89"/>
        <v>4000</v>
      </c>
      <c r="BO333" s="194"/>
      <c r="BQ333" s="193">
        <f t="shared" si="90"/>
        <v>0</v>
      </c>
      <c r="BR333" s="193">
        <f t="shared" si="91"/>
        <v>0</v>
      </c>
    </row>
    <row r="334" spans="1:72" ht="13.5" customHeight="1">
      <c r="A334" s="193" t="s">
        <v>378</v>
      </c>
      <c r="B334" s="193" t="s">
        <v>379</v>
      </c>
      <c r="C334" s="193" t="s">
        <v>214</v>
      </c>
      <c r="D334" s="193" t="s">
        <v>1165</v>
      </c>
      <c r="E334" s="193" t="s">
        <v>1166</v>
      </c>
      <c r="F334" s="193" t="s">
        <v>865</v>
      </c>
      <c r="G334" s="193" t="s">
        <v>865</v>
      </c>
      <c r="H334" s="193" t="s">
        <v>1168</v>
      </c>
      <c r="I334" s="193" t="s">
        <v>512</v>
      </c>
      <c r="J334" s="193" t="s">
        <v>1279</v>
      </c>
      <c r="K334" s="193" t="s">
        <v>386</v>
      </c>
      <c r="L334" s="193" t="s">
        <v>387</v>
      </c>
      <c r="M334" s="193" t="s">
        <v>378</v>
      </c>
      <c r="N334" s="193" t="s">
        <v>1170</v>
      </c>
      <c r="O334" s="193" t="s">
        <v>129</v>
      </c>
      <c r="P334" s="193" t="s">
        <v>150</v>
      </c>
      <c r="Q334" s="193" t="s">
        <v>149</v>
      </c>
      <c r="R334" s="193" t="s">
        <v>148</v>
      </c>
      <c r="S334" s="193" t="s">
        <v>147</v>
      </c>
      <c r="T334" s="193" t="s">
        <v>389</v>
      </c>
      <c r="U334" s="193" t="s">
        <v>390</v>
      </c>
      <c r="V334" s="193">
        <v>0</v>
      </c>
      <c r="W334" s="193">
        <v>0</v>
      </c>
      <c r="X334" s="193">
        <v>0</v>
      </c>
      <c r="Y334" s="194">
        <v>8000</v>
      </c>
      <c r="Z334" s="193" t="s">
        <v>515</v>
      </c>
      <c r="AA334" s="193" t="s">
        <v>516</v>
      </c>
      <c r="AB334" s="193">
        <v>8000</v>
      </c>
      <c r="AC334" s="193" t="s">
        <v>1171</v>
      </c>
      <c r="AD334" s="193" t="s">
        <v>147</v>
      </c>
      <c r="AE334" s="193">
        <v>8000</v>
      </c>
      <c r="AF334" s="193" t="s">
        <v>518</v>
      </c>
      <c r="AG334" s="193" t="s">
        <v>519</v>
      </c>
      <c r="AH334" s="193">
        <v>0</v>
      </c>
      <c r="AI334" s="193">
        <v>8000</v>
      </c>
      <c r="AJ334" s="193" t="s">
        <v>1280</v>
      </c>
      <c r="AL334" s="197" t="s">
        <v>1281</v>
      </c>
      <c r="AM334" s="193">
        <v>1</v>
      </c>
      <c r="AN334" s="193">
        <v>0</v>
      </c>
      <c r="AO334" s="193">
        <v>0</v>
      </c>
      <c r="AP334" s="193">
        <v>0</v>
      </c>
      <c r="AQ334" s="193" t="s">
        <v>214</v>
      </c>
      <c r="AS334" s="197" t="s">
        <v>518</v>
      </c>
      <c r="AT334" s="197" t="s">
        <v>519</v>
      </c>
      <c r="AV334" s="194">
        <v>0</v>
      </c>
      <c r="AW334" s="194">
        <v>0</v>
      </c>
      <c r="AX334" s="194">
        <v>0</v>
      </c>
      <c r="AY334" s="549">
        <v>0</v>
      </c>
      <c r="AZ334" s="194">
        <v>4000</v>
      </c>
      <c r="BA334" s="194">
        <v>4000</v>
      </c>
      <c r="BB334" s="551">
        <v>8000</v>
      </c>
      <c r="BC334" s="551">
        <v>8000</v>
      </c>
      <c r="BD334" s="551">
        <v>0</v>
      </c>
      <c r="BF334" s="550">
        <f t="shared" si="82"/>
        <v>0</v>
      </c>
      <c r="BG334" s="550">
        <f t="shared" si="83"/>
        <v>0</v>
      </c>
      <c r="BH334" s="550">
        <f t="shared" si="84"/>
        <v>0</v>
      </c>
      <c r="BI334" s="550">
        <f t="shared" si="85"/>
        <v>0</v>
      </c>
      <c r="BJ334" s="550">
        <f t="shared" si="86"/>
        <v>4000</v>
      </c>
      <c r="BK334" s="550">
        <f t="shared" si="87"/>
        <v>4000</v>
      </c>
      <c r="BL334" s="550">
        <f t="shared" si="88"/>
        <v>8000</v>
      </c>
      <c r="BM334" s="550">
        <f t="shared" si="89"/>
        <v>8000</v>
      </c>
      <c r="BO334" s="194"/>
      <c r="BQ334" s="193">
        <f t="shared" si="90"/>
        <v>0</v>
      </c>
      <c r="BR334" s="193">
        <f t="shared" si="91"/>
        <v>0</v>
      </c>
    </row>
    <row r="335" spans="1:72" ht="13.5" customHeight="1">
      <c r="A335" s="193" t="s">
        <v>378</v>
      </c>
      <c r="B335" s="193" t="s">
        <v>379</v>
      </c>
      <c r="C335" s="193" t="s">
        <v>214</v>
      </c>
      <c r="D335" s="193" t="s">
        <v>1165</v>
      </c>
      <c r="E335" s="193" t="s">
        <v>1166</v>
      </c>
      <c r="F335" s="193" t="s">
        <v>845</v>
      </c>
      <c r="G335" s="193" t="s">
        <v>845</v>
      </c>
      <c r="H335" s="193" t="s">
        <v>1168</v>
      </c>
      <c r="I335" s="193" t="s">
        <v>512</v>
      </c>
      <c r="J335" s="193" t="s">
        <v>1270</v>
      </c>
      <c r="K335" s="193" t="s">
        <v>386</v>
      </c>
      <c r="L335" s="193" t="s">
        <v>387</v>
      </c>
      <c r="M335" s="193" t="s">
        <v>378</v>
      </c>
      <c r="N335" s="193" t="s">
        <v>1170</v>
      </c>
      <c r="O335" s="193" t="s">
        <v>129</v>
      </c>
      <c r="P335" s="193" t="s">
        <v>150</v>
      </c>
      <c r="Q335" s="193" t="s">
        <v>149</v>
      </c>
      <c r="R335" s="193" t="s">
        <v>148</v>
      </c>
      <c r="S335" s="193" t="s">
        <v>147</v>
      </c>
      <c r="T335" s="193" t="s">
        <v>389</v>
      </c>
      <c r="U335" s="193" t="s">
        <v>390</v>
      </c>
      <c r="V335" s="193">
        <v>0</v>
      </c>
      <c r="W335" s="193">
        <v>0</v>
      </c>
      <c r="X335" s="193">
        <v>0</v>
      </c>
      <c r="Y335" s="194">
        <v>4000</v>
      </c>
      <c r="Z335" s="193" t="s">
        <v>515</v>
      </c>
      <c r="AA335" s="193" t="s">
        <v>516</v>
      </c>
      <c r="AB335" s="193">
        <v>4000</v>
      </c>
      <c r="AC335" s="193" t="s">
        <v>1171</v>
      </c>
      <c r="AD335" s="193" t="s">
        <v>147</v>
      </c>
      <c r="AE335" s="193">
        <v>4000</v>
      </c>
      <c r="AF335" s="193" t="s">
        <v>518</v>
      </c>
      <c r="AG335" s="193" t="s">
        <v>519</v>
      </c>
      <c r="AH335" s="193">
        <v>0</v>
      </c>
      <c r="AI335" s="193">
        <v>4000</v>
      </c>
      <c r="AJ335" s="193" t="s">
        <v>1271</v>
      </c>
      <c r="AL335" s="197" t="s">
        <v>1272</v>
      </c>
      <c r="AM335" s="193">
        <v>1</v>
      </c>
      <c r="AN335" s="193">
        <v>0</v>
      </c>
      <c r="AO335" s="193">
        <v>0</v>
      </c>
      <c r="AP335" s="193">
        <v>0</v>
      </c>
      <c r="AQ335" s="193" t="s">
        <v>214</v>
      </c>
      <c r="AS335" s="197" t="s">
        <v>518</v>
      </c>
      <c r="AT335" s="197" t="s">
        <v>519</v>
      </c>
      <c r="AV335" s="194">
        <v>0</v>
      </c>
      <c r="AW335" s="194">
        <v>0</v>
      </c>
      <c r="AX335" s="194">
        <v>0</v>
      </c>
      <c r="AY335" s="549">
        <v>0</v>
      </c>
      <c r="AZ335" s="194">
        <v>2000</v>
      </c>
      <c r="BA335" s="194">
        <v>2000</v>
      </c>
      <c r="BB335" s="551">
        <v>4000</v>
      </c>
      <c r="BC335" s="551">
        <v>4000</v>
      </c>
      <c r="BD335" s="551">
        <v>0</v>
      </c>
      <c r="BF335" s="550">
        <f t="shared" si="82"/>
        <v>0</v>
      </c>
      <c r="BG335" s="550">
        <f t="shared" si="83"/>
        <v>0</v>
      </c>
      <c r="BH335" s="550">
        <f t="shared" si="84"/>
        <v>0</v>
      </c>
      <c r="BI335" s="550">
        <f t="shared" si="85"/>
        <v>0</v>
      </c>
      <c r="BJ335" s="550">
        <f t="shared" si="86"/>
        <v>2000</v>
      </c>
      <c r="BK335" s="550">
        <f t="shared" si="87"/>
        <v>2000</v>
      </c>
      <c r="BL335" s="550">
        <f t="shared" si="88"/>
        <v>4000</v>
      </c>
      <c r="BM335" s="550">
        <f t="shared" si="89"/>
        <v>4000</v>
      </c>
      <c r="BO335" s="194"/>
      <c r="BQ335" s="193">
        <f t="shared" si="90"/>
        <v>0</v>
      </c>
      <c r="BR335" s="193">
        <f t="shared" si="91"/>
        <v>0</v>
      </c>
    </row>
    <row r="336" spans="1:72" ht="13.5" customHeight="1">
      <c r="A336" s="193" t="s">
        <v>378</v>
      </c>
      <c r="B336" s="193" t="s">
        <v>379</v>
      </c>
      <c r="C336" s="193" t="s">
        <v>214</v>
      </c>
      <c r="D336" s="193" t="s">
        <v>1165</v>
      </c>
      <c r="E336" s="193" t="s">
        <v>1166</v>
      </c>
      <c r="F336" s="193" t="s">
        <v>1306</v>
      </c>
      <c r="G336" s="193" t="s">
        <v>1306</v>
      </c>
      <c r="H336" s="193" t="s">
        <v>1168</v>
      </c>
      <c r="I336" s="193" t="s">
        <v>512</v>
      </c>
      <c r="J336" s="193" t="s">
        <v>1307</v>
      </c>
      <c r="K336" s="193" t="s">
        <v>386</v>
      </c>
      <c r="L336" s="193" t="s">
        <v>387</v>
      </c>
      <c r="M336" s="193" t="s">
        <v>378</v>
      </c>
      <c r="N336" s="193" t="s">
        <v>1170</v>
      </c>
      <c r="O336" s="193" t="s">
        <v>129</v>
      </c>
      <c r="P336" s="193" t="s">
        <v>150</v>
      </c>
      <c r="Q336" s="193" t="s">
        <v>149</v>
      </c>
      <c r="R336" s="193" t="s">
        <v>148</v>
      </c>
      <c r="S336" s="193" t="s">
        <v>147</v>
      </c>
      <c r="T336" s="193" t="s">
        <v>389</v>
      </c>
      <c r="U336" s="193" t="s">
        <v>390</v>
      </c>
      <c r="V336" s="193">
        <v>0</v>
      </c>
      <c r="W336" s="193">
        <v>0</v>
      </c>
      <c r="X336" s="193">
        <v>0</v>
      </c>
      <c r="Y336" s="194">
        <v>4000</v>
      </c>
      <c r="Z336" s="193" t="s">
        <v>515</v>
      </c>
      <c r="AA336" s="193" t="s">
        <v>516</v>
      </c>
      <c r="AB336" s="193">
        <v>4000</v>
      </c>
      <c r="AC336" s="193" t="s">
        <v>1171</v>
      </c>
      <c r="AD336" s="193" t="s">
        <v>147</v>
      </c>
      <c r="AE336" s="193">
        <v>4000</v>
      </c>
      <c r="AF336" s="193" t="s">
        <v>518</v>
      </c>
      <c r="AG336" s="193" t="s">
        <v>519</v>
      </c>
      <c r="AH336" s="193">
        <v>0</v>
      </c>
      <c r="AI336" s="193">
        <v>4000</v>
      </c>
      <c r="AJ336" s="193" t="s">
        <v>1308</v>
      </c>
      <c r="AL336" s="197" t="s">
        <v>1309</v>
      </c>
      <c r="AM336" s="193">
        <v>1</v>
      </c>
      <c r="AN336" s="193">
        <v>0</v>
      </c>
      <c r="AO336" s="193">
        <v>0</v>
      </c>
      <c r="AP336" s="193">
        <v>0</v>
      </c>
      <c r="AQ336" s="193" t="s">
        <v>214</v>
      </c>
      <c r="AS336" s="197" t="s">
        <v>518</v>
      </c>
      <c r="AT336" s="197" t="s">
        <v>519</v>
      </c>
      <c r="AV336" s="194">
        <v>0</v>
      </c>
      <c r="AW336" s="194">
        <v>0</v>
      </c>
      <c r="AX336" s="194">
        <v>0</v>
      </c>
      <c r="AY336" s="549">
        <v>0</v>
      </c>
      <c r="AZ336" s="194">
        <v>2000</v>
      </c>
      <c r="BA336" s="194">
        <v>2000</v>
      </c>
      <c r="BB336" s="551">
        <v>4000</v>
      </c>
      <c r="BC336" s="551">
        <v>4000</v>
      </c>
      <c r="BD336" s="551">
        <v>0</v>
      </c>
      <c r="BF336" s="550">
        <f t="shared" si="82"/>
        <v>0</v>
      </c>
      <c r="BG336" s="550">
        <f t="shared" si="83"/>
        <v>0</v>
      </c>
      <c r="BH336" s="550">
        <f t="shared" si="84"/>
        <v>0</v>
      </c>
      <c r="BI336" s="550">
        <f t="shared" si="85"/>
        <v>0</v>
      </c>
      <c r="BJ336" s="550">
        <f t="shared" si="86"/>
        <v>2000</v>
      </c>
      <c r="BK336" s="550">
        <f t="shared" si="87"/>
        <v>2000</v>
      </c>
      <c r="BL336" s="550">
        <f t="shared" si="88"/>
        <v>4000</v>
      </c>
      <c r="BM336" s="550">
        <f t="shared" si="89"/>
        <v>4000</v>
      </c>
      <c r="BO336" s="194"/>
      <c r="BQ336" s="193">
        <f t="shared" si="90"/>
        <v>0</v>
      </c>
      <c r="BR336" s="193">
        <f t="shared" si="91"/>
        <v>0</v>
      </c>
    </row>
    <row r="337" spans="1:70" ht="13.5" customHeight="1">
      <c r="A337" s="193" t="s">
        <v>378</v>
      </c>
      <c r="B337" s="193" t="s">
        <v>379</v>
      </c>
      <c r="C337" s="193" t="s">
        <v>214</v>
      </c>
      <c r="D337" s="193" t="s">
        <v>1165</v>
      </c>
      <c r="E337" s="193" t="s">
        <v>1166</v>
      </c>
      <c r="F337" s="193" t="s">
        <v>1031</v>
      </c>
      <c r="G337" s="193" t="s">
        <v>1031</v>
      </c>
      <c r="H337" s="193" t="s">
        <v>1168</v>
      </c>
      <c r="I337" s="193" t="s">
        <v>512</v>
      </c>
      <c r="J337" s="193" t="s">
        <v>1310</v>
      </c>
      <c r="K337" s="193" t="s">
        <v>386</v>
      </c>
      <c r="L337" s="193" t="s">
        <v>387</v>
      </c>
      <c r="M337" s="193" t="s">
        <v>378</v>
      </c>
      <c r="N337" s="193" t="s">
        <v>1170</v>
      </c>
      <c r="O337" s="193" t="s">
        <v>129</v>
      </c>
      <c r="P337" s="193" t="s">
        <v>150</v>
      </c>
      <c r="Q337" s="193" t="s">
        <v>149</v>
      </c>
      <c r="R337" s="193" t="s">
        <v>148</v>
      </c>
      <c r="S337" s="193" t="s">
        <v>147</v>
      </c>
      <c r="T337" s="193" t="s">
        <v>389</v>
      </c>
      <c r="U337" s="193" t="s">
        <v>390</v>
      </c>
      <c r="V337" s="193">
        <v>0</v>
      </c>
      <c r="W337" s="193">
        <v>0</v>
      </c>
      <c r="X337" s="193">
        <v>0</v>
      </c>
      <c r="Y337" s="194">
        <v>4000</v>
      </c>
      <c r="Z337" s="193" t="s">
        <v>515</v>
      </c>
      <c r="AA337" s="193" t="s">
        <v>516</v>
      </c>
      <c r="AB337" s="193">
        <v>4000</v>
      </c>
      <c r="AC337" s="193" t="s">
        <v>1171</v>
      </c>
      <c r="AD337" s="193" t="s">
        <v>147</v>
      </c>
      <c r="AE337" s="193">
        <v>4000</v>
      </c>
      <c r="AF337" s="193" t="s">
        <v>518</v>
      </c>
      <c r="AG337" s="193" t="s">
        <v>519</v>
      </c>
      <c r="AH337" s="193">
        <v>0</v>
      </c>
      <c r="AI337" s="193">
        <v>4000</v>
      </c>
      <c r="AJ337" s="193" t="s">
        <v>1311</v>
      </c>
      <c r="AL337" s="197" t="s">
        <v>1312</v>
      </c>
      <c r="AM337" s="193">
        <v>1</v>
      </c>
      <c r="AN337" s="193">
        <v>0</v>
      </c>
      <c r="AO337" s="193">
        <v>0</v>
      </c>
      <c r="AP337" s="193">
        <v>0</v>
      </c>
      <c r="AQ337" s="193" t="s">
        <v>214</v>
      </c>
      <c r="AS337" s="197" t="s">
        <v>518</v>
      </c>
      <c r="AT337" s="197" t="s">
        <v>519</v>
      </c>
      <c r="AV337" s="194">
        <v>0</v>
      </c>
      <c r="AW337" s="194">
        <v>0</v>
      </c>
      <c r="AX337" s="194">
        <v>0</v>
      </c>
      <c r="AY337" s="549">
        <v>0</v>
      </c>
      <c r="AZ337" s="194">
        <v>2000</v>
      </c>
      <c r="BA337" s="194">
        <v>2000</v>
      </c>
      <c r="BB337" s="551">
        <v>4000</v>
      </c>
      <c r="BC337" s="551">
        <v>4000</v>
      </c>
      <c r="BD337" s="551">
        <v>0</v>
      </c>
      <c r="BF337" s="550">
        <f t="shared" si="82"/>
        <v>0</v>
      </c>
      <c r="BG337" s="550">
        <f t="shared" si="83"/>
        <v>0</v>
      </c>
      <c r="BH337" s="550">
        <f t="shared" si="84"/>
        <v>0</v>
      </c>
      <c r="BI337" s="550">
        <f t="shared" si="85"/>
        <v>0</v>
      </c>
      <c r="BJ337" s="550">
        <f t="shared" si="86"/>
        <v>2000</v>
      </c>
      <c r="BK337" s="550">
        <f t="shared" si="87"/>
        <v>2000</v>
      </c>
      <c r="BL337" s="550">
        <f t="shared" si="88"/>
        <v>4000</v>
      </c>
      <c r="BM337" s="550">
        <f t="shared" si="89"/>
        <v>4000</v>
      </c>
      <c r="BO337" s="194"/>
      <c r="BQ337" s="193">
        <f t="shared" si="90"/>
        <v>0</v>
      </c>
      <c r="BR337" s="193">
        <f t="shared" si="91"/>
        <v>0</v>
      </c>
    </row>
    <row r="338" spans="1:70" ht="13.5" customHeight="1">
      <c r="A338" s="193" t="s">
        <v>378</v>
      </c>
      <c r="B338" s="193" t="s">
        <v>379</v>
      </c>
      <c r="C338" s="193" t="s">
        <v>214</v>
      </c>
      <c r="D338" s="193" t="s">
        <v>1165</v>
      </c>
      <c r="E338" s="193" t="s">
        <v>1166</v>
      </c>
      <c r="F338" s="193" t="s">
        <v>1313</v>
      </c>
      <c r="G338" s="193" t="s">
        <v>1313</v>
      </c>
      <c r="H338" s="193" t="s">
        <v>1168</v>
      </c>
      <c r="I338" s="193" t="s">
        <v>512</v>
      </c>
      <c r="J338" s="193" t="s">
        <v>1314</v>
      </c>
      <c r="K338" s="193" t="s">
        <v>386</v>
      </c>
      <c r="L338" s="193" t="s">
        <v>387</v>
      </c>
      <c r="M338" s="193" t="s">
        <v>378</v>
      </c>
      <c r="N338" s="193" t="s">
        <v>1170</v>
      </c>
      <c r="O338" s="193" t="s">
        <v>129</v>
      </c>
      <c r="P338" s="193" t="s">
        <v>150</v>
      </c>
      <c r="Q338" s="193" t="s">
        <v>149</v>
      </c>
      <c r="R338" s="193" t="s">
        <v>148</v>
      </c>
      <c r="S338" s="193" t="s">
        <v>147</v>
      </c>
      <c r="T338" s="193" t="s">
        <v>389</v>
      </c>
      <c r="U338" s="193" t="s">
        <v>390</v>
      </c>
      <c r="V338" s="193">
        <v>0</v>
      </c>
      <c r="W338" s="193">
        <v>0</v>
      </c>
      <c r="X338" s="193">
        <v>0</v>
      </c>
      <c r="Y338" s="194">
        <v>19000</v>
      </c>
      <c r="Z338" s="193" t="s">
        <v>515</v>
      </c>
      <c r="AA338" s="193" t="s">
        <v>516</v>
      </c>
      <c r="AB338" s="193">
        <v>19000</v>
      </c>
      <c r="AC338" s="193" t="s">
        <v>1171</v>
      </c>
      <c r="AD338" s="193" t="s">
        <v>147</v>
      </c>
      <c r="AE338" s="193">
        <v>19000</v>
      </c>
      <c r="AF338" s="193" t="s">
        <v>518</v>
      </c>
      <c r="AG338" s="193" t="s">
        <v>519</v>
      </c>
      <c r="AH338" s="193">
        <v>0</v>
      </c>
      <c r="AI338" s="193">
        <v>19000</v>
      </c>
      <c r="AJ338" s="193" t="s">
        <v>1315</v>
      </c>
      <c r="AL338" s="197" t="s">
        <v>1316</v>
      </c>
      <c r="AM338" s="193">
        <v>1</v>
      </c>
      <c r="AN338" s="193">
        <v>0</v>
      </c>
      <c r="AO338" s="193">
        <v>0</v>
      </c>
      <c r="AP338" s="193">
        <v>0</v>
      </c>
      <c r="AQ338" s="193" t="s">
        <v>214</v>
      </c>
      <c r="AS338" s="197" t="s">
        <v>518</v>
      </c>
      <c r="AT338" s="197" t="s">
        <v>519</v>
      </c>
      <c r="AV338" s="194">
        <v>0</v>
      </c>
      <c r="AW338" s="194">
        <v>0</v>
      </c>
      <c r="AX338" s="194">
        <v>0</v>
      </c>
      <c r="AY338" s="549">
        <v>0</v>
      </c>
      <c r="AZ338" s="194">
        <v>9500</v>
      </c>
      <c r="BA338" s="194">
        <v>9500</v>
      </c>
      <c r="BB338" s="551">
        <v>19000</v>
      </c>
      <c r="BC338" s="551">
        <v>19000</v>
      </c>
      <c r="BD338" s="551">
        <v>0</v>
      </c>
      <c r="BF338" s="550">
        <f t="shared" si="82"/>
        <v>0</v>
      </c>
      <c r="BG338" s="550">
        <f t="shared" si="83"/>
        <v>0</v>
      </c>
      <c r="BH338" s="550">
        <f t="shared" si="84"/>
        <v>0</v>
      </c>
      <c r="BI338" s="550">
        <f t="shared" si="85"/>
        <v>0</v>
      </c>
      <c r="BJ338" s="550">
        <f t="shared" si="86"/>
        <v>9500</v>
      </c>
      <c r="BK338" s="550">
        <f t="shared" si="87"/>
        <v>9500</v>
      </c>
      <c r="BL338" s="550">
        <f t="shared" si="88"/>
        <v>19000</v>
      </c>
      <c r="BM338" s="550">
        <f t="shared" si="89"/>
        <v>19000</v>
      </c>
      <c r="BO338" s="194"/>
      <c r="BQ338" s="193">
        <f t="shared" si="90"/>
        <v>0</v>
      </c>
      <c r="BR338" s="193">
        <f t="shared" si="91"/>
        <v>0</v>
      </c>
    </row>
    <row r="339" spans="1:70" ht="13.5" customHeight="1">
      <c r="A339" s="193" t="s">
        <v>378</v>
      </c>
      <c r="B339" s="193" t="s">
        <v>379</v>
      </c>
      <c r="C339" s="193" t="s">
        <v>214</v>
      </c>
      <c r="D339" s="193" t="s">
        <v>1165</v>
      </c>
      <c r="E339" s="193" t="s">
        <v>1166</v>
      </c>
      <c r="F339" s="193" t="s">
        <v>801</v>
      </c>
      <c r="G339" s="193" t="s">
        <v>801</v>
      </c>
      <c r="H339" s="193" t="s">
        <v>1168</v>
      </c>
      <c r="I339" s="193" t="s">
        <v>512</v>
      </c>
      <c r="J339" s="193" t="s">
        <v>1317</v>
      </c>
      <c r="K339" s="193" t="s">
        <v>386</v>
      </c>
      <c r="L339" s="193" t="s">
        <v>387</v>
      </c>
      <c r="M339" s="193" t="s">
        <v>378</v>
      </c>
      <c r="N339" s="193" t="s">
        <v>1170</v>
      </c>
      <c r="O339" s="193" t="s">
        <v>129</v>
      </c>
      <c r="P339" s="193" t="s">
        <v>150</v>
      </c>
      <c r="Q339" s="193" t="s">
        <v>149</v>
      </c>
      <c r="R339" s="193" t="s">
        <v>148</v>
      </c>
      <c r="S339" s="193" t="s">
        <v>147</v>
      </c>
      <c r="T339" s="193" t="s">
        <v>389</v>
      </c>
      <c r="U339" s="193" t="s">
        <v>390</v>
      </c>
      <c r="V339" s="193">
        <v>0</v>
      </c>
      <c r="W339" s="193">
        <v>0</v>
      </c>
      <c r="X339" s="193">
        <v>0</v>
      </c>
      <c r="Y339" s="194">
        <v>4000</v>
      </c>
      <c r="Z339" s="193" t="s">
        <v>515</v>
      </c>
      <c r="AA339" s="193" t="s">
        <v>516</v>
      </c>
      <c r="AB339" s="193">
        <v>4000</v>
      </c>
      <c r="AC339" s="193" t="s">
        <v>1171</v>
      </c>
      <c r="AD339" s="193" t="s">
        <v>147</v>
      </c>
      <c r="AE339" s="193">
        <v>4000</v>
      </c>
      <c r="AF339" s="193" t="s">
        <v>518</v>
      </c>
      <c r="AG339" s="193" t="s">
        <v>519</v>
      </c>
      <c r="AH339" s="193">
        <v>0</v>
      </c>
      <c r="AI339" s="193">
        <v>4000</v>
      </c>
      <c r="AJ339" s="193" t="s">
        <v>1318</v>
      </c>
      <c r="AL339" s="197" t="s">
        <v>1319</v>
      </c>
      <c r="AM339" s="193">
        <v>1</v>
      </c>
      <c r="AN339" s="193">
        <v>0</v>
      </c>
      <c r="AO339" s="193">
        <v>0</v>
      </c>
      <c r="AP339" s="193">
        <v>0</v>
      </c>
      <c r="AQ339" s="193" t="s">
        <v>214</v>
      </c>
      <c r="AS339" s="197" t="s">
        <v>518</v>
      </c>
      <c r="AT339" s="197" t="s">
        <v>519</v>
      </c>
      <c r="AV339" s="194">
        <v>0</v>
      </c>
      <c r="AW339" s="194">
        <v>0</v>
      </c>
      <c r="AX339" s="194">
        <v>0</v>
      </c>
      <c r="AY339" s="549">
        <v>0</v>
      </c>
      <c r="AZ339" s="194">
        <v>2000</v>
      </c>
      <c r="BA339" s="194">
        <v>2000</v>
      </c>
      <c r="BB339" s="551">
        <v>4000</v>
      </c>
      <c r="BC339" s="551">
        <v>4000</v>
      </c>
      <c r="BD339" s="551">
        <v>0</v>
      </c>
      <c r="BF339" s="550">
        <f t="shared" si="82"/>
        <v>0</v>
      </c>
      <c r="BG339" s="550">
        <f t="shared" si="83"/>
        <v>0</v>
      </c>
      <c r="BH339" s="550">
        <f t="shared" si="84"/>
        <v>0</v>
      </c>
      <c r="BI339" s="550">
        <f t="shared" si="85"/>
        <v>0</v>
      </c>
      <c r="BJ339" s="550">
        <f t="shared" si="86"/>
        <v>2000</v>
      </c>
      <c r="BK339" s="550">
        <f t="shared" si="87"/>
        <v>2000</v>
      </c>
      <c r="BL339" s="550">
        <f t="shared" si="88"/>
        <v>4000</v>
      </c>
      <c r="BM339" s="550">
        <f t="shared" si="89"/>
        <v>4000</v>
      </c>
      <c r="BO339" s="194"/>
      <c r="BQ339" s="193">
        <f t="shared" si="90"/>
        <v>0</v>
      </c>
      <c r="BR339" s="193">
        <f t="shared" si="91"/>
        <v>0</v>
      </c>
    </row>
    <row r="340" spans="1:70" ht="13.5" customHeight="1">
      <c r="A340" s="193" t="s">
        <v>378</v>
      </c>
      <c r="B340" s="193" t="s">
        <v>379</v>
      </c>
      <c r="C340" s="193" t="s">
        <v>214</v>
      </c>
      <c r="D340" s="193" t="s">
        <v>1165</v>
      </c>
      <c r="E340" s="193" t="s">
        <v>1166</v>
      </c>
      <c r="F340" s="193" t="s">
        <v>615</v>
      </c>
      <c r="G340" s="193" t="s">
        <v>615</v>
      </c>
      <c r="H340" s="193" t="s">
        <v>1168</v>
      </c>
      <c r="I340" s="193" t="s">
        <v>512</v>
      </c>
      <c r="J340" s="193" t="s">
        <v>1273</v>
      </c>
      <c r="K340" s="193" t="s">
        <v>386</v>
      </c>
      <c r="L340" s="193" t="s">
        <v>387</v>
      </c>
      <c r="M340" s="193" t="s">
        <v>378</v>
      </c>
      <c r="N340" s="193" t="s">
        <v>1170</v>
      </c>
      <c r="O340" s="193" t="s">
        <v>129</v>
      </c>
      <c r="P340" s="193" t="s">
        <v>150</v>
      </c>
      <c r="Q340" s="193" t="s">
        <v>149</v>
      </c>
      <c r="R340" s="193" t="s">
        <v>148</v>
      </c>
      <c r="S340" s="193" t="s">
        <v>147</v>
      </c>
      <c r="T340" s="193" t="s">
        <v>389</v>
      </c>
      <c r="U340" s="193" t="s">
        <v>390</v>
      </c>
      <c r="V340" s="193">
        <v>0</v>
      </c>
      <c r="W340" s="193">
        <v>0</v>
      </c>
      <c r="X340" s="193">
        <v>0</v>
      </c>
      <c r="Y340" s="194">
        <v>23000</v>
      </c>
      <c r="Z340" s="193" t="s">
        <v>515</v>
      </c>
      <c r="AA340" s="193" t="s">
        <v>516</v>
      </c>
      <c r="AB340" s="193">
        <v>23000</v>
      </c>
      <c r="AC340" s="193" t="s">
        <v>1171</v>
      </c>
      <c r="AD340" s="193" t="s">
        <v>147</v>
      </c>
      <c r="AE340" s="193">
        <v>23000</v>
      </c>
      <c r="AF340" s="193" t="s">
        <v>518</v>
      </c>
      <c r="AG340" s="193" t="s">
        <v>519</v>
      </c>
      <c r="AH340" s="193">
        <v>0</v>
      </c>
      <c r="AI340" s="193">
        <v>23000</v>
      </c>
      <c r="AJ340" s="193" t="s">
        <v>1274</v>
      </c>
      <c r="AL340" s="197" t="s">
        <v>1275</v>
      </c>
      <c r="AM340" s="193">
        <v>1</v>
      </c>
      <c r="AN340" s="193">
        <v>0</v>
      </c>
      <c r="AO340" s="193">
        <v>0</v>
      </c>
      <c r="AP340" s="193">
        <v>0</v>
      </c>
      <c r="AQ340" s="193" t="s">
        <v>214</v>
      </c>
      <c r="AS340" s="197" t="s">
        <v>518</v>
      </c>
      <c r="AT340" s="197" t="s">
        <v>519</v>
      </c>
      <c r="AV340" s="194">
        <v>0</v>
      </c>
      <c r="AW340" s="194">
        <v>0</v>
      </c>
      <c r="AX340" s="194">
        <v>0</v>
      </c>
      <c r="AY340" s="549">
        <v>0</v>
      </c>
      <c r="AZ340" s="194">
        <v>11500</v>
      </c>
      <c r="BA340" s="194">
        <v>11500</v>
      </c>
      <c r="BB340" s="551">
        <v>23000</v>
      </c>
      <c r="BC340" s="551">
        <v>23000</v>
      </c>
      <c r="BD340" s="551">
        <v>0</v>
      </c>
      <c r="BF340" s="550">
        <f t="shared" si="82"/>
        <v>0</v>
      </c>
      <c r="BG340" s="550">
        <f t="shared" si="83"/>
        <v>0</v>
      </c>
      <c r="BH340" s="550">
        <f t="shared" si="84"/>
        <v>0</v>
      </c>
      <c r="BI340" s="550">
        <f t="shared" si="85"/>
        <v>0</v>
      </c>
      <c r="BJ340" s="550">
        <f t="shared" si="86"/>
        <v>11500</v>
      </c>
      <c r="BK340" s="550">
        <f t="shared" si="87"/>
        <v>11500</v>
      </c>
      <c r="BL340" s="550">
        <f t="shared" si="88"/>
        <v>23000</v>
      </c>
      <c r="BM340" s="550">
        <f t="shared" si="89"/>
        <v>23000</v>
      </c>
      <c r="BO340" s="194"/>
      <c r="BQ340" s="193">
        <f t="shared" si="90"/>
        <v>0</v>
      </c>
      <c r="BR340" s="193">
        <f t="shared" si="91"/>
        <v>0</v>
      </c>
    </row>
    <row r="341" spans="1:70" ht="13.5" customHeight="1">
      <c r="A341" s="193" t="s">
        <v>378</v>
      </c>
      <c r="B341" s="193" t="s">
        <v>379</v>
      </c>
      <c r="C341" s="193" t="s">
        <v>214</v>
      </c>
      <c r="D341" s="193" t="s">
        <v>1165</v>
      </c>
      <c r="E341" s="193" t="s">
        <v>1166</v>
      </c>
      <c r="F341" s="193" t="s">
        <v>1262</v>
      </c>
      <c r="G341" s="193" t="s">
        <v>1262</v>
      </c>
      <c r="H341" s="193" t="s">
        <v>1168</v>
      </c>
      <c r="I341" s="193" t="s">
        <v>512</v>
      </c>
      <c r="J341" s="193" t="s">
        <v>1263</v>
      </c>
      <c r="K341" s="193" t="s">
        <v>386</v>
      </c>
      <c r="L341" s="193" t="s">
        <v>387</v>
      </c>
      <c r="M341" s="193" t="s">
        <v>378</v>
      </c>
      <c r="N341" s="193" t="s">
        <v>1170</v>
      </c>
      <c r="O341" s="193" t="s">
        <v>129</v>
      </c>
      <c r="P341" s="193" t="s">
        <v>150</v>
      </c>
      <c r="Q341" s="193" t="s">
        <v>149</v>
      </c>
      <c r="R341" s="193" t="s">
        <v>148</v>
      </c>
      <c r="S341" s="193" t="s">
        <v>147</v>
      </c>
      <c r="T341" s="193" t="s">
        <v>389</v>
      </c>
      <c r="U341" s="193" t="s">
        <v>390</v>
      </c>
      <c r="V341" s="193">
        <v>0</v>
      </c>
      <c r="W341" s="193">
        <v>0</v>
      </c>
      <c r="X341" s="193">
        <v>0</v>
      </c>
      <c r="Y341" s="194">
        <v>15000</v>
      </c>
      <c r="Z341" s="193" t="s">
        <v>515</v>
      </c>
      <c r="AA341" s="193" t="s">
        <v>516</v>
      </c>
      <c r="AB341" s="193">
        <v>15000</v>
      </c>
      <c r="AC341" s="193" t="s">
        <v>1171</v>
      </c>
      <c r="AD341" s="193" t="s">
        <v>147</v>
      </c>
      <c r="AE341" s="193">
        <v>15000</v>
      </c>
      <c r="AF341" s="193" t="s">
        <v>518</v>
      </c>
      <c r="AG341" s="193" t="s">
        <v>519</v>
      </c>
      <c r="AH341" s="193">
        <v>0</v>
      </c>
      <c r="AI341" s="193">
        <v>15000</v>
      </c>
      <c r="AJ341" s="193" t="s">
        <v>1264</v>
      </c>
      <c r="AL341" s="197" t="s">
        <v>1265</v>
      </c>
      <c r="AM341" s="193">
        <v>1</v>
      </c>
      <c r="AN341" s="193">
        <v>0</v>
      </c>
      <c r="AO341" s="193">
        <v>0</v>
      </c>
      <c r="AP341" s="193">
        <v>0</v>
      </c>
      <c r="AQ341" s="193" t="s">
        <v>214</v>
      </c>
      <c r="AS341" s="197" t="s">
        <v>518</v>
      </c>
      <c r="AT341" s="197" t="s">
        <v>519</v>
      </c>
      <c r="AV341" s="194">
        <v>0</v>
      </c>
      <c r="AW341" s="194">
        <v>0</v>
      </c>
      <c r="AX341" s="194">
        <v>0</v>
      </c>
      <c r="AY341" s="549">
        <v>0</v>
      </c>
      <c r="AZ341" s="194">
        <v>7500</v>
      </c>
      <c r="BA341" s="194">
        <v>7500</v>
      </c>
      <c r="BB341" s="551">
        <v>15000</v>
      </c>
      <c r="BC341" s="551">
        <v>15000</v>
      </c>
      <c r="BD341" s="551">
        <v>0</v>
      </c>
      <c r="BF341" s="550">
        <f t="shared" si="82"/>
        <v>0</v>
      </c>
      <c r="BG341" s="550">
        <f t="shared" si="83"/>
        <v>0</v>
      </c>
      <c r="BH341" s="550">
        <f t="shared" si="84"/>
        <v>0</v>
      </c>
      <c r="BI341" s="550">
        <f t="shared" si="85"/>
        <v>0</v>
      </c>
      <c r="BJ341" s="550">
        <f t="shared" si="86"/>
        <v>7500</v>
      </c>
      <c r="BK341" s="550">
        <f t="shared" si="87"/>
        <v>7500</v>
      </c>
      <c r="BL341" s="550">
        <f t="shared" si="88"/>
        <v>15000</v>
      </c>
      <c r="BM341" s="550">
        <f t="shared" si="89"/>
        <v>15000</v>
      </c>
      <c r="BO341" s="194"/>
      <c r="BQ341" s="193">
        <f t="shared" si="90"/>
        <v>0</v>
      </c>
      <c r="BR341" s="193">
        <f t="shared" si="91"/>
        <v>0</v>
      </c>
    </row>
    <row r="342" spans="1:70" ht="13.5" customHeight="1">
      <c r="A342" s="193" t="s">
        <v>378</v>
      </c>
      <c r="B342" s="193" t="s">
        <v>379</v>
      </c>
      <c r="C342" s="193" t="s">
        <v>214</v>
      </c>
      <c r="D342" s="193" t="s">
        <v>1165</v>
      </c>
      <c r="E342" s="193" t="s">
        <v>1166</v>
      </c>
      <c r="F342" s="193" t="s">
        <v>690</v>
      </c>
      <c r="G342" s="193" t="s">
        <v>690</v>
      </c>
      <c r="H342" s="193" t="s">
        <v>1325</v>
      </c>
      <c r="I342" s="193" t="s">
        <v>512</v>
      </c>
      <c r="J342" s="193" t="s">
        <v>1393</v>
      </c>
      <c r="K342" s="193" t="s">
        <v>386</v>
      </c>
      <c r="L342" s="193" t="s">
        <v>387</v>
      </c>
      <c r="M342" s="193" t="s">
        <v>378</v>
      </c>
      <c r="N342" s="193" t="s">
        <v>1170</v>
      </c>
      <c r="O342" s="193" t="s">
        <v>129</v>
      </c>
      <c r="P342" s="193" t="s">
        <v>150</v>
      </c>
      <c r="Q342" s="193" t="s">
        <v>149</v>
      </c>
      <c r="R342" s="193" t="s">
        <v>148</v>
      </c>
      <c r="S342" s="193" t="s">
        <v>147</v>
      </c>
      <c r="T342" s="193" t="s">
        <v>389</v>
      </c>
      <c r="U342" s="193" t="s">
        <v>390</v>
      </c>
      <c r="V342" s="193">
        <v>0</v>
      </c>
      <c r="W342" s="193">
        <v>0</v>
      </c>
      <c r="X342" s="193">
        <v>0</v>
      </c>
      <c r="Y342" s="194">
        <v>4000</v>
      </c>
      <c r="Z342" s="193" t="s">
        <v>515</v>
      </c>
      <c r="AA342" s="193" t="s">
        <v>516</v>
      </c>
      <c r="AB342" s="193">
        <v>4000</v>
      </c>
      <c r="AC342" s="193" t="s">
        <v>1171</v>
      </c>
      <c r="AD342" s="193" t="s">
        <v>147</v>
      </c>
      <c r="AE342" s="193">
        <v>4000</v>
      </c>
      <c r="AF342" s="193" t="s">
        <v>518</v>
      </c>
      <c r="AG342" s="193" t="s">
        <v>519</v>
      </c>
      <c r="AH342" s="193">
        <v>0</v>
      </c>
      <c r="AI342" s="193">
        <v>4000</v>
      </c>
      <c r="AJ342" s="193" t="s">
        <v>1394</v>
      </c>
      <c r="AL342" s="197" t="s">
        <v>1395</v>
      </c>
      <c r="AM342" s="193">
        <v>1</v>
      </c>
      <c r="AN342" s="193">
        <v>0</v>
      </c>
      <c r="AO342" s="193">
        <v>0</v>
      </c>
      <c r="AP342" s="193">
        <v>0</v>
      </c>
      <c r="AQ342" s="193" t="s">
        <v>214</v>
      </c>
      <c r="AS342" s="197" t="s">
        <v>518</v>
      </c>
      <c r="AT342" s="197" t="s">
        <v>519</v>
      </c>
      <c r="AV342" s="194">
        <v>0</v>
      </c>
      <c r="AW342" s="194">
        <v>0</v>
      </c>
      <c r="AX342" s="194">
        <v>0</v>
      </c>
      <c r="AY342" s="549">
        <v>0</v>
      </c>
      <c r="AZ342" s="194">
        <v>2000</v>
      </c>
      <c r="BA342" s="194">
        <v>2000</v>
      </c>
      <c r="BB342" s="551">
        <v>4000</v>
      </c>
      <c r="BC342" s="551">
        <v>4000</v>
      </c>
      <c r="BD342" s="551">
        <v>0</v>
      </c>
      <c r="BF342" s="550">
        <f t="shared" si="82"/>
        <v>0</v>
      </c>
      <c r="BG342" s="550">
        <f t="shared" si="83"/>
        <v>0</v>
      </c>
      <c r="BH342" s="550">
        <f t="shared" si="84"/>
        <v>0</v>
      </c>
      <c r="BI342" s="550">
        <f t="shared" si="85"/>
        <v>0</v>
      </c>
      <c r="BJ342" s="550">
        <f t="shared" si="86"/>
        <v>2000</v>
      </c>
      <c r="BK342" s="550">
        <f t="shared" si="87"/>
        <v>2000</v>
      </c>
      <c r="BL342" s="550">
        <f t="shared" si="88"/>
        <v>4000</v>
      </c>
      <c r="BM342" s="550">
        <f t="shared" si="89"/>
        <v>4000</v>
      </c>
      <c r="BO342" s="194"/>
      <c r="BQ342" s="193">
        <f t="shared" si="90"/>
        <v>0</v>
      </c>
      <c r="BR342" s="193">
        <f t="shared" si="91"/>
        <v>0</v>
      </c>
    </row>
    <row r="343" spans="1:70" ht="13.5" customHeight="1">
      <c r="A343" s="193" t="s">
        <v>378</v>
      </c>
      <c r="B343" s="193" t="s">
        <v>379</v>
      </c>
      <c r="C343" s="193" t="s">
        <v>214</v>
      </c>
      <c r="D343" s="193" t="s">
        <v>1165</v>
      </c>
      <c r="E343" s="193" t="s">
        <v>1166</v>
      </c>
      <c r="F343" s="193" t="s">
        <v>1320</v>
      </c>
      <c r="G343" s="193" t="s">
        <v>1320</v>
      </c>
      <c r="H343" s="193" t="s">
        <v>1168</v>
      </c>
      <c r="I343" s="193" t="s">
        <v>512</v>
      </c>
      <c r="J343" s="193" t="s">
        <v>1321</v>
      </c>
      <c r="K343" s="193" t="s">
        <v>386</v>
      </c>
      <c r="L343" s="193" t="s">
        <v>387</v>
      </c>
      <c r="M343" s="193" t="s">
        <v>378</v>
      </c>
      <c r="N343" s="193" t="s">
        <v>1170</v>
      </c>
      <c r="O343" s="193" t="s">
        <v>129</v>
      </c>
      <c r="P343" s="193" t="s">
        <v>150</v>
      </c>
      <c r="Q343" s="193" t="s">
        <v>149</v>
      </c>
      <c r="R343" s="193" t="s">
        <v>148</v>
      </c>
      <c r="S343" s="193" t="s">
        <v>147</v>
      </c>
      <c r="T343" s="193" t="s">
        <v>389</v>
      </c>
      <c r="U343" s="193" t="s">
        <v>390</v>
      </c>
      <c r="V343" s="193">
        <v>0</v>
      </c>
      <c r="W343" s="193">
        <v>0</v>
      </c>
      <c r="X343" s="193">
        <v>0</v>
      </c>
      <c r="Y343" s="194">
        <v>4000</v>
      </c>
      <c r="Z343" s="193" t="s">
        <v>515</v>
      </c>
      <c r="AA343" s="193" t="s">
        <v>516</v>
      </c>
      <c r="AB343" s="193">
        <v>4000</v>
      </c>
      <c r="AC343" s="193" t="s">
        <v>1171</v>
      </c>
      <c r="AD343" s="193" t="s">
        <v>147</v>
      </c>
      <c r="AE343" s="193">
        <v>4000</v>
      </c>
      <c r="AF343" s="193" t="s">
        <v>518</v>
      </c>
      <c r="AG343" s="193" t="s">
        <v>519</v>
      </c>
      <c r="AH343" s="193">
        <v>0</v>
      </c>
      <c r="AI343" s="193">
        <v>4000</v>
      </c>
      <c r="AJ343" s="193" t="s">
        <v>1322</v>
      </c>
      <c r="AL343" s="197" t="s">
        <v>1323</v>
      </c>
      <c r="AM343" s="193">
        <v>1</v>
      </c>
      <c r="AN343" s="193">
        <v>0</v>
      </c>
      <c r="AO343" s="193">
        <v>0</v>
      </c>
      <c r="AP343" s="193">
        <v>0</v>
      </c>
      <c r="AQ343" s="193" t="s">
        <v>214</v>
      </c>
      <c r="AS343" s="197" t="s">
        <v>518</v>
      </c>
      <c r="AT343" s="197" t="s">
        <v>519</v>
      </c>
      <c r="AV343" s="196">
        <v>0</v>
      </c>
      <c r="AW343" s="196">
        <v>0</v>
      </c>
      <c r="AX343" s="196">
        <v>0</v>
      </c>
      <c r="AY343" s="550">
        <v>0</v>
      </c>
      <c r="AZ343" s="196">
        <v>2000</v>
      </c>
      <c r="BA343" s="196">
        <v>2000</v>
      </c>
      <c r="BB343" s="551">
        <v>4000</v>
      </c>
      <c r="BC343" s="551">
        <v>4000</v>
      </c>
      <c r="BD343" s="551">
        <v>0</v>
      </c>
      <c r="BF343" s="550">
        <f t="shared" si="82"/>
        <v>0</v>
      </c>
      <c r="BG343" s="550">
        <f t="shared" si="83"/>
        <v>0</v>
      </c>
      <c r="BH343" s="550">
        <f t="shared" si="84"/>
        <v>0</v>
      </c>
      <c r="BI343" s="550">
        <f t="shared" si="85"/>
        <v>0</v>
      </c>
      <c r="BJ343" s="550">
        <f t="shared" si="86"/>
        <v>2000</v>
      </c>
      <c r="BK343" s="550">
        <f t="shared" si="87"/>
        <v>2000</v>
      </c>
      <c r="BL343" s="550">
        <f t="shared" si="88"/>
        <v>4000</v>
      </c>
      <c r="BM343" s="550">
        <f t="shared" si="89"/>
        <v>4000</v>
      </c>
      <c r="BO343" s="194"/>
      <c r="BQ343" s="193">
        <f t="shared" si="90"/>
        <v>0</v>
      </c>
      <c r="BR343" s="193">
        <f t="shared" si="91"/>
        <v>0</v>
      </c>
    </row>
    <row r="344" spans="1:70" ht="13.5" customHeight="1">
      <c r="A344" s="193" t="s">
        <v>378</v>
      </c>
      <c r="B344" s="193" t="s">
        <v>379</v>
      </c>
      <c r="C344" s="193" t="s">
        <v>214</v>
      </c>
      <c r="D344" s="193" t="s">
        <v>1165</v>
      </c>
      <c r="E344" s="193" t="s">
        <v>1166</v>
      </c>
      <c r="F344" s="193" t="s">
        <v>1371</v>
      </c>
      <c r="G344" s="193" t="s">
        <v>1371</v>
      </c>
      <c r="H344" s="193" t="s">
        <v>1325</v>
      </c>
      <c r="I344" s="193" t="s">
        <v>512</v>
      </c>
      <c r="J344" s="193" t="s">
        <v>1372</v>
      </c>
      <c r="K344" s="193" t="s">
        <v>386</v>
      </c>
      <c r="L344" s="193" t="s">
        <v>387</v>
      </c>
      <c r="M344" s="193" t="s">
        <v>378</v>
      </c>
      <c r="N344" s="193" t="s">
        <v>1170</v>
      </c>
      <c r="O344" s="193" t="s">
        <v>129</v>
      </c>
      <c r="P344" s="193" t="s">
        <v>150</v>
      </c>
      <c r="Q344" s="193" t="s">
        <v>149</v>
      </c>
      <c r="R344" s="193" t="s">
        <v>148</v>
      </c>
      <c r="S344" s="193" t="s">
        <v>147</v>
      </c>
      <c r="T344" s="193" t="s">
        <v>389</v>
      </c>
      <c r="U344" s="193" t="s">
        <v>390</v>
      </c>
      <c r="V344" s="193">
        <v>0</v>
      </c>
      <c r="W344" s="193">
        <v>0</v>
      </c>
      <c r="X344" s="193">
        <v>0</v>
      </c>
      <c r="Y344" s="194">
        <v>8000</v>
      </c>
      <c r="Z344" s="193" t="s">
        <v>515</v>
      </c>
      <c r="AA344" s="193" t="s">
        <v>516</v>
      </c>
      <c r="AB344" s="193">
        <v>8000</v>
      </c>
      <c r="AC344" s="193" t="s">
        <v>1171</v>
      </c>
      <c r="AD344" s="193" t="s">
        <v>147</v>
      </c>
      <c r="AE344" s="193">
        <v>8000</v>
      </c>
      <c r="AF344" s="193" t="s">
        <v>518</v>
      </c>
      <c r="AG344" s="193" t="s">
        <v>519</v>
      </c>
      <c r="AH344" s="193">
        <v>0</v>
      </c>
      <c r="AI344" s="193">
        <v>8000</v>
      </c>
      <c r="AJ344" s="193" t="s">
        <v>1373</v>
      </c>
      <c r="AL344" s="197" t="s">
        <v>1374</v>
      </c>
      <c r="AM344" s="193">
        <v>1</v>
      </c>
      <c r="AN344" s="193">
        <v>0</v>
      </c>
      <c r="AO344" s="193">
        <v>0</v>
      </c>
      <c r="AP344" s="193">
        <v>0</v>
      </c>
      <c r="AQ344" s="193" t="s">
        <v>214</v>
      </c>
      <c r="AS344" s="197" t="s">
        <v>518</v>
      </c>
      <c r="AT344" s="197" t="s">
        <v>519</v>
      </c>
      <c r="AV344" s="196">
        <v>0</v>
      </c>
      <c r="AW344" s="196">
        <v>0</v>
      </c>
      <c r="AX344" s="196">
        <v>0</v>
      </c>
      <c r="AY344" s="550">
        <v>0</v>
      </c>
      <c r="AZ344" s="196">
        <v>4000</v>
      </c>
      <c r="BA344" s="196">
        <v>4000</v>
      </c>
      <c r="BB344" s="551">
        <v>8000</v>
      </c>
      <c r="BC344" s="551">
        <v>8000</v>
      </c>
      <c r="BD344" s="551">
        <v>0</v>
      </c>
      <c r="BF344" s="550">
        <f t="shared" si="82"/>
        <v>0</v>
      </c>
      <c r="BG344" s="550">
        <f t="shared" si="83"/>
        <v>0</v>
      </c>
      <c r="BH344" s="550">
        <f t="shared" si="84"/>
        <v>0</v>
      </c>
      <c r="BI344" s="550">
        <f t="shared" si="85"/>
        <v>0</v>
      </c>
      <c r="BJ344" s="550">
        <f t="shared" si="86"/>
        <v>4000</v>
      </c>
      <c r="BK344" s="550">
        <f t="shared" si="87"/>
        <v>4000</v>
      </c>
      <c r="BL344" s="550">
        <f t="shared" si="88"/>
        <v>8000</v>
      </c>
      <c r="BM344" s="550">
        <f t="shared" si="89"/>
        <v>8000</v>
      </c>
      <c r="BO344" s="194"/>
      <c r="BQ344" s="193">
        <f t="shared" si="90"/>
        <v>0</v>
      </c>
      <c r="BR344" s="193">
        <f t="shared" si="91"/>
        <v>0</v>
      </c>
    </row>
    <row r="345" spans="1:70" ht="13.5" customHeight="1">
      <c r="A345" s="193" t="s">
        <v>378</v>
      </c>
      <c r="B345" s="193" t="s">
        <v>379</v>
      </c>
      <c r="C345" s="193" t="s">
        <v>214</v>
      </c>
      <c r="D345" s="193" t="s">
        <v>1165</v>
      </c>
      <c r="E345" s="193" t="s">
        <v>1166</v>
      </c>
      <c r="F345" s="193" t="s">
        <v>544</v>
      </c>
      <c r="G345" s="193" t="s">
        <v>544</v>
      </c>
      <c r="H345" s="193" t="s">
        <v>1325</v>
      </c>
      <c r="I345" s="193" t="s">
        <v>512</v>
      </c>
      <c r="J345" s="193" t="s">
        <v>1375</v>
      </c>
      <c r="K345" s="193" t="s">
        <v>386</v>
      </c>
      <c r="L345" s="193" t="s">
        <v>387</v>
      </c>
      <c r="M345" s="193" t="s">
        <v>378</v>
      </c>
      <c r="N345" s="193" t="s">
        <v>1170</v>
      </c>
      <c r="O345" s="193" t="s">
        <v>129</v>
      </c>
      <c r="P345" s="193" t="s">
        <v>150</v>
      </c>
      <c r="Q345" s="193" t="s">
        <v>149</v>
      </c>
      <c r="R345" s="193" t="s">
        <v>148</v>
      </c>
      <c r="S345" s="193" t="s">
        <v>147</v>
      </c>
      <c r="T345" s="193" t="s">
        <v>389</v>
      </c>
      <c r="U345" s="193" t="s">
        <v>390</v>
      </c>
      <c r="V345" s="193">
        <v>0</v>
      </c>
      <c r="W345" s="193">
        <v>0</v>
      </c>
      <c r="X345" s="193">
        <v>0</v>
      </c>
      <c r="Y345" s="194">
        <v>4000</v>
      </c>
      <c r="Z345" s="193" t="s">
        <v>515</v>
      </c>
      <c r="AA345" s="193" t="s">
        <v>516</v>
      </c>
      <c r="AB345" s="193">
        <v>4000</v>
      </c>
      <c r="AC345" s="193" t="s">
        <v>1171</v>
      </c>
      <c r="AD345" s="193" t="s">
        <v>147</v>
      </c>
      <c r="AE345" s="193">
        <v>4000</v>
      </c>
      <c r="AF345" s="193" t="s">
        <v>518</v>
      </c>
      <c r="AG345" s="193" t="s">
        <v>519</v>
      </c>
      <c r="AH345" s="193">
        <v>0</v>
      </c>
      <c r="AI345" s="193">
        <v>4000</v>
      </c>
      <c r="AJ345" s="193" t="s">
        <v>1376</v>
      </c>
      <c r="AL345" s="197" t="s">
        <v>1377</v>
      </c>
      <c r="AM345" s="193">
        <v>1</v>
      </c>
      <c r="AN345" s="193">
        <v>0</v>
      </c>
      <c r="AO345" s="193">
        <v>0</v>
      </c>
      <c r="AP345" s="193">
        <v>0</v>
      </c>
      <c r="AQ345" s="193" t="s">
        <v>214</v>
      </c>
      <c r="AS345" s="197" t="s">
        <v>518</v>
      </c>
      <c r="AT345" s="197" t="s">
        <v>519</v>
      </c>
      <c r="AV345" s="196">
        <v>0</v>
      </c>
      <c r="AW345" s="196">
        <v>0</v>
      </c>
      <c r="AX345" s="196">
        <v>0</v>
      </c>
      <c r="AY345" s="550">
        <v>0</v>
      </c>
      <c r="AZ345" s="196">
        <v>2000</v>
      </c>
      <c r="BA345" s="196">
        <v>2000</v>
      </c>
      <c r="BB345" s="551">
        <v>4000</v>
      </c>
      <c r="BC345" s="551">
        <v>4000</v>
      </c>
      <c r="BD345" s="551">
        <v>0</v>
      </c>
      <c r="BF345" s="550">
        <f t="shared" si="82"/>
        <v>0</v>
      </c>
      <c r="BG345" s="550">
        <f t="shared" si="83"/>
        <v>0</v>
      </c>
      <c r="BH345" s="550">
        <f t="shared" si="84"/>
        <v>0</v>
      </c>
      <c r="BI345" s="550">
        <f t="shared" si="85"/>
        <v>0</v>
      </c>
      <c r="BJ345" s="550">
        <f t="shared" si="86"/>
        <v>2000</v>
      </c>
      <c r="BK345" s="550">
        <f t="shared" si="87"/>
        <v>2000</v>
      </c>
      <c r="BL345" s="550">
        <f t="shared" si="88"/>
        <v>4000</v>
      </c>
      <c r="BM345" s="550">
        <f t="shared" si="89"/>
        <v>4000</v>
      </c>
      <c r="BO345" s="194"/>
      <c r="BQ345" s="193">
        <f t="shared" si="90"/>
        <v>0</v>
      </c>
      <c r="BR345" s="193">
        <f t="shared" si="91"/>
        <v>0</v>
      </c>
    </row>
    <row r="346" spans="1:70" ht="13.5" customHeight="1">
      <c r="A346" s="193" t="s">
        <v>378</v>
      </c>
      <c r="B346" s="193" t="s">
        <v>379</v>
      </c>
      <c r="C346" s="193" t="s">
        <v>214</v>
      </c>
      <c r="D346" s="193" t="s">
        <v>1165</v>
      </c>
      <c r="E346" s="193" t="s">
        <v>1166</v>
      </c>
      <c r="F346" s="193" t="s">
        <v>723</v>
      </c>
      <c r="G346" s="193" t="s">
        <v>723</v>
      </c>
      <c r="H346" s="193" t="s">
        <v>1325</v>
      </c>
      <c r="I346" s="193" t="s">
        <v>512</v>
      </c>
      <c r="J346" s="193" t="s">
        <v>1378</v>
      </c>
      <c r="K346" s="193" t="s">
        <v>386</v>
      </c>
      <c r="L346" s="193" t="s">
        <v>387</v>
      </c>
      <c r="M346" s="193" t="s">
        <v>378</v>
      </c>
      <c r="N346" s="193" t="s">
        <v>1170</v>
      </c>
      <c r="O346" s="193" t="s">
        <v>129</v>
      </c>
      <c r="P346" s="193" t="s">
        <v>150</v>
      </c>
      <c r="Q346" s="193" t="s">
        <v>149</v>
      </c>
      <c r="R346" s="193" t="s">
        <v>148</v>
      </c>
      <c r="S346" s="193" t="s">
        <v>147</v>
      </c>
      <c r="T346" s="193" t="s">
        <v>389</v>
      </c>
      <c r="U346" s="193" t="s">
        <v>390</v>
      </c>
      <c r="V346" s="193">
        <v>0</v>
      </c>
      <c r="W346" s="193">
        <v>0</v>
      </c>
      <c r="X346" s="193">
        <v>0</v>
      </c>
      <c r="Y346" s="194">
        <v>12000</v>
      </c>
      <c r="Z346" s="193" t="s">
        <v>515</v>
      </c>
      <c r="AA346" s="193" t="s">
        <v>516</v>
      </c>
      <c r="AB346" s="193">
        <v>12000</v>
      </c>
      <c r="AC346" s="193" t="s">
        <v>1171</v>
      </c>
      <c r="AD346" s="193" t="s">
        <v>147</v>
      </c>
      <c r="AE346" s="193">
        <v>12000</v>
      </c>
      <c r="AF346" s="193" t="s">
        <v>518</v>
      </c>
      <c r="AG346" s="193" t="s">
        <v>519</v>
      </c>
      <c r="AH346" s="193">
        <v>0</v>
      </c>
      <c r="AI346" s="193">
        <v>12000</v>
      </c>
      <c r="AJ346" s="193" t="s">
        <v>1379</v>
      </c>
      <c r="AL346" s="197" t="s">
        <v>1380</v>
      </c>
      <c r="AM346" s="193">
        <v>1</v>
      </c>
      <c r="AN346" s="193">
        <v>0</v>
      </c>
      <c r="AO346" s="193">
        <v>0</v>
      </c>
      <c r="AP346" s="193">
        <v>0</v>
      </c>
      <c r="AQ346" s="193" t="s">
        <v>214</v>
      </c>
      <c r="AS346" s="197" t="s">
        <v>518</v>
      </c>
      <c r="AT346" s="197" t="s">
        <v>519</v>
      </c>
      <c r="AV346" s="196">
        <v>0</v>
      </c>
      <c r="AW346" s="196">
        <v>0</v>
      </c>
      <c r="AX346" s="196">
        <v>0</v>
      </c>
      <c r="AY346" s="550">
        <v>0</v>
      </c>
      <c r="AZ346" s="196">
        <v>6000</v>
      </c>
      <c r="BA346" s="196">
        <v>6000</v>
      </c>
      <c r="BB346" s="551">
        <v>12000</v>
      </c>
      <c r="BC346" s="551">
        <v>12000</v>
      </c>
      <c r="BD346" s="551">
        <v>0</v>
      </c>
      <c r="BF346" s="550">
        <f t="shared" si="82"/>
        <v>0</v>
      </c>
      <c r="BG346" s="550">
        <f t="shared" si="83"/>
        <v>0</v>
      </c>
      <c r="BH346" s="550">
        <f t="shared" si="84"/>
        <v>0</v>
      </c>
      <c r="BI346" s="550">
        <f t="shared" si="85"/>
        <v>0</v>
      </c>
      <c r="BJ346" s="550">
        <f t="shared" si="86"/>
        <v>6000</v>
      </c>
      <c r="BK346" s="550">
        <f t="shared" si="87"/>
        <v>6000</v>
      </c>
      <c r="BL346" s="550">
        <f t="shared" si="88"/>
        <v>12000</v>
      </c>
      <c r="BM346" s="550">
        <f t="shared" si="89"/>
        <v>12000</v>
      </c>
      <c r="BO346" s="194"/>
      <c r="BQ346" s="193">
        <f t="shared" si="90"/>
        <v>0</v>
      </c>
      <c r="BR346" s="193">
        <f t="shared" si="91"/>
        <v>0</v>
      </c>
    </row>
    <row r="347" spans="1:70" ht="13.5" customHeight="1">
      <c r="A347" s="193" t="s">
        <v>378</v>
      </c>
      <c r="B347" s="193" t="s">
        <v>379</v>
      </c>
      <c r="C347" s="193" t="s">
        <v>214</v>
      </c>
      <c r="D347" s="193" t="s">
        <v>1165</v>
      </c>
      <c r="E347" s="193" t="s">
        <v>1166</v>
      </c>
      <c r="F347" s="193" t="s">
        <v>435</v>
      </c>
      <c r="G347" s="193" t="s">
        <v>435</v>
      </c>
      <c r="H347" s="193" t="s">
        <v>1325</v>
      </c>
      <c r="I347" s="193" t="s">
        <v>512</v>
      </c>
      <c r="J347" s="193" t="s">
        <v>1381</v>
      </c>
      <c r="K347" s="193" t="s">
        <v>386</v>
      </c>
      <c r="L347" s="193" t="s">
        <v>387</v>
      </c>
      <c r="M347" s="193" t="s">
        <v>378</v>
      </c>
      <c r="N347" s="193" t="s">
        <v>1170</v>
      </c>
      <c r="O347" s="193" t="s">
        <v>129</v>
      </c>
      <c r="P347" s="193" t="s">
        <v>150</v>
      </c>
      <c r="Q347" s="193" t="s">
        <v>149</v>
      </c>
      <c r="R347" s="193" t="s">
        <v>148</v>
      </c>
      <c r="S347" s="193" t="s">
        <v>147</v>
      </c>
      <c r="T347" s="193" t="s">
        <v>389</v>
      </c>
      <c r="U347" s="193" t="s">
        <v>390</v>
      </c>
      <c r="V347" s="193">
        <v>0</v>
      </c>
      <c r="W347" s="193">
        <v>0</v>
      </c>
      <c r="X347" s="193">
        <v>0</v>
      </c>
      <c r="Y347" s="194">
        <v>8000</v>
      </c>
      <c r="Z347" s="193" t="s">
        <v>515</v>
      </c>
      <c r="AA347" s="193" t="s">
        <v>516</v>
      </c>
      <c r="AB347" s="193">
        <v>8000</v>
      </c>
      <c r="AC347" s="193" t="s">
        <v>1171</v>
      </c>
      <c r="AD347" s="193" t="s">
        <v>147</v>
      </c>
      <c r="AE347" s="193">
        <v>8000</v>
      </c>
      <c r="AF347" s="193" t="s">
        <v>518</v>
      </c>
      <c r="AG347" s="193" t="s">
        <v>519</v>
      </c>
      <c r="AH347" s="193">
        <v>0</v>
      </c>
      <c r="AI347" s="193">
        <v>8000</v>
      </c>
      <c r="AJ347" s="193" t="s">
        <v>1382</v>
      </c>
      <c r="AL347" s="197" t="s">
        <v>1383</v>
      </c>
      <c r="AM347" s="193">
        <v>1</v>
      </c>
      <c r="AN347" s="193">
        <v>0</v>
      </c>
      <c r="AO347" s="193">
        <v>0</v>
      </c>
      <c r="AP347" s="193">
        <v>0</v>
      </c>
      <c r="AQ347" s="193" t="s">
        <v>214</v>
      </c>
      <c r="AS347" s="197" t="s">
        <v>518</v>
      </c>
      <c r="AT347" s="197" t="s">
        <v>519</v>
      </c>
      <c r="AV347" s="196">
        <v>0</v>
      </c>
      <c r="AW347" s="196">
        <v>0</v>
      </c>
      <c r="AX347" s="196">
        <v>0</v>
      </c>
      <c r="AY347" s="550">
        <v>0</v>
      </c>
      <c r="AZ347" s="196">
        <v>4000</v>
      </c>
      <c r="BA347" s="196">
        <v>4000</v>
      </c>
      <c r="BB347" s="551">
        <v>8000</v>
      </c>
      <c r="BC347" s="551">
        <v>8000</v>
      </c>
      <c r="BD347" s="551">
        <v>0</v>
      </c>
      <c r="BF347" s="550">
        <f t="shared" si="82"/>
        <v>0</v>
      </c>
      <c r="BG347" s="550">
        <f t="shared" si="83"/>
        <v>0</v>
      </c>
      <c r="BH347" s="550">
        <f t="shared" si="84"/>
        <v>0</v>
      </c>
      <c r="BI347" s="550">
        <f t="shared" si="85"/>
        <v>0</v>
      </c>
      <c r="BJ347" s="550">
        <f t="shared" si="86"/>
        <v>4000</v>
      </c>
      <c r="BK347" s="550">
        <f t="shared" si="87"/>
        <v>4000</v>
      </c>
      <c r="BL347" s="550">
        <f t="shared" si="88"/>
        <v>8000</v>
      </c>
      <c r="BM347" s="550">
        <f t="shared" si="89"/>
        <v>8000</v>
      </c>
      <c r="BO347" s="194"/>
      <c r="BQ347" s="193">
        <f t="shared" si="90"/>
        <v>0</v>
      </c>
      <c r="BR347" s="193">
        <f t="shared" si="91"/>
        <v>0</v>
      </c>
    </row>
    <row r="348" spans="1:70" ht="13.5" customHeight="1">
      <c r="A348" s="193" t="s">
        <v>378</v>
      </c>
      <c r="B348" s="193" t="s">
        <v>379</v>
      </c>
      <c r="C348" s="193" t="s">
        <v>214</v>
      </c>
      <c r="D348" s="193" t="s">
        <v>1165</v>
      </c>
      <c r="E348" s="193" t="s">
        <v>1166</v>
      </c>
      <c r="F348" s="193" t="s">
        <v>1346</v>
      </c>
      <c r="G348" s="193" t="s">
        <v>1346</v>
      </c>
      <c r="H348" s="193" t="s">
        <v>1325</v>
      </c>
      <c r="I348" s="193" t="s">
        <v>512</v>
      </c>
      <c r="J348" s="193" t="s">
        <v>1347</v>
      </c>
      <c r="K348" s="193" t="s">
        <v>386</v>
      </c>
      <c r="L348" s="193" t="s">
        <v>387</v>
      </c>
      <c r="M348" s="193" t="s">
        <v>378</v>
      </c>
      <c r="N348" s="193" t="s">
        <v>1170</v>
      </c>
      <c r="O348" s="193" t="s">
        <v>129</v>
      </c>
      <c r="P348" s="193" t="s">
        <v>150</v>
      </c>
      <c r="Q348" s="193" t="s">
        <v>149</v>
      </c>
      <c r="R348" s="193" t="s">
        <v>148</v>
      </c>
      <c r="S348" s="193" t="s">
        <v>147</v>
      </c>
      <c r="T348" s="193" t="s">
        <v>389</v>
      </c>
      <c r="U348" s="193" t="s">
        <v>390</v>
      </c>
      <c r="V348" s="193">
        <v>0</v>
      </c>
      <c r="W348" s="193">
        <v>0</v>
      </c>
      <c r="X348" s="193">
        <v>0</v>
      </c>
      <c r="Y348" s="194">
        <v>4000</v>
      </c>
      <c r="Z348" s="193" t="s">
        <v>515</v>
      </c>
      <c r="AA348" s="193" t="s">
        <v>516</v>
      </c>
      <c r="AB348" s="193">
        <v>4000</v>
      </c>
      <c r="AC348" s="193" t="s">
        <v>1171</v>
      </c>
      <c r="AD348" s="193" t="s">
        <v>147</v>
      </c>
      <c r="AE348" s="193">
        <v>4000</v>
      </c>
      <c r="AF348" s="193" t="s">
        <v>518</v>
      </c>
      <c r="AG348" s="193" t="s">
        <v>519</v>
      </c>
      <c r="AH348" s="193">
        <v>0</v>
      </c>
      <c r="AI348" s="193">
        <v>4000</v>
      </c>
      <c r="AJ348" s="193" t="s">
        <v>1348</v>
      </c>
      <c r="AL348" s="197" t="s">
        <v>1349</v>
      </c>
      <c r="AM348" s="193">
        <v>1</v>
      </c>
      <c r="AN348" s="193">
        <v>0</v>
      </c>
      <c r="AO348" s="193">
        <v>0</v>
      </c>
      <c r="AP348" s="193">
        <v>0</v>
      </c>
      <c r="AQ348" s="193" t="s">
        <v>214</v>
      </c>
      <c r="AS348" s="197" t="s">
        <v>518</v>
      </c>
      <c r="AT348" s="197" t="s">
        <v>519</v>
      </c>
      <c r="AV348" s="196">
        <v>0</v>
      </c>
      <c r="AW348" s="196">
        <v>0</v>
      </c>
      <c r="AX348" s="196">
        <v>0</v>
      </c>
      <c r="AY348" s="550">
        <v>0</v>
      </c>
      <c r="AZ348" s="196">
        <v>2000</v>
      </c>
      <c r="BA348" s="196">
        <v>2000</v>
      </c>
      <c r="BB348" s="551">
        <v>4000</v>
      </c>
      <c r="BC348" s="551">
        <v>4000</v>
      </c>
      <c r="BD348" s="551">
        <v>0</v>
      </c>
      <c r="BF348" s="550">
        <f t="shared" si="82"/>
        <v>0</v>
      </c>
      <c r="BG348" s="550">
        <f t="shared" si="83"/>
        <v>0</v>
      </c>
      <c r="BH348" s="550">
        <f t="shared" si="84"/>
        <v>0</v>
      </c>
      <c r="BI348" s="550">
        <f t="shared" si="85"/>
        <v>0</v>
      </c>
      <c r="BJ348" s="550">
        <f t="shared" si="86"/>
        <v>2000</v>
      </c>
      <c r="BK348" s="550">
        <f t="shared" si="87"/>
        <v>2000</v>
      </c>
      <c r="BL348" s="550">
        <f t="shared" si="88"/>
        <v>4000</v>
      </c>
      <c r="BM348" s="550">
        <f t="shared" si="89"/>
        <v>4000</v>
      </c>
      <c r="BO348" s="194"/>
      <c r="BQ348" s="193">
        <f t="shared" si="90"/>
        <v>0</v>
      </c>
      <c r="BR348" s="193">
        <f t="shared" si="91"/>
        <v>0</v>
      </c>
    </row>
    <row r="349" spans="1:70" ht="13.5" customHeight="1">
      <c r="A349" s="193" t="s">
        <v>378</v>
      </c>
      <c r="B349" s="193" t="s">
        <v>379</v>
      </c>
      <c r="C349" s="193" t="s">
        <v>214</v>
      </c>
      <c r="D349" s="193" t="s">
        <v>1165</v>
      </c>
      <c r="E349" s="193" t="s">
        <v>1166</v>
      </c>
      <c r="F349" s="193" t="s">
        <v>745</v>
      </c>
      <c r="G349" s="193" t="s">
        <v>745</v>
      </c>
      <c r="H349" s="193" t="s">
        <v>1325</v>
      </c>
      <c r="I349" s="193" t="s">
        <v>512</v>
      </c>
      <c r="J349" s="193" t="s">
        <v>1350</v>
      </c>
      <c r="K349" s="193" t="s">
        <v>386</v>
      </c>
      <c r="L349" s="193" t="s">
        <v>387</v>
      </c>
      <c r="M349" s="193" t="s">
        <v>378</v>
      </c>
      <c r="N349" s="193" t="s">
        <v>1170</v>
      </c>
      <c r="O349" s="193" t="s">
        <v>129</v>
      </c>
      <c r="P349" s="193" t="s">
        <v>150</v>
      </c>
      <c r="Q349" s="193" t="s">
        <v>149</v>
      </c>
      <c r="R349" s="193" t="s">
        <v>148</v>
      </c>
      <c r="S349" s="193" t="s">
        <v>147</v>
      </c>
      <c r="T349" s="193" t="s">
        <v>389</v>
      </c>
      <c r="U349" s="193" t="s">
        <v>390</v>
      </c>
      <c r="V349" s="193">
        <v>0</v>
      </c>
      <c r="W349" s="193">
        <v>0</v>
      </c>
      <c r="X349" s="193">
        <v>0</v>
      </c>
      <c r="Y349" s="194">
        <v>12000</v>
      </c>
      <c r="Z349" s="193" t="s">
        <v>515</v>
      </c>
      <c r="AA349" s="193" t="s">
        <v>516</v>
      </c>
      <c r="AB349" s="193">
        <v>12000</v>
      </c>
      <c r="AC349" s="193" t="s">
        <v>1171</v>
      </c>
      <c r="AD349" s="193" t="s">
        <v>147</v>
      </c>
      <c r="AE349" s="193">
        <v>12000</v>
      </c>
      <c r="AF349" s="193" t="s">
        <v>518</v>
      </c>
      <c r="AG349" s="193" t="s">
        <v>519</v>
      </c>
      <c r="AH349" s="193">
        <v>0</v>
      </c>
      <c r="AI349" s="193">
        <v>12000</v>
      </c>
      <c r="AJ349" s="193" t="s">
        <v>1351</v>
      </c>
      <c r="AL349" s="197" t="s">
        <v>1352</v>
      </c>
      <c r="AM349" s="193">
        <v>1</v>
      </c>
      <c r="AN349" s="193">
        <v>0</v>
      </c>
      <c r="AO349" s="193">
        <v>0</v>
      </c>
      <c r="AP349" s="193">
        <v>0</v>
      </c>
      <c r="AQ349" s="193" t="s">
        <v>214</v>
      </c>
      <c r="AS349" s="197" t="s">
        <v>518</v>
      </c>
      <c r="AT349" s="197" t="s">
        <v>519</v>
      </c>
      <c r="AV349" s="196">
        <v>0</v>
      </c>
      <c r="AW349" s="196">
        <v>0</v>
      </c>
      <c r="AX349" s="196">
        <v>0</v>
      </c>
      <c r="AY349" s="550">
        <v>0</v>
      </c>
      <c r="AZ349" s="196">
        <v>6000</v>
      </c>
      <c r="BA349" s="196">
        <v>6000</v>
      </c>
      <c r="BB349" s="551">
        <v>12000</v>
      </c>
      <c r="BC349" s="551">
        <v>12000</v>
      </c>
      <c r="BD349" s="551">
        <v>0</v>
      </c>
      <c r="BF349" s="550">
        <f t="shared" si="82"/>
        <v>0</v>
      </c>
      <c r="BG349" s="550">
        <f t="shared" si="83"/>
        <v>0</v>
      </c>
      <c r="BH349" s="550">
        <f t="shared" si="84"/>
        <v>0</v>
      </c>
      <c r="BI349" s="550">
        <f t="shared" si="85"/>
        <v>0</v>
      </c>
      <c r="BJ349" s="550">
        <f t="shared" si="86"/>
        <v>6000</v>
      </c>
      <c r="BK349" s="550">
        <f t="shared" si="87"/>
        <v>6000</v>
      </c>
      <c r="BL349" s="550">
        <f t="shared" si="88"/>
        <v>12000</v>
      </c>
      <c r="BM349" s="550">
        <f t="shared" si="89"/>
        <v>12000</v>
      </c>
      <c r="BO349" s="194"/>
      <c r="BQ349" s="193">
        <f t="shared" si="90"/>
        <v>0</v>
      </c>
      <c r="BR349" s="193">
        <f t="shared" si="91"/>
        <v>0</v>
      </c>
    </row>
    <row r="350" spans="1:70" ht="13.5" customHeight="1">
      <c r="A350" s="193" t="s">
        <v>378</v>
      </c>
      <c r="B350" s="193" t="s">
        <v>379</v>
      </c>
      <c r="C350" s="193" t="s">
        <v>214</v>
      </c>
      <c r="D350" s="193" t="s">
        <v>1165</v>
      </c>
      <c r="E350" s="193" t="s">
        <v>1166</v>
      </c>
      <c r="F350" s="193" t="s">
        <v>1353</v>
      </c>
      <c r="G350" s="193" t="s">
        <v>1353</v>
      </c>
      <c r="H350" s="193" t="s">
        <v>1325</v>
      </c>
      <c r="I350" s="193" t="s">
        <v>512</v>
      </c>
      <c r="J350" s="193" t="s">
        <v>1354</v>
      </c>
      <c r="K350" s="193" t="s">
        <v>386</v>
      </c>
      <c r="L350" s="193" t="s">
        <v>387</v>
      </c>
      <c r="M350" s="193" t="s">
        <v>378</v>
      </c>
      <c r="N350" s="193" t="s">
        <v>1170</v>
      </c>
      <c r="O350" s="193" t="s">
        <v>129</v>
      </c>
      <c r="P350" s="193" t="s">
        <v>150</v>
      </c>
      <c r="Q350" s="193" t="s">
        <v>149</v>
      </c>
      <c r="R350" s="193" t="s">
        <v>148</v>
      </c>
      <c r="S350" s="193" t="s">
        <v>147</v>
      </c>
      <c r="T350" s="193" t="s">
        <v>389</v>
      </c>
      <c r="U350" s="193" t="s">
        <v>390</v>
      </c>
      <c r="V350" s="193">
        <v>0</v>
      </c>
      <c r="W350" s="193">
        <v>0</v>
      </c>
      <c r="X350" s="193">
        <v>0</v>
      </c>
      <c r="Y350" s="194">
        <v>8000</v>
      </c>
      <c r="Z350" s="193" t="s">
        <v>515</v>
      </c>
      <c r="AA350" s="193" t="s">
        <v>516</v>
      </c>
      <c r="AB350" s="193">
        <v>8000</v>
      </c>
      <c r="AC350" s="193" t="s">
        <v>1171</v>
      </c>
      <c r="AD350" s="193" t="s">
        <v>147</v>
      </c>
      <c r="AE350" s="193">
        <v>8000</v>
      </c>
      <c r="AF350" s="193" t="s">
        <v>518</v>
      </c>
      <c r="AG350" s="193" t="s">
        <v>519</v>
      </c>
      <c r="AH350" s="193">
        <v>0</v>
      </c>
      <c r="AI350" s="193">
        <v>8000</v>
      </c>
      <c r="AJ350" s="193" t="s">
        <v>1355</v>
      </c>
      <c r="AL350" s="197" t="s">
        <v>1356</v>
      </c>
      <c r="AM350" s="193">
        <v>1</v>
      </c>
      <c r="AN350" s="193">
        <v>0</v>
      </c>
      <c r="AO350" s="193">
        <v>0</v>
      </c>
      <c r="AP350" s="193">
        <v>0</v>
      </c>
      <c r="AQ350" s="193" t="s">
        <v>214</v>
      </c>
      <c r="AS350" s="197" t="s">
        <v>518</v>
      </c>
      <c r="AT350" s="197" t="s">
        <v>519</v>
      </c>
      <c r="AV350" s="196">
        <v>0</v>
      </c>
      <c r="AW350" s="196">
        <v>0</v>
      </c>
      <c r="AX350" s="196">
        <v>0</v>
      </c>
      <c r="AY350" s="550">
        <v>0</v>
      </c>
      <c r="AZ350" s="196">
        <v>4000</v>
      </c>
      <c r="BA350" s="196">
        <v>4000</v>
      </c>
      <c r="BB350" s="551">
        <v>8000</v>
      </c>
      <c r="BC350" s="551">
        <v>8000</v>
      </c>
      <c r="BD350" s="551">
        <v>0</v>
      </c>
      <c r="BF350" s="550">
        <f t="shared" si="82"/>
        <v>0</v>
      </c>
      <c r="BG350" s="550">
        <f t="shared" si="83"/>
        <v>0</v>
      </c>
      <c r="BH350" s="550">
        <f t="shared" si="84"/>
        <v>0</v>
      </c>
      <c r="BI350" s="550">
        <f t="shared" si="85"/>
        <v>0</v>
      </c>
      <c r="BJ350" s="550">
        <f t="shared" si="86"/>
        <v>4000</v>
      </c>
      <c r="BK350" s="550">
        <f t="shared" si="87"/>
        <v>4000</v>
      </c>
      <c r="BL350" s="550">
        <f t="shared" si="88"/>
        <v>8000</v>
      </c>
      <c r="BM350" s="550">
        <f t="shared" si="89"/>
        <v>8000</v>
      </c>
      <c r="BO350" s="194"/>
      <c r="BQ350" s="193">
        <f t="shared" si="90"/>
        <v>0</v>
      </c>
      <c r="BR350" s="193">
        <f t="shared" si="91"/>
        <v>0</v>
      </c>
    </row>
    <row r="351" spans="1:70" ht="13.5" customHeight="1">
      <c r="A351" s="193" t="s">
        <v>378</v>
      </c>
      <c r="B351" s="193" t="s">
        <v>379</v>
      </c>
      <c r="C351" s="193" t="s">
        <v>214</v>
      </c>
      <c r="D351" s="193" t="s">
        <v>1165</v>
      </c>
      <c r="E351" s="193" t="s">
        <v>1166</v>
      </c>
      <c r="F351" s="193" t="s">
        <v>759</v>
      </c>
      <c r="G351" s="193" t="s">
        <v>759</v>
      </c>
      <c r="H351" s="193" t="s">
        <v>1168</v>
      </c>
      <c r="I351" s="193" t="s">
        <v>512</v>
      </c>
      <c r="J351" s="193" t="s">
        <v>1343</v>
      </c>
      <c r="K351" s="193" t="s">
        <v>386</v>
      </c>
      <c r="L351" s="193" t="s">
        <v>387</v>
      </c>
      <c r="M351" s="193" t="s">
        <v>378</v>
      </c>
      <c r="N351" s="193" t="s">
        <v>1170</v>
      </c>
      <c r="O351" s="193" t="s">
        <v>129</v>
      </c>
      <c r="P351" s="193" t="s">
        <v>150</v>
      </c>
      <c r="Q351" s="193" t="s">
        <v>149</v>
      </c>
      <c r="R351" s="193" t="s">
        <v>148</v>
      </c>
      <c r="S351" s="193" t="s">
        <v>147</v>
      </c>
      <c r="T351" s="193" t="s">
        <v>389</v>
      </c>
      <c r="U351" s="193" t="s">
        <v>390</v>
      </c>
      <c r="V351" s="193">
        <v>0</v>
      </c>
      <c r="W351" s="193">
        <v>0</v>
      </c>
      <c r="X351" s="193">
        <v>0</v>
      </c>
      <c r="Y351" s="194">
        <v>4000</v>
      </c>
      <c r="Z351" s="193" t="s">
        <v>515</v>
      </c>
      <c r="AA351" s="193" t="s">
        <v>516</v>
      </c>
      <c r="AB351" s="193">
        <v>4000</v>
      </c>
      <c r="AC351" s="193" t="s">
        <v>1171</v>
      </c>
      <c r="AD351" s="193" t="s">
        <v>147</v>
      </c>
      <c r="AE351" s="193">
        <v>4000</v>
      </c>
      <c r="AF351" s="193" t="s">
        <v>518</v>
      </c>
      <c r="AG351" s="193" t="s">
        <v>519</v>
      </c>
      <c r="AH351" s="193">
        <v>0</v>
      </c>
      <c r="AI351" s="193">
        <v>4000</v>
      </c>
      <c r="AJ351" s="193" t="s">
        <v>1344</v>
      </c>
      <c r="AL351" s="197" t="s">
        <v>1345</v>
      </c>
      <c r="AM351" s="193">
        <v>1</v>
      </c>
      <c r="AN351" s="193">
        <v>0</v>
      </c>
      <c r="AO351" s="193">
        <v>0</v>
      </c>
      <c r="AP351" s="193">
        <v>0</v>
      </c>
      <c r="AQ351" s="193" t="s">
        <v>214</v>
      </c>
      <c r="AS351" s="197" t="s">
        <v>518</v>
      </c>
      <c r="AT351" s="197" t="s">
        <v>519</v>
      </c>
      <c r="AV351" s="196">
        <v>0</v>
      </c>
      <c r="AW351" s="196">
        <v>0</v>
      </c>
      <c r="AX351" s="196">
        <v>0</v>
      </c>
      <c r="AY351" s="550">
        <v>0</v>
      </c>
      <c r="AZ351" s="196">
        <v>2000</v>
      </c>
      <c r="BA351" s="196">
        <v>2000</v>
      </c>
      <c r="BB351" s="551">
        <v>4000</v>
      </c>
      <c r="BC351" s="551">
        <v>4000</v>
      </c>
      <c r="BD351" s="551">
        <v>0</v>
      </c>
      <c r="BF351" s="550">
        <f t="shared" si="82"/>
        <v>0</v>
      </c>
      <c r="BG351" s="550">
        <f t="shared" si="83"/>
        <v>0</v>
      </c>
      <c r="BH351" s="550">
        <f t="shared" si="84"/>
        <v>0</v>
      </c>
      <c r="BI351" s="550">
        <f t="shared" si="85"/>
        <v>0</v>
      </c>
      <c r="BJ351" s="550">
        <f t="shared" si="86"/>
        <v>2000</v>
      </c>
      <c r="BK351" s="550">
        <f t="shared" si="87"/>
        <v>2000</v>
      </c>
      <c r="BL351" s="550">
        <f t="shared" si="88"/>
        <v>4000</v>
      </c>
      <c r="BM351" s="550">
        <f t="shared" si="89"/>
        <v>4000</v>
      </c>
      <c r="BO351" s="194"/>
      <c r="BQ351" s="193">
        <f t="shared" si="90"/>
        <v>0</v>
      </c>
      <c r="BR351" s="193">
        <f t="shared" si="91"/>
        <v>0</v>
      </c>
    </row>
    <row r="352" spans="1:70" ht="13.5" customHeight="1">
      <c r="A352" s="193" t="s">
        <v>378</v>
      </c>
      <c r="B352" s="193" t="s">
        <v>379</v>
      </c>
      <c r="C352" s="193" t="s">
        <v>214</v>
      </c>
      <c r="D352" s="193" t="s">
        <v>1165</v>
      </c>
      <c r="E352" s="193" t="s">
        <v>1166</v>
      </c>
      <c r="F352" s="193" t="s">
        <v>1357</v>
      </c>
      <c r="G352" s="193" t="s">
        <v>1357</v>
      </c>
      <c r="H352" s="193" t="s">
        <v>1325</v>
      </c>
      <c r="I352" s="193" t="s">
        <v>512</v>
      </c>
      <c r="J352" s="193" t="s">
        <v>1358</v>
      </c>
      <c r="K352" s="193" t="s">
        <v>386</v>
      </c>
      <c r="L352" s="193" t="s">
        <v>387</v>
      </c>
      <c r="M352" s="193" t="s">
        <v>378</v>
      </c>
      <c r="N352" s="193" t="s">
        <v>1170</v>
      </c>
      <c r="O352" s="193" t="s">
        <v>129</v>
      </c>
      <c r="P352" s="193" t="s">
        <v>150</v>
      </c>
      <c r="Q352" s="193" t="s">
        <v>149</v>
      </c>
      <c r="R352" s="193" t="s">
        <v>148</v>
      </c>
      <c r="S352" s="193" t="s">
        <v>147</v>
      </c>
      <c r="T352" s="193" t="s">
        <v>389</v>
      </c>
      <c r="U352" s="193" t="s">
        <v>390</v>
      </c>
      <c r="V352" s="193">
        <v>0</v>
      </c>
      <c r="W352" s="193">
        <v>0</v>
      </c>
      <c r="X352" s="193">
        <v>0</v>
      </c>
      <c r="Y352" s="194">
        <v>4000</v>
      </c>
      <c r="Z352" s="193" t="s">
        <v>515</v>
      </c>
      <c r="AA352" s="193" t="s">
        <v>516</v>
      </c>
      <c r="AB352" s="193">
        <v>4000</v>
      </c>
      <c r="AC352" s="193" t="s">
        <v>1171</v>
      </c>
      <c r="AD352" s="193" t="s">
        <v>147</v>
      </c>
      <c r="AE352" s="193">
        <v>4000</v>
      </c>
      <c r="AF352" s="193" t="s">
        <v>518</v>
      </c>
      <c r="AG352" s="193" t="s">
        <v>519</v>
      </c>
      <c r="AH352" s="193">
        <v>0</v>
      </c>
      <c r="AI352" s="193">
        <v>4000</v>
      </c>
      <c r="AJ352" s="193" t="s">
        <v>1359</v>
      </c>
      <c r="AL352" s="197" t="s">
        <v>1360</v>
      </c>
      <c r="AM352" s="193">
        <v>1</v>
      </c>
      <c r="AN352" s="193">
        <v>0</v>
      </c>
      <c r="AO352" s="193">
        <v>0</v>
      </c>
      <c r="AP352" s="193">
        <v>0</v>
      </c>
      <c r="AQ352" s="193" t="s">
        <v>214</v>
      </c>
      <c r="AS352" s="197" t="s">
        <v>518</v>
      </c>
      <c r="AT352" s="197" t="s">
        <v>519</v>
      </c>
      <c r="AV352" s="196">
        <v>0</v>
      </c>
      <c r="AW352" s="196">
        <v>0</v>
      </c>
      <c r="AX352" s="196">
        <v>0</v>
      </c>
      <c r="AY352" s="550">
        <v>0</v>
      </c>
      <c r="AZ352" s="196">
        <v>2000</v>
      </c>
      <c r="BA352" s="196">
        <v>2000</v>
      </c>
      <c r="BB352" s="551">
        <v>4000</v>
      </c>
      <c r="BC352" s="551">
        <v>4000</v>
      </c>
      <c r="BD352" s="551">
        <v>0</v>
      </c>
      <c r="BF352" s="550">
        <f t="shared" si="82"/>
        <v>0</v>
      </c>
      <c r="BG352" s="550">
        <f t="shared" si="83"/>
        <v>0</v>
      </c>
      <c r="BH352" s="550">
        <f t="shared" si="84"/>
        <v>0</v>
      </c>
      <c r="BI352" s="550">
        <f t="shared" si="85"/>
        <v>0</v>
      </c>
      <c r="BJ352" s="550">
        <f t="shared" si="86"/>
        <v>2000</v>
      </c>
      <c r="BK352" s="550">
        <f t="shared" si="87"/>
        <v>2000</v>
      </c>
      <c r="BL352" s="550">
        <f t="shared" si="88"/>
        <v>4000</v>
      </c>
      <c r="BM352" s="550">
        <f t="shared" si="89"/>
        <v>4000</v>
      </c>
      <c r="BO352" s="194"/>
      <c r="BQ352" s="193">
        <f t="shared" si="90"/>
        <v>0</v>
      </c>
      <c r="BR352" s="193">
        <f t="shared" si="91"/>
        <v>0</v>
      </c>
    </row>
    <row r="353" spans="1:70" ht="13.5" customHeight="1">
      <c r="A353" s="193" t="s">
        <v>378</v>
      </c>
      <c r="B353" s="193" t="s">
        <v>379</v>
      </c>
      <c r="C353" s="193" t="s">
        <v>214</v>
      </c>
      <c r="D353" s="193" t="s">
        <v>1165</v>
      </c>
      <c r="E353" s="193" t="s">
        <v>1166</v>
      </c>
      <c r="F353" s="193" t="s">
        <v>772</v>
      </c>
      <c r="G353" s="193" t="s">
        <v>772</v>
      </c>
      <c r="H353" s="193" t="s">
        <v>1325</v>
      </c>
      <c r="I353" s="193" t="s">
        <v>512</v>
      </c>
      <c r="J353" s="193" t="s">
        <v>1361</v>
      </c>
      <c r="K353" s="193" t="s">
        <v>386</v>
      </c>
      <c r="L353" s="193" t="s">
        <v>387</v>
      </c>
      <c r="M353" s="193" t="s">
        <v>378</v>
      </c>
      <c r="N353" s="193" t="s">
        <v>1170</v>
      </c>
      <c r="O353" s="193" t="s">
        <v>129</v>
      </c>
      <c r="P353" s="193" t="s">
        <v>150</v>
      </c>
      <c r="Q353" s="193" t="s">
        <v>149</v>
      </c>
      <c r="R353" s="193" t="s">
        <v>148</v>
      </c>
      <c r="S353" s="193" t="s">
        <v>147</v>
      </c>
      <c r="T353" s="193" t="s">
        <v>389</v>
      </c>
      <c r="U353" s="193" t="s">
        <v>390</v>
      </c>
      <c r="V353" s="193">
        <v>0</v>
      </c>
      <c r="W353" s="193">
        <v>0</v>
      </c>
      <c r="X353" s="193">
        <v>0</v>
      </c>
      <c r="Y353" s="554">
        <v>4000</v>
      </c>
      <c r="Z353" s="193" t="s">
        <v>515</v>
      </c>
      <c r="AA353" s="193" t="s">
        <v>516</v>
      </c>
      <c r="AB353" s="193">
        <v>4000</v>
      </c>
      <c r="AC353" s="193" t="s">
        <v>1171</v>
      </c>
      <c r="AD353" s="193" t="s">
        <v>147</v>
      </c>
      <c r="AE353" s="193">
        <v>4000</v>
      </c>
      <c r="AF353" s="193" t="s">
        <v>518</v>
      </c>
      <c r="AG353" s="193" t="s">
        <v>519</v>
      </c>
      <c r="AH353" s="193">
        <v>0</v>
      </c>
      <c r="AI353" s="193">
        <v>4000</v>
      </c>
      <c r="AJ353" s="193" t="s">
        <v>1362</v>
      </c>
      <c r="AL353" s="197" t="s">
        <v>1363</v>
      </c>
      <c r="AM353" s="193">
        <v>1</v>
      </c>
      <c r="AN353" s="193">
        <v>0</v>
      </c>
      <c r="AO353" s="193">
        <v>0</v>
      </c>
      <c r="AP353" s="193">
        <v>0</v>
      </c>
      <c r="AQ353" s="193" t="s">
        <v>214</v>
      </c>
      <c r="AS353" s="197" t="s">
        <v>518</v>
      </c>
      <c r="AT353" s="197" t="s">
        <v>519</v>
      </c>
      <c r="AV353" s="196">
        <v>0</v>
      </c>
      <c r="AW353" s="196">
        <v>0</v>
      </c>
      <c r="AX353" s="196">
        <v>0</v>
      </c>
      <c r="AY353" s="550">
        <v>0</v>
      </c>
      <c r="AZ353" s="196">
        <v>2000</v>
      </c>
      <c r="BA353" s="196">
        <v>2000</v>
      </c>
      <c r="BB353" s="551">
        <v>4000</v>
      </c>
      <c r="BC353" s="551">
        <v>4000</v>
      </c>
      <c r="BD353" s="551">
        <v>0</v>
      </c>
      <c r="BF353" s="550">
        <f t="shared" si="82"/>
        <v>0</v>
      </c>
      <c r="BG353" s="550">
        <f t="shared" si="83"/>
        <v>0</v>
      </c>
      <c r="BH353" s="550">
        <f t="shared" si="84"/>
        <v>0</v>
      </c>
      <c r="BI353" s="550">
        <f t="shared" si="85"/>
        <v>0</v>
      </c>
      <c r="BJ353" s="550">
        <f t="shared" si="86"/>
        <v>2000</v>
      </c>
      <c r="BK353" s="550">
        <f t="shared" si="87"/>
        <v>2000</v>
      </c>
      <c r="BL353" s="550">
        <f t="shared" si="88"/>
        <v>4000</v>
      </c>
      <c r="BM353" s="550">
        <f t="shared" si="89"/>
        <v>4000</v>
      </c>
      <c r="BO353" s="194"/>
      <c r="BQ353" s="193">
        <f t="shared" si="90"/>
        <v>0</v>
      </c>
      <c r="BR353" s="193">
        <f t="shared" si="91"/>
        <v>0</v>
      </c>
    </row>
    <row r="354" spans="1:70" ht="13.5" customHeight="1">
      <c r="A354" s="193" t="s">
        <v>378</v>
      </c>
      <c r="B354" s="193" t="s">
        <v>379</v>
      </c>
      <c r="C354" s="193" t="s">
        <v>214</v>
      </c>
      <c r="D354" s="193" t="s">
        <v>1165</v>
      </c>
      <c r="E354" s="193" t="s">
        <v>1166</v>
      </c>
      <c r="F354" s="193" t="s">
        <v>1364</v>
      </c>
      <c r="G354" s="193" t="s">
        <v>1364</v>
      </c>
      <c r="H354" s="193" t="s">
        <v>1325</v>
      </c>
      <c r="I354" s="193" t="s">
        <v>512</v>
      </c>
      <c r="J354" s="193" t="s">
        <v>1365</v>
      </c>
      <c r="K354" s="193" t="s">
        <v>386</v>
      </c>
      <c r="L354" s="193" t="s">
        <v>387</v>
      </c>
      <c r="M354" s="193" t="s">
        <v>378</v>
      </c>
      <c r="N354" s="193" t="s">
        <v>1170</v>
      </c>
      <c r="O354" s="193" t="s">
        <v>129</v>
      </c>
      <c r="P354" s="193" t="s">
        <v>150</v>
      </c>
      <c r="Q354" s="193" t="s">
        <v>149</v>
      </c>
      <c r="R354" s="193" t="s">
        <v>148</v>
      </c>
      <c r="S354" s="193" t="s">
        <v>147</v>
      </c>
      <c r="T354" s="193" t="s">
        <v>389</v>
      </c>
      <c r="U354" s="193" t="s">
        <v>390</v>
      </c>
      <c r="V354" s="193">
        <v>0</v>
      </c>
      <c r="W354" s="193">
        <v>0</v>
      </c>
      <c r="X354" s="193">
        <v>0</v>
      </c>
      <c r="Y354" s="554">
        <v>12000</v>
      </c>
      <c r="Z354" s="193" t="s">
        <v>515</v>
      </c>
      <c r="AA354" s="193" t="s">
        <v>516</v>
      </c>
      <c r="AB354" s="193">
        <v>12000</v>
      </c>
      <c r="AC354" s="193" t="s">
        <v>1171</v>
      </c>
      <c r="AD354" s="193" t="s">
        <v>147</v>
      </c>
      <c r="AE354" s="193">
        <v>12000</v>
      </c>
      <c r="AF354" s="193" t="s">
        <v>518</v>
      </c>
      <c r="AG354" s="193" t="s">
        <v>519</v>
      </c>
      <c r="AH354" s="193">
        <v>0</v>
      </c>
      <c r="AI354" s="193">
        <v>12000</v>
      </c>
      <c r="AJ354" s="193" t="s">
        <v>1366</v>
      </c>
      <c r="AL354" s="197" t="s">
        <v>1367</v>
      </c>
      <c r="AM354" s="193">
        <v>1</v>
      </c>
      <c r="AN354" s="193">
        <v>0</v>
      </c>
      <c r="AO354" s="193">
        <v>0</v>
      </c>
      <c r="AP354" s="193">
        <v>0</v>
      </c>
      <c r="AQ354" s="193" t="s">
        <v>214</v>
      </c>
      <c r="AS354" s="197" t="s">
        <v>518</v>
      </c>
      <c r="AT354" s="197" t="s">
        <v>519</v>
      </c>
      <c r="AV354" s="196">
        <v>0</v>
      </c>
      <c r="AW354" s="196">
        <v>0</v>
      </c>
      <c r="AX354" s="196">
        <v>0</v>
      </c>
      <c r="AY354" s="550">
        <v>0</v>
      </c>
      <c r="AZ354" s="196">
        <v>6000</v>
      </c>
      <c r="BA354" s="196">
        <v>6000</v>
      </c>
      <c r="BB354" s="551">
        <v>12000</v>
      </c>
      <c r="BC354" s="551">
        <v>12000</v>
      </c>
      <c r="BD354" s="551">
        <v>0</v>
      </c>
      <c r="BF354" s="550">
        <f t="shared" si="82"/>
        <v>0</v>
      </c>
      <c r="BG354" s="550">
        <f t="shared" si="83"/>
        <v>0</v>
      </c>
      <c r="BH354" s="550">
        <f t="shared" si="84"/>
        <v>0</v>
      </c>
      <c r="BI354" s="550">
        <f t="shared" si="85"/>
        <v>0</v>
      </c>
      <c r="BJ354" s="550">
        <f t="shared" si="86"/>
        <v>6000</v>
      </c>
      <c r="BK354" s="550">
        <f t="shared" si="87"/>
        <v>6000</v>
      </c>
      <c r="BL354" s="550">
        <f t="shared" si="88"/>
        <v>12000</v>
      </c>
      <c r="BM354" s="550">
        <f t="shared" si="89"/>
        <v>12000</v>
      </c>
      <c r="BO354" s="194"/>
      <c r="BQ354" s="193">
        <f t="shared" si="90"/>
        <v>0</v>
      </c>
      <c r="BR354" s="193">
        <f t="shared" si="91"/>
        <v>0</v>
      </c>
    </row>
    <row r="355" spans="1:70" ht="13.5" customHeight="1">
      <c r="A355" s="193" t="s">
        <v>378</v>
      </c>
      <c r="B355" s="193" t="s">
        <v>379</v>
      </c>
      <c r="C355" s="193" t="s">
        <v>214</v>
      </c>
      <c r="D355" s="193" t="s">
        <v>1165</v>
      </c>
      <c r="E355" s="193" t="s">
        <v>1166</v>
      </c>
      <c r="F355" s="193" t="s">
        <v>547</v>
      </c>
      <c r="G355" s="193" t="s">
        <v>547</v>
      </c>
      <c r="H355" s="193" t="s">
        <v>1325</v>
      </c>
      <c r="I355" s="193" t="s">
        <v>512</v>
      </c>
      <c r="J355" s="193" t="s">
        <v>1368</v>
      </c>
      <c r="K355" s="193" t="s">
        <v>386</v>
      </c>
      <c r="L355" s="193" t="s">
        <v>387</v>
      </c>
      <c r="M355" s="193" t="s">
        <v>378</v>
      </c>
      <c r="N355" s="193" t="s">
        <v>1170</v>
      </c>
      <c r="O355" s="193" t="s">
        <v>129</v>
      </c>
      <c r="P355" s="193" t="s">
        <v>150</v>
      </c>
      <c r="Q355" s="193" t="s">
        <v>149</v>
      </c>
      <c r="R355" s="193" t="s">
        <v>148</v>
      </c>
      <c r="S355" s="193" t="s">
        <v>147</v>
      </c>
      <c r="T355" s="193" t="s">
        <v>389</v>
      </c>
      <c r="U355" s="193" t="s">
        <v>390</v>
      </c>
      <c r="V355" s="193">
        <v>0</v>
      </c>
      <c r="W355" s="193">
        <v>0</v>
      </c>
      <c r="X355" s="193">
        <v>0</v>
      </c>
      <c r="Y355" s="554">
        <v>16000</v>
      </c>
      <c r="Z355" s="193" t="s">
        <v>515</v>
      </c>
      <c r="AA355" s="193" t="s">
        <v>516</v>
      </c>
      <c r="AB355" s="193">
        <v>16000</v>
      </c>
      <c r="AC355" s="193" t="s">
        <v>1171</v>
      </c>
      <c r="AD355" s="193" t="s">
        <v>147</v>
      </c>
      <c r="AE355" s="193">
        <v>16000</v>
      </c>
      <c r="AF355" s="193" t="s">
        <v>518</v>
      </c>
      <c r="AG355" s="193" t="s">
        <v>519</v>
      </c>
      <c r="AH355" s="193">
        <v>0</v>
      </c>
      <c r="AI355" s="193">
        <v>16000</v>
      </c>
      <c r="AJ355" s="193" t="s">
        <v>1369</v>
      </c>
      <c r="AL355" s="197" t="s">
        <v>1370</v>
      </c>
      <c r="AM355" s="193">
        <v>1</v>
      </c>
      <c r="AN355" s="193">
        <v>0</v>
      </c>
      <c r="AO355" s="193">
        <v>0</v>
      </c>
      <c r="AP355" s="193">
        <v>0</v>
      </c>
      <c r="AQ355" s="193" t="s">
        <v>214</v>
      </c>
      <c r="AS355" s="197" t="s">
        <v>518</v>
      </c>
      <c r="AT355" s="197" t="s">
        <v>519</v>
      </c>
      <c r="AV355" s="196">
        <v>0</v>
      </c>
      <c r="AW355" s="196">
        <v>0</v>
      </c>
      <c r="AX355" s="196">
        <v>0</v>
      </c>
      <c r="AY355" s="550">
        <v>0</v>
      </c>
      <c r="AZ355" s="196">
        <v>8000</v>
      </c>
      <c r="BA355" s="196">
        <v>8000</v>
      </c>
      <c r="BB355" s="551">
        <v>16000</v>
      </c>
      <c r="BC355" s="551">
        <v>16000</v>
      </c>
      <c r="BD355" s="551">
        <v>0</v>
      </c>
      <c r="BF355" s="550">
        <f t="shared" si="82"/>
        <v>0</v>
      </c>
      <c r="BG355" s="550">
        <f t="shared" si="83"/>
        <v>0</v>
      </c>
      <c r="BH355" s="550">
        <f t="shared" si="84"/>
        <v>0</v>
      </c>
      <c r="BI355" s="550">
        <f t="shared" si="85"/>
        <v>0</v>
      </c>
      <c r="BJ355" s="550">
        <f t="shared" si="86"/>
        <v>8000</v>
      </c>
      <c r="BK355" s="550">
        <f t="shared" si="87"/>
        <v>8000</v>
      </c>
      <c r="BL355" s="550">
        <f t="shared" si="88"/>
        <v>16000</v>
      </c>
      <c r="BM355" s="550">
        <f t="shared" si="89"/>
        <v>16000</v>
      </c>
      <c r="BO355" s="194"/>
      <c r="BQ355" s="193">
        <f t="shared" si="90"/>
        <v>0</v>
      </c>
      <c r="BR355" s="193">
        <f t="shared" si="91"/>
        <v>0</v>
      </c>
    </row>
    <row r="356" spans="1:70" ht="13.5" customHeight="1">
      <c r="A356" s="193" t="s">
        <v>378</v>
      </c>
      <c r="B356" s="193" t="s">
        <v>379</v>
      </c>
      <c r="C356" s="193" t="s">
        <v>214</v>
      </c>
      <c r="D356" s="193" t="s">
        <v>1441</v>
      </c>
      <c r="E356" s="193" t="s">
        <v>1442</v>
      </c>
      <c r="F356" s="193" t="s">
        <v>1443</v>
      </c>
      <c r="G356" s="193" t="s">
        <v>1443</v>
      </c>
      <c r="H356" s="193" t="s">
        <v>1444</v>
      </c>
      <c r="I356" s="193" t="s">
        <v>512</v>
      </c>
      <c r="J356" s="193" t="s">
        <v>1445</v>
      </c>
      <c r="K356" s="193" t="s">
        <v>386</v>
      </c>
      <c r="L356" s="193" t="s">
        <v>387</v>
      </c>
      <c r="M356" s="193" t="s">
        <v>378</v>
      </c>
      <c r="N356" s="193" t="s">
        <v>1446</v>
      </c>
      <c r="O356" s="193" t="s">
        <v>129</v>
      </c>
      <c r="P356" s="193" t="s">
        <v>138</v>
      </c>
      <c r="Q356" s="193" t="s">
        <v>42</v>
      </c>
      <c r="R356" s="193" t="s">
        <v>145</v>
      </c>
      <c r="S356" s="193" t="s">
        <v>214</v>
      </c>
      <c r="T356" s="193" t="s">
        <v>389</v>
      </c>
      <c r="U356" s="193" t="s">
        <v>390</v>
      </c>
      <c r="V356" s="193">
        <v>0</v>
      </c>
      <c r="W356" s="193">
        <v>0</v>
      </c>
      <c r="X356" s="193">
        <v>0</v>
      </c>
      <c r="Y356" s="194">
        <v>6794</v>
      </c>
      <c r="Z356" s="193" t="s">
        <v>515</v>
      </c>
      <c r="AA356" s="193" t="s">
        <v>516</v>
      </c>
      <c r="AB356" s="193">
        <v>6794</v>
      </c>
      <c r="AC356" s="193" t="s">
        <v>1447</v>
      </c>
      <c r="AD356" s="193" t="s">
        <v>145</v>
      </c>
      <c r="AE356" s="193">
        <v>6794</v>
      </c>
      <c r="AF356" s="193" t="s">
        <v>518</v>
      </c>
      <c r="AG356" s="193" t="s">
        <v>519</v>
      </c>
      <c r="AH356" s="193">
        <v>0</v>
      </c>
      <c r="AI356" s="193">
        <v>6794</v>
      </c>
      <c r="AJ356" s="193" t="s">
        <v>1448</v>
      </c>
      <c r="AL356" s="197" t="s">
        <v>1449</v>
      </c>
      <c r="AM356" s="193">
        <v>1</v>
      </c>
      <c r="AN356" s="193">
        <v>0</v>
      </c>
      <c r="AO356" s="193">
        <v>0</v>
      </c>
      <c r="AP356" s="193" t="s">
        <v>1450</v>
      </c>
      <c r="AQ356" s="193" t="s">
        <v>214</v>
      </c>
      <c r="AS356" s="197" t="s">
        <v>518</v>
      </c>
      <c r="AT356" s="197" t="s">
        <v>519</v>
      </c>
      <c r="AV356" s="196">
        <v>3397</v>
      </c>
      <c r="AW356" s="196">
        <v>0</v>
      </c>
      <c r="AX356" s="196">
        <v>0</v>
      </c>
      <c r="AY356" s="550">
        <v>3397</v>
      </c>
      <c r="AZ356" s="196">
        <v>0</v>
      </c>
      <c r="BA356" s="196">
        <v>3397</v>
      </c>
      <c r="BB356" s="551">
        <v>3397</v>
      </c>
      <c r="BC356" s="551">
        <v>6794</v>
      </c>
      <c r="BD356" s="551">
        <v>0</v>
      </c>
      <c r="BF356" s="550">
        <f t="shared" si="82"/>
        <v>3397</v>
      </c>
      <c r="BG356" s="550">
        <f t="shared" si="83"/>
        <v>0</v>
      </c>
      <c r="BH356" s="550">
        <f t="shared" si="84"/>
        <v>0</v>
      </c>
      <c r="BI356" s="550">
        <f t="shared" si="85"/>
        <v>3397</v>
      </c>
      <c r="BJ356" s="550">
        <f t="shared" si="86"/>
        <v>0</v>
      </c>
      <c r="BK356" s="550">
        <f t="shared" si="87"/>
        <v>3397</v>
      </c>
      <c r="BL356" s="550">
        <f t="shared" si="88"/>
        <v>3397</v>
      </c>
      <c r="BM356" s="550">
        <f t="shared" si="89"/>
        <v>6794</v>
      </c>
      <c r="BO356" s="194"/>
      <c r="BQ356" s="193">
        <f t="shared" si="90"/>
        <v>0</v>
      </c>
      <c r="BR356" s="193">
        <f t="shared" si="91"/>
        <v>0</v>
      </c>
    </row>
    <row r="357" spans="1:70" ht="13.5" customHeight="1">
      <c r="A357" s="193" t="s">
        <v>378</v>
      </c>
      <c r="B357" s="193" t="s">
        <v>379</v>
      </c>
      <c r="C357" s="193" t="s">
        <v>214</v>
      </c>
      <c r="D357" s="193" t="s">
        <v>1441</v>
      </c>
      <c r="E357" s="193" t="s">
        <v>1442</v>
      </c>
      <c r="F357" s="193" t="s">
        <v>1451</v>
      </c>
      <c r="G357" s="193" t="s">
        <v>1451</v>
      </c>
      <c r="H357" s="193" t="s">
        <v>1452</v>
      </c>
      <c r="I357" s="193" t="s">
        <v>512</v>
      </c>
      <c r="J357" s="193" t="s">
        <v>1453</v>
      </c>
      <c r="K357" s="193" t="s">
        <v>386</v>
      </c>
      <c r="L357" s="193" t="s">
        <v>387</v>
      </c>
      <c r="M357" s="193" t="s">
        <v>378</v>
      </c>
      <c r="N357" s="193" t="s">
        <v>1446</v>
      </c>
      <c r="O357" s="193" t="s">
        <v>129</v>
      </c>
      <c r="P357" s="193" t="s">
        <v>138</v>
      </c>
      <c r="Q357" s="193" t="s">
        <v>42</v>
      </c>
      <c r="R357" s="193" t="s">
        <v>145</v>
      </c>
      <c r="S357" s="193" t="s">
        <v>214</v>
      </c>
      <c r="T357" s="193" t="s">
        <v>389</v>
      </c>
      <c r="U357" s="193" t="s">
        <v>390</v>
      </c>
      <c r="V357" s="193">
        <v>0</v>
      </c>
      <c r="W357" s="193">
        <v>0</v>
      </c>
      <c r="X357" s="193">
        <v>0</v>
      </c>
      <c r="Y357" s="194">
        <v>25890</v>
      </c>
      <c r="Z357" s="193" t="s">
        <v>515</v>
      </c>
      <c r="AA357" s="193" t="s">
        <v>516</v>
      </c>
      <c r="AB357" s="193">
        <v>25890</v>
      </c>
      <c r="AC357" s="193" t="s">
        <v>1447</v>
      </c>
      <c r="AD357" s="193" t="s">
        <v>145</v>
      </c>
      <c r="AE357" s="193">
        <v>25890</v>
      </c>
      <c r="AF357" s="193" t="s">
        <v>518</v>
      </c>
      <c r="AG357" s="193" t="s">
        <v>519</v>
      </c>
      <c r="AH357" s="193">
        <v>0</v>
      </c>
      <c r="AI357" s="193">
        <v>25890</v>
      </c>
      <c r="AJ357" s="193" t="s">
        <v>1448</v>
      </c>
      <c r="AL357" s="197" t="s">
        <v>1454</v>
      </c>
      <c r="AM357" s="193">
        <v>1</v>
      </c>
      <c r="AN357" s="193">
        <v>0</v>
      </c>
      <c r="AO357" s="193">
        <v>0</v>
      </c>
      <c r="AP357" s="193" t="s">
        <v>1450</v>
      </c>
      <c r="AQ357" s="193" t="s">
        <v>214</v>
      </c>
      <c r="AS357" s="197" t="s">
        <v>518</v>
      </c>
      <c r="AT357" s="197" t="s">
        <v>519</v>
      </c>
      <c r="AV357" s="196">
        <v>12945</v>
      </c>
      <c r="AW357" s="196">
        <v>0</v>
      </c>
      <c r="AX357" s="196">
        <v>0</v>
      </c>
      <c r="AY357" s="550">
        <v>12945</v>
      </c>
      <c r="AZ357" s="196">
        <v>0</v>
      </c>
      <c r="BA357" s="196">
        <v>12945</v>
      </c>
      <c r="BB357" s="551">
        <v>12945</v>
      </c>
      <c r="BC357" s="551">
        <v>25890</v>
      </c>
      <c r="BD357" s="551">
        <v>0</v>
      </c>
      <c r="BF357" s="550">
        <f t="shared" si="82"/>
        <v>12945</v>
      </c>
      <c r="BG357" s="550">
        <f t="shared" si="83"/>
        <v>0</v>
      </c>
      <c r="BH357" s="550">
        <f t="shared" si="84"/>
        <v>0</v>
      </c>
      <c r="BI357" s="550">
        <f t="shared" si="85"/>
        <v>12945</v>
      </c>
      <c r="BJ357" s="550">
        <f t="shared" si="86"/>
        <v>0</v>
      </c>
      <c r="BK357" s="550">
        <f t="shared" si="87"/>
        <v>12945</v>
      </c>
      <c r="BL357" s="550">
        <f t="shared" si="88"/>
        <v>12945</v>
      </c>
      <c r="BM357" s="550">
        <f t="shared" si="89"/>
        <v>25890</v>
      </c>
      <c r="BO357" s="194"/>
      <c r="BQ357" s="193">
        <f t="shared" si="90"/>
        <v>0</v>
      </c>
      <c r="BR357" s="193">
        <f t="shared" si="91"/>
        <v>0</v>
      </c>
    </row>
    <row r="358" spans="1:70" ht="13.5" customHeight="1">
      <c r="A358" s="193" t="s">
        <v>378</v>
      </c>
      <c r="B358" s="193" t="s">
        <v>379</v>
      </c>
      <c r="C358" s="193" t="s">
        <v>214</v>
      </c>
      <c r="D358" s="193" t="s">
        <v>1441</v>
      </c>
      <c r="E358" s="193" t="s">
        <v>1442</v>
      </c>
      <c r="F358" s="193" t="s">
        <v>439</v>
      </c>
      <c r="G358" s="193" t="s">
        <v>439</v>
      </c>
      <c r="H358" s="193" t="s">
        <v>1455</v>
      </c>
      <c r="I358" s="193" t="s">
        <v>384</v>
      </c>
      <c r="J358" s="193" t="s">
        <v>1456</v>
      </c>
      <c r="K358" s="193" t="s">
        <v>386</v>
      </c>
      <c r="L358" s="193" t="s">
        <v>387</v>
      </c>
      <c r="M358" s="193" t="s">
        <v>378</v>
      </c>
      <c r="N358" s="193" t="s">
        <v>1446</v>
      </c>
      <c r="O358" s="193" t="s">
        <v>129</v>
      </c>
      <c r="P358" s="193" t="s">
        <v>138</v>
      </c>
      <c r="Q358" s="193" t="s">
        <v>42</v>
      </c>
      <c r="R358" s="193" t="s">
        <v>145</v>
      </c>
      <c r="S358" s="193" t="s">
        <v>214</v>
      </c>
      <c r="T358" s="193" t="s">
        <v>389</v>
      </c>
      <c r="U358" s="193" t="s">
        <v>390</v>
      </c>
      <c r="V358" s="193">
        <v>0</v>
      </c>
      <c r="W358" s="193">
        <v>0</v>
      </c>
      <c r="X358" s="193">
        <v>0</v>
      </c>
      <c r="Y358" s="194">
        <v>26168</v>
      </c>
      <c r="Z358" s="193" t="s">
        <v>1457</v>
      </c>
      <c r="AA358" s="193" t="s">
        <v>1458</v>
      </c>
      <c r="AB358" s="193">
        <v>26168</v>
      </c>
      <c r="AC358" s="193" t="s">
        <v>1447</v>
      </c>
      <c r="AD358" s="193" t="s">
        <v>145</v>
      </c>
      <c r="AE358" s="193">
        <v>26168</v>
      </c>
      <c r="AF358" s="193" t="s">
        <v>518</v>
      </c>
      <c r="AG358" s="193" t="s">
        <v>519</v>
      </c>
      <c r="AH358" s="193">
        <v>0</v>
      </c>
      <c r="AI358" s="193">
        <v>26168</v>
      </c>
      <c r="AJ358" s="193" t="s">
        <v>1459</v>
      </c>
      <c r="AL358" s="197" t="s">
        <v>1460</v>
      </c>
      <c r="AM358" s="193">
        <v>1</v>
      </c>
      <c r="AN358" s="193">
        <v>0</v>
      </c>
      <c r="AO358" s="193">
        <v>0</v>
      </c>
      <c r="AP358" s="193" t="s">
        <v>1450</v>
      </c>
      <c r="AQ358" s="193" t="s">
        <v>214</v>
      </c>
      <c r="AS358" s="197" t="s">
        <v>518</v>
      </c>
      <c r="AT358" s="197" t="s">
        <v>519</v>
      </c>
      <c r="AV358" s="196">
        <v>13084</v>
      </c>
      <c r="AW358" s="196">
        <v>0</v>
      </c>
      <c r="AX358" s="196">
        <v>0</v>
      </c>
      <c r="AY358" s="550">
        <v>13084</v>
      </c>
      <c r="AZ358" s="196">
        <v>0</v>
      </c>
      <c r="BA358" s="196">
        <v>13084</v>
      </c>
      <c r="BB358" s="551">
        <v>13084</v>
      </c>
      <c r="BC358" s="551">
        <v>26168</v>
      </c>
      <c r="BD358" s="551">
        <v>0</v>
      </c>
      <c r="BF358" s="550">
        <f t="shared" si="82"/>
        <v>13084</v>
      </c>
      <c r="BG358" s="550">
        <f t="shared" si="83"/>
        <v>0</v>
      </c>
      <c r="BH358" s="550">
        <f t="shared" si="84"/>
        <v>0</v>
      </c>
      <c r="BI358" s="550">
        <f t="shared" si="85"/>
        <v>13084</v>
      </c>
      <c r="BJ358" s="550">
        <f t="shared" si="86"/>
        <v>0</v>
      </c>
      <c r="BK358" s="550">
        <f t="shared" si="87"/>
        <v>13084</v>
      </c>
      <c r="BL358" s="550">
        <f t="shared" si="88"/>
        <v>13084</v>
      </c>
      <c r="BM358" s="550">
        <f t="shared" si="89"/>
        <v>26168</v>
      </c>
      <c r="BO358" s="194"/>
      <c r="BQ358" s="193">
        <f t="shared" si="90"/>
        <v>0</v>
      </c>
      <c r="BR358" s="193">
        <f t="shared" si="91"/>
        <v>0</v>
      </c>
    </row>
    <row r="359" spans="1:70" ht="13.5" customHeight="1">
      <c r="A359" s="193" t="s">
        <v>378</v>
      </c>
      <c r="B359" s="193" t="s">
        <v>379</v>
      </c>
      <c r="C359" s="193" t="s">
        <v>214</v>
      </c>
      <c r="D359" s="193" t="s">
        <v>1441</v>
      </c>
      <c r="E359" s="193" t="s">
        <v>1442</v>
      </c>
      <c r="F359" s="193" t="s">
        <v>427</v>
      </c>
      <c r="G359" s="193" t="s">
        <v>427</v>
      </c>
      <c r="H359" s="193" t="s">
        <v>1461</v>
      </c>
      <c r="I359" s="193" t="s">
        <v>512</v>
      </c>
      <c r="J359" s="193" t="s">
        <v>1462</v>
      </c>
      <c r="K359" s="193" t="s">
        <v>386</v>
      </c>
      <c r="L359" s="193" t="s">
        <v>387</v>
      </c>
      <c r="M359" s="193" t="s">
        <v>378</v>
      </c>
      <c r="N359" s="193" t="s">
        <v>1446</v>
      </c>
      <c r="O359" s="193" t="s">
        <v>129</v>
      </c>
      <c r="P359" s="193" t="s">
        <v>138</v>
      </c>
      <c r="Q359" s="193" t="s">
        <v>42</v>
      </c>
      <c r="R359" s="193" t="s">
        <v>145</v>
      </c>
      <c r="S359" s="193" t="s">
        <v>214</v>
      </c>
      <c r="T359" s="193" t="s">
        <v>389</v>
      </c>
      <c r="U359" s="193" t="s">
        <v>390</v>
      </c>
      <c r="V359" s="193">
        <v>0</v>
      </c>
      <c r="W359" s="193">
        <v>0</v>
      </c>
      <c r="X359" s="193">
        <v>0</v>
      </c>
      <c r="Y359" s="194">
        <v>29918</v>
      </c>
      <c r="Z359" s="193" t="s">
        <v>515</v>
      </c>
      <c r="AA359" s="193" t="s">
        <v>516</v>
      </c>
      <c r="AB359" s="193">
        <v>29918</v>
      </c>
      <c r="AC359" s="193" t="s">
        <v>1447</v>
      </c>
      <c r="AD359" s="193" t="s">
        <v>145</v>
      </c>
      <c r="AE359" s="193">
        <v>29918</v>
      </c>
      <c r="AF359" s="193" t="s">
        <v>518</v>
      </c>
      <c r="AG359" s="193" t="s">
        <v>519</v>
      </c>
      <c r="AH359" s="193">
        <v>0</v>
      </c>
      <c r="AI359" s="193">
        <v>29918</v>
      </c>
      <c r="AJ359" s="193" t="s">
        <v>1459</v>
      </c>
      <c r="AL359" s="197" t="s">
        <v>1463</v>
      </c>
      <c r="AM359" s="193">
        <v>1</v>
      </c>
      <c r="AN359" s="193">
        <v>0</v>
      </c>
      <c r="AO359" s="193">
        <v>0</v>
      </c>
      <c r="AP359" s="193" t="s">
        <v>1450</v>
      </c>
      <c r="AQ359" s="193" t="s">
        <v>214</v>
      </c>
      <c r="AS359" s="197" t="s">
        <v>518</v>
      </c>
      <c r="AT359" s="197" t="s">
        <v>519</v>
      </c>
      <c r="AV359" s="196">
        <v>14959</v>
      </c>
      <c r="AW359" s="196">
        <v>0</v>
      </c>
      <c r="AX359" s="196">
        <v>0</v>
      </c>
      <c r="AY359" s="550">
        <v>14959</v>
      </c>
      <c r="AZ359" s="196">
        <v>0</v>
      </c>
      <c r="BA359" s="196">
        <v>14959</v>
      </c>
      <c r="BB359" s="551">
        <v>14959</v>
      </c>
      <c r="BC359" s="551">
        <v>29918</v>
      </c>
      <c r="BD359" s="551">
        <v>0</v>
      </c>
      <c r="BF359" s="550">
        <f t="shared" si="82"/>
        <v>14959</v>
      </c>
      <c r="BG359" s="550">
        <f t="shared" si="83"/>
        <v>0</v>
      </c>
      <c r="BH359" s="550">
        <f t="shared" si="84"/>
        <v>0</v>
      </c>
      <c r="BI359" s="550">
        <f t="shared" si="85"/>
        <v>14959</v>
      </c>
      <c r="BJ359" s="550">
        <f t="shared" si="86"/>
        <v>0</v>
      </c>
      <c r="BK359" s="550">
        <f t="shared" si="87"/>
        <v>14959</v>
      </c>
      <c r="BL359" s="550">
        <f t="shared" si="88"/>
        <v>14959</v>
      </c>
      <c r="BM359" s="550">
        <f t="shared" si="89"/>
        <v>29918</v>
      </c>
      <c r="BO359" s="194"/>
      <c r="BQ359" s="193">
        <f t="shared" si="90"/>
        <v>0</v>
      </c>
      <c r="BR359" s="193">
        <f t="shared" si="91"/>
        <v>0</v>
      </c>
    </row>
    <row r="360" spans="1:70" ht="13.5" customHeight="1">
      <c r="A360" s="193" t="s">
        <v>378</v>
      </c>
      <c r="B360" s="193" t="s">
        <v>379</v>
      </c>
      <c r="C360" s="193" t="s">
        <v>214</v>
      </c>
      <c r="D360" s="193" t="s">
        <v>1165</v>
      </c>
      <c r="E360" s="193" t="s">
        <v>1166</v>
      </c>
      <c r="F360" s="193" t="s">
        <v>439</v>
      </c>
      <c r="G360" s="193" t="s">
        <v>439</v>
      </c>
      <c r="H360" s="193" t="s">
        <v>3320</v>
      </c>
      <c r="I360" s="193" t="s">
        <v>1508</v>
      </c>
      <c r="J360" s="193" t="s">
        <v>3321</v>
      </c>
      <c r="K360" s="193" t="s">
        <v>386</v>
      </c>
      <c r="L360" s="193" t="s">
        <v>387</v>
      </c>
      <c r="M360" s="193" t="s">
        <v>378</v>
      </c>
      <c r="N360" s="193" t="s">
        <v>1466</v>
      </c>
      <c r="O360" s="193" t="s">
        <v>129</v>
      </c>
      <c r="P360" s="193" t="s">
        <v>138</v>
      </c>
      <c r="Q360" s="193" t="s">
        <v>141</v>
      </c>
      <c r="R360" s="193" t="s">
        <v>143</v>
      </c>
      <c r="S360" s="193" t="s">
        <v>214</v>
      </c>
      <c r="T360" s="193" t="s">
        <v>389</v>
      </c>
      <c r="U360" s="193" t="s">
        <v>390</v>
      </c>
      <c r="V360" s="193">
        <v>0</v>
      </c>
      <c r="W360" s="193">
        <v>0</v>
      </c>
      <c r="X360" s="193">
        <v>0</v>
      </c>
      <c r="Y360" s="194">
        <v>-117252</v>
      </c>
      <c r="Z360" s="193" t="s">
        <v>1469</v>
      </c>
      <c r="AA360" s="193" t="s">
        <v>143</v>
      </c>
      <c r="AB360" s="193">
        <v>117252</v>
      </c>
      <c r="AC360" s="193" t="s">
        <v>3339</v>
      </c>
      <c r="AD360" s="193" t="s">
        <v>3340</v>
      </c>
      <c r="AE360" s="193">
        <v>117252</v>
      </c>
      <c r="AF360" s="193" t="s">
        <v>3012</v>
      </c>
      <c r="AG360" s="193" t="s">
        <v>395</v>
      </c>
      <c r="AH360" s="193">
        <v>-10659</v>
      </c>
      <c r="AI360" s="193">
        <v>-106593</v>
      </c>
      <c r="AJ360" s="193" t="s">
        <v>214</v>
      </c>
      <c r="AL360" s="197" t="s">
        <v>3322</v>
      </c>
      <c r="AM360" s="193">
        <v>2</v>
      </c>
      <c r="AN360" s="193">
        <v>17</v>
      </c>
      <c r="AO360" s="193">
        <v>10</v>
      </c>
      <c r="AQ360" s="193" t="s">
        <v>214</v>
      </c>
      <c r="AS360" s="197">
        <v>17</v>
      </c>
      <c r="AT360" s="197">
        <v>10</v>
      </c>
      <c r="AV360" s="196">
        <v>-117252</v>
      </c>
      <c r="AW360" s="196"/>
      <c r="AX360" s="196"/>
      <c r="AY360" s="550">
        <v>-117252</v>
      </c>
      <c r="AZ360" s="196"/>
      <c r="BA360" s="196"/>
      <c r="BB360" s="551">
        <v>0</v>
      </c>
      <c r="BC360" s="551">
        <v>-117252</v>
      </c>
      <c r="BD360" s="551">
        <v>0</v>
      </c>
      <c r="BF360" s="550">
        <f t="shared" si="82"/>
        <v>-106593</v>
      </c>
      <c r="BG360" s="550">
        <f t="shared" si="83"/>
        <v>0</v>
      </c>
      <c r="BH360" s="550">
        <f t="shared" si="84"/>
        <v>0</v>
      </c>
      <c r="BI360" s="550">
        <f t="shared" si="85"/>
        <v>-106593</v>
      </c>
      <c r="BJ360" s="550">
        <f t="shared" si="86"/>
        <v>0</v>
      </c>
      <c r="BK360" s="550">
        <f t="shared" si="87"/>
        <v>0</v>
      </c>
      <c r="BL360" s="550">
        <f t="shared" si="88"/>
        <v>0</v>
      </c>
      <c r="BM360" s="550">
        <f t="shared" si="89"/>
        <v>-106593</v>
      </c>
      <c r="BO360" s="194"/>
      <c r="BQ360" s="193">
        <f t="shared" si="90"/>
        <v>0.27272727272065822</v>
      </c>
      <c r="BR360" s="193">
        <f t="shared" si="91"/>
        <v>0</v>
      </c>
    </row>
    <row r="361" spans="1:70" ht="13.5" customHeight="1">
      <c r="A361" s="193" t="s">
        <v>378</v>
      </c>
      <c r="B361" s="193" t="s">
        <v>379</v>
      </c>
      <c r="C361" s="193" t="s">
        <v>214</v>
      </c>
      <c r="D361" s="193" t="s">
        <v>1165</v>
      </c>
      <c r="E361" s="193" t="s">
        <v>1166</v>
      </c>
      <c r="F361" s="193" t="s">
        <v>898</v>
      </c>
      <c r="G361" s="193" t="s">
        <v>898</v>
      </c>
      <c r="H361" s="193" t="s">
        <v>1464</v>
      </c>
      <c r="I361" s="193" t="s">
        <v>384</v>
      </c>
      <c r="J361" s="193" t="s">
        <v>1465</v>
      </c>
      <c r="K361" s="193" t="s">
        <v>386</v>
      </c>
      <c r="L361" s="193" t="s">
        <v>387</v>
      </c>
      <c r="M361" s="193" t="s">
        <v>378</v>
      </c>
      <c r="N361" s="193" t="s">
        <v>1466</v>
      </c>
      <c r="O361" s="193" t="s">
        <v>129</v>
      </c>
      <c r="P361" s="193" t="s">
        <v>138</v>
      </c>
      <c r="Q361" s="193" t="s">
        <v>141</v>
      </c>
      <c r="R361" s="193" t="s">
        <v>143</v>
      </c>
      <c r="S361" s="193" t="s">
        <v>214</v>
      </c>
      <c r="T361" s="193" t="s">
        <v>389</v>
      </c>
      <c r="U361" s="193" t="s">
        <v>390</v>
      </c>
      <c r="V361" s="193">
        <v>0</v>
      </c>
      <c r="W361" s="193">
        <v>0</v>
      </c>
      <c r="X361" s="193">
        <v>0</v>
      </c>
      <c r="Y361" s="194">
        <v>2934622</v>
      </c>
      <c r="Z361" s="193" t="s">
        <v>1467</v>
      </c>
      <c r="AA361" s="193" t="s">
        <v>1468</v>
      </c>
      <c r="AB361" s="193">
        <v>2934622</v>
      </c>
      <c r="AC361" s="193" t="s">
        <v>1469</v>
      </c>
      <c r="AD361" s="193" t="s">
        <v>143</v>
      </c>
      <c r="AE361" s="193">
        <v>2934622</v>
      </c>
      <c r="AF361" s="193" t="s">
        <v>1470</v>
      </c>
      <c r="AG361" s="193" t="s">
        <v>395</v>
      </c>
      <c r="AH361" s="193">
        <v>266783</v>
      </c>
      <c r="AI361" s="193">
        <v>2667839</v>
      </c>
      <c r="AJ361" s="193" t="s">
        <v>1471</v>
      </c>
      <c r="AL361" s="197" t="s">
        <v>1472</v>
      </c>
      <c r="AM361" s="193">
        <v>2</v>
      </c>
      <c r="AN361" s="193">
        <v>17</v>
      </c>
      <c r="AO361" s="193">
        <v>10</v>
      </c>
      <c r="AP361" s="193">
        <v>0</v>
      </c>
      <c r="AQ361" s="193" t="s">
        <v>214</v>
      </c>
      <c r="AS361" s="197">
        <v>17</v>
      </c>
      <c r="AT361" s="197">
        <v>10</v>
      </c>
      <c r="AV361" s="194">
        <v>2934622</v>
      </c>
      <c r="AW361" s="194">
        <v>0</v>
      </c>
      <c r="AX361" s="194">
        <v>0</v>
      </c>
      <c r="AY361" s="549">
        <v>2934622</v>
      </c>
      <c r="AZ361" s="194">
        <v>0</v>
      </c>
      <c r="BA361" s="194">
        <v>0</v>
      </c>
      <c r="BB361" s="551">
        <v>0</v>
      </c>
      <c r="BC361" s="551">
        <v>2934622</v>
      </c>
      <c r="BD361" s="551">
        <v>0</v>
      </c>
      <c r="BF361" s="550">
        <f t="shared" si="82"/>
        <v>2667838</v>
      </c>
      <c r="BG361" s="550">
        <f t="shared" si="83"/>
        <v>0</v>
      </c>
      <c r="BH361" s="550">
        <f t="shared" si="84"/>
        <v>0</v>
      </c>
      <c r="BI361" s="550">
        <f t="shared" si="85"/>
        <v>2667838</v>
      </c>
      <c r="BJ361" s="550">
        <f t="shared" si="86"/>
        <v>0</v>
      </c>
      <c r="BK361" s="550">
        <f t="shared" si="87"/>
        <v>0</v>
      </c>
      <c r="BL361" s="550">
        <f t="shared" si="88"/>
        <v>0</v>
      </c>
      <c r="BM361" s="550">
        <f t="shared" si="89"/>
        <v>2667838</v>
      </c>
      <c r="BO361" s="194"/>
      <c r="BQ361" s="193">
        <f t="shared" si="90"/>
        <v>0.18181818164885044</v>
      </c>
      <c r="BR361" s="193">
        <f t="shared" si="91"/>
        <v>0</v>
      </c>
    </row>
    <row r="362" spans="1:70" ht="13.5" customHeight="1">
      <c r="A362" s="193" t="s">
        <v>378</v>
      </c>
      <c r="B362" s="193" t="s">
        <v>379</v>
      </c>
      <c r="C362" s="193" t="s">
        <v>214</v>
      </c>
      <c r="D362" s="193" t="s">
        <v>1165</v>
      </c>
      <c r="E362" s="193" t="s">
        <v>1166</v>
      </c>
      <c r="F362" s="193" t="s">
        <v>439</v>
      </c>
      <c r="G362" s="193" t="s">
        <v>439</v>
      </c>
      <c r="H362" s="193" t="s">
        <v>3323</v>
      </c>
      <c r="I362" s="193" t="s">
        <v>1508</v>
      </c>
      <c r="J362" s="193" t="s">
        <v>3324</v>
      </c>
      <c r="K362" s="193" t="s">
        <v>386</v>
      </c>
      <c r="L362" s="193" t="s">
        <v>387</v>
      </c>
      <c r="M362" s="193" t="s">
        <v>378</v>
      </c>
      <c r="N362" s="193" t="s">
        <v>1466</v>
      </c>
      <c r="O362" s="193" t="s">
        <v>129</v>
      </c>
      <c r="P362" s="193" t="s">
        <v>138</v>
      </c>
      <c r="Q362" s="193" t="s">
        <v>141</v>
      </c>
      <c r="R362" s="193" t="s">
        <v>143</v>
      </c>
      <c r="S362" s="193" t="s">
        <v>214</v>
      </c>
      <c r="T362" s="193" t="s">
        <v>389</v>
      </c>
      <c r="U362" s="193" t="s">
        <v>390</v>
      </c>
      <c r="V362" s="193">
        <v>0</v>
      </c>
      <c r="W362" s="193">
        <v>0</v>
      </c>
      <c r="X362" s="193">
        <v>0</v>
      </c>
      <c r="Y362" s="194">
        <v>-222</v>
      </c>
      <c r="Z362" s="193" t="s">
        <v>1469</v>
      </c>
      <c r="AA362" s="193" t="s">
        <v>143</v>
      </c>
      <c r="AB362" s="193">
        <v>222</v>
      </c>
      <c r="AC362" s="193" t="s">
        <v>3339</v>
      </c>
      <c r="AD362" s="193" t="s">
        <v>3340</v>
      </c>
      <c r="AE362" s="193">
        <v>222</v>
      </c>
      <c r="AF362" s="193" t="s">
        <v>3012</v>
      </c>
      <c r="AG362" s="193" t="s">
        <v>395</v>
      </c>
      <c r="AH362" s="193">
        <v>-20</v>
      </c>
      <c r="AI362" s="193">
        <v>-202</v>
      </c>
      <c r="AJ362" s="193" t="s">
        <v>214</v>
      </c>
      <c r="AL362" s="197" t="s">
        <v>3325</v>
      </c>
      <c r="AM362" s="193">
        <v>2</v>
      </c>
      <c r="AN362" s="193">
        <v>17</v>
      </c>
      <c r="AO362" s="193">
        <v>10</v>
      </c>
      <c r="AQ362" s="193" t="s">
        <v>214</v>
      </c>
      <c r="AS362" s="197">
        <v>17</v>
      </c>
      <c r="AT362" s="197">
        <v>10</v>
      </c>
      <c r="AV362" s="194">
        <v>-222</v>
      </c>
      <c r="AY362" s="549">
        <v>-222</v>
      </c>
      <c r="BB362" s="551">
        <v>0</v>
      </c>
      <c r="BC362" s="551">
        <v>-222</v>
      </c>
      <c r="BD362" s="551">
        <v>0</v>
      </c>
      <c r="BF362" s="550">
        <f t="shared" si="82"/>
        <v>-202</v>
      </c>
      <c r="BG362" s="550">
        <f t="shared" si="83"/>
        <v>0</v>
      </c>
      <c r="BH362" s="550">
        <f t="shared" si="84"/>
        <v>0</v>
      </c>
      <c r="BI362" s="550">
        <f t="shared" si="85"/>
        <v>-202</v>
      </c>
      <c r="BJ362" s="550">
        <f t="shared" si="86"/>
        <v>0</v>
      </c>
      <c r="BK362" s="550">
        <f t="shared" si="87"/>
        <v>0</v>
      </c>
      <c r="BL362" s="550">
        <f t="shared" si="88"/>
        <v>0</v>
      </c>
      <c r="BM362" s="550">
        <f t="shared" si="89"/>
        <v>-202</v>
      </c>
      <c r="BO362" s="194"/>
      <c r="BQ362" s="193">
        <f t="shared" si="90"/>
        <v>0.18181818181818699</v>
      </c>
      <c r="BR362" s="193">
        <f t="shared" si="91"/>
        <v>0</v>
      </c>
    </row>
    <row r="363" spans="1:70" ht="13.5" customHeight="1">
      <c r="A363" s="193" t="s">
        <v>378</v>
      </c>
      <c r="B363" s="193" t="s">
        <v>379</v>
      </c>
      <c r="C363" s="193" t="s">
        <v>214</v>
      </c>
      <c r="D363" s="193" t="s">
        <v>1165</v>
      </c>
      <c r="E363" s="193" t="s">
        <v>1166</v>
      </c>
      <c r="F363" s="193" t="s">
        <v>898</v>
      </c>
      <c r="G363" s="193" t="s">
        <v>898</v>
      </c>
      <c r="H363" s="193" t="s">
        <v>1473</v>
      </c>
      <c r="I363" s="193" t="s">
        <v>384</v>
      </c>
      <c r="J363" s="193" t="s">
        <v>1474</v>
      </c>
      <c r="K363" s="193" t="s">
        <v>386</v>
      </c>
      <c r="L363" s="193" t="s">
        <v>387</v>
      </c>
      <c r="M363" s="193" t="s">
        <v>378</v>
      </c>
      <c r="N363" s="193" t="s">
        <v>1466</v>
      </c>
      <c r="O363" s="193" t="s">
        <v>129</v>
      </c>
      <c r="P363" s="193" t="s">
        <v>138</v>
      </c>
      <c r="Q363" s="193" t="s">
        <v>141</v>
      </c>
      <c r="R363" s="193" t="s">
        <v>143</v>
      </c>
      <c r="S363" s="193" t="s">
        <v>214</v>
      </c>
      <c r="T363" s="193" t="s">
        <v>389</v>
      </c>
      <c r="U363" s="193" t="s">
        <v>390</v>
      </c>
      <c r="V363" s="193">
        <v>0</v>
      </c>
      <c r="W363" s="193">
        <v>0</v>
      </c>
      <c r="X363" s="193">
        <v>0</v>
      </c>
      <c r="Y363" s="194">
        <v>10624</v>
      </c>
      <c r="Z363" s="193" t="s">
        <v>1467</v>
      </c>
      <c r="AA363" s="193" t="s">
        <v>1468</v>
      </c>
      <c r="AB363" s="193">
        <v>10624</v>
      </c>
      <c r="AC363" s="193" t="s">
        <v>1469</v>
      </c>
      <c r="AD363" s="193" t="s">
        <v>143</v>
      </c>
      <c r="AE363" s="193">
        <v>10624</v>
      </c>
      <c r="AF363" s="193" t="s">
        <v>1470</v>
      </c>
      <c r="AG363" s="193" t="s">
        <v>395</v>
      </c>
      <c r="AH363" s="193">
        <v>965</v>
      </c>
      <c r="AI363" s="193">
        <v>9659</v>
      </c>
      <c r="AJ363" s="193" t="s">
        <v>1475</v>
      </c>
      <c r="AL363" s="197" t="s">
        <v>1476</v>
      </c>
      <c r="AM363" s="193">
        <v>2</v>
      </c>
      <c r="AN363" s="193">
        <v>17</v>
      </c>
      <c r="AO363" s="193">
        <v>10</v>
      </c>
      <c r="AP363" s="193">
        <v>0</v>
      </c>
      <c r="AQ363" s="193" t="s">
        <v>214</v>
      </c>
      <c r="AS363" s="197">
        <v>17</v>
      </c>
      <c r="AT363" s="197">
        <v>10</v>
      </c>
      <c r="AV363" s="194">
        <v>10624</v>
      </c>
      <c r="AW363" s="194">
        <v>0</v>
      </c>
      <c r="AX363" s="194">
        <v>0</v>
      </c>
      <c r="AY363" s="549">
        <v>10624</v>
      </c>
      <c r="AZ363" s="194">
        <v>0</v>
      </c>
      <c r="BA363" s="194">
        <v>0</v>
      </c>
      <c r="BB363" s="551">
        <v>0</v>
      </c>
      <c r="BC363" s="551">
        <v>10624</v>
      </c>
      <c r="BD363" s="551">
        <v>0</v>
      </c>
      <c r="BF363" s="550">
        <f t="shared" si="82"/>
        <v>9658</v>
      </c>
      <c r="BG363" s="550">
        <f t="shared" si="83"/>
        <v>0</v>
      </c>
      <c r="BH363" s="550">
        <f t="shared" si="84"/>
        <v>0</v>
      </c>
      <c r="BI363" s="550">
        <f t="shared" si="85"/>
        <v>9658</v>
      </c>
      <c r="BJ363" s="550">
        <f t="shared" si="86"/>
        <v>0</v>
      </c>
      <c r="BK363" s="550">
        <f t="shared" si="87"/>
        <v>0</v>
      </c>
      <c r="BL363" s="550">
        <f t="shared" si="88"/>
        <v>0</v>
      </c>
      <c r="BM363" s="550">
        <f t="shared" si="89"/>
        <v>9658</v>
      </c>
      <c r="BO363" s="194"/>
      <c r="BQ363" s="193">
        <f t="shared" si="90"/>
        <v>0.18181818181801646</v>
      </c>
      <c r="BR363" s="193">
        <f t="shared" si="91"/>
        <v>0</v>
      </c>
    </row>
    <row r="364" spans="1:70" ht="13.5" customHeight="1">
      <c r="A364" s="193" t="s">
        <v>378</v>
      </c>
      <c r="B364" s="193" t="s">
        <v>379</v>
      </c>
      <c r="C364" s="193" t="s">
        <v>214</v>
      </c>
      <c r="D364" s="193" t="s">
        <v>1165</v>
      </c>
      <c r="E364" s="193" t="s">
        <v>1166</v>
      </c>
      <c r="F364" s="193" t="s">
        <v>439</v>
      </c>
      <c r="G364" s="193" t="s">
        <v>439</v>
      </c>
      <c r="H364" s="193" t="s">
        <v>3326</v>
      </c>
      <c r="I364" s="193" t="s">
        <v>384</v>
      </c>
      <c r="J364" s="193" t="s">
        <v>3327</v>
      </c>
      <c r="K364" s="193" t="s">
        <v>386</v>
      </c>
      <c r="L364" s="193" t="s">
        <v>387</v>
      </c>
      <c r="M364" s="193" t="s">
        <v>378</v>
      </c>
      <c r="N364" s="193" t="s">
        <v>1466</v>
      </c>
      <c r="O364" s="193" t="s">
        <v>129</v>
      </c>
      <c r="P364" s="193" t="s">
        <v>138</v>
      </c>
      <c r="Q364" s="193" t="s">
        <v>141</v>
      </c>
      <c r="R364" s="193" t="s">
        <v>143</v>
      </c>
      <c r="S364" s="193" t="s">
        <v>214</v>
      </c>
      <c r="T364" s="193" t="s">
        <v>389</v>
      </c>
      <c r="U364" s="193" t="s">
        <v>390</v>
      </c>
      <c r="V364" s="193">
        <v>0</v>
      </c>
      <c r="W364" s="193">
        <v>0</v>
      </c>
      <c r="X364" s="193">
        <v>0</v>
      </c>
      <c r="Y364" s="194">
        <v>1280571</v>
      </c>
      <c r="Z364" s="193" t="s">
        <v>1467</v>
      </c>
      <c r="AA364" s="193" t="s">
        <v>1468</v>
      </c>
      <c r="AB364" s="193">
        <v>1280571</v>
      </c>
      <c r="AC364" s="193" t="s">
        <v>1469</v>
      </c>
      <c r="AD364" s="193" t="s">
        <v>143</v>
      </c>
      <c r="AE364" s="193">
        <v>1280571</v>
      </c>
      <c r="AF364" s="193" t="s">
        <v>394</v>
      </c>
      <c r="AG364" s="193" t="s">
        <v>395</v>
      </c>
      <c r="AH364" s="193">
        <v>116415</v>
      </c>
      <c r="AI364" s="193">
        <v>1164156</v>
      </c>
      <c r="AJ364" s="193" t="s">
        <v>1479</v>
      </c>
      <c r="AL364" s="197" t="s">
        <v>3328</v>
      </c>
      <c r="AM364" s="193">
        <v>1</v>
      </c>
      <c r="AQ364" s="193" t="s">
        <v>214</v>
      </c>
      <c r="AS364" s="197" t="s">
        <v>394</v>
      </c>
      <c r="AT364" s="197" t="s">
        <v>395</v>
      </c>
      <c r="AV364" s="194">
        <v>1280571</v>
      </c>
      <c r="AY364" s="549">
        <v>1280571</v>
      </c>
      <c r="BB364" s="551">
        <v>0</v>
      </c>
      <c r="BC364" s="551">
        <v>1280571</v>
      </c>
      <c r="BD364" s="551">
        <v>0</v>
      </c>
      <c r="BF364" s="574">
        <f>+IFERROR(ROUND(AV364*100/(100+$AT364),0),AV364)+1</f>
        <v>1164156</v>
      </c>
      <c r="BG364" s="550">
        <f t="shared" si="83"/>
        <v>0</v>
      </c>
      <c r="BH364" s="550">
        <f t="shared" si="84"/>
        <v>0</v>
      </c>
      <c r="BI364" s="550">
        <f t="shared" si="85"/>
        <v>1164156</v>
      </c>
      <c r="BJ364" s="550">
        <f t="shared" si="86"/>
        <v>0</v>
      </c>
      <c r="BK364" s="550">
        <f t="shared" si="87"/>
        <v>0</v>
      </c>
      <c r="BL364" s="550">
        <f t="shared" si="88"/>
        <v>0</v>
      </c>
      <c r="BM364" s="550">
        <f t="shared" si="89"/>
        <v>1164156</v>
      </c>
      <c r="BO364" s="194"/>
      <c r="BQ364" s="193">
        <f t="shared" si="90"/>
        <v>-0.54545454541221261</v>
      </c>
      <c r="BR364" s="193">
        <f t="shared" si="91"/>
        <v>0</v>
      </c>
    </row>
    <row r="365" spans="1:70" ht="13.5" customHeight="1">
      <c r="A365" s="193" t="s">
        <v>378</v>
      </c>
      <c r="B365" s="193" t="s">
        <v>379</v>
      </c>
      <c r="C365" s="193" t="s">
        <v>214</v>
      </c>
      <c r="D365" s="193" t="s">
        <v>1165</v>
      </c>
      <c r="E365" s="193" t="s">
        <v>1166</v>
      </c>
      <c r="F365" s="193" t="s">
        <v>898</v>
      </c>
      <c r="G365" s="193" t="s">
        <v>898</v>
      </c>
      <c r="H365" s="193" t="s">
        <v>1477</v>
      </c>
      <c r="I365" s="193" t="s">
        <v>384</v>
      </c>
      <c r="J365" s="193" t="s">
        <v>1478</v>
      </c>
      <c r="K365" s="193" t="s">
        <v>386</v>
      </c>
      <c r="L365" s="193" t="s">
        <v>387</v>
      </c>
      <c r="M365" s="193" t="s">
        <v>378</v>
      </c>
      <c r="N365" s="193" t="s">
        <v>1466</v>
      </c>
      <c r="O365" s="193" t="s">
        <v>129</v>
      </c>
      <c r="P365" s="193" t="s">
        <v>138</v>
      </c>
      <c r="Q365" s="193" t="s">
        <v>141</v>
      </c>
      <c r="R365" s="193" t="s">
        <v>143</v>
      </c>
      <c r="S365" s="193" t="s">
        <v>214</v>
      </c>
      <c r="T365" s="193" t="s">
        <v>389</v>
      </c>
      <c r="U365" s="193" t="s">
        <v>390</v>
      </c>
      <c r="V365" s="193">
        <v>0</v>
      </c>
      <c r="W365" s="193">
        <v>0</v>
      </c>
      <c r="X365" s="193">
        <v>0</v>
      </c>
      <c r="Y365" s="194">
        <v>18095847</v>
      </c>
      <c r="Z365" s="193" t="s">
        <v>1467</v>
      </c>
      <c r="AA365" s="193" t="s">
        <v>1468</v>
      </c>
      <c r="AB365" s="193">
        <v>18095847</v>
      </c>
      <c r="AC365" s="193" t="s">
        <v>1469</v>
      </c>
      <c r="AD365" s="193" t="s">
        <v>143</v>
      </c>
      <c r="AE365" s="193">
        <v>18095847</v>
      </c>
      <c r="AF365" s="193" t="s">
        <v>394</v>
      </c>
      <c r="AG365" s="193" t="s">
        <v>395</v>
      </c>
      <c r="AH365" s="193">
        <v>1645077</v>
      </c>
      <c r="AI365" s="193">
        <v>16450770</v>
      </c>
      <c r="AJ365" s="193" t="s">
        <v>1479</v>
      </c>
      <c r="AL365" s="197" t="s">
        <v>1480</v>
      </c>
      <c r="AM365" s="193">
        <v>1</v>
      </c>
      <c r="AN365" s="193">
        <v>0</v>
      </c>
      <c r="AO365" s="193">
        <v>0</v>
      </c>
      <c r="AP365" s="193">
        <v>0</v>
      </c>
      <c r="AQ365" s="193" t="s">
        <v>214</v>
      </c>
      <c r="AS365" s="197" t="s">
        <v>394</v>
      </c>
      <c r="AT365" s="197" t="s">
        <v>395</v>
      </c>
      <c r="AV365" s="194">
        <v>18095847</v>
      </c>
      <c r="AW365" s="194">
        <v>0</v>
      </c>
      <c r="AX365" s="194">
        <v>0</v>
      </c>
      <c r="AY365" s="549">
        <v>18095847</v>
      </c>
      <c r="AZ365" s="194">
        <v>0</v>
      </c>
      <c r="BA365" s="194">
        <v>0</v>
      </c>
      <c r="BB365" s="551">
        <v>0</v>
      </c>
      <c r="BC365" s="551">
        <v>18095847</v>
      </c>
      <c r="BD365" s="551">
        <v>0</v>
      </c>
      <c r="BF365" s="550">
        <f t="shared" si="82"/>
        <v>16450770</v>
      </c>
      <c r="BG365" s="550">
        <f t="shared" si="83"/>
        <v>0</v>
      </c>
      <c r="BH365" s="550">
        <f t="shared" si="84"/>
        <v>0</v>
      </c>
      <c r="BI365" s="550">
        <f t="shared" si="85"/>
        <v>16450770</v>
      </c>
      <c r="BJ365" s="550">
        <f t="shared" si="86"/>
        <v>0</v>
      </c>
      <c r="BK365" s="550">
        <f t="shared" si="87"/>
        <v>0</v>
      </c>
      <c r="BL365" s="550">
        <f t="shared" si="88"/>
        <v>0</v>
      </c>
      <c r="BM365" s="550">
        <f t="shared" si="89"/>
        <v>16450770</v>
      </c>
      <c r="BO365" s="194"/>
      <c r="BQ365" s="193">
        <f t="shared" si="90"/>
        <v>0</v>
      </c>
      <c r="BR365" s="193">
        <f t="shared" si="91"/>
        <v>0</v>
      </c>
    </row>
    <row r="366" spans="1:70" ht="13.5" customHeight="1">
      <c r="A366" s="193" t="s">
        <v>378</v>
      </c>
      <c r="B366" s="193" t="s">
        <v>379</v>
      </c>
      <c r="C366" s="193" t="s">
        <v>214</v>
      </c>
      <c r="D366" s="193" t="s">
        <v>1165</v>
      </c>
      <c r="E366" s="193" t="s">
        <v>1166</v>
      </c>
      <c r="F366" s="193" t="s">
        <v>439</v>
      </c>
      <c r="G366" s="193" t="s">
        <v>439</v>
      </c>
      <c r="H366" s="193" t="s">
        <v>3329</v>
      </c>
      <c r="I366" s="193" t="s">
        <v>384</v>
      </c>
      <c r="J366" s="193" t="s">
        <v>3330</v>
      </c>
      <c r="K366" s="193" t="s">
        <v>386</v>
      </c>
      <c r="L366" s="193" t="s">
        <v>387</v>
      </c>
      <c r="M366" s="193" t="s">
        <v>378</v>
      </c>
      <c r="N366" s="193" t="s">
        <v>1466</v>
      </c>
      <c r="O366" s="193" t="s">
        <v>129</v>
      </c>
      <c r="P366" s="193" t="s">
        <v>138</v>
      </c>
      <c r="Q366" s="193" t="s">
        <v>141</v>
      </c>
      <c r="R366" s="193" t="s">
        <v>143</v>
      </c>
      <c r="S366" s="193" t="s">
        <v>214</v>
      </c>
      <c r="T366" s="193" t="s">
        <v>389</v>
      </c>
      <c r="U366" s="193" t="s">
        <v>390</v>
      </c>
      <c r="V366" s="193">
        <v>0</v>
      </c>
      <c r="W366" s="193">
        <v>0</v>
      </c>
      <c r="X366" s="193">
        <v>0</v>
      </c>
      <c r="Y366" s="194">
        <v>7711345</v>
      </c>
      <c r="Z366" s="193" t="s">
        <v>1467</v>
      </c>
      <c r="AA366" s="193" t="s">
        <v>1468</v>
      </c>
      <c r="AB366" s="193">
        <v>7711345</v>
      </c>
      <c r="AC366" s="193" t="s">
        <v>1469</v>
      </c>
      <c r="AD366" s="193" t="s">
        <v>143</v>
      </c>
      <c r="AE366" s="193">
        <v>7711345</v>
      </c>
      <c r="AF366" s="193" t="s">
        <v>394</v>
      </c>
      <c r="AG366" s="193" t="s">
        <v>395</v>
      </c>
      <c r="AH366" s="193">
        <v>701031</v>
      </c>
      <c r="AI366" s="193">
        <v>7010314</v>
      </c>
      <c r="AJ366" s="193" t="s">
        <v>3331</v>
      </c>
      <c r="AL366" s="197" t="s">
        <v>3332</v>
      </c>
      <c r="AM366" s="193">
        <v>1</v>
      </c>
      <c r="AQ366" s="193" t="s">
        <v>214</v>
      </c>
      <c r="AS366" s="197" t="s">
        <v>394</v>
      </c>
      <c r="AT366" s="197" t="s">
        <v>395</v>
      </c>
      <c r="AV366" s="196">
        <v>7711345</v>
      </c>
      <c r="AW366" s="196"/>
      <c r="AX366" s="196"/>
      <c r="AY366" s="550">
        <v>7711345</v>
      </c>
      <c r="AZ366" s="196"/>
      <c r="BA366" s="196"/>
      <c r="BB366" s="552">
        <v>0</v>
      </c>
      <c r="BC366" s="551">
        <v>7711345</v>
      </c>
      <c r="BD366" s="551">
        <v>0</v>
      </c>
      <c r="BF366" s="550">
        <f t="shared" si="82"/>
        <v>7010314</v>
      </c>
      <c r="BG366" s="550">
        <f t="shared" si="83"/>
        <v>0</v>
      </c>
      <c r="BH366" s="550">
        <f t="shared" si="84"/>
        <v>0</v>
      </c>
      <c r="BI366" s="550">
        <f t="shared" si="85"/>
        <v>7010314</v>
      </c>
      <c r="BJ366" s="550">
        <f t="shared" si="86"/>
        <v>0</v>
      </c>
      <c r="BK366" s="550">
        <f t="shared" si="87"/>
        <v>0</v>
      </c>
      <c r="BL366" s="550">
        <f t="shared" si="88"/>
        <v>0</v>
      </c>
      <c r="BM366" s="550">
        <f t="shared" si="89"/>
        <v>7010314</v>
      </c>
      <c r="BO366" s="194"/>
      <c r="BQ366" s="193">
        <f t="shared" si="90"/>
        <v>-0.36363636329770088</v>
      </c>
      <c r="BR366" s="193">
        <f t="shared" si="91"/>
        <v>0</v>
      </c>
    </row>
    <row r="367" spans="1:70" ht="13.5" customHeight="1">
      <c r="A367" s="193" t="s">
        <v>378</v>
      </c>
      <c r="B367" s="193" t="s">
        <v>379</v>
      </c>
      <c r="C367" s="193" t="s">
        <v>214</v>
      </c>
      <c r="D367" s="193" t="s">
        <v>1165</v>
      </c>
      <c r="E367" s="193" t="s">
        <v>1166</v>
      </c>
      <c r="F367" s="193" t="s">
        <v>439</v>
      </c>
      <c r="G367" s="193" t="s">
        <v>439</v>
      </c>
      <c r="H367" s="193" t="s">
        <v>3333</v>
      </c>
      <c r="I367" s="193" t="s">
        <v>384</v>
      </c>
      <c r="J367" s="193" t="s">
        <v>3334</v>
      </c>
      <c r="K367" s="193" t="s">
        <v>386</v>
      </c>
      <c r="L367" s="193" t="s">
        <v>387</v>
      </c>
      <c r="M367" s="193" t="s">
        <v>378</v>
      </c>
      <c r="N367" s="193" t="s">
        <v>1466</v>
      </c>
      <c r="O367" s="193" t="s">
        <v>129</v>
      </c>
      <c r="P367" s="193" t="s">
        <v>138</v>
      </c>
      <c r="Q367" s="193" t="s">
        <v>141</v>
      </c>
      <c r="R367" s="193" t="s">
        <v>143</v>
      </c>
      <c r="S367" s="193" t="s">
        <v>214</v>
      </c>
      <c r="T367" s="193" t="s">
        <v>389</v>
      </c>
      <c r="U367" s="193" t="s">
        <v>390</v>
      </c>
      <c r="V367" s="193">
        <v>0</v>
      </c>
      <c r="W367" s="193">
        <v>0</v>
      </c>
      <c r="X367" s="193">
        <v>0</v>
      </c>
      <c r="Y367" s="194">
        <v>231381</v>
      </c>
      <c r="Z367" s="193" t="s">
        <v>1467</v>
      </c>
      <c r="AA367" s="193" t="s">
        <v>1468</v>
      </c>
      <c r="AB367" s="193">
        <v>231381</v>
      </c>
      <c r="AC367" s="193" t="s">
        <v>1469</v>
      </c>
      <c r="AD367" s="193" t="s">
        <v>143</v>
      </c>
      <c r="AE367" s="193">
        <v>231381</v>
      </c>
      <c r="AF367" s="193" t="s">
        <v>394</v>
      </c>
      <c r="AG367" s="193" t="s">
        <v>395</v>
      </c>
      <c r="AH367" s="193">
        <v>21034</v>
      </c>
      <c r="AI367" s="193">
        <v>210347</v>
      </c>
      <c r="AJ367" s="193" t="s">
        <v>3331</v>
      </c>
      <c r="AL367" s="197" t="s">
        <v>3335</v>
      </c>
      <c r="AM367" s="193">
        <v>1</v>
      </c>
      <c r="AQ367" s="193" t="s">
        <v>214</v>
      </c>
      <c r="AS367" s="197" t="s">
        <v>394</v>
      </c>
      <c r="AT367" s="197" t="s">
        <v>395</v>
      </c>
      <c r="AV367" s="196"/>
      <c r="AW367" s="196"/>
      <c r="AX367" s="196"/>
      <c r="AY367" s="550">
        <v>0</v>
      </c>
      <c r="AZ367" s="196"/>
      <c r="BA367" s="196">
        <v>231381</v>
      </c>
      <c r="BB367" s="552">
        <v>231381</v>
      </c>
      <c r="BC367" s="551">
        <v>231381</v>
      </c>
      <c r="BD367" s="551">
        <v>0</v>
      </c>
      <c r="BF367" s="550">
        <f t="shared" si="82"/>
        <v>0</v>
      </c>
      <c r="BG367" s="550">
        <f t="shared" si="83"/>
        <v>0</v>
      </c>
      <c r="BH367" s="550">
        <f t="shared" si="84"/>
        <v>0</v>
      </c>
      <c r="BI367" s="550">
        <f t="shared" si="85"/>
        <v>0</v>
      </c>
      <c r="BJ367" s="550">
        <f t="shared" si="86"/>
        <v>0</v>
      </c>
      <c r="BK367" s="574">
        <f>+IFERROR(ROUND(BA367*100/(100+$AT367),0),BA367)+1</f>
        <v>210347</v>
      </c>
      <c r="BL367" s="550">
        <f t="shared" si="88"/>
        <v>210347</v>
      </c>
      <c r="BM367" s="550">
        <f t="shared" si="89"/>
        <v>210347</v>
      </c>
      <c r="BO367" s="194"/>
      <c r="BQ367" s="193">
        <f t="shared" si="90"/>
        <v>0</v>
      </c>
      <c r="BR367" s="193">
        <f t="shared" si="91"/>
        <v>-0.63636363635305315</v>
      </c>
    </row>
    <row r="368" spans="1:70" ht="13.5" customHeight="1">
      <c r="A368" s="193" t="s">
        <v>378</v>
      </c>
      <c r="B368" s="193" t="s">
        <v>379</v>
      </c>
      <c r="C368" s="193" t="s">
        <v>214</v>
      </c>
      <c r="D368" s="193" t="s">
        <v>1165</v>
      </c>
      <c r="E368" s="193" t="s">
        <v>1166</v>
      </c>
      <c r="F368" s="193" t="s">
        <v>439</v>
      </c>
      <c r="G368" s="193" t="s">
        <v>439</v>
      </c>
      <c r="H368" s="193" t="s">
        <v>3336</v>
      </c>
      <c r="I368" s="193" t="s">
        <v>1508</v>
      </c>
      <c r="J368" s="193" t="s">
        <v>3337</v>
      </c>
      <c r="K368" s="193" t="s">
        <v>386</v>
      </c>
      <c r="L368" s="193" t="s">
        <v>387</v>
      </c>
      <c r="M368" s="193" t="s">
        <v>378</v>
      </c>
      <c r="N368" s="193" t="s">
        <v>1466</v>
      </c>
      <c r="O368" s="193" t="s">
        <v>129</v>
      </c>
      <c r="P368" s="193" t="s">
        <v>138</v>
      </c>
      <c r="Q368" s="193" t="s">
        <v>141</v>
      </c>
      <c r="R368" s="193" t="s">
        <v>143</v>
      </c>
      <c r="S368" s="193" t="s">
        <v>214</v>
      </c>
      <c r="T368" s="193" t="s">
        <v>389</v>
      </c>
      <c r="U368" s="193" t="s">
        <v>390</v>
      </c>
      <c r="V368" s="193">
        <v>0</v>
      </c>
      <c r="W368" s="193">
        <v>0</v>
      </c>
      <c r="X368" s="193">
        <v>0</v>
      </c>
      <c r="Y368" s="194">
        <v>-249194</v>
      </c>
      <c r="Z368" s="193" t="s">
        <v>1469</v>
      </c>
      <c r="AA368" s="193" t="s">
        <v>143</v>
      </c>
      <c r="AB368" s="193">
        <v>249194</v>
      </c>
      <c r="AC368" s="193" t="s">
        <v>3339</v>
      </c>
      <c r="AD368" s="193" t="s">
        <v>3340</v>
      </c>
      <c r="AE368" s="193">
        <v>249194</v>
      </c>
      <c r="AF368" s="193" t="s">
        <v>3012</v>
      </c>
      <c r="AG368" s="193" t="s">
        <v>395</v>
      </c>
      <c r="AH368" s="193">
        <v>-22654</v>
      </c>
      <c r="AI368" s="193">
        <v>-226540</v>
      </c>
      <c r="AJ368" s="193" t="s">
        <v>214</v>
      </c>
      <c r="AL368" s="197" t="s">
        <v>3338</v>
      </c>
      <c r="AM368" s="193">
        <v>2</v>
      </c>
      <c r="AN368" s="193">
        <v>17</v>
      </c>
      <c r="AO368" s="193">
        <v>10</v>
      </c>
      <c r="AQ368" s="193" t="s">
        <v>214</v>
      </c>
      <c r="AS368" s="197">
        <v>17</v>
      </c>
      <c r="AT368" s="197">
        <v>10</v>
      </c>
      <c r="AV368" s="196">
        <v>-249194</v>
      </c>
      <c r="AW368" s="196"/>
      <c r="AX368" s="196"/>
      <c r="AY368" s="550">
        <v>-249194</v>
      </c>
      <c r="AZ368" s="196"/>
      <c r="BA368" s="196"/>
      <c r="BB368" s="552">
        <v>0</v>
      </c>
      <c r="BC368" s="551">
        <v>-249194</v>
      </c>
      <c r="BD368" s="551">
        <v>0</v>
      </c>
      <c r="BF368" s="550">
        <f t="shared" si="82"/>
        <v>-226540</v>
      </c>
      <c r="BG368" s="550">
        <f t="shared" si="83"/>
        <v>0</v>
      </c>
      <c r="BH368" s="550">
        <f t="shared" si="84"/>
        <v>0</v>
      </c>
      <c r="BI368" s="550">
        <f t="shared" si="85"/>
        <v>-226540</v>
      </c>
      <c r="BJ368" s="550">
        <f t="shared" si="86"/>
        <v>0</v>
      </c>
      <c r="BK368" s="550">
        <f t="shared" si="87"/>
        <v>0</v>
      </c>
      <c r="BL368" s="550">
        <f t="shared" si="88"/>
        <v>0</v>
      </c>
      <c r="BM368" s="550">
        <f t="shared" si="89"/>
        <v>-226540</v>
      </c>
      <c r="BO368" s="194"/>
      <c r="BQ368" s="193">
        <f t="shared" si="90"/>
        <v>0</v>
      </c>
      <c r="BR368" s="193">
        <f t="shared" si="91"/>
        <v>0</v>
      </c>
    </row>
    <row r="369" spans="1:70" ht="13.5" customHeight="1">
      <c r="A369" s="193" t="s">
        <v>378</v>
      </c>
      <c r="B369" s="193" t="s">
        <v>379</v>
      </c>
      <c r="C369" s="193" t="s">
        <v>214</v>
      </c>
      <c r="D369" s="193" t="s">
        <v>1165</v>
      </c>
      <c r="E369" s="193" t="s">
        <v>1166</v>
      </c>
      <c r="F369" s="193" t="s">
        <v>898</v>
      </c>
      <c r="G369" s="193" t="s">
        <v>898</v>
      </c>
      <c r="H369" s="193" t="s">
        <v>1481</v>
      </c>
      <c r="I369" s="193" t="s">
        <v>384</v>
      </c>
      <c r="J369" s="193" t="s">
        <v>1482</v>
      </c>
      <c r="K369" s="193" t="s">
        <v>386</v>
      </c>
      <c r="L369" s="193" t="s">
        <v>387</v>
      </c>
      <c r="M369" s="193" t="s">
        <v>378</v>
      </c>
      <c r="N369" s="193" t="s">
        <v>1466</v>
      </c>
      <c r="O369" s="193" t="s">
        <v>129</v>
      </c>
      <c r="P369" s="193" t="s">
        <v>138</v>
      </c>
      <c r="Q369" s="193" t="s">
        <v>141</v>
      </c>
      <c r="R369" s="193" t="s">
        <v>143</v>
      </c>
      <c r="S369" s="193" t="s">
        <v>214</v>
      </c>
      <c r="T369" s="193" t="s">
        <v>389</v>
      </c>
      <c r="U369" s="193" t="s">
        <v>390</v>
      </c>
      <c r="V369" s="193">
        <v>0</v>
      </c>
      <c r="W369" s="193">
        <v>0</v>
      </c>
      <c r="X369" s="193">
        <v>0</v>
      </c>
      <c r="Y369" s="194">
        <v>7118878</v>
      </c>
      <c r="Z369" s="193" t="s">
        <v>1467</v>
      </c>
      <c r="AA369" s="193" t="s">
        <v>1468</v>
      </c>
      <c r="AB369" s="193">
        <v>7118878</v>
      </c>
      <c r="AC369" s="193" t="s">
        <v>1469</v>
      </c>
      <c r="AD369" s="193" t="s">
        <v>143</v>
      </c>
      <c r="AE369" s="193">
        <v>7118878</v>
      </c>
      <c r="AF369" s="193" t="s">
        <v>394</v>
      </c>
      <c r="AG369" s="193" t="s">
        <v>395</v>
      </c>
      <c r="AH369" s="193">
        <v>647170</v>
      </c>
      <c r="AI369" s="193">
        <v>6471708</v>
      </c>
      <c r="AJ369" s="193" t="s">
        <v>1479</v>
      </c>
      <c r="AL369" s="197" t="s">
        <v>1483</v>
      </c>
      <c r="AM369" s="193">
        <v>1</v>
      </c>
      <c r="AN369" s="193">
        <v>0</v>
      </c>
      <c r="AO369" s="193">
        <v>0</v>
      </c>
      <c r="AP369" s="193">
        <v>0</v>
      </c>
      <c r="AQ369" s="193" t="s">
        <v>214</v>
      </c>
      <c r="AS369" s="197" t="s">
        <v>394</v>
      </c>
      <c r="AT369" s="197" t="s">
        <v>395</v>
      </c>
      <c r="AV369" s="196">
        <v>7118878</v>
      </c>
      <c r="AW369" s="196">
        <v>0</v>
      </c>
      <c r="AX369" s="196">
        <v>0</v>
      </c>
      <c r="AY369" s="550">
        <v>7118878</v>
      </c>
      <c r="AZ369" s="196">
        <v>0</v>
      </c>
      <c r="BA369" s="196">
        <v>0</v>
      </c>
      <c r="BB369" s="552">
        <v>0</v>
      </c>
      <c r="BC369" s="551">
        <v>7118878</v>
      </c>
      <c r="BD369" s="551">
        <v>0</v>
      </c>
      <c r="BF369" s="550">
        <f t="shared" si="82"/>
        <v>6471707</v>
      </c>
      <c r="BG369" s="550">
        <f t="shared" si="83"/>
        <v>0</v>
      </c>
      <c r="BH369" s="550">
        <f t="shared" si="84"/>
        <v>0</v>
      </c>
      <c r="BI369" s="550">
        <f t="shared" si="85"/>
        <v>6471707</v>
      </c>
      <c r="BJ369" s="550">
        <f t="shared" si="86"/>
        <v>0</v>
      </c>
      <c r="BK369" s="550">
        <f t="shared" si="87"/>
        <v>0</v>
      </c>
      <c r="BL369" s="550">
        <f t="shared" si="88"/>
        <v>0</v>
      </c>
      <c r="BM369" s="550">
        <f t="shared" si="89"/>
        <v>6471707</v>
      </c>
      <c r="BO369" s="194"/>
      <c r="BQ369" s="193">
        <f t="shared" si="90"/>
        <v>0.27272727247327566</v>
      </c>
      <c r="BR369" s="193">
        <f t="shared" si="91"/>
        <v>0</v>
      </c>
    </row>
    <row r="370" spans="1:70" ht="13.5" customHeight="1">
      <c r="A370" s="193" t="s">
        <v>378</v>
      </c>
      <c r="B370" s="193" t="s">
        <v>379</v>
      </c>
      <c r="C370" s="193" t="s">
        <v>214</v>
      </c>
      <c r="D370" s="193" t="s">
        <v>1441</v>
      </c>
      <c r="E370" s="193" t="s">
        <v>1442</v>
      </c>
      <c r="F370" s="193" t="s">
        <v>706</v>
      </c>
      <c r="G370" s="193" t="s">
        <v>706</v>
      </c>
      <c r="H370" s="193" t="s">
        <v>1488</v>
      </c>
      <c r="I370" s="193" t="s">
        <v>512</v>
      </c>
      <c r="J370" s="193" t="s">
        <v>1489</v>
      </c>
      <c r="K370" s="193" t="s">
        <v>386</v>
      </c>
      <c r="L370" s="193" t="s">
        <v>387</v>
      </c>
      <c r="M370" s="193" t="s">
        <v>378</v>
      </c>
      <c r="N370" s="193" t="s">
        <v>1490</v>
      </c>
      <c r="O370" s="193" t="s">
        <v>129</v>
      </c>
      <c r="P370" s="193" t="s">
        <v>138</v>
      </c>
      <c r="Q370" s="193" t="s">
        <v>137</v>
      </c>
      <c r="R370" s="193" t="s">
        <v>1491</v>
      </c>
      <c r="S370" s="193" t="s">
        <v>214</v>
      </c>
      <c r="T370" s="193" t="s">
        <v>389</v>
      </c>
      <c r="U370" s="193" t="s">
        <v>390</v>
      </c>
      <c r="V370" s="193">
        <v>0</v>
      </c>
      <c r="W370" s="193">
        <v>0</v>
      </c>
      <c r="X370" s="193">
        <v>0</v>
      </c>
      <c r="Y370" s="194">
        <v>408100</v>
      </c>
      <c r="Z370" s="193" t="s">
        <v>515</v>
      </c>
      <c r="AA370" s="193" t="s">
        <v>516</v>
      </c>
      <c r="AB370" s="193">
        <v>408100</v>
      </c>
      <c r="AC370" s="193" t="s">
        <v>1492</v>
      </c>
      <c r="AD370" s="193" t="s">
        <v>1491</v>
      </c>
      <c r="AE370" s="193">
        <v>408100</v>
      </c>
      <c r="AF370" s="193" t="s">
        <v>394</v>
      </c>
      <c r="AG370" s="193" t="s">
        <v>395</v>
      </c>
      <c r="AH370" s="193">
        <v>37100</v>
      </c>
      <c r="AI370" s="193">
        <v>371000</v>
      </c>
      <c r="AJ370" s="193" t="s">
        <v>1493</v>
      </c>
      <c r="AL370" s="197" t="s">
        <v>1494</v>
      </c>
      <c r="AM370" s="193">
        <v>1</v>
      </c>
      <c r="AN370" s="193">
        <v>0</v>
      </c>
      <c r="AO370" s="193">
        <v>0</v>
      </c>
      <c r="AP370" s="193">
        <v>0</v>
      </c>
      <c r="AQ370" s="193" t="s">
        <v>214</v>
      </c>
      <c r="AS370" s="197" t="s">
        <v>394</v>
      </c>
      <c r="AT370" s="197" t="s">
        <v>395</v>
      </c>
      <c r="AV370" s="196">
        <v>0</v>
      </c>
      <c r="AW370" s="196">
        <v>0</v>
      </c>
      <c r="AX370" s="196">
        <v>408100</v>
      </c>
      <c r="AY370" s="550">
        <v>408100</v>
      </c>
      <c r="AZ370" s="196">
        <v>0</v>
      </c>
      <c r="BA370" s="196">
        <v>0</v>
      </c>
      <c r="BB370" s="552">
        <v>0</v>
      </c>
      <c r="BC370" s="551">
        <v>408100</v>
      </c>
      <c r="BD370" s="551">
        <v>0</v>
      </c>
      <c r="BF370" s="550">
        <f t="shared" si="82"/>
        <v>0</v>
      </c>
      <c r="BG370" s="550">
        <f t="shared" si="83"/>
        <v>0</v>
      </c>
      <c r="BH370" s="550">
        <f t="shared" si="84"/>
        <v>371000</v>
      </c>
      <c r="BI370" s="550">
        <f t="shared" si="85"/>
        <v>371000</v>
      </c>
      <c r="BJ370" s="550">
        <f t="shared" si="86"/>
        <v>0</v>
      </c>
      <c r="BK370" s="550">
        <f t="shared" si="87"/>
        <v>0</v>
      </c>
      <c r="BL370" s="550">
        <f t="shared" si="88"/>
        <v>0</v>
      </c>
      <c r="BM370" s="550">
        <f t="shared" si="89"/>
        <v>371000</v>
      </c>
      <c r="BO370" s="194"/>
      <c r="BQ370" s="193">
        <f t="shared" si="90"/>
        <v>0</v>
      </c>
      <c r="BR370" s="193">
        <f t="shared" si="91"/>
        <v>0</v>
      </c>
    </row>
    <row r="371" spans="1:70" ht="13.5" customHeight="1">
      <c r="A371" s="193" t="s">
        <v>378</v>
      </c>
      <c r="B371" s="193" t="s">
        <v>379</v>
      </c>
      <c r="C371" s="193" t="s">
        <v>214</v>
      </c>
      <c r="D371" s="193" t="s">
        <v>1484</v>
      </c>
      <c r="E371" s="193" t="s">
        <v>1485</v>
      </c>
      <c r="F371" s="193" t="s">
        <v>766</v>
      </c>
      <c r="G371" s="193" t="s">
        <v>766</v>
      </c>
      <c r="H371" s="193" t="s">
        <v>1495</v>
      </c>
      <c r="I371" s="193" t="s">
        <v>384</v>
      </c>
      <c r="J371" s="193" t="s">
        <v>1496</v>
      </c>
      <c r="K371" s="193" t="s">
        <v>386</v>
      </c>
      <c r="L371" s="193" t="s">
        <v>387</v>
      </c>
      <c r="M371" s="193" t="s">
        <v>378</v>
      </c>
      <c r="N371" s="193" t="s">
        <v>1497</v>
      </c>
      <c r="O371" s="193" t="s">
        <v>129</v>
      </c>
      <c r="P371" s="193" t="s">
        <v>138</v>
      </c>
      <c r="Q371" s="193" t="s">
        <v>137</v>
      </c>
      <c r="R371" s="193" t="s">
        <v>136</v>
      </c>
      <c r="S371" s="193" t="s">
        <v>214</v>
      </c>
      <c r="T371" s="193" t="s">
        <v>389</v>
      </c>
      <c r="U371" s="193" t="s">
        <v>390</v>
      </c>
      <c r="V371" s="193">
        <v>0</v>
      </c>
      <c r="W371" s="193">
        <v>0</v>
      </c>
      <c r="X371" s="193">
        <v>0</v>
      </c>
      <c r="Y371" s="194">
        <v>39740</v>
      </c>
      <c r="Z371" s="193" t="s">
        <v>1498</v>
      </c>
      <c r="AA371" s="193" t="s">
        <v>1499</v>
      </c>
      <c r="AB371" s="193">
        <v>39740</v>
      </c>
      <c r="AC371" s="193" t="s">
        <v>1500</v>
      </c>
      <c r="AD371" s="193" t="s">
        <v>136</v>
      </c>
      <c r="AE371" s="193">
        <v>39740</v>
      </c>
      <c r="AF371" s="193" t="s">
        <v>394</v>
      </c>
      <c r="AG371" s="193" t="s">
        <v>395</v>
      </c>
      <c r="AH371" s="193">
        <v>3612</v>
      </c>
      <c r="AI371" s="193">
        <v>36128</v>
      </c>
      <c r="AJ371" s="193" t="s">
        <v>1501</v>
      </c>
      <c r="AL371" s="197" t="s">
        <v>1502</v>
      </c>
      <c r="AM371" s="193">
        <v>1</v>
      </c>
      <c r="AN371" s="193">
        <v>0</v>
      </c>
      <c r="AO371" s="193">
        <v>0</v>
      </c>
      <c r="AP371" s="193">
        <v>0</v>
      </c>
      <c r="AQ371" s="193" t="s">
        <v>214</v>
      </c>
      <c r="AS371" s="197" t="s">
        <v>394</v>
      </c>
      <c r="AT371" s="197" t="s">
        <v>395</v>
      </c>
      <c r="AV371" s="196">
        <v>0</v>
      </c>
      <c r="AW371" s="196">
        <v>0</v>
      </c>
      <c r="AX371" s="196">
        <v>19870</v>
      </c>
      <c r="AY371" s="550">
        <v>19870</v>
      </c>
      <c r="AZ371" s="196">
        <v>0</v>
      </c>
      <c r="BA371" s="196">
        <v>19870</v>
      </c>
      <c r="BB371" s="552">
        <v>19870</v>
      </c>
      <c r="BC371" s="551">
        <v>39740</v>
      </c>
      <c r="BD371" s="551">
        <v>0</v>
      </c>
      <c r="BF371" s="550">
        <f t="shared" si="82"/>
        <v>0</v>
      </c>
      <c r="BG371" s="550">
        <f t="shared" si="83"/>
        <v>0</v>
      </c>
      <c r="BH371" s="550">
        <f t="shared" si="84"/>
        <v>18064</v>
      </c>
      <c r="BI371" s="550">
        <f t="shared" si="85"/>
        <v>18064</v>
      </c>
      <c r="BJ371" s="550">
        <f t="shared" si="86"/>
        <v>0</v>
      </c>
      <c r="BK371" s="550">
        <f t="shared" si="87"/>
        <v>18064</v>
      </c>
      <c r="BL371" s="550">
        <f t="shared" si="88"/>
        <v>18064</v>
      </c>
      <c r="BM371" s="550">
        <f t="shared" si="89"/>
        <v>36128</v>
      </c>
      <c r="BO371" s="194"/>
      <c r="BQ371" s="193">
        <f t="shared" si="90"/>
        <v>-0.36363636363603291</v>
      </c>
      <c r="BR371" s="193">
        <f t="shared" si="91"/>
        <v>-0.36363636363603291</v>
      </c>
    </row>
    <row r="372" spans="1:70" ht="13.5" customHeight="1">
      <c r="A372" s="193" t="s">
        <v>378</v>
      </c>
      <c r="B372" s="193" t="s">
        <v>379</v>
      </c>
      <c r="C372" s="193" t="s">
        <v>214</v>
      </c>
      <c r="D372" s="193" t="s">
        <v>380</v>
      </c>
      <c r="E372" s="193" t="s">
        <v>381</v>
      </c>
      <c r="F372" s="193" t="s">
        <v>402</v>
      </c>
      <c r="G372" s="193" t="s">
        <v>402</v>
      </c>
      <c r="H372" s="193" t="s">
        <v>1503</v>
      </c>
      <c r="I372" s="193" t="s">
        <v>384</v>
      </c>
      <c r="J372" s="193" t="s">
        <v>1504</v>
      </c>
      <c r="K372" s="193" t="s">
        <v>386</v>
      </c>
      <c r="L372" s="193" t="s">
        <v>387</v>
      </c>
      <c r="M372" s="193" t="s">
        <v>378</v>
      </c>
      <c r="N372" s="193" t="s">
        <v>1497</v>
      </c>
      <c r="O372" s="193" t="s">
        <v>129</v>
      </c>
      <c r="P372" s="193" t="s">
        <v>138</v>
      </c>
      <c r="Q372" s="193" t="s">
        <v>137</v>
      </c>
      <c r="R372" s="193" t="s">
        <v>136</v>
      </c>
      <c r="S372" s="193" t="s">
        <v>214</v>
      </c>
      <c r="T372" s="193" t="s">
        <v>389</v>
      </c>
      <c r="U372" s="193" t="s">
        <v>390</v>
      </c>
      <c r="V372" s="193">
        <v>0</v>
      </c>
      <c r="W372" s="193">
        <v>0</v>
      </c>
      <c r="X372" s="193">
        <v>0</v>
      </c>
      <c r="Y372" s="194">
        <v>1855550</v>
      </c>
      <c r="Z372" s="193" t="s">
        <v>1498</v>
      </c>
      <c r="AA372" s="193" t="s">
        <v>1499</v>
      </c>
      <c r="AB372" s="193">
        <v>1855550</v>
      </c>
      <c r="AC372" s="193" t="s">
        <v>1500</v>
      </c>
      <c r="AD372" s="193" t="s">
        <v>136</v>
      </c>
      <c r="AE372" s="193">
        <v>1855550</v>
      </c>
      <c r="AF372" s="193" t="s">
        <v>518</v>
      </c>
      <c r="AG372" s="193" t="s">
        <v>519</v>
      </c>
      <c r="AH372" s="193">
        <v>0</v>
      </c>
      <c r="AI372" s="193">
        <v>1855550</v>
      </c>
      <c r="AJ372" s="193" t="s">
        <v>1505</v>
      </c>
      <c r="AL372" s="197" t="s">
        <v>1506</v>
      </c>
      <c r="AM372" s="193">
        <v>1</v>
      </c>
      <c r="AN372" s="193">
        <v>0</v>
      </c>
      <c r="AO372" s="193">
        <v>0</v>
      </c>
      <c r="AP372" s="193">
        <v>0</v>
      </c>
      <c r="AQ372" s="193" t="s">
        <v>214</v>
      </c>
      <c r="AS372" s="197" t="s">
        <v>518</v>
      </c>
      <c r="AT372" s="197" t="s">
        <v>519</v>
      </c>
      <c r="AV372" s="196">
        <v>0</v>
      </c>
      <c r="AW372" s="196">
        <v>0</v>
      </c>
      <c r="AX372" s="196">
        <v>0</v>
      </c>
      <c r="AY372" s="550">
        <v>0</v>
      </c>
      <c r="AZ372" s="196">
        <v>0</v>
      </c>
      <c r="BA372" s="196">
        <v>1855550</v>
      </c>
      <c r="BB372" s="552">
        <v>1855550</v>
      </c>
      <c r="BC372" s="551">
        <v>1855550</v>
      </c>
      <c r="BD372" s="551">
        <v>0</v>
      </c>
      <c r="BF372" s="550">
        <f t="shared" si="82"/>
        <v>0</v>
      </c>
      <c r="BG372" s="550">
        <f t="shared" si="83"/>
        <v>0</v>
      </c>
      <c r="BH372" s="550">
        <f t="shared" si="84"/>
        <v>0</v>
      </c>
      <c r="BI372" s="550">
        <f t="shared" si="85"/>
        <v>0</v>
      </c>
      <c r="BJ372" s="550">
        <f t="shared" si="86"/>
        <v>0</v>
      </c>
      <c r="BK372" s="550">
        <f t="shared" si="87"/>
        <v>1855550</v>
      </c>
      <c r="BL372" s="550">
        <f t="shared" si="88"/>
        <v>1855550</v>
      </c>
      <c r="BM372" s="550">
        <f t="shared" si="89"/>
        <v>1855550</v>
      </c>
      <c r="BO372" s="194"/>
      <c r="BQ372" s="193">
        <f t="shared" si="90"/>
        <v>0</v>
      </c>
      <c r="BR372" s="193">
        <f t="shared" si="91"/>
        <v>0</v>
      </c>
    </row>
    <row r="373" spans="1:70" ht="13.5" customHeight="1">
      <c r="A373" s="193" t="s">
        <v>378</v>
      </c>
      <c r="B373" s="193" t="s">
        <v>379</v>
      </c>
      <c r="C373" s="193" t="s">
        <v>214</v>
      </c>
      <c r="D373" s="193" t="s">
        <v>380</v>
      </c>
      <c r="E373" s="193" t="s">
        <v>381</v>
      </c>
      <c r="F373" s="193" t="s">
        <v>1416</v>
      </c>
      <c r="G373" s="193" t="s">
        <v>1416</v>
      </c>
      <c r="H373" s="193" t="s">
        <v>1507</v>
      </c>
      <c r="I373" s="193" t="s">
        <v>1508</v>
      </c>
      <c r="J373" s="193" t="s">
        <v>1509</v>
      </c>
      <c r="K373" s="193" t="s">
        <v>386</v>
      </c>
      <c r="L373" s="193" t="s">
        <v>387</v>
      </c>
      <c r="M373" s="193" t="s">
        <v>378</v>
      </c>
      <c r="N373" s="193" t="s">
        <v>1497</v>
      </c>
      <c r="O373" s="193" t="s">
        <v>129</v>
      </c>
      <c r="P373" s="193" t="s">
        <v>138</v>
      </c>
      <c r="Q373" s="193" t="s">
        <v>137</v>
      </c>
      <c r="R373" s="193" t="s">
        <v>136</v>
      </c>
      <c r="S373" s="193" t="s">
        <v>214</v>
      </c>
      <c r="T373" s="193" t="s">
        <v>389</v>
      </c>
      <c r="U373" s="193" t="s">
        <v>390</v>
      </c>
      <c r="V373" s="193">
        <v>0</v>
      </c>
      <c r="W373" s="193">
        <v>0</v>
      </c>
      <c r="X373" s="193">
        <v>0</v>
      </c>
      <c r="Y373" s="194">
        <v>-1194610</v>
      </c>
      <c r="Z373" s="193" t="s">
        <v>1500</v>
      </c>
      <c r="AA373" s="193" t="s">
        <v>136</v>
      </c>
      <c r="AB373" s="193">
        <v>1194610</v>
      </c>
      <c r="AC373" s="193" t="s">
        <v>1510</v>
      </c>
      <c r="AD373" s="193" t="s">
        <v>1511</v>
      </c>
      <c r="AE373" s="193">
        <v>1194610</v>
      </c>
      <c r="AF373" s="193" t="s">
        <v>518</v>
      </c>
      <c r="AG373" s="193" t="s">
        <v>519</v>
      </c>
      <c r="AH373" s="193">
        <v>0</v>
      </c>
      <c r="AI373" s="193">
        <v>-1194610</v>
      </c>
      <c r="AJ373" s="193" t="s">
        <v>214</v>
      </c>
      <c r="AL373" s="197" t="s">
        <v>1512</v>
      </c>
      <c r="AM373" s="193">
        <v>1</v>
      </c>
      <c r="AN373" s="193">
        <v>0</v>
      </c>
      <c r="AO373" s="193">
        <v>0</v>
      </c>
      <c r="AP373" s="193">
        <v>0</v>
      </c>
      <c r="AQ373" s="193" t="s">
        <v>214</v>
      </c>
      <c r="AS373" s="197" t="s">
        <v>518</v>
      </c>
      <c r="AT373" s="197" t="s">
        <v>519</v>
      </c>
      <c r="AV373" s="196">
        <v>0</v>
      </c>
      <c r="AW373" s="196">
        <v>0</v>
      </c>
      <c r="AX373" s="196">
        <v>0</v>
      </c>
      <c r="AY373" s="550">
        <v>0</v>
      </c>
      <c r="AZ373" s="196">
        <v>0</v>
      </c>
      <c r="BA373" s="196">
        <v>-1194610</v>
      </c>
      <c r="BB373" s="552">
        <v>-1194610</v>
      </c>
      <c r="BC373" s="551">
        <v>-1194610</v>
      </c>
      <c r="BD373" s="551">
        <v>0</v>
      </c>
      <c r="BF373" s="550">
        <f t="shared" si="82"/>
        <v>0</v>
      </c>
      <c r="BG373" s="550">
        <f t="shared" si="83"/>
        <v>0</v>
      </c>
      <c r="BH373" s="550">
        <f t="shared" si="84"/>
        <v>0</v>
      </c>
      <c r="BI373" s="550">
        <f t="shared" si="85"/>
        <v>0</v>
      </c>
      <c r="BJ373" s="550">
        <f t="shared" si="86"/>
        <v>0</v>
      </c>
      <c r="BK373" s="550">
        <f t="shared" si="87"/>
        <v>-1194610</v>
      </c>
      <c r="BL373" s="550">
        <f t="shared" si="88"/>
        <v>-1194610</v>
      </c>
      <c r="BM373" s="550">
        <f t="shared" si="89"/>
        <v>-1194610</v>
      </c>
      <c r="BO373" s="194"/>
      <c r="BQ373" s="193">
        <f t="shared" si="90"/>
        <v>0</v>
      </c>
      <c r="BR373" s="193">
        <f t="shared" si="91"/>
        <v>0</v>
      </c>
    </row>
    <row r="374" spans="1:70" ht="13.5" customHeight="1">
      <c r="A374" s="193" t="s">
        <v>378</v>
      </c>
      <c r="B374" s="193" t="s">
        <v>379</v>
      </c>
      <c r="C374" s="193" t="s">
        <v>214</v>
      </c>
      <c r="D374" s="193" t="s">
        <v>380</v>
      </c>
      <c r="E374" s="193" t="s">
        <v>381</v>
      </c>
      <c r="F374" s="193" t="s">
        <v>710</v>
      </c>
      <c r="G374" s="193" t="s">
        <v>710</v>
      </c>
      <c r="H374" s="193" t="s">
        <v>1513</v>
      </c>
      <c r="I374" s="193" t="s">
        <v>384</v>
      </c>
      <c r="J374" s="193" t="s">
        <v>1514</v>
      </c>
      <c r="K374" s="193" t="s">
        <v>386</v>
      </c>
      <c r="L374" s="193" t="s">
        <v>387</v>
      </c>
      <c r="M374" s="193" t="s">
        <v>378</v>
      </c>
      <c r="N374" s="193" t="s">
        <v>1497</v>
      </c>
      <c r="O374" s="193" t="s">
        <v>129</v>
      </c>
      <c r="P374" s="193" t="s">
        <v>138</v>
      </c>
      <c r="Q374" s="193" t="s">
        <v>137</v>
      </c>
      <c r="R374" s="193" t="s">
        <v>136</v>
      </c>
      <c r="S374" s="193" t="s">
        <v>214</v>
      </c>
      <c r="T374" s="193" t="s">
        <v>389</v>
      </c>
      <c r="U374" s="193" t="s">
        <v>390</v>
      </c>
      <c r="V374" s="193">
        <v>0</v>
      </c>
      <c r="W374" s="193">
        <v>0</v>
      </c>
      <c r="X374" s="193">
        <v>0</v>
      </c>
      <c r="Y374" s="194">
        <v>207870</v>
      </c>
      <c r="Z374" s="193" t="s">
        <v>1498</v>
      </c>
      <c r="AA374" s="193" t="s">
        <v>1499</v>
      </c>
      <c r="AB374" s="193">
        <v>207870</v>
      </c>
      <c r="AC374" s="193" t="s">
        <v>1500</v>
      </c>
      <c r="AD374" s="193" t="s">
        <v>136</v>
      </c>
      <c r="AE374" s="193">
        <v>207870</v>
      </c>
      <c r="AF374" s="193" t="s">
        <v>518</v>
      </c>
      <c r="AG374" s="193" t="s">
        <v>519</v>
      </c>
      <c r="AH374" s="193">
        <v>0</v>
      </c>
      <c r="AI374" s="193">
        <v>207870</v>
      </c>
      <c r="AJ374" s="193" t="s">
        <v>1505</v>
      </c>
      <c r="AL374" s="197" t="s">
        <v>1515</v>
      </c>
      <c r="AM374" s="193">
        <v>1</v>
      </c>
      <c r="AN374" s="193">
        <v>0</v>
      </c>
      <c r="AO374" s="193">
        <v>0</v>
      </c>
      <c r="AP374" s="193">
        <v>0</v>
      </c>
      <c r="AQ374" s="193" t="s">
        <v>214</v>
      </c>
      <c r="AS374" s="197" t="s">
        <v>518</v>
      </c>
      <c r="AT374" s="197" t="s">
        <v>519</v>
      </c>
      <c r="AV374" s="196">
        <v>0</v>
      </c>
      <c r="AW374" s="196">
        <v>0</v>
      </c>
      <c r="AX374" s="196">
        <v>0</v>
      </c>
      <c r="AY374" s="550">
        <v>0</v>
      </c>
      <c r="AZ374" s="196">
        <v>0</v>
      </c>
      <c r="BA374" s="196">
        <v>207870</v>
      </c>
      <c r="BB374" s="552">
        <v>207870</v>
      </c>
      <c r="BC374" s="551">
        <v>207870</v>
      </c>
      <c r="BD374" s="551">
        <v>0</v>
      </c>
      <c r="BF374" s="550">
        <f t="shared" si="82"/>
        <v>0</v>
      </c>
      <c r="BG374" s="550">
        <f t="shared" si="83"/>
        <v>0</v>
      </c>
      <c r="BH374" s="550">
        <f t="shared" si="84"/>
        <v>0</v>
      </c>
      <c r="BI374" s="550">
        <f t="shared" si="85"/>
        <v>0</v>
      </c>
      <c r="BJ374" s="550">
        <f t="shared" si="86"/>
        <v>0</v>
      </c>
      <c r="BK374" s="550">
        <f t="shared" si="87"/>
        <v>207870</v>
      </c>
      <c r="BL374" s="550">
        <f t="shared" si="88"/>
        <v>207870</v>
      </c>
      <c r="BM374" s="550">
        <f t="shared" si="89"/>
        <v>207870</v>
      </c>
      <c r="BO374" s="194"/>
      <c r="BQ374" s="193">
        <f t="shared" si="90"/>
        <v>0</v>
      </c>
      <c r="BR374" s="193">
        <f t="shared" si="91"/>
        <v>0</v>
      </c>
    </row>
    <row r="375" spans="1:70" ht="13.5" customHeight="1">
      <c r="A375" s="193" t="s">
        <v>378</v>
      </c>
      <c r="B375" s="193" t="s">
        <v>379</v>
      </c>
      <c r="C375" s="193" t="s">
        <v>214</v>
      </c>
      <c r="D375" s="193" t="s">
        <v>380</v>
      </c>
      <c r="E375" s="193" t="s">
        <v>381</v>
      </c>
      <c r="F375" s="193" t="s">
        <v>1416</v>
      </c>
      <c r="G375" s="193" t="s">
        <v>1416</v>
      </c>
      <c r="H375" s="193" t="s">
        <v>1516</v>
      </c>
      <c r="I375" s="193" t="s">
        <v>1508</v>
      </c>
      <c r="J375" s="193" t="s">
        <v>1517</v>
      </c>
      <c r="K375" s="193" t="s">
        <v>386</v>
      </c>
      <c r="L375" s="193" t="s">
        <v>387</v>
      </c>
      <c r="M375" s="193" t="s">
        <v>378</v>
      </c>
      <c r="N375" s="193" t="s">
        <v>1497</v>
      </c>
      <c r="O375" s="193" t="s">
        <v>129</v>
      </c>
      <c r="P375" s="193" t="s">
        <v>138</v>
      </c>
      <c r="Q375" s="193" t="s">
        <v>137</v>
      </c>
      <c r="R375" s="193" t="s">
        <v>136</v>
      </c>
      <c r="S375" s="193" t="s">
        <v>214</v>
      </c>
      <c r="T375" s="193" t="s">
        <v>389</v>
      </c>
      <c r="U375" s="193" t="s">
        <v>390</v>
      </c>
      <c r="V375" s="193">
        <v>0</v>
      </c>
      <c r="W375" s="193">
        <v>0</v>
      </c>
      <c r="X375" s="193">
        <v>0</v>
      </c>
      <c r="Y375" s="194">
        <v>-109130</v>
      </c>
      <c r="Z375" s="193" t="s">
        <v>1500</v>
      </c>
      <c r="AA375" s="193" t="s">
        <v>136</v>
      </c>
      <c r="AB375" s="193">
        <v>109130</v>
      </c>
      <c r="AC375" s="193" t="s">
        <v>1510</v>
      </c>
      <c r="AD375" s="193" t="s">
        <v>1511</v>
      </c>
      <c r="AE375" s="193">
        <v>109130</v>
      </c>
      <c r="AF375" s="193" t="s">
        <v>518</v>
      </c>
      <c r="AG375" s="193" t="s">
        <v>519</v>
      </c>
      <c r="AH375" s="193">
        <v>0</v>
      </c>
      <c r="AI375" s="193">
        <v>-109130</v>
      </c>
      <c r="AJ375" s="193" t="s">
        <v>214</v>
      </c>
      <c r="AL375" s="197" t="s">
        <v>1518</v>
      </c>
      <c r="AM375" s="193">
        <v>1</v>
      </c>
      <c r="AN375" s="193">
        <v>0</v>
      </c>
      <c r="AO375" s="193">
        <v>0</v>
      </c>
      <c r="AP375" s="193">
        <v>0</v>
      </c>
      <c r="AQ375" s="193" t="s">
        <v>214</v>
      </c>
      <c r="AS375" s="197" t="s">
        <v>518</v>
      </c>
      <c r="AT375" s="197" t="s">
        <v>519</v>
      </c>
      <c r="AV375" s="196">
        <v>0</v>
      </c>
      <c r="AW375" s="196">
        <v>0</v>
      </c>
      <c r="AX375" s="196">
        <v>0</v>
      </c>
      <c r="AY375" s="550">
        <v>0</v>
      </c>
      <c r="AZ375" s="196">
        <v>0</v>
      </c>
      <c r="BA375" s="196">
        <v>-109130</v>
      </c>
      <c r="BB375" s="552">
        <v>-109130</v>
      </c>
      <c r="BC375" s="551">
        <v>-109130</v>
      </c>
      <c r="BD375" s="551">
        <v>0</v>
      </c>
      <c r="BF375" s="550">
        <f t="shared" si="82"/>
        <v>0</v>
      </c>
      <c r="BG375" s="550">
        <f t="shared" si="83"/>
        <v>0</v>
      </c>
      <c r="BH375" s="550">
        <f t="shared" si="84"/>
        <v>0</v>
      </c>
      <c r="BI375" s="550">
        <f t="shared" si="85"/>
        <v>0</v>
      </c>
      <c r="BJ375" s="550">
        <f t="shared" si="86"/>
        <v>0</v>
      </c>
      <c r="BK375" s="550">
        <f t="shared" si="87"/>
        <v>-109130</v>
      </c>
      <c r="BL375" s="550">
        <f t="shared" si="88"/>
        <v>-109130</v>
      </c>
      <c r="BM375" s="550">
        <f t="shared" si="89"/>
        <v>-109130</v>
      </c>
      <c r="BO375" s="194"/>
      <c r="BQ375" s="193">
        <f t="shared" si="90"/>
        <v>0</v>
      </c>
      <c r="BR375" s="193">
        <f t="shared" si="91"/>
        <v>0</v>
      </c>
    </row>
    <row r="376" spans="1:70" ht="13.5" customHeight="1">
      <c r="A376" s="193" t="s">
        <v>378</v>
      </c>
      <c r="B376" s="193" t="s">
        <v>379</v>
      </c>
      <c r="C376" s="193" t="s">
        <v>214</v>
      </c>
      <c r="D376" s="193" t="s">
        <v>1165</v>
      </c>
      <c r="E376" s="193" t="s">
        <v>1166</v>
      </c>
      <c r="F376" s="193" t="s">
        <v>1555</v>
      </c>
      <c r="G376" s="193" t="s">
        <v>1555</v>
      </c>
      <c r="H376" s="193" t="s">
        <v>1520</v>
      </c>
      <c r="I376" s="193" t="s">
        <v>512</v>
      </c>
      <c r="J376" s="193" t="s">
        <v>1556</v>
      </c>
      <c r="K376" s="193" t="s">
        <v>386</v>
      </c>
      <c r="L376" s="193" t="s">
        <v>387</v>
      </c>
      <c r="M376" s="193" t="s">
        <v>378</v>
      </c>
      <c r="N376" s="193" t="s">
        <v>1497</v>
      </c>
      <c r="O376" s="193" t="s">
        <v>129</v>
      </c>
      <c r="P376" s="193" t="s">
        <v>138</v>
      </c>
      <c r="Q376" s="193" t="s">
        <v>137</v>
      </c>
      <c r="R376" s="193" t="s">
        <v>136</v>
      </c>
      <c r="S376" s="193" t="s">
        <v>214</v>
      </c>
      <c r="T376" s="193" t="s">
        <v>389</v>
      </c>
      <c r="U376" s="193" t="s">
        <v>390</v>
      </c>
      <c r="V376" s="193">
        <v>0</v>
      </c>
      <c r="W376" s="193">
        <v>0</v>
      </c>
      <c r="X376" s="193">
        <v>0</v>
      </c>
      <c r="Y376" s="194">
        <v>3800</v>
      </c>
      <c r="Z376" s="193" t="s">
        <v>515</v>
      </c>
      <c r="AA376" s="193" t="s">
        <v>516</v>
      </c>
      <c r="AB376" s="193">
        <v>3800</v>
      </c>
      <c r="AC376" s="193" t="s">
        <v>1500</v>
      </c>
      <c r="AD376" s="193" t="s">
        <v>136</v>
      </c>
      <c r="AE376" s="193">
        <v>3800</v>
      </c>
      <c r="AF376" s="193" t="s">
        <v>518</v>
      </c>
      <c r="AG376" s="193" t="s">
        <v>519</v>
      </c>
      <c r="AH376" s="193">
        <v>0</v>
      </c>
      <c r="AI376" s="193">
        <v>3800</v>
      </c>
      <c r="AJ376" s="193" t="s">
        <v>1557</v>
      </c>
      <c r="AL376" s="197" t="s">
        <v>1558</v>
      </c>
      <c r="AM376" s="193">
        <v>1</v>
      </c>
      <c r="AN376" s="193">
        <v>0</v>
      </c>
      <c r="AO376" s="193">
        <v>0</v>
      </c>
      <c r="AP376" s="193" t="s">
        <v>1524</v>
      </c>
      <c r="AQ376" s="193" t="s">
        <v>214</v>
      </c>
      <c r="AS376" s="197" t="s">
        <v>518</v>
      </c>
      <c r="AT376" s="197" t="s">
        <v>519</v>
      </c>
      <c r="AV376" s="196">
        <v>0</v>
      </c>
      <c r="AW376" s="196">
        <v>0</v>
      </c>
      <c r="AX376" s="196">
        <v>3800</v>
      </c>
      <c r="AY376" s="550">
        <v>3800</v>
      </c>
      <c r="AZ376" s="196">
        <v>0</v>
      </c>
      <c r="BA376" s="196">
        <v>0</v>
      </c>
      <c r="BB376" s="552">
        <v>0</v>
      </c>
      <c r="BC376" s="551">
        <v>3800</v>
      </c>
      <c r="BD376" s="551">
        <v>0</v>
      </c>
      <c r="BF376" s="550">
        <f t="shared" si="82"/>
        <v>0</v>
      </c>
      <c r="BG376" s="550">
        <f t="shared" si="83"/>
        <v>0</v>
      </c>
      <c r="BH376" s="550">
        <f t="shared" si="84"/>
        <v>3800</v>
      </c>
      <c r="BI376" s="550">
        <f t="shared" si="85"/>
        <v>3800</v>
      </c>
      <c r="BJ376" s="550">
        <f t="shared" si="86"/>
        <v>0</v>
      </c>
      <c r="BK376" s="550">
        <f t="shared" si="87"/>
        <v>0</v>
      </c>
      <c r="BL376" s="550">
        <f t="shared" si="88"/>
        <v>0</v>
      </c>
      <c r="BM376" s="550">
        <f t="shared" si="89"/>
        <v>3800</v>
      </c>
      <c r="BO376" s="194"/>
      <c r="BQ376" s="193">
        <f t="shared" si="90"/>
        <v>0</v>
      </c>
      <c r="BR376" s="193">
        <f t="shared" si="91"/>
        <v>0</v>
      </c>
    </row>
    <row r="377" spans="1:70" ht="13.5" customHeight="1">
      <c r="A377" s="193" t="s">
        <v>378</v>
      </c>
      <c r="B377" s="193" t="s">
        <v>379</v>
      </c>
      <c r="C377" s="193" t="s">
        <v>214</v>
      </c>
      <c r="D377" s="193" t="s">
        <v>1165</v>
      </c>
      <c r="E377" s="193" t="s">
        <v>1166</v>
      </c>
      <c r="F377" s="193" t="s">
        <v>589</v>
      </c>
      <c r="G377" s="193" t="s">
        <v>589</v>
      </c>
      <c r="H377" s="193" t="s">
        <v>1520</v>
      </c>
      <c r="I377" s="193" t="s">
        <v>512</v>
      </c>
      <c r="J377" s="193" t="s">
        <v>1543</v>
      </c>
      <c r="K377" s="193" t="s">
        <v>386</v>
      </c>
      <c r="L377" s="193" t="s">
        <v>387</v>
      </c>
      <c r="M377" s="193" t="s">
        <v>378</v>
      </c>
      <c r="N377" s="193" t="s">
        <v>1497</v>
      </c>
      <c r="O377" s="193" t="s">
        <v>129</v>
      </c>
      <c r="P377" s="193" t="s">
        <v>138</v>
      </c>
      <c r="Q377" s="193" t="s">
        <v>137</v>
      </c>
      <c r="R377" s="193" t="s">
        <v>136</v>
      </c>
      <c r="S377" s="193" t="s">
        <v>214</v>
      </c>
      <c r="T377" s="193" t="s">
        <v>389</v>
      </c>
      <c r="U377" s="193" t="s">
        <v>390</v>
      </c>
      <c r="V377" s="193">
        <v>0</v>
      </c>
      <c r="W377" s="193">
        <v>0</v>
      </c>
      <c r="X377" s="193">
        <v>0</v>
      </c>
      <c r="Y377" s="194">
        <v>12100</v>
      </c>
      <c r="Z377" s="193" t="s">
        <v>515</v>
      </c>
      <c r="AA377" s="193" t="s">
        <v>516</v>
      </c>
      <c r="AB377" s="193">
        <v>12100</v>
      </c>
      <c r="AC377" s="193" t="s">
        <v>1500</v>
      </c>
      <c r="AD377" s="193" t="s">
        <v>136</v>
      </c>
      <c r="AE377" s="193">
        <v>12100</v>
      </c>
      <c r="AF377" s="193" t="s">
        <v>518</v>
      </c>
      <c r="AG377" s="193" t="s">
        <v>519</v>
      </c>
      <c r="AH377" s="193">
        <v>0</v>
      </c>
      <c r="AI377" s="193">
        <v>12100</v>
      </c>
      <c r="AJ377" s="193" t="s">
        <v>1544</v>
      </c>
      <c r="AL377" s="197" t="s">
        <v>1545</v>
      </c>
      <c r="AM377" s="193">
        <v>1</v>
      </c>
      <c r="AN377" s="193">
        <v>0</v>
      </c>
      <c r="AO377" s="193">
        <v>0</v>
      </c>
      <c r="AP377" s="193" t="s">
        <v>1524</v>
      </c>
      <c r="AQ377" s="193" t="s">
        <v>214</v>
      </c>
      <c r="AS377" s="197" t="s">
        <v>518</v>
      </c>
      <c r="AT377" s="197" t="s">
        <v>519</v>
      </c>
      <c r="AV377" s="196">
        <v>0</v>
      </c>
      <c r="AW377" s="196">
        <v>0</v>
      </c>
      <c r="AX377" s="196">
        <v>12100</v>
      </c>
      <c r="AY377" s="550">
        <v>12100</v>
      </c>
      <c r="AZ377" s="196">
        <v>0</v>
      </c>
      <c r="BA377" s="196">
        <v>0</v>
      </c>
      <c r="BB377" s="552">
        <v>0</v>
      </c>
      <c r="BC377" s="551">
        <v>12100</v>
      </c>
      <c r="BD377" s="551">
        <v>0</v>
      </c>
      <c r="BF377" s="550">
        <f t="shared" si="82"/>
        <v>0</v>
      </c>
      <c r="BG377" s="550">
        <f t="shared" si="83"/>
        <v>0</v>
      </c>
      <c r="BH377" s="550">
        <f t="shared" si="84"/>
        <v>12100</v>
      </c>
      <c r="BI377" s="550">
        <f t="shared" si="85"/>
        <v>12100</v>
      </c>
      <c r="BJ377" s="550">
        <f t="shared" si="86"/>
        <v>0</v>
      </c>
      <c r="BK377" s="550">
        <f t="shared" si="87"/>
        <v>0</v>
      </c>
      <c r="BL377" s="550">
        <f t="shared" si="88"/>
        <v>0</v>
      </c>
      <c r="BM377" s="550">
        <f t="shared" si="89"/>
        <v>12100</v>
      </c>
      <c r="BO377" s="194"/>
      <c r="BQ377" s="193">
        <f t="shared" si="90"/>
        <v>0</v>
      </c>
      <c r="BR377" s="193">
        <f t="shared" si="91"/>
        <v>0</v>
      </c>
    </row>
    <row r="378" spans="1:70" ht="13.5" customHeight="1">
      <c r="A378" s="193" t="s">
        <v>378</v>
      </c>
      <c r="B378" s="193" t="s">
        <v>379</v>
      </c>
      <c r="C378" s="193" t="s">
        <v>214</v>
      </c>
      <c r="D378" s="193" t="s">
        <v>1165</v>
      </c>
      <c r="E378" s="193" t="s">
        <v>1166</v>
      </c>
      <c r="F378" s="193" t="s">
        <v>1519</v>
      </c>
      <c r="G378" s="193" t="s">
        <v>1519</v>
      </c>
      <c r="H378" s="193" t="s">
        <v>1520</v>
      </c>
      <c r="I378" s="193" t="s">
        <v>512</v>
      </c>
      <c r="J378" s="193" t="s">
        <v>1521</v>
      </c>
      <c r="K378" s="193" t="s">
        <v>386</v>
      </c>
      <c r="L378" s="193" t="s">
        <v>387</v>
      </c>
      <c r="M378" s="193" t="s">
        <v>378</v>
      </c>
      <c r="N378" s="193" t="s">
        <v>1497</v>
      </c>
      <c r="O378" s="193" t="s">
        <v>129</v>
      </c>
      <c r="P378" s="193" t="s">
        <v>138</v>
      </c>
      <c r="Q378" s="193" t="s">
        <v>137</v>
      </c>
      <c r="R378" s="193" t="s">
        <v>136</v>
      </c>
      <c r="S378" s="193" t="s">
        <v>214</v>
      </c>
      <c r="T378" s="193" t="s">
        <v>389</v>
      </c>
      <c r="U378" s="193" t="s">
        <v>390</v>
      </c>
      <c r="V378" s="193">
        <v>0</v>
      </c>
      <c r="W378" s="193">
        <v>0</v>
      </c>
      <c r="X378" s="193">
        <v>0</v>
      </c>
      <c r="Y378" s="194">
        <v>35000</v>
      </c>
      <c r="Z378" s="193" t="s">
        <v>515</v>
      </c>
      <c r="AA378" s="193" t="s">
        <v>516</v>
      </c>
      <c r="AB378" s="193">
        <v>35000</v>
      </c>
      <c r="AC378" s="193" t="s">
        <v>1500</v>
      </c>
      <c r="AD378" s="193" t="s">
        <v>136</v>
      </c>
      <c r="AE378" s="193">
        <v>35000</v>
      </c>
      <c r="AF378" s="193" t="s">
        <v>518</v>
      </c>
      <c r="AG378" s="193" t="s">
        <v>519</v>
      </c>
      <c r="AH378" s="193">
        <v>0</v>
      </c>
      <c r="AI378" s="193">
        <v>35000</v>
      </c>
      <c r="AJ378" s="193" t="s">
        <v>1522</v>
      </c>
      <c r="AL378" s="197" t="s">
        <v>1523</v>
      </c>
      <c r="AM378" s="193">
        <v>1</v>
      </c>
      <c r="AN378" s="193">
        <v>0</v>
      </c>
      <c r="AO378" s="193">
        <v>0</v>
      </c>
      <c r="AP378" s="193" t="s">
        <v>1524</v>
      </c>
      <c r="AQ378" s="193" t="s">
        <v>214</v>
      </c>
      <c r="AS378" s="197" t="s">
        <v>518</v>
      </c>
      <c r="AT378" s="197" t="s">
        <v>519</v>
      </c>
      <c r="AV378" s="196">
        <v>0</v>
      </c>
      <c r="AW378" s="196">
        <v>0</v>
      </c>
      <c r="AX378" s="196">
        <v>35000</v>
      </c>
      <c r="AY378" s="550">
        <v>35000</v>
      </c>
      <c r="AZ378" s="196">
        <v>0</v>
      </c>
      <c r="BA378" s="196">
        <v>0</v>
      </c>
      <c r="BB378" s="552">
        <v>0</v>
      </c>
      <c r="BC378" s="551">
        <v>35000</v>
      </c>
      <c r="BD378" s="551">
        <v>0</v>
      </c>
      <c r="BF378" s="550">
        <f t="shared" si="82"/>
        <v>0</v>
      </c>
      <c r="BG378" s="550">
        <f t="shared" si="83"/>
        <v>0</v>
      </c>
      <c r="BH378" s="550">
        <f t="shared" si="84"/>
        <v>35000</v>
      </c>
      <c r="BI378" s="550">
        <f t="shared" si="85"/>
        <v>35000</v>
      </c>
      <c r="BJ378" s="550">
        <f t="shared" si="86"/>
        <v>0</v>
      </c>
      <c r="BK378" s="550">
        <f t="shared" si="87"/>
        <v>0</v>
      </c>
      <c r="BL378" s="550">
        <f t="shared" si="88"/>
        <v>0</v>
      </c>
      <c r="BM378" s="550">
        <f t="shared" si="89"/>
        <v>35000</v>
      </c>
      <c r="BO378" s="194"/>
      <c r="BQ378" s="193">
        <f t="shared" si="90"/>
        <v>0</v>
      </c>
      <c r="BR378" s="193">
        <f t="shared" si="91"/>
        <v>0</v>
      </c>
    </row>
    <row r="379" spans="1:70" ht="13.5" customHeight="1">
      <c r="A379" s="193" t="s">
        <v>378</v>
      </c>
      <c r="B379" s="193" t="s">
        <v>379</v>
      </c>
      <c r="C379" s="193" t="s">
        <v>214</v>
      </c>
      <c r="D379" s="193" t="s">
        <v>1165</v>
      </c>
      <c r="E379" s="193" t="s">
        <v>1166</v>
      </c>
      <c r="F379" s="193" t="s">
        <v>1525</v>
      </c>
      <c r="G379" s="193" t="s">
        <v>1525</v>
      </c>
      <c r="H379" s="193" t="s">
        <v>1526</v>
      </c>
      <c r="I379" s="193" t="s">
        <v>512</v>
      </c>
      <c r="J379" s="193" t="s">
        <v>1527</v>
      </c>
      <c r="K379" s="193" t="s">
        <v>386</v>
      </c>
      <c r="L379" s="193" t="s">
        <v>387</v>
      </c>
      <c r="M379" s="193" t="s">
        <v>378</v>
      </c>
      <c r="N379" s="193" t="s">
        <v>1497</v>
      </c>
      <c r="O379" s="193" t="s">
        <v>129</v>
      </c>
      <c r="P379" s="193" t="s">
        <v>138</v>
      </c>
      <c r="Q379" s="193" t="s">
        <v>137</v>
      </c>
      <c r="R379" s="193" t="s">
        <v>136</v>
      </c>
      <c r="S379" s="193" t="s">
        <v>214</v>
      </c>
      <c r="T379" s="193" t="s">
        <v>389</v>
      </c>
      <c r="U379" s="193" t="s">
        <v>390</v>
      </c>
      <c r="V379" s="193">
        <v>0</v>
      </c>
      <c r="W379" s="193">
        <v>0</v>
      </c>
      <c r="X379" s="193">
        <v>0</v>
      </c>
      <c r="Y379" s="194">
        <v>33400</v>
      </c>
      <c r="Z379" s="193" t="s">
        <v>515</v>
      </c>
      <c r="AA379" s="193" t="s">
        <v>516</v>
      </c>
      <c r="AB379" s="193">
        <v>33400</v>
      </c>
      <c r="AC379" s="193" t="s">
        <v>1500</v>
      </c>
      <c r="AD379" s="193" t="s">
        <v>136</v>
      </c>
      <c r="AE379" s="193">
        <v>33400</v>
      </c>
      <c r="AF379" s="193" t="s">
        <v>518</v>
      </c>
      <c r="AG379" s="193" t="s">
        <v>519</v>
      </c>
      <c r="AH379" s="193">
        <v>0</v>
      </c>
      <c r="AI379" s="193">
        <v>33400</v>
      </c>
      <c r="AJ379" s="193" t="s">
        <v>1522</v>
      </c>
      <c r="AL379" s="197" t="s">
        <v>1528</v>
      </c>
      <c r="AM379" s="193">
        <v>1</v>
      </c>
      <c r="AN379" s="193">
        <v>0</v>
      </c>
      <c r="AO379" s="193">
        <v>0</v>
      </c>
      <c r="AP379" s="193" t="s">
        <v>1524</v>
      </c>
      <c r="AQ379" s="193" t="s">
        <v>214</v>
      </c>
      <c r="AS379" s="197" t="s">
        <v>518</v>
      </c>
      <c r="AT379" s="197" t="s">
        <v>519</v>
      </c>
      <c r="AV379" s="196">
        <v>0</v>
      </c>
      <c r="AW379" s="196">
        <v>0</v>
      </c>
      <c r="AX379" s="196">
        <v>33400</v>
      </c>
      <c r="AY379" s="550">
        <v>33400</v>
      </c>
      <c r="AZ379" s="196">
        <v>0</v>
      </c>
      <c r="BA379" s="196">
        <v>0</v>
      </c>
      <c r="BB379" s="552">
        <v>0</v>
      </c>
      <c r="BC379" s="551">
        <v>33400</v>
      </c>
      <c r="BD379" s="551">
        <v>0</v>
      </c>
      <c r="BF379" s="550">
        <f t="shared" si="82"/>
        <v>0</v>
      </c>
      <c r="BG379" s="550">
        <f t="shared" si="83"/>
        <v>0</v>
      </c>
      <c r="BH379" s="550">
        <f t="shared" si="84"/>
        <v>33400</v>
      </c>
      <c r="BI379" s="550">
        <f t="shared" si="85"/>
        <v>33400</v>
      </c>
      <c r="BJ379" s="550">
        <f t="shared" si="86"/>
        <v>0</v>
      </c>
      <c r="BK379" s="550">
        <f t="shared" si="87"/>
        <v>0</v>
      </c>
      <c r="BL379" s="550">
        <f t="shared" si="88"/>
        <v>0</v>
      </c>
      <c r="BM379" s="550">
        <f t="shared" si="89"/>
        <v>33400</v>
      </c>
      <c r="BO379" s="194"/>
      <c r="BQ379" s="193">
        <f t="shared" si="90"/>
        <v>0</v>
      </c>
      <c r="BR379" s="193">
        <f t="shared" si="91"/>
        <v>0</v>
      </c>
    </row>
    <row r="380" spans="1:70" ht="13.5" customHeight="1">
      <c r="A380" s="193" t="s">
        <v>378</v>
      </c>
      <c r="B380" s="193" t="s">
        <v>379</v>
      </c>
      <c r="C380" s="193" t="s">
        <v>214</v>
      </c>
      <c r="D380" s="193" t="s">
        <v>1165</v>
      </c>
      <c r="E380" s="193" t="s">
        <v>1166</v>
      </c>
      <c r="F380" s="193" t="s">
        <v>1371</v>
      </c>
      <c r="G380" s="193" t="s">
        <v>1371</v>
      </c>
      <c r="H380" s="193" t="s">
        <v>1526</v>
      </c>
      <c r="I380" s="193" t="s">
        <v>512</v>
      </c>
      <c r="J380" s="193" t="s">
        <v>1529</v>
      </c>
      <c r="K380" s="193" t="s">
        <v>386</v>
      </c>
      <c r="L380" s="193" t="s">
        <v>387</v>
      </c>
      <c r="M380" s="193" t="s">
        <v>378</v>
      </c>
      <c r="N380" s="193" t="s">
        <v>1497</v>
      </c>
      <c r="O380" s="193" t="s">
        <v>129</v>
      </c>
      <c r="P380" s="193" t="s">
        <v>138</v>
      </c>
      <c r="Q380" s="193" t="s">
        <v>137</v>
      </c>
      <c r="R380" s="193" t="s">
        <v>136</v>
      </c>
      <c r="S380" s="193" t="s">
        <v>214</v>
      </c>
      <c r="T380" s="193" t="s">
        <v>389</v>
      </c>
      <c r="U380" s="193" t="s">
        <v>390</v>
      </c>
      <c r="V380" s="193">
        <v>0</v>
      </c>
      <c r="W380" s="193">
        <v>0</v>
      </c>
      <c r="X380" s="193">
        <v>0</v>
      </c>
      <c r="Y380" s="194">
        <v>12600</v>
      </c>
      <c r="Z380" s="193" t="s">
        <v>515</v>
      </c>
      <c r="AA380" s="193" t="s">
        <v>516</v>
      </c>
      <c r="AB380" s="193">
        <v>12600</v>
      </c>
      <c r="AC380" s="193" t="s">
        <v>1500</v>
      </c>
      <c r="AD380" s="193" t="s">
        <v>136</v>
      </c>
      <c r="AE380" s="193">
        <v>12600</v>
      </c>
      <c r="AF380" s="193" t="s">
        <v>518</v>
      </c>
      <c r="AG380" s="193" t="s">
        <v>519</v>
      </c>
      <c r="AH380" s="193">
        <v>0</v>
      </c>
      <c r="AI380" s="193">
        <v>12600</v>
      </c>
      <c r="AJ380" s="193" t="s">
        <v>1530</v>
      </c>
      <c r="AL380" s="197" t="s">
        <v>1531</v>
      </c>
      <c r="AM380" s="193">
        <v>1</v>
      </c>
      <c r="AN380" s="193">
        <v>0</v>
      </c>
      <c r="AO380" s="193">
        <v>0</v>
      </c>
      <c r="AP380" s="193" t="s">
        <v>1524</v>
      </c>
      <c r="AQ380" s="193" t="s">
        <v>214</v>
      </c>
      <c r="AS380" s="197" t="s">
        <v>518</v>
      </c>
      <c r="AT380" s="197" t="s">
        <v>519</v>
      </c>
      <c r="AV380" s="194">
        <v>0</v>
      </c>
      <c r="AW380" s="194">
        <v>0</v>
      </c>
      <c r="AX380" s="194">
        <v>12600</v>
      </c>
      <c r="AY380" s="549">
        <v>12600</v>
      </c>
      <c r="AZ380" s="194">
        <v>0</v>
      </c>
      <c r="BA380" s="194">
        <v>0</v>
      </c>
      <c r="BB380" s="551">
        <v>0</v>
      </c>
      <c r="BC380" s="551">
        <v>12600</v>
      </c>
      <c r="BD380" s="551">
        <v>0</v>
      </c>
      <c r="BF380" s="550">
        <f t="shared" si="82"/>
        <v>0</v>
      </c>
      <c r="BG380" s="550">
        <f t="shared" si="83"/>
        <v>0</v>
      </c>
      <c r="BH380" s="550">
        <f t="shared" si="84"/>
        <v>12600</v>
      </c>
      <c r="BI380" s="550">
        <f t="shared" si="85"/>
        <v>12600</v>
      </c>
      <c r="BJ380" s="550">
        <f t="shared" si="86"/>
        <v>0</v>
      </c>
      <c r="BK380" s="550">
        <f t="shared" si="87"/>
        <v>0</v>
      </c>
      <c r="BL380" s="550">
        <f t="shared" si="88"/>
        <v>0</v>
      </c>
      <c r="BM380" s="550">
        <f t="shared" si="89"/>
        <v>12600</v>
      </c>
      <c r="BO380" s="194"/>
      <c r="BQ380" s="193">
        <f t="shared" si="90"/>
        <v>0</v>
      </c>
      <c r="BR380" s="193">
        <f t="shared" si="91"/>
        <v>0</v>
      </c>
    </row>
    <row r="381" spans="1:70" ht="13.5" customHeight="1">
      <c r="A381" s="193" t="s">
        <v>378</v>
      </c>
      <c r="B381" s="193" t="s">
        <v>379</v>
      </c>
      <c r="C381" s="193" t="s">
        <v>214</v>
      </c>
      <c r="D381" s="193" t="s">
        <v>1165</v>
      </c>
      <c r="E381" s="193" t="s">
        <v>1166</v>
      </c>
      <c r="F381" s="193" t="s">
        <v>755</v>
      </c>
      <c r="G381" s="193" t="s">
        <v>755</v>
      </c>
      <c r="H381" s="193" t="s">
        <v>1520</v>
      </c>
      <c r="I381" s="193" t="s">
        <v>512</v>
      </c>
      <c r="J381" s="193" t="s">
        <v>1575</v>
      </c>
      <c r="K381" s="193" t="s">
        <v>386</v>
      </c>
      <c r="L381" s="193" t="s">
        <v>387</v>
      </c>
      <c r="M381" s="193" t="s">
        <v>378</v>
      </c>
      <c r="N381" s="193" t="s">
        <v>1497</v>
      </c>
      <c r="O381" s="193" t="s">
        <v>129</v>
      </c>
      <c r="P381" s="193" t="s">
        <v>138</v>
      </c>
      <c r="Q381" s="193" t="s">
        <v>137</v>
      </c>
      <c r="R381" s="193" t="s">
        <v>136</v>
      </c>
      <c r="S381" s="193" t="s">
        <v>214</v>
      </c>
      <c r="T381" s="193" t="s">
        <v>389</v>
      </c>
      <c r="U381" s="193" t="s">
        <v>390</v>
      </c>
      <c r="V381" s="193">
        <v>0</v>
      </c>
      <c r="W381" s="193">
        <v>0</v>
      </c>
      <c r="X381" s="193">
        <v>0</v>
      </c>
      <c r="Y381" s="194">
        <v>8300</v>
      </c>
      <c r="Z381" s="193" t="s">
        <v>515</v>
      </c>
      <c r="AA381" s="193" t="s">
        <v>516</v>
      </c>
      <c r="AB381" s="193">
        <v>8300</v>
      </c>
      <c r="AC381" s="193" t="s">
        <v>1500</v>
      </c>
      <c r="AD381" s="193" t="s">
        <v>136</v>
      </c>
      <c r="AE381" s="193">
        <v>8300</v>
      </c>
      <c r="AF381" s="193" t="s">
        <v>518</v>
      </c>
      <c r="AG381" s="193" t="s">
        <v>519</v>
      </c>
      <c r="AH381" s="193">
        <v>0</v>
      </c>
      <c r="AI381" s="193">
        <v>8300</v>
      </c>
      <c r="AJ381" s="193" t="s">
        <v>1544</v>
      </c>
      <c r="AL381" s="197" t="s">
        <v>1576</v>
      </c>
      <c r="AM381" s="193">
        <v>1</v>
      </c>
      <c r="AN381" s="193">
        <v>0</v>
      </c>
      <c r="AO381" s="193">
        <v>0</v>
      </c>
      <c r="AP381" s="193" t="s">
        <v>1524</v>
      </c>
      <c r="AQ381" s="193" t="s">
        <v>214</v>
      </c>
      <c r="AS381" s="197" t="s">
        <v>518</v>
      </c>
      <c r="AT381" s="197" t="s">
        <v>519</v>
      </c>
      <c r="AV381" s="196">
        <v>0</v>
      </c>
      <c r="AW381" s="196">
        <v>0</v>
      </c>
      <c r="AX381" s="196">
        <v>8300</v>
      </c>
      <c r="AY381" s="550">
        <v>8300</v>
      </c>
      <c r="AZ381" s="196">
        <v>0</v>
      </c>
      <c r="BA381" s="196">
        <v>0</v>
      </c>
      <c r="BB381" s="551">
        <v>0</v>
      </c>
      <c r="BC381" s="551">
        <v>8300</v>
      </c>
      <c r="BD381" s="551">
        <v>0</v>
      </c>
      <c r="BF381" s="550">
        <f t="shared" si="82"/>
        <v>0</v>
      </c>
      <c r="BG381" s="550">
        <f t="shared" si="83"/>
        <v>0</v>
      </c>
      <c r="BH381" s="550">
        <f t="shared" si="84"/>
        <v>8300</v>
      </c>
      <c r="BI381" s="550">
        <f t="shared" si="85"/>
        <v>8300</v>
      </c>
      <c r="BJ381" s="550">
        <f t="shared" si="86"/>
        <v>0</v>
      </c>
      <c r="BK381" s="550">
        <f t="shared" si="87"/>
        <v>0</v>
      </c>
      <c r="BL381" s="550">
        <f t="shared" si="88"/>
        <v>0</v>
      </c>
      <c r="BM381" s="550">
        <f t="shared" si="89"/>
        <v>8300</v>
      </c>
      <c r="BO381" s="194"/>
      <c r="BQ381" s="193">
        <f t="shared" si="90"/>
        <v>0</v>
      </c>
      <c r="BR381" s="193">
        <f t="shared" si="91"/>
        <v>0</v>
      </c>
    </row>
    <row r="382" spans="1:70" ht="13.5" customHeight="1">
      <c r="A382" s="193" t="s">
        <v>378</v>
      </c>
      <c r="B382" s="193" t="s">
        <v>379</v>
      </c>
      <c r="C382" s="193" t="s">
        <v>214</v>
      </c>
      <c r="D382" s="193" t="s">
        <v>1165</v>
      </c>
      <c r="E382" s="193" t="s">
        <v>1166</v>
      </c>
      <c r="F382" s="193" t="s">
        <v>1320</v>
      </c>
      <c r="G382" s="193" t="s">
        <v>1320</v>
      </c>
      <c r="H382" s="193" t="s">
        <v>1520</v>
      </c>
      <c r="I382" s="193" t="s">
        <v>512</v>
      </c>
      <c r="J382" s="193" t="s">
        <v>1540</v>
      </c>
      <c r="K382" s="193" t="s">
        <v>386</v>
      </c>
      <c r="L382" s="193" t="s">
        <v>387</v>
      </c>
      <c r="M382" s="193" t="s">
        <v>378</v>
      </c>
      <c r="N382" s="193" t="s">
        <v>1497</v>
      </c>
      <c r="O382" s="193" t="s">
        <v>129</v>
      </c>
      <c r="P382" s="193" t="s">
        <v>138</v>
      </c>
      <c r="Q382" s="193" t="s">
        <v>137</v>
      </c>
      <c r="R382" s="193" t="s">
        <v>136</v>
      </c>
      <c r="S382" s="193" t="s">
        <v>214</v>
      </c>
      <c r="T382" s="193" t="s">
        <v>389</v>
      </c>
      <c r="U382" s="193" t="s">
        <v>390</v>
      </c>
      <c r="V382" s="193">
        <v>0</v>
      </c>
      <c r="W382" s="193">
        <v>0</v>
      </c>
      <c r="X382" s="193">
        <v>0</v>
      </c>
      <c r="Y382" s="194">
        <v>13900</v>
      </c>
      <c r="Z382" s="193" t="s">
        <v>515</v>
      </c>
      <c r="AA382" s="193" t="s">
        <v>516</v>
      </c>
      <c r="AB382" s="193">
        <v>13900</v>
      </c>
      <c r="AC382" s="193" t="s">
        <v>1500</v>
      </c>
      <c r="AD382" s="193" t="s">
        <v>136</v>
      </c>
      <c r="AE382" s="193">
        <v>13900</v>
      </c>
      <c r="AF382" s="193" t="s">
        <v>518</v>
      </c>
      <c r="AG382" s="193" t="s">
        <v>519</v>
      </c>
      <c r="AH382" s="193">
        <v>0</v>
      </c>
      <c r="AI382" s="193">
        <v>13900</v>
      </c>
      <c r="AJ382" s="193" t="s">
        <v>1541</v>
      </c>
      <c r="AL382" s="197" t="s">
        <v>1542</v>
      </c>
      <c r="AM382" s="193">
        <v>1</v>
      </c>
      <c r="AN382" s="193">
        <v>0</v>
      </c>
      <c r="AO382" s="193">
        <v>0</v>
      </c>
      <c r="AP382" s="193" t="s">
        <v>1524</v>
      </c>
      <c r="AQ382" s="193" t="s">
        <v>214</v>
      </c>
      <c r="AS382" s="197" t="s">
        <v>518</v>
      </c>
      <c r="AT382" s="197" t="s">
        <v>519</v>
      </c>
      <c r="AV382" s="196">
        <v>0</v>
      </c>
      <c r="AW382" s="196">
        <v>0</v>
      </c>
      <c r="AX382" s="196">
        <v>13900</v>
      </c>
      <c r="AY382" s="550">
        <v>13900</v>
      </c>
      <c r="AZ382" s="196">
        <v>0</v>
      </c>
      <c r="BA382" s="196">
        <v>0</v>
      </c>
      <c r="BB382" s="551">
        <v>0</v>
      </c>
      <c r="BC382" s="551">
        <v>13900</v>
      </c>
      <c r="BD382" s="551">
        <v>0</v>
      </c>
      <c r="BF382" s="550">
        <f t="shared" si="82"/>
        <v>0</v>
      </c>
      <c r="BG382" s="550">
        <f t="shared" si="83"/>
        <v>0</v>
      </c>
      <c r="BH382" s="550">
        <f t="shared" si="84"/>
        <v>13900</v>
      </c>
      <c r="BI382" s="550">
        <f t="shared" si="85"/>
        <v>13900</v>
      </c>
      <c r="BJ382" s="550">
        <f t="shared" si="86"/>
        <v>0</v>
      </c>
      <c r="BK382" s="550">
        <f t="shared" si="87"/>
        <v>0</v>
      </c>
      <c r="BL382" s="550">
        <f t="shared" si="88"/>
        <v>0</v>
      </c>
      <c r="BM382" s="550">
        <f t="shared" si="89"/>
        <v>13900</v>
      </c>
      <c r="BO382" s="194"/>
      <c r="BQ382" s="193">
        <f t="shared" si="90"/>
        <v>0</v>
      </c>
      <c r="BR382" s="193">
        <f t="shared" si="91"/>
        <v>0</v>
      </c>
    </row>
    <row r="383" spans="1:70" ht="13.5" customHeight="1">
      <c r="A383" s="193" t="s">
        <v>378</v>
      </c>
      <c r="B383" s="193" t="s">
        <v>379</v>
      </c>
      <c r="C383" s="193" t="s">
        <v>214</v>
      </c>
      <c r="D383" s="193" t="s">
        <v>1165</v>
      </c>
      <c r="E383" s="193" t="s">
        <v>1166</v>
      </c>
      <c r="F383" s="193" t="s">
        <v>1262</v>
      </c>
      <c r="G383" s="193" t="s">
        <v>1262</v>
      </c>
      <c r="H383" s="193" t="s">
        <v>1520</v>
      </c>
      <c r="I383" s="193" t="s">
        <v>512</v>
      </c>
      <c r="J383" s="193" t="s">
        <v>1577</v>
      </c>
      <c r="K383" s="193" t="s">
        <v>386</v>
      </c>
      <c r="L383" s="193" t="s">
        <v>387</v>
      </c>
      <c r="M383" s="193" t="s">
        <v>378</v>
      </c>
      <c r="N383" s="193" t="s">
        <v>1497</v>
      </c>
      <c r="O383" s="193" t="s">
        <v>129</v>
      </c>
      <c r="P383" s="193" t="s">
        <v>138</v>
      </c>
      <c r="Q383" s="193" t="s">
        <v>137</v>
      </c>
      <c r="R383" s="193" t="s">
        <v>136</v>
      </c>
      <c r="S383" s="193" t="s">
        <v>214</v>
      </c>
      <c r="T383" s="193" t="s">
        <v>389</v>
      </c>
      <c r="U383" s="193" t="s">
        <v>390</v>
      </c>
      <c r="V383" s="193">
        <v>0</v>
      </c>
      <c r="W383" s="193">
        <v>0</v>
      </c>
      <c r="X383" s="193">
        <v>0</v>
      </c>
      <c r="Y383" s="194">
        <v>17700</v>
      </c>
      <c r="Z383" s="193" t="s">
        <v>515</v>
      </c>
      <c r="AA383" s="193" t="s">
        <v>516</v>
      </c>
      <c r="AB383" s="193">
        <v>17700</v>
      </c>
      <c r="AC383" s="193" t="s">
        <v>1500</v>
      </c>
      <c r="AD383" s="193" t="s">
        <v>136</v>
      </c>
      <c r="AE383" s="193">
        <v>17700</v>
      </c>
      <c r="AF383" s="193" t="s">
        <v>518</v>
      </c>
      <c r="AG383" s="193" t="s">
        <v>519</v>
      </c>
      <c r="AH383" s="193">
        <v>0</v>
      </c>
      <c r="AI383" s="193">
        <v>17700</v>
      </c>
      <c r="AJ383" s="193" t="s">
        <v>1547</v>
      </c>
      <c r="AL383" s="197" t="s">
        <v>1578</v>
      </c>
      <c r="AM383" s="193">
        <v>1</v>
      </c>
      <c r="AN383" s="193">
        <v>0</v>
      </c>
      <c r="AO383" s="193">
        <v>0</v>
      </c>
      <c r="AP383" s="193" t="s">
        <v>1524</v>
      </c>
      <c r="AQ383" s="193" t="s">
        <v>214</v>
      </c>
      <c r="AS383" s="197" t="s">
        <v>518</v>
      </c>
      <c r="AT383" s="197" t="s">
        <v>519</v>
      </c>
      <c r="AV383" s="196">
        <v>0</v>
      </c>
      <c r="AW383" s="196">
        <v>0</v>
      </c>
      <c r="AX383" s="196">
        <v>17700</v>
      </c>
      <c r="AY383" s="550">
        <v>17700</v>
      </c>
      <c r="AZ383" s="196">
        <v>0</v>
      </c>
      <c r="BA383" s="196">
        <v>0</v>
      </c>
      <c r="BB383" s="551">
        <v>0</v>
      </c>
      <c r="BC383" s="551">
        <v>17700</v>
      </c>
      <c r="BD383" s="551">
        <v>0</v>
      </c>
      <c r="BF383" s="550">
        <f t="shared" si="82"/>
        <v>0</v>
      </c>
      <c r="BG383" s="550">
        <f t="shared" si="83"/>
        <v>0</v>
      </c>
      <c r="BH383" s="550">
        <f t="shared" si="84"/>
        <v>17700</v>
      </c>
      <c r="BI383" s="550">
        <f t="shared" si="85"/>
        <v>17700</v>
      </c>
      <c r="BJ383" s="550">
        <f t="shared" si="86"/>
        <v>0</v>
      </c>
      <c r="BK383" s="550">
        <f t="shared" si="87"/>
        <v>0</v>
      </c>
      <c r="BL383" s="550">
        <f t="shared" si="88"/>
        <v>0</v>
      </c>
      <c r="BM383" s="550">
        <f t="shared" si="89"/>
        <v>17700</v>
      </c>
      <c r="BO383" s="194"/>
      <c r="BQ383" s="193">
        <f t="shared" si="90"/>
        <v>0</v>
      </c>
      <c r="BR383" s="193">
        <f t="shared" si="91"/>
        <v>0</v>
      </c>
    </row>
    <row r="384" spans="1:70" ht="13.5" customHeight="1">
      <c r="A384" s="193" t="s">
        <v>378</v>
      </c>
      <c r="B384" s="193" t="s">
        <v>379</v>
      </c>
      <c r="C384" s="193" t="s">
        <v>214</v>
      </c>
      <c r="D384" s="193" t="s">
        <v>1165</v>
      </c>
      <c r="E384" s="193" t="s">
        <v>1166</v>
      </c>
      <c r="F384" s="193" t="s">
        <v>1532</v>
      </c>
      <c r="G384" s="193" t="s">
        <v>1532</v>
      </c>
      <c r="H384" s="193" t="s">
        <v>1520</v>
      </c>
      <c r="I384" s="193" t="s">
        <v>512</v>
      </c>
      <c r="J384" s="193" t="s">
        <v>1533</v>
      </c>
      <c r="K384" s="193" t="s">
        <v>386</v>
      </c>
      <c r="L384" s="193" t="s">
        <v>387</v>
      </c>
      <c r="M384" s="193" t="s">
        <v>378</v>
      </c>
      <c r="N384" s="193" t="s">
        <v>1497</v>
      </c>
      <c r="O384" s="193" t="s">
        <v>129</v>
      </c>
      <c r="P384" s="193" t="s">
        <v>138</v>
      </c>
      <c r="Q384" s="193" t="s">
        <v>137</v>
      </c>
      <c r="R384" s="193" t="s">
        <v>136</v>
      </c>
      <c r="S384" s="193" t="s">
        <v>214</v>
      </c>
      <c r="T384" s="193" t="s">
        <v>389</v>
      </c>
      <c r="U384" s="193" t="s">
        <v>390</v>
      </c>
      <c r="V384" s="193">
        <v>0</v>
      </c>
      <c r="W384" s="193">
        <v>0</v>
      </c>
      <c r="X384" s="193">
        <v>0</v>
      </c>
      <c r="Y384" s="194">
        <v>8900</v>
      </c>
      <c r="Z384" s="193" t="s">
        <v>515</v>
      </c>
      <c r="AA384" s="193" t="s">
        <v>516</v>
      </c>
      <c r="AB384" s="193">
        <v>8900</v>
      </c>
      <c r="AC384" s="193" t="s">
        <v>1500</v>
      </c>
      <c r="AD384" s="193" t="s">
        <v>136</v>
      </c>
      <c r="AE384" s="193">
        <v>8900</v>
      </c>
      <c r="AF384" s="193" t="s">
        <v>518</v>
      </c>
      <c r="AG384" s="193" t="s">
        <v>519</v>
      </c>
      <c r="AH384" s="193">
        <v>0</v>
      </c>
      <c r="AI384" s="193">
        <v>8900</v>
      </c>
      <c r="AJ384" s="193" t="s">
        <v>1534</v>
      </c>
      <c r="AL384" s="197" t="s">
        <v>1535</v>
      </c>
      <c r="AM384" s="193">
        <v>1</v>
      </c>
      <c r="AN384" s="193">
        <v>0</v>
      </c>
      <c r="AO384" s="193">
        <v>0</v>
      </c>
      <c r="AP384" s="193" t="s">
        <v>1524</v>
      </c>
      <c r="AQ384" s="193" t="s">
        <v>214</v>
      </c>
      <c r="AS384" s="197" t="s">
        <v>518</v>
      </c>
      <c r="AT384" s="197" t="s">
        <v>519</v>
      </c>
      <c r="AV384" s="196">
        <v>0</v>
      </c>
      <c r="AW384" s="196">
        <v>0</v>
      </c>
      <c r="AX384" s="196">
        <v>8900</v>
      </c>
      <c r="AY384" s="550">
        <v>8900</v>
      </c>
      <c r="AZ384" s="196">
        <v>0</v>
      </c>
      <c r="BA384" s="196">
        <v>0</v>
      </c>
      <c r="BB384" s="551">
        <v>0</v>
      </c>
      <c r="BC384" s="551">
        <v>8900</v>
      </c>
      <c r="BD384" s="551">
        <v>0</v>
      </c>
      <c r="BF384" s="550">
        <f t="shared" si="82"/>
        <v>0</v>
      </c>
      <c r="BG384" s="550">
        <f t="shared" si="83"/>
        <v>0</v>
      </c>
      <c r="BH384" s="550">
        <f t="shared" si="84"/>
        <v>8900</v>
      </c>
      <c r="BI384" s="550">
        <f t="shared" si="85"/>
        <v>8900</v>
      </c>
      <c r="BJ384" s="550">
        <f t="shared" si="86"/>
        <v>0</v>
      </c>
      <c r="BK384" s="550">
        <f t="shared" si="87"/>
        <v>0</v>
      </c>
      <c r="BL384" s="550">
        <f t="shared" si="88"/>
        <v>0</v>
      </c>
      <c r="BM384" s="550">
        <f t="shared" si="89"/>
        <v>8900</v>
      </c>
      <c r="BO384" s="194"/>
      <c r="BQ384" s="193">
        <f t="shared" si="90"/>
        <v>0</v>
      </c>
      <c r="BR384" s="193">
        <f t="shared" si="91"/>
        <v>0</v>
      </c>
    </row>
    <row r="385" spans="1:70" ht="13.5" customHeight="1">
      <c r="A385" s="193" t="s">
        <v>378</v>
      </c>
      <c r="B385" s="193" t="s">
        <v>379</v>
      </c>
      <c r="C385" s="193" t="s">
        <v>214</v>
      </c>
      <c r="D385" s="193" t="s">
        <v>1165</v>
      </c>
      <c r="E385" s="193" t="s">
        <v>1166</v>
      </c>
      <c r="F385" s="193" t="s">
        <v>1536</v>
      </c>
      <c r="G385" s="193" t="s">
        <v>1536</v>
      </c>
      <c r="H385" s="193" t="s">
        <v>1520</v>
      </c>
      <c r="I385" s="193" t="s">
        <v>512</v>
      </c>
      <c r="J385" s="193" t="s">
        <v>1537</v>
      </c>
      <c r="K385" s="193" t="s">
        <v>386</v>
      </c>
      <c r="L385" s="193" t="s">
        <v>387</v>
      </c>
      <c r="M385" s="193" t="s">
        <v>378</v>
      </c>
      <c r="N385" s="193" t="s">
        <v>1497</v>
      </c>
      <c r="O385" s="193" t="s">
        <v>129</v>
      </c>
      <c r="P385" s="193" t="s">
        <v>138</v>
      </c>
      <c r="Q385" s="193" t="s">
        <v>137</v>
      </c>
      <c r="R385" s="193" t="s">
        <v>136</v>
      </c>
      <c r="S385" s="193" t="s">
        <v>214</v>
      </c>
      <c r="T385" s="193" t="s">
        <v>389</v>
      </c>
      <c r="U385" s="193" t="s">
        <v>390</v>
      </c>
      <c r="V385" s="193">
        <v>0</v>
      </c>
      <c r="W385" s="193">
        <v>0</v>
      </c>
      <c r="X385" s="193">
        <v>0</v>
      </c>
      <c r="Y385" s="194">
        <v>57600</v>
      </c>
      <c r="Z385" s="193" t="s">
        <v>515</v>
      </c>
      <c r="AA385" s="193" t="s">
        <v>516</v>
      </c>
      <c r="AB385" s="193">
        <v>57600</v>
      </c>
      <c r="AC385" s="193" t="s">
        <v>1500</v>
      </c>
      <c r="AD385" s="193" t="s">
        <v>136</v>
      </c>
      <c r="AE385" s="193">
        <v>57600</v>
      </c>
      <c r="AF385" s="193" t="s">
        <v>518</v>
      </c>
      <c r="AG385" s="193" t="s">
        <v>519</v>
      </c>
      <c r="AH385" s="193">
        <v>0</v>
      </c>
      <c r="AI385" s="193">
        <v>57600</v>
      </c>
      <c r="AJ385" s="193" t="s">
        <v>1538</v>
      </c>
      <c r="AL385" s="197" t="s">
        <v>1539</v>
      </c>
      <c r="AM385" s="193">
        <v>1</v>
      </c>
      <c r="AN385" s="193">
        <v>0</v>
      </c>
      <c r="AO385" s="193">
        <v>0</v>
      </c>
      <c r="AP385" s="193" t="s">
        <v>1524</v>
      </c>
      <c r="AQ385" s="193" t="s">
        <v>214</v>
      </c>
      <c r="AS385" s="197" t="s">
        <v>518</v>
      </c>
      <c r="AT385" s="197" t="s">
        <v>519</v>
      </c>
      <c r="AV385" s="196">
        <v>0</v>
      </c>
      <c r="AW385" s="196">
        <v>0</v>
      </c>
      <c r="AX385" s="196">
        <v>57600</v>
      </c>
      <c r="AY385" s="550">
        <v>57600</v>
      </c>
      <c r="AZ385" s="196">
        <v>0</v>
      </c>
      <c r="BA385" s="196">
        <v>0</v>
      </c>
      <c r="BB385" s="551">
        <v>0</v>
      </c>
      <c r="BC385" s="551">
        <v>57600</v>
      </c>
      <c r="BD385" s="551">
        <v>0</v>
      </c>
      <c r="BF385" s="550">
        <f t="shared" si="82"/>
        <v>0</v>
      </c>
      <c r="BG385" s="550">
        <f t="shared" si="83"/>
        <v>0</v>
      </c>
      <c r="BH385" s="550">
        <f t="shared" si="84"/>
        <v>57600</v>
      </c>
      <c r="BI385" s="550">
        <f t="shared" si="85"/>
        <v>57600</v>
      </c>
      <c r="BJ385" s="550">
        <f t="shared" si="86"/>
        <v>0</v>
      </c>
      <c r="BK385" s="550">
        <f t="shared" si="87"/>
        <v>0</v>
      </c>
      <c r="BL385" s="550">
        <f t="shared" si="88"/>
        <v>0</v>
      </c>
      <c r="BM385" s="550">
        <f t="shared" si="89"/>
        <v>57600</v>
      </c>
      <c r="BO385" s="194"/>
      <c r="BQ385" s="193">
        <f t="shared" si="90"/>
        <v>0</v>
      </c>
      <c r="BR385" s="193">
        <f t="shared" si="91"/>
        <v>0</v>
      </c>
    </row>
    <row r="386" spans="1:70" ht="13.5" customHeight="1">
      <c r="A386" s="193" t="s">
        <v>378</v>
      </c>
      <c r="B386" s="193" t="s">
        <v>379</v>
      </c>
      <c r="C386" s="193" t="s">
        <v>214</v>
      </c>
      <c r="D386" s="193" t="s">
        <v>1165</v>
      </c>
      <c r="E386" s="193" t="s">
        <v>1166</v>
      </c>
      <c r="F386" s="193" t="s">
        <v>1579</v>
      </c>
      <c r="G386" s="193" t="s">
        <v>1579</v>
      </c>
      <c r="H386" s="193" t="s">
        <v>1520</v>
      </c>
      <c r="I386" s="193" t="s">
        <v>512</v>
      </c>
      <c r="J386" s="193" t="s">
        <v>1580</v>
      </c>
      <c r="K386" s="193" t="s">
        <v>386</v>
      </c>
      <c r="L386" s="193" t="s">
        <v>387</v>
      </c>
      <c r="M386" s="193" t="s">
        <v>378</v>
      </c>
      <c r="N386" s="193" t="s">
        <v>1497</v>
      </c>
      <c r="O386" s="193" t="s">
        <v>129</v>
      </c>
      <c r="P386" s="193" t="s">
        <v>138</v>
      </c>
      <c r="Q386" s="193" t="s">
        <v>137</v>
      </c>
      <c r="R386" s="193" t="s">
        <v>136</v>
      </c>
      <c r="S386" s="193" t="s">
        <v>214</v>
      </c>
      <c r="T386" s="193" t="s">
        <v>389</v>
      </c>
      <c r="U386" s="193" t="s">
        <v>390</v>
      </c>
      <c r="V386" s="193">
        <v>0</v>
      </c>
      <c r="W386" s="193">
        <v>0</v>
      </c>
      <c r="X386" s="193">
        <v>0</v>
      </c>
      <c r="Y386" s="194">
        <v>20800</v>
      </c>
      <c r="Z386" s="193" t="s">
        <v>515</v>
      </c>
      <c r="AA386" s="193" t="s">
        <v>516</v>
      </c>
      <c r="AB386" s="193">
        <v>20800</v>
      </c>
      <c r="AC386" s="193" t="s">
        <v>1500</v>
      </c>
      <c r="AD386" s="193" t="s">
        <v>136</v>
      </c>
      <c r="AE386" s="193">
        <v>20800</v>
      </c>
      <c r="AF386" s="193" t="s">
        <v>518</v>
      </c>
      <c r="AG386" s="193" t="s">
        <v>519</v>
      </c>
      <c r="AH386" s="193">
        <v>0</v>
      </c>
      <c r="AI386" s="193">
        <v>20800</v>
      </c>
      <c r="AJ386" s="193" t="s">
        <v>1581</v>
      </c>
      <c r="AL386" s="197" t="s">
        <v>1582</v>
      </c>
      <c r="AM386" s="193">
        <v>1</v>
      </c>
      <c r="AN386" s="193">
        <v>0</v>
      </c>
      <c r="AO386" s="193">
        <v>0</v>
      </c>
      <c r="AP386" s="193" t="s">
        <v>1524</v>
      </c>
      <c r="AQ386" s="193" t="s">
        <v>214</v>
      </c>
      <c r="AS386" s="197" t="s">
        <v>518</v>
      </c>
      <c r="AT386" s="197" t="s">
        <v>519</v>
      </c>
      <c r="AV386" s="196">
        <v>0</v>
      </c>
      <c r="AW386" s="196">
        <v>0</v>
      </c>
      <c r="AX386" s="196">
        <v>20800</v>
      </c>
      <c r="AY386" s="550">
        <v>20800</v>
      </c>
      <c r="AZ386" s="196">
        <v>0</v>
      </c>
      <c r="BA386" s="196">
        <v>0</v>
      </c>
      <c r="BB386" s="551">
        <v>0</v>
      </c>
      <c r="BC386" s="551">
        <v>20800</v>
      </c>
      <c r="BD386" s="551">
        <v>0</v>
      </c>
      <c r="BF386" s="550">
        <f t="shared" si="82"/>
        <v>0</v>
      </c>
      <c r="BG386" s="550">
        <f t="shared" si="83"/>
        <v>0</v>
      </c>
      <c r="BH386" s="550">
        <f t="shared" si="84"/>
        <v>20800</v>
      </c>
      <c r="BI386" s="550">
        <f t="shared" si="85"/>
        <v>20800</v>
      </c>
      <c r="BJ386" s="550">
        <f t="shared" si="86"/>
        <v>0</v>
      </c>
      <c r="BK386" s="550">
        <f t="shared" si="87"/>
        <v>0</v>
      </c>
      <c r="BL386" s="550">
        <f t="shared" si="88"/>
        <v>0</v>
      </c>
      <c r="BM386" s="550">
        <f t="shared" si="89"/>
        <v>20800</v>
      </c>
      <c r="BO386" s="194"/>
      <c r="BQ386" s="193">
        <f t="shared" si="90"/>
        <v>0</v>
      </c>
      <c r="BR386" s="193">
        <f t="shared" si="91"/>
        <v>0</v>
      </c>
    </row>
    <row r="387" spans="1:70" ht="13.5" customHeight="1">
      <c r="A387" s="193" t="s">
        <v>378</v>
      </c>
      <c r="B387" s="193" t="s">
        <v>379</v>
      </c>
      <c r="C387" s="193" t="s">
        <v>214</v>
      </c>
      <c r="D387" s="193" t="s">
        <v>1165</v>
      </c>
      <c r="E387" s="193" t="s">
        <v>1166</v>
      </c>
      <c r="F387" s="193" t="s">
        <v>615</v>
      </c>
      <c r="G387" s="193" t="s">
        <v>615</v>
      </c>
      <c r="H387" s="193" t="s">
        <v>1520</v>
      </c>
      <c r="I387" s="193" t="s">
        <v>512</v>
      </c>
      <c r="J387" s="193" t="s">
        <v>1583</v>
      </c>
      <c r="K387" s="193" t="s">
        <v>386</v>
      </c>
      <c r="L387" s="193" t="s">
        <v>387</v>
      </c>
      <c r="M387" s="193" t="s">
        <v>378</v>
      </c>
      <c r="N387" s="193" t="s">
        <v>1497</v>
      </c>
      <c r="O387" s="193" t="s">
        <v>129</v>
      </c>
      <c r="P387" s="193" t="s">
        <v>138</v>
      </c>
      <c r="Q387" s="193" t="s">
        <v>137</v>
      </c>
      <c r="R387" s="193" t="s">
        <v>136</v>
      </c>
      <c r="S387" s="193" t="s">
        <v>214</v>
      </c>
      <c r="T387" s="193" t="s">
        <v>389</v>
      </c>
      <c r="U387" s="193" t="s">
        <v>390</v>
      </c>
      <c r="V387" s="193">
        <v>0</v>
      </c>
      <c r="W387" s="193">
        <v>0</v>
      </c>
      <c r="X387" s="193">
        <v>0</v>
      </c>
      <c r="Y387" s="194">
        <v>16900</v>
      </c>
      <c r="Z387" s="193" t="s">
        <v>515</v>
      </c>
      <c r="AA387" s="193" t="s">
        <v>516</v>
      </c>
      <c r="AB387" s="193">
        <v>16900</v>
      </c>
      <c r="AC387" s="193" t="s">
        <v>1500</v>
      </c>
      <c r="AD387" s="193" t="s">
        <v>136</v>
      </c>
      <c r="AE387" s="193">
        <v>16900</v>
      </c>
      <c r="AF387" s="193" t="s">
        <v>518</v>
      </c>
      <c r="AG387" s="193" t="s">
        <v>519</v>
      </c>
      <c r="AH387" s="193">
        <v>0</v>
      </c>
      <c r="AI387" s="193">
        <v>16900</v>
      </c>
      <c r="AJ387" s="193" t="s">
        <v>1584</v>
      </c>
      <c r="AL387" s="197" t="s">
        <v>1585</v>
      </c>
      <c r="AM387" s="193">
        <v>1</v>
      </c>
      <c r="AN387" s="193">
        <v>0</v>
      </c>
      <c r="AO387" s="193">
        <v>0</v>
      </c>
      <c r="AP387" s="193" t="s">
        <v>1524</v>
      </c>
      <c r="AQ387" s="193" t="s">
        <v>214</v>
      </c>
      <c r="AS387" s="197" t="s">
        <v>518</v>
      </c>
      <c r="AT387" s="197" t="s">
        <v>519</v>
      </c>
      <c r="AV387" s="196">
        <v>0</v>
      </c>
      <c r="AW387" s="196">
        <v>0</v>
      </c>
      <c r="AX387" s="196">
        <v>16900</v>
      </c>
      <c r="AY387" s="550">
        <v>16900</v>
      </c>
      <c r="AZ387" s="196">
        <v>0</v>
      </c>
      <c r="BA387" s="196">
        <v>0</v>
      </c>
      <c r="BB387" s="551">
        <v>0</v>
      </c>
      <c r="BC387" s="551">
        <v>16900</v>
      </c>
      <c r="BD387" s="551">
        <v>0</v>
      </c>
      <c r="BF387" s="550">
        <f t="shared" si="82"/>
        <v>0</v>
      </c>
      <c r="BG387" s="550">
        <f t="shared" si="83"/>
        <v>0</v>
      </c>
      <c r="BH387" s="550">
        <f t="shared" si="84"/>
        <v>16900</v>
      </c>
      <c r="BI387" s="550">
        <f t="shared" si="85"/>
        <v>16900</v>
      </c>
      <c r="BJ387" s="550">
        <f t="shared" si="86"/>
        <v>0</v>
      </c>
      <c r="BK387" s="550">
        <f t="shared" si="87"/>
        <v>0</v>
      </c>
      <c r="BL387" s="550">
        <f t="shared" si="88"/>
        <v>0</v>
      </c>
      <c r="BM387" s="550">
        <f t="shared" si="89"/>
        <v>16900</v>
      </c>
      <c r="BO387" s="194"/>
      <c r="BQ387" s="193">
        <f t="shared" si="90"/>
        <v>0</v>
      </c>
      <c r="BR387" s="193">
        <f t="shared" si="91"/>
        <v>0</v>
      </c>
    </row>
    <row r="388" spans="1:70" ht="13.5" customHeight="1">
      <c r="A388" s="193" t="s">
        <v>378</v>
      </c>
      <c r="B388" s="193" t="s">
        <v>379</v>
      </c>
      <c r="C388" s="193" t="s">
        <v>214</v>
      </c>
      <c r="D388" s="193" t="s">
        <v>1165</v>
      </c>
      <c r="E388" s="193" t="s">
        <v>1166</v>
      </c>
      <c r="F388" s="193" t="s">
        <v>1559</v>
      </c>
      <c r="G388" s="193" t="s">
        <v>1559</v>
      </c>
      <c r="H388" s="193" t="s">
        <v>1520</v>
      </c>
      <c r="I388" s="193" t="s">
        <v>512</v>
      </c>
      <c r="J388" s="193" t="s">
        <v>1560</v>
      </c>
      <c r="K388" s="193" t="s">
        <v>386</v>
      </c>
      <c r="L388" s="193" t="s">
        <v>387</v>
      </c>
      <c r="M388" s="193" t="s">
        <v>378</v>
      </c>
      <c r="N388" s="193" t="s">
        <v>1497</v>
      </c>
      <c r="O388" s="193" t="s">
        <v>129</v>
      </c>
      <c r="P388" s="193" t="s">
        <v>138</v>
      </c>
      <c r="Q388" s="193" t="s">
        <v>137</v>
      </c>
      <c r="R388" s="193" t="s">
        <v>136</v>
      </c>
      <c r="S388" s="193" t="s">
        <v>214</v>
      </c>
      <c r="T388" s="193" t="s">
        <v>389</v>
      </c>
      <c r="U388" s="193" t="s">
        <v>390</v>
      </c>
      <c r="V388" s="193">
        <v>0</v>
      </c>
      <c r="W388" s="193">
        <v>0</v>
      </c>
      <c r="X388" s="193">
        <v>0</v>
      </c>
      <c r="Y388" s="194">
        <v>17800</v>
      </c>
      <c r="Z388" s="193" t="s">
        <v>515</v>
      </c>
      <c r="AA388" s="193" t="s">
        <v>516</v>
      </c>
      <c r="AB388" s="193">
        <v>17800</v>
      </c>
      <c r="AC388" s="193" t="s">
        <v>1500</v>
      </c>
      <c r="AD388" s="193" t="s">
        <v>136</v>
      </c>
      <c r="AE388" s="193">
        <v>17800</v>
      </c>
      <c r="AF388" s="193" t="s">
        <v>518</v>
      </c>
      <c r="AG388" s="193" t="s">
        <v>519</v>
      </c>
      <c r="AH388" s="193">
        <v>0</v>
      </c>
      <c r="AI388" s="193">
        <v>17800</v>
      </c>
      <c r="AJ388" s="193" t="s">
        <v>1547</v>
      </c>
      <c r="AL388" s="197" t="s">
        <v>1561</v>
      </c>
      <c r="AM388" s="193">
        <v>1</v>
      </c>
      <c r="AN388" s="193">
        <v>0</v>
      </c>
      <c r="AO388" s="193">
        <v>0</v>
      </c>
      <c r="AP388" s="193" t="s">
        <v>1524</v>
      </c>
      <c r="AQ388" s="193" t="s">
        <v>214</v>
      </c>
      <c r="AS388" s="197" t="s">
        <v>518</v>
      </c>
      <c r="AT388" s="197" t="s">
        <v>519</v>
      </c>
      <c r="AV388" s="194">
        <v>0</v>
      </c>
      <c r="AW388" s="194">
        <v>0</v>
      </c>
      <c r="AX388" s="194">
        <v>17800</v>
      </c>
      <c r="AY388" s="549">
        <v>17800</v>
      </c>
      <c r="AZ388" s="194">
        <v>0</v>
      </c>
      <c r="BA388" s="194">
        <v>0</v>
      </c>
      <c r="BB388" s="551">
        <v>0</v>
      </c>
      <c r="BC388" s="551">
        <v>17800</v>
      </c>
      <c r="BD388" s="551">
        <v>0</v>
      </c>
      <c r="BF388" s="550">
        <f t="shared" si="82"/>
        <v>0</v>
      </c>
      <c r="BG388" s="550">
        <f t="shared" si="83"/>
        <v>0</v>
      </c>
      <c r="BH388" s="550">
        <f t="shared" si="84"/>
        <v>17800</v>
      </c>
      <c r="BI388" s="550">
        <f t="shared" si="85"/>
        <v>17800</v>
      </c>
      <c r="BJ388" s="550">
        <f t="shared" si="86"/>
        <v>0</v>
      </c>
      <c r="BK388" s="550">
        <f t="shared" si="87"/>
        <v>0</v>
      </c>
      <c r="BL388" s="550">
        <f t="shared" si="88"/>
        <v>0</v>
      </c>
      <c r="BM388" s="550">
        <f t="shared" si="89"/>
        <v>17800</v>
      </c>
      <c r="BO388" s="194"/>
      <c r="BQ388" s="193">
        <f t="shared" si="90"/>
        <v>0</v>
      </c>
      <c r="BR388" s="193">
        <f t="shared" si="91"/>
        <v>0</v>
      </c>
    </row>
    <row r="389" spans="1:70" ht="13.5" customHeight="1">
      <c r="A389" s="193" t="s">
        <v>378</v>
      </c>
      <c r="B389" s="193" t="s">
        <v>379</v>
      </c>
      <c r="C389" s="193" t="s">
        <v>214</v>
      </c>
      <c r="D389" s="193" t="s">
        <v>1165</v>
      </c>
      <c r="E389" s="193" t="s">
        <v>1166</v>
      </c>
      <c r="F389" s="193" t="s">
        <v>1562</v>
      </c>
      <c r="G389" s="193" t="s">
        <v>1562</v>
      </c>
      <c r="H389" s="193" t="s">
        <v>1520</v>
      </c>
      <c r="I389" s="193" t="s">
        <v>512</v>
      </c>
      <c r="J389" s="193" t="s">
        <v>1563</v>
      </c>
      <c r="K389" s="193" t="s">
        <v>386</v>
      </c>
      <c r="L389" s="193" t="s">
        <v>387</v>
      </c>
      <c r="M389" s="193" t="s">
        <v>378</v>
      </c>
      <c r="N389" s="193" t="s">
        <v>1497</v>
      </c>
      <c r="O389" s="193" t="s">
        <v>129</v>
      </c>
      <c r="P389" s="193" t="s">
        <v>138</v>
      </c>
      <c r="Q389" s="193" t="s">
        <v>137</v>
      </c>
      <c r="R389" s="193" t="s">
        <v>136</v>
      </c>
      <c r="S389" s="193" t="s">
        <v>214</v>
      </c>
      <c r="T389" s="193" t="s">
        <v>389</v>
      </c>
      <c r="U389" s="193" t="s">
        <v>390</v>
      </c>
      <c r="V389" s="193">
        <v>0</v>
      </c>
      <c r="W389" s="193">
        <v>0</v>
      </c>
      <c r="X389" s="193">
        <v>0</v>
      </c>
      <c r="Y389" s="194">
        <v>8300</v>
      </c>
      <c r="Z389" s="193" t="s">
        <v>515</v>
      </c>
      <c r="AA389" s="193" t="s">
        <v>516</v>
      </c>
      <c r="AB389" s="193">
        <v>8300</v>
      </c>
      <c r="AC389" s="193" t="s">
        <v>1500</v>
      </c>
      <c r="AD389" s="193" t="s">
        <v>136</v>
      </c>
      <c r="AE389" s="193">
        <v>8300</v>
      </c>
      <c r="AF389" s="193" t="s">
        <v>518</v>
      </c>
      <c r="AG389" s="193" t="s">
        <v>519</v>
      </c>
      <c r="AH389" s="193">
        <v>0</v>
      </c>
      <c r="AI389" s="193">
        <v>8300</v>
      </c>
      <c r="AJ389" s="193" t="s">
        <v>1564</v>
      </c>
      <c r="AL389" s="197" t="s">
        <v>1565</v>
      </c>
      <c r="AM389" s="193">
        <v>1</v>
      </c>
      <c r="AN389" s="193">
        <v>0</v>
      </c>
      <c r="AO389" s="193">
        <v>0</v>
      </c>
      <c r="AP389" s="193" t="s">
        <v>1524</v>
      </c>
      <c r="AQ389" s="193" t="s">
        <v>214</v>
      </c>
      <c r="AS389" s="197" t="s">
        <v>518</v>
      </c>
      <c r="AT389" s="197" t="s">
        <v>519</v>
      </c>
      <c r="AV389" s="194">
        <v>0</v>
      </c>
      <c r="AW389" s="194">
        <v>0</v>
      </c>
      <c r="AX389" s="194">
        <v>8300</v>
      </c>
      <c r="AY389" s="549">
        <v>8300</v>
      </c>
      <c r="AZ389" s="194">
        <v>0</v>
      </c>
      <c r="BA389" s="194">
        <v>0</v>
      </c>
      <c r="BB389" s="551">
        <v>0</v>
      </c>
      <c r="BC389" s="551">
        <v>8300</v>
      </c>
      <c r="BD389" s="551">
        <v>0</v>
      </c>
      <c r="BF389" s="550">
        <f t="shared" si="82"/>
        <v>0</v>
      </c>
      <c r="BG389" s="550">
        <f t="shared" si="83"/>
        <v>0</v>
      </c>
      <c r="BH389" s="550">
        <f t="shared" si="84"/>
        <v>8300</v>
      </c>
      <c r="BI389" s="550">
        <f t="shared" si="85"/>
        <v>8300</v>
      </c>
      <c r="BJ389" s="550">
        <f t="shared" si="86"/>
        <v>0</v>
      </c>
      <c r="BK389" s="550">
        <f t="shared" si="87"/>
        <v>0</v>
      </c>
      <c r="BL389" s="550">
        <f t="shared" si="88"/>
        <v>0</v>
      </c>
      <c r="BM389" s="550">
        <f t="shared" si="89"/>
        <v>8300</v>
      </c>
      <c r="BO389" s="194"/>
      <c r="BQ389" s="193">
        <f t="shared" si="90"/>
        <v>0</v>
      </c>
      <c r="BR389" s="193">
        <f t="shared" si="91"/>
        <v>0</v>
      </c>
    </row>
    <row r="390" spans="1:70" ht="13.5" customHeight="1">
      <c r="A390" s="193" t="s">
        <v>378</v>
      </c>
      <c r="B390" s="193" t="s">
        <v>379</v>
      </c>
      <c r="C390" s="193" t="s">
        <v>214</v>
      </c>
      <c r="D390" s="193" t="s">
        <v>1165</v>
      </c>
      <c r="E390" s="193" t="s">
        <v>1166</v>
      </c>
      <c r="F390" s="193" t="s">
        <v>1282</v>
      </c>
      <c r="G390" s="193" t="s">
        <v>1282</v>
      </c>
      <c r="H390" s="193" t="s">
        <v>1520</v>
      </c>
      <c r="I390" s="193" t="s">
        <v>512</v>
      </c>
      <c r="J390" s="193" t="s">
        <v>1573</v>
      </c>
      <c r="K390" s="193" t="s">
        <v>386</v>
      </c>
      <c r="L390" s="193" t="s">
        <v>387</v>
      </c>
      <c r="M390" s="193" t="s">
        <v>378</v>
      </c>
      <c r="N390" s="193" t="s">
        <v>1497</v>
      </c>
      <c r="O390" s="193" t="s">
        <v>129</v>
      </c>
      <c r="P390" s="193" t="s">
        <v>138</v>
      </c>
      <c r="Q390" s="193" t="s">
        <v>137</v>
      </c>
      <c r="R390" s="193" t="s">
        <v>136</v>
      </c>
      <c r="S390" s="193" t="s">
        <v>214</v>
      </c>
      <c r="T390" s="193" t="s">
        <v>389</v>
      </c>
      <c r="U390" s="193" t="s">
        <v>390</v>
      </c>
      <c r="V390" s="193">
        <v>0</v>
      </c>
      <c r="W390" s="193">
        <v>0</v>
      </c>
      <c r="X390" s="193">
        <v>0</v>
      </c>
      <c r="Y390" s="194">
        <v>29000</v>
      </c>
      <c r="Z390" s="193" t="s">
        <v>515</v>
      </c>
      <c r="AA390" s="193" t="s">
        <v>516</v>
      </c>
      <c r="AB390" s="193">
        <v>29000</v>
      </c>
      <c r="AC390" s="193" t="s">
        <v>1500</v>
      </c>
      <c r="AD390" s="193" t="s">
        <v>136</v>
      </c>
      <c r="AE390" s="193">
        <v>29000</v>
      </c>
      <c r="AF390" s="193" t="s">
        <v>518</v>
      </c>
      <c r="AG390" s="193" t="s">
        <v>519</v>
      </c>
      <c r="AH390" s="193">
        <v>0</v>
      </c>
      <c r="AI390" s="193">
        <v>29000</v>
      </c>
      <c r="AJ390" s="193" t="s">
        <v>1571</v>
      </c>
      <c r="AL390" s="197" t="s">
        <v>1574</v>
      </c>
      <c r="AM390" s="193">
        <v>1</v>
      </c>
      <c r="AN390" s="193">
        <v>0</v>
      </c>
      <c r="AO390" s="193">
        <v>0</v>
      </c>
      <c r="AP390" s="193" t="s">
        <v>1524</v>
      </c>
      <c r="AQ390" s="193" t="s">
        <v>214</v>
      </c>
      <c r="AS390" s="197" t="s">
        <v>518</v>
      </c>
      <c r="AT390" s="197" t="s">
        <v>519</v>
      </c>
      <c r="AV390" s="194">
        <v>0</v>
      </c>
      <c r="AW390" s="194">
        <v>0</v>
      </c>
      <c r="AX390" s="194">
        <v>29000</v>
      </c>
      <c r="AY390" s="549">
        <v>29000</v>
      </c>
      <c r="AZ390" s="194">
        <v>0</v>
      </c>
      <c r="BA390" s="194">
        <v>0</v>
      </c>
      <c r="BB390" s="551">
        <v>0</v>
      </c>
      <c r="BC390" s="551">
        <v>29000</v>
      </c>
      <c r="BD390" s="551">
        <v>0</v>
      </c>
      <c r="BF390" s="550">
        <f t="shared" si="82"/>
        <v>0</v>
      </c>
      <c r="BG390" s="550">
        <f t="shared" si="83"/>
        <v>0</v>
      </c>
      <c r="BH390" s="550">
        <f t="shared" si="84"/>
        <v>29000</v>
      </c>
      <c r="BI390" s="550">
        <f t="shared" si="85"/>
        <v>29000</v>
      </c>
      <c r="BJ390" s="550">
        <f t="shared" si="86"/>
        <v>0</v>
      </c>
      <c r="BK390" s="550">
        <f t="shared" si="87"/>
        <v>0</v>
      </c>
      <c r="BL390" s="550">
        <f t="shared" si="88"/>
        <v>0</v>
      </c>
      <c r="BM390" s="550">
        <f t="shared" si="89"/>
        <v>29000</v>
      </c>
      <c r="BO390" s="194"/>
      <c r="BQ390" s="193">
        <f t="shared" si="90"/>
        <v>0</v>
      </c>
      <c r="BR390" s="193">
        <f t="shared" si="91"/>
        <v>0</v>
      </c>
    </row>
    <row r="391" spans="1:70" ht="13.5" customHeight="1">
      <c r="A391" s="193" t="s">
        <v>378</v>
      </c>
      <c r="B391" s="193" t="s">
        <v>379</v>
      </c>
      <c r="C391" s="193" t="s">
        <v>214</v>
      </c>
      <c r="D391" s="193" t="s">
        <v>1165</v>
      </c>
      <c r="E391" s="193" t="s">
        <v>1166</v>
      </c>
      <c r="F391" s="193" t="s">
        <v>1569</v>
      </c>
      <c r="G391" s="193" t="s">
        <v>1569</v>
      </c>
      <c r="H391" s="193" t="s">
        <v>1520</v>
      </c>
      <c r="I391" s="193" t="s">
        <v>512</v>
      </c>
      <c r="J391" s="193" t="s">
        <v>1570</v>
      </c>
      <c r="K391" s="193" t="s">
        <v>386</v>
      </c>
      <c r="L391" s="193" t="s">
        <v>387</v>
      </c>
      <c r="M391" s="193" t="s">
        <v>378</v>
      </c>
      <c r="N391" s="193" t="s">
        <v>1497</v>
      </c>
      <c r="O391" s="193" t="s">
        <v>129</v>
      </c>
      <c r="P391" s="193" t="s">
        <v>138</v>
      </c>
      <c r="Q391" s="193" t="s">
        <v>137</v>
      </c>
      <c r="R391" s="193" t="s">
        <v>136</v>
      </c>
      <c r="S391" s="193" t="s">
        <v>214</v>
      </c>
      <c r="T391" s="193" t="s">
        <v>389</v>
      </c>
      <c r="U391" s="193" t="s">
        <v>390</v>
      </c>
      <c r="V391" s="193">
        <v>0</v>
      </c>
      <c r="W391" s="193">
        <v>0</v>
      </c>
      <c r="X391" s="193">
        <v>0</v>
      </c>
      <c r="Y391" s="194">
        <v>29000</v>
      </c>
      <c r="Z391" s="193" t="s">
        <v>515</v>
      </c>
      <c r="AA391" s="193" t="s">
        <v>516</v>
      </c>
      <c r="AB391" s="193">
        <v>29000</v>
      </c>
      <c r="AC391" s="193" t="s">
        <v>1500</v>
      </c>
      <c r="AD391" s="193" t="s">
        <v>136</v>
      </c>
      <c r="AE391" s="193">
        <v>29000</v>
      </c>
      <c r="AF391" s="193" t="s">
        <v>518</v>
      </c>
      <c r="AG391" s="193" t="s">
        <v>519</v>
      </c>
      <c r="AH391" s="193">
        <v>0</v>
      </c>
      <c r="AI391" s="193">
        <v>29000</v>
      </c>
      <c r="AJ391" s="193" t="s">
        <v>1571</v>
      </c>
      <c r="AL391" s="197" t="s">
        <v>1572</v>
      </c>
      <c r="AM391" s="193">
        <v>1</v>
      </c>
      <c r="AN391" s="193">
        <v>0</v>
      </c>
      <c r="AO391" s="193">
        <v>0</v>
      </c>
      <c r="AP391" s="193" t="s">
        <v>1524</v>
      </c>
      <c r="AQ391" s="193" t="s">
        <v>214</v>
      </c>
      <c r="AS391" s="197" t="s">
        <v>518</v>
      </c>
      <c r="AT391" s="197" t="s">
        <v>519</v>
      </c>
      <c r="AV391" s="194">
        <v>0</v>
      </c>
      <c r="AW391" s="194">
        <v>0</v>
      </c>
      <c r="AX391" s="194">
        <v>29000</v>
      </c>
      <c r="AY391" s="549">
        <v>29000</v>
      </c>
      <c r="AZ391" s="194">
        <v>0</v>
      </c>
      <c r="BA391" s="194">
        <v>0</v>
      </c>
      <c r="BB391" s="551">
        <v>0</v>
      </c>
      <c r="BC391" s="551">
        <v>29000</v>
      </c>
      <c r="BD391" s="551">
        <v>0</v>
      </c>
      <c r="BF391" s="550">
        <f t="shared" ref="BF391:BF454" si="92">+IFERROR(ROUND(AV391*100/(100+$AT391),0),AV391)</f>
        <v>0</v>
      </c>
      <c r="BG391" s="550">
        <f t="shared" ref="BG391:BG454" si="93">+IFERROR(ROUND(AW391*100/(100+$AT391),0),AW391)</f>
        <v>0</v>
      </c>
      <c r="BH391" s="550">
        <f t="shared" ref="BH391:BH454" si="94">+IFERROR(ROUND(AX391*100/(100+$AT391),0),AX391)</f>
        <v>29000</v>
      </c>
      <c r="BI391" s="550">
        <f t="shared" ref="BI391:BI454" si="95">SUM(BF391:BH391)</f>
        <v>29000</v>
      </c>
      <c r="BJ391" s="550">
        <f t="shared" ref="BJ391:BJ454" si="96">+IFERROR(ROUND(AZ391*100/(100+$AT391),0),AZ391)</f>
        <v>0</v>
      </c>
      <c r="BK391" s="550">
        <f t="shared" ref="BK391:BK454" si="97">+IFERROR(ROUND(BA391*100/(100+$AT391),0),BA391)</f>
        <v>0</v>
      </c>
      <c r="BL391" s="550">
        <f t="shared" ref="BL391:BL454" si="98">SUM(BJ391:BK391)</f>
        <v>0</v>
      </c>
      <c r="BM391" s="550">
        <f t="shared" ref="BM391:BM454" si="99">+BI391+BL391</f>
        <v>29000</v>
      </c>
      <c r="BO391" s="194"/>
      <c r="BQ391" s="193">
        <f t="shared" ref="BQ391:BQ454" si="100">AY391*100/(100+$AT391)-BI391</f>
        <v>0</v>
      </c>
      <c r="BR391" s="193">
        <f t="shared" ref="BR391:BR454" si="101">BB391*100/(100+$AT391)-BL391</f>
        <v>0</v>
      </c>
    </row>
    <row r="392" spans="1:70" ht="13.5" customHeight="1">
      <c r="A392" s="193" t="s">
        <v>378</v>
      </c>
      <c r="B392" s="193" t="s">
        <v>379</v>
      </c>
      <c r="C392" s="193" t="s">
        <v>214</v>
      </c>
      <c r="D392" s="193" t="s">
        <v>1165</v>
      </c>
      <c r="E392" s="193" t="s">
        <v>1166</v>
      </c>
      <c r="F392" s="193" t="s">
        <v>1143</v>
      </c>
      <c r="G392" s="193" t="s">
        <v>1143</v>
      </c>
      <c r="H392" s="193" t="s">
        <v>1520</v>
      </c>
      <c r="I392" s="193" t="s">
        <v>512</v>
      </c>
      <c r="J392" s="193" t="s">
        <v>1566</v>
      </c>
      <c r="K392" s="193" t="s">
        <v>386</v>
      </c>
      <c r="L392" s="193" t="s">
        <v>387</v>
      </c>
      <c r="M392" s="193" t="s">
        <v>378</v>
      </c>
      <c r="N392" s="193" t="s">
        <v>1497</v>
      </c>
      <c r="O392" s="193" t="s">
        <v>129</v>
      </c>
      <c r="P392" s="193" t="s">
        <v>138</v>
      </c>
      <c r="Q392" s="193" t="s">
        <v>137</v>
      </c>
      <c r="R392" s="193" t="s">
        <v>136</v>
      </c>
      <c r="S392" s="193" t="s">
        <v>214</v>
      </c>
      <c r="T392" s="193" t="s">
        <v>389</v>
      </c>
      <c r="U392" s="193" t="s">
        <v>390</v>
      </c>
      <c r="V392" s="193">
        <v>0</v>
      </c>
      <c r="W392" s="193">
        <v>0</v>
      </c>
      <c r="X392" s="193">
        <v>0</v>
      </c>
      <c r="Y392" s="194">
        <v>8500</v>
      </c>
      <c r="Z392" s="193" t="s">
        <v>515</v>
      </c>
      <c r="AA392" s="193" t="s">
        <v>516</v>
      </c>
      <c r="AB392" s="193">
        <v>8500</v>
      </c>
      <c r="AC392" s="193" t="s">
        <v>1500</v>
      </c>
      <c r="AD392" s="193" t="s">
        <v>136</v>
      </c>
      <c r="AE392" s="193">
        <v>8500</v>
      </c>
      <c r="AF392" s="193" t="s">
        <v>518</v>
      </c>
      <c r="AG392" s="193" t="s">
        <v>519</v>
      </c>
      <c r="AH392" s="193">
        <v>0</v>
      </c>
      <c r="AI392" s="193">
        <v>8500</v>
      </c>
      <c r="AJ392" s="193" t="s">
        <v>1567</v>
      </c>
      <c r="AL392" s="197" t="s">
        <v>1568</v>
      </c>
      <c r="AM392" s="193">
        <v>1</v>
      </c>
      <c r="AN392" s="193">
        <v>0</v>
      </c>
      <c r="AO392" s="193">
        <v>0</v>
      </c>
      <c r="AP392" s="193" t="s">
        <v>1524</v>
      </c>
      <c r="AQ392" s="193" t="s">
        <v>214</v>
      </c>
      <c r="AS392" s="197" t="s">
        <v>518</v>
      </c>
      <c r="AT392" s="197" t="s">
        <v>519</v>
      </c>
      <c r="AV392" s="194">
        <v>0</v>
      </c>
      <c r="AW392" s="194">
        <v>0</v>
      </c>
      <c r="AX392" s="194">
        <v>8500</v>
      </c>
      <c r="AY392" s="549">
        <v>8500</v>
      </c>
      <c r="AZ392" s="194">
        <v>0</v>
      </c>
      <c r="BA392" s="194">
        <v>0</v>
      </c>
      <c r="BB392" s="551">
        <v>0</v>
      </c>
      <c r="BC392" s="551">
        <v>8500</v>
      </c>
      <c r="BD392" s="551">
        <v>0</v>
      </c>
      <c r="BF392" s="550">
        <f t="shared" si="92"/>
        <v>0</v>
      </c>
      <c r="BG392" s="550">
        <f t="shared" si="93"/>
        <v>0</v>
      </c>
      <c r="BH392" s="550">
        <f t="shared" si="94"/>
        <v>8500</v>
      </c>
      <c r="BI392" s="550">
        <f t="shared" si="95"/>
        <v>8500</v>
      </c>
      <c r="BJ392" s="550">
        <f t="shared" si="96"/>
        <v>0</v>
      </c>
      <c r="BK392" s="550">
        <f t="shared" si="97"/>
        <v>0</v>
      </c>
      <c r="BL392" s="550">
        <f t="shared" si="98"/>
        <v>0</v>
      </c>
      <c r="BM392" s="550">
        <f t="shared" si="99"/>
        <v>8500</v>
      </c>
      <c r="BO392" s="194"/>
      <c r="BQ392" s="193">
        <f t="shared" si="100"/>
        <v>0</v>
      </c>
      <c r="BR392" s="193">
        <f t="shared" si="101"/>
        <v>0</v>
      </c>
    </row>
    <row r="393" spans="1:70" ht="13.5" customHeight="1">
      <c r="A393" s="193" t="s">
        <v>378</v>
      </c>
      <c r="B393" s="193" t="s">
        <v>379</v>
      </c>
      <c r="C393" s="193" t="s">
        <v>214</v>
      </c>
      <c r="D393" s="193" t="s">
        <v>1165</v>
      </c>
      <c r="E393" s="193" t="s">
        <v>1166</v>
      </c>
      <c r="F393" s="193" t="s">
        <v>1606</v>
      </c>
      <c r="G393" s="193" t="s">
        <v>1606</v>
      </c>
      <c r="H393" s="193" t="s">
        <v>1520</v>
      </c>
      <c r="I393" s="193" t="s">
        <v>512</v>
      </c>
      <c r="J393" s="193" t="s">
        <v>1607</v>
      </c>
      <c r="K393" s="193" t="s">
        <v>386</v>
      </c>
      <c r="L393" s="193" t="s">
        <v>387</v>
      </c>
      <c r="M393" s="193" t="s">
        <v>378</v>
      </c>
      <c r="N393" s="193" t="s">
        <v>1497</v>
      </c>
      <c r="O393" s="193" t="s">
        <v>129</v>
      </c>
      <c r="P393" s="193" t="s">
        <v>138</v>
      </c>
      <c r="Q393" s="193" t="s">
        <v>137</v>
      </c>
      <c r="R393" s="193" t="s">
        <v>136</v>
      </c>
      <c r="S393" s="193" t="s">
        <v>214</v>
      </c>
      <c r="T393" s="193" t="s">
        <v>389</v>
      </c>
      <c r="U393" s="193" t="s">
        <v>390</v>
      </c>
      <c r="V393" s="193">
        <v>0</v>
      </c>
      <c r="W393" s="193">
        <v>0</v>
      </c>
      <c r="X393" s="193">
        <v>0</v>
      </c>
      <c r="Y393" s="194">
        <v>10400</v>
      </c>
      <c r="Z393" s="193" t="s">
        <v>515</v>
      </c>
      <c r="AA393" s="193" t="s">
        <v>516</v>
      </c>
      <c r="AB393" s="193">
        <v>10400</v>
      </c>
      <c r="AC393" s="193" t="s">
        <v>1500</v>
      </c>
      <c r="AD393" s="193" t="s">
        <v>136</v>
      </c>
      <c r="AE393" s="193">
        <v>10400</v>
      </c>
      <c r="AF393" s="193" t="s">
        <v>518</v>
      </c>
      <c r="AG393" s="193" t="s">
        <v>519</v>
      </c>
      <c r="AH393" s="193">
        <v>0</v>
      </c>
      <c r="AI393" s="193">
        <v>10400</v>
      </c>
      <c r="AJ393" s="193" t="s">
        <v>1534</v>
      </c>
      <c r="AL393" s="197" t="s">
        <v>1608</v>
      </c>
      <c r="AM393" s="193">
        <v>1</v>
      </c>
      <c r="AN393" s="193">
        <v>0</v>
      </c>
      <c r="AO393" s="193">
        <v>0</v>
      </c>
      <c r="AP393" s="193" t="s">
        <v>1524</v>
      </c>
      <c r="AQ393" s="193" t="s">
        <v>214</v>
      </c>
      <c r="AS393" s="197" t="s">
        <v>518</v>
      </c>
      <c r="AT393" s="197" t="s">
        <v>519</v>
      </c>
      <c r="AV393" s="194">
        <v>0</v>
      </c>
      <c r="AW393" s="194">
        <v>0</v>
      </c>
      <c r="AX393" s="194">
        <v>10400</v>
      </c>
      <c r="AY393" s="549">
        <v>10400</v>
      </c>
      <c r="AZ393" s="194">
        <v>0</v>
      </c>
      <c r="BA393" s="194">
        <v>0</v>
      </c>
      <c r="BB393" s="551">
        <v>0</v>
      </c>
      <c r="BC393" s="551">
        <v>10400</v>
      </c>
      <c r="BD393" s="551">
        <v>0</v>
      </c>
      <c r="BF393" s="550">
        <f t="shared" si="92"/>
        <v>0</v>
      </c>
      <c r="BG393" s="550">
        <f t="shared" si="93"/>
        <v>0</v>
      </c>
      <c r="BH393" s="550">
        <f t="shared" si="94"/>
        <v>10400</v>
      </c>
      <c r="BI393" s="550">
        <f t="shared" si="95"/>
        <v>10400</v>
      </c>
      <c r="BJ393" s="550">
        <f t="shared" si="96"/>
        <v>0</v>
      </c>
      <c r="BK393" s="550">
        <f t="shared" si="97"/>
        <v>0</v>
      </c>
      <c r="BL393" s="550">
        <f t="shared" si="98"/>
        <v>0</v>
      </c>
      <c r="BM393" s="550">
        <f t="shared" si="99"/>
        <v>10400</v>
      </c>
      <c r="BO393" s="194"/>
      <c r="BQ393" s="193">
        <f t="shared" si="100"/>
        <v>0</v>
      </c>
      <c r="BR393" s="193">
        <f t="shared" si="101"/>
        <v>0</v>
      </c>
    </row>
    <row r="394" spans="1:70" ht="13.5" customHeight="1">
      <c r="A394" s="193" t="s">
        <v>378</v>
      </c>
      <c r="B394" s="193" t="s">
        <v>379</v>
      </c>
      <c r="C394" s="193" t="s">
        <v>214</v>
      </c>
      <c r="D394" s="193" t="s">
        <v>1165</v>
      </c>
      <c r="E394" s="193" t="s">
        <v>1166</v>
      </c>
      <c r="F394" s="193" t="s">
        <v>1609</v>
      </c>
      <c r="G394" s="193" t="s">
        <v>1609</v>
      </c>
      <c r="H394" s="193" t="s">
        <v>1520</v>
      </c>
      <c r="I394" s="193" t="s">
        <v>512</v>
      </c>
      <c r="J394" s="193" t="s">
        <v>1610</v>
      </c>
      <c r="K394" s="193" t="s">
        <v>386</v>
      </c>
      <c r="L394" s="193" t="s">
        <v>387</v>
      </c>
      <c r="M394" s="193" t="s">
        <v>378</v>
      </c>
      <c r="N394" s="193" t="s">
        <v>1497</v>
      </c>
      <c r="O394" s="193" t="s">
        <v>129</v>
      </c>
      <c r="P394" s="193" t="s">
        <v>138</v>
      </c>
      <c r="Q394" s="193" t="s">
        <v>137</v>
      </c>
      <c r="R394" s="193" t="s">
        <v>136</v>
      </c>
      <c r="S394" s="193" t="s">
        <v>214</v>
      </c>
      <c r="T394" s="193" t="s">
        <v>389</v>
      </c>
      <c r="U394" s="193" t="s">
        <v>390</v>
      </c>
      <c r="V394" s="193">
        <v>0</v>
      </c>
      <c r="W394" s="193">
        <v>0</v>
      </c>
      <c r="X394" s="193">
        <v>0</v>
      </c>
      <c r="Y394" s="194">
        <v>30000</v>
      </c>
      <c r="Z394" s="193" t="s">
        <v>515</v>
      </c>
      <c r="AA394" s="193" t="s">
        <v>516</v>
      </c>
      <c r="AB394" s="193">
        <v>30000</v>
      </c>
      <c r="AC394" s="193" t="s">
        <v>1500</v>
      </c>
      <c r="AD394" s="193" t="s">
        <v>136</v>
      </c>
      <c r="AE394" s="193">
        <v>30000</v>
      </c>
      <c r="AF394" s="193" t="s">
        <v>518</v>
      </c>
      <c r="AG394" s="193" t="s">
        <v>519</v>
      </c>
      <c r="AH394" s="193">
        <v>0</v>
      </c>
      <c r="AI394" s="193">
        <v>30000</v>
      </c>
      <c r="AJ394" s="193" t="s">
        <v>1571</v>
      </c>
      <c r="AL394" s="197" t="s">
        <v>1611</v>
      </c>
      <c r="AM394" s="193">
        <v>1</v>
      </c>
      <c r="AN394" s="193">
        <v>0</v>
      </c>
      <c r="AO394" s="193">
        <v>0</v>
      </c>
      <c r="AP394" s="193" t="s">
        <v>1524</v>
      </c>
      <c r="AQ394" s="193" t="s">
        <v>214</v>
      </c>
      <c r="AS394" s="197" t="s">
        <v>518</v>
      </c>
      <c r="AT394" s="197" t="s">
        <v>519</v>
      </c>
      <c r="AV394" s="194">
        <v>0</v>
      </c>
      <c r="AW394" s="194">
        <v>0</v>
      </c>
      <c r="AX394" s="194">
        <v>30000</v>
      </c>
      <c r="AY394" s="549">
        <v>30000</v>
      </c>
      <c r="AZ394" s="194">
        <v>0</v>
      </c>
      <c r="BA394" s="194">
        <v>0</v>
      </c>
      <c r="BB394" s="551">
        <v>0</v>
      </c>
      <c r="BC394" s="551">
        <v>30000</v>
      </c>
      <c r="BD394" s="551">
        <v>0</v>
      </c>
      <c r="BF394" s="550">
        <f t="shared" si="92"/>
        <v>0</v>
      </c>
      <c r="BG394" s="550">
        <f t="shared" si="93"/>
        <v>0</v>
      </c>
      <c r="BH394" s="550">
        <f t="shared" si="94"/>
        <v>30000</v>
      </c>
      <c r="BI394" s="550">
        <f t="shared" si="95"/>
        <v>30000</v>
      </c>
      <c r="BJ394" s="550">
        <f t="shared" si="96"/>
        <v>0</v>
      </c>
      <c r="BK394" s="550">
        <f t="shared" si="97"/>
        <v>0</v>
      </c>
      <c r="BL394" s="550">
        <f t="shared" si="98"/>
        <v>0</v>
      </c>
      <c r="BM394" s="550">
        <f t="shared" si="99"/>
        <v>30000</v>
      </c>
      <c r="BO394" s="194"/>
      <c r="BQ394" s="193">
        <f t="shared" si="100"/>
        <v>0</v>
      </c>
      <c r="BR394" s="193">
        <f t="shared" si="101"/>
        <v>0</v>
      </c>
    </row>
    <row r="395" spans="1:70" ht="13.5" customHeight="1">
      <c r="A395" s="193" t="s">
        <v>378</v>
      </c>
      <c r="B395" s="193" t="s">
        <v>379</v>
      </c>
      <c r="C395" s="193" t="s">
        <v>214</v>
      </c>
      <c r="D395" s="193" t="s">
        <v>1165</v>
      </c>
      <c r="E395" s="193" t="s">
        <v>1166</v>
      </c>
      <c r="F395" s="193" t="s">
        <v>898</v>
      </c>
      <c r="G395" s="193" t="s">
        <v>898</v>
      </c>
      <c r="H395" s="193" t="s">
        <v>1520</v>
      </c>
      <c r="I395" s="193" t="s">
        <v>512</v>
      </c>
      <c r="J395" s="193" t="s">
        <v>1604</v>
      </c>
      <c r="K395" s="193" t="s">
        <v>386</v>
      </c>
      <c r="L395" s="193" t="s">
        <v>387</v>
      </c>
      <c r="M395" s="193" t="s">
        <v>378</v>
      </c>
      <c r="N395" s="193" t="s">
        <v>1497</v>
      </c>
      <c r="O395" s="193" t="s">
        <v>129</v>
      </c>
      <c r="P395" s="193" t="s">
        <v>138</v>
      </c>
      <c r="Q395" s="193" t="s">
        <v>137</v>
      </c>
      <c r="R395" s="193" t="s">
        <v>136</v>
      </c>
      <c r="S395" s="193" t="s">
        <v>214</v>
      </c>
      <c r="T395" s="193" t="s">
        <v>389</v>
      </c>
      <c r="U395" s="193" t="s">
        <v>390</v>
      </c>
      <c r="V395" s="193">
        <v>0</v>
      </c>
      <c r="W395" s="193">
        <v>0</v>
      </c>
      <c r="X395" s="193">
        <v>0</v>
      </c>
      <c r="Y395" s="194">
        <v>17700</v>
      </c>
      <c r="Z395" s="193" t="s">
        <v>515</v>
      </c>
      <c r="AA395" s="193" t="s">
        <v>516</v>
      </c>
      <c r="AB395" s="193">
        <v>17700</v>
      </c>
      <c r="AC395" s="193" t="s">
        <v>1500</v>
      </c>
      <c r="AD395" s="193" t="s">
        <v>136</v>
      </c>
      <c r="AE395" s="193">
        <v>17700</v>
      </c>
      <c r="AF395" s="193" t="s">
        <v>518</v>
      </c>
      <c r="AG395" s="193" t="s">
        <v>519</v>
      </c>
      <c r="AH395" s="193">
        <v>0</v>
      </c>
      <c r="AI395" s="193">
        <v>17700</v>
      </c>
      <c r="AJ395" s="193" t="s">
        <v>1547</v>
      </c>
      <c r="AL395" s="197" t="s">
        <v>1605</v>
      </c>
      <c r="AM395" s="193">
        <v>1</v>
      </c>
      <c r="AN395" s="193">
        <v>0</v>
      </c>
      <c r="AO395" s="193">
        <v>0</v>
      </c>
      <c r="AP395" s="193" t="s">
        <v>1524</v>
      </c>
      <c r="AQ395" s="193" t="s">
        <v>214</v>
      </c>
      <c r="AS395" s="197" t="s">
        <v>518</v>
      </c>
      <c r="AT395" s="197" t="s">
        <v>519</v>
      </c>
      <c r="AV395" s="194">
        <v>0</v>
      </c>
      <c r="AW395" s="194">
        <v>0</v>
      </c>
      <c r="AX395" s="194">
        <v>17700</v>
      </c>
      <c r="AY395" s="549">
        <v>17700</v>
      </c>
      <c r="AZ395" s="194">
        <v>0</v>
      </c>
      <c r="BA395" s="194">
        <v>0</v>
      </c>
      <c r="BB395" s="551">
        <v>0</v>
      </c>
      <c r="BC395" s="551">
        <v>17700</v>
      </c>
      <c r="BD395" s="551">
        <v>0</v>
      </c>
      <c r="BF395" s="550">
        <f t="shared" si="92"/>
        <v>0</v>
      </c>
      <c r="BG395" s="550">
        <f t="shared" si="93"/>
        <v>0</v>
      </c>
      <c r="BH395" s="550">
        <f t="shared" si="94"/>
        <v>17700</v>
      </c>
      <c r="BI395" s="550">
        <f t="shared" si="95"/>
        <v>17700</v>
      </c>
      <c r="BJ395" s="550">
        <f t="shared" si="96"/>
        <v>0</v>
      </c>
      <c r="BK395" s="550">
        <f t="shared" si="97"/>
        <v>0</v>
      </c>
      <c r="BL395" s="550">
        <f t="shared" si="98"/>
        <v>0</v>
      </c>
      <c r="BM395" s="550">
        <f t="shared" si="99"/>
        <v>17700</v>
      </c>
      <c r="BO395" s="194"/>
      <c r="BQ395" s="193">
        <f t="shared" si="100"/>
        <v>0</v>
      </c>
      <c r="BR395" s="193">
        <f t="shared" si="101"/>
        <v>0</v>
      </c>
    </row>
    <row r="396" spans="1:70" ht="13.5" customHeight="1">
      <c r="A396" s="193" t="s">
        <v>378</v>
      </c>
      <c r="B396" s="193" t="s">
        <v>379</v>
      </c>
      <c r="C396" s="193" t="s">
        <v>214</v>
      </c>
      <c r="D396" s="193" t="s">
        <v>1165</v>
      </c>
      <c r="E396" s="193" t="s">
        <v>1166</v>
      </c>
      <c r="F396" s="193" t="s">
        <v>427</v>
      </c>
      <c r="G396" s="193" t="s">
        <v>427</v>
      </c>
      <c r="H396" s="193" t="s">
        <v>1520</v>
      </c>
      <c r="I396" s="193" t="s">
        <v>512</v>
      </c>
      <c r="J396" s="193" t="s">
        <v>1614</v>
      </c>
      <c r="K396" s="193" t="s">
        <v>386</v>
      </c>
      <c r="L396" s="193" t="s">
        <v>387</v>
      </c>
      <c r="M396" s="193" t="s">
        <v>378</v>
      </c>
      <c r="N396" s="193" t="s">
        <v>1497</v>
      </c>
      <c r="O396" s="193" t="s">
        <v>129</v>
      </c>
      <c r="P396" s="193" t="s">
        <v>138</v>
      </c>
      <c r="Q396" s="193" t="s">
        <v>137</v>
      </c>
      <c r="R396" s="193" t="s">
        <v>136</v>
      </c>
      <c r="S396" s="193" t="s">
        <v>214</v>
      </c>
      <c r="T396" s="193" t="s">
        <v>389</v>
      </c>
      <c r="U396" s="193" t="s">
        <v>390</v>
      </c>
      <c r="V396" s="193">
        <v>0</v>
      </c>
      <c r="W396" s="193">
        <v>0</v>
      </c>
      <c r="X396" s="193">
        <v>0</v>
      </c>
      <c r="Y396" s="194">
        <v>25600</v>
      </c>
      <c r="Z396" s="193" t="s">
        <v>515</v>
      </c>
      <c r="AA396" s="193" t="s">
        <v>516</v>
      </c>
      <c r="AB396" s="193">
        <v>25600</v>
      </c>
      <c r="AC396" s="193" t="s">
        <v>1500</v>
      </c>
      <c r="AD396" s="193" t="s">
        <v>136</v>
      </c>
      <c r="AE396" s="193">
        <v>25600</v>
      </c>
      <c r="AF396" s="193" t="s">
        <v>518</v>
      </c>
      <c r="AG396" s="193" t="s">
        <v>519</v>
      </c>
      <c r="AH396" s="193">
        <v>0</v>
      </c>
      <c r="AI396" s="193">
        <v>25600</v>
      </c>
      <c r="AJ396" s="193" t="s">
        <v>1590</v>
      </c>
      <c r="AL396" s="197" t="s">
        <v>1615</v>
      </c>
      <c r="AM396" s="193">
        <v>1</v>
      </c>
      <c r="AN396" s="193">
        <v>0</v>
      </c>
      <c r="AO396" s="193">
        <v>0</v>
      </c>
      <c r="AP396" s="193" t="s">
        <v>1524</v>
      </c>
      <c r="AQ396" s="193" t="s">
        <v>214</v>
      </c>
      <c r="AS396" s="197" t="s">
        <v>518</v>
      </c>
      <c r="AT396" s="197" t="s">
        <v>519</v>
      </c>
      <c r="AV396" s="194">
        <v>0</v>
      </c>
      <c r="AW396" s="194">
        <v>0</v>
      </c>
      <c r="AX396" s="194">
        <v>25600</v>
      </c>
      <c r="AY396" s="549">
        <v>25600</v>
      </c>
      <c r="AZ396" s="194">
        <v>0</v>
      </c>
      <c r="BA396" s="194">
        <v>0</v>
      </c>
      <c r="BB396" s="551">
        <v>0</v>
      </c>
      <c r="BC396" s="551">
        <v>25600</v>
      </c>
      <c r="BD396" s="551">
        <v>0</v>
      </c>
      <c r="BF396" s="550">
        <f t="shared" si="92"/>
        <v>0</v>
      </c>
      <c r="BG396" s="550">
        <f t="shared" si="93"/>
        <v>0</v>
      </c>
      <c r="BH396" s="550">
        <f t="shared" si="94"/>
        <v>25600</v>
      </c>
      <c r="BI396" s="550">
        <f t="shared" si="95"/>
        <v>25600</v>
      </c>
      <c r="BJ396" s="550">
        <f t="shared" si="96"/>
        <v>0</v>
      </c>
      <c r="BK396" s="550">
        <f t="shared" si="97"/>
        <v>0</v>
      </c>
      <c r="BL396" s="550">
        <f t="shared" si="98"/>
        <v>0</v>
      </c>
      <c r="BM396" s="550">
        <f t="shared" si="99"/>
        <v>25600</v>
      </c>
      <c r="BO396" s="194"/>
      <c r="BQ396" s="193">
        <f t="shared" si="100"/>
        <v>0</v>
      </c>
      <c r="BR396" s="193">
        <f t="shared" si="101"/>
        <v>0</v>
      </c>
    </row>
    <row r="397" spans="1:70" ht="13.5" customHeight="1">
      <c r="A397" s="193" t="s">
        <v>378</v>
      </c>
      <c r="B397" s="193" t="s">
        <v>379</v>
      </c>
      <c r="C397" s="193" t="s">
        <v>214</v>
      </c>
      <c r="D397" s="193" t="s">
        <v>1165</v>
      </c>
      <c r="E397" s="193" t="s">
        <v>1166</v>
      </c>
      <c r="F397" s="193" t="s">
        <v>1487</v>
      </c>
      <c r="G397" s="193" t="s">
        <v>1487</v>
      </c>
      <c r="H397" s="193" t="s">
        <v>1520</v>
      </c>
      <c r="I397" s="193" t="s">
        <v>512</v>
      </c>
      <c r="J397" s="193" t="s">
        <v>1619</v>
      </c>
      <c r="K397" s="193" t="s">
        <v>386</v>
      </c>
      <c r="L397" s="193" t="s">
        <v>387</v>
      </c>
      <c r="M397" s="193" t="s">
        <v>378</v>
      </c>
      <c r="N397" s="193" t="s">
        <v>1497</v>
      </c>
      <c r="O397" s="193" t="s">
        <v>129</v>
      </c>
      <c r="P397" s="193" t="s">
        <v>138</v>
      </c>
      <c r="Q397" s="193" t="s">
        <v>137</v>
      </c>
      <c r="R397" s="193" t="s">
        <v>136</v>
      </c>
      <c r="S397" s="193" t="s">
        <v>214</v>
      </c>
      <c r="T397" s="193" t="s">
        <v>389</v>
      </c>
      <c r="U397" s="193" t="s">
        <v>390</v>
      </c>
      <c r="V397" s="193">
        <v>0</v>
      </c>
      <c r="W397" s="193">
        <v>0</v>
      </c>
      <c r="X397" s="193">
        <v>0</v>
      </c>
      <c r="Y397" s="194">
        <v>21100</v>
      </c>
      <c r="Z397" s="193" t="s">
        <v>515</v>
      </c>
      <c r="AA397" s="193" t="s">
        <v>516</v>
      </c>
      <c r="AB397" s="193">
        <v>21100</v>
      </c>
      <c r="AC397" s="193" t="s">
        <v>1500</v>
      </c>
      <c r="AD397" s="193" t="s">
        <v>136</v>
      </c>
      <c r="AE397" s="193">
        <v>21100</v>
      </c>
      <c r="AF397" s="193" t="s">
        <v>518</v>
      </c>
      <c r="AG397" s="193" t="s">
        <v>519</v>
      </c>
      <c r="AH397" s="193">
        <v>0</v>
      </c>
      <c r="AI397" s="193">
        <v>21100</v>
      </c>
      <c r="AJ397" s="193" t="s">
        <v>1581</v>
      </c>
      <c r="AL397" s="197" t="s">
        <v>1620</v>
      </c>
      <c r="AM397" s="193">
        <v>1</v>
      </c>
      <c r="AN397" s="193">
        <v>0</v>
      </c>
      <c r="AO397" s="193">
        <v>0</v>
      </c>
      <c r="AP397" s="193" t="s">
        <v>1524</v>
      </c>
      <c r="AQ397" s="193" t="s">
        <v>214</v>
      </c>
      <c r="AS397" s="197" t="s">
        <v>518</v>
      </c>
      <c r="AT397" s="197" t="s">
        <v>519</v>
      </c>
      <c r="AV397" s="194">
        <v>0</v>
      </c>
      <c r="AW397" s="194">
        <v>0</v>
      </c>
      <c r="AX397" s="194">
        <v>21100</v>
      </c>
      <c r="AY397" s="549">
        <v>21100</v>
      </c>
      <c r="AZ397" s="194">
        <v>0</v>
      </c>
      <c r="BA397" s="194">
        <v>0</v>
      </c>
      <c r="BB397" s="551">
        <v>0</v>
      </c>
      <c r="BC397" s="551">
        <v>21100</v>
      </c>
      <c r="BD397" s="551">
        <v>0</v>
      </c>
      <c r="BF397" s="550">
        <f t="shared" si="92"/>
        <v>0</v>
      </c>
      <c r="BG397" s="550">
        <f t="shared" si="93"/>
        <v>0</v>
      </c>
      <c r="BH397" s="550">
        <f t="shared" si="94"/>
        <v>21100</v>
      </c>
      <c r="BI397" s="550">
        <f t="shared" si="95"/>
        <v>21100</v>
      </c>
      <c r="BJ397" s="550">
        <f t="shared" si="96"/>
        <v>0</v>
      </c>
      <c r="BK397" s="550">
        <f t="shared" si="97"/>
        <v>0</v>
      </c>
      <c r="BL397" s="550">
        <f t="shared" si="98"/>
        <v>0</v>
      </c>
      <c r="BM397" s="550">
        <f t="shared" si="99"/>
        <v>21100</v>
      </c>
      <c r="BO397" s="194"/>
      <c r="BQ397" s="193">
        <f t="shared" si="100"/>
        <v>0</v>
      </c>
      <c r="BR397" s="193">
        <f t="shared" si="101"/>
        <v>0</v>
      </c>
    </row>
    <row r="398" spans="1:70" ht="13.5" customHeight="1">
      <c r="A398" s="193" t="s">
        <v>378</v>
      </c>
      <c r="B398" s="193" t="s">
        <v>379</v>
      </c>
      <c r="C398" s="193" t="s">
        <v>214</v>
      </c>
      <c r="D398" s="193" t="s">
        <v>1165</v>
      </c>
      <c r="E398" s="193" t="s">
        <v>1166</v>
      </c>
      <c r="F398" s="193" t="s">
        <v>1621</v>
      </c>
      <c r="G398" s="193" t="s">
        <v>1621</v>
      </c>
      <c r="H398" s="193" t="s">
        <v>1520</v>
      </c>
      <c r="I398" s="193" t="s">
        <v>512</v>
      </c>
      <c r="J398" s="193" t="s">
        <v>1622</v>
      </c>
      <c r="K398" s="193" t="s">
        <v>386</v>
      </c>
      <c r="L398" s="193" t="s">
        <v>387</v>
      </c>
      <c r="M398" s="193" t="s">
        <v>378</v>
      </c>
      <c r="N398" s="193" t="s">
        <v>1497</v>
      </c>
      <c r="O398" s="193" t="s">
        <v>129</v>
      </c>
      <c r="P398" s="193" t="s">
        <v>138</v>
      </c>
      <c r="Q398" s="193" t="s">
        <v>137</v>
      </c>
      <c r="R398" s="193" t="s">
        <v>136</v>
      </c>
      <c r="S398" s="193" t="s">
        <v>214</v>
      </c>
      <c r="T398" s="193" t="s">
        <v>389</v>
      </c>
      <c r="U398" s="193" t="s">
        <v>390</v>
      </c>
      <c r="V398" s="193">
        <v>0</v>
      </c>
      <c r="W398" s="193">
        <v>0</v>
      </c>
      <c r="X398" s="193">
        <v>0</v>
      </c>
      <c r="Y398" s="194">
        <v>13100</v>
      </c>
      <c r="Z398" s="193" t="s">
        <v>515</v>
      </c>
      <c r="AA398" s="193" t="s">
        <v>516</v>
      </c>
      <c r="AB398" s="193">
        <v>13100</v>
      </c>
      <c r="AC398" s="193" t="s">
        <v>1500</v>
      </c>
      <c r="AD398" s="193" t="s">
        <v>136</v>
      </c>
      <c r="AE398" s="193">
        <v>13100</v>
      </c>
      <c r="AF398" s="193" t="s">
        <v>518</v>
      </c>
      <c r="AG398" s="193" t="s">
        <v>519</v>
      </c>
      <c r="AH398" s="193">
        <v>0</v>
      </c>
      <c r="AI398" s="193">
        <v>13100</v>
      </c>
      <c r="AJ398" s="193" t="s">
        <v>1530</v>
      </c>
      <c r="AL398" s="197" t="s">
        <v>1623</v>
      </c>
      <c r="AM398" s="193">
        <v>1</v>
      </c>
      <c r="AN398" s="193">
        <v>0</v>
      </c>
      <c r="AO398" s="193">
        <v>0</v>
      </c>
      <c r="AP398" s="193" t="s">
        <v>1524</v>
      </c>
      <c r="AQ398" s="193" t="s">
        <v>214</v>
      </c>
      <c r="AS398" s="197" t="s">
        <v>518</v>
      </c>
      <c r="AT398" s="197" t="s">
        <v>519</v>
      </c>
      <c r="AV398" s="194">
        <v>0</v>
      </c>
      <c r="AW398" s="194">
        <v>0</v>
      </c>
      <c r="AX398" s="194">
        <v>13100</v>
      </c>
      <c r="AY398" s="549">
        <v>13100</v>
      </c>
      <c r="AZ398" s="194">
        <v>0</v>
      </c>
      <c r="BA398" s="194">
        <v>0</v>
      </c>
      <c r="BB398" s="551">
        <v>0</v>
      </c>
      <c r="BC398" s="551">
        <v>13100</v>
      </c>
      <c r="BD398" s="551">
        <v>0</v>
      </c>
      <c r="BF398" s="550">
        <f t="shared" si="92"/>
        <v>0</v>
      </c>
      <c r="BG398" s="550">
        <f t="shared" si="93"/>
        <v>0</v>
      </c>
      <c r="BH398" s="550">
        <f t="shared" si="94"/>
        <v>13100</v>
      </c>
      <c r="BI398" s="550">
        <f t="shared" si="95"/>
        <v>13100</v>
      </c>
      <c r="BJ398" s="550">
        <f t="shared" si="96"/>
        <v>0</v>
      </c>
      <c r="BK398" s="550">
        <f t="shared" si="97"/>
        <v>0</v>
      </c>
      <c r="BL398" s="550">
        <f t="shared" si="98"/>
        <v>0</v>
      </c>
      <c r="BM398" s="550">
        <f t="shared" si="99"/>
        <v>13100</v>
      </c>
      <c r="BO398" s="194"/>
      <c r="BQ398" s="193">
        <f t="shared" si="100"/>
        <v>0</v>
      </c>
      <c r="BR398" s="193">
        <f t="shared" si="101"/>
        <v>0</v>
      </c>
    </row>
    <row r="399" spans="1:70" ht="13.5" customHeight="1">
      <c r="A399" s="193" t="s">
        <v>378</v>
      </c>
      <c r="B399" s="193" t="s">
        <v>379</v>
      </c>
      <c r="C399" s="193" t="s">
        <v>214</v>
      </c>
      <c r="D399" s="193" t="s">
        <v>1165</v>
      </c>
      <c r="E399" s="193" t="s">
        <v>1166</v>
      </c>
      <c r="F399" s="193" t="s">
        <v>1616</v>
      </c>
      <c r="G399" s="193" t="s">
        <v>1616</v>
      </c>
      <c r="H399" s="193" t="s">
        <v>1520</v>
      </c>
      <c r="I399" s="193" t="s">
        <v>512</v>
      </c>
      <c r="J399" s="193" t="s">
        <v>1617</v>
      </c>
      <c r="K399" s="193" t="s">
        <v>386</v>
      </c>
      <c r="L399" s="193" t="s">
        <v>387</v>
      </c>
      <c r="M399" s="193" t="s">
        <v>378</v>
      </c>
      <c r="N399" s="193" t="s">
        <v>1497</v>
      </c>
      <c r="O399" s="193" t="s">
        <v>129</v>
      </c>
      <c r="P399" s="193" t="s">
        <v>138</v>
      </c>
      <c r="Q399" s="193" t="s">
        <v>137</v>
      </c>
      <c r="R399" s="193" t="s">
        <v>136</v>
      </c>
      <c r="S399" s="193" t="s">
        <v>214</v>
      </c>
      <c r="T399" s="193" t="s">
        <v>389</v>
      </c>
      <c r="U399" s="193" t="s">
        <v>390</v>
      </c>
      <c r="V399" s="193">
        <v>0</v>
      </c>
      <c r="W399" s="193">
        <v>0</v>
      </c>
      <c r="X399" s="193">
        <v>0</v>
      </c>
      <c r="Y399" s="194">
        <v>17600</v>
      </c>
      <c r="Z399" s="193" t="s">
        <v>515</v>
      </c>
      <c r="AA399" s="193" t="s">
        <v>516</v>
      </c>
      <c r="AB399" s="193">
        <v>17600</v>
      </c>
      <c r="AC399" s="193" t="s">
        <v>1500</v>
      </c>
      <c r="AD399" s="193" t="s">
        <v>136</v>
      </c>
      <c r="AE399" s="193">
        <v>17600</v>
      </c>
      <c r="AF399" s="193" t="s">
        <v>518</v>
      </c>
      <c r="AG399" s="193" t="s">
        <v>519</v>
      </c>
      <c r="AH399" s="193">
        <v>0</v>
      </c>
      <c r="AI399" s="193">
        <v>17600</v>
      </c>
      <c r="AJ399" s="193" t="s">
        <v>1547</v>
      </c>
      <c r="AL399" s="197" t="s">
        <v>1618</v>
      </c>
      <c r="AM399" s="193">
        <v>1</v>
      </c>
      <c r="AN399" s="193">
        <v>0</v>
      </c>
      <c r="AO399" s="193">
        <v>0</v>
      </c>
      <c r="AP399" s="193" t="s">
        <v>1524</v>
      </c>
      <c r="AQ399" s="193" t="s">
        <v>214</v>
      </c>
      <c r="AS399" s="197" t="s">
        <v>518</v>
      </c>
      <c r="AT399" s="197" t="s">
        <v>519</v>
      </c>
      <c r="AV399" s="194">
        <v>0</v>
      </c>
      <c r="AW399" s="194">
        <v>0</v>
      </c>
      <c r="AX399" s="194">
        <v>17600</v>
      </c>
      <c r="AY399" s="549">
        <v>17600</v>
      </c>
      <c r="AZ399" s="194">
        <v>0</v>
      </c>
      <c r="BA399" s="194">
        <v>0</v>
      </c>
      <c r="BB399" s="551">
        <v>0</v>
      </c>
      <c r="BC399" s="551">
        <v>17600</v>
      </c>
      <c r="BD399" s="551">
        <v>0</v>
      </c>
      <c r="BF399" s="550">
        <f t="shared" si="92"/>
        <v>0</v>
      </c>
      <c r="BG399" s="550">
        <f t="shared" si="93"/>
        <v>0</v>
      </c>
      <c r="BH399" s="550">
        <f t="shared" si="94"/>
        <v>17600</v>
      </c>
      <c r="BI399" s="550">
        <f t="shared" si="95"/>
        <v>17600</v>
      </c>
      <c r="BJ399" s="550">
        <f t="shared" si="96"/>
        <v>0</v>
      </c>
      <c r="BK399" s="550">
        <f t="shared" si="97"/>
        <v>0</v>
      </c>
      <c r="BL399" s="550">
        <f t="shared" si="98"/>
        <v>0</v>
      </c>
      <c r="BM399" s="550">
        <f t="shared" si="99"/>
        <v>17600</v>
      </c>
      <c r="BO399" s="194"/>
      <c r="BQ399" s="193">
        <f t="shared" si="100"/>
        <v>0</v>
      </c>
      <c r="BR399" s="193">
        <f t="shared" si="101"/>
        <v>0</v>
      </c>
    </row>
    <row r="400" spans="1:70" ht="13.5" customHeight="1">
      <c r="A400" s="193" t="s">
        <v>378</v>
      </c>
      <c r="B400" s="193" t="s">
        <v>379</v>
      </c>
      <c r="C400" s="193" t="s">
        <v>214</v>
      </c>
      <c r="D400" s="193" t="s">
        <v>1165</v>
      </c>
      <c r="E400" s="193" t="s">
        <v>1166</v>
      </c>
      <c r="F400" s="193" t="s">
        <v>971</v>
      </c>
      <c r="G400" s="193" t="s">
        <v>971</v>
      </c>
      <c r="H400" s="193" t="s">
        <v>1520</v>
      </c>
      <c r="I400" s="193" t="s">
        <v>512</v>
      </c>
      <c r="J400" s="193" t="s">
        <v>1612</v>
      </c>
      <c r="K400" s="193" t="s">
        <v>386</v>
      </c>
      <c r="L400" s="193" t="s">
        <v>387</v>
      </c>
      <c r="M400" s="193" t="s">
        <v>378</v>
      </c>
      <c r="N400" s="193" t="s">
        <v>1497</v>
      </c>
      <c r="O400" s="193" t="s">
        <v>129</v>
      </c>
      <c r="P400" s="193" t="s">
        <v>138</v>
      </c>
      <c r="Q400" s="193" t="s">
        <v>137</v>
      </c>
      <c r="R400" s="193" t="s">
        <v>136</v>
      </c>
      <c r="S400" s="193" t="s">
        <v>214</v>
      </c>
      <c r="T400" s="193" t="s">
        <v>389</v>
      </c>
      <c r="U400" s="193" t="s">
        <v>390</v>
      </c>
      <c r="V400" s="193">
        <v>0</v>
      </c>
      <c r="W400" s="193">
        <v>0</v>
      </c>
      <c r="X400" s="193">
        <v>0</v>
      </c>
      <c r="Y400" s="194">
        <v>13800</v>
      </c>
      <c r="Z400" s="193" t="s">
        <v>515</v>
      </c>
      <c r="AA400" s="193" t="s">
        <v>516</v>
      </c>
      <c r="AB400" s="193">
        <v>13800</v>
      </c>
      <c r="AC400" s="193" t="s">
        <v>1500</v>
      </c>
      <c r="AD400" s="193" t="s">
        <v>136</v>
      </c>
      <c r="AE400" s="193">
        <v>13800</v>
      </c>
      <c r="AF400" s="193" t="s">
        <v>518</v>
      </c>
      <c r="AG400" s="193" t="s">
        <v>519</v>
      </c>
      <c r="AH400" s="193">
        <v>0</v>
      </c>
      <c r="AI400" s="193">
        <v>13800</v>
      </c>
      <c r="AJ400" s="193" t="s">
        <v>1541</v>
      </c>
      <c r="AL400" s="197" t="s">
        <v>1613</v>
      </c>
      <c r="AM400" s="193">
        <v>1</v>
      </c>
      <c r="AN400" s="193">
        <v>0</v>
      </c>
      <c r="AO400" s="193">
        <v>0</v>
      </c>
      <c r="AP400" s="193" t="s">
        <v>1524</v>
      </c>
      <c r="AQ400" s="193" t="s">
        <v>214</v>
      </c>
      <c r="AS400" s="197" t="s">
        <v>518</v>
      </c>
      <c r="AT400" s="197" t="s">
        <v>519</v>
      </c>
      <c r="AV400" s="194">
        <v>0</v>
      </c>
      <c r="AW400" s="194">
        <v>0</v>
      </c>
      <c r="AX400" s="194">
        <v>13800</v>
      </c>
      <c r="AY400" s="549">
        <v>13800</v>
      </c>
      <c r="AZ400" s="194">
        <v>0</v>
      </c>
      <c r="BA400" s="194">
        <v>0</v>
      </c>
      <c r="BB400" s="551">
        <v>0</v>
      </c>
      <c r="BC400" s="551">
        <v>13800</v>
      </c>
      <c r="BD400" s="551">
        <v>0</v>
      </c>
      <c r="BF400" s="550">
        <f t="shared" si="92"/>
        <v>0</v>
      </c>
      <c r="BG400" s="550">
        <f t="shared" si="93"/>
        <v>0</v>
      </c>
      <c r="BH400" s="550">
        <f t="shared" si="94"/>
        <v>13800</v>
      </c>
      <c r="BI400" s="550">
        <f t="shared" si="95"/>
        <v>13800</v>
      </c>
      <c r="BJ400" s="550">
        <f t="shared" si="96"/>
        <v>0</v>
      </c>
      <c r="BK400" s="550">
        <f t="shared" si="97"/>
        <v>0</v>
      </c>
      <c r="BL400" s="550">
        <f t="shared" si="98"/>
        <v>0</v>
      </c>
      <c r="BM400" s="550">
        <f t="shared" si="99"/>
        <v>13800</v>
      </c>
      <c r="BO400" s="194"/>
      <c r="BQ400" s="193">
        <f t="shared" si="100"/>
        <v>0</v>
      </c>
      <c r="BR400" s="193">
        <f t="shared" si="101"/>
        <v>0</v>
      </c>
    </row>
    <row r="401" spans="1:70" ht="13.5" customHeight="1">
      <c r="A401" s="193" t="s">
        <v>378</v>
      </c>
      <c r="B401" s="193" t="s">
        <v>379</v>
      </c>
      <c r="C401" s="193" t="s">
        <v>214</v>
      </c>
      <c r="D401" s="193" t="s">
        <v>1165</v>
      </c>
      <c r="E401" s="193" t="s">
        <v>1166</v>
      </c>
      <c r="F401" s="193" t="s">
        <v>902</v>
      </c>
      <c r="G401" s="193" t="s">
        <v>902</v>
      </c>
      <c r="H401" s="193" t="s">
        <v>1520</v>
      </c>
      <c r="I401" s="193" t="s">
        <v>512</v>
      </c>
      <c r="J401" s="193" t="s">
        <v>1600</v>
      </c>
      <c r="K401" s="193" t="s">
        <v>386</v>
      </c>
      <c r="L401" s="193" t="s">
        <v>387</v>
      </c>
      <c r="M401" s="193" t="s">
        <v>378</v>
      </c>
      <c r="N401" s="193" t="s">
        <v>1497</v>
      </c>
      <c r="O401" s="193" t="s">
        <v>129</v>
      </c>
      <c r="P401" s="193" t="s">
        <v>138</v>
      </c>
      <c r="Q401" s="193" t="s">
        <v>137</v>
      </c>
      <c r="R401" s="193" t="s">
        <v>136</v>
      </c>
      <c r="S401" s="193" t="s">
        <v>214</v>
      </c>
      <c r="T401" s="193" t="s">
        <v>389</v>
      </c>
      <c r="U401" s="193" t="s">
        <v>390</v>
      </c>
      <c r="V401" s="193">
        <v>0</v>
      </c>
      <c r="W401" s="193">
        <v>0</v>
      </c>
      <c r="X401" s="193">
        <v>0</v>
      </c>
      <c r="Y401" s="194">
        <v>13000</v>
      </c>
      <c r="Z401" s="193" t="s">
        <v>515</v>
      </c>
      <c r="AA401" s="193" t="s">
        <v>516</v>
      </c>
      <c r="AB401" s="193">
        <v>13000</v>
      </c>
      <c r="AC401" s="193" t="s">
        <v>1500</v>
      </c>
      <c r="AD401" s="193" t="s">
        <v>136</v>
      </c>
      <c r="AE401" s="193">
        <v>13000</v>
      </c>
      <c r="AF401" s="193" t="s">
        <v>518</v>
      </c>
      <c r="AG401" s="193" t="s">
        <v>519</v>
      </c>
      <c r="AH401" s="193">
        <v>0</v>
      </c>
      <c r="AI401" s="193">
        <v>13000</v>
      </c>
      <c r="AJ401" s="193" t="s">
        <v>1530</v>
      </c>
      <c r="AL401" s="197" t="s">
        <v>1601</v>
      </c>
      <c r="AM401" s="193">
        <v>1</v>
      </c>
      <c r="AN401" s="193">
        <v>0</v>
      </c>
      <c r="AO401" s="193">
        <v>0</v>
      </c>
      <c r="AP401" s="193" t="s">
        <v>1524</v>
      </c>
      <c r="AQ401" s="193" t="s">
        <v>214</v>
      </c>
      <c r="AS401" s="197" t="s">
        <v>518</v>
      </c>
      <c r="AT401" s="197" t="s">
        <v>519</v>
      </c>
      <c r="AV401" s="194">
        <v>0</v>
      </c>
      <c r="AW401" s="194">
        <v>0</v>
      </c>
      <c r="AX401" s="194">
        <v>13000</v>
      </c>
      <c r="AY401" s="549">
        <v>13000</v>
      </c>
      <c r="AZ401" s="194">
        <v>0</v>
      </c>
      <c r="BA401" s="194">
        <v>0</v>
      </c>
      <c r="BB401" s="551">
        <v>0</v>
      </c>
      <c r="BC401" s="551">
        <v>13000</v>
      </c>
      <c r="BD401" s="551">
        <v>0</v>
      </c>
      <c r="BF401" s="550">
        <f t="shared" si="92"/>
        <v>0</v>
      </c>
      <c r="BG401" s="550">
        <f t="shared" si="93"/>
        <v>0</v>
      </c>
      <c r="BH401" s="550">
        <f t="shared" si="94"/>
        <v>13000</v>
      </c>
      <c r="BI401" s="550">
        <f t="shared" si="95"/>
        <v>13000</v>
      </c>
      <c r="BJ401" s="550">
        <f t="shared" si="96"/>
        <v>0</v>
      </c>
      <c r="BK401" s="550">
        <f t="shared" si="97"/>
        <v>0</v>
      </c>
      <c r="BL401" s="550">
        <f t="shared" si="98"/>
        <v>0</v>
      </c>
      <c r="BM401" s="550">
        <f t="shared" si="99"/>
        <v>13000</v>
      </c>
      <c r="BO401" s="194"/>
      <c r="BQ401" s="193">
        <f t="shared" si="100"/>
        <v>0</v>
      </c>
      <c r="BR401" s="193">
        <f t="shared" si="101"/>
        <v>0</v>
      </c>
    </row>
    <row r="402" spans="1:70" ht="13.5" customHeight="1">
      <c r="A402" s="193" t="s">
        <v>378</v>
      </c>
      <c r="B402" s="193" t="s">
        <v>379</v>
      </c>
      <c r="C402" s="193" t="s">
        <v>214</v>
      </c>
      <c r="D402" s="193" t="s">
        <v>1165</v>
      </c>
      <c r="E402" s="193" t="s">
        <v>1166</v>
      </c>
      <c r="F402" s="193" t="s">
        <v>894</v>
      </c>
      <c r="G402" s="193" t="s">
        <v>894</v>
      </c>
      <c r="H402" s="193" t="s">
        <v>1520</v>
      </c>
      <c r="I402" s="193" t="s">
        <v>512</v>
      </c>
      <c r="J402" s="193" t="s">
        <v>1594</v>
      </c>
      <c r="K402" s="193" t="s">
        <v>386</v>
      </c>
      <c r="L402" s="193" t="s">
        <v>387</v>
      </c>
      <c r="M402" s="193" t="s">
        <v>378</v>
      </c>
      <c r="N402" s="193" t="s">
        <v>1497</v>
      </c>
      <c r="O402" s="193" t="s">
        <v>129</v>
      </c>
      <c r="P402" s="193" t="s">
        <v>138</v>
      </c>
      <c r="Q402" s="193" t="s">
        <v>137</v>
      </c>
      <c r="R402" s="193" t="s">
        <v>136</v>
      </c>
      <c r="S402" s="193" t="s">
        <v>214</v>
      </c>
      <c r="T402" s="193" t="s">
        <v>389</v>
      </c>
      <c r="U402" s="193" t="s">
        <v>390</v>
      </c>
      <c r="V402" s="193">
        <v>0</v>
      </c>
      <c r="W402" s="193">
        <v>0</v>
      </c>
      <c r="X402" s="193">
        <v>0</v>
      </c>
      <c r="Y402" s="194">
        <v>25100</v>
      </c>
      <c r="Z402" s="193" t="s">
        <v>515</v>
      </c>
      <c r="AA402" s="193" t="s">
        <v>516</v>
      </c>
      <c r="AB402" s="193">
        <v>25100</v>
      </c>
      <c r="AC402" s="193" t="s">
        <v>1500</v>
      </c>
      <c r="AD402" s="193" t="s">
        <v>136</v>
      </c>
      <c r="AE402" s="193">
        <v>25100</v>
      </c>
      <c r="AF402" s="193" t="s">
        <v>518</v>
      </c>
      <c r="AG402" s="193" t="s">
        <v>519</v>
      </c>
      <c r="AH402" s="193">
        <v>0</v>
      </c>
      <c r="AI402" s="193">
        <v>25100</v>
      </c>
      <c r="AJ402" s="193" t="s">
        <v>1590</v>
      </c>
      <c r="AL402" s="197" t="s">
        <v>1595</v>
      </c>
      <c r="AM402" s="193">
        <v>1</v>
      </c>
      <c r="AN402" s="193">
        <v>0</v>
      </c>
      <c r="AO402" s="193">
        <v>0</v>
      </c>
      <c r="AP402" s="193" t="s">
        <v>1524</v>
      </c>
      <c r="AQ402" s="193" t="s">
        <v>214</v>
      </c>
      <c r="AS402" s="197" t="s">
        <v>518</v>
      </c>
      <c r="AT402" s="197" t="s">
        <v>519</v>
      </c>
      <c r="AV402" s="194">
        <v>0</v>
      </c>
      <c r="AW402" s="194">
        <v>0</v>
      </c>
      <c r="AX402" s="194">
        <v>25100</v>
      </c>
      <c r="AY402" s="549">
        <v>25100</v>
      </c>
      <c r="AZ402" s="194">
        <v>0</v>
      </c>
      <c r="BA402" s="194">
        <v>0</v>
      </c>
      <c r="BB402" s="551">
        <v>0</v>
      </c>
      <c r="BC402" s="551">
        <v>25100</v>
      </c>
      <c r="BD402" s="551">
        <v>0</v>
      </c>
      <c r="BF402" s="550">
        <f t="shared" si="92"/>
        <v>0</v>
      </c>
      <c r="BG402" s="550">
        <f t="shared" si="93"/>
        <v>0</v>
      </c>
      <c r="BH402" s="550">
        <f t="shared" si="94"/>
        <v>25100</v>
      </c>
      <c r="BI402" s="550">
        <f t="shared" si="95"/>
        <v>25100</v>
      </c>
      <c r="BJ402" s="550">
        <f t="shared" si="96"/>
        <v>0</v>
      </c>
      <c r="BK402" s="550">
        <f t="shared" si="97"/>
        <v>0</v>
      </c>
      <c r="BL402" s="550">
        <f t="shared" si="98"/>
        <v>0</v>
      </c>
      <c r="BM402" s="550">
        <f t="shared" si="99"/>
        <v>25100</v>
      </c>
      <c r="BO402" s="194"/>
      <c r="BQ402" s="193">
        <f t="shared" si="100"/>
        <v>0</v>
      </c>
      <c r="BR402" s="193">
        <f t="shared" si="101"/>
        <v>0</v>
      </c>
    </row>
    <row r="403" spans="1:70" ht="13.5" customHeight="1">
      <c r="A403" s="193" t="s">
        <v>378</v>
      </c>
      <c r="B403" s="193" t="s">
        <v>379</v>
      </c>
      <c r="C403" s="193" t="s">
        <v>214</v>
      </c>
      <c r="D403" s="193" t="s">
        <v>1165</v>
      </c>
      <c r="E403" s="193" t="s">
        <v>1166</v>
      </c>
      <c r="F403" s="193" t="s">
        <v>963</v>
      </c>
      <c r="G403" s="193" t="s">
        <v>963</v>
      </c>
      <c r="H403" s="193" t="s">
        <v>1520</v>
      </c>
      <c r="I403" s="193" t="s">
        <v>512</v>
      </c>
      <c r="J403" s="193" t="s">
        <v>1596</v>
      </c>
      <c r="K403" s="193" t="s">
        <v>386</v>
      </c>
      <c r="L403" s="193" t="s">
        <v>387</v>
      </c>
      <c r="M403" s="193" t="s">
        <v>378</v>
      </c>
      <c r="N403" s="193" t="s">
        <v>1497</v>
      </c>
      <c r="O403" s="193" t="s">
        <v>129</v>
      </c>
      <c r="P403" s="193" t="s">
        <v>138</v>
      </c>
      <c r="Q403" s="193" t="s">
        <v>137</v>
      </c>
      <c r="R403" s="193" t="s">
        <v>136</v>
      </c>
      <c r="S403" s="193" t="s">
        <v>214</v>
      </c>
      <c r="T403" s="193" t="s">
        <v>389</v>
      </c>
      <c r="U403" s="193" t="s">
        <v>390</v>
      </c>
      <c r="V403" s="193">
        <v>0</v>
      </c>
      <c r="W403" s="193">
        <v>0</v>
      </c>
      <c r="X403" s="193">
        <v>0</v>
      </c>
      <c r="Y403" s="194">
        <v>12300</v>
      </c>
      <c r="Z403" s="193" t="s">
        <v>515</v>
      </c>
      <c r="AA403" s="193" t="s">
        <v>516</v>
      </c>
      <c r="AB403" s="193">
        <v>12300</v>
      </c>
      <c r="AC403" s="193" t="s">
        <v>1500</v>
      </c>
      <c r="AD403" s="193" t="s">
        <v>136</v>
      </c>
      <c r="AE403" s="193">
        <v>12300</v>
      </c>
      <c r="AF403" s="193" t="s">
        <v>518</v>
      </c>
      <c r="AG403" s="193" t="s">
        <v>519</v>
      </c>
      <c r="AH403" s="193">
        <v>0</v>
      </c>
      <c r="AI403" s="193">
        <v>12300</v>
      </c>
      <c r="AJ403" s="193" t="s">
        <v>1530</v>
      </c>
      <c r="AL403" s="197" t="s">
        <v>1597</v>
      </c>
      <c r="AM403" s="193">
        <v>1</v>
      </c>
      <c r="AN403" s="193">
        <v>0</v>
      </c>
      <c r="AO403" s="193">
        <v>0</v>
      </c>
      <c r="AP403" s="193" t="s">
        <v>1524</v>
      </c>
      <c r="AQ403" s="193" t="s">
        <v>214</v>
      </c>
      <c r="AS403" s="197" t="s">
        <v>518</v>
      </c>
      <c r="AT403" s="197" t="s">
        <v>519</v>
      </c>
      <c r="AV403" s="194">
        <v>0</v>
      </c>
      <c r="AW403" s="194">
        <v>0</v>
      </c>
      <c r="AX403" s="194">
        <v>12300</v>
      </c>
      <c r="AY403" s="549">
        <v>12300</v>
      </c>
      <c r="AZ403" s="194">
        <v>0</v>
      </c>
      <c r="BA403" s="194">
        <v>0</v>
      </c>
      <c r="BB403" s="551">
        <v>0</v>
      </c>
      <c r="BC403" s="551">
        <v>12300</v>
      </c>
      <c r="BD403" s="551">
        <v>0</v>
      </c>
      <c r="BF403" s="550">
        <f t="shared" si="92"/>
        <v>0</v>
      </c>
      <c r="BG403" s="550">
        <f t="shared" si="93"/>
        <v>0</v>
      </c>
      <c r="BH403" s="550">
        <f t="shared" si="94"/>
        <v>12300</v>
      </c>
      <c r="BI403" s="550">
        <f t="shared" si="95"/>
        <v>12300</v>
      </c>
      <c r="BJ403" s="550">
        <f t="shared" si="96"/>
        <v>0</v>
      </c>
      <c r="BK403" s="550">
        <f t="shared" si="97"/>
        <v>0</v>
      </c>
      <c r="BL403" s="550">
        <f t="shared" si="98"/>
        <v>0</v>
      </c>
      <c r="BM403" s="550">
        <f t="shared" si="99"/>
        <v>12300</v>
      </c>
      <c r="BO403" s="194"/>
      <c r="BQ403" s="193">
        <f t="shared" si="100"/>
        <v>0</v>
      </c>
      <c r="BR403" s="193">
        <f t="shared" si="101"/>
        <v>0</v>
      </c>
    </row>
    <row r="404" spans="1:70" ht="13.5" customHeight="1">
      <c r="A404" s="193" t="s">
        <v>378</v>
      </c>
      <c r="B404" s="193" t="s">
        <v>379</v>
      </c>
      <c r="C404" s="193" t="s">
        <v>214</v>
      </c>
      <c r="D404" s="193" t="s">
        <v>1165</v>
      </c>
      <c r="E404" s="193" t="s">
        <v>1166</v>
      </c>
      <c r="F404" s="193" t="s">
        <v>890</v>
      </c>
      <c r="G404" s="193" t="s">
        <v>890</v>
      </c>
      <c r="H404" s="193" t="s">
        <v>1520</v>
      </c>
      <c r="I404" s="193" t="s">
        <v>512</v>
      </c>
      <c r="J404" s="193" t="s">
        <v>1598</v>
      </c>
      <c r="K404" s="193" t="s">
        <v>386</v>
      </c>
      <c r="L404" s="193" t="s">
        <v>387</v>
      </c>
      <c r="M404" s="193" t="s">
        <v>378</v>
      </c>
      <c r="N404" s="193" t="s">
        <v>1497</v>
      </c>
      <c r="O404" s="193" t="s">
        <v>129</v>
      </c>
      <c r="P404" s="193" t="s">
        <v>138</v>
      </c>
      <c r="Q404" s="193" t="s">
        <v>137</v>
      </c>
      <c r="R404" s="193" t="s">
        <v>136</v>
      </c>
      <c r="S404" s="193" t="s">
        <v>214</v>
      </c>
      <c r="T404" s="193" t="s">
        <v>389</v>
      </c>
      <c r="U404" s="193" t="s">
        <v>390</v>
      </c>
      <c r="V404" s="193">
        <v>0</v>
      </c>
      <c r="W404" s="193">
        <v>0</v>
      </c>
      <c r="X404" s="193">
        <v>0</v>
      </c>
      <c r="Y404" s="194">
        <v>21200</v>
      </c>
      <c r="Z404" s="193" t="s">
        <v>515</v>
      </c>
      <c r="AA404" s="193" t="s">
        <v>516</v>
      </c>
      <c r="AB404" s="193">
        <v>21200</v>
      </c>
      <c r="AC404" s="193" t="s">
        <v>1500</v>
      </c>
      <c r="AD404" s="193" t="s">
        <v>136</v>
      </c>
      <c r="AE404" s="193">
        <v>21200</v>
      </c>
      <c r="AF404" s="193" t="s">
        <v>518</v>
      </c>
      <c r="AG404" s="193" t="s">
        <v>519</v>
      </c>
      <c r="AH404" s="193">
        <v>0</v>
      </c>
      <c r="AI404" s="193">
        <v>21200</v>
      </c>
      <c r="AJ404" s="193" t="s">
        <v>1581</v>
      </c>
      <c r="AL404" s="197" t="s">
        <v>1599</v>
      </c>
      <c r="AM404" s="193">
        <v>1</v>
      </c>
      <c r="AN404" s="193">
        <v>0</v>
      </c>
      <c r="AO404" s="193">
        <v>0</v>
      </c>
      <c r="AP404" s="193" t="s">
        <v>1524</v>
      </c>
      <c r="AQ404" s="193" t="s">
        <v>214</v>
      </c>
      <c r="AS404" s="197" t="s">
        <v>518</v>
      </c>
      <c r="AT404" s="197" t="s">
        <v>519</v>
      </c>
      <c r="AV404" s="194">
        <v>0</v>
      </c>
      <c r="AW404" s="194">
        <v>0</v>
      </c>
      <c r="AX404" s="194">
        <v>21200</v>
      </c>
      <c r="AY404" s="549">
        <v>21200</v>
      </c>
      <c r="AZ404" s="194">
        <v>0</v>
      </c>
      <c r="BA404" s="194">
        <v>0</v>
      </c>
      <c r="BB404" s="551">
        <v>0</v>
      </c>
      <c r="BC404" s="551">
        <v>21200</v>
      </c>
      <c r="BD404" s="551">
        <v>0</v>
      </c>
      <c r="BF404" s="550">
        <f t="shared" si="92"/>
        <v>0</v>
      </c>
      <c r="BG404" s="550">
        <f t="shared" si="93"/>
        <v>0</v>
      </c>
      <c r="BH404" s="550">
        <f t="shared" si="94"/>
        <v>21200</v>
      </c>
      <c r="BI404" s="550">
        <f t="shared" si="95"/>
        <v>21200</v>
      </c>
      <c r="BJ404" s="550">
        <f t="shared" si="96"/>
        <v>0</v>
      </c>
      <c r="BK404" s="550">
        <f t="shared" si="97"/>
        <v>0</v>
      </c>
      <c r="BL404" s="550">
        <f t="shared" si="98"/>
        <v>0</v>
      </c>
      <c r="BM404" s="550">
        <f t="shared" si="99"/>
        <v>21200</v>
      </c>
      <c r="BO404" s="194"/>
      <c r="BQ404" s="193">
        <f t="shared" si="100"/>
        <v>0</v>
      </c>
      <c r="BR404" s="193">
        <f t="shared" si="101"/>
        <v>0</v>
      </c>
    </row>
    <row r="405" spans="1:70" ht="13.5" customHeight="1">
      <c r="A405" s="193" t="s">
        <v>378</v>
      </c>
      <c r="B405" s="193" t="s">
        <v>379</v>
      </c>
      <c r="C405" s="193" t="s">
        <v>214</v>
      </c>
      <c r="D405" s="193" t="s">
        <v>1165</v>
      </c>
      <c r="E405" s="193" t="s">
        <v>1166</v>
      </c>
      <c r="F405" s="193" t="s">
        <v>923</v>
      </c>
      <c r="G405" s="193" t="s">
        <v>923</v>
      </c>
      <c r="H405" s="193" t="s">
        <v>1520</v>
      </c>
      <c r="I405" s="193" t="s">
        <v>512</v>
      </c>
      <c r="J405" s="193" t="s">
        <v>1602</v>
      </c>
      <c r="K405" s="193" t="s">
        <v>386</v>
      </c>
      <c r="L405" s="193" t="s">
        <v>387</v>
      </c>
      <c r="M405" s="193" t="s">
        <v>378</v>
      </c>
      <c r="N405" s="193" t="s">
        <v>1497</v>
      </c>
      <c r="O405" s="193" t="s">
        <v>129</v>
      </c>
      <c r="P405" s="193" t="s">
        <v>138</v>
      </c>
      <c r="Q405" s="193" t="s">
        <v>137</v>
      </c>
      <c r="R405" s="193" t="s">
        <v>136</v>
      </c>
      <c r="S405" s="193" t="s">
        <v>214</v>
      </c>
      <c r="T405" s="193" t="s">
        <v>389</v>
      </c>
      <c r="U405" s="193" t="s">
        <v>390</v>
      </c>
      <c r="V405" s="193">
        <v>0</v>
      </c>
      <c r="W405" s="193">
        <v>0</v>
      </c>
      <c r="X405" s="193">
        <v>0</v>
      </c>
      <c r="Y405" s="554">
        <v>25100</v>
      </c>
      <c r="Z405" s="193" t="s">
        <v>515</v>
      </c>
      <c r="AA405" s="193" t="s">
        <v>516</v>
      </c>
      <c r="AB405" s="193">
        <v>25100</v>
      </c>
      <c r="AC405" s="193" t="s">
        <v>1500</v>
      </c>
      <c r="AD405" s="193" t="s">
        <v>136</v>
      </c>
      <c r="AE405" s="193">
        <v>25100</v>
      </c>
      <c r="AF405" s="193" t="s">
        <v>518</v>
      </c>
      <c r="AG405" s="193" t="s">
        <v>519</v>
      </c>
      <c r="AH405" s="193">
        <v>0</v>
      </c>
      <c r="AI405" s="193">
        <v>25100</v>
      </c>
      <c r="AJ405" s="193" t="s">
        <v>1590</v>
      </c>
      <c r="AL405" s="197" t="s">
        <v>1603</v>
      </c>
      <c r="AM405" s="193">
        <v>1</v>
      </c>
      <c r="AN405" s="193">
        <v>0</v>
      </c>
      <c r="AO405" s="193">
        <v>0</v>
      </c>
      <c r="AP405" s="193" t="s">
        <v>1524</v>
      </c>
      <c r="AQ405" s="193" t="s">
        <v>214</v>
      </c>
      <c r="AS405" s="197" t="s">
        <v>518</v>
      </c>
      <c r="AT405" s="197" t="s">
        <v>519</v>
      </c>
      <c r="AV405" s="194">
        <v>0</v>
      </c>
      <c r="AW405" s="194">
        <v>0</v>
      </c>
      <c r="AX405" s="194">
        <v>25100</v>
      </c>
      <c r="AY405" s="549">
        <v>25100</v>
      </c>
      <c r="AZ405" s="194">
        <v>0</v>
      </c>
      <c r="BA405" s="194">
        <v>0</v>
      </c>
      <c r="BB405" s="551">
        <v>0</v>
      </c>
      <c r="BC405" s="551">
        <v>25100</v>
      </c>
      <c r="BD405" s="551">
        <v>0</v>
      </c>
      <c r="BF405" s="550">
        <f t="shared" si="92"/>
        <v>0</v>
      </c>
      <c r="BG405" s="550">
        <f t="shared" si="93"/>
        <v>0</v>
      </c>
      <c r="BH405" s="550">
        <f t="shared" si="94"/>
        <v>25100</v>
      </c>
      <c r="BI405" s="550">
        <f t="shared" si="95"/>
        <v>25100</v>
      </c>
      <c r="BJ405" s="550">
        <f t="shared" si="96"/>
        <v>0</v>
      </c>
      <c r="BK405" s="550">
        <f t="shared" si="97"/>
        <v>0</v>
      </c>
      <c r="BL405" s="550">
        <f t="shared" si="98"/>
        <v>0</v>
      </c>
      <c r="BM405" s="550">
        <f t="shared" si="99"/>
        <v>25100</v>
      </c>
      <c r="BO405" s="194"/>
      <c r="BQ405" s="193">
        <f t="shared" si="100"/>
        <v>0</v>
      </c>
      <c r="BR405" s="193">
        <f t="shared" si="101"/>
        <v>0</v>
      </c>
    </row>
    <row r="406" spans="1:70" ht="13.5" customHeight="1">
      <c r="A406" s="193" t="s">
        <v>378</v>
      </c>
      <c r="B406" s="193" t="s">
        <v>379</v>
      </c>
      <c r="C406" s="193" t="s">
        <v>214</v>
      </c>
      <c r="D406" s="193" t="s">
        <v>1165</v>
      </c>
      <c r="E406" s="193" t="s">
        <v>1166</v>
      </c>
      <c r="F406" s="193" t="s">
        <v>622</v>
      </c>
      <c r="G406" s="193" t="s">
        <v>622</v>
      </c>
      <c r="H406" s="193" t="s">
        <v>1520</v>
      </c>
      <c r="I406" s="193" t="s">
        <v>512</v>
      </c>
      <c r="J406" s="193" t="s">
        <v>1586</v>
      </c>
      <c r="K406" s="193" t="s">
        <v>386</v>
      </c>
      <c r="L406" s="193" t="s">
        <v>387</v>
      </c>
      <c r="M406" s="193" t="s">
        <v>378</v>
      </c>
      <c r="N406" s="193" t="s">
        <v>1497</v>
      </c>
      <c r="O406" s="193" t="s">
        <v>129</v>
      </c>
      <c r="P406" s="193" t="s">
        <v>138</v>
      </c>
      <c r="Q406" s="193" t="s">
        <v>137</v>
      </c>
      <c r="R406" s="193" t="s">
        <v>136</v>
      </c>
      <c r="S406" s="193" t="s">
        <v>214</v>
      </c>
      <c r="T406" s="193" t="s">
        <v>389</v>
      </c>
      <c r="U406" s="193" t="s">
        <v>390</v>
      </c>
      <c r="V406" s="193">
        <v>0</v>
      </c>
      <c r="W406" s="193">
        <v>0</v>
      </c>
      <c r="X406" s="193">
        <v>0</v>
      </c>
      <c r="Y406" s="194">
        <v>12200</v>
      </c>
      <c r="Z406" s="193" t="s">
        <v>515</v>
      </c>
      <c r="AA406" s="193" t="s">
        <v>516</v>
      </c>
      <c r="AB406" s="193">
        <v>12200</v>
      </c>
      <c r="AC406" s="193" t="s">
        <v>1500</v>
      </c>
      <c r="AD406" s="193" t="s">
        <v>136</v>
      </c>
      <c r="AE406" s="193">
        <v>12200</v>
      </c>
      <c r="AF406" s="193" t="s">
        <v>518</v>
      </c>
      <c r="AG406" s="193" t="s">
        <v>519</v>
      </c>
      <c r="AH406" s="193">
        <v>0</v>
      </c>
      <c r="AI406" s="193">
        <v>12200</v>
      </c>
      <c r="AJ406" s="193" t="s">
        <v>1544</v>
      </c>
      <c r="AL406" s="197" t="s">
        <v>1587</v>
      </c>
      <c r="AM406" s="193">
        <v>1</v>
      </c>
      <c r="AN406" s="193">
        <v>0</v>
      </c>
      <c r="AO406" s="193">
        <v>0</v>
      </c>
      <c r="AP406" s="193" t="s">
        <v>1524</v>
      </c>
      <c r="AQ406" s="193" t="s">
        <v>214</v>
      </c>
      <c r="AS406" s="197" t="s">
        <v>518</v>
      </c>
      <c r="AT406" s="197" t="s">
        <v>519</v>
      </c>
      <c r="AV406" s="194">
        <v>0</v>
      </c>
      <c r="AW406" s="194">
        <v>0</v>
      </c>
      <c r="AX406" s="194">
        <v>12200</v>
      </c>
      <c r="AY406" s="549">
        <v>12200</v>
      </c>
      <c r="AZ406" s="194">
        <v>0</v>
      </c>
      <c r="BA406" s="194">
        <v>0</v>
      </c>
      <c r="BB406" s="551">
        <v>0</v>
      </c>
      <c r="BC406" s="551">
        <v>12200</v>
      </c>
      <c r="BD406" s="551">
        <v>0</v>
      </c>
      <c r="BF406" s="550">
        <f t="shared" si="92"/>
        <v>0</v>
      </c>
      <c r="BG406" s="550">
        <f t="shared" si="93"/>
        <v>0</v>
      </c>
      <c r="BH406" s="550">
        <f t="shared" si="94"/>
        <v>12200</v>
      </c>
      <c r="BI406" s="550">
        <f t="shared" si="95"/>
        <v>12200</v>
      </c>
      <c r="BJ406" s="550">
        <f t="shared" si="96"/>
        <v>0</v>
      </c>
      <c r="BK406" s="550">
        <f t="shared" si="97"/>
        <v>0</v>
      </c>
      <c r="BL406" s="550">
        <f t="shared" si="98"/>
        <v>0</v>
      </c>
      <c r="BM406" s="550">
        <f t="shared" si="99"/>
        <v>12200</v>
      </c>
      <c r="BO406" s="194"/>
      <c r="BQ406" s="193">
        <f t="shared" si="100"/>
        <v>0</v>
      </c>
      <c r="BR406" s="193">
        <f t="shared" si="101"/>
        <v>0</v>
      </c>
    </row>
    <row r="407" spans="1:70" ht="13.5" customHeight="1">
      <c r="A407" s="193" t="s">
        <v>378</v>
      </c>
      <c r="B407" s="193" t="s">
        <v>379</v>
      </c>
      <c r="C407" s="193" t="s">
        <v>214</v>
      </c>
      <c r="D407" s="193" t="s">
        <v>1165</v>
      </c>
      <c r="E407" s="193" t="s">
        <v>1166</v>
      </c>
      <c r="F407" s="193" t="s">
        <v>1588</v>
      </c>
      <c r="G407" s="193" t="s">
        <v>1588</v>
      </c>
      <c r="H407" s="193" t="s">
        <v>1520</v>
      </c>
      <c r="I407" s="193" t="s">
        <v>512</v>
      </c>
      <c r="J407" s="193" t="s">
        <v>1589</v>
      </c>
      <c r="K407" s="193" t="s">
        <v>386</v>
      </c>
      <c r="L407" s="193" t="s">
        <v>387</v>
      </c>
      <c r="M407" s="193" t="s">
        <v>378</v>
      </c>
      <c r="N407" s="193" t="s">
        <v>1497</v>
      </c>
      <c r="O407" s="193" t="s">
        <v>129</v>
      </c>
      <c r="P407" s="193" t="s">
        <v>138</v>
      </c>
      <c r="Q407" s="193" t="s">
        <v>137</v>
      </c>
      <c r="R407" s="193" t="s">
        <v>136</v>
      </c>
      <c r="S407" s="193" t="s">
        <v>214</v>
      </c>
      <c r="T407" s="193" t="s">
        <v>389</v>
      </c>
      <c r="U407" s="193" t="s">
        <v>390</v>
      </c>
      <c r="V407" s="193">
        <v>0</v>
      </c>
      <c r="W407" s="193">
        <v>0</v>
      </c>
      <c r="X407" s="193">
        <v>0</v>
      </c>
      <c r="Y407" s="194">
        <v>24900</v>
      </c>
      <c r="Z407" s="193" t="s">
        <v>515</v>
      </c>
      <c r="AA407" s="193" t="s">
        <v>516</v>
      </c>
      <c r="AB407" s="193">
        <v>24900</v>
      </c>
      <c r="AC407" s="193" t="s">
        <v>1500</v>
      </c>
      <c r="AD407" s="193" t="s">
        <v>136</v>
      </c>
      <c r="AE407" s="193">
        <v>24900</v>
      </c>
      <c r="AF407" s="193" t="s">
        <v>518</v>
      </c>
      <c r="AG407" s="193" t="s">
        <v>519</v>
      </c>
      <c r="AH407" s="193">
        <v>0</v>
      </c>
      <c r="AI407" s="193">
        <v>24900</v>
      </c>
      <c r="AJ407" s="193" t="s">
        <v>1590</v>
      </c>
      <c r="AL407" s="197" t="s">
        <v>1591</v>
      </c>
      <c r="AM407" s="193">
        <v>1</v>
      </c>
      <c r="AN407" s="193">
        <v>0</v>
      </c>
      <c r="AO407" s="193">
        <v>0</v>
      </c>
      <c r="AP407" s="193" t="s">
        <v>1524</v>
      </c>
      <c r="AQ407" s="193" t="s">
        <v>214</v>
      </c>
      <c r="AS407" s="197" t="s">
        <v>518</v>
      </c>
      <c r="AT407" s="197" t="s">
        <v>519</v>
      </c>
      <c r="AV407" s="194">
        <v>0</v>
      </c>
      <c r="AW407" s="194">
        <v>0</v>
      </c>
      <c r="AX407" s="194">
        <v>24900</v>
      </c>
      <c r="AY407" s="549">
        <v>24900</v>
      </c>
      <c r="AZ407" s="194">
        <v>0</v>
      </c>
      <c r="BA407" s="194">
        <v>0</v>
      </c>
      <c r="BB407" s="551">
        <v>0</v>
      </c>
      <c r="BC407" s="551">
        <v>24900</v>
      </c>
      <c r="BD407" s="551">
        <v>0</v>
      </c>
      <c r="BF407" s="550">
        <f t="shared" si="92"/>
        <v>0</v>
      </c>
      <c r="BG407" s="550">
        <f t="shared" si="93"/>
        <v>0</v>
      </c>
      <c r="BH407" s="550">
        <f t="shared" si="94"/>
        <v>24900</v>
      </c>
      <c r="BI407" s="550">
        <f t="shared" si="95"/>
        <v>24900</v>
      </c>
      <c r="BJ407" s="550">
        <f t="shared" si="96"/>
        <v>0</v>
      </c>
      <c r="BK407" s="550">
        <f t="shared" si="97"/>
        <v>0</v>
      </c>
      <c r="BL407" s="550">
        <f t="shared" si="98"/>
        <v>0</v>
      </c>
      <c r="BM407" s="550">
        <f t="shared" si="99"/>
        <v>24900</v>
      </c>
      <c r="BO407" s="194"/>
      <c r="BQ407" s="193">
        <f t="shared" si="100"/>
        <v>0</v>
      </c>
      <c r="BR407" s="193">
        <f t="shared" si="101"/>
        <v>0</v>
      </c>
    </row>
    <row r="408" spans="1:70" ht="13.5" customHeight="1">
      <c r="A408" s="193" t="s">
        <v>378</v>
      </c>
      <c r="B408" s="193" t="s">
        <v>379</v>
      </c>
      <c r="C408" s="193" t="s">
        <v>214</v>
      </c>
      <c r="D408" s="193" t="s">
        <v>1165</v>
      </c>
      <c r="E408" s="193" t="s">
        <v>1166</v>
      </c>
      <c r="F408" s="193" t="s">
        <v>663</v>
      </c>
      <c r="G408" s="193" t="s">
        <v>663</v>
      </c>
      <c r="H408" s="193" t="s">
        <v>1520</v>
      </c>
      <c r="I408" s="193" t="s">
        <v>512</v>
      </c>
      <c r="J408" s="193" t="s">
        <v>1546</v>
      </c>
      <c r="K408" s="193" t="s">
        <v>386</v>
      </c>
      <c r="L408" s="193" t="s">
        <v>387</v>
      </c>
      <c r="M408" s="193" t="s">
        <v>378</v>
      </c>
      <c r="N408" s="193" t="s">
        <v>1497</v>
      </c>
      <c r="O408" s="193" t="s">
        <v>129</v>
      </c>
      <c r="P408" s="193" t="s">
        <v>138</v>
      </c>
      <c r="Q408" s="193" t="s">
        <v>137</v>
      </c>
      <c r="R408" s="193" t="s">
        <v>136</v>
      </c>
      <c r="S408" s="193" t="s">
        <v>214</v>
      </c>
      <c r="T408" s="193" t="s">
        <v>389</v>
      </c>
      <c r="U408" s="193" t="s">
        <v>390</v>
      </c>
      <c r="V408" s="193">
        <v>0</v>
      </c>
      <c r="W408" s="193">
        <v>0</v>
      </c>
      <c r="X408" s="193">
        <v>0</v>
      </c>
      <c r="Y408" s="194">
        <v>17800</v>
      </c>
      <c r="Z408" s="193" t="s">
        <v>515</v>
      </c>
      <c r="AA408" s="193" t="s">
        <v>516</v>
      </c>
      <c r="AB408" s="193">
        <v>17800</v>
      </c>
      <c r="AC408" s="193" t="s">
        <v>1500</v>
      </c>
      <c r="AD408" s="193" t="s">
        <v>136</v>
      </c>
      <c r="AE408" s="193">
        <v>17800</v>
      </c>
      <c r="AF408" s="193" t="s">
        <v>518</v>
      </c>
      <c r="AG408" s="193" t="s">
        <v>519</v>
      </c>
      <c r="AH408" s="193">
        <v>0</v>
      </c>
      <c r="AI408" s="193">
        <v>17800</v>
      </c>
      <c r="AJ408" s="193" t="s">
        <v>1547</v>
      </c>
      <c r="AL408" s="197" t="s">
        <v>1548</v>
      </c>
      <c r="AM408" s="193">
        <v>1</v>
      </c>
      <c r="AN408" s="193">
        <v>0</v>
      </c>
      <c r="AO408" s="193">
        <v>0</v>
      </c>
      <c r="AP408" s="193" t="s">
        <v>1524</v>
      </c>
      <c r="AQ408" s="193" t="s">
        <v>214</v>
      </c>
      <c r="AS408" s="197" t="s">
        <v>518</v>
      </c>
      <c r="AT408" s="197" t="s">
        <v>519</v>
      </c>
      <c r="AV408" s="194">
        <v>0</v>
      </c>
      <c r="AW408" s="194">
        <v>0</v>
      </c>
      <c r="AX408" s="194">
        <v>17800</v>
      </c>
      <c r="AY408" s="549">
        <v>17800</v>
      </c>
      <c r="AZ408" s="194">
        <v>0</v>
      </c>
      <c r="BA408" s="194">
        <v>0</v>
      </c>
      <c r="BB408" s="551">
        <v>0</v>
      </c>
      <c r="BC408" s="551">
        <v>17800</v>
      </c>
      <c r="BD408" s="551">
        <v>0</v>
      </c>
      <c r="BF408" s="550">
        <f t="shared" si="92"/>
        <v>0</v>
      </c>
      <c r="BG408" s="550">
        <f t="shared" si="93"/>
        <v>0</v>
      </c>
      <c r="BH408" s="550">
        <f t="shared" si="94"/>
        <v>17800</v>
      </c>
      <c r="BI408" s="550">
        <f t="shared" si="95"/>
        <v>17800</v>
      </c>
      <c r="BJ408" s="550">
        <f t="shared" si="96"/>
        <v>0</v>
      </c>
      <c r="BK408" s="550">
        <f t="shared" si="97"/>
        <v>0</v>
      </c>
      <c r="BL408" s="550">
        <f t="shared" si="98"/>
        <v>0</v>
      </c>
      <c r="BM408" s="550">
        <f t="shared" si="99"/>
        <v>17800</v>
      </c>
      <c r="BO408" s="194"/>
      <c r="BQ408" s="193">
        <f t="shared" si="100"/>
        <v>0</v>
      </c>
      <c r="BR408" s="193">
        <f t="shared" si="101"/>
        <v>0</v>
      </c>
    </row>
    <row r="409" spans="1:70" ht="13.5" customHeight="1">
      <c r="A409" s="193" t="s">
        <v>378</v>
      </c>
      <c r="B409" s="193" t="s">
        <v>379</v>
      </c>
      <c r="C409" s="193" t="s">
        <v>214</v>
      </c>
      <c r="D409" s="193" t="s">
        <v>1165</v>
      </c>
      <c r="E409" s="193" t="s">
        <v>1166</v>
      </c>
      <c r="F409" s="193" t="s">
        <v>1443</v>
      </c>
      <c r="G409" s="193" t="s">
        <v>1443</v>
      </c>
      <c r="H409" s="193" t="s">
        <v>1520</v>
      </c>
      <c r="I409" s="193" t="s">
        <v>512</v>
      </c>
      <c r="J409" s="193" t="s">
        <v>1592</v>
      </c>
      <c r="K409" s="193" t="s">
        <v>386</v>
      </c>
      <c r="L409" s="193" t="s">
        <v>387</v>
      </c>
      <c r="M409" s="193" t="s">
        <v>378</v>
      </c>
      <c r="N409" s="193" t="s">
        <v>1497</v>
      </c>
      <c r="O409" s="193" t="s">
        <v>129</v>
      </c>
      <c r="P409" s="193" t="s">
        <v>138</v>
      </c>
      <c r="Q409" s="193" t="s">
        <v>137</v>
      </c>
      <c r="R409" s="193" t="s">
        <v>136</v>
      </c>
      <c r="S409" s="193" t="s">
        <v>214</v>
      </c>
      <c r="T409" s="193" t="s">
        <v>389</v>
      </c>
      <c r="U409" s="193" t="s">
        <v>390</v>
      </c>
      <c r="V409" s="193">
        <v>0</v>
      </c>
      <c r="W409" s="193">
        <v>0</v>
      </c>
      <c r="X409" s="193">
        <v>0</v>
      </c>
      <c r="Y409" s="194">
        <v>24900</v>
      </c>
      <c r="Z409" s="193" t="s">
        <v>515</v>
      </c>
      <c r="AA409" s="193" t="s">
        <v>516</v>
      </c>
      <c r="AB409" s="193">
        <v>24900</v>
      </c>
      <c r="AC409" s="193" t="s">
        <v>1500</v>
      </c>
      <c r="AD409" s="193" t="s">
        <v>136</v>
      </c>
      <c r="AE409" s="193">
        <v>24900</v>
      </c>
      <c r="AF409" s="193" t="s">
        <v>518</v>
      </c>
      <c r="AG409" s="193" t="s">
        <v>519</v>
      </c>
      <c r="AH409" s="193">
        <v>0</v>
      </c>
      <c r="AI409" s="193">
        <v>24900</v>
      </c>
      <c r="AJ409" s="193" t="s">
        <v>1590</v>
      </c>
      <c r="AL409" s="197" t="s">
        <v>1593</v>
      </c>
      <c r="AM409" s="193">
        <v>1</v>
      </c>
      <c r="AN409" s="193">
        <v>0</v>
      </c>
      <c r="AO409" s="193">
        <v>0</v>
      </c>
      <c r="AP409" s="193" t="s">
        <v>1524</v>
      </c>
      <c r="AQ409" s="193" t="s">
        <v>214</v>
      </c>
      <c r="AS409" s="197" t="s">
        <v>518</v>
      </c>
      <c r="AT409" s="197" t="s">
        <v>519</v>
      </c>
      <c r="AV409" s="194">
        <v>0</v>
      </c>
      <c r="AW409" s="194">
        <v>0</v>
      </c>
      <c r="AX409" s="194">
        <v>24900</v>
      </c>
      <c r="AY409" s="549">
        <v>24900</v>
      </c>
      <c r="AZ409" s="194">
        <v>0</v>
      </c>
      <c r="BA409" s="194">
        <v>0</v>
      </c>
      <c r="BB409" s="551">
        <v>0</v>
      </c>
      <c r="BC409" s="551">
        <v>24900</v>
      </c>
      <c r="BD409" s="551">
        <v>0</v>
      </c>
      <c r="BF409" s="550">
        <f t="shared" si="92"/>
        <v>0</v>
      </c>
      <c r="BG409" s="550">
        <f t="shared" si="93"/>
        <v>0</v>
      </c>
      <c r="BH409" s="550">
        <f t="shared" si="94"/>
        <v>24900</v>
      </c>
      <c r="BI409" s="550">
        <f t="shared" si="95"/>
        <v>24900</v>
      </c>
      <c r="BJ409" s="550">
        <f t="shared" si="96"/>
        <v>0</v>
      </c>
      <c r="BK409" s="550">
        <f t="shared" si="97"/>
        <v>0</v>
      </c>
      <c r="BL409" s="550">
        <f t="shared" si="98"/>
        <v>0</v>
      </c>
      <c r="BM409" s="550">
        <f t="shared" si="99"/>
        <v>24900</v>
      </c>
      <c r="BO409" s="194"/>
      <c r="BQ409" s="193">
        <f t="shared" si="100"/>
        <v>0</v>
      </c>
      <c r="BR409" s="193">
        <f t="shared" si="101"/>
        <v>0</v>
      </c>
    </row>
    <row r="410" spans="1:70" ht="13.5" customHeight="1">
      <c r="A410" s="193" t="s">
        <v>378</v>
      </c>
      <c r="B410" s="193" t="s">
        <v>379</v>
      </c>
      <c r="C410" s="193" t="s">
        <v>214</v>
      </c>
      <c r="D410" s="193" t="s">
        <v>1165</v>
      </c>
      <c r="E410" s="193" t="s">
        <v>1166</v>
      </c>
      <c r="F410" s="193" t="s">
        <v>816</v>
      </c>
      <c r="G410" s="193" t="s">
        <v>816</v>
      </c>
      <c r="H410" s="193" t="s">
        <v>1520</v>
      </c>
      <c r="I410" s="193" t="s">
        <v>512</v>
      </c>
      <c r="J410" s="193" t="s">
        <v>1549</v>
      </c>
      <c r="K410" s="193" t="s">
        <v>386</v>
      </c>
      <c r="L410" s="193" t="s">
        <v>387</v>
      </c>
      <c r="M410" s="193" t="s">
        <v>378</v>
      </c>
      <c r="N410" s="193" t="s">
        <v>1497</v>
      </c>
      <c r="O410" s="193" t="s">
        <v>129</v>
      </c>
      <c r="P410" s="193" t="s">
        <v>138</v>
      </c>
      <c r="Q410" s="193" t="s">
        <v>137</v>
      </c>
      <c r="R410" s="193" t="s">
        <v>136</v>
      </c>
      <c r="S410" s="193" t="s">
        <v>214</v>
      </c>
      <c r="T410" s="193" t="s">
        <v>389</v>
      </c>
      <c r="U410" s="193" t="s">
        <v>390</v>
      </c>
      <c r="V410" s="193">
        <v>0</v>
      </c>
      <c r="W410" s="193">
        <v>0</v>
      </c>
      <c r="X410" s="193">
        <v>0</v>
      </c>
      <c r="Y410" s="194">
        <v>17300</v>
      </c>
      <c r="Z410" s="193" t="s">
        <v>515</v>
      </c>
      <c r="AA410" s="193" t="s">
        <v>516</v>
      </c>
      <c r="AB410" s="193">
        <v>17300</v>
      </c>
      <c r="AC410" s="193" t="s">
        <v>1500</v>
      </c>
      <c r="AD410" s="193" t="s">
        <v>136</v>
      </c>
      <c r="AE410" s="193">
        <v>17300</v>
      </c>
      <c r="AF410" s="193" t="s">
        <v>518</v>
      </c>
      <c r="AG410" s="193" t="s">
        <v>519</v>
      </c>
      <c r="AH410" s="193">
        <v>0</v>
      </c>
      <c r="AI410" s="193">
        <v>17300</v>
      </c>
      <c r="AJ410" s="193" t="s">
        <v>1550</v>
      </c>
      <c r="AL410" s="197" t="s">
        <v>1551</v>
      </c>
      <c r="AM410" s="193">
        <v>1</v>
      </c>
      <c r="AN410" s="193">
        <v>0</v>
      </c>
      <c r="AO410" s="193">
        <v>0</v>
      </c>
      <c r="AP410" s="193" t="s">
        <v>1524</v>
      </c>
      <c r="AQ410" s="193" t="s">
        <v>214</v>
      </c>
      <c r="AS410" s="197" t="s">
        <v>518</v>
      </c>
      <c r="AT410" s="197" t="s">
        <v>519</v>
      </c>
      <c r="AV410" s="194">
        <v>0</v>
      </c>
      <c r="AW410" s="194">
        <v>0</v>
      </c>
      <c r="AX410" s="194">
        <v>17300</v>
      </c>
      <c r="AY410" s="549">
        <v>17300</v>
      </c>
      <c r="AZ410" s="194">
        <v>0</v>
      </c>
      <c r="BA410" s="194">
        <v>0</v>
      </c>
      <c r="BB410" s="551">
        <v>0</v>
      </c>
      <c r="BC410" s="551">
        <v>17300</v>
      </c>
      <c r="BD410" s="551">
        <v>0</v>
      </c>
      <c r="BF410" s="550">
        <f t="shared" si="92"/>
        <v>0</v>
      </c>
      <c r="BG410" s="550">
        <f t="shared" si="93"/>
        <v>0</v>
      </c>
      <c r="BH410" s="550">
        <f t="shared" si="94"/>
        <v>17300</v>
      </c>
      <c r="BI410" s="550">
        <f t="shared" si="95"/>
        <v>17300</v>
      </c>
      <c r="BJ410" s="550">
        <f t="shared" si="96"/>
        <v>0</v>
      </c>
      <c r="BK410" s="550">
        <f t="shared" si="97"/>
        <v>0</v>
      </c>
      <c r="BL410" s="550">
        <f t="shared" si="98"/>
        <v>0</v>
      </c>
      <c r="BM410" s="550">
        <f t="shared" si="99"/>
        <v>17300</v>
      </c>
      <c r="BO410" s="194"/>
      <c r="BQ410" s="193">
        <f t="shared" si="100"/>
        <v>0</v>
      </c>
      <c r="BR410" s="193">
        <f t="shared" si="101"/>
        <v>0</v>
      </c>
    </row>
    <row r="411" spans="1:70" ht="13.5" customHeight="1">
      <c r="A411" s="193" t="s">
        <v>378</v>
      </c>
      <c r="B411" s="193" t="s">
        <v>379</v>
      </c>
      <c r="C411" s="193" t="s">
        <v>214</v>
      </c>
      <c r="D411" s="193" t="s">
        <v>1165</v>
      </c>
      <c r="E411" s="193" t="s">
        <v>1166</v>
      </c>
      <c r="F411" s="193" t="s">
        <v>1552</v>
      </c>
      <c r="G411" s="193" t="s">
        <v>1552</v>
      </c>
      <c r="H411" s="193" t="s">
        <v>1520</v>
      </c>
      <c r="I411" s="193" t="s">
        <v>512</v>
      </c>
      <c r="J411" s="193" t="s">
        <v>1553</v>
      </c>
      <c r="K411" s="193" t="s">
        <v>386</v>
      </c>
      <c r="L411" s="193" t="s">
        <v>387</v>
      </c>
      <c r="M411" s="193" t="s">
        <v>378</v>
      </c>
      <c r="N411" s="193" t="s">
        <v>1497</v>
      </c>
      <c r="O411" s="193" t="s">
        <v>129</v>
      </c>
      <c r="P411" s="193" t="s">
        <v>138</v>
      </c>
      <c r="Q411" s="193" t="s">
        <v>137</v>
      </c>
      <c r="R411" s="193" t="s">
        <v>136</v>
      </c>
      <c r="S411" s="193" t="s">
        <v>214</v>
      </c>
      <c r="T411" s="193" t="s">
        <v>389</v>
      </c>
      <c r="U411" s="193" t="s">
        <v>390</v>
      </c>
      <c r="V411" s="193">
        <v>0</v>
      </c>
      <c r="W411" s="193">
        <v>0</v>
      </c>
      <c r="X411" s="193">
        <v>0</v>
      </c>
      <c r="Y411" s="194">
        <v>25500</v>
      </c>
      <c r="Z411" s="193" t="s">
        <v>515</v>
      </c>
      <c r="AA411" s="193" t="s">
        <v>516</v>
      </c>
      <c r="AB411" s="193">
        <v>25500</v>
      </c>
      <c r="AC411" s="193" t="s">
        <v>1500</v>
      </c>
      <c r="AD411" s="193" t="s">
        <v>136</v>
      </c>
      <c r="AE411" s="193">
        <v>25500</v>
      </c>
      <c r="AF411" s="193" t="s">
        <v>518</v>
      </c>
      <c r="AG411" s="193" t="s">
        <v>519</v>
      </c>
      <c r="AH411" s="193">
        <v>0</v>
      </c>
      <c r="AI411" s="193">
        <v>25500</v>
      </c>
      <c r="AJ411" s="193" t="s">
        <v>1534</v>
      </c>
      <c r="AL411" s="197" t="s">
        <v>1554</v>
      </c>
      <c r="AM411" s="193">
        <v>1</v>
      </c>
      <c r="AN411" s="193">
        <v>0</v>
      </c>
      <c r="AO411" s="193">
        <v>0</v>
      </c>
      <c r="AP411" s="193" t="s">
        <v>1524</v>
      </c>
      <c r="AQ411" s="193" t="s">
        <v>214</v>
      </c>
      <c r="AS411" s="197" t="s">
        <v>518</v>
      </c>
      <c r="AT411" s="197" t="s">
        <v>519</v>
      </c>
      <c r="AV411" s="194">
        <v>0</v>
      </c>
      <c r="AW411" s="194">
        <v>0</v>
      </c>
      <c r="AX411" s="194">
        <v>25500</v>
      </c>
      <c r="AY411" s="549">
        <v>25500</v>
      </c>
      <c r="AZ411" s="194">
        <v>0</v>
      </c>
      <c r="BA411" s="194">
        <v>0</v>
      </c>
      <c r="BB411" s="551">
        <v>0</v>
      </c>
      <c r="BC411" s="551">
        <v>25500</v>
      </c>
      <c r="BD411" s="551">
        <v>0</v>
      </c>
      <c r="BF411" s="550">
        <f t="shared" si="92"/>
        <v>0</v>
      </c>
      <c r="BG411" s="550">
        <f t="shared" si="93"/>
        <v>0</v>
      </c>
      <c r="BH411" s="550">
        <f t="shared" si="94"/>
        <v>25500</v>
      </c>
      <c r="BI411" s="550">
        <f t="shared" si="95"/>
        <v>25500</v>
      </c>
      <c r="BJ411" s="550">
        <f t="shared" si="96"/>
        <v>0</v>
      </c>
      <c r="BK411" s="550">
        <f t="shared" si="97"/>
        <v>0</v>
      </c>
      <c r="BL411" s="550">
        <f t="shared" si="98"/>
        <v>0</v>
      </c>
      <c r="BM411" s="550">
        <f t="shared" si="99"/>
        <v>25500</v>
      </c>
      <c r="BO411" s="194"/>
      <c r="BQ411" s="193">
        <f t="shared" si="100"/>
        <v>0</v>
      </c>
      <c r="BR411" s="193">
        <f t="shared" si="101"/>
        <v>0</v>
      </c>
    </row>
    <row r="412" spans="1:70" ht="13.5" customHeight="1">
      <c r="A412" s="193" t="s">
        <v>1624</v>
      </c>
      <c r="B412" s="193" t="s">
        <v>379</v>
      </c>
      <c r="C412" s="193" t="s">
        <v>214</v>
      </c>
      <c r="D412" s="193" t="s">
        <v>1165</v>
      </c>
      <c r="E412" s="193" t="s">
        <v>1166</v>
      </c>
      <c r="F412" s="193" t="s">
        <v>1451</v>
      </c>
      <c r="G412" s="193" t="s">
        <v>1451</v>
      </c>
      <c r="H412" s="193" t="s">
        <v>1520</v>
      </c>
      <c r="I412" s="193" t="s">
        <v>512</v>
      </c>
      <c r="J412" s="193" t="s">
        <v>1625</v>
      </c>
      <c r="K412" s="193" t="s">
        <v>386</v>
      </c>
      <c r="L412" s="193" t="s">
        <v>387</v>
      </c>
      <c r="M412" s="193" t="s">
        <v>378</v>
      </c>
      <c r="N412" s="193" t="s">
        <v>1497</v>
      </c>
      <c r="O412" s="193" t="s">
        <v>129</v>
      </c>
      <c r="P412" s="193" t="s">
        <v>138</v>
      </c>
      <c r="Q412" s="193" t="s">
        <v>137</v>
      </c>
      <c r="R412" s="193" t="s">
        <v>136</v>
      </c>
      <c r="S412" s="193" t="s">
        <v>214</v>
      </c>
      <c r="T412" s="193" t="s">
        <v>389</v>
      </c>
      <c r="U412" s="193" t="s">
        <v>390</v>
      </c>
      <c r="V412" s="193">
        <v>0</v>
      </c>
      <c r="W412" s="193">
        <v>0</v>
      </c>
      <c r="X412" s="193">
        <v>0</v>
      </c>
      <c r="Y412" s="194">
        <v>24400</v>
      </c>
      <c r="Z412" s="193" t="s">
        <v>515</v>
      </c>
      <c r="AA412" s="193" t="s">
        <v>516</v>
      </c>
      <c r="AB412" s="193">
        <v>24400</v>
      </c>
      <c r="AC412" s="193" t="s">
        <v>1500</v>
      </c>
      <c r="AD412" s="193" t="s">
        <v>136</v>
      </c>
      <c r="AE412" s="193">
        <v>24400</v>
      </c>
      <c r="AF412" s="193" t="s">
        <v>518</v>
      </c>
      <c r="AG412" s="193" t="s">
        <v>519</v>
      </c>
      <c r="AH412" s="193">
        <v>0</v>
      </c>
      <c r="AI412" s="193">
        <v>24400</v>
      </c>
      <c r="AJ412" s="193" t="s">
        <v>1626</v>
      </c>
      <c r="AL412" s="197" t="s">
        <v>1627</v>
      </c>
      <c r="AM412" s="193">
        <v>1</v>
      </c>
      <c r="AN412" s="193">
        <v>0</v>
      </c>
      <c r="AO412" s="193">
        <v>0</v>
      </c>
      <c r="AP412" s="193" t="s">
        <v>1524</v>
      </c>
      <c r="AQ412" s="193" t="s">
        <v>214</v>
      </c>
      <c r="AS412" s="197" t="s">
        <v>518</v>
      </c>
      <c r="AT412" s="197" t="s">
        <v>519</v>
      </c>
      <c r="AV412" s="194">
        <v>0</v>
      </c>
      <c r="AW412" s="194">
        <v>0</v>
      </c>
      <c r="AX412" s="194">
        <v>24400</v>
      </c>
      <c r="AY412" s="549">
        <v>24400</v>
      </c>
      <c r="AZ412" s="194">
        <v>0</v>
      </c>
      <c r="BA412" s="194">
        <v>0</v>
      </c>
      <c r="BB412" s="551">
        <v>0</v>
      </c>
      <c r="BC412" s="551">
        <v>24400</v>
      </c>
      <c r="BD412" s="551">
        <v>0</v>
      </c>
      <c r="BF412" s="550">
        <f t="shared" si="92"/>
        <v>0</v>
      </c>
      <c r="BG412" s="550">
        <f t="shared" si="93"/>
        <v>0</v>
      </c>
      <c r="BH412" s="550">
        <f t="shared" si="94"/>
        <v>24400</v>
      </c>
      <c r="BI412" s="550">
        <f t="shared" si="95"/>
        <v>24400</v>
      </c>
      <c r="BJ412" s="550">
        <f t="shared" si="96"/>
        <v>0</v>
      </c>
      <c r="BK412" s="550">
        <f t="shared" si="97"/>
        <v>0</v>
      </c>
      <c r="BL412" s="550">
        <f t="shared" si="98"/>
        <v>0</v>
      </c>
      <c r="BM412" s="550">
        <f t="shared" si="99"/>
        <v>24400</v>
      </c>
      <c r="BO412" s="194"/>
      <c r="BQ412" s="193">
        <f t="shared" si="100"/>
        <v>0</v>
      </c>
      <c r="BR412" s="193">
        <f t="shared" si="101"/>
        <v>0</v>
      </c>
    </row>
    <row r="413" spans="1:70" ht="13.5" customHeight="1">
      <c r="A413" s="193" t="s">
        <v>1624</v>
      </c>
      <c r="B413" s="193" t="s">
        <v>379</v>
      </c>
      <c r="C413" s="193" t="s">
        <v>214</v>
      </c>
      <c r="D413" s="193" t="s">
        <v>1165</v>
      </c>
      <c r="E413" s="193" t="s">
        <v>1166</v>
      </c>
      <c r="F413" s="193" t="s">
        <v>1451</v>
      </c>
      <c r="G413" s="193" t="s">
        <v>1451</v>
      </c>
      <c r="H413" s="193" t="s">
        <v>1520</v>
      </c>
      <c r="I413" s="193" t="s">
        <v>512</v>
      </c>
      <c r="J413" s="193" t="s">
        <v>1628</v>
      </c>
      <c r="K413" s="193" t="s">
        <v>386</v>
      </c>
      <c r="L413" s="193" t="s">
        <v>387</v>
      </c>
      <c r="M413" s="193" t="s">
        <v>378</v>
      </c>
      <c r="N413" s="193" t="s">
        <v>1497</v>
      </c>
      <c r="O413" s="193" t="s">
        <v>129</v>
      </c>
      <c r="P413" s="193" t="s">
        <v>138</v>
      </c>
      <c r="Q413" s="193" t="s">
        <v>137</v>
      </c>
      <c r="R413" s="193" t="s">
        <v>136</v>
      </c>
      <c r="S413" s="193" t="s">
        <v>214</v>
      </c>
      <c r="T413" s="193" t="s">
        <v>389</v>
      </c>
      <c r="U413" s="193" t="s">
        <v>390</v>
      </c>
      <c r="V413" s="193">
        <v>0</v>
      </c>
      <c r="W413" s="193">
        <v>0</v>
      </c>
      <c r="X413" s="193">
        <v>0</v>
      </c>
      <c r="Y413" s="194">
        <v>5200</v>
      </c>
      <c r="Z413" s="193" t="s">
        <v>515</v>
      </c>
      <c r="AA413" s="193" t="s">
        <v>516</v>
      </c>
      <c r="AB413" s="193">
        <v>5200</v>
      </c>
      <c r="AC413" s="193" t="s">
        <v>1500</v>
      </c>
      <c r="AD413" s="193" t="s">
        <v>136</v>
      </c>
      <c r="AE413" s="193">
        <v>5200</v>
      </c>
      <c r="AF413" s="193" t="s">
        <v>518</v>
      </c>
      <c r="AG413" s="193" t="s">
        <v>519</v>
      </c>
      <c r="AH413" s="193">
        <v>0</v>
      </c>
      <c r="AI413" s="193">
        <v>5200</v>
      </c>
      <c r="AJ413" s="193" t="s">
        <v>1629</v>
      </c>
      <c r="AL413" s="197" t="s">
        <v>1630</v>
      </c>
      <c r="AM413" s="193">
        <v>1</v>
      </c>
      <c r="AN413" s="193">
        <v>0</v>
      </c>
      <c r="AO413" s="193">
        <v>0</v>
      </c>
      <c r="AP413" s="193" t="s">
        <v>1524</v>
      </c>
      <c r="AQ413" s="193" t="s">
        <v>214</v>
      </c>
      <c r="AS413" s="197" t="s">
        <v>518</v>
      </c>
      <c r="AT413" s="197" t="s">
        <v>519</v>
      </c>
      <c r="AV413" s="194">
        <v>0</v>
      </c>
      <c r="AW413" s="194">
        <v>0</v>
      </c>
      <c r="AX413" s="194">
        <v>5200</v>
      </c>
      <c r="AY413" s="549">
        <v>5200</v>
      </c>
      <c r="AZ413" s="194">
        <v>0</v>
      </c>
      <c r="BA413" s="194">
        <v>0</v>
      </c>
      <c r="BB413" s="551">
        <v>0</v>
      </c>
      <c r="BC413" s="551">
        <v>5200</v>
      </c>
      <c r="BD413" s="551">
        <v>0</v>
      </c>
      <c r="BF413" s="550">
        <f t="shared" si="92"/>
        <v>0</v>
      </c>
      <c r="BG413" s="550">
        <f t="shared" si="93"/>
        <v>0</v>
      </c>
      <c r="BH413" s="550">
        <f t="shared" si="94"/>
        <v>5200</v>
      </c>
      <c r="BI413" s="550">
        <f t="shared" si="95"/>
        <v>5200</v>
      </c>
      <c r="BJ413" s="550">
        <f t="shared" si="96"/>
        <v>0</v>
      </c>
      <c r="BK413" s="550">
        <f t="shared" si="97"/>
        <v>0</v>
      </c>
      <c r="BL413" s="550">
        <f t="shared" si="98"/>
        <v>0</v>
      </c>
      <c r="BM413" s="550">
        <f t="shared" si="99"/>
        <v>5200</v>
      </c>
      <c r="BO413" s="194"/>
      <c r="BQ413" s="193">
        <f t="shared" si="100"/>
        <v>0</v>
      </c>
      <c r="BR413" s="193">
        <f t="shared" si="101"/>
        <v>0</v>
      </c>
    </row>
    <row r="414" spans="1:70" ht="13.5" customHeight="1">
      <c r="A414" s="193" t="s">
        <v>378</v>
      </c>
      <c r="B414" s="193" t="s">
        <v>379</v>
      </c>
      <c r="C414" s="193" t="s">
        <v>214</v>
      </c>
      <c r="D414" s="193" t="s">
        <v>1631</v>
      </c>
      <c r="E414" s="193" t="s">
        <v>1632</v>
      </c>
      <c r="F414" s="193" t="s">
        <v>1633</v>
      </c>
      <c r="G414" s="193" t="s">
        <v>1633</v>
      </c>
      <c r="H414" s="193" t="s">
        <v>1634</v>
      </c>
      <c r="I414" s="193" t="s">
        <v>384</v>
      </c>
      <c r="J414" s="193" t="s">
        <v>1635</v>
      </c>
      <c r="K414" s="193" t="s">
        <v>386</v>
      </c>
      <c r="L414" s="193" t="s">
        <v>387</v>
      </c>
      <c r="M414" s="193" t="s">
        <v>378</v>
      </c>
      <c r="N414" s="193" t="s">
        <v>1497</v>
      </c>
      <c r="O414" s="193" t="s">
        <v>129</v>
      </c>
      <c r="P414" s="193" t="s">
        <v>138</v>
      </c>
      <c r="Q414" s="193" t="s">
        <v>137</v>
      </c>
      <c r="R414" s="193" t="s">
        <v>136</v>
      </c>
      <c r="S414" s="193" t="s">
        <v>214</v>
      </c>
      <c r="T414" s="193" t="s">
        <v>389</v>
      </c>
      <c r="U414" s="193" t="s">
        <v>390</v>
      </c>
      <c r="V414" s="193">
        <v>0</v>
      </c>
      <c r="W414" s="193">
        <v>0</v>
      </c>
      <c r="X414" s="193">
        <v>0</v>
      </c>
      <c r="Y414" s="194">
        <v>5811</v>
      </c>
      <c r="Z414" s="193" t="s">
        <v>1498</v>
      </c>
      <c r="AA414" s="193" t="s">
        <v>1499</v>
      </c>
      <c r="AB414" s="193">
        <v>5811</v>
      </c>
      <c r="AC414" s="193" t="s">
        <v>1500</v>
      </c>
      <c r="AD414" s="193" t="s">
        <v>136</v>
      </c>
      <c r="AE414" s="193">
        <v>5811</v>
      </c>
      <c r="AF414" s="193" t="s">
        <v>394</v>
      </c>
      <c r="AG414" s="193" t="s">
        <v>395</v>
      </c>
      <c r="AH414" s="193">
        <v>528</v>
      </c>
      <c r="AI414" s="193">
        <v>5283</v>
      </c>
      <c r="AJ414" s="193" t="s">
        <v>1636</v>
      </c>
      <c r="AL414" s="197" t="s">
        <v>1637</v>
      </c>
      <c r="AM414" s="193">
        <v>1</v>
      </c>
      <c r="AN414" s="193">
        <v>0</v>
      </c>
      <c r="AO414" s="193">
        <v>0</v>
      </c>
      <c r="AP414" s="193">
        <v>0</v>
      </c>
      <c r="AQ414" s="193" t="s">
        <v>214</v>
      </c>
      <c r="AS414" s="197" t="s">
        <v>394</v>
      </c>
      <c r="AT414" s="197" t="s">
        <v>395</v>
      </c>
      <c r="AV414" s="194">
        <v>1046</v>
      </c>
      <c r="AW414" s="194">
        <v>0</v>
      </c>
      <c r="AX414" s="194">
        <v>0</v>
      </c>
      <c r="AY414" s="549">
        <v>1046</v>
      </c>
      <c r="AZ414" s="194">
        <v>0</v>
      </c>
      <c r="BA414" s="194">
        <v>4765</v>
      </c>
      <c r="BB414" s="551">
        <v>4765</v>
      </c>
      <c r="BC414" s="551">
        <v>5811</v>
      </c>
      <c r="BD414" s="551">
        <v>0</v>
      </c>
      <c r="BF414" s="550">
        <f t="shared" si="92"/>
        <v>951</v>
      </c>
      <c r="BG414" s="550">
        <f t="shared" si="93"/>
        <v>0</v>
      </c>
      <c r="BH414" s="550">
        <f t="shared" si="94"/>
        <v>0</v>
      </c>
      <c r="BI414" s="550">
        <f t="shared" si="95"/>
        <v>951</v>
      </c>
      <c r="BJ414" s="550">
        <f t="shared" si="96"/>
        <v>0</v>
      </c>
      <c r="BK414" s="550">
        <f t="shared" si="97"/>
        <v>4332</v>
      </c>
      <c r="BL414" s="550">
        <f t="shared" si="98"/>
        <v>4332</v>
      </c>
      <c r="BM414" s="550">
        <f t="shared" si="99"/>
        <v>5283</v>
      </c>
      <c r="BO414" s="194"/>
      <c r="BQ414" s="193">
        <f t="shared" si="100"/>
        <v>-9.0909090909121915E-2</v>
      </c>
      <c r="BR414" s="193">
        <f t="shared" si="101"/>
        <v>-0.18181818181801646</v>
      </c>
    </row>
    <row r="415" spans="1:70" ht="13.5" customHeight="1">
      <c r="A415" s="193" t="s">
        <v>378</v>
      </c>
      <c r="B415" s="193" t="s">
        <v>379</v>
      </c>
      <c r="C415" s="193" t="s">
        <v>214</v>
      </c>
      <c r="D415" s="193" t="s">
        <v>1631</v>
      </c>
      <c r="E415" s="193" t="s">
        <v>1632</v>
      </c>
      <c r="F415" s="193" t="s">
        <v>1638</v>
      </c>
      <c r="G415" s="193" t="s">
        <v>1638</v>
      </c>
      <c r="H415" s="193" t="s">
        <v>1639</v>
      </c>
      <c r="I415" s="193" t="s">
        <v>384</v>
      </c>
      <c r="J415" s="193" t="s">
        <v>1640</v>
      </c>
      <c r="K415" s="193" t="s">
        <v>386</v>
      </c>
      <c r="L415" s="193" t="s">
        <v>387</v>
      </c>
      <c r="M415" s="193" t="s">
        <v>378</v>
      </c>
      <c r="N415" s="193" t="s">
        <v>1497</v>
      </c>
      <c r="O415" s="193" t="s">
        <v>129</v>
      </c>
      <c r="P415" s="193" t="s">
        <v>138</v>
      </c>
      <c r="Q415" s="193" t="s">
        <v>137</v>
      </c>
      <c r="R415" s="193" t="s">
        <v>136</v>
      </c>
      <c r="S415" s="193" t="s">
        <v>214</v>
      </c>
      <c r="T415" s="193" t="s">
        <v>389</v>
      </c>
      <c r="U415" s="193" t="s">
        <v>390</v>
      </c>
      <c r="V415" s="193">
        <v>0</v>
      </c>
      <c r="W415" s="193">
        <v>0</v>
      </c>
      <c r="X415" s="193">
        <v>0</v>
      </c>
      <c r="Y415" s="194">
        <v>7723</v>
      </c>
      <c r="Z415" s="193" t="s">
        <v>1498</v>
      </c>
      <c r="AA415" s="193" t="s">
        <v>1499</v>
      </c>
      <c r="AB415" s="193">
        <v>7723</v>
      </c>
      <c r="AC415" s="193" t="s">
        <v>1500</v>
      </c>
      <c r="AD415" s="193" t="s">
        <v>136</v>
      </c>
      <c r="AE415" s="193">
        <v>7723</v>
      </c>
      <c r="AF415" s="193" t="s">
        <v>394</v>
      </c>
      <c r="AG415" s="193" t="s">
        <v>395</v>
      </c>
      <c r="AH415" s="193">
        <v>702</v>
      </c>
      <c r="AI415" s="193">
        <v>7021</v>
      </c>
      <c r="AJ415" s="193" t="s">
        <v>1636</v>
      </c>
      <c r="AL415" s="197" t="s">
        <v>1641</v>
      </c>
      <c r="AM415" s="193">
        <v>1</v>
      </c>
      <c r="AN415" s="193">
        <v>0</v>
      </c>
      <c r="AO415" s="193">
        <v>0</v>
      </c>
      <c r="AP415" s="193">
        <v>0</v>
      </c>
      <c r="AQ415" s="193" t="s">
        <v>214</v>
      </c>
      <c r="AS415" s="197" t="s">
        <v>394</v>
      </c>
      <c r="AT415" s="197" t="s">
        <v>395</v>
      </c>
      <c r="AV415" s="194">
        <v>1390</v>
      </c>
      <c r="AW415" s="194">
        <v>0</v>
      </c>
      <c r="AX415" s="194">
        <v>0</v>
      </c>
      <c r="AY415" s="549">
        <v>1390</v>
      </c>
      <c r="AZ415" s="194">
        <v>0</v>
      </c>
      <c r="BA415" s="194">
        <v>6333</v>
      </c>
      <c r="BB415" s="551">
        <v>6333</v>
      </c>
      <c r="BC415" s="551">
        <v>7723</v>
      </c>
      <c r="BD415" s="551">
        <v>0</v>
      </c>
      <c r="BF415" s="550">
        <f t="shared" si="92"/>
        <v>1264</v>
      </c>
      <c r="BG415" s="550">
        <f t="shared" si="93"/>
        <v>0</v>
      </c>
      <c r="BH415" s="550">
        <f t="shared" si="94"/>
        <v>0</v>
      </c>
      <c r="BI415" s="550">
        <f t="shared" si="95"/>
        <v>1264</v>
      </c>
      <c r="BJ415" s="550">
        <f t="shared" si="96"/>
        <v>0</v>
      </c>
      <c r="BK415" s="550">
        <f t="shared" si="97"/>
        <v>5757</v>
      </c>
      <c r="BL415" s="550">
        <f t="shared" si="98"/>
        <v>5757</v>
      </c>
      <c r="BM415" s="550">
        <f t="shared" si="99"/>
        <v>7021</v>
      </c>
      <c r="BO415" s="194"/>
      <c r="BQ415" s="193">
        <f t="shared" si="100"/>
        <v>-0.36363636363626028</v>
      </c>
      <c r="BR415" s="193">
        <f t="shared" si="101"/>
        <v>0.27272727272702468</v>
      </c>
    </row>
    <row r="416" spans="1:70" ht="13.5" customHeight="1">
      <c r="A416" s="193" t="s">
        <v>378</v>
      </c>
      <c r="B416" s="193" t="s">
        <v>379</v>
      </c>
      <c r="C416" s="193" t="s">
        <v>214</v>
      </c>
      <c r="D416" s="193" t="s">
        <v>1631</v>
      </c>
      <c r="E416" s="193" t="s">
        <v>1632</v>
      </c>
      <c r="F416" s="193" t="s">
        <v>439</v>
      </c>
      <c r="G416" s="193" t="s">
        <v>439</v>
      </c>
      <c r="H416" s="193" t="s">
        <v>1642</v>
      </c>
      <c r="I416" s="193" t="s">
        <v>384</v>
      </c>
      <c r="J416" s="193" t="s">
        <v>1643</v>
      </c>
      <c r="K416" s="193" t="s">
        <v>386</v>
      </c>
      <c r="L416" s="193" t="s">
        <v>387</v>
      </c>
      <c r="M416" s="193" t="s">
        <v>378</v>
      </c>
      <c r="N416" s="193" t="s">
        <v>1497</v>
      </c>
      <c r="O416" s="193" t="s">
        <v>129</v>
      </c>
      <c r="P416" s="193" t="s">
        <v>138</v>
      </c>
      <c r="Q416" s="193" t="s">
        <v>137</v>
      </c>
      <c r="R416" s="193" t="s">
        <v>136</v>
      </c>
      <c r="S416" s="193" t="s">
        <v>214</v>
      </c>
      <c r="T416" s="193" t="s">
        <v>389</v>
      </c>
      <c r="U416" s="193" t="s">
        <v>390</v>
      </c>
      <c r="V416" s="193">
        <v>0</v>
      </c>
      <c r="W416" s="193">
        <v>0</v>
      </c>
      <c r="X416" s="193">
        <v>0</v>
      </c>
      <c r="Y416" s="194">
        <v>7041</v>
      </c>
      <c r="Z416" s="193" t="s">
        <v>1498</v>
      </c>
      <c r="AA416" s="193" t="s">
        <v>1499</v>
      </c>
      <c r="AB416" s="193">
        <v>7041</v>
      </c>
      <c r="AC416" s="193" t="s">
        <v>1500</v>
      </c>
      <c r="AD416" s="193" t="s">
        <v>136</v>
      </c>
      <c r="AE416" s="193">
        <v>7041</v>
      </c>
      <c r="AF416" s="193" t="s">
        <v>394</v>
      </c>
      <c r="AG416" s="193" t="s">
        <v>395</v>
      </c>
      <c r="AH416" s="193">
        <v>640</v>
      </c>
      <c r="AI416" s="193">
        <v>6401</v>
      </c>
      <c r="AJ416" s="193" t="s">
        <v>1636</v>
      </c>
      <c r="AL416" s="197" t="s">
        <v>1644</v>
      </c>
      <c r="AM416" s="193">
        <v>1</v>
      </c>
      <c r="AN416" s="193">
        <v>0</v>
      </c>
      <c r="AO416" s="193">
        <v>0</v>
      </c>
      <c r="AP416" s="193">
        <v>0</v>
      </c>
      <c r="AQ416" s="193" t="s">
        <v>214</v>
      </c>
      <c r="AS416" s="197" t="s">
        <v>394</v>
      </c>
      <c r="AT416" s="197" t="s">
        <v>395</v>
      </c>
      <c r="AV416" s="194">
        <v>1267</v>
      </c>
      <c r="AW416" s="194">
        <v>0</v>
      </c>
      <c r="AX416" s="194">
        <v>0</v>
      </c>
      <c r="AY416" s="549">
        <v>1267</v>
      </c>
      <c r="AZ416" s="194">
        <v>0</v>
      </c>
      <c r="BA416" s="194">
        <v>5774</v>
      </c>
      <c r="BB416" s="551">
        <v>5774</v>
      </c>
      <c r="BC416" s="551">
        <v>7041</v>
      </c>
      <c r="BD416" s="551">
        <v>0</v>
      </c>
      <c r="BF416" s="550">
        <f t="shared" si="92"/>
        <v>1152</v>
      </c>
      <c r="BG416" s="550">
        <f t="shared" si="93"/>
        <v>0</v>
      </c>
      <c r="BH416" s="550">
        <f t="shared" si="94"/>
        <v>0</v>
      </c>
      <c r="BI416" s="550">
        <f t="shared" si="95"/>
        <v>1152</v>
      </c>
      <c r="BJ416" s="550">
        <f t="shared" si="96"/>
        <v>0</v>
      </c>
      <c r="BK416" s="550">
        <f t="shared" si="97"/>
        <v>5249</v>
      </c>
      <c r="BL416" s="550">
        <f t="shared" si="98"/>
        <v>5249</v>
      </c>
      <c r="BM416" s="550">
        <f t="shared" si="99"/>
        <v>6401</v>
      </c>
      <c r="BO416" s="194"/>
      <c r="BQ416" s="193">
        <f t="shared" si="100"/>
        <v>-0.18181818181824383</v>
      </c>
      <c r="BR416" s="193">
        <f t="shared" si="101"/>
        <v>9.0909090909008228E-2</v>
      </c>
    </row>
    <row r="417" spans="1:70" ht="13.5" customHeight="1">
      <c r="A417" s="193" t="s">
        <v>378</v>
      </c>
      <c r="B417" s="193" t="s">
        <v>379</v>
      </c>
      <c r="C417" s="193" t="s">
        <v>214</v>
      </c>
      <c r="D417" s="193" t="s">
        <v>1631</v>
      </c>
      <c r="E417" s="193" t="s">
        <v>1632</v>
      </c>
      <c r="F417" s="193" t="s">
        <v>563</v>
      </c>
      <c r="G417" s="193" t="s">
        <v>563</v>
      </c>
      <c r="H417" s="193" t="s">
        <v>1645</v>
      </c>
      <c r="I417" s="193" t="s">
        <v>384</v>
      </c>
      <c r="J417" s="193" t="s">
        <v>1646</v>
      </c>
      <c r="K417" s="193" t="s">
        <v>386</v>
      </c>
      <c r="L417" s="193" t="s">
        <v>387</v>
      </c>
      <c r="M417" s="193" t="s">
        <v>378</v>
      </c>
      <c r="N417" s="193" t="s">
        <v>1497</v>
      </c>
      <c r="O417" s="193" t="s">
        <v>129</v>
      </c>
      <c r="P417" s="193" t="s">
        <v>138</v>
      </c>
      <c r="Q417" s="193" t="s">
        <v>137</v>
      </c>
      <c r="R417" s="193" t="s">
        <v>136</v>
      </c>
      <c r="S417" s="193" t="s">
        <v>214</v>
      </c>
      <c r="T417" s="193" t="s">
        <v>389</v>
      </c>
      <c r="U417" s="193" t="s">
        <v>390</v>
      </c>
      <c r="V417" s="193">
        <v>0</v>
      </c>
      <c r="W417" s="193">
        <v>0</v>
      </c>
      <c r="X417" s="193">
        <v>0</v>
      </c>
      <c r="Y417" s="194">
        <v>3201</v>
      </c>
      <c r="Z417" s="193" t="s">
        <v>1498</v>
      </c>
      <c r="AA417" s="193" t="s">
        <v>1499</v>
      </c>
      <c r="AB417" s="193">
        <v>3201</v>
      </c>
      <c r="AC417" s="193" t="s">
        <v>1500</v>
      </c>
      <c r="AD417" s="193" t="s">
        <v>136</v>
      </c>
      <c r="AE417" s="193">
        <v>3201</v>
      </c>
      <c r="AF417" s="193" t="s">
        <v>394</v>
      </c>
      <c r="AG417" s="193" t="s">
        <v>395</v>
      </c>
      <c r="AH417" s="193">
        <v>291</v>
      </c>
      <c r="AI417" s="193">
        <v>2910</v>
      </c>
      <c r="AJ417" s="193" t="s">
        <v>1636</v>
      </c>
      <c r="AL417" s="197" t="s">
        <v>1647</v>
      </c>
      <c r="AM417" s="193">
        <v>1</v>
      </c>
      <c r="AN417" s="193">
        <v>0</v>
      </c>
      <c r="AO417" s="193">
        <v>0</v>
      </c>
      <c r="AP417" s="193">
        <v>0</v>
      </c>
      <c r="AQ417" s="193" t="s">
        <v>214</v>
      </c>
      <c r="AS417" s="197" t="s">
        <v>394</v>
      </c>
      <c r="AT417" s="197" t="s">
        <v>395</v>
      </c>
      <c r="AV417" s="194">
        <v>576</v>
      </c>
      <c r="AW417" s="194">
        <v>0</v>
      </c>
      <c r="AX417" s="194">
        <v>0</v>
      </c>
      <c r="AY417" s="549">
        <v>576</v>
      </c>
      <c r="AZ417" s="194">
        <v>0</v>
      </c>
      <c r="BA417" s="194">
        <v>2625</v>
      </c>
      <c r="BB417" s="551">
        <v>2625</v>
      </c>
      <c r="BC417" s="551">
        <v>3201</v>
      </c>
      <c r="BD417" s="551">
        <v>0</v>
      </c>
      <c r="BF417" s="550">
        <f t="shared" si="92"/>
        <v>524</v>
      </c>
      <c r="BG417" s="550">
        <f t="shared" si="93"/>
        <v>0</v>
      </c>
      <c r="BH417" s="550">
        <f t="shared" si="94"/>
        <v>0</v>
      </c>
      <c r="BI417" s="550">
        <f t="shared" si="95"/>
        <v>524</v>
      </c>
      <c r="BJ417" s="550">
        <f t="shared" si="96"/>
        <v>0</v>
      </c>
      <c r="BK417" s="550">
        <f t="shared" si="97"/>
        <v>2386</v>
      </c>
      <c r="BL417" s="550">
        <f t="shared" si="98"/>
        <v>2386</v>
      </c>
      <c r="BM417" s="550">
        <f t="shared" si="99"/>
        <v>2910</v>
      </c>
      <c r="BO417" s="194"/>
      <c r="BQ417" s="193">
        <f t="shared" si="100"/>
        <v>-0.36363636363637397</v>
      </c>
      <c r="BR417" s="193">
        <f t="shared" si="101"/>
        <v>0.36363636363648766</v>
      </c>
    </row>
    <row r="418" spans="1:70" ht="13.5" customHeight="1">
      <c r="A418" s="193" t="s">
        <v>378</v>
      </c>
      <c r="B418" s="193" t="s">
        <v>379</v>
      </c>
      <c r="C418" s="193" t="s">
        <v>214</v>
      </c>
      <c r="D418" s="193" t="s">
        <v>1631</v>
      </c>
      <c r="E418" s="193" t="s">
        <v>1632</v>
      </c>
      <c r="F418" s="193" t="s">
        <v>1609</v>
      </c>
      <c r="G418" s="193" t="s">
        <v>1609</v>
      </c>
      <c r="H418" s="193" t="s">
        <v>1648</v>
      </c>
      <c r="I418" s="193" t="s">
        <v>384</v>
      </c>
      <c r="J418" s="193" t="s">
        <v>1649</v>
      </c>
      <c r="K418" s="193" t="s">
        <v>386</v>
      </c>
      <c r="L418" s="193" t="s">
        <v>387</v>
      </c>
      <c r="M418" s="193" t="s">
        <v>378</v>
      </c>
      <c r="N418" s="193" t="s">
        <v>1497</v>
      </c>
      <c r="O418" s="193" t="s">
        <v>129</v>
      </c>
      <c r="P418" s="193" t="s">
        <v>138</v>
      </c>
      <c r="Q418" s="193" t="s">
        <v>137</v>
      </c>
      <c r="R418" s="193" t="s">
        <v>136</v>
      </c>
      <c r="S418" s="193" t="s">
        <v>214</v>
      </c>
      <c r="T418" s="193" t="s">
        <v>389</v>
      </c>
      <c r="U418" s="193" t="s">
        <v>390</v>
      </c>
      <c r="V418" s="193">
        <v>0</v>
      </c>
      <c r="W418" s="193">
        <v>0</v>
      </c>
      <c r="X418" s="193">
        <v>0</v>
      </c>
      <c r="Y418" s="194">
        <v>4857</v>
      </c>
      <c r="Z418" s="193" t="s">
        <v>1498</v>
      </c>
      <c r="AA418" s="193" t="s">
        <v>1499</v>
      </c>
      <c r="AB418" s="193">
        <v>4857</v>
      </c>
      <c r="AC418" s="193" t="s">
        <v>1500</v>
      </c>
      <c r="AD418" s="193" t="s">
        <v>136</v>
      </c>
      <c r="AE418" s="193">
        <v>4857</v>
      </c>
      <c r="AF418" s="193" t="s">
        <v>394</v>
      </c>
      <c r="AG418" s="193" t="s">
        <v>395</v>
      </c>
      <c r="AH418" s="193">
        <v>441</v>
      </c>
      <c r="AI418" s="193">
        <v>4416</v>
      </c>
      <c r="AJ418" s="193" t="s">
        <v>1636</v>
      </c>
      <c r="AL418" s="197" t="s">
        <v>1650</v>
      </c>
      <c r="AM418" s="193">
        <v>1</v>
      </c>
      <c r="AN418" s="193">
        <v>0</v>
      </c>
      <c r="AO418" s="193">
        <v>0</v>
      </c>
      <c r="AP418" s="193">
        <v>0</v>
      </c>
      <c r="AQ418" s="193" t="s">
        <v>214</v>
      </c>
      <c r="AS418" s="197" t="s">
        <v>394</v>
      </c>
      <c r="AT418" s="197" t="s">
        <v>395</v>
      </c>
      <c r="AV418" s="194">
        <v>874</v>
      </c>
      <c r="AW418" s="194">
        <v>0</v>
      </c>
      <c r="AX418" s="194">
        <v>0</v>
      </c>
      <c r="AY418" s="549">
        <v>874</v>
      </c>
      <c r="AZ418" s="194">
        <v>0</v>
      </c>
      <c r="BA418" s="194">
        <v>3983</v>
      </c>
      <c r="BB418" s="551">
        <v>3983</v>
      </c>
      <c r="BC418" s="551">
        <v>4857</v>
      </c>
      <c r="BD418" s="551">
        <v>0</v>
      </c>
      <c r="BF418" s="550">
        <f t="shared" si="92"/>
        <v>795</v>
      </c>
      <c r="BG418" s="550">
        <f t="shared" si="93"/>
        <v>0</v>
      </c>
      <c r="BH418" s="550">
        <f t="shared" si="94"/>
        <v>0</v>
      </c>
      <c r="BI418" s="550">
        <f t="shared" si="95"/>
        <v>795</v>
      </c>
      <c r="BJ418" s="550">
        <f t="shared" si="96"/>
        <v>0</v>
      </c>
      <c r="BK418" s="550">
        <f t="shared" si="97"/>
        <v>3621</v>
      </c>
      <c r="BL418" s="550">
        <f t="shared" si="98"/>
        <v>3621</v>
      </c>
      <c r="BM418" s="550">
        <f t="shared" si="99"/>
        <v>4416</v>
      </c>
      <c r="BO418" s="194"/>
      <c r="BQ418" s="193">
        <f t="shared" si="100"/>
        <v>-0.45454545454549589</v>
      </c>
      <c r="BR418" s="193">
        <f t="shared" si="101"/>
        <v>-9.0909090909008228E-2</v>
      </c>
    </row>
    <row r="419" spans="1:70" ht="13.5" customHeight="1">
      <c r="A419" s="193" t="s">
        <v>378</v>
      </c>
      <c r="B419" s="193" t="s">
        <v>379</v>
      </c>
      <c r="C419" s="193" t="s">
        <v>214</v>
      </c>
      <c r="D419" s="193" t="s">
        <v>1631</v>
      </c>
      <c r="E419" s="193" t="s">
        <v>1632</v>
      </c>
      <c r="F419" s="193" t="s">
        <v>911</v>
      </c>
      <c r="G419" s="193" t="s">
        <v>911</v>
      </c>
      <c r="H419" s="193" t="s">
        <v>1651</v>
      </c>
      <c r="I419" s="193" t="s">
        <v>384</v>
      </c>
      <c r="J419" s="193" t="s">
        <v>1652</v>
      </c>
      <c r="K419" s="193" t="s">
        <v>386</v>
      </c>
      <c r="L419" s="193" t="s">
        <v>387</v>
      </c>
      <c r="M419" s="193" t="s">
        <v>378</v>
      </c>
      <c r="N419" s="193" t="s">
        <v>1497</v>
      </c>
      <c r="O419" s="193" t="s">
        <v>129</v>
      </c>
      <c r="P419" s="193" t="s">
        <v>138</v>
      </c>
      <c r="Q419" s="193" t="s">
        <v>137</v>
      </c>
      <c r="R419" s="193" t="s">
        <v>136</v>
      </c>
      <c r="S419" s="193" t="s">
        <v>214</v>
      </c>
      <c r="T419" s="193" t="s">
        <v>389</v>
      </c>
      <c r="U419" s="193" t="s">
        <v>390</v>
      </c>
      <c r="V419" s="193">
        <v>0</v>
      </c>
      <c r="W419" s="193">
        <v>0</v>
      </c>
      <c r="X419" s="193">
        <v>0</v>
      </c>
      <c r="Y419" s="194">
        <v>5644</v>
      </c>
      <c r="Z419" s="193" t="s">
        <v>1498</v>
      </c>
      <c r="AA419" s="193" t="s">
        <v>1499</v>
      </c>
      <c r="AB419" s="193">
        <v>5644</v>
      </c>
      <c r="AC419" s="193" t="s">
        <v>1500</v>
      </c>
      <c r="AD419" s="193" t="s">
        <v>136</v>
      </c>
      <c r="AE419" s="193">
        <v>5644</v>
      </c>
      <c r="AF419" s="193" t="s">
        <v>394</v>
      </c>
      <c r="AG419" s="193" t="s">
        <v>395</v>
      </c>
      <c r="AH419" s="193">
        <v>513</v>
      </c>
      <c r="AI419" s="193">
        <v>5131</v>
      </c>
      <c r="AJ419" s="193" t="s">
        <v>1636</v>
      </c>
      <c r="AL419" s="197" t="s">
        <v>1653</v>
      </c>
      <c r="AM419" s="193">
        <v>1</v>
      </c>
      <c r="AN419" s="193">
        <v>0</v>
      </c>
      <c r="AO419" s="193">
        <v>0</v>
      </c>
      <c r="AP419" s="193">
        <v>0</v>
      </c>
      <c r="AQ419" s="193" t="s">
        <v>214</v>
      </c>
      <c r="AS419" s="197" t="s">
        <v>394</v>
      </c>
      <c r="AT419" s="197" t="s">
        <v>395</v>
      </c>
      <c r="AV419" s="194">
        <v>1016</v>
      </c>
      <c r="AW419" s="194">
        <v>0</v>
      </c>
      <c r="AX419" s="194">
        <v>0</v>
      </c>
      <c r="AY419" s="549">
        <v>1016</v>
      </c>
      <c r="AZ419" s="194">
        <v>0</v>
      </c>
      <c r="BA419" s="194">
        <v>4628</v>
      </c>
      <c r="BB419" s="551">
        <v>4628</v>
      </c>
      <c r="BC419" s="551">
        <v>5644</v>
      </c>
      <c r="BD419" s="551">
        <v>0</v>
      </c>
      <c r="BF419" s="550">
        <f t="shared" si="92"/>
        <v>924</v>
      </c>
      <c r="BG419" s="550">
        <f t="shared" si="93"/>
        <v>0</v>
      </c>
      <c r="BH419" s="550">
        <f t="shared" si="94"/>
        <v>0</v>
      </c>
      <c r="BI419" s="550">
        <f t="shared" si="95"/>
        <v>924</v>
      </c>
      <c r="BJ419" s="550">
        <f t="shared" si="96"/>
        <v>0</v>
      </c>
      <c r="BK419" s="550">
        <f t="shared" si="97"/>
        <v>4207</v>
      </c>
      <c r="BL419" s="550">
        <f t="shared" si="98"/>
        <v>4207</v>
      </c>
      <c r="BM419" s="550">
        <f t="shared" si="99"/>
        <v>5131</v>
      </c>
      <c r="BO419" s="194"/>
      <c r="BQ419" s="193">
        <f t="shared" si="100"/>
        <v>-0.36363636363637397</v>
      </c>
      <c r="BR419" s="193">
        <f t="shared" si="101"/>
        <v>0.27272727272702468</v>
      </c>
    </row>
    <row r="420" spans="1:70" ht="13.5" customHeight="1">
      <c r="A420" s="193" t="s">
        <v>1624</v>
      </c>
      <c r="B420" s="193" t="s">
        <v>379</v>
      </c>
      <c r="C420" s="193" t="s">
        <v>214</v>
      </c>
      <c r="D420" s="193" t="s">
        <v>1484</v>
      </c>
      <c r="E420" s="193" t="s">
        <v>1485</v>
      </c>
      <c r="F420" s="193" t="s">
        <v>1654</v>
      </c>
      <c r="G420" s="193" t="s">
        <v>1654</v>
      </c>
      <c r="H420" s="193" t="s">
        <v>1655</v>
      </c>
      <c r="I420" s="193" t="s">
        <v>512</v>
      </c>
      <c r="J420" s="193" t="s">
        <v>1656</v>
      </c>
      <c r="K420" s="193" t="s">
        <v>386</v>
      </c>
      <c r="L420" s="193" t="s">
        <v>387</v>
      </c>
      <c r="M420" s="193" t="s">
        <v>378</v>
      </c>
      <c r="N420" s="193" t="s">
        <v>1497</v>
      </c>
      <c r="O420" s="193" t="s">
        <v>129</v>
      </c>
      <c r="P420" s="193" t="s">
        <v>138</v>
      </c>
      <c r="Q420" s="193" t="s">
        <v>137</v>
      </c>
      <c r="R420" s="193" t="s">
        <v>136</v>
      </c>
      <c r="S420" s="193" t="s">
        <v>214</v>
      </c>
      <c r="T420" s="193" t="s">
        <v>389</v>
      </c>
      <c r="U420" s="193" t="s">
        <v>390</v>
      </c>
      <c r="V420" s="193">
        <v>0</v>
      </c>
      <c r="W420" s="193">
        <v>0</v>
      </c>
      <c r="X420" s="193">
        <v>0</v>
      </c>
      <c r="Y420" s="194">
        <v>6900</v>
      </c>
      <c r="Z420" s="193" t="s">
        <v>515</v>
      </c>
      <c r="AA420" s="193" t="s">
        <v>516</v>
      </c>
      <c r="AB420" s="193">
        <v>6900</v>
      </c>
      <c r="AC420" s="193" t="s">
        <v>1500</v>
      </c>
      <c r="AD420" s="193" t="s">
        <v>136</v>
      </c>
      <c r="AE420" s="193">
        <v>6900</v>
      </c>
      <c r="AF420" s="193" t="s">
        <v>1657</v>
      </c>
      <c r="AG420" s="193" t="s">
        <v>519</v>
      </c>
      <c r="AH420" s="193">
        <v>0</v>
      </c>
      <c r="AI420" s="193">
        <v>6900</v>
      </c>
      <c r="AJ420" s="193" t="s">
        <v>1658</v>
      </c>
      <c r="AL420" s="197" t="s">
        <v>1659</v>
      </c>
      <c r="AM420" s="193">
        <v>2</v>
      </c>
      <c r="AN420" s="193">
        <v>21</v>
      </c>
      <c r="AO420" s="193">
        <v>0</v>
      </c>
      <c r="AP420" s="193" t="s">
        <v>1660</v>
      </c>
      <c r="AQ420" s="193" t="s">
        <v>214</v>
      </c>
      <c r="AS420" s="197">
        <v>21</v>
      </c>
      <c r="AT420" s="197">
        <v>0</v>
      </c>
      <c r="AV420" s="194">
        <v>0</v>
      </c>
      <c r="AW420" s="194">
        <v>0</v>
      </c>
      <c r="AX420" s="194">
        <v>0</v>
      </c>
      <c r="AY420" s="549">
        <v>0</v>
      </c>
      <c r="AZ420" s="194">
        <v>0</v>
      </c>
      <c r="BA420" s="194">
        <v>6900</v>
      </c>
      <c r="BB420" s="551">
        <v>6900</v>
      </c>
      <c r="BC420" s="551">
        <v>6900</v>
      </c>
      <c r="BD420" s="551">
        <v>0</v>
      </c>
      <c r="BF420" s="550">
        <f t="shared" si="92"/>
        <v>0</v>
      </c>
      <c r="BG420" s="550">
        <f t="shared" si="93"/>
        <v>0</v>
      </c>
      <c r="BH420" s="550">
        <f t="shared" si="94"/>
        <v>0</v>
      </c>
      <c r="BI420" s="550">
        <f t="shared" si="95"/>
        <v>0</v>
      </c>
      <c r="BJ420" s="550">
        <f t="shared" si="96"/>
        <v>0</v>
      </c>
      <c r="BK420" s="550">
        <f t="shared" si="97"/>
        <v>6900</v>
      </c>
      <c r="BL420" s="550">
        <f t="shared" si="98"/>
        <v>6900</v>
      </c>
      <c r="BM420" s="550">
        <f t="shared" si="99"/>
        <v>6900</v>
      </c>
      <c r="BO420" s="194"/>
      <c r="BQ420" s="193">
        <f t="shared" si="100"/>
        <v>0</v>
      </c>
      <c r="BR420" s="193">
        <f t="shared" si="101"/>
        <v>0</v>
      </c>
    </row>
    <row r="421" spans="1:70" ht="13.5" customHeight="1">
      <c r="A421" s="193" t="s">
        <v>1624</v>
      </c>
      <c r="B421" s="193" t="s">
        <v>379</v>
      </c>
      <c r="C421" s="193" t="s">
        <v>214</v>
      </c>
      <c r="D421" s="193" t="s">
        <v>1484</v>
      </c>
      <c r="E421" s="193" t="s">
        <v>1485</v>
      </c>
      <c r="F421" s="193" t="s">
        <v>1661</v>
      </c>
      <c r="G421" s="193" t="s">
        <v>1661</v>
      </c>
      <c r="H421" s="193" t="s">
        <v>1655</v>
      </c>
      <c r="I421" s="193" t="s">
        <v>512</v>
      </c>
      <c r="J421" s="193" t="s">
        <v>1662</v>
      </c>
      <c r="K421" s="193" t="s">
        <v>386</v>
      </c>
      <c r="L421" s="193" t="s">
        <v>387</v>
      </c>
      <c r="M421" s="193" t="s">
        <v>378</v>
      </c>
      <c r="N421" s="193" t="s">
        <v>1497</v>
      </c>
      <c r="O421" s="193" t="s">
        <v>129</v>
      </c>
      <c r="P421" s="193" t="s">
        <v>138</v>
      </c>
      <c r="Q421" s="193" t="s">
        <v>137</v>
      </c>
      <c r="R421" s="193" t="s">
        <v>136</v>
      </c>
      <c r="S421" s="193" t="s">
        <v>214</v>
      </c>
      <c r="T421" s="193" t="s">
        <v>389</v>
      </c>
      <c r="U421" s="193" t="s">
        <v>390</v>
      </c>
      <c r="V421" s="193">
        <v>0</v>
      </c>
      <c r="W421" s="193">
        <v>0</v>
      </c>
      <c r="X421" s="193">
        <v>0</v>
      </c>
      <c r="Y421" s="194">
        <v>10000</v>
      </c>
      <c r="Z421" s="193" t="s">
        <v>515</v>
      </c>
      <c r="AA421" s="193" t="s">
        <v>516</v>
      </c>
      <c r="AB421" s="193">
        <v>10000</v>
      </c>
      <c r="AC421" s="193" t="s">
        <v>1500</v>
      </c>
      <c r="AD421" s="193" t="s">
        <v>136</v>
      </c>
      <c r="AE421" s="193">
        <v>10000</v>
      </c>
      <c r="AF421" s="193" t="s">
        <v>1657</v>
      </c>
      <c r="AG421" s="193" t="s">
        <v>519</v>
      </c>
      <c r="AH421" s="193">
        <v>0</v>
      </c>
      <c r="AI421" s="193">
        <v>10000</v>
      </c>
      <c r="AJ421" s="193" t="s">
        <v>1658</v>
      </c>
      <c r="AL421" s="197" t="s">
        <v>1663</v>
      </c>
      <c r="AM421" s="193">
        <v>2</v>
      </c>
      <c r="AN421" s="193">
        <v>21</v>
      </c>
      <c r="AO421" s="193">
        <v>0</v>
      </c>
      <c r="AP421" s="193" t="s">
        <v>1660</v>
      </c>
      <c r="AQ421" s="193" t="s">
        <v>214</v>
      </c>
      <c r="AS421" s="197">
        <v>21</v>
      </c>
      <c r="AT421" s="197">
        <v>0</v>
      </c>
      <c r="AV421" s="194">
        <v>0</v>
      </c>
      <c r="AW421" s="194">
        <v>0</v>
      </c>
      <c r="AX421" s="194">
        <v>0</v>
      </c>
      <c r="AY421" s="549">
        <v>0</v>
      </c>
      <c r="AZ421" s="194">
        <v>0</v>
      </c>
      <c r="BA421" s="194">
        <v>10000</v>
      </c>
      <c r="BB421" s="551">
        <v>10000</v>
      </c>
      <c r="BC421" s="551">
        <v>10000</v>
      </c>
      <c r="BD421" s="551">
        <v>0</v>
      </c>
      <c r="BF421" s="550">
        <f t="shared" si="92"/>
        <v>0</v>
      </c>
      <c r="BG421" s="550">
        <f t="shared" si="93"/>
        <v>0</v>
      </c>
      <c r="BH421" s="550">
        <f t="shared" si="94"/>
        <v>0</v>
      </c>
      <c r="BI421" s="550">
        <f t="shared" si="95"/>
        <v>0</v>
      </c>
      <c r="BJ421" s="550">
        <f t="shared" si="96"/>
        <v>0</v>
      </c>
      <c r="BK421" s="550">
        <f t="shared" si="97"/>
        <v>10000</v>
      </c>
      <c r="BL421" s="550">
        <f t="shared" si="98"/>
        <v>10000</v>
      </c>
      <c r="BM421" s="550">
        <f t="shared" si="99"/>
        <v>10000</v>
      </c>
      <c r="BO421" s="194"/>
      <c r="BQ421" s="193">
        <f t="shared" si="100"/>
        <v>0</v>
      </c>
      <c r="BR421" s="193">
        <f t="shared" si="101"/>
        <v>0</v>
      </c>
    </row>
    <row r="422" spans="1:70" ht="13.5" customHeight="1">
      <c r="A422" s="193" t="s">
        <v>1624</v>
      </c>
      <c r="B422" s="193" t="s">
        <v>379</v>
      </c>
      <c r="C422" s="193" t="s">
        <v>214</v>
      </c>
      <c r="D422" s="193" t="s">
        <v>1484</v>
      </c>
      <c r="E422" s="193" t="s">
        <v>1485</v>
      </c>
      <c r="F422" s="193" t="s">
        <v>706</v>
      </c>
      <c r="G422" s="193" t="s">
        <v>706</v>
      </c>
      <c r="H422" s="193" t="s">
        <v>1664</v>
      </c>
      <c r="I422" s="193" t="s">
        <v>512</v>
      </c>
      <c r="J422" s="193" t="s">
        <v>1665</v>
      </c>
      <c r="K422" s="193" t="s">
        <v>386</v>
      </c>
      <c r="L422" s="193" t="s">
        <v>387</v>
      </c>
      <c r="M422" s="193" t="s">
        <v>378</v>
      </c>
      <c r="N422" s="193" t="s">
        <v>1497</v>
      </c>
      <c r="O422" s="193" t="s">
        <v>129</v>
      </c>
      <c r="P422" s="193" t="s">
        <v>138</v>
      </c>
      <c r="Q422" s="193" t="s">
        <v>137</v>
      </c>
      <c r="R422" s="193" t="s">
        <v>136</v>
      </c>
      <c r="S422" s="193" t="s">
        <v>214</v>
      </c>
      <c r="T422" s="193" t="s">
        <v>389</v>
      </c>
      <c r="U422" s="193" t="s">
        <v>390</v>
      </c>
      <c r="V422" s="193">
        <v>0</v>
      </c>
      <c r="W422" s="193">
        <v>0</v>
      </c>
      <c r="X422" s="193">
        <v>0</v>
      </c>
      <c r="Y422" s="194">
        <v>1300</v>
      </c>
      <c r="Z422" s="193" t="s">
        <v>515</v>
      </c>
      <c r="AA422" s="193" t="s">
        <v>516</v>
      </c>
      <c r="AB422" s="193">
        <v>1300</v>
      </c>
      <c r="AC422" s="193" t="s">
        <v>1500</v>
      </c>
      <c r="AD422" s="193" t="s">
        <v>136</v>
      </c>
      <c r="AE422" s="193">
        <v>1300</v>
      </c>
      <c r="AF422" s="193" t="s">
        <v>518</v>
      </c>
      <c r="AG422" s="193" t="s">
        <v>519</v>
      </c>
      <c r="AH422" s="193">
        <v>0</v>
      </c>
      <c r="AI422" s="193">
        <v>1300</v>
      </c>
      <c r="AJ422" s="193" t="s">
        <v>1666</v>
      </c>
      <c r="AL422" s="197" t="s">
        <v>1667</v>
      </c>
      <c r="AM422" s="193">
        <v>1</v>
      </c>
      <c r="AN422" s="193">
        <v>0</v>
      </c>
      <c r="AO422" s="193">
        <v>0</v>
      </c>
      <c r="AP422" s="193" t="s">
        <v>1660</v>
      </c>
      <c r="AQ422" s="193" t="s">
        <v>214</v>
      </c>
      <c r="AS422" s="197" t="s">
        <v>518</v>
      </c>
      <c r="AT422" s="197" t="s">
        <v>519</v>
      </c>
      <c r="AV422" s="194">
        <v>0</v>
      </c>
      <c r="AW422" s="194">
        <v>0</v>
      </c>
      <c r="AX422" s="194">
        <v>0</v>
      </c>
      <c r="AY422" s="549">
        <v>0</v>
      </c>
      <c r="AZ422" s="194">
        <v>0</v>
      </c>
      <c r="BA422" s="194">
        <v>1300</v>
      </c>
      <c r="BB422" s="551">
        <v>1300</v>
      </c>
      <c r="BC422" s="551">
        <v>1300</v>
      </c>
      <c r="BD422" s="551">
        <v>0</v>
      </c>
      <c r="BF422" s="550">
        <f t="shared" si="92"/>
        <v>0</v>
      </c>
      <c r="BG422" s="550">
        <f t="shared" si="93"/>
        <v>0</v>
      </c>
      <c r="BH422" s="550">
        <f t="shared" si="94"/>
        <v>0</v>
      </c>
      <c r="BI422" s="550">
        <f t="shared" si="95"/>
        <v>0</v>
      </c>
      <c r="BJ422" s="550">
        <f t="shared" si="96"/>
        <v>0</v>
      </c>
      <c r="BK422" s="550">
        <f t="shared" si="97"/>
        <v>1300</v>
      </c>
      <c r="BL422" s="550">
        <f t="shared" si="98"/>
        <v>1300</v>
      </c>
      <c r="BM422" s="550">
        <f t="shared" si="99"/>
        <v>1300</v>
      </c>
      <c r="BO422" s="194"/>
      <c r="BQ422" s="193">
        <f t="shared" si="100"/>
        <v>0</v>
      </c>
      <c r="BR422" s="193">
        <f t="shared" si="101"/>
        <v>0</v>
      </c>
    </row>
    <row r="423" spans="1:70" ht="13.5" customHeight="1">
      <c r="A423" s="193" t="s">
        <v>378</v>
      </c>
      <c r="B423" s="193" t="s">
        <v>379</v>
      </c>
      <c r="C423" s="193" t="s">
        <v>214</v>
      </c>
      <c r="D423" s="193" t="s">
        <v>1109</v>
      </c>
      <c r="E423" s="193" t="s">
        <v>1110</v>
      </c>
      <c r="F423" s="193" t="s">
        <v>1437</v>
      </c>
      <c r="G423" s="193" t="s">
        <v>1437</v>
      </c>
      <c r="H423" s="193" t="s">
        <v>1668</v>
      </c>
      <c r="I423" s="193" t="s">
        <v>384</v>
      </c>
      <c r="J423" s="193" t="s">
        <v>1669</v>
      </c>
      <c r="K423" s="193" t="s">
        <v>386</v>
      </c>
      <c r="L423" s="193" t="s">
        <v>387</v>
      </c>
      <c r="M423" s="193" t="s">
        <v>378</v>
      </c>
      <c r="N423" s="193" t="s">
        <v>1497</v>
      </c>
      <c r="O423" s="193" t="s">
        <v>129</v>
      </c>
      <c r="P423" s="193" t="s">
        <v>138</v>
      </c>
      <c r="Q423" s="193" t="s">
        <v>137</v>
      </c>
      <c r="R423" s="193" t="s">
        <v>136</v>
      </c>
      <c r="S423" s="193" t="s">
        <v>214</v>
      </c>
      <c r="T423" s="193" t="s">
        <v>389</v>
      </c>
      <c r="U423" s="193" t="s">
        <v>390</v>
      </c>
      <c r="V423" s="193">
        <v>0</v>
      </c>
      <c r="W423" s="193">
        <v>0</v>
      </c>
      <c r="X423" s="193">
        <v>0</v>
      </c>
      <c r="Y423" s="194">
        <v>78646</v>
      </c>
      <c r="Z423" s="193" t="s">
        <v>1498</v>
      </c>
      <c r="AA423" s="193" t="s">
        <v>1499</v>
      </c>
      <c r="AB423" s="193">
        <v>78646</v>
      </c>
      <c r="AC423" s="193" t="s">
        <v>1500</v>
      </c>
      <c r="AD423" s="193" t="s">
        <v>136</v>
      </c>
      <c r="AE423" s="193">
        <v>78646</v>
      </c>
      <c r="AF423" s="193" t="s">
        <v>1486</v>
      </c>
      <c r="AG423" s="193" t="s">
        <v>519</v>
      </c>
      <c r="AH423" s="193">
        <v>0</v>
      </c>
      <c r="AI423" s="193">
        <v>78646</v>
      </c>
      <c r="AJ423" s="193" t="s">
        <v>1670</v>
      </c>
      <c r="AL423" s="197" t="s">
        <v>1671</v>
      </c>
      <c r="AM423" s="193">
        <v>1</v>
      </c>
      <c r="AN423" s="193">
        <v>0</v>
      </c>
      <c r="AO423" s="193">
        <v>0</v>
      </c>
      <c r="AP423" s="193" t="s">
        <v>1672</v>
      </c>
      <c r="AQ423" s="193" t="s">
        <v>214</v>
      </c>
      <c r="AS423" s="197" t="s">
        <v>1486</v>
      </c>
      <c r="AT423" s="197" t="s">
        <v>519</v>
      </c>
      <c r="AV423" s="194">
        <v>36177</v>
      </c>
      <c r="AW423" s="194">
        <v>0</v>
      </c>
      <c r="AX423" s="194">
        <v>0</v>
      </c>
      <c r="AY423" s="549">
        <v>36177</v>
      </c>
      <c r="AZ423" s="194">
        <v>0</v>
      </c>
      <c r="BA423" s="194">
        <v>42469</v>
      </c>
      <c r="BB423" s="551">
        <v>42469</v>
      </c>
      <c r="BC423" s="551">
        <v>78646</v>
      </c>
      <c r="BD423" s="551">
        <v>0</v>
      </c>
      <c r="BF423" s="550">
        <f t="shared" si="92"/>
        <v>36177</v>
      </c>
      <c r="BG423" s="550">
        <f t="shared" si="93"/>
        <v>0</v>
      </c>
      <c r="BH423" s="550">
        <f t="shared" si="94"/>
        <v>0</v>
      </c>
      <c r="BI423" s="550">
        <f t="shared" si="95"/>
        <v>36177</v>
      </c>
      <c r="BJ423" s="550">
        <f t="shared" si="96"/>
        <v>0</v>
      </c>
      <c r="BK423" s="550">
        <f t="shared" si="97"/>
        <v>42469</v>
      </c>
      <c r="BL423" s="550">
        <f t="shared" si="98"/>
        <v>42469</v>
      </c>
      <c r="BM423" s="550">
        <f t="shared" si="99"/>
        <v>78646</v>
      </c>
      <c r="BO423" s="194"/>
      <c r="BQ423" s="193">
        <f t="shared" si="100"/>
        <v>0</v>
      </c>
      <c r="BR423" s="193">
        <f t="shared" si="101"/>
        <v>0</v>
      </c>
    </row>
    <row r="424" spans="1:70" ht="13.5" customHeight="1">
      <c r="A424" s="193" t="s">
        <v>378</v>
      </c>
      <c r="B424" s="193" t="s">
        <v>379</v>
      </c>
      <c r="C424" s="193" t="s">
        <v>214</v>
      </c>
      <c r="D424" s="193" t="s">
        <v>1484</v>
      </c>
      <c r="E424" s="193" t="s">
        <v>1485</v>
      </c>
      <c r="F424" s="193" t="s">
        <v>1324</v>
      </c>
      <c r="G424" s="193" t="s">
        <v>1324</v>
      </c>
      <c r="H424" s="193" t="s">
        <v>1673</v>
      </c>
      <c r="I424" s="193" t="s">
        <v>384</v>
      </c>
      <c r="J424" s="193" t="s">
        <v>1674</v>
      </c>
      <c r="K424" s="193" t="s">
        <v>386</v>
      </c>
      <c r="L424" s="193" t="s">
        <v>387</v>
      </c>
      <c r="M424" s="193" t="s">
        <v>378</v>
      </c>
      <c r="N424" s="193" t="s">
        <v>1497</v>
      </c>
      <c r="O424" s="193" t="s">
        <v>129</v>
      </c>
      <c r="P424" s="193" t="s">
        <v>138</v>
      </c>
      <c r="Q424" s="193" t="s">
        <v>137</v>
      </c>
      <c r="R424" s="193" t="s">
        <v>136</v>
      </c>
      <c r="S424" s="193" t="s">
        <v>214</v>
      </c>
      <c r="T424" s="193" t="s">
        <v>389</v>
      </c>
      <c r="U424" s="193" t="s">
        <v>390</v>
      </c>
      <c r="V424" s="193">
        <v>0</v>
      </c>
      <c r="W424" s="193">
        <v>0</v>
      </c>
      <c r="X424" s="193">
        <v>0</v>
      </c>
      <c r="Y424" s="554">
        <v>757700</v>
      </c>
      <c r="Z424" s="193" t="s">
        <v>1498</v>
      </c>
      <c r="AA424" s="193" t="s">
        <v>1499</v>
      </c>
      <c r="AB424" s="193">
        <v>757700</v>
      </c>
      <c r="AC424" s="193" t="s">
        <v>1500</v>
      </c>
      <c r="AD424" s="193" t="s">
        <v>136</v>
      </c>
      <c r="AE424" s="193">
        <v>757700</v>
      </c>
      <c r="AF424" s="193" t="s">
        <v>394</v>
      </c>
      <c r="AG424" s="193" t="s">
        <v>395</v>
      </c>
      <c r="AH424" s="193">
        <v>68881</v>
      </c>
      <c r="AI424" s="193">
        <v>688819</v>
      </c>
      <c r="AJ424" s="193" t="s">
        <v>1675</v>
      </c>
      <c r="AL424" s="197" t="s">
        <v>1676</v>
      </c>
      <c r="AM424" s="193">
        <v>1</v>
      </c>
      <c r="AN424" s="193">
        <v>0</v>
      </c>
      <c r="AO424" s="193">
        <v>0</v>
      </c>
      <c r="AP424" s="193">
        <v>0</v>
      </c>
      <c r="AQ424" s="193" t="s">
        <v>214</v>
      </c>
      <c r="AS424" s="197" t="s">
        <v>394</v>
      </c>
      <c r="AT424" s="197" t="s">
        <v>395</v>
      </c>
      <c r="AV424" s="194">
        <v>378850</v>
      </c>
      <c r="AW424" s="194">
        <v>0</v>
      </c>
      <c r="AX424" s="194">
        <v>0</v>
      </c>
      <c r="AY424" s="549">
        <v>378850</v>
      </c>
      <c r="AZ424" s="194">
        <v>0</v>
      </c>
      <c r="BA424" s="194">
        <v>378850</v>
      </c>
      <c r="BB424" s="551">
        <v>378850</v>
      </c>
      <c r="BC424" s="551">
        <v>757700</v>
      </c>
      <c r="BD424" s="551">
        <v>0</v>
      </c>
      <c r="BF424" s="550">
        <f t="shared" si="92"/>
        <v>344409</v>
      </c>
      <c r="BG424" s="550">
        <f t="shared" si="93"/>
        <v>0</v>
      </c>
      <c r="BH424" s="550">
        <f t="shared" si="94"/>
        <v>0</v>
      </c>
      <c r="BI424" s="550">
        <f t="shared" si="95"/>
        <v>344409</v>
      </c>
      <c r="BJ424" s="550">
        <f t="shared" si="96"/>
        <v>0</v>
      </c>
      <c r="BK424" s="550">
        <f t="shared" si="97"/>
        <v>344409</v>
      </c>
      <c r="BL424" s="550">
        <f t="shared" si="98"/>
        <v>344409</v>
      </c>
      <c r="BM424" s="550">
        <f t="shared" si="99"/>
        <v>688818</v>
      </c>
      <c r="BO424" s="194"/>
      <c r="BQ424" s="193">
        <f t="shared" si="100"/>
        <v>9.0909090882632881E-2</v>
      </c>
      <c r="BR424" s="193">
        <f t="shared" si="101"/>
        <v>9.0909090882632881E-2</v>
      </c>
    </row>
    <row r="425" spans="1:70" ht="13.5" customHeight="1">
      <c r="A425" s="193" t="s">
        <v>378</v>
      </c>
      <c r="B425" s="193" t="s">
        <v>379</v>
      </c>
      <c r="C425" s="193" t="s">
        <v>214</v>
      </c>
      <c r="D425" s="193" t="s">
        <v>1484</v>
      </c>
      <c r="E425" s="193" t="s">
        <v>1485</v>
      </c>
      <c r="F425" s="193" t="s">
        <v>911</v>
      </c>
      <c r="G425" s="193" t="s">
        <v>911</v>
      </c>
      <c r="H425" s="193" t="s">
        <v>1677</v>
      </c>
      <c r="I425" s="193" t="s">
        <v>384</v>
      </c>
      <c r="J425" s="193" t="s">
        <v>1678</v>
      </c>
      <c r="K425" s="193" t="s">
        <v>386</v>
      </c>
      <c r="L425" s="193" t="s">
        <v>387</v>
      </c>
      <c r="M425" s="193" t="s">
        <v>378</v>
      </c>
      <c r="N425" s="193" t="s">
        <v>1497</v>
      </c>
      <c r="O425" s="193" t="s">
        <v>129</v>
      </c>
      <c r="P425" s="193" t="s">
        <v>138</v>
      </c>
      <c r="Q425" s="193" t="s">
        <v>137</v>
      </c>
      <c r="R425" s="193" t="s">
        <v>136</v>
      </c>
      <c r="S425" s="193" t="s">
        <v>214</v>
      </c>
      <c r="T425" s="193" t="s">
        <v>389</v>
      </c>
      <c r="U425" s="193" t="s">
        <v>390</v>
      </c>
      <c r="V425" s="193">
        <v>0</v>
      </c>
      <c r="W425" s="193">
        <v>0</v>
      </c>
      <c r="X425" s="193">
        <v>0</v>
      </c>
      <c r="Y425" s="554">
        <v>608650</v>
      </c>
      <c r="Z425" s="193" t="s">
        <v>1498</v>
      </c>
      <c r="AA425" s="193" t="s">
        <v>1499</v>
      </c>
      <c r="AB425" s="193">
        <v>608650</v>
      </c>
      <c r="AC425" s="193" t="s">
        <v>1500</v>
      </c>
      <c r="AD425" s="193" t="s">
        <v>136</v>
      </c>
      <c r="AE425" s="193">
        <v>608650</v>
      </c>
      <c r="AF425" s="193" t="s">
        <v>394</v>
      </c>
      <c r="AG425" s="193" t="s">
        <v>395</v>
      </c>
      <c r="AH425" s="193">
        <v>55331</v>
      </c>
      <c r="AI425" s="193">
        <v>553319</v>
      </c>
      <c r="AJ425" s="193" t="s">
        <v>1675</v>
      </c>
      <c r="AL425" s="197" t="s">
        <v>1679</v>
      </c>
      <c r="AM425" s="193">
        <v>1</v>
      </c>
      <c r="AN425" s="193">
        <v>0</v>
      </c>
      <c r="AO425" s="193">
        <v>0</v>
      </c>
      <c r="AP425" s="193">
        <v>0</v>
      </c>
      <c r="AQ425" s="193" t="s">
        <v>214</v>
      </c>
      <c r="AS425" s="197" t="s">
        <v>394</v>
      </c>
      <c r="AT425" s="197" t="s">
        <v>395</v>
      </c>
      <c r="AV425" s="194">
        <v>304325</v>
      </c>
      <c r="AW425" s="194">
        <v>0</v>
      </c>
      <c r="AX425" s="194">
        <v>0</v>
      </c>
      <c r="AY425" s="549">
        <v>304325</v>
      </c>
      <c r="AZ425" s="194">
        <v>0</v>
      </c>
      <c r="BA425" s="194">
        <v>304325</v>
      </c>
      <c r="BB425" s="551">
        <v>304325</v>
      </c>
      <c r="BC425" s="551">
        <v>608650</v>
      </c>
      <c r="BD425" s="551">
        <v>0</v>
      </c>
      <c r="BF425" s="550">
        <f t="shared" si="92"/>
        <v>276659</v>
      </c>
      <c r="BG425" s="550">
        <f t="shared" si="93"/>
        <v>0</v>
      </c>
      <c r="BH425" s="550">
        <f t="shared" si="94"/>
        <v>0</v>
      </c>
      <c r="BI425" s="550">
        <f t="shared" si="95"/>
        <v>276659</v>
      </c>
      <c r="BJ425" s="550">
        <f t="shared" si="96"/>
        <v>0</v>
      </c>
      <c r="BK425" s="550">
        <f t="shared" si="97"/>
        <v>276659</v>
      </c>
      <c r="BL425" s="550">
        <f t="shared" si="98"/>
        <v>276659</v>
      </c>
      <c r="BM425" s="550">
        <f t="shared" si="99"/>
        <v>553318</v>
      </c>
      <c r="BO425" s="194"/>
      <c r="BQ425" s="193">
        <f t="shared" si="100"/>
        <v>9.0909090882632881E-2</v>
      </c>
      <c r="BR425" s="193">
        <f t="shared" si="101"/>
        <v>9.0909090882632881E-2</v>
      </c>
    </row>
    <row r="426" spans="1:70" ht="13.5" customHeight="1">
      <c r="A426" s="193" t="s">
        <v>378</v>
      </c>
      <c r="B426" s="193" t="s">
        <v>379</v>
      </c>
      <c r="C426" s="193" t="s">
        <v>214</v>
      </c>
      <c r="D426" s="193" t="s">
        <v>1441</v>
      </c>
      <c r="E426" s="193" t="s">
        <v>1442</v>
      </c>
      <c r="F426" s="193" t="s">
        <v>1680</v>
      </c>
      <c r="G426" s="193" t="s">
        <v>1680</v>
      </c>
      <c r="H426" s="193" t="s">
        <v>1681</v>
      </c>
      <c r="I426" s="193" t="s">
        <v>512</v>
      </c>
      <c r="J426" s="193" t="s">
        <v>1682</v>
      </c>
      <c r="K426" s="193" t="s">
        <v>386</v>
      </c>
      <c r="L426" s="193" t="s">
        <v>387</v>
      </c>
      <c r="M426" s="193" t="s">
        <v>378</v>
      </c>
      <c r="N426" s="193" t="s">
        <v>1497</v>
      </c>
      <c r="O426" s="193" t="s">
        <v>129</v>
      </c>
      <c r="P426" s="193" t="s">
        <v>138</v>
      </c>
      <c r="Q426" s="193" t="s">
        <v>137</v>
      </c>
      <c r="R426" s="193" t="s">
        <v>136</v>
      </c>
      <c r="S426" s="193" t="s">
        <v>214</v>
      </c>
      <c r="T426" s="193" t="s">
        <v>389</v>
      </c>
      <c r="U426" s="193" t="s">
        <v>390</v>
      </c>
      <c r="V426" s="193">
        <v>0</v>
      </c>
      <c r="W426" s="193">
        <v>0</v>
      </c>
      <c r="X426" s="193">
        <v>0</v>
      </c>
      <c r="Y426" s="194">
        <v>288588</v>
      </c>
      <c r="Z426" s="193" t="s">
        <v>515</v>
      </c>
      <c r="AA426" s="193" t="s">
        <v>516</v>
      </c>
      <c r="AB426" s="193">
        <v>288588</v>
      </c>
      <c r="AC426" s="193" t="s">
        <v>1500</v>
      </c>
      <c r="AD426" s="193" t="s">
        <v>136</v>
      </c>
      <c r="AE426" s="193">
        <v>288588</v>
      </c>
      <c r="AF426" s="193" t="s">
        <v>518</v>
      </c>
      <c r="AG426" s="193" t="s">
        <v>519</v>
      </c>
      <c r="AH426" s="193">
        <v>0</v>
      </c>
      <c r="AI426" s="193">
        <v>288588</v>
      </c>
      <c r="AJ426" s="193" t="s">
        <v>1683</v>
      </c>
      <c r="AL426" s="197" t="s">
        <v>1684</v>
      </c>
      <c r="AM426" s="193">
        <v>1</v>
      </c>
      <c r="AN426" s="193">
        <v>0</v>
      </c>
      <c r="AO426" s="193">
        <v>0</v>
      </c>
      <c r="AP426" s="193">
        <v>0</v>
      </c>
      <c r="AQ426" s="193" t="s">
        <v>214</v>
      </c>
      <c r="AS426" s="197" t="s">
        <v>518</v>
      </c>
      <c r="AT426" s="197" t="s">
        <v>519</v>
      </c>
      <c r="AV426" s="194">
        <v>0</v>
      </c>
      <c r="AW426" s="194">
        <v>0</v>
      </c>
      <c r="AX426" s="194">
        <v>0</v>
      </c>
      <c r="AY426" s="549">
        <v>0</v>
      </c>
      <c r="AZ426" s="194">
        <v>0</v>
      </c>
      <c r="BA426" s="194">
        <v>288588</v>
      </c>
      <c r="BB426" s="551">
        <v>288588</v>
      </c>
      <c r="BC426" s="551">
        <v>288588</v>
      </c>
      <c r="BD426" s="551">
        <v>0</v>
      </c>
      <c r="BF426" s="550">
        <f t="shared" si="92"/>
        <v>0</v>
      </c>
      <c r="BG426" s="550">
        <f t="shared" si="93"/>
        <v>0</v>
      </c>
      <c r="BH426" s="550">
        <f t="shared" si="94"/>
        <v>0</v>
      </c>
      <c r="BI426" s="550">
        <f t="shared" si="95"/>
        <v>0</v>
      </c>
      <c r="BJ426" s="550">
        <f t="shared" si="96"/>
        <v>0</v>
      </c>
      <c r="BK426" s="550">
        <f t="shared" si="97"/>
        <v>288588</v>
      </c>
      <c r="BL426" s="550">
        <f t="shared" si="98"/>
        <v>288588</v>
      </c>
      <c r="BM426" s="550">
        <f t="shared" si="99"/>
        <v>288588</v>
      </c>
      <c r="BO426" s="194"/>
      <c r="BQ426" s="193">
        <f t="shared" si="100"/>
        <v>0</v>
      </c>
      <c r="BR426" s="193">
        <f t="shared" si="101"/>
        <v>0</v>
      </c>
    </row>
    <row r="427" spans="1:70" ht="13.5" customHeight="1">
      <c r="A427" s="193" t="s">
        <v>378</v>
      </c>
      <c r="B427" s="193" t="s">
        <v>379</v>
      </c>
      <c r="C427" s="193" t="s">
        <v>214</v>
      </c>
      <c r="D427" s="193" t="s">
        <v>1441</v>
      </c>
      <c r="E427" s="193" t="s">
        <v>1442</v>
      </c>
      <c r="F427" s="193" t="s">
        <v>1685</v>
      </c>
      <c r="G427" s="193" t="s">
        <v>1685</v>
      </c>
      <c r="H427" s="193" t="s">
        <v>1686</v>
      </c>
      <c r="I427" s="193" t="s">
        <v>1508</v>
      </c>
      <c r="J427" s="193" t="s">
        <v>1687</v>
      </c>
      <c r="K427" s="193" t="s">
        <v>386</v>
      </c>
      <c r="L427" s="193" t="s">
        <v>387</v>
      </c>
      <c r="M427" s="193" t="s">
        <v>378</v>
      </c>
      <c r="N427" s="193" t="s">
        <v>1497</v>
      </c>
      <c r="O427" s="193" t="s">
        <v>129</v>
      </c>
      <c r="P427" s="193" t="s">
        <v>138</v>
      </c>
      <c r="Q427" s="193" t="s">
        <v>137</v>
      </c>
      <c r="R427" s="193" t="s">
        <v>136</v>
      </c>
      <c r="S427" s="193" t="s">
        <v>214</v>
      </c>
      <c r="T427" s="193" t="s">
        <v>389</v>
      </c>
      <c r="U427" s="193" t="s">
        <v>390</v>
      </c>
      <c r="V427" s="193">
        <v>0</v>
      </c>
      <c r="W427" s="193">
        <v>0</v>
      </c>
      <c r="X427" s="193">
        <v>0</v>
      </c>
      <c r="Y427" s="194">
        <v>720000</v>
      </c>
      <c r="Z427" s="193" t="s">
        <v>1510</v>
      </c>
      <c r="AA427" s="193" t="s">
        <v>1511</v>
      </c>
      <c r="AB427" s="193">
        <v>720000</v>
      </c>
      <c r="AC427" s="193" t="s">
        <v>1500</v>
      </c>
      <c r="AD427" s="193" t="s">
        <v>136</v>
      </c>
      <c r="AE427" s="193">
        <v>720000</v>
      </c>
      <c r="AF427" s="193" t="s">
        <v>518</v>
      </c>
      <c r="AG427" s="193" t="s">
        <v>519</v>
      </c>
      <c r="AH427" s="193">
        <v>0</v>
      </c>
      <c r="AI427" s="193">
        <v>720000</v>
      </c>
      <c r="AJ427" s="193" t="s">
        <v>214</v>
      </c>
      <c r="AL427" s="197" t="s">
        <v>1688</v>
      </c>
      <c r="AM427" s="193">
        <v>1</v>
      </c>
      <c r="AN427" s="193">
        <v>0</v>
      </c>
      <c r="AO427" s="193">
        <v>0</v>
      </c>
      <c r="AP427" s="193">
        <v>0</v>
      </c>
      <c r="AQ427" s="193" t="s">
        <v>214</v>
      </c>
      <c r="AS427" s="197" t="s">
        <v>518</v>
      </c>
      <c r="AT427" s="197" t="s">
        <v>519</v>
      </c>
      <c r="AV427" s="194">
        <v>0</v>
      </c>
      <c r="AW427" s="194">
        <v>0</v>
      </c>
      <c r="AX427" s="194">
        <v>0</v>
      </c>
      <c r="AY427" s="549">
        <v>0</v>
      </c>
      <c r="AZ427" s="194">
        <v>0</v>
      </c>
      <c r="BA427" s="194">
        <v>720000</v>
      </c>
      <c r="BB427" s="551">
        <v>720000</v>
      </c>
      <c r="BC427" s="551">
        <v>720000</v>
      </c>
      <c r="BD427" s="551">
        <v>0</v>
      </c>
      <c r="BF427" s="550">
        <f t="shared" si="92"/>
        <v>0</v>
      </c>
      <c r="BG427" s="550">
        <f t="shared" si="93"/>
        <v>0</v>
      </c>
      <c r="BH427" s="550">
        <f t="shared" si="94"/>
        <v>0</v>
      </c>
      <c r="BI427" s="550">
        <f t="shared" si="95"/>
        <v>0</v>
      </c>
      <c r="BJ427" s="550">
        <f t="shared" si="96"/>
        <v>0</v>
      </c>
      <c r="BK427" s="550">
        <f t="shared" si="97"/>
        <v>720000</v>
      </c>
      <c r="BL427" s="550">
        <f t="shared" si="98"/>
        <v>720000</v>
      </c>
      <c r="BM427" s="550">
        <f t="shared" si="99"/>
        <v>720000</v>
      </c>
      <c r="BO427" s="194"/>
      <c r="BQ427" s="193">
        <f t="shared" si="100"/>
        <v>0</v>
      </c>
      <c r="BR427" s="193">
        <f t="shared" si="101"/>
        <v>0</v>
      </c>
    </row>
    <row r="428" spans="1:70" ht="13.5" customHeight="1">
      <c r="A428" s="193" t="s">
        <v>378</v>
      </c>
      <c r="B428" s="193" t="s">
        <v>379</v>
      </c>
      <c r="C428" s="193" t="s">
        <v>214</v>
      </c>
      <c r="D428" s="193" t="s">
        <v>1441</v>
      </c>
      <c r="E428" s="193" t="s">
        <v>1442</v>
      </c>
      <c r="F428" s="193" t="s">
        <v>439</v>
      </c>
      <c r="G428" s="193" t="s">
        <v>439</v>
      </c>
      <c r="H428" s="193" t="s">
        <v>1689</v>
      </c>
      <c r="I428" s="193" t="s">
        <v>1508</v>
      </c>
      <c r="J428" s="193" t="s">
        <v>1690</v>
      </c>
      <c r="K428" s="193" t="s">
        <v>386</v>
      </c>
      <c r="L428" s="193" t="s">
        <v>387</v>
      </c>
      <c r="M428" s="193" t="s">
        <v>378</v>
      </c>
      <c r="N428" s="193" t="s">
        <v>1497</v>
      </c>
      <c r="O428" s="193" t="s">
        <v>129</v>
      </c>
      <c r="P428" s="193" t="s">
        <v>138</v>
      </c>
      <c r="Q428" s="193" t="s">
        <v>137</v>
      </c>
      <c r="R428" s="193" t="s">
        <v>136</v>
      </c>
      <c r="S428" s="193" t="s">
        <v>214</v>
      </c>
      <c r="T428" s="193" t="s">
        <v>389</v>
      </c>
      <c r="U428" s="193" t="s">
        <v>390</v>
      </c>
      <c r="V428" s="193">
        <v>0</v>
      </c>
      <c r="W428" s="193">
        <v>0</v>
      </c>
      <c r="X428" s="193">
        <v>0</v>
      </c>
      <c r="Y428" s="194">
        <v>-865</v>
      </c>
      <c r="Z428" s="193" t="s">
        <v>1500</v>
      </c>
      <c r="AA428" s="193" t="s">
        <v>136</v>
      </c>
      <c r="AB428" s="193">
        <v>865</v>
      </c>
      <c r="AC428" s="193" t="s">
        <v>1691</v>
      </c>
      <c r="AD428" s="193" t="s">
        <v>1692</v>
      </c>
      <c r="AE428" s="193">
        <v>865</v>
      </c>
      <c r="AF428" s="193" t="s">
        <v>518</v>
      </c>
      <c r="AG428" s="193" t="s">
        <v>519</v>
      </c>
      <c r="AH428" s="193">
        <v>0</v>
      </c>
      <c r="AI428" s="193">
        <v>-865</v>
      </c>
      <c r="AJ428" s="193" t="s">
        <v>214</v>
      </c>
      <c r="AL428" s="197" t="s">
        <v>1693</v>
      </c>
      <c r="AM428" s="193">
        <v>1</v>
      </c>
      <c r="AN428" s="193">
        <v>0</v>
      </c>
      <c r="AO428" s="193">
        <v>0</v>
      </c>
      <c r="AP428" s="193" t="e">
        <v>#N/A</v>
      </c>
      <c r="AQ428" s="193" t="s">
        <v>214</v>
      </c>
      <c r="AS428" s="197" t="s">
        <v>518</v>
      </c>
      <c r="AT428" s="197" t="s">
        <v>519</v>
      </c>
      <c r="AV428" s="194">
        <v>-432</v>
      </c>
      <c r="AW428" s="194">
        <v>0</v>
      </c>
      <c r="AX428" s="194">
        <v>0</v>
      </c>
      <c r="AY428" s="549">
        <v>-432</v>
      </c>
      <c r="AZ428" s="194">
        <v>0</v>
      </c>
      <c r="BA428" s="194">
        <v>-433</v>
      </c>
      <c r="BB428" s="551">
        <v>-433</v>
      </c>
      <c r="BC428" s="551">
        <v>-865</v>
      </c>
      <c r="BD428" s="551">
        <v>0</v>
      </c>
      <c r="BF428" s="550">
        <f t="shared" si="92"/>
        <v>-432</v>
      </c>
      <c r="BG428" s="550">
        <f t="shared" si="93"/>
        <v>0</v>
      </c>
      <c r="BH428" s="550">
        <f t="shared" si="94"/>
        <v>0</v>
      </c>
      <c r="BI428" s="550">
        <f t="shared" si="95"/>
        <v>-432</v>
      </c>
      <c r="BJ428" s="550">
        <f t="shared" si="96"/>
        <v>0</v>
      </c>
      <c r="BK428" s="550">
        <f t="shared" si="97"/>
        <v>-433</v>
      </c>
      <c r="BL428" s="550">
        <f t="shared" si="98"/>
        <v>-433</v>
      </c>
      <c r="BM428" s="550">
        <f t="shared" si="99"/>
        <v>-865</v>
      </c>
      <c r="BO428" s="194"/>
      <c r="BQ428" s="193">
        <f t="shared" si="100"/>
        <v>0</v>
      </c>
      <c r="BR428" s="193">
        <f t="shared" si="101"/>
        <v>0</v>
      </c>
    </row>
    <row r="429" spans="1:70" ht="13.5" customHeight="1">
      <c r="A429" s="193" t="s">
        <v>378</v>
      </c>
      <c r="B429" s="193" t="s">
        <v>379</v>
      </c>
      <c r="C429" s="193" t="s">
        <v>214</v>
      </c>
      <c r="D429" s="193" t="s">
        <v>1098</v>
      </c>
      <c r="E429" s="193" t="s">
        <v>1099</v>
      </c>
      <c r="F429" s="193" t="s">
        <v>1588</v>
      </c>
      <c r="G429" s="193" t="s">
        <v>1588</v>
      </c>
      <c r="H429" s="193" t="s">
        <v>1694</v>
      </c>
      <c r="I429" s="193" t="s">
        <v>384</v>
      </c>
      <c r="J429" s="193" t="s">
        <v>1695</v>
      </c>
      <c r="K429" s="193" t="s">
        <v>386</v>
      </c>
      <c r="L429" s="193" t="s">
        <v>387</v>
      </c>
      <c r="M429" s="193" t="s">
        <v>378</v>
      </c>
      <c r="N429" s="193" t="s">
        <v>1497</v>
      </c>
      <c r="O429" s="193" t="s">
        <v>129</v>
      </c>
      <c r="P429" s="193" t="s">
        <v>138</v>
      </c>
      <c r="Q429" s="193" t="s">
        <v>137</v>
      </c>
      <c r="R429" s="193" t="s">
        <v>136</v>
      </c>
      <c r="S429" s="193" t="s">
        <v>214</v>
      </c>
      <c r="T429" s="193" t="s">
        <v>389</v>
      </c>
      <c r="U429" s="193" t="s">
        <v>390</v>
      </c>
      <c r="V429" s="193">
        <v>0</v>
      </c>
      <c r="W429" s="193">
        <v>0</v>
      </c>
      <c r="X429" s="193">
        <v>0</v>
      </c>
      <c r="Y429" s="194">
        <v>402</v>
      </c>
      <c r="Z429" s="193" t="s">
        <v>1498</v>
      </c>
      <c r="AA429" s="193" t="s">
        <v>1499</v>
      </c>
      <c r="AB429" s="193">
        <v>402</v>
      </c>
      <c r="AC429" s="193" t="s">
        <v>1500</v>
      </c>
      <c r="AD429" s="193" t="s">
        <v>136</v>
      </c>
      <c r="AE429" s="193">
        <v>402</v>
      </c>
      <c r="AF429" s="193" t="s">
        <v>394</v>
      </c>
      <c r="AG429" s="193" t="s">
        <v>395</v>
      </c>
      <c r="AH429" s="193">
        <v>36</v>
      </c>
      <c r="AI429" s="193">
        <v>366</v>
      </c>
      <c r="AJ429" s="193" t="s">
        <v>1696</v>
      </c>
      <c r="AL429" s="197" t="s">
        <v>1697</v>
      </c>
      <c r="AM429" s="193">
        <v>1</v>
      </c>
      <c r="AN429" s="193">
        <v>0</v>
      </c>
      <c r="AO429" s="193">
        <v>0</v>
      </c>
      <c r="AP429" s="193">
        <v>0</v>
      </c>
      <c r="AQ429" s="193" t="s">
        <v>214</v>
      </c>
      <c r="AS429" s="197" t="s">
        <v>394</v>
      </c>
      <c r="AT429" s="197" t="s">
        <v>395</v>
      </c>
      <c r="AV429" s="194">
        <v>76</v>
      </c>
      <c r="AW429" s="194">
        <v>0</v>
      </c>
      <c r="AX429" s="194">
        <v>0</v>
      </c>
      <c r="AY429" s="549">
        <v>76</v>
      </c>
      <c r="AZ429" s="194">
        <v>0</v>
      </c>
      <c r="BA429" s="194">
        <v>326</v>
      </c>
      <c r="BB429" s="551">
        <v>326</v>
      </c>
      <c r="BC429" s="551">
        <v>402</v>
      </c>
      <c r="BD429" s="551">
        <v>0</v>
      </c>
      <c r="BF429" s="550">
        <f t="shared" si="92"/>
        <v>69</v>
      </c>
      <c r="BG429" s="550">
        <f t="shared" si="93"/>
        <v>0</v>
      </c>
      <c r="BH429" s="550">
        <f t="shared" si="94"/>
        <v>0</v>
      </c>
      <c r="BI429" s="550">
        <f t="shared" si="95"/>
        <v>69</v>
      </c>
      <c r="BJ429" s="550">
        <f t="shared" si="96"/>
        <v>0</v>
      </c>
      <c r="BK429" s="550">
        <f t="shared" si="97"/>
        <v>296</v>
      </c>
      <c r="BL429" s="550">
        <f t="shared" si="98"/>
        <v>296</v>
      </c>
      <c r="BM429" s="550">
        <f t="shared" si="99"/>
        <v>365</v>
      </c>
      <c r="BO429" s="194"/>
      <c r="BQ429" s="193">
        <f t="shared" si="100"/>
        <v>9.0909090909093493E-2</v>
      </c>
      <c r="BR429" s="193">
        <f t="shared" si="101"/>
        <v>0.36363636363637397</v>
      </c>
    </row>
    <row r="430" spans="1:70" ht="13.5" customHeight="1">
      <c r="A430" s="193" t="s">
        <v>378</v>
      </c>
      <c r="B430" s="193" t="s">
        <v>379</v>
      </c>
      <c r="C430" s="193" t="s">
        <v>214</v>
      </c>
      <c r="D430" s="193" t="s">
        <v>1098</v>
      </c>
      <c r="E430" s="193" t="s">
        <v>1099</v>
      </c>
      <c r="F430" s="193" t="s">
        <v>1416</v>
      </c>
      <c r="G430" s="193" t="s">
        <v>1416</v>
      </c>
      <c r="H430" s="193" t="s">
        <v>1698</v>
      </c>
      <c r="I430" s="193" t="s">
        <v>384</v>
      </c>
      <c r="J430" s="193" t="s">
        <v>1699</v>
      </c>
      <c r="K430" s="193" t="s">
        <v>386</v>
      </c>
      <c r="L430" s="193" t="s">
        <v>387</v>
      </c>
      <c r="M430" s="193" t="s">
        <v>378</v>
      </c>
      <c r="N430" s="193" t="s">
        <v>1497</v>
      </c>
      <c r="O430" s="193" t="s">
        <v>129</v>
      </c>
      <c r="P430" s="193" t="s">
        <v>138</v>
      </c>
      <c r="Q430" s="193" t="s">
        <v>137</v>
      </c>
      <c r="R430" s="193" t="s">
        <v>136</v>
      </c>
      <c r="S430" s="193" t="s">
        <v>214</v>
      </c>
      <c r="T430" s="193" t="s">
        <v>389</v>
      </c>
      <c r="U430" s="193" t="s">
        <v>390</v>
      </c>
      <c r="V430" s="193">
        <v>0</v>
      </c>
      <c r="W430" s="193">
        <v>0</v>
      </c>
      <c r="X430" s="193">
        <v>0</v>
      </c>
      <c r="Y430" s="194">
        <v>396</v>
      </c>
      <c r="Z430" s="193" t="s">
        <v>1498</v>
      </c>
      <c r="AA430" s="193" t="s">
        <v>1499</v>
      </c>
      <c r="AB430" s="193">
        <v>396</v>
      </c>
      <c r="AC430" s="193" t="s">
        <v>1500</v>
      </c>
      <c r="AD430" s="193" t="s">
        <v>136</v>
      </c>
      <c r="AE430" s="193">
        <v>396</v>
      </c>
      <c r="AF430" s="193" t="s">
        <v>394</v>
      </c>
      <c r="AG430" s="193" t="s">
        <v>395</v>
      </c>
      <c r="AH430" s="193">
        <v>36</v>
      </c>
      <c r="AI430" s="193">
        <v>360</v>
      </c>
      <c r="AJ430" s="193" t="s">
        <v>1696</v>
      </c>
      <c r="AL430" s="197" t="s">
        <v>1700</v>
      </c>
      <c r="AM430" s="193">
        <v>1</v>
      </c>
      <c r="AN430" s="193">
        <v>0</v>
      </c>
      <c r="AO430" s="193">
        <v>0</v>
      </c>
      <c r="AP430" s="193">
        <v>0</v>
      </c>
      <c r="AQ430" s="193" t="s">
        <v>214</v>
      </c>
      <c r="AS430" s="197" t="s">
        <v>394</v>
      </c>
      <c r="AT430" s="197" t="s">
        <v>395</v>
      </c>
      <c r="AV430" s="194">
        <v>75</v>
      </c>
      <c r="AW430" s="194">
        <v>0</v>
      </c>
      <c r="AX430" s="194">
        <v>0</v>
      </c>
      <c r="AY430" s="549">
        <v>75</v>
      </c>
      <c r="AZ430" s="194">
        <v>0</v>
      </c>
      <c r="BA430" s="194">
        <v>321</v>
      </c>
      <c r="BB430" s="551">
        <v>321</v>
      </c>
      <c r="BC430" s="551">
        <v>396</v>
      </c>
      <c r="BD430" s="551">
        <v>0</v>
      </c>
      <c r="BF430" s="550">
        <f t="shared" si="92"/>
        <v>68</v>
      </c>
      <c r="BG430" s="550">
        <f t="shared" si="93"/>
        <v>0</v>
      </c>
      <c r="BH430" s="550">
        <f t="shared" si="94"/>
        <v>0</v>
      </c>
      <c r="BI430" s="550">
        <f t="shared" si="95"/>
        <v>68</v>
      </c>
      <c r="BJ430" s="550">
        <f t="shared" si="96"/>
        <v>0</v>
      </c>
      <c r="BK430" s="550">
        <f t="shared" si="97"/>
        <v>292</v>
      </c>
      <c r="BL430" s="550">
        <f t="shared" si="98"/>
        <v>292</v>
      </c>
      <c r="BM430" s="550">
        <f t="shared" si="99"/>
        <v>360</v>
      </c>
      <c r="BO430" s="194"/>
      <c r="BQ430" s="193">
        <f t="shared" si="100"/>
        <v>0.18181818181818699</v>
      </c>
      <c r="BR430" s="193">
        <f t="shared" si="101"/>
        <v>-0.18181818181818699</v>
      </c>
    </row>
    <row r="431" spans="1:70" ht="13.5" customHeight="1">
      <c r="A431" s="193" t="s">
        <v>378</v>
      </c>
      <c r="B431" s="193" t="s">
        <v>379</v>
      </c>
      <c r="C431" s="193" t="s">
        <v>214</v>
      </c>
      <c r="D431" s="193" t="s">
        <v>1098</v>
      </c>
      <c r="E431" s="193" t="s">
        <v>1099</v>
      </c>
      <c r="F431" s="193" t="s">
        <v>439</v>
      </c>
      <c r="G431" s="193" t="s">
        <v>439</v>
      </c>
      <c r="H431" s="193" t="s">
        <v>1701</v>
      </c>
      <c r="I431" s="193" t="s">
        <v>384</v>
      </c>
      <c r="J431" s="193" t="s">
        <v>1702</v>
      </c>
      <c r="K431" s="193" t="s">
        <v>386</v>
      </c>
      <c r="L431" s="193" t="s">
        <v>387</v>
      </c>
      <c r="M431" s="193" t="s">
        <v>378</v>
      </c>
      <c r="N431" s="193" t="s">
        <v>1497</v>
      </c>
      <c r="O431" s="193" t="s">
        <v>129</v>
      </c>
      <c r="P431" s="193" t="s">
        <v>138</v>
      </c>
      <c r="Q431" s="193" t="s">
        <v>137</v>
      </c>
      <c r="R431" s="193" t="s">
        <v>136</v>
      </c>
      <c r="S431" s="193" t="s">
        <v>214</v>
      </c>
      <c r="T431" s="193" t="s">
        <v>389</v>
      </c>
      <c r="U431" s="193" t="s">
        <v>390</v>
      </c>
      <c r="V431" s="193">
        <v>0</v>
      </c>
      <c r="W431" s="193">
        <v>0</v>
      </c>
      <c r="X431" s="193">
        <v>0</v>
      </c>
      <c r="Y431" s="194">
        <v>399</v>
      </c>
      <c r="Z431" s="193" t="s">
        <v>1498</v>
      </c>
      <c r="AA431" s="193" t="s">
        <v>1499</v>
      </c>
      <c r="AB431" s="193">
        <v>399</v>
      </c>
      <c r="AC431" s="193" t="s">
        <v>1500</v>
      </c>
      <c r="AD431" s="193" t="s">
        <v>136</v>
      </c>
      <c r="AE431" s="193">
        <v>399</v>
      </c>
      <c r="AF431" s="193" t="s">
        <v>394</v>
      </c>
      <c r="AG431" s="193" t="s">
        <v>395</v>
      </c>
      <c r="AH431" s="193">
        <v>36</v>
      </c>
      <c r="AI431" s="193">
        <v>363</v>
      </c>
      <c r="AJ431" s="193" t="s">
        <v>1703</v>
      </c>
      <c r="AL431" s="197" t="s">
        <v>1704</v>
      </c>
      <c r="AM431" s="193">
        <v>1</v>
      </c>
      <c r="AN431" s="193">
        <v>0</v>
      </c>
      <c r="AO431" s="193">
        <v>0</v>
      </c>
      <c r="AP431" s="193">
        <v>0</v>
      </c>
      <c r="AQ431" s="193" t="s">
        <v>214</v>
      </c>
      <c r="AS431" s="197" t="s">
        <v>394</v>
      </c>
      <c r="AT431" s="197" t="s">
        <v>395</v>
      </c>
      <c r="AV431" s="194">
        <v>76</v>
      </c>
      <c r="AW431" s="194">
        <v>0</v>
      </c>
      <c r="AX431" s="194">
        <v>0</v>
      </c>
      <c r="AY431" s="549">
        <v>76</v>
      </c>
      <c r="AZ431" s="194">
        <v>0</v>
      </c>
      <c r="BA431" s="194">
        <v>323</v>
      </c>
      <c r="BB431" s="551">
        <v>323</v>
      </c>
      <c r="BC431" s="551">
        <v>399</v>
      </c>
      <c r="BD431" s="551">
        <v>0</v>
      </c>
      <c r="BF431" s="550">
        <f t="shared" si="92"/>
        <v>69</v>
      </c>
      <c r="BG431" s="550">
        <f t="shared" si="93"/>
        <v>0</v>
      </c>
      <c r="BH431" s="550">
        <f t="shared" si="94"/>
        <v>0</v>
      </c>
      <c r="BI431" s="550">
        <f t="shared" si="95"/>
        <v>69</v>
      </c>
      <c r="BJ431" s="550">
        <f t="shared" si="96"/>
        <v>0</v>
      </c>
      <c r="BK431" s="550">
        <f t="shared" si="97"/>
        <v>294</v>
      </c>
      <c r="BL431" s="550">
        <f t="shared" si="98"/>
        <v>294</v>
      </c>
      <c r="BM431" s="550">
        <f t="shared" si="99"/>
        <v>363</v>
      </c>
      <c r="BO431" s="194"/>
      <c r="BQ431" s="193">
        <f t="shared" si="100"/>
        <v>9.0909090909093493E-2</v>
      </c>
      <c r="BR431" s="193">
        <f t="shared" si="101"/>
        <v>-0.36363636363637397</v>
      </c>
    </row>
    <row r="432" spans="1:70" ht="13.5" customHeight="1">
      <c r="A432" s="193" t="s">
        <v>378</v>
      </c>
      <c r="B432" s="193" t="s">
        <v>379</v>
      </c>
      <c r="C432" s="193" t="s">
        <v>214</v>
      </c>
      <c r="D432" s="193" t="s">
        <v>1098</v>
      </c>
      <c r="E432" s="193" t="s">
        <v>1099</v>
      </c>
      <c r="F432" s="193" t="s">
        <v>1705</v>
      </c>
      <c r="G432" s="193" t="s">
        <v>1705</v>
      </c>
      <c r="H432" s="193" t="s">
        <v>1706</v>
      </c>
      <c r="I432" s="193" t="s">
        <v>384</v>
      </c>
      <c r="J432" s="193" t="s">
        <v>1707</v>
      </c>
      <c r="K432" s="193" t="s">
        <v>386</v>
      </c>
      <c r="L432" s="193" t="s">
        <v>387</v>
      </c>
      <c r="M432" s="193" t="s">
        <v>378</v>
      </c>
      <c r="N432" s="193" t="s">
        <v>1497</v>
      </c>
      <c r="O432" s="193" t="s">
        <v>129</v>
      </c>
      <c r="P432" s="193" t="s">
        <v>138</v>
      </c>
      <c r="Q432" s="193" t="s">
        <v>137</v>
      </c>
      <c r="R432" s="193" t="s">
        <v>136</v>
      </c>
      <c r="S432" s="193" t="s">
        <v>214</v>
      </c>
      <c r="T432" s="193" t="s">
        <v>389</v>
      </c>
      <c r="U432" s="193" t="s">
        <v>390</v>
      </c>
      <c r="V432" s="193">
        <v>0</v>
      </c>
      <c r="W432" s="193">
        <v>0</v>
      </c>
      <c r="X432" s="193">
        <v>0</v>
      </c>
      <c r="Y432" s="194">
        <v>527</v>
      </c>
      <c r="Z432" s="193" t="s">
        <v>1498</v>
      </c>
      <c r="AA432" s="193" t="s">
        <v>1499</v>
      </c>
      <c r="AB432" s="193">
        <v>527</v>
      </c>
      <c r="AC432" s="193" t="s">
        <v>1500</v>
      </c>
      <c r="AD432" s="193" t="s">
        <v>136</v>
      </c>
      <c r="AE432" s="193">
        <v>527</v>
      </c>
      <c r="AF432" s="193" t="s">
        <v>394</v>
      </c>
      <c r="AG432" s="193" t="s">
        <v>395</v>
      </c>
      <c r="AH432" s="193">
        <v>47</v>
      </c>
      <c r="AI432" s="193">
        <v>480</v>
      </c>
      <c r="AJ432" s="193" t="s">
        <v>1708</v>
      </c>
      <c r="AL432" s="197" t="s">
        <v>1709</v>
      </c>
      <c r="AM432" s="193">
        <v>1</v>
      </c>
      <c r="AN432" s="193">
        <v>0</v>
      </c>
      <c r="AO432" s="193">
        <v>0</v>
      </c>
      <c r="AP432" s="193">
        <v>0</v>
      </c>
      <c r="AQ432" s="193" t="s">
        <v>214</v>
      </c>
      <c r="AS432" s="197" t="s">
        <v>394</v>
      </c>
      <c r="AT432" s="197" t="s">
        <v>395</v>
      </c>
      <c r="AV432" s="194">
        <v>100</v>
      </c>
      <c r="AW432" s="194">
        <v>0</v>
      </c>
      <c r="AX432" s="194">
        <v>0</v>
      </c>
      <c r="AY432" s="549">
        <v>100</v>
      </c>
      <c r="AZ432" s="194">
        <v>0</v>
      </c>
      <c r="BA432" s="194">
        <v>427</v>
      </c>
      <c r="BB432" s="551">
        <v>427</v>
      </c>
      <c r="BC432" s="551">
        <v>527</v>
      </c>
      <c r="BD432" s="551">
        <v>0</v>
      </c>
      <c r="BF432" s="550">
        <f t="shared" si="92"/>
        <v>91</v>
      </c>
      <c r="BG432" s="550">
        <f t="shared" si="93"/>
        <v>0</v>
      </c>
      <c r="BH432" s="550">
        <f t="shared" si="94"/>
        <v>0</v>
      </c>
      <c r="BI432" s="550">
        <f t="shared" si="95"/>
        <v>91</v>
      </c>
      <c r="BJ432" s="550">
        <f t="shared" si="96"/>
        <v>0</v>
      </c>
      <c r="BK432" s="550">
        <f t="shared" si="97"/>
        <v>388</v>
      </c>
      <c r="BL432" s="550">
        <f t="shared" si="98"/>
        <v>388</v>
      </c>
      <c r="BM432" s="550">
        <f t="shared" si="99"/>
        <v>479</v>
      </c>
      <c r="BO432" s="194"/>
      <c r="BQ432" s="193">
        <f t="shared" si="100"/>
        <v>-9.0909090909093493E-2</v>
      </c>
      <c r="BR432" s="193">
        <f t="shared" si="101"/>
        <v>0.18181818181818699</v>
      </c>
    </row>
    <row r="433" spans="1:70" ht="13.5" customHeight="1">
      <c r="A433" s="193" t="s">
        <v>378</v>
      </c>
      <c r="B433" s="193" t="s">
        <v>379</v>
      </c>
      <c r="C433" s="193" t="s">
        <v>214</v>
      </c>
      <c r="D433" s="193" t="s">
        <v>1098</v>
      </c>
      <c r="E433" s="193" t="s">
        <v>1099</v>
      </c>
      <c r="F433" s="193" t="s">
        <v>956</v>
      </c>
      <c r="G433" s="193" t="s">
        <v>956</v>
      </c>
      <c r="H433" s="193" t="s">
        <v>1710</v>
      </c>
      <c r="I433" s="193" t="s">
        <v>384</v>
      </c>
      <c r="J433" s="193" t="s">
        <v>1711</v>
      </c>
      <c r="K433" s="193" t="s">
        <v>386</v>
      </c>
      <c r="L433" s="193" t="s">
        <v>387</v>
      </c>
      <c r="M433" s="193" t="s">
        <v>378</v>
      </c>
      <c r="N433" s="193" t="s">
        <v>1497</v>
      </c>
      <c r="O433" s="193" t="s">
        <v>129</v>
      </c>
      <c r="P433" s="193" t="s">
        <v>138</v>
      </c>
      <c r="Q433" s="193" t="s">
        <v>137</v>
      </c>
      <c r="R433" s="193" t="s">
        <v>136</v>
      </c>
      <c r="S433" s="193" t="s">
        <v>214</v>
      </c>
      <c r="T433" s="193" t="s">
        <v>389</v>
      </c>
      <c r="U433" s="193" t="s">
        <v>390</v>
      </c>
      <c r="V433" s="193">
        <v>0</v>
      </c>
      <c r="W433" s="193">
        <v>0</v>
      </c>
      <c r="X433" s="193">
        <v>0</v>
      </c>
      <c r="Y433" s="194">
        <v>463</v>
      </c>
      <c r="Z433" s="193" t="s">
        <v>1498</v>
      </c>
      <c r="AA433" s="193" t="s">
        <v>1499</v>
      </c>
      <c r="AB433" s="193">
        <v>463</v>
      </c>
      <c r="AC433" s="193" t="s">
        <v>1500</v>
      </c>
      <c r="AD433" s="193" t="s">
        <v>136</v>
      </c>
      <c r="AE433" s="193">
        <v>463</v>
      </c>
      <c r="AF433" s="193" t="s">
        <v>394</v>
      </c>
      <c r="AG433" s="193" t="s">
        <v>395</v>
      </c>
      <c r="AH433" s="193">
        <v>42</v>
      </c>
      <c r="AI433" s="193">
        <v>421</v>
      </c>
      <c r="AJ433" s="193" t="s">
        <v>1696</v>
      </c>
      <c r="AL433" s="197" t="s">
        <v>1712</v>
      </c>
      <c r="AM433" s="193">
        <v>1</v>
      </c>
      <c r="AN433" s="193">
        <v>0</v>
      </c>
      <c r="AO433" s="193">
        <v>0</v>
      </c>
      <c r="AP433" s="193">
        <v>0</v>
      </c>
      <c r="AQ433" s="193" t="s">
        <v>214</v>
      </c>
      <c r="AS433" s="197" t="s">
        <v>394</v>
      </c>
      <c r="AT433" s="197" t="s">
        <v>395</v>
      </c>
      <c r="AV433" s="194">
        <v>88</v>
      </c>
      <c r="AW433" s="194">
        <v>0</v>
      </c>
      <c r="AX433" s="194">
        <v>0</v>
      </c>
      <c r="AY433" s="549">
        <v>88</v>
      </c>
      <c r="AZ433" s="194">
        <v>0</v>
      </c>
      <c r="BA433" s="194">
        <v>375</v>
      </c>
      <c r="BB433" s="551">
        <v>375</v>
      </c>
      <c r="BC433" s="551">
        <v>463</v>
      </c>
      <c r="BD433" s="551">
        <v>0</v>
      </c>
      <c r="BF433" s="550">
        <f t="shared" si="92"/>
        <v>80</v>
      </c>
      <c r="BG433" s="550">
        <f t="shared" si="93"/>
        <v>0</v>
      </c>
      <c r="BH433" s="550">
        <f t="shared" si="94"/>
        <v>0</v>
      </c>
      <c r="BI433" s="550">
        <f t="shared" si="95"/>
        <v>80</v>
      </c>
      <c r="BJ433" s="550">
        <f t="shared" si="96"/>
        <v>0</v>
      </c>
      <c r="BK433" s="550">
        <f t="shared" si="97"/>
        <v>341</v>
      </c>
      <c r="BL433" s="550">
        <f t="shared" si="98"/>
        <v>341</v>
      </c>
      <c r="BM433" s="550">
        <f t="shared" si="99"/>
        <v>421</v>
      </c>
      <c r="BO433" s="194"/>
      <c r="BQ433" s="193">
        <f t="shared" si="100"/>
        <v>0</v>
      </c>
      <c r="BR433" s="193">
        <f t="shared" si="101"/>
        <v>-9.0909090909065071E-2</v>
      </c>
    </row>
    <row r="434" spans="1:70" ht="13.5" customHeight="1">
      <c r="A434" s="193" t="s">
        <v>378</v>
      </c>
      <c r="B434" s="193" t="s">
        <v>379</v>
      </c>
      <c r="C434" s="193" t="s">
        <v>214</v>
      </c>
      <c r="D434" s="193" t="s">
        <v>1098</v>
      </c>
      <c r="E434" s="193" t="s">
        <v>1099</v>
      </c>
      <c r="F434" s="193" t="s">
        <v>1254</v>
      </c>
      <c r="G434" s="193" t="s">
        <v>1254</v>
      </c>
      <c r="H434" s="193" t="s">
        <v>1713</v>
      </c>
      <c r="I434" s="193" t="s">
        <v>384</v>
      </c>
      <c r="J434" s="193" t="s">
        <v>1714</v>
      </c>
      <c r="K434" s="193" t="s">
        <v>386</v>
      </c>
      <c r="L434" s="193" t="s">
        <v>387</v>
      </c>
      <c r="M434" s="193" t="s">
        <v>378</v>
      </c>
      <c r="N434" s="193" t="s">
        <v>1497</v>
      </c>
      <c r="O434" s="193" t="s">
        <v>129</v>
      </c>
      <c r="P434" s="193" t="s">
        <v>138</v>
      </c>
      <c r="Q434" s="193" t="s">
        <v>137</v>
      </c>
      <c r="R434" s="193" t="s">
        <v>136</v>
      </c>
      <c r="S434" s="193" t="s">
        <v>214</v>
      </c>
      <c r="T434" s="193" t="s">
        <v>389</v>
      </c>
      <c r="U434" s="193" t="s">
        <v>390</v>
      </c>
      <c r="V434" s="193">
        <v>0</v>
      </c>
      <c r="W434" s="193">
        <v>0</v>
      </c>
      <c r="X434" s="193">
        <v>0</v>
      </c>
      <c r="Y434" s="196">
        <v>414</v>
      </c>
      <c r="Z434" s="193" t="s">
        <v>1498</v>
      </c>
      <c r="AA434" s="193" t="s">
        <v>1499</v>
      </c>
      <c r="AB434" s="193">
        <v>414</v>
      </c>
      <c r="AC434" s="193" t="s">
        <v>1500</v>
      </c>
      <c r="AD434" s="193" t="s">
        <v>136</v>
      </c>
      <c r="AE434" s="193">
        <v>414</v>
      </c>
      <c r="AF434" s="193" t="s">
        <v>394</v>
      </c>
      <c r="AG434" s="193" t="s">
        <v>395</v>
      </c>
      <c r="AH434" s="193">
        <v>37</v>
      </c>
      <c r="AI434" s="193">
        <v>377</v>
      </c>
      <c r="AJ434" s="193" t="s">
        <v>1696</v>
      </c>
      <c r="AL434" s="197" t="s">
        <v>1715</v>
      </c>
      <c r="AM434" s="193">
        <v>1</v>
      </c>
      <c r="AN434" s="193">
        <v>0</v>
      </c>
      <c r="AO434" s="193">
        <v>0</v>
      </c>
      <c r="AP434" s="193">
        <v>0</v>
      </c>
      <c r="AQ434" s="193" t="s">
        <v>214</v>
      </c>
      <c r="AS434" s="197" t="s">
        <v>394</v>
      </c>
      <c r="AT434" s="197" t="s">
        <v>395</v>
      </c>
      <c r="AV434" s="194">
        <v>79</v>
      </c>
      <c r="AW434" s="194">
        <v>0</v>
      </c>
      <c r="AX434" s="194">
        <v>0</v>
      </c>
      <c r="AY434" s="549">
        <v>79</v>
      </c>
      <c r="AZ434" s="194">
        <v>0</v>
      </c>
      <c r="BA434" s="194">
        <v>335</v>
      </c>
      <c r="BB434" s="551">
        <v>335</v>
      </c>
      <c r="BC434" s="551">
        <v>414</v>
      </c>
      <c r="BD434" s="551">
        <v>0</v>
      </c>
      <c r="BF434" s="550">
        <f t="shared" si="92"/>
        <v>72</v>
      </c>
      <c r="BG434" s="550">
        <f t="shared" si="93"/>
        <v>0</v>
      </c>
      <c r="BH434" s="550">
        <f t="shared" si="94"/>
        <v>0</v>
      </c>
      <c r="BI434" s="550">
        <f t="shared" si="95"/>
        <v>72</v>
      </c>
      <c r="BJ434" s="550">
        <f t="shared" si="96"/>
        <v>0</v>
      </c>
      <c r="BK434" s="550">
        <f t="shared" si="97"/>
        <v>305</v>
      </c>
      <c r="BL434" s="550">
        <f t="shared" si="98"/>
        <v>305</v>
      </c>
      <c r="BM434" s="550">
        <f t="shared" si="99"/>
        <v>377</v>
      </c>
      <c r="BO434" s="194"/>
      <c r="BQ434" s="193">
        <f t="shared" si="100"/>
        <v>-0.18181818181818699</v>
      </c>
      <c r="BR434" s="193">
        <f t="shared" si="101"/>
        <v>-0.45454545454543904</v>
      </c>
    </row>
    <row r="435" spans="1:70" ht="13.5" customHeight="1">
      <c r="A435" s="193" t="s">
        <v>378</v>
      </c>
      <c r="B435" s="193" t="s">
        <v>379</v>
      </c>
      <c r="C435" s="193" t="s">
        <v>214</v>
      </c>
      <c r="D435" s="193" t="s">
        <v>508</v>
      </c>
      <c r="E435" s="193" t="s">
        <v>509</v>
      </c>
      <c r="F435" s="193" t="s">
        <v>809</v>
      </c>
      <c r="G435" s="193" t="s">
        <v>809</v>
      </c>
      <c r="H435" s="193" t="s">
        <v>1716</v>
      </c>
      <c r="I435" s="193" t="s">
        <v>384</v>
      </c>
      <c r="J435" s="193" t="s">
        <v>1723</v>
      </c>
      <c r="K435" s="193" t="s">
        <v>386</v>
      </c>
      <c r="L435" s="193" t="s">
        <v>387</v>
      </c>
      <c r="M435" s="193" t="s">
        <v>378</v>
      </c>
      <c r="N435" s="193" t="s">
        <v>1497</v>
      </c>
      <c r="O435" s="193" t="s">
        <v>129</v>
      </c>
      <c r="P435" s="193" t="s">
        <v>138</v>
      </c>
      <c r="Q435" s="193" t="s">
        <v>137</v>
      </c>
      <c r="R435" s="193" t="s">
        <v>136</v>
      </c>
      <c r="S435" s="193" t="s">
        <v>214</v>
      </c>
      <c r="T435" s="193" t="s">
        <v>389</v>
      </c>
      <c r="U435" s="193" t="s">
        <v>390</v>
      </c>
      <c r="V435" s="193">
        <v>0</v>
      </c>
      <c r="W435" s="193">
        <v>0</v>
      </c>
      <c r="X435" s="193">
        <v>0</v>
      </c>
      <c r="Y435" s="554">
        <v>10751</v>
      </c>
      <c r="Z435" s="193" t="s">
        <v>1498</v>
      </c>
      <c r="AA435" s="193" t="s">
        <v>1499</v>
      </c>
      <c r="AB435" s="193">
        <v>10751</v>
      </c>
      <c r="AC435" s="193" t="s">
        <v>1500</v>
      </c>
      <c r="AD435" s="193" t="s">
        <v>136</v>
      </c>
      <c r="AE435" s="193">
        <v>10751</v>
      </c>
      <c r="AF435" s="193" t="s">
        <v>518</v>
      </c>
      <c r="AG435" s="193" t="s">
        <v>519</v>
      </c>
      <c r="AH435" s="193">
        <v>0</v>
      </c>
      <c r="AI435" s="193">
        <v>10751</v>
      </c>
      <c r="AJ435" s="193" t="s">
        <v>1724</v>
      </c>
      <c r="AL435" s="197" t="s">
        <v>1725</v>
      </c>
      <c r="AM435" s="193">
        <v>1</v>
      </c>
      <c r="AN435" s="193">
        <v>0</v>
      </c>
      <c r="AO435" s="193">
        <v>0</v>
      </c>
      <c r="AP435" s="193">
        <v>0</v>
      </c>
      <c r="AQ435" s="193" t="s">
        <v>214</v>
      </c>
      <c r="AS435" s="197" t="s">
        <v>518</v>
      </c>
      <c r="AT435" s="197" t="s">
        <v>519</v>
      </c>
      <c r="AV435" s="194">
        <v>10751</v>
      </c>
      <c r="AW435" s="194">
        <v>0</v>
      </c>
      <c r="AX435" s="194">
        <v>0</v>
      </c>
      <c r="AY435" s="549">
        <v>10751</v>
      </c>
      <c r="AZ435" s="194">
        <v>0</v>
      </c>
      <c r="BA435" s="194">
        <v>0</v>
      </c>
      <c r="BB435" s="551">
        <v>0</v>
      </c>
      <c r="BC435" s="551">
        <v>10751</v>
      </c>
      <c r="BD435" s="551">
        <v>0</v>
      </c>
      <c r="BF435" s="550">
        <f t="shared" si="92"/>
        <v>10751</v>
      </c>
      <c r="BG435" s="550">
        <f t="shared" si="93"/>
        <v>0</v>
      </c>
      <c r="BH435" s="550">
        <f t="shared" si="94"/>
        <v>0</v>
      </c>
      <c r="BI435" s="550">
        <f t="shared" si="95"/>
        <v>10751</v>
      </c>
      <c r="BJ435" s="550">
        <f t="shared" si="96"/>
        <v>0</v>
      </c>
      <c r="BK435" s="550">
        <f t="shared" si="97"/>
        <v>0</v>
      </c>
      <c r="BL435" s="550">
        <f t="shared" si="98"/>
        <v>0</v>
      </c>
      <c r="BM435" s="550">
        <f t="shared" si="99"/>
        <v>10751</v>
      </c>
      <c r="BO435" s="194"/>
      <c r="BQ435" s="193">
        <f t="shared" si="100"/>
        <v>0</v>
      </c>
      <c r="BR435" s="193">
        <f t="shared" si="101"/>
        <v>0</v>
      </c>
    </row>
    <row r="436" spans="1:70" ht="13.5" customHeight="1">
      <c r="A436" s="193" t="s">
        <v>378</v>
      </c>
      <c r="B436" s="193" t="s">
        <v>379</v>
      </c>
      <c r="C436" s="193" t="s">
        <v>214</v>
      </c>
      <c r="D436" s="193" t="s">
        <v>508</v>
      </c>
      <c r="E436" s="193" t="s">
        <v>509</v>
      </c>
      <c r="F436" s="193" t="s">
        <v>1313</v>
      </c>
      <c r="G436" s="193" t="s">
        <v>1313</v>
      </c>
      <c r="H436" s="193" t="s">
        <v>1716</v>
      </c>
      <c r="I436" s="193" t="s">
        <v>384</v>
      </c>
      <c r="J436" s="193" t="s">
        <v>1717</v>
      </c>
      <c r="K436" s="193" t="s">
        <v>386</v>
      </c>
      <c r="L436" s="193" t="s">
        <v>387</v>
      </c>
      <c r="M436" s="193" t="s">
        <v>378</v>
      </c>
      <c r="N436" s="193" t="s">
        <v>1497</v>
      </c>
      <c r="O436" s="193" t="s">
        <v>129</v>
      </c>
      <c r="P436" s="193" t="s">
        <v>138</v>
      </c>
      <c r="Q436" s="193" t="s">
        <v>137</v>
      </c>
      <c r="R436" s="193" t="s">
        <v>136</v>
      </c>
      <c r="S436" s="193" t="s">
        <v>214</v>
      </c>
      <c r="T436" s="193" t="s">
        <v>389</v>
      </c>
      <c r="U436" s="193" t="s">
        <v>390</v>
      </c>
      <c r="V436" s="193">
        <v>0</v>
      </c>
      <c r="W436" s="193">
        <v>0</v>
      </c>
      <c r="X436" s="193">
        <v>0</v>
      </c>
      <c r="Y436" s="194">
        <v>27234</v>
      </c>
      <c r="Z436" s="193" t="s">
        <v>1498</v>
      </c>
      <c r="AA436" s="193" t="s">
        <v>1499</v>
      </c>
      <c r="AB436" s="193">
        <v>27234</v>
      </c>
      <c r="AC436" s="193" t="s">
        <v>1500</v>
      </c>
      <c r="AD436" s="193" t="s">
        <v>136</v>
      </c>
      <c r="AE436" s="193">
        <v>27234</v>
      </c>
      <c r="AF436" s="193" t="s">
        <v>518</v>
      </c>
      <c r="AG436" s="193" t="s">
        <v>519</v>
      </c>
      <c r="AH436" s="193">
        <v>0</v>
      </c>
      <c r="AI436" s="193">
        <v>27234</v>
      </c>
      <c r="AJ436" s="193" t="s">
        <v>1718</v>
      </c>
      <c r="AL436" s="197" t="s">
        <v>1719</v>
      </c>
      <c r="AM436" s="193">
        <v>1</v>
      </c>
      <c r="AN436" s="193">
        <v>0</v>
      </c>
      <c r="AO436" s="193">
        <v>0</v>
      </c>
      <c r="AP436" s="193">
        <v>0</v>
      </c>
      <c r="AQ436" s="193" t="s">
        <v>214</v>
      </c>
      <c r="AS436" s="197" t="s">
        <v>518</v>
      </c>
      <c r="AT436" s="197" t="s">
        <v>519</v>
      </c>
      <c r="AV436" s="194">
        <v>27234</v>
      </c>
      <c r="AW436" s="194">
        <v>0</v>
      </c>
      <c r="AX436" s="194">
        <v>0</v>
      </c>
      <c r="AY436" s="549">
        <v>27234</v>
      </c>
      <c r="AZ436" s="194">
        <v>0</v>
      </c>
      <c r="BA436" s="194">
        <v>0</v>
      </c>
      <c r="BB436" s="551">
        <v>0</v>
      </c>
      <c r="BC436" s="551">
        <v>27234</v>
      </c>
      <c r="BD436" s="551">
        <v>0</v>
      </c>
      <c r="BF436" s="550">
        <f t="shared" si="92"/>
        <v>27234</v>
      </c>
      <c r="BG436" s="550">
        <f t="shared" si="93"/>
        <v>0</v>
      </c>
      <c r="BH436" s="550">
        <f t="shared" si="94"/>
        <v>0</v>
      </c>
      <c r="BI436" s="550">
        <f t="shared" si="95"/>
        <v>27234</v>
      </c>
      <c r="BJ436" s="550">
        <f t="shared" si="96"/>
        <v>0</v>
      </c>
      <c r="BK436" s="550">
        <f t="shared" si="97"/>
        <v>0</v>
      </c>
      <c r="BL436" s="550">
        <f t="shared" si="98"/>
        <v>0</v>
      </c>
      <c r="BM436" s="550">
        <f t="shared" si="99"/>
        <v>27234</v>
      </c>
      <c r="BO436" s="194"/>
      <c r="BQ436" s="193">
        <f t="shared" si="100"/>
        <v>0</v>
      </c>
      <c r="BR436" s="193">
        <f t="shared" si="101"/>
        <v>0</v>
      </c>
    </row>
    <row r="437" spans="1:70" ht="13.5" customHeight="1">
      <c r="A437" s="193" t="s">
        <v>378</v>
      </c>
      <c r="B437" s="193" t="s">
        <v>379</v>
      </c>
      <c r="C437" s="193" t="s">
        <v>214</v>
      </c>
      <c r="D437" s="193" t="s">
        <v>508</v>
      </c>
      <c r="E437" s="193" t="s">
        <v>509</v>
      </c>
      <c r="F437" s="193" t="s">
        <v>1685</v>
      </c>
      <c r="G437" s="193" t="s">
        <v>1685</v>
      </c>
      <c r="H437" s="193" t="s">
        <v>1716</v>
      </c>
      <c r="I437" s="193" t="s">
        <v>384</v>
      </c>
      <c r="J437" s="193" t="s">
        <v>1720</v>
      </c>
      <c r="K437" s="193" t="s">
        <v>386</v>
      </c>
      <c r="L437" s="193" t="s">
        <v>387</v>
      </c>
      <c r="M437" s="193" t="s">
        <v>378</v>
      </c>
      <c r="N437" s="193" t="s">
        <v>1497</v>
      </c>
      <c r="O437" s="193" t="s">
        <v>129</v>
      </c>
      <c r="P437" s="193" t="s">
        <v>138</v>
      </c>
      <c r="Q437" s="193" t="s">
        <v>137</v>
      </c>
      <c r="R437" s="193" t="s">
        <v>136</v>
      </c>
      <c r="S437" s="193" t="s">
        <v>214</v>
      </c>
      <c r="T437" s="193" t="s">
        <v>389</v>
      </c>
      <c r="U437" s="193" t="s">
        <v>390</v>
      </c>
      <c r="V437" s="193">
        <v>0</v>
      </c>
      <c r="W437" s="193">
        <v>0</v>
      </c>
      <c r="X437" s="193">
        <v>0</v>
      </c>
      <c r="Y437" s="194">
        <v>6300</v>
      </c>
      <c r="Z437" s="193" t="s">
        <v>1498</v>
      </c>
      <c r="AA437" s="193" t="s">
        <v>1499</v>
      </c>
      <c r="AB437" s="193">
        <v>6300</v>
      </c>
      <c r="AC437" s="193" t="s">
        <v>1500</v>
      </c>
      <c r="AD437" s="193" t="s">
        <v>136</v>
      </c>
      <c r="AE437" s="193">
        <v>6300</v>
      </c>
      <c r="AF437" s="193" t="s">
        <v>518</v>
      </c>
      <c r="AG437" s="193" t="s">
        <v>519</v>
      </c>
      <c r="AH437" s="193">
        <v>0</v>
      </c>
      <c r="AI437" s="193">
        <v>6300</v>
      </c>
      <c r="AJ437" s="193" t="s">
        <v>1721</v>
      </c>
      <c r="AL437" s="197" t="s">
        <v>1722</v>
      </c>
      <c r="AM437" s="193">
        <v>1</v>
      </c>
      <c r="AN437" s="193">
        <v>0</v>
      </c>
      <c r="AO437" s="193">
        <v>0</v>
      </c>
      <c r="AP437" s="193">
        <v>0</v>
      </c>
      <c r="AQ437" s="193" t="s">
        <v>214</v>
      </c>
      <c r="AS437" s="197" t="s">
        <v>518</v>
      </c>
      <c r="AT437" s="197" t="s">
        <v>519</v>
      </c>
      <c r="AV437" s="194">
        <v>6300</v>
      </c>
      <c r="AW437" s="194">
        <v>0</v>
      </c>
      <c r="AX437" s="194">
        <v>0</v>
      </c>
      <c r="AY437" s="549">
        <v>6300</v>
      </c>
      <c r="AZ437" s="194">
        <v>0</v>
      </c>
      <c r="BA437" s="194">
        <v>0</v>
      </c>
      <c r="BB437" s="551">
        <v>0</v>
      </c>
      <c r="BC437" s="551">
        <v>6300</v>
      </c>
      <c r="BD437" s="551">
        <v>0</v>
      </c>
      <c r="BF437" s="550">
        <f t="shared" si="92"/>
        <v>6300</v>
      </c>
      <c r="BG437" s="550">
        <f t="shared" si="93"/>
        <v>0</v>
      </c>
      <c r="BH437" s="550">
        <f t="shared" si="94"/>
        <v>0</v>
      </c>
      <c r="BI437" s="550">
        <f t="shared" si="95"/>
        <v>6300</v>
      </c>
      <c r="BJ437" s="550">
        <f t="shared" si="96"/>
        <v>0</v>
      </c>
      <c r="BK437" s="550">
        <f t="shared" si="97"/>
        <v>0</v>
      </c>
      <c r="BL437" s="550">
        <f t="shared" si="98"/>
        <v>0</v>
      </c>
      <c r="BM437" s="550">
        <f t="shared" si="99"/>
        <v>6300</v>
      </c>
      <c r="BO437" s="194"/>
      <c r="BQ437" s="193">
        <f t="shared" si="100"/>
        <v>0</v>
      </c>
      <c r="BR437" s="193">
        <f t="shared" si="101"/>
        <v>0</v>
      </c>
    </row>
    <row r="438" spans="1:70" ht="13.5" customHeight="1">
      <c r="A438" s="193" t="s">
        <v>378</v>
      </c>
      <c r="B438" s="193" t="s">
        <v>379</v>
      </c>
      <c r="C438" s="193" t="s">
        <v>214</v>
      </c>
      <c r="D438" s="193" t="s">
        <v>508</v>
      </c>
      <c r="E438" s="193" t="s">
        <v>509</v>
      </c>
      <c r="F438" s="193" t="s">
        <v>1685</v>
      </c>
      <c r="G438" s="193" t="s">
        <v>1685</v>
      </c>
      <c r="H438" s="193" t="s">
        <v>1726</v>
      </c>
      <c r="I438" s="193" t="s">
        <v>1508</v>
      </c>
      <c r="J438" s="193" t="s">
        <v>1727</v>
      </c>
      <c r="K438" s="193" t="s">
        <v>386</v>
      </c>
      <c r="L438" s="193" t="s">
        <v>387</v>
      </c>
      <c r="M438" s="193" t="s">
        <v>378</v>
      </c>
      <c r="N438" s="193" t="s">
        <v>1497</v>
      </c>
      <c r="O438" s="193" t="s">
        <v>129</v>
      </c>
      <c r="P438" s="193" t="s">
        <v>138</v>
      </c>
      <c r="Q438" s="193" t="s">
        <v>137</v>
      </c>
      <c r="R438" s="193" t="s">
        <v>136</v>
      </c>
      <c r="S438" s="193" t="s">
        <v>214</v>
      </c>
      <c r="T438" s="193" t="s">
        <v>389</v>
      </c>
      <c r="U438" s="193" t="s">
        <v>390</v>
      </c>
      <c r="V438" s="193">
        <v>0</v>
      </c>
      <c r="W438" s="193">
        <v>0</v>
      </c>
      <c r="X438" s="193">
        <v>0</v>
      </c>
      <c r="Y438" s="194">
        <v>30560</v>
      </c>
      <c r="Z438" s="193" t="s">
        <v>1510</v>
      </c>
      <c r="AA438" s="193" t="s">
        <v>1511</v>
      </c>
      <c r="AB438" s="193">
        <v>30560</v>
      </c>
      <c r="AC438" s="193" t="s">
        <v>1500</v>
      </c>
      <c r="AD438" s="193" t="s">
        <v>136</v>
      </c>
      <c r="AE438" s="193">
        <v>30560</v>
      </c>
      <c r="AF438" s="193" t="s">
        <v>518</v>
      </c>
      <c r="AG438" s="193" t="s">
        <v>519</v>
      </c>
      <c r="AH438" s="193">
        <v>0</v>
      </c>
      <c r="AI438" s="193">
        <v>30560</v>
      </c>
      <c r="AJ438" s="193" t="s">
        <v>214</v>
      </c>
      <c r="AL438" s="197" t="s">
        <v>1728</v>
      </c>
      <c r="AM438" s="193">
        <v>1</v>
      </c>
      <c r="AN438" s="193">
        <v>0</v>
      </c>
      <c r="AO438" s="193">
        <v>0</v>
      </c>
      <c r="AP438" s="193">
        <v>0</v>
      </c>
      <c r="AQ438" s="193" t="s">
        <v>214</v>
      </c>
      <c r="AS438" s="197" t="s">
        <v>518</v>
      </c>
      <c r="AT438" s="197" t="s">
        <v>519</v>
      </c>
      <c r="AV438" s="194">
        <v>30560</v>
      </c>
      <c r="AW438" s="194">
        <v>0</v>
      </c>
      <c r="AX438" s="194">
        <v>0</v>
      </c>
      <c r="AY438" s="549">
        <v>30560</v>
      </c>
      <c r="AZ438" s="194">
        <v>0</v>
      </c>
      <c r="BA438" s="194">
        <v>0</v>
      </c>
      <c r="BB438" s="551">
        <v>0</v>
      </c>
      <c r="BC438" s="551">
        <v>30560</v>
      </c>
      <c r="BD438" s="551">
        <v>0</v>
      </c>
      <c r="BF438" s="550">
        <f t="shared" si="92"/>
        <v>30560</v>
      </c>
      <c r="BG438" s="550">
        <f t="shared" si="93"/>
        <v>0</v>
      </c>
      <c r="BH438" s="550">
        <f t="shared" si="94"/>
        <v>0</v>
      </c>
      <c r="BI438" s="550">
        <f t="shared" si="95"/>
        <v>30560</v>
      </c>
      <c r="BJ438" s="550">
        <f t="shared" si="96"/>
        <v>0</v>
      </c>
      <c r="BK438" s="550">
        <f t="shared" si="97"/>
        <v>0</v>
      </c>
      <c r="BL438" s="550">
        <f t="shared" si="98"/>
        <v>0</v>
      </c>
      <c r="BM438" s="550">
        <f t="shared" si="99"/>
        <v>30560</v>
      </c>
      <c r="BO438" s="194"/>
      <c r="BQ438" s="193">
        <f t="shared" si="100"/>
        <v>0</v>
      </c>
      <c r="BR438" s="193">
        <f t="shared" si="101"/>
        <v>0</v>
      </c>
    </row>
    <row r="439" spans="1:70" ht="13.5" customHeight="1">
      <c r="A439" s="193" t="s">
        <v>378</v>
      </c>
      <c r="B439" s="193" t="s">
        <v>379</v>
      </c>
      <c r="C439" s="193" t="s">
        <v>214</v>
      </c>
      <c r="D439" s="193" t="s">
        <v>1729</v>
      </c>
      <c r="E439" s="193" t="s">
        <v>1730</v>
      </c>
      <c r="F439" s="193" t="s">
        <v>1685</v>
      </c>
      <c r="G439" s="193" t="s">
        <v>1685</v>
      </c>
      <c r="H439" s="193" t="s">
        <v>1731</v>
      </c>
      <c r="I439" s="193" t="s">
        <v>384</v>
      </c>
      <c r="J439" s="193" t="s">
        <v>1732</v>
      </c>
      <c r="K439" s="193" t="s">
        <v>386</v>
      </c>
      <c r="L439" s="193" t="s">
        <v>387</v>
      </c>
      <c r="M439" s="193" t="s">
        <v>378</v>
      </c>
      <c r="N439" s="193" t="s">
        <v>1497</v>
      </c>
      <c r="O439" s="193" t="s">
        <v>129</v>
      </c>
      <c r="P439" s="193" t="s">
        <v>138</v>
      </c>
      <c r="Q439" s="193" t="s">
        <v>137</v>
      </c>
      <c r="R439" s="193" t="s">
        <v>136</v>
      </c>
      <c r="S439" s="193" t="s">
        <v>214</v>
      </c>
      <c r="T439" s="193" t="s">
        <v>389</v>
      </c>
      <c r="U439" s="193" t="s">
        <v>390</v>
      </c>
      <c r="V439" s="193">
        <v>0</v>
      </c>
      <c r="W439" s="193">
        <v>0</v>
      </c>
      <c r="X439" s="193">
        <v>0</v>
      </c>
      <c r="Y439" s="194">
        <v>156</v>
      </c>
      <c r="Z439" s="193" t="s">
        <v>1498</v>
      </c>
      <c r="AA439" s="193" t="s">
        <v>1499</v>
      </c>
      <c r="AB439" s="193">
        <v>156</v>
      </c>
      <c r="AC439" s="193" t="s">
        <v>1500</v>
      </c>
      <c r="AD439" s="193" t="s">
        <v>136</v>
      </c>
      <c r="AE439" s="193">
        <v>156</v>
      </c>
      <c r="AF439" s="193" t="s">
        <v>518</v>
      </c>
      <c r="AG439" s="193" t="s">
        <v>519</v>
      </c>
      <c r="AH439" s="193">
        <v>0</v>
      </c>
      <c r="AI439" s="193">
        <v>156</v>
      </c>
      <c r="AJ439" s="193" t="s">
        <v>1733</v>
      </c>
      <c r="AL439" s="197" t="s">
        <v>1734</v>
      </c>
      <c r="AM439" s="193">
        <v>1</v>
      </c>
      <c r="AN439" s="193">
        <v>0</v>
      </c>
      <c r="AO439" s="193">
        <v>0</v>
      </c>
      <c r="AP439" s="193">
        <v>0</v>
      </c>
      <c r="AQ439" s="193" t="s">
        <v>214</v>
      </c>
      <c r="AS439" s="197" t="s">
        <v>518</v>
      </c>
      <c r="AT439" s="197" t="s">
        <v>519</v>
      </c>
      <c r="AV439" s="194">
        <v>47</v>
      </c>
      <c r="AW439" s="194">
        <v>0</v>
      </c>
      <c r="AX439" s="194">
        <v>0</v>
      </c>
      <c r="AY439" s="549">
        <v>47</v>
      </c>
      <c r="AZ439" s="194">
        <v>0</v>
      </c>
      <c r="BA439" s="194">
        <v>109</v>
      </c>
      <c r="BB439" s="551">
        <v>109</v>
      </c>
      <c r="BC439" s="551">
        <v>156</v>
      </c>
      <c r="BD439" s="551">
        <v>0</v>
      </c>
      <c r="BF439" s="550">
        <f t="shared" si="92"/>
        <v>47</v>
      </c>
      <c r="BG439" s="550">
        <f t="shared" si="93"/>
        <v>0</v>
      </c>
      <c r="BH439" s="550">
        <f t="shared" si="94"/>
        <v>0</v>
      </c>
      <c r="BI439" s="550">
        <f t="shared" si="95"/>
        <v>47</v>
      </c>
      <c r="BJ439" s="550">
        <f t="shared" si="96"/>
        <v>0</v>
      </c>
      <c r="BK439" s="550">
        <f t="shared" si="97"/>
        <v>109</v>
      </c>
      <c r="BL439" s="550">
        <f t="shared" si="98"/>
        <v>109</v>
      </c>
      <c r="BM439" s="550">
        <f t="shared" si="99"/>
        <v>156</v>
      </c>
      <c r="BO439" s="194"/>
      <c r="BQ439" s="193">
        <f t="shared" si="100"/>
        <v>0</v>
      </c>
      <c r="BR439" s="193">
        <f t="shared" si="101"/>
        <v>0</v>
      </c>
    </row>
    <row r="440" spans="1:70" ht="13.5" customHeight="1">
      <c r="A440" s="193" t="s">
        <v>378</v>
      </c>
      <c r="B440" s="193" t="s">
        <v>379</v>
      </c>
      <c r="C440" s="193" t="s">
        <v>214</v>
      </c>
      <c r="D440" s="193" t="s">
        <v>1729</v>
      </c>
      <c r="E440" s="193" t="s">
        <v>1730</v>
      </c>
      <c r="F440" s="193" t="s">
        <v>1685</v>
      </c>
      <c r="G440" s="193" t="s">
        <v>1685</v>
      </c>
      <c r="H440" s="193" t="s">
        <v>1735</v>
      </c>
      <c r="I440" s="193" t="s">
        <v>384</v>
      </c>
      <c r="J440" s="193" t="s">
        <v>1736</v>
      </c>
      <c r="K440" s="193" t="s">
        <v>386</v>
      </c>
      <c r="L440" s="193" t="s">
        <v>387</v>
      </c>
      <c r="M440" s="193" t="s">
        <v>378</v>
      </c>
      <c r="N440" s="193" t="s">
        <v>1497</v>
      </c>
      <c r="O440" s="193" t="s">
        <v>129</v>
      </c>
      <c r="P440" s="193" t="s">
        <v>138</v>
      </c>
      <c r="Q440" s="193" t="s">
        <v>137</v>
      </c>
      <c r="R440" s="193" t="s">
        <v>136</v>
      </c>
      <c r="S440" s="193" t="s">
        <v>214</v>
      </c>
      <c r="T440" s="193" t="s">
        <v>389</v>
      </c>
      <c r="U440" s="193" t="s">
        <v>390</v>
      </c>
      <c r="V440" s="193">
        <v>0</v>
      </c>
      <c r="W440" s="193">
        <v>0</v>
      </c>
      <c r="X440" s="193">
        <v>0</v>
      </c>
      <c r="Y440" s="194">
        <v>210</v>
      </c>
      <c r="Z440" s="193" t="s">
        <v>1498</v>
      </c>
      <c r="AA440" s="193" t="s">
        <v>1499</v>
      </c>
      <c r="AB440" s="193">
        <v>210</v>
      </c>
      <c r="AC440" s="193" t="s">
        <v>1500</v>
      </c>
      <c r="AD440" s="193" t="s">
        <v>136</v>
      </c>
      <c r="AE440" s="193">
        <v>210</v>
      </c>
      <c r="AF440" s="193" t="s">
        <v>518</v>
      </c>
      <c r="AG440" s="193" t="s">
        <v>519</v>
      </c>
      <c r="AH440" s="193">
        <v>0</v>
      </c>
      <c r="AI440" s="193">
        <v>210</v>
      </c>
      <c r="AJ440" s="193" t="s">
        <v>1737</v>
      </c>
      <c r="AL440" s="197" t="s">
        <v>1738</v>
      </c>
      <c r="AM440" s="193">
        <v>1</v>
      </c>
      <c r="AN440" s="193">
        <v>0</v>
      </c>
      <c r="AO440" s="193">
        <v>0</v>
      </c>
      <c r="AP440" s="193">
        <v>0</v>
      </c>
      <c r="AQ440" s="193" t="s">
        <v>214</v>
      </c>
      <c r="AS440" s="197" t="s">
        <v>518</v>
      </c>
      <c r="AT440" s="197" t="s">
        <v>519</v>
      </c>
      <c r="AV440" s="194">
        <v>63</v>
      </c>
      <c r="AW440" s="194">
        <v>0</v>
      </c>
      <c r="AX440" s="194">
        <v>0</v>
      </c>
      <c r="AY440" s="549">
        <v>63</v>
      </c>
      <c r="AZ440" s="194">
        <v>0</v>
      </c>
      <c r="BA440" s="194">
        <v>147</v>
      </c>
      <c r="BB440" s="551">
        <v>147</v>
      </c>
      <c r="BC440" s="551">
        <v>210</v>
      </c>
      <c r="BD440" s="551">
        <v>0</v>
      </c>
      <c r="BF440" s="550">
        <f t="shared" si="92"/>
        <v>63</v>
      </c>
      <c r="BG440" s="550">
        <f t="shared" si="93"/>
        <v>0</v>
      </c>
      <c r="BH440" s="550">
        <f t="shared" si="94"/>
        <v>0</v>
      </c>
      <c r="BI440" s="550">
        <f t="shared" si="95"/>
        <v>63</v>
      </c>
      <c r="BJ440" s="550">
        <f t="shared" si="96"/>
        <v>0</v>
      </c>
      <c r="BK440" s="550">
        <f t="shared" si="97"/>
        <v>147</v>
      </c>
      <c r="BL440" s="550">
        <f t="shared" si="98"/>
        <v>147</v>
      </c>
      <c r="BM440" s="550">
        <f t="shared" si="99"/>
        <v>210</v>
      </c>
      <c r="BO440" s="194"/>
      <c r="BQ440" s="193">
        <f t="shared" si="100"/>
        <v>0</v>
      </c>
      <c r="BR440" s="193">
        <f t="shared" si="101"/>
        <v>0</v>
      </c>
    </row>
    <row r="441" spans="1:70" ht="13.5" customHeight="1">
      <c r="A441" s="193" t="s">
        <v>378</v>
      </c>
      <c r="B441" s="193" t="s">
        <v>379</v>
      </c>
      <c r="C441" s="193" t="s">
        <v>214</v>
      </c>
      <c r="D441" s="193" t="s">
        <v>1729</v>
      </c>
      <c r="E441" s="193" t="s">
        <v>1730</v>
      </c>
      <c r="F441" s="193" t="s">
        <v>1685</v>
      </c>
      <c r="G441" s="193" t="s">
        <v>1685</v>
      </c>
      <c r="H441" s="193" t="s">
        <v>1739</v>
      </c>
      <c r="I441" s="193" t="s">
        <v>384</v>
      </c>
      <c r="J441" s="193" t="s">
        <v>1740</v>
      </c>
      <c r="K441" s="193" t="s">
        <v>386</v>
      </c>
      <c r="L441" s="193" t="s">
        <v>387</v>
      </c>
      <c r="M441" s="193" t="s">
        <v>378</v>
      </c>
      <c r="N441" s="193" t="s">
        <v>1497</v>
      </c>
      <c r="O441" s="193" t="s">
        <v>129</v>
      </c>
      <c r="P441" s="193" t="s">
        <v>138</v>
      </c>
      <c r="Q441" s="193" t="s">
        <v>137</v>
      </c>
      <c r="R441" s="193" t="s">
        <v>136</v>
      </c>
      <c r="S441" s="193" t="s">
        <v>214</v>
      </c>
      <c r="T441" s="193" t="s">
        <v>389</v>
      </c>
      <c r="U441" s="193" t="s">
        <v>390</v>
      </c>
      <c r="V441" s="193">
        <v>0</v>
      </c>
      <c r="W441" s="193">
        <v>0</v>
      </c>
      <c r="X441" s="193">
        <v>0</v>
      </c>
      <c r="Y441" s="555">
        <v>2604</v>
      </c>
      <c r="Z441" s="193" t="s">
        <v>1498</v>
      </c>
      <c r="AA441" s="193" t="s">
        <v>1499</v>
      </c>
      <c r="AB441" s="193">
        <v>2604</v>
      </c>
      <c r="AC441" s="193" t="s">
        <v>1500</v>
      </c>
      <c r="AD441" s="193" t="s">
        <v>136</v>
      </c>
      <c r="AE441" s="193">
        <v>2604</v>
      </c>
      <c r="AF441" s="193" t="s">
        <v>518</v>
      </c>
      <c r="AG441" s="193" t="s">
        <v>519</v>
      </c>
      <c r="AH441" s="193">
        <v>0</v>
      </c>
      <c r="AI441" s="193">
        <v>2604</v>
      </c>
      <c r="AJ441" s="193" t="s">
        <v>1737</v>
      </c>
      <c r="AL441" s="197" t="s">
        <v>1741</v>
      </c>
      <c r="AM441" s="193">
        <v>1</v>
      </c>
      <c r="AN441" s="193">
        <v>0</v>
      </c>
      <c r="AO441" s="193">
        <v>0</v>
      </c>
      <c r="AP441" s="193">
        <v>0</v>
      </c>
      <c r="AQ441" s="193" t="s">
        <v>214</v>
      </c>
      <c r="AS441" s="197" t="s">
        <v>518</v>
      </c>
      <c r="AT441" s="197" t="s">
        <v>519</v>
      </c>
      <c r="AV441" s="194">
        <v>781</v>
      </c>
      <c r="AW441" s="194">
        <v>0</v>
      </c>
      <c r="AX441" s="194">
        <v>0</v>
      </c>
      <c r="AY441" s="549">
        <v>781</v>
      </c>
      <c r="AZ441" s="194">
        <v>0</v>
      </c>
      <c r="BA441" s="194">
        <v>1823</v>
      </c>
      <c r="BB441" s="551">
        <v>1823</v>
      </c>
      <c r="BC441" s="551">
        <v>2604</v>
      </c>
      <c r="BD441" s="551">
        <v>0</v>
      </c>
      <c r="BF441" s="550">
        <f t="shared" si="92"/>
        <v>781</v>
      </c>
      <c r="BG441" s="550">
        <f t="shared" si="93"/>
        <v>0</v>
      </c>
      <c r="BH441" s="550">
        <f t="shared" si="94"/>
        <v>0</v>
      </c>
      <c r="BI441" s="550">
        <f t="shared" si="95"/>
        <v>781</v>
      </c>
      <c r="BJ441" s="550">
        <f t="shared" si="96"/>
        <v>0</v>
      </c>
      <c r="BK441" s="550">
        <f t="shared" si="97"/>
        <v>1823</v>
      </c>
      <c r="BL441" s="550">
        <f t="shared" si="98"/>
        <v>1823</v>
      </c>
      <c r="BM441" s="550">
        <f t="shared" si="99"/>
        <v>2604</v>
      </c>
      <c r="BO441" s="194"/>
      <c r="BQ441" s="193">
        <f t="shared" si="100"/>
        <v>0</v>
      </c>
      <c r="BR441" s="193">
        <f t="shared" si="101"/>
        <v>0</v>
      </c>
    </row>
    <row r="442" spans="1:70" ht="13.5" customHeight="1">
      <c r="A442" s="193" t="s">
        <v>378</v>
      </c>
      <c r="B442" s="193" t="s">
        <v>379</v>
      </c>
      <c r="C442" s="193" t="s">
        <v>214</v>
      </c>
      <c r="D442" s="193" t="s">
        <v>490</v>
      </c>
      <c r="E442" s="193" t="s">
        <v>491</v>
      </c>
      <c r="F442" s="193" t="s">
        <v>963</v>
      </c>
      <c r="G442" s="193" t="s">
        <v>963</v>
      </c>
      <c r="H442" s="193" t="s">
        <v>1742</v>
      </c>
      <c r="I442" s="193" t="s">
        <v>384</v>
      </c>
      <c r="J442" s="193" t="s">
        <v>1743</v>
      </c>
      <c r="K442" s="193" t="s">
        <v>386</v>
      </c>
      <c r="L442" s="193" t="s">
        <v>387</v>
      </c>
      <c r="M442" s="193" t="s">
        <v>378</v>
      </c>
      <c r="N442" s="193" t="s">
        <v>1497</v>
      </c>
      <c r="O442" s="193" t="s">
        <v>129</v>
      </c>
      <c r="P442" s="193" t="s">
        <v>138</v>
      </c>
      <c r="Q442" s="193" t="s">
        <v>137</v>
      </c>
      <c r="R442" s="193" t="s">
        <v>136</v>
      </c>
      <c r="S442" s="193" t="s">
        <v>214</v>
      </c>
      <c r="T442" s="193" t="s">
        <v>389</v>
      </c>
      <c r="U442" s="193" t="s">
        <v>390</v>
      </c>
      <c r="V442" s="193">
        <v>0</v>
      </c>
      <c r="W442" s="193">
        <v>0</v>
      </c>
      <c r="X442" s="193">
        <v>0</v>
      </c>
      <c r="Y442" s="194">
        <v>14960</v>
      </c>
      <c r="Z442" s="193" t="s">
        <v>1498</v>
      </c>
      <c r="AA442" s="193" t="s">
        <v>1499</v>
      </c>
      <c r="AB442" s="193">
        <v>14960</v>
      </c>
      <c r="AC442" s="193" t="s">
        <v>1500</v>
      </c>
      <c r="AD442" s="193" t="s">
        <v>136</v>
      </c>
      <c r="AE442" s="193">
        <v>14960</v>
      </c>
      <c r="AF442" s="193" t="s">
        <v>518</v>
      </c>
      <c r="AG442" s="193" t="s">
        <v>519</v>
      </c>
      <c r="AH442" s="193">
        <v>0</v>
      </c>
      <c r="AI442" s="193">
        <v>14960</v>
      </c>
      <c r="AJ442" s="193" t="s">
        <v>1744</v>
      </c>
      <c r="AL442" s="197" t="s">
        <v>1745</v>
      </c>
      <c r="AM442" s="193">
        <v>1</v>
      </c>
      <c r="AN442" s="193">
        <v>0</v>
      </c>
      <c r="AO442" s="193">
        <v>0</v>
      </c>
      <c r="AP442" s="193">
        <v>0</v>
      </c>
      <c r="AQ442" s="193" t="s">
        <v>214</v>
      </c>
      <c r="AS442" s="197" t="s">
        <v>518</v>
      </c>
      <c r="AT442" s="197" t="s">
        <v>519</v>
      </c>
      <c r="AV442" s="194">
        <v>14960</v>
      </c>
      <c r="AW442" s="194">
        <v>0</v>
      </c>
      <c r="AX442" s="194">
        <v>0</v>
      </c>
      <c r="AY442" s="549">
        <v>14960</v>
      </c>
      <c r="AZ442" s="194">
        <v>0</v>
      </c>
      <c r="BA442" s="194">
        <v>0</v>
      </c>
      <c r="BB442" s="551">
        <v>0</v>
      </c>
      <c r="BC442" s="551">
        <v>14960</v>
      </c>
      <c r="BD442" s="551">
        <v>0</v>
      </c>
      <c r="BF442" s="550">
        <f t="shared" si="92"/>
        <v>14960</v>
      </c>
      <c r="BG442" s="550">
        <f t="shared" si="93"/>
        <v>0</v>
      </c>
      <c r="BH442" s="550">
        <f t="shared" si="94"/>
        <v>0</v>
      </c>
      <c r="BI442" s="550">
        <f t="shared" si="95"/>
        <v>14960</v>
      </c>
      <c r="BJ442" s="550">
        <f t="shared" si="96"/>
        <v>0</v>
      </c>
      <c r="BK442" s="550">
        <f t="shared" si="97"/>
        <v>0</v>
      </c>
      <c r="BL442" s="550">
        <f t="shared" si="98"/>
        <v>0</v>
      </c>
      <c r="BM442" s="550">
        <f t="shared" si="99"/>
        <v>14960</v>
      </c>
      <c r="BO442" s="194"/>
      <c r="BQ442" s="193">
        <f t="shared" si="100"/>
        <v>0</v>
      </c>
      <c r="BR442" s="193">
        <f t="shared" si="101"/>
        <v>0</v>
      </c>
    </row>
    <row r="443" spans="1:70" ht="13.5" customHeight="1">
      <c r="A443" s="193" t="s">
        <v>378</v>
      </c>
      <c r="B443" s="193" t="s">
        <v>379</v>
      </c>
      <c r="C443" s="193" t="s">
        <v>214</v>
      </c>
      <c r="D443" s="193" t="s">
        <v>1109</v>
      </c>
      <c r="E443" s="193" t="s">
        <v>1110</v>
      </c>
      <c r="F443" s="193" t="s">
        <v>1313</v>
      </c>
      <c r="G443" s="193" t="s">
        <v>1313</v>
      </c>
      <c r="H443" s="193" t="s">
        <v>1746</v>
      </c>
      <c r="I443" s="193" t="s">
        <v>384</v>
      </c>
      <c r="J443" s="193" t="s">
        <v>1747</v>
      </c>
      <c r="K443" s="193" t="s">
        <v>386</v>
      </c>
      <c r="L443" s="193" t="s">
        <v>387</v>
      </c>
      <c r="M443" s="193" t="s">
        <v>378</v>
      </c>
      <c r="N443" s="193" t="s">
        <v>1497</v>
      </c>
      <c r="O443" s="193" t="s">
        <v>129</v>
      </c>
      <c r="P443" s="193" t="s">
        <v>138</v>
      </c>
      <c r="Q443" s="193" t="s">
        <v>137</v>
      </c>
      <c r="R443" s="193" t="s">
        <v>136</v>
      </c>
      <c r="S443" s="193" t="s">
        <v>214</v>
      </c>
      <c r="T443" s="193" t="s">
        <v>389</v>
      </c>
      <c r="U443" s="193" t="s">
        <v>390</v>
      </c>
      <c r="V443" s="193">
        <v>0</v>
      </c>
      <c r="W443" s="193">
        <v>0</v>
      </c>
      <c r="X443" s="193">
        <v>0</v>
      </c>
      <c r="Y443" s="194">
        <v>3888</v>
      </c>
      <c r="Z443" s="193" t="s">
        <v>1498</v>
      </c>
      <c r="AA443" s="193" t="s">
        <v>1499</v>
      </c>
      <c r="AB443" s="193">
        <v>3888</v>
      </c>
      <c r="AC443" s="193" t="s">
        <v>1500</v>
      </c>
      <c r="AD443" s="193" t="s">
        <v>136</v>
      </c>
      <c r="AE443" s="193">
        <v>3888</v>
      </c>
      <c r="AF443" s="193" t="s">
        <v>518</v>
      </c>
      <c r="AG443" s="193" t="s">
        <v>519</v>
      </c>
      <c r="AH443" s="193">
        <v>0</v>
      </c>
      <c r="AI443" s="193">
        <v>3888</v>
      </c>
      <c r="AJ443" s="193" t="s">
        <v>1748</v>
      </c>
      <c r="AL443" s="197" t="s">
        <v>1749</v>
      </c>
      <c r="AM443" s="193">
        <v>1</v>
      </c>
      <c r="AN443" s="193">
        <v>0</v>
      </c>
      <c r="AO443" s="193">
        <v>0</v>
      </c>
      <c r="AP443" s="193">
        <v>0</v>
      </c>
      <c r="AQ443" s="193" t="s">
        <v>214</v>
      </c>
      <c r="AS443" s="197" t="s">
        <v>518</v>
      </c>
      <c r="AT443" s="197" t="s">
        <v>519</v>
      </c>
      <c r="AV443" s="194">
        <v>3888</v>
      </c>
      <c r="AW443" s="194">
        <v>0</v>
      </c>
      <c r="AX443" s="194">
        <v>0</v>
      </c>
      <c r="AY443" s="549">
        <v>3888</v>
      </c>
      <c r="AZ443" s="194">
        <v>0</v>
      </c>
      <c r="BA443" s="194">
        <v>0</v>
      </c>
      <c r="BB443" s="551">
        <v>0</v>
      </c>
      <c r="BC443" s="551">
        <v>3888</v>
      </c>
      <c r="BD443" s="551">
        <v>0</v>
      </c>
      <c r="BF443" s="550">
        <f t="shared" si="92"/>
        <v>3888</v>
      </c>
      <c r="BG443" s="550">
        <f t="shared" si="93"/>
        <v>0</v>
      </c>
      <c r="BH443" s="550">
        <f t="shared" si="94"/>
        <v>0</v>
      </c>
      <c r="BI443" s="550">
        <f t="shared" si="95"/>
        <v>3888</v>
      </c>
      <c r="BJ443" s="550">
        <f t="shared" si="96"/>
        <v>0</v>
      </c>
      <c r="BK443" s="550">
        <f t="shared" si="97"/>
        <v>0</v>
      </c>
      <c r="BL443" s="550">
        <f t="shared" si="98"/>
        <v>0</v>
      </c>
      <c r="BM443" s="550">
        <f t="shared" si="99"/>
        <v>3888</v>
      </c>
      <c r="BO443" s="194"/>
      <c r="BQ443" s="193">
        <f t="shared" si="100"/>
        <v>0</v>
      </c>
      <c r="BR443" s="193">
        <f t="shared" si="101"/>
        <v>0</v>
      </c>
    </row>
    <row r="444" spans="1:70" ht="13.5" customHeight="1">
      <c r="A444" s="193" t="s">
        <v>378</v>
      </c>
      <c r="B444" s="193" t="s">
        <v>379</v>
      </c>
      <c r="C444" s="193" t="s">
        <v>214</v>
      </c>
      <c r="D444" s="193" t="s">
        <v>1165</v>
      </c>
      <c r="E444" s="193" t="s">
        <v>1166</v>
      </c>
      <c r="F444" s="193" t="s">
        <v>1685</v>
      </c>
      <c r="G444" s="193" t="s">
        <v>1685</v>
      </c>
      <c r="H444" s="193" t="s">
        <v>1750</v>
      </c>
      <c r="I444" s="193" t="s">
        <v>384</v>
      </c>
      <c r="J444" s="193" t="s">
        <v>1751</v>
      </c>
      <c r="K444" s="193" t="s">
        <v>386</v>
      </c>
      <c r="L444" s="193" t="s">
        <v>387</v>
      </c>
      <c r="M444" s="193" t="s">
        <v>378</v>
      </c>
      <c r="N444" s="193" t="s">
        <v>1497</v>
      </c>
      <c r="O444" s="193" t="s">
        <v>129</v>
      </c>
      <c r="P444" s="193" t="s">
        <v>138</v>
      </c>
      <c r="Q444" s="193" t="s">
        <v>137</v>
      </c>
      <c r="R444" s="193" t="s">
        <v>136</v>
      </c>
      <c r="S444" s="193" t="s">
        <v>214</v>
      </c>
      <c r="T444" s="193" t="s">
        <v>389</v>
      </c>
      <c r="U444" s="193" t="s">
        <v>390</v>
      </c>
      <c r="V444" s="193">
        <v>0</v>
      </c>
      <c r="W444" s="193">
        <v>0</v>
      </c>
      <c r="X444" s="193">
        <v>0</v>
      </c>
      <c r="Y444" s="194">
        <v>73</v>
      </c>
      <c r="Z444" s="193" t="s">
        <v>1498</v>
      </c>
      <c r="AA444" s="193" t="s">
        <v>1499</v>
      </c>
      <c r="AB444" s="193">
        <v>73</v>
      </c>
      <c r="AC444" s="193" t="s">
        <v>1500</v>
      </c>
      <c r="AD444" s="193" t="s">
        <v>136</v>
      </c>
      <c r="AE444" s="193">
        <v>73</v>
      </c>
      <c r="AF444" s="193" t="s">
        <v>518</v>
      </c>
      <c r="AG444" s="193" t="s">
        <v>519</v>
      </c>
      <c r="AH444" s="193">
        <v>0</v>
      </c>
      <c r="AI444" s="193">
        <v>73</v>
      </c>
      <c r="AJ444" s="193" t="s">
        <v>1752</v>
      </c>
      <c r="AL444" s="197" t="s">
        <v>1753</v>
      </c>
      <c r="AM444" s="193">
        <v>1</v>
      </c>
      <c r="AN444" s="193">
        <v>0</v>
      </c>
      <c r="AO444" s="193">
        <v>0</v>
      </c>
      <c r="AP444" s="193">
        <v>0</v>
      </c>
      <c r="AQ444" s="193" t="s">
        <v>214</v>
      </c>
      <c r="AS444" s="197" t="s">
        <v>518</v>
      </c>
      <c r="AT444" s="197" t="s">
        <v>519</v>
      </c>
      <c r="AV444" s="194">
        <v>0</v>
      </c>
      <c r="AW444" s="194">
        <v>0</v>
      </c>
      <c r="AX444" s="194">
        <v>0</v>
      </c>
      <c r="AY444" s="549">
        <v>0</v>
      </c>
      <c r="AZ444" s="194">
        <v>0</v>
      </c>
      <c r="BA444" s="194">
        <v>73</v>
      </c>
      <c r="BB444" s="551">
        <v>73</v>
      </c>
      <c r="BC444" s="551">
        <v>73</v>
      </c>
      <c r="BD444" s="551">
        <v>0</v>
      </c>
      <c r="BF444" s="550">
        <f t="shared" si="92"/>
        <v>0</v>
      </c>
      <c r="BG444" s="550">
        <f t="shared" si="93"/>
        <v>0</v>
      </c>
      <c r="BH444" s="550">
        <f t="shared" si="94"/>
        <v>0</v>
      </c>
      <c r="BI444" s="550">
        <f t="shared" si="95"/>
        <v>0</v>
      </c>
      <c r="BJ444" s="550">
        <f t="shared" si="96"/>
        <v>0</v>
      </c>
      <c r="BK444" s="550">
        <f t="shared" si="97"/>
        <v>73</v>
      </c>
      <c r="BL444" s="550">
        <f t="shared" si="98"/>
        <v>73</v>
      </c>
      <c r="BM444" s="550">
        <f t="shared" si="99"/>
        <v>73</v>
      </c>
      <c r="BO444" s="194"/>
      <c r="BQ444" s="193">
        <f t="shared" si="100"/>
        <v>0</v>
      </c>
      <c r="BR444" s="193">
        <f t="shared" si="101"/>
        <v>0</v>
      </c>
    </row>
    <row r="445" spans="1:70" ht="13.5" customHeight="1">
      <c r="A445" s="193" t="s">
        <v>1624</v>
      </c>
      <c r="B445" s="193" t="s">
        <v>379</v>
      </c>
      <c r="C445" s="193" t="s">
        <v>214</v>
      </c>
      <c r="D445" s="193" t="s">
        <v>1165</v>
      </c>
      <c r="E445" s="193" t="s">
        <v>1166</v>
      </c>
      <c r="F445" s="193" t="s">
        <v>1685</v>
      </c>
      <c r="G445" s="193" t="s">
        <v>1685</v>
      </c>
      <c r="H445" s="193" t="s">
        <v>1754</v>
      </c>
      <c r="I445" s="193" t="s">
        <v>384</v>
      </c>
      <c r="J445" s="193" t="s">
        <v>1755</v>
      </c>
      <c r="K445" s="193" t="s">
        <v>386</v>
      </c>
      <c r="L445" s="193" t="s">
        <v>387</v>
      </c>
      <c r="M445" s="193" t="s">
        <v>378</v>
      </c>
      <c r="N445" s="193" t="s">
        <v>1497</v>
      </c>
      <c r="O445" s="193" t="s">
        <v>129</v>
      </c>
      <c r="P445" s="193" t="s">
        <v>138</v>
      </c>
      <c r="Q445" s="193" t="s">
        <v>137</v>
      </c>
      <c r="R445" s="193" t="s">
        <v>136</v>
      </c>
      <c r="S445" s="193" t="s">
        <v>214</v>
      </c>
      <c r="T445" s="193" t="s">
        <v>389</v>
      </c>
      <c r="U445" s="193" t="s">
        <v>390</v>
      </c>
      <c r="V445" s="193">
        <v>0</v>
      </c>
      <c r="W445" s="193">
        <v>0</v>
      </c>
      <c r="X445" s="193">
        <v>0</v>
      </c>
      <c r="Y445" s="194">
        <v>141</v>
      </c>
      <c r="Z445" s="193" t="s">
        <v>1498</v>
      </c>
      <c r="AA445" s="193" t="s">
        <v>1499</v>
      </c>
      <c r="AB445" s="193">
        <v>141</v>
      </c>
      <c r="AC445" s="193" t="s">
        <v>1500</v>
      </c>
      <c r="AD445" s="193" t="s">
        <v>136</v>
      </c>
      <c r="AE445" s="193">
        <v>141</v>
      </c>
      <c r="AF445" s="193" t="s">
        <v>518</v>
      </c>
      <c r="AG445" s="193" t="s">
        <v>519</v>
      </c>
      <c r="AH445" s="193">
        <v>0</v>
      </c>
      <c r="AI445" s="193">
        <v>141</v>
      </c>
      <c r="AJ445" s="193" t="s">
        <v>1756</v>
      </c>
      <c r="AL445" s="197" t="s">
        <v>1757</v>
      </c>
      <c r="AM445" s="193">
        <v>1</v>
      </c>
      <c r="AN445" s="193">
        <v>0</v>
      </c>
      <c r="AO445" s="193">
        <v>0</v>
      </c>
      <c r="AP445" s="193">
        <v>0</v>
      </c>
      <c r="AQ445" s="193" t="s">
        <v>214</v>
      </c>
      <c r="AS445" s="197" t="s">
        <v>518</v>
      </c>
      <c r="AT445" s="197" t="s">
        <v>519</v>
      </c>
      <c r="AV445" s="194">
        <v>0</v>
      </c>
      <c r="AW445" s="194">
        <v>0</v>
      </c>
      <c r="AX445" s="194">
        <v>0</v>
      </c>
      <c r="AY445" s="549">
        <v>0</v>
      </c>
      <c r="AZ445" s="194">
        <v>0</v>
      </c>
      <c r="BA445" s="194">
        <v>141</v>
      </c>
      <c r="BB445" s="551">
        <v>141</v>
      </c>
      <c r="BC445" s="551">
        <v>141</v>
      </c>
      <c r="BD445" s="551">
        <v>0</v>
      </c>
      <c r="BF445" s="550">
        <f t="shared" si="92"/>
        <v>0</v>
      </c>
      <c r="BG445" s="550">
        <f t="shared" si="93"/>
        <v>0</v>
      </c>
      <c r="BH445" s="550">
        <f t="shared" si="94"/>
        <v>0</v>
      </c>
      <c r="BI445" s="550">
        <f t="shared" si="95"/>
        <v>0</v>
      </c>
      <c r="BJ445" s="550">
        <f t="shared" si="96"/>
        <v>0</v>
      </c>
      <c r="BK445" s="550">
        <f t="shared" si="97"/>
        <v>141</v>
      </c>
      <c r="BL445" s="550">
        <f t="shared" si="98"/>
        <v>141</v>
      </c>
      <c r="BM445" s="550">
        <f t="shared" si="99"/>
        <v>141</v>
      </c>
      <c r="BO445" s="194"/>
      <c r="BQ445" s="193">
        <f t="shared" si="100"/>
        <v>0</v>
      </c>
      <c r="BR445" s="193">
        <f t="shared" si="101"/>
        <v>0</v>
      </c>
    </row>
    <row r="446" spans="1:70" ht="13.5" customHeight="1">
      <c r="A446" s="193" t="s">
        <v>1624</v>
      </c>
      <c r="B446" s="193" t="s">
        <v>379</v>
      </c>
      <c r="C446" s="193" t="s">
        <v>214</v>
      </c>
      <c r="D446" s="193" t="s">
        <v>1165</v>
      </c>
      <c r="E446" s="193" t="s">
        <v>1166</v>
      </c>
      <c r="F446" s="193" t="s">
        <v>1685</v>
      </c>
      <c r="G446" s="193" t="s">
        <v>1685</v>
      </c>
      <c r="H446" s="193" t="s">
        <v>1754</v>
      </c>
      <c r="I446" s="193" t="s">
        <v>384</v>
      </c>
      <c r="J446" s="193" t="s">
        <v>1758</v>
      </c>
      <c r="K446" s="193" t="s">
        <v>386</v>
      </c>
      <c r="L446" s="193" t="s">
        <v>387</v>
      </c>
      <c r="M446" s="193" t="s">
        <v>378</v>
      </c>
      <c r="N446" s="193" t="s">
        <v>1497</v>
      </c>
      <c r="O446" s="193" t="s">
        <v>129</v>
      </c>
      <c r="P446" s="193" t="s">
        <v>138</v>
      </c>
      <c r="Q446" s="193" t="s">
        <v>137</v>
      </c>
      <c r="R446" s="193" t="s">
        <v>136</v>
      </c>
      <c r="S446" s="193" t="s">
        <v>214</v>
      </c>
      <c r="T446" s="193" t="s">
        <v>389</v>
      </c>
      <c r="U446" s="193" t="s">
        <v>390</v>
      </c>
      <c r="V446" s="193">
        <v>0</v>
      </c>
      <c r="W446" s="193">
        <v>0</v>
      </c>
      <c r="X446" s="193">
        <v>0</v>
      </c>
      <c r="Y446" s="194">
        <v>180</v>
      </c>
      <c r="Z446" s="193" t="s">
        <v>1498</v>
      </c>
      <c r="AA446" s="193" t="s">
        <v>1499</v>
      </c>
      <c r="AB446" s="193">
        <v>180</v>
      </c>
      <c r="AC446" s="193" t="s">
        <v>1500</v>
      </c>
      <c r="AD446" s="193" t="s">
        <v>136</v>
      </c>
      <c r="AE446" s="193">
        <v>180</v>
      </c>
      <c r="AF446" s="193" t="s">
        <v>518</v>
      </c>
      <c r="AG446" s="193" t="s">
        <v>519</v>
      </c>
      <c r="AH446" s="193">
        <v>0</v>
      </c>
      <c r="AI446" s="193">
        <v>180</v>
      </c>
      <c r="AJ446" s="193" t="s">
        <v>1756</v>
      </c>
      <c r="AL446" s="197" t="s">
        <v>1759</v>
      </c>
      <c r="AM446" s="193">
        <v>1</v>
      </c>
      <c r="AN446" s="193">
        <v>0</v>
      </c>
      <c r="AO446" s="193">
        <v>0</v>
      </c>
      <c r="AP446" s="193">
        <v>0</v>
      </c>
      <c r="AQ446" s="193" t="s">
        <v>214</v>
      </c>
      <c r="AS446" s="197" t="s">
        <v>518</v>
      </c>
      <c r="AT446" s="197" t="s">
        <v>519</v>
      </c>
      <c r="AV446" s="194">
        <v>0</v>
      </c>
      <c r="AW446" s="194">
        <v>0</v>
      </c>
      <c r="AX446" s="194">
        <v>0</v>
      </c>
      <c r="AY446" s="549">
        <v>0</v>
      </c>
      <c r="AZ446" s="194">
        <v>0</v>
      </c>
      <c r="BA446" s="194">
        <v>180</v>
      </c>
      <c r="BB446" s="551">
        <v>180</v>
      </c>
      <c r="BC446" s="551">
        <v>180</v>
      </c>
      <c r="BD446" s="551">
        <v>0</v>
      </c>
      <c r="BF446" s="550">
        <f t="shared" si="92"/>
        <v>0</v>
      </c>
      <c r="BG446" s="550">
        <f t="shared" si="93"/>
        <v>0</v>
      </c>
      <c r="BH446" s="550">
        <f t="shared" si="94"/>
        <v>0</v>
      </c>
      <c r="BI446" s="550">
        <f t="shared" si="95"/>
        <v>0</v>
      </c>
      <c r="BJ446" s="550">
        <f t="shared" si="96"/>
        <v>0</v>
      </c>
      <c r="BK446" s="550">
        <f t="shared" si="97"/>
        <v>180</v>
      </c>
      <c r="BL446" s="550">
        <f t="shared" si="98"/>
        <v>180</v>
      </c>
      <c r="BM446" s="550">
        <f t="shared" si="99"/>
        <v>180</v>
      </c>
      <c r="BO446" s="194"/>
      <c r="BQ446" s="193">
        <f t="shared" si="100"/>
        <v>0</v>
      </c>
      <c r="BR446" s="193">
        <f t="shared" si="101"/>
        <v>0</v>
      </c>
    </row>
    <row r="447" spans="1:70" ht="13.5" customHeight="1">
      <c r="A447" s="193" t="s">
        <v>1624</v>
      </c>
      <c r="B447" s="193" t="s">
        <v>379</v>
      </c>
      <c r="C447" s="193" t="s">
        <v>214</v>
      </c>
      <c r="D447" s="193" t="s">
        <v>1165</v>
      </c>
      <c r="E447" s="193" t="s">
        <v>1166</v>
      </c>
      <c r="F447" s="193" t="s">
        <v>1685</v>
      </c>
      <c r="G447" s="193" t="s">
        <v>1685</v>
      </c>
      <c r="H447" s="193" t="s">
        <v>1760</v>
      </c>
      <c r="I447" s="193" t="s">
        <v>384</v>
      </c>
      <c r="J447" s="193" t="s">
        <v>1761</v>
      </c>
      <c r="K447" s="193" t="s">
        <v>386</v>
      </c>
      <c r="L447" s="193" t="s">
        <v>387</v>
      </c>
      <c r="M447" s="193" t="s">
        <v>378</v>
      </c>
      <c r="N447" s="193" t="s">
        <v>1497</v>
      </c>
      <c r="O447" s="193" t="s">
        <v>129</v>
      </c>
      <c r="P447" s="193" t="s">
        <v>138</v>
      </c>
      <c r="Q447" s="193" t="s">
        <v>137</v>
      </c>
      <c r="R447" s="193" t="s">
        <v>136</v>
      </c>
      <c r="S447" s="193" t="s">
        <v>214</v>
      </c>
      <c r="T447" s="193" t="s">
        <v>389</v>
      </c>
      <c r="U447" s="193" t="s">
        <v>390</v>
      </c>
      <c r="V447" s="193">
        <v>0</v>
      </c>
      <c r="W447" s="193">
        <v>0</v>
      </c>
      <c r="X447" s="193">
        <v>0</v>
      </c>
      <c r="Y447" s="194">
        <v>4350</v>
      </c>
      <c r="Z447" s="193" t="s">
        <v>1498</v>
      </c>
      <c r="AA447" s="193" t="s">
        <v>1499</v>
      </c>
      <c r="AB447" s="193">
        <v>4350</v>
      </c>
      <c r="AC447" s="193" t="s">
        <v>1500</v>
      </c>
      <c r="AD447" s="193" t="s">
        <v>136</v>
      </c>
      <c r="AE447" s="193">
        <v>4350</v>
      </c>
      <c r="AF447" s="193" t="s">
        <v>518</v>
      </c>
      <c r="AG447" s="193" t="s">
        <v>519</v>
      </c>
      <c r="AH447" s="193">
        <v>0</v>
      </c>
      <c r="AI447" s="193">
        <v>4350</v>
      </c>
      <c r="AJ447" s="193" t="s">
        <v>1752</v>
      </c>
      <c r="AL447" s="197" t="s">
        <v>1762</v>
      </c>
      <c r="AM447" s="193">
        <v>1</v>
      </c>
      <c r="AN447" s="193">
        <v>0</v>
      </c>
      <c r="AO447" s="193">
        <v>0</v>
      </c>
      <c r="AP447" s="193">
        <v>0</v>
      </c>
      <c r="AQ447" s="193" t="s">
        <v>214</v>
      </c>
      <c r="AS447" s="197" t="s">
        <v>518</v>
      </c>
      <c r="AT447" s="197" t="s">
        <v>519</v>
      </c>
      <c r="AV447" s="194">
        <v>0</v>
      </c>
      <c r="AW447" s="194">
        <v>0</v>
      </c>
      <c r="AX447" s="194">
        <v>0</v>
      </c>
      <c r="AY447" s="549">
        <v>0</v>
      </c>
      <c r="AZ447" s="194">
        <v>0</v>
      </c>
      <c r="BA447" s="194">
        <v>4350</v>
      </c>
      <c r="BB447" s="551">
        <v>4350</v>
      </c>
      <c r="BC447" s="551">
        <v>4350</v>
      </c>
      <c r="BD447" s="551">
        <v>0</v>
      </c>
      <c r="BF447" s="550">
        <f t="shared" si="92"/>
        <v>0</v>
      </c>
      <c r="BG447" s="550">
        <f t="shared" si="93"/>
        <v>0</v>
      </c>
      <c r="BH447" s="550">
        <f t="shared" si="94"/>
        <v>0</v>
      </c>
      <c r="BI447" s="550">
        <f t="shared" si="95"/>
        <v>0</v>
      </c>
      <c r="BJ447" s="550">
        <f t="shared" si="96"/>
        <v>0</v>
      </c>
      <c r="BK447" s="550">
        <f t="shared" si="97"/>
        <v>4350</v>
      </c>
      <c r="BL447" s="550">
        <f t="shared" si="98"/>
        <v>4350</v>
      </c>
      <c r="BM447" s="550">
        <f t="shared" si="99"/>
        <v>4350</v>
      </c>
      <c r="BO447" s="194"/>
      <c r="BQ447" s="193">
        <f t="shared" si="100"/>
        <v>0</v>
      </c>
      <c r="BR447" s="193">
        <f t="shared" si="101"/>
        <v>0</v>
      </c>
    </row>
    <row r="448" spans="1:70" ht="13.5" customHeight="1">
      <c r="A448" s="193" t="s">
        <v>1624</v>
      </c>
      <c r="B448" s="193" t="s">
        <v>379</v>
      </c>
      <c r="C448" s="193" t="s">
        <v>214</v>
      </c>
      <c r="D448" s="193" t="s">
        <v>1165</v>
      </c>
      <c r="E448" s="193" t="s">
        <v>1166</v>
      </c>
      <c r="F448" s="193" t="s">
        <v>1685</v>
      </c>
      <c r="G448" s="193" t="s">
        <v>1685</v>
      </c>
      <c r="H448" s="193" t="s">
        <v>1763</v>
      </c>
      <c r="I448" s="193" t="s">
        <v>384</v>
      </c>
      <c r="J448" s="193" t="s">
        <v>1764</v>
      </c>
      <c r="K448" s="193" t="s">
        <v>386</v>
      </c>
      <c r="L448" s="193" t="s">
        <v>387</v>
      </c>
      <c r="M448" s="193" t="s">
        <v>378</v>
      </c>
      <c r="N448" s="193" t="s">
        <v>1497</v>
      </c>
      <c r="O448" s="193" t="s">
        <v>129</v>
      </c>
      <c r="P448" s="193" t="s">
        <v>138</v>
      </c>
      <c r="Q448" s="193" t="s">
        <v>137</v>
      </c>
      <c r="R448" s="193" t="s">
        <v>136</v>
      </c>
      <c r="S448" s="193" t="s">
        <v>214</v>
      </c>
      <c r="T448" s="193" t="s">
        <v>389</v>
      </c>
      <c r="U448" s="193" t="s">
        <v>390</v>
      </c>
      <c r="V448" s="193">
        <v>0</v>
      </c>
      <c r="W448" s="193">
        <v>0</v>
      </c>
      <c r="X448" s="193">
        <v>0</v>
      </c>
      <c r="Y448" s="194">
        <v>879</v>
      </c>
      <c r="Z448" s="193" t="s">
        <v>1498</v>
      </c>
      <c r="AA448" s="193" t="s">
        <v>1499</v>
      </c>
      <c r="AB448" s="193">
        <v>879</v>
      </c>
      <c r="AC448" s="193" t="s">
        <v>1500</v>
      </c>
      <c r="AD448" s="193" t="s">
        <v>136</v>
      </c>
      <c r="AE448" s="193">
        <v>879</v>
      </c>
      <c r="AF448" s="193" t="s">
        <v>518</v>
      </c>
      <c r="AG448" s="193" t="s">
        <v>519</v>
      </c>
      <c r="AH448" s="193">
        <v>0</v>
      </c>
      <c r="AI448" s="193">
        <v>879</v>
      </c>
      <c r="AJ448" s="193" t="s">
        <v>1752</v>
      </c>
      <c r="AL448" s="197" t="s">
        <v>1765</v>
      </c>
      <c r="AM448" s="193">
        <v>1</v>
      </c>
      <c r="AN448" s="193">
        <v>0</v>
      </c>
      <c r="AO448" s="193">
        <v>0</v>
      </c>
      <c r="AP448" s="193">
        <v>0</v>
      </c>
      <c r="AQ448" s="193" t="s">
        <v>214</v>
      </c>
      <c r="AS448" s="197" t="s">
        <v>518</v>
      </c>
      <c r="AT448" s="197" t="s">
        <v>519</v>
      </c>
      <c r="AV448" s="194">
        <v>0</v>
      </c>
      <c r="AW448" s="194">
        <v>0</v>
      </c>
      <c r="AX448" s="194">
        <v>0</v>
      </c>
      <c r="AY448" s="549">
        <v>0</v>
      </c>
      <c r="AZ448" s="194">
        <v>0</v>
      </c>
      <c r="BA448" s="194">
        <v>879</v>
      </c>
      <c r="BB448" s="551">
        <v>879</v>
      </c>
      <c r="BC448" s="551">
        <v>879</v>
      </c>
      <c r="BD448" s="551">
        <v>0</v>
      </c>
      <c r="BF448" s="550">
        <f t="shared" si="92"/>
        <v>0</v>
      </c>
      <c r="BG448" s="550">
        <f t="shared" si="93"/>
        <v>0</v>
      </c>
      <c r="BH448" s="550">
        <f t="shared" si="94"/>
        <v>0</v>
      </c>
      <c r="BI448" s="550">
        <f t="shared" si="95"/>
        <v>0</v>
      </c>
      <c r="BJ448" s="550">
        <f t="shared" si="96"/>
        <v>0</v>
      </c>
      <c r="BK448" s="550">
        <f t="shared" si="97"/>
        <v>879</v>
      </c>
      <c r="BL448" s="550">
        <f t="shared" si="98"/>
        <v>879</v>
      </c>
      <c r="BM448" s="550">
        <f t="shared" si="99"/>
        <v>879</v>
      </c>
      <c r="BO448" s="194"/>
      <c r="BQ448" s="193">
        <f t="shared" si="100"/>
        <v>0</v>
      </c>
      <c r="BR448" s="193">
        <f t="shared" si="101"/>
        <v>0</v>
      </c>
    </row>
    <row r="449" spans="1:70" ht="13.5" customHeight="1">
      <c r="A449" s="193" t="s">
        <v>1624</v>
      </c>
      <c r="B449" s="193" t="s">
        <v>379</v>
      </c>
      <c r="C449" s="193" t="s">
        <v>214</v>
      </c>
      <c r="D449" s="193" t="s">
        <v>1165</v>
      </c>
      <c r="E449" s="193" t="s">
        <v>1166</v>
      </c>
      <c r="F449" s="193" t="s">
        <v>1685</v>
      </c>
      <c r="G449" s="193" t="s">
        <v>1685</v>
      </c>
      <c r="H449" s="193" t="s">
        <v>1763</v>
      </c>
      <c r="I449" s="193" t="s">
        <v>384</v>
      </c>
      <c r="J449" s="193" t="s">
        <v>1766</v>
      </c>
      <c r="K449" s="193" t="s">
        <v>386</v>
      </c>
      <c r="L449" s="193" t="s">
        <v>387</v>
      </c>
      <c r="M449" s="193" t="s">
        <v>378</v>
      </c>
      <c r="N449" s="193" t="s">
        <v>1497</v>
      </c>
      <c r="O449" s="193" t="s">
        <v>129</v>
      </c>
      <c r="P449" s="193" t="s">
        <v>138</v>
      </c>
      <c r="Q449" s="193" t="s">
        <v>137</v>
      </c>
      <c r="R449" s="193" t="s">
        <v>136</v>
      </c>
      <c r="S449" s="193" t="s">
        <v>214</v>
      </c>
      <c r="T449" s="193" t="s">
        <v>389</v>
      </c>
      <c r="U449" s="193" t="s">
        <v>390</v>
      </c>
      <c r="V449" s="193">
        <v>0</v>
      </c>
      <c r="W449" s="193">
        <v>0</v>
      </c>
      <c r="X449" s="193">
        <v>0</v>
      </c>
      <c r="Y449" s="194">
        <v>4560</v>
      </c>
      <c r="Z449" s="193" t="s">
        <v>1498</v>
      </c>
      <c r="AA449" s="193" t="s">
        <v>1499</v>
      </c>
      <c r="AB449" s="193">
        <v>4560</v>
      </c>
      <c r="AC449" s="193" t="s">
        <v>1500</v>
      </c>
      <c r="AD449" s="193" t="s">
        <v>136</v>
      </c>
      <c r="AE449" s="193">
        <v>4560</v>
      </c>
      <c r="AF449" s="193" t="s">
        <v>518</v>
      </c>
      <c r="AG449" s="193" t="s">
        <v>519</v>
      </c>
      <c r="AH449" s="193">
        <v>0</v>
      </c>
      <c r="AI449" s="193">
        <v>4560</v>
      </c>
      <c r="AJ449" s="193" t="s">
        <v>1752</v>
      </c>
      <c r="AL449" s="197" t="s">
        <v>1767</v>
      </c>
      <c r="AM449" s="193">
        <v>1</v>
      </c>
      <c r="AN449" s="193">
        <v>0</v>
      </c>
      <c r="AO449" s="193">
        <v>0</v>
      </c>
      <c r="AP449" s="193">
        <v>0</v>
      </c>
      <c r="AQ449" s="193" t="s">
        <v>214</v>
      </c>
      <c r="AS449" s="197" t="s">
        <v>518</v>
      </c>
      <c r="AT449" s="197" t="s">
        <v>519</v>
      </c>
      <c r="AV449" s="194">
        <v>0</v>
      </c>
      <c r="AW449" s="194">
        <v>0</v>
      </c>
      <c r="AX449" s="194">
        <v>0</v>
      </c>
      <c r="AY449" s="549">
        <v>0</v>
      </c>
      <c r="AZ449" s="194">
        <v>0</v>
      </c>
      <c r="BA449" s="194">
        <v>4560</v>
      </c>
      <c r="BB449" s="551">
        <v>4560</v>
      </c>
      <c r="BC449" s="551">
        <v>4560</v>
      </c>
      <c r="BD449" s="551">
        <v>0</v>
      </c>
      <c r="BF449" s="550">
        <f t="shared" si="92"/>
        <v>0</v>
      </c>
      <c r="BG449" s="550">
        <f t="shared" si="93"/>
        <v>0</v>
      </c>
      <c r="BH449" s="550">
        <f t="shared" si="94"/>
        <v>0</v>
      </c>
      <c r="BI449" s="550">
        <f t="shared" si="95"/>
        <v>0</v>
      </c>
      <c r="BJ449" s="550">
        <f t="shared" si="96"/>
        <v>0</v>
      </c>
      <c r="BK449" s="550">
        <f t="shared" si="97"/>
        <v>4560</v>
      </c>
      <c r="BL449" s="550">
        <f t="shared" si="98"/>
        <v>4560</v>
      </c>
      <c r="BM449" s="550">
        <f t="shared" si="99"/>
        <v>4560</v>
      </c>
      <c r="BO449" s="194"/>
      <c r="BQ449" s="193">
        <f t="shared" si="100"/>
        <v>0</v>
      </c>
      <c r="BR449" s="193">
        <f t="shared" si="101"/>
        <v>0</v>
      </c>
    </row>
    <row r="450" spans="1:70" ht="13.5" customHeight="1">
      <c r="A450" s="193" t="s">
        <v>1624</v>
      </c>
      <c r="B450" s="193" t="s">
        <v>379</v>
      </c>
      <c r="C450" s="193" t="s">
        <v>214</v>
      </c>
      <c r="D450" s="193" t="s">
        <v>1165</v>
      </c>
      <c r="E450" s="193" t="s">
        <v>1166</v>
      </c>
      <c r="F450" s="193" t="s">
        <v>1685</v>
      </c>
      <c r="G450" s="193" t="s">
        <v>1685</v>
      </c>
      <c r="H450" s="193" t="s">
        <v>1763</v>
      </c>
      <c r="I450" s="193" t="s">
        <v>384</v>
      </c>
      <c r="J450" s="193" t="s">
        <v>1768</v>
      </c>
      <c r="K450" s="193" t="s">
        <v>386</v>
      </c>
      <c r="L450" s="193" t="s">
        <v>387</v>
      </c>
      <c r="M450" s="193" t="s">
        <v>378</v>
      </c>
      <c r="N450" s="193" t="s">
        <v>1497</v>
      </c>
      <c r="O450" s="193" t="s">
        <v>129</v>
      </c>
      <c r="P450" s="193" t="s">
        <v>138</v>
      </c>
      <c r="Q450" s="193" t="s">
        <v>137</v>
      </c>
      <c r="R450" s="193" t="s">
        <v>136</v>
      </c>
      <c r="S450" s="193" t="s">
        <v>214</v>
      </c>
      <c r="T450" s="193" t="s">
        <v>389</v>
      </c>
      <c r="U450" s="193" t="s">
        <v>390</v>
      </c>
      <c r="V450" s="193">
        <v>0</v>
      </c>
      <c r="W450" s="193">
        <v>0</v>
      </c>
      <c r="X450" s="193">
        <v>0</v>
      </c>
      <c r="Y450" s="194">
        <v>1740</v>
      </c>
      <c r="Z450" s="193" t="s">
        <v>1498</v>
      </c>
      <c r="AA450" s="193" t="s">
        <v>1499</v>
      </c>
      <c r="AB450" s="193">
        <v>1740</v>
      </c>
      <c r="AC450" s="193" t="s">
        <v>1500</v>
      </c>
      <c r="AD450" s="193" t="s">
        <v>136</v>
      </c>
      <c r="AE450" s="193">
        <v>1740</v>
      </c>
      <c r="AF450" s="193" t="s">
        <v>518</v>
      </c>
      <c r="AG450" s="193" t="s">
        <v>519</v>
      </c>
      <c r="AH450" s="193">
        <v>0</v>
      </c>
      <c r="AI450" s="193">
        <v>1740</v>
      </c>
      <c r="AJ450" s="193" t="s">
        <v>1752</v>
      </c>
      <c r="AL450" s="197" t="s">
        <v>1769</v>
      </c>
      <c r="AM450" s="193">
        <v>1</v>
      </c>
      <c r="AN450" s="193">
        <v>0</v>
      </c>
      <c r="AO450" s="193">
        <v>0</v>
      </c>
      <c r="AP450" s="193">
        <v>0</v>
      </c>
      <c r="AQ450" s="193" t="s">
        <v>214</v>
      </c>
      <c r="AS450" s="197" t="s">
        <v>518</v>
      </c>
      <c r="AT450" s="197" t="s">
        <v>519</v>
      </c>
      <c r="AV450" s="194">
        <v>0</v>
      </c>
      <c r="AW450" s="194">
        <v>0</v>
      </c>
      <c r="AX450" s="194">
        <v>0</v>
      </c>
      <c r="AY450" s="549">
        <v>0</v>
      </c>
      <c r="AZ450" s="194">
        <v>0</v>
      </c>
      <c r="BA450" s="194">
        <v>1740</v>
      </c>
      <c r="BB450" s="551">
        <v>1740</v>
      </c>
      <c r="BC450" s="551">
        <v>1740</v>
      </c>
      <c r="BD450" s="551">
        <v>0</v>
      </c>
      <c r="BF450" s="550">
        <f t="shared" si="92"/>
        <v>0</v>
      </c>
      <c r="BG450" s="550">
        <f t="shared" si="93"/>
        <v>0</v>
      </c>
      <c r="BH450" s="550">
        <f t="shared" si="94"/>
        <v>0</v>
      </c>
      <c r="BI450" s="550">
        <f t="shared" si="95"/>
        <v>0</v>
      </c>
      <c r="BJ450" s="550">
        <f t="shared" si="96"/>
        <v>0</v>
      </c>
      <c r="BK450" s="550">
        <f t="shared" si="97"/>
        <v>1740</v>
      </c>
      <c r="BL450" s="550">
        <f t="shared" si="98"/>
        <v>1740</v>
      </c>
      <c r="BM450" s="550">
        <f t="shared" si="99"/>
        <v>1740</v>
      </c>
      <c r="BO450" s="194"/>
      <c r="BQ450" s="193">
        <f t="shared" si="100"/>
        <v>0</v>
      </c>
      <c r="BR450" s="193">
        <f t="shared" si="101"/>
        <v>0</v>
      </c>
    </row>
    <row r="451" spans="1:70" ht="13.5" customHeight="1">
      <c r="A451" s="193" t="s">
        <v>378</v>
      </c>
      <c r="B451" s="193" t="s">
        <v>379</v>
      </c>
      <c r="C451" s="193" t="s">
        <v>214</v>
      </c>
      <c r="D451" s="193" t="s">
        <v>542</v>
      </c>
      <c r="E451" s="193" t="s">
        <v>543</v>
      </c>
      <c r="F451" s="193" t="s">
        <v>1313</v>
      </c>
      <c r="G451" s="193" t="s">
        <v>1313</v>
      </c>
      <c r="H451" s="193" t="s">
        <v>1770</v>
      </c>
      <c r="I451" s="193" t="s">
        <v>384</v>
      </c>
      <c r="J451" s="193" t="s">
        <v>1771</v>
      </c>
      <c r="K451" s="193" t="s">
        <v>386</v>
      </c>
      <c r="L451" s="193" t="s">
        <v>387</v>
      </c>
      <c r="M451" s="193" t="s">
        <v>378</v>
      </c>
      <c r="N451" s="193" t="s">
        <v>1497</v>
      </c>
      <c r="O451" s="193" t="s">
        <v>129</v>
      </c>
      <c r="P451" s="193" t="s">
        <v>138</v>
      </c>
      <c r="Q451" s="193" t="s">
        <v>137</v>
      </c>
      <c r="R451" s="193" t="s">
        <v>136</v>
      </c>
      <c r="S451" s="193" t="s">
        <v>214</v>
      </c>
      <c r="T451" s="193" t="s">
        <v>389</v>
      </c>
      <c r="U451" s="193" t="s">
        <v>390</v>
      </c>
      <c r="V451" s="193">
        <v>0</v>
      </c>
      <c r="W451" s="193">
        <v>0</v>
      </c>
      <c r="X451" s="193">
        <v>0</v>
      </c>
      <c r="Y451" s="194">
        <v>8736</v>
      </c>
      <c r="Z451" s="193" t="s">
        <v>1498</v>
      </c>
      <c r="AA451" s="193" t="s">
        <v>1499</v>
      </c>
      <c r="AB451" s="193">
        <v>8736</v>
      </c>
      <c r="AC451" s="193" t="s">
        <v>1500</v>
      </c>
      <c r="AD451" s="193" t="s">
        <v>136</v>
      </c>
      <c r="AE451" s="193">
        <v>8736</v>
      </c>
      <c r="AF451" s="193" t="s">
        <v>1657</v>
      </c>
      <c r="AG451" s="193" t="s">
        <v>519</v>
      </c>
      <c r="AH451" s="193">
        <v>0</v>
      </c>
      <c r="AI451" s="193">
        <v>8736</v>
      </c>
      <c r="AJ451" s="193" t="s">
        <v>1772</v>
      </c>
      <c r="AL451" s="197" t="s">
        <v>1773</v>
      </c>
      <c r="AM451" s="193">
        <v>2</v>
      </c>
      <c r="AN451" s="193">
        <v>21</v>
      </c>
      <c r="AO451" s="193">
        <v>0</v>
      </c>
      <c r="AP451" s="193">
        <v>0</v>
      </c>
      <c r="AQ451" s="193" t="s">
        <v>214</v>
      </c>
      <c r="AS451" s="197">
        <v>21</v>
      </c>
      <c r="AT451" s="197">
        <v>0</v>
      </c>
      <c r="AV451" s="194">
        <v>8736</v>
      </c>
      <c r="AW451" s="194">
        <v>0</v>
      </c>
      <c r="AX451" s="194">
        <v>0</v>
      </c>
      <c r="AY451" s="549">
        <v>8736</v>
      </c>
      <c r="AZ451" s="194">
        <v>0</v>
      </c>
      <c r="BA451" s="194">
        <v>0</v>
      </c>
      <c r="BB451" s="551">
        <v>0</v>
      </c>
      <c r="BC451" s="551">
        <v>8736</v>
      </c>
      <c r="BD451" s="551">
        <v>0</v>
      </c>
      <c r="BF451" s="550">
        <f t="shared" si="92"/>
        <v>8736</v>
      </c>
      <c r="BG451" s="550">
        <f t="shared" si="93"/>
        <v>0</v>
      </c>
      <c r="BH451" s="550">
        <f t="shared" si="94"/>
        <v>0</v>
      </c>
      <c r="BI451" s="550">
        <f t="shared" si="95"/>
        <v>8736</v>
      </c>
      <c r="BJ451" s="550">
        <f t="shared" si="96"/>
        <v>0</v>
      </c>
      <c r="BK451" s="550">
        <f t="shared" si="97"/>
        <v>0</v>
      </c>
      <c r="BL451" s="550">
        <f t="shared" si="98"/>
        <v>0</v>
      </c>
      <c r="BM451" s="550">
        <f t="shared" si="99"/>
        <v>8736</v>
      </c>
      <c r="BO451" s="194"/>
      <c r="BQ451" s="193">
        <f t="shared" si="100"/>
        <v>0</v>
      </c>
      <c r="BR451" s="193">
        <f t="shared" si="101"/>
        <v>0</v>
      </c>
    </row>
    <row r="452" spans="1:70" ht="13.5" customHeight="1">
      <c r="A452" s="193" t="s">
        <v>378</v>
      </c>
      <c r="B452" s="193" t="s">
        <v>379</v>
      </c>
      <c r="C452" s="193" t="s">
        <v>214</v>
      </c>
      <c r="D452" s="193" t="s">
        <v>542</v>
      </c>
      <c r="E452" s="193" t="s">
        <v>543</v>
      </c>
      <c r="F452" s="193" t="s">
        <v>1313</v>
      </c>
      <c r="G452" s="193" t="s">
        <v>1313</v>
      </c>
      <c r="H452" s="193" t="s">
        <v>1774</v>
      </c>
      <c r="I452" s="193" t="s">
        <v>384</v>
      </c>
      <c r="J452" s="193" t="s">
        <v>1775</v>
      </c>
      <c r="K452" s="193" t="s">
        <v>386</v>
      </c>
      <c r="L452" s="193" t="s">
        <v>387</v>
      </c>
      <c r="M452" s="193" t="s">
        <v>378</v>
      </c>
      <c r="N452" s="193" t="s">
        <v>1497</v>
      </c>
      <c r="O452" s="193" t="s">
        <v>129</v>
      </c>
      <c r="P452" s="193" t="s">
        <v>138</v>
      </c>
      <c r="Q452" s="193" t="s">
        <v>137</v>
      </c>
      <c r="R452" s="193" t="s">
        <v>136</v>
      </c>
      <c r="S452" s="193" t="s">
        <v>214</v>
      </c>
      <c r="T452" s="193" t="s">
        <v>389</v>
      </c>
      <c r="U452" s="193" t="s">
        <v>390</v>
      </c>
      <c r="V452" s="193">
        <v>0</v>
      </c>
      <c r="W452" s="193">
        <v>0</v>
      </c>
      <c r="X452" s="193">
        <v>0</v>
      </c>
      <c r="Y452" s="194">
        <v>3120</v>
      </c>
      <c r="Z452" s="193" t="s">
        <v>1498</v>
      </c>
      <c r="AA452" s="193" t="s">
        <v>1499</v>
      </c>
      <c r="AB452" s="193">
        <v>3120</v>
      </c>
      <c r="AC452" s="193" t="s">
        <v>1500</v>
      </c>
      <c r="AD452" s="193" t="s">
        <v>136</v>
      </c>
      <c r="AE452" s="193">
        <v>3120</v>
      </c>
      <c r="AF452" s="193" t="s">
        <v>1657</v>
      </c>
      <c r="AG452" s="193" t="s">
        <v>519</v>
      </c>
      <c r="AH452" s="193">
        <v>0</v>
      </c>
      <c r="AI452" s="193">
        <v>3120</v>
      </c>
      <c r="AJ452" s="193" t="s">
        <v>1776</v>
      </c>
      <c r="AL452" s="197" t="s">
        <v>1777</v>
      </c>
      <c r="AM452" s="193">
        <v>2</v>
      </c>
      <c r="AN452" s="193">
        <v>21</v>
      </c>
      <c r="AO452" s="193">
        <v>0</v>
      </c>
      <c r="AP452" s="193">
        <v>0</v>
      </c>
      <c r="AQ452" s="193" t="s">
        <v>214</v>
      </c>
      <c r="AS452" s="197">
        <v>21</v>
      </c>
      <c r="AT452" s="197">
        <v>0</v>
      </c>
      <c r="AV452" s="194">
        <v>3120</v>
      </c>
      <c r="AW452" s="194">
        <v>0</v>
      </c>
      <c r="AX452" s="194">
        <v>0</v>
      </c>
      <c r="AY452" s="549">
        <v>3120</v>
      </c>
      <c r="AZ452" s="194">
        <v>0</v>
      </c>
      <c r="BA452" s="194">
        <v>0</v>
      </c>
      <c r="BB452" s="551">
        <v>0</v>
      </c>
      <c r="BC452" s="551">
        <v>3120</v>
      </c>
      <c r="BD452" s="551">
        <v>0</v>
      </c>
      <c r="BF452" s="550">
        <f t="shared" si="92"/>
        <v>3120</v>
      </c>
      <c r="BG452" s="550">
        <f t="shared" si="93"/>
        <v>0</v>
      </c>
      <c r="BH452" s="550">
        <f t="shared" si="94"/>
        <v>0</v>
      </c>
      <c r="BI452" s="550">
        <f t="shared" si="95"/>
        <v>3120</v>
      </c>
      <c r="BJ452" s="550">
        <f t="shared" si="96"/>
        <v>0</v>
      </c>
      <c r="BK452" s="550">
        <f t="shared" si="97"/>
        <v>0</v>
      </c>
      <c r="BL452" s="550">
        <f t="shared" si="98"/>
        <v>0</v>
      </c>
      <c r="BM452" s="550">
        <f t="shared" si="99"/>
        <v>3120</v>
      </c>
      <c r="BO452" s="194"/>
      <c r="BQ452" s="193">
        <f t="shared" si="100"/>
        <v>0</v>
      </c>
      <c r="BR452" s="193">
        <f t="shared" si="101"/>
        <v>0</v>
      </c>
    </row>
    <row r="453" spans="1:70" ht="13.5" customHeight="1">
      <c r="A453" s="193" t="s">
        <v>378</v>
      </c>
      <c r="B453" s="193" t="s">
        <v>379</v>
      </c>
      <c r="C453" s="193" t="s">
        <v>214</v>
      </c>
      <c r="D453" s="193" t="s">
        <v>542</v>
      </c>
      <c r="E453" s="193" t="s">
        <v>543</v>
      </c>
      <c r="F453" s="193" t="s">
        <v>963</v>
      </c>
      <c r="G453" s="193" t="s">
        <v>963</v>
      </c>
      <c r="H453" s="193" t="s">
        <v>1778</v>
      </c>
      <c r="I453" s="193" t="s">
        <v>384</v>
      </c>
      <c r="J453" s="193" t="s">
        <v>1779</v>
      </c>
      <c r="K453" s="193" t="s">
        <v>386</v>
      </c>
      <c r="L453" s="193" t="s">
        <v>387</v>
      </c>
      <c r="M453" s="193" t="s">
        <v>378</v>
      </c>
      <c r="N453" s="193" t="s">
        <v>1497</v>
      </c>
      <c r="O453" s="193" t="s">
        <v>129</v>
      </c>
      <c r="P453" s="193" t="s">
        <v>138</v>
      </c>
      <c r="Q453" s="193" t="s">
        <v>137</v>
      </c>
      <c r="R453" s="193" t="s">
        <v>136</v>
      </c>
      <c r="S453" s="193" t="s">
        <v>214</v>
      </c>
      <c r="T453" s="193" t="s">
        <v>389</v>
      </c>
      <c r="U453" s="193" t="s">
        <v>390</v>
      </c>
      <c r="V453" s="193">
        <v>0</v>
      </c>
      <c r="W453" s="193">
        <v>0</v>
      </c>
      <c r="X453" s="193">
        <v>0</v>
      </c>
      <c r="Y453" s="194">
        <v>3099</v>
      </c>
      <c r="Z453" s="193" t="s">
        <v>1498</v>
      </c>
      <c r="AA453" s="193" t="s">
        <v>1499</v>
      </c>
      <c r="AB453" s="193">
        <v>3099</v>
      </c>
      <c r="AC453" s="193" t="s">
        <v>1500</v>
      </c>
      <c r="AD453" s="193" t="s">
        <v>136</v>
      </c>
      <c r="AE453" s="193">
        <v>3099</v>
      </c>
      <c r="AF453" s="193" t="s">
        <v>518</v>
      </c>
      <c r="AG453" s="193" t="s">
        <v>519</v>
      </c>
      <c r="AH453" s="193">
        <v>0</v>
      </c>
      <c r="AI453" s="193">
        <v>3099</v>
      </c>
      <c r="AJ453" s="193" t="s">
        <v>1737</v>
      </c>
      <c r="AL453" s="197" t="s">
        <v>1780</v>
      </c>
      <c r="AM453" s="193">
        <v>1</v>
      </c>
      <c r="AN453" s="193">
        <v>0</v>
      </c>
      <c r="AO453" s="193">
        <v>0</v>
      </c>
      <c r="AP453" s="193">
        <v>0</v>
      </c>
      <c r="AQ453" s="193" t="s">
        <v>214</v>
      </c>
      <c r="AS453" s="197" t="s">
        <v>518</v>
      </c>
      <c r="AT453" s="197" t="s">
        <v>519</v>
      </c>
      <c r="AV453" s="194">
        <v>3099</v>
      </c>
      <c r="AW453" s="194">
        <v>0</v>
      </c>
      <c r="AX453" s="194">
        <v>0</v>
      </c>
      <c r="AY453" s="549">
        <v>3099</v>
      </c>
      <c r="AZ453" s="194">
        <v>0</v>
      </c>
      <c r="BA453" s="194">
        <v>0</v>
      </c>
      <c r="BB453" s="551">
        <v>0</v>
      </c>
      <c r="BC453" s="551">
        <v>3099</v>
      </c>
      <c r="BD453" s="551">
        <v>0</v>
      </c>
      <c r="BF453" s="550">
        <f t="shared" si="92"/>
        <v>3099</v>
      </c>
      <c r="BG453" s="550">
        <f t="shared" si="93"/>
        <v>0</v>
      </c>
      <c r="BH453" s="550">
        <f t="shared" si="94"/>
        <v>0</v>
      </c>
      <c r="BI453" s="550">
        <f t="shared" si="95"/>
        <v>3099</v>
      </c>
      <c r="BJ453" s="550">
        <f t="shared" si="96"/>
        <v>0</v>
      </c>
      <c r="BK453" s="550">
        <f t="shared" si="97"/>
        <v>0</v>
      </c>
      <c r="BL453" s="550">
        <f t="shared" si="98"/>
        <v>0</v>
      </c>
      <c r="BM453" s="550">
        <f t="shared" si="99"/>
        <v>3099</v>
      </c>
      <c r="BO453" s="194"/>
      <c r="BQ453" s="193">
        <f t="shared" si="100"/>
        <v>0</v>
      </c>
      <c r="BR453" s="193">
        <f t="shared" si="101"/>
        <v>0</v>
      </c>
    </row>
    <row r="454" spans="1:70" ht="13.5" customHeight="1">
      <c r="A454" s="193" t="s">
        <v>378</v>
      </c>
      <c r="B454" s="193" t="s">
        <v>379</v>
      </c>
      <c r="C454" s="193" t="s">
        <v>214</v>
      </c>
      <c r="D454" s="193" t="s">
        <v>997</v>
      </c>
      <c r="E454" s="193" t="s">
        <v>998</v>
      </c>
      <c r="F454" s="193" t="s">
        <v>1132</v>
      </c>
      <c r="G454" s="193" t="s">
        <v>1132</v>
      </c>
      <c r="H454" s="193" t="s">
        <v>1781</v>
      </c>
      <c r="I454" s="193" t="s">
        <v>384</v>
      </c>
      <c r="J454" s="193" t="s">
        <v>1793</v>
      </c>
      <c r="K454" s="193" t="s">
        <v>386</v>
      </c>
      <c r="L454" s="193" t="s">
        <v>387</v>
      </c>
      <c r="M454" s="193" t="s">
        <v>378</v>
      </c>
      <c r="N454" s="193" t="s">
        <v>1497</v>
      </c>
      <c r="O454" s="193" t="s">
        <v>129</v>
      </c>
      <c r="P454" s="193" t="s">
        <v>138</v>
      </c>
      <c r="Q454" s="193" t="s">
        <v>137</v>
      </c>
      <c r="R454" s="193" t="s">
        <v>136</v>
      </c>
      <c r="S454" s="193" t="s">
        <v>214</v>
      </c>
      <c r="T454" s="193" t="s">
        <v>389</v>
      </c>
      <c r="U454" s="193" t="s">
        <v>390</v>
      </c>
      <c r="V454" s="193">
        <v>0</v>
      </c>
      <c r="W454" s="193">
        <v>0</v>
      </c>
      <c r="X454" s="193">
        <v>0</v>
      </c>
      <c r="Y454" s="194">
        <v>19368</v>
      </c>
      <c r="Z454" s="193" t="s">
        <v>1498</v>
      </c>
      <c r="AA454" s="193" t="s">
        <v>1499</v>
      </c>
      <c r="AB454" s="193">
        <v>19368</v>
      </c>
      <c r="AC454" s="193" t="s">
        <v>1500</v>
      </c>
      <c r="AD454" s="193" t="s">
        <v>136</v>
      </c>
      <c r="AE454" s="193">
        <v>19368</v>
      </c>
      <c r="AF454" s="193" t="s">
        <v>518</v>
      </c>
      <c r="AG454" s="193" t="s">
        <v>519</v>
      </c>
      <c r="AH454" s="193">
        <v>0</v>
      </c>
      <c r="AI454" s="193">
        <v>19368</v>
      </c>
      <c r="AJ454" s="193" t="s">
        <v>1791</v>
      </c>
      <c r="AL454" s="197" t="s">
        <v>1794</v>
      </c>
      <c r="AM454" s="193">
        <v>1</v>
      </c>
      <c r="AN454" s="193">
        <v>0</v>
      </c>
      <c r="AO454" s="193">
        <v>0</v>
      </c>
      <c r="AP454" s="193">
        <v>0</v>
      </c>
      <c r="AQ454" s="193" t="s">
        <v>214</v>
      </c>
      <c r="AS454" s="197" t="s">
        <v>518</v>
      </c>
      <c r="AT454" s="197" t="s">
        <v>519</v>
      </c>
      <c r="AV454" s="194">
        <v>19368</v>
      </c>
      <c r="AW454" s="194">
        <v>0</v>
      </c>
      <c r="AX454" s="194">
        <v>0</v>
      </c>
      <c r="AY454" s="549">
        <v>19368</v>
      </c>
      <c r="AZ454" s="194">
        <v>0</v>
      </c>
      <c r="BA454" s="194">
        <v>0</v>
      </c>
      <c r="BB454" s="551">
        <v>0</v>
      </c>
      <c r="BC454" s="551">
        <v>19368</v>
      </c>
      <c r="BD454" s="551">
        <v>0</v>
      </c>
      <c r="BF454" s="550">
        <f t="shared" si="92"/>
        <v>19368</v>
      </c>
      <c r="BG454" s="550">
        <f t="shared" si="93"/>
        <v>0</v>
      </c>
      <c r="BH454" s="550">
        <f t="shared" si="94"/>
        <v>0</v>
      </c>
      <c r="BI454" s="550">
        <f t="shared" si="95"/>
        <v>19368</v>
      </c>
      <c r="BJ454" s="550">
        <f t="shared" si="96"/>
        <v>0</v>
      </c>
      <c r="BK454" s="550">
        <f t="shared" si="97"/>
        <v>0</v>
      </c>
      <c r="BL454" s="550">
        <f t="shared" si="98"/>
        <v>0</v>
      </c>
      <c r="BM454" s="550">
        <f t="shared" si="99"/>
        <v>19368</v>
      </c>
      <c r="BO454" s="194"/>
      <c r="BQ454" s="193">
        <f t="shared" si="100"/>
        <v>0</v>
      </c>
      <c r="BR454" s="193">
        <f t="shared" si="101"/>
        <v>0</v>
      </c>
    </row>
    <row r="455" spans="1:70" ht="13.5" customHeight="1">
      <c r="A455" s="193" t="s">
        <v>378</v>
      </c>
      <c r="B455" s="193" t="s">
        <v>379</v>
      </c>
      <c r="C455" s="193" t="s">
        <v>214</v>
      </c>
      <c r="D455" s="193" t="s">
        <v>997</v>
      </c>
      <c r="E455" s="193" t="s">
        <v>998</v>
      </c>
      <c r="F455" s="193" t="s">
        <v>563</v>
      </c>
      <c r="G455" s="193" t="s">
        <v>563</v>
      </c>
      <c r="H455" s="193" t="s">
        <v>1781</v>
      </c>
      <c r="I455" s="193" t="s">
        <v>384</v>
      </c>
      <c r="J455" s="193" t="s">
        <v>1787</v>
      </c>
      <c r="K455" s="193" t="s">
        <v>386</v>
      </c>
      <c r="L455" s="193" t="s">
        <v>387</v>
      </c>
      <c r="M455" s="193" t="s">
        <v>378</v>
      </c>
      <c r="N455" s="193" t="s">
        <v>1497</v>
      </c>
      <c r="O455" s="193" t="s">
        <v>129</v>
      </c>
      <c r="P455" s="193" t="s">
        <v>138</v>
      </c>
      <c r="Q455" s="193" t="s">
        <v>137</v>
      </c>
      <c r="R455" s="193" t="s">
        <v>136</v>
      </c>
      <c r="S455" s="193" t="s">
        <v>214</v>
      </c>
      <c r="T455" s="193" t="s">
        <v>389</v>
      </c>
      <c r="U455" s="193" t="s">
        <v>390</v>
      </c>
      <c r="V455" s="193">
        <v>0</v>
      </c>
      <c r="W455" s="193">
        <v>0</v>
      </c>
      <c r="X455" s="193">
        <v>0</v>
      </c>
      <c r="Y455" s="194">
        <v>150272</v>
      </c>
      <c r="Z455" s="193" t="s">
        <v>1498</v>
      </c>
      <c r="AA455" s="193" t="s">
        <v>1499</v>
      </c>
      <c r="AB455" s="193">
        <v>150272</v>
      </c>
      <c r="AC455" s="193" t="s">
        <v>1500</v>
      </c>
      <c r="AD455" s="193" t="s">
        <v>136</v>
      </c>
      <c r="AE455" s="193">
        <v>150272</v>
      </c>
      <c r="AF455" s="193" t="s">
        <v>518</v>
      </c>
      <c r="AG455" s="193" t="s">
        <v>519</v>
      </c>
      <c r="AH455" s="193">
        <v>0</v>
      </c>
      <c r="AI455" s="193">
        <v>150272</v>
      </c>
      <c r="AJ455" s="193" t="s">
        <v>1785</v>
      </c>
      <c r="AL455" s="197" t="s">
        <v>1788</v>
      </c>
      <c r="AM455" s="193">
        <v>1</v>
      </c>
      <c r="AN455" s="193">
        <v>0</v>
      </c>
      <c r="AO455" s="193">
        <v>0</v>
      </c>
      <c r="AP455" s="193">
        <v>0</v>
      </c>
      <c r="AQ455" s="193" t="s">
        <v>214</v>
      </c>
      <c r="AS455" s="197" t="s">
        <v>518</v>
      </c>
      <c r="AT455" s="197" t="s">
        <v>519</v>
      </c>
      <c r="AV455" s="194">
        <v>150272</v>
      </c>
      <c r="AW455" s="194">
        <v>0</v>
      </c>
      <c r="AX455" s="194">
        <v>0</v>
      </c>
      <c r="AY455" s="549">
        <v>150272</v>
      </c>
      <c r="AZ455" s="194">
        <v>0</v>
      </c>
      <c r="BA455" s="194">
        <v>0</v>
      </c>
      <c r="BB455" s="551">
        <v>0</v>
      </c>
      <c r="BC455" s="551">
        <v>150272</v>
      </c>
      <c r="BD455" s="551">
        <v>0</v>
      </c>
      <c r="BF455" s="550">
        <f t="shared" ref="BF455:BF518" si="102">+IFERROR(ROUND(AV455*100/(100+$AT455),0),AV455)</f>
        <v>150272</v>
      </c>
      <c r="BG455" s="550">
        <f t="shared" ref="BG455:BG518" si="103">+IFERROR(ROUND(AW455*100/(100+$AT455),0),AW455)</f>
        <v>0</v>
      </c>
      <c r="BH455" s="550">
        <f t="shared" ref="BH455:BH518" si="104">+IFERROR(ROUND(AX455*100/(100+$AT455),0),AX455)</f>
        <v>0</v>
      </c>
      <c r="BI455" s="550">
        <f t="shared" ref="BI455:BI518" si="105">SUM(BF455:BH455)</f>
        <v>150272</v>
      </c>
      <c r="BJ455" s="550">
        <f t="shared" ref="BJ455:BJ518" si="106">+IFERROR(ROUND(AZ455*100/(100+$AT455),0),AZ455)</f>
        <v>0</v>
      </c>
      <c r="BK455" s="550">
        <f t="shared" ref="BK455:BK518" si="107">+IFERROR(ROUND(BA455*100/(100+$AT455),0),BA455)</f>
        <v>0</v>
      </c>
      <c r="BL455" s="550">
        <f t="shared" ref="BL455:BL518" si="108">SUM(BJ455:BK455)</f>
        <v>0</v>
      </c>
      <c r="BM455" s="550">
        <f t="shared" ref="BM455:BM518" si="109">+BI455+BL455</f>
        <v>150272</v>
      </c>
      <c r="BO455" s="194"/>
      <c r="BQ455" s="193">
        <f t="shared" ref="BQ455:BQ518" si="110">AY455*100/(100+$AT455)-BI455</f>
        <v>0</v>
      </c>
      <c r="BR455" s="193">
        <f t="shared" ref="BR455:BR518" si="111">BB455*100/(100+$AT455)-BL455</f>
        <v>0</v>
      </c>
    </row>
    <row r="456" spans="1:70" ht="13.5" customHeight="1">
      <c r="A456" s="193" t="s">
        <v>378</v>
      </c>
      <c r="B456" s="193" t="s">
        <v>379</v>
      </c>
      <c r="C456" s="193" t="s">
        <v>214</v>
      </c>
      <c r="D456" s="193" t="s">
        <v>997</v>
      </c>
      <c r="E456" s="193" t="s">
        <v>998</v>
      </c>
      <c r="F456" s="193" t="s">
        <v>1104</v>
      </c>
      <c r="G456" s="193" t="s">
        <v>1104</v>
      </c>
      <c r="H456" s="193" t="s">
        <v>1781</v>
      </c>
      <c r="I456" s="193" t="s">
        <v>384</v>
      </c>
      <c r="J456" s="193" t="s">
        <v>1782</v>
      </c>
      <c r="K456" s="193" t="s">
        <v>386</v>
      </c>
      <c r="L456" s="193" t="s">
        <v>387</v>
      </c>
      <c r="M456" s="193" t="s">
        <v>378</v>
      </c>
      <c r="N456" s="193" t="s">
        <v>1497</v>
      </c>
      <c r="O456" s="193" t="s">
        <v>129</v>
      </c>
      <c r="P456" s="193" t="s">
        <v>138</v>
      </c>
      <c r="Q456" s="193" t="s">
        <v>137</v>
      </c>
      <c r="R456" s="193" t="s">
        <v>136</v>
      </c>
      <c r="S456" s="193" t="s">
        <v>214</v>
      </c>
      <c r="T456" s="193" t="s">
        <v>389</v>
      </c>
      <c r="U456" s="193" t="s">
        <v>390</v>
      </c>
      <c r="V456" s="193">
        <v>0</v>
      </c>
      <c r="W456" s="193">
        <v>0</v>
      </c>
      <c r="X456" s="193">
        <v>0</v>
      </c>
      <c r="Y456" s="194">
        <v>116</v>
      </c>
      <c r="Z456" s="193" t="s">
        <v>1498</v>
      </c>
      <c r="AA456" s="193" t="s">
        <v>1499</v>
      </c>
      <c r="AB456" s="193">
        <v>116</v>
      </c>
      <c r="AC456" s="193" t="s">
        <v>1500</v>
      </c>
      <c r="AD456" s="193" t="s">
        <v>136</v>
      </c>
      <c r="AE456" s="193">
        <v>116</v>
      </c>
      <c r="AF456" s="193" t="s">
        <v>518</v>
      </c>
      <c r="AG456" s="193" t="s">
        <v>519</v>
      </c>
      <c r="AH456" s="193">
        <v>0</v>
      </c>
      <c r="AI456" s="193">
        <v>116</v>
      </c>
      <c r="AJ456" s="193" t="s">
        <v>1737</v>
      </c>
      <c r="AL456" s="197" t="s">
        <v>1783</v>
      </c>
      <c r="AM456" s="193">
        <v>1</v>
      </c>
      <c r="AN456" s="193">
        <v>0</v>
      </c>
      <c r="AO456" s="193">
        <v>0</v>
      </c>
      <c r="AP456" s="193">
        <v>0</v>
      </c>
      <c r="AQ456" s="193" t="s">
        <v>214</v>
      </c>
      <c r="AS456" s="197" t="s">
        <v>518</v>
      </c>
      <c r="AT456" s="197" t="s">
        <v>519</v>
      </c>
      <c r="AV456" s="194">
        <v>116</v>
      </c>
      <c r="AW456" s="194">
        <v>0</v>
      </c>
      <c r="AX456" s="194">
        <v>0</v>
      </c>
      <c r="AY456" s="549">
        <v>116</v>
      </c>
      <c r="AZ456" s="194">
        <v>0</v>
      </c>
      <c r="BA456" s="194">
        <v>0</v>
      </c>
      <c r="BB456" s="551">
        <v>0</v>
      </c>
      <c r="BC456" s="551">
        <v>116</v>
      </c>
      <c r="BD456" s="551">
        <v>0</v>
      </c>
      <c r="BF456" s="550">
        <f t="shared" si="102"/>
        <v>116</v>
      </c>
      <c r="BG456" s="550">
        <f t="shared" si="103"/>
        <v>0</v>
      </c>
      <c r="BH456" s="550">
        <f t="shared" si="104"/>
        <v>0</v>
      </c>
      <c r="BI456" s="550">
        <f t="shared" si="105"/>
        <v>116</v>
      </c>
      <c r="BJ456" s="550">
        <f t="shared" si="106"/>
        <v>0</v>
      </c>
      <c r="BK456" s="550">
        <f t="shared" si="107"/>
        <v>0</v>
      </c>
      <c r="BL456" s="550">
        <f t="shared" si="108"/>
        <v>0</v>
      </c>
      <c r="BM456" s="550">
        <f t="shared" si="109"/>
        <v>116</v>
      </c>
      <c r="BO456" s="194"/>
      <c r="BQ456" s="193">
        <f t="shared" si="110"/>
        <v>0</v>
      </c>
      <c r="BR456" s="193">
        <f t="shared" si="111"/>
        <v>0</v>
      </c>
    </row>
    <row r="457" spans="1:70" ht="13.5" customHeight="1">
      <c r="A457" s="193" t="s">
        <v>378</v>
      </c>
      <c r="B457" s="193" t="s">
        <v>379</v>
      </c>
      <c r="C457" s="193" t="s">
        <v>214</v>
      </c>
      <c r="D457" s="193" t="s">
        <v>997</v>
      </c>
      <c r="E457" s="193" t="s">
        <v>998</v>
      </c>
      <c r="F457" s="193" t="s">
        <v>1798</v>
      </c>
      <c r="G457" s="193" t="s">
        <v>1798</v>
      </c>
      <c r="H457" s="193" t="s">
        <v>1781</v>
      </c>
      <c r="I457" s="193" t="s">
        <v>384</v>
      </c>
      <c r="J457" s="193" t="s">
        <v>1799</v>
      </c>
      <c r="K457" s="193" t="s">
        <v>386</v>
      </c>
      <c r="L457" s="193" t="s">
        <v>387</v>
      </c>
      <c r="M457" s="193" t="s">
        <v>378</v>
      </c>
      <c r="N457" s="193" t="s">
        <v>1497</v>
      </c>
      <c r="O457" s="193" t="s">
        <v>129</v>
      </c>
      <c r="P457" s="193" t="s">
        <v>138</v>
      </c>
      <c r="Q457" s="193" t="s">
        <v>137</v>
      </c>
      <c r="R457" s="193" t="s">
        <v>136</v>
      </c>
      <c r="S457" s="193" t="s">
        <v>214</v>
      </c>
      <c r="T457" s="193" t="s">
        <v>389</v>
      </c>
      <c r="U457" s="193" t="s">
        <v>390</v>
      </c>
      <c r="V457" s="193">
        <v>0</v>
      </c>
      <c r="W457" s="193">
        <v>0</v>
      </c>
      <c r="X457" s="193">
        <v>0</v>
      </c>
      <c r="Y457" s="194">
        <v>48384</v>
      </c>
      <c r="Z457" s="193" t="s">
        <v>1498</v>
      </c>
      <c r="AA457" s="193" t="s">
        <v>1499</v>
      </c>
      <c r="AB457" s="193">
        <v>48384</v>
      </c>
      <c r="AC457" s="193" t="s">
        <v>1500</v>
      </c>
      <c r="AD457" s="193" t="s">
        <v>136</v>
      </c>
      <c r="AE457" s="193">
        <v>48384</v>
      </c>
      <c r="AF457" s="193" t="s">
        <v>518</v>
      </c>
      <c r="AG457" s="193" t="s">
        <v>519</v>
      </c>
      <c r="AH457" s="193">
        <v>0</v>
      </c>
      <c r="AI457" s="193">
        <v>48384</v>
      </c>
      <c r="AJ457" s="193" t="s">
        <v>1800</v>
      </c>
      <c r="AL457" s="197" t="s">
        <v>1801</v>
      </c>
      <c r="AM457" s="193">
        <v>1</v>
      </c>
      <c r="AN457" s="193">
        <v>0</v>
      </c>
      <c r="AO457" s="193">
        <v>0</v>
      </c>
      <c r="AP457" s="193">
        <v>0</v>
      </c>
      <c r="AQ457" s="193" t="s">
        <v>214</v>
      </c>
      <c r="AS457" s="197" t="s">
        <v>518</v>
      </c>
      <c r="AT457" s="197" t="s">
        <v>519</v>
      </c>
      <c r="AV457" s="194">
        <v>48384</v>
      </c>
      <c r="AW457" s="194">
        <v>0</v>
      </c>
      <c r="AX457" s="194">
        <v>0</v>
      </c>
      <c r="AY457" s="549">
        <v>48384</v>
      </c>
      <c r="AZ457" s="194">
        <v>0</v>
      </c>
      <c r="BA457" s="194">
        <v>0</v>
      </c>
      <c r="BB457" s="551">
        <v>0</v>
      </c>
      <c r="BC457" s="551">
        <v>48384</v>
      </c>
      <c r="BD457" s="551">
        <v>0</v>
      </c>
      <c r="BF457" s="550">
        <f t="shared" si="102"/>
        <v>48384</v>
      </c>
      <c r="BG457" s="550">
        <f t="shared" si="103"/>
        <v>0</v>
      </c>
      <c r="BH457" s="550">
        <f t="shared" si="104"/>
        <v>0</v>
      </c>
      <c r="BI457" s="550">
        <f t="shared" si="105"/>
        <v>48384</v>
      </c>
      <c r="BJ457" s="550">
        <f t="shared" si="106"/>
        <v>0</v>
      </c>
      <c r="BK457" s="550">
        <f t="shared" si="107"/>
        <v>0</v>
      </c>
      <c r="BL457" s="550">
        <f t="shared" si="108"/>
        <v>0</v>
      </c>
      <c r="BM457" s="550">
        <f t="shared" si="109"/>
        <v>48384</v>
      </c>
      <c r="BO457" s="194"/>
      <c r="BQ457" s="193">
        <f t="shared" si="110"/>
        <v>0</v>
      </c>
      <c r="BR457" s="193">
        <f t="shared" si="111"/>
        <v>0</v>
      </c>
    </row>
    <row r="458" spans="1:70" ht="13.5" customHeight="1">
      <c r="A458" s="193" t="s">
        <v>378</v>
      </c>
      <c r="B458" s="193" t="s">
        <v>379</v>
      </c>
      <c r="C458" s="193" t="s">
        <v>214</v>
      </c>
      <c r="D458" s="193" t="s">
        <v>997</v>
      </c>
      <c r="E458" s="193" t="s">
        <v>998</v>
      </c>
      <c r="F458" s="193" t="s">
        <v>1685</v>
      </c>
      <c r="G458" s="193" t="s">
        <v>1685</v>
      </c>
      <c r="H458" s="193" t="s">
        <v>1781</v>
      </c>
      <c r="I458" s="193" t="s">
        <v>384</v>
      </c>
      <c r="J458" s="193" t="s">
        <v>1795</v>
      </c>
      <c r="K458" s="193" t="s">
        <v>386</v>
      </c>
      <c r="L458" s="193" t="s">
        <v>387</v>
      </c>
      <c r="M458" s="193" t="s">
        <v>378</v>
      </c>
      <c r="N458" s="193" t="s">
        <v>1497</v>
      </c>
      <c r="O458" s="193" t="s">
        <v>129</v>
      </c>
      <c r="P458" s="193" t="s">
        <v>138</v>
      </c>
      <c r="Q458" s="193" t="s">
        <v>137</v>
      </c>
      <c r="R458" s="193" t="s">
        <v>136</v>
      </c>
      <c r="S458" s="193" t="s">
        <v>214</v>
      </c>
      <c r="T458" s="193" t="s">
        <v>389</v>
      </c>
      <c r="U458" s="193" t="s">
        <v>390</v>
      </c>
      <c r="V458" s="193">
        <v>0</v>
      </c>
      <c r="W458" s="193">
        <v>0</v>
      </c>
      <c r="X458" s="193">
        <v>0</v>
      </c>
      <c r="Y458" s="194">
        <v>166580</v>
      </c>
      <c r="Z458" s="193" t="s">
        <v>1498</v>
      </c>
      <c r="AA458" s="193" t="s">
        <v>1499</v>
      </c>
      <c r="AB458" s="193">
        <v>166580</v>
      </c>
      <c r="AC458" s="193" t="s">
        <v>1500</v>
      </c>
      <c r="AD458" s="193" t="s">
        <v>136</v>
      </c>
      <c r="AE458" s="193">
        <v>166580</v>
      </c>
      <c r="AF458" s="193" t="s">
        <v>518</v>
      </c>
      <c r="AG458" s="193" t="s">
        <v>519</v>
      </c>
      <c r="AH458" s="193">
        <v>0</v>
      </c>
      <c r="AI458" s="193">
        <v>166580</v>
      </c>
      <c r="AJ458" s="193" t="s">
        <v>1796</v>
      </c>
      <c r="AL458" s="197" t="s">
        <v>1797</v>
      </c>
      <c r="AM458" s="193">
        <v>1</v>
      </c>
      <c r="AN458" s="193">
        <v>0</v>
      </c>
      <c r="AO458" s="193">
        <v>0</v>
      </c>
      <c r="AP458" s="193">
        <v>0</v>
      </c>
      <c r="AQ458" s="193" t="s">
        <v>214</v>
      </c>
      <c r="AS458" s="197" t="s">
        <v>518</v>
      </c>
      <c r="AT458" s="197" t="s">
        <v>519</v>
      </c>
      <c r="AV458" s="194">
        <v>166580</v>
      </c>
      <c r="AW458" s="194">
        <v>0</v>
      </c>
      <c r="AX458" s="194">
        <v>0</v>
      </c>
      <c r="AY458" s="549">
        <v>166580</v>
      </c>
      <c r="AZ458" s="194">
        <v>0</v>
      </c>
      <c r="BA458" s="194">
        <v>0</v>
      </c>
      <c r="BB458" s="551">
        <v>0</v>
      </c>
      <c r="BC458" s="551">
        <v>166580</v>
      </c>
      <c r="BD458" s="551">
        <v>0</v>
      </c>
      <c r="BF458" s="550">
        <f t="shared" si="102"/>
        <v>166580</v>
      </c>
      <c r="BG458" s="550">
        <f t="shared" si="103"/>
        <v>0</v>
      </c>
      <c r="BH458" s="550">
        <f t="shared" si="104"/>
        <v>0</v>
      </c>
      <c r="BI458" s="550">
        <f t="shared" si="105"/>
        <v>166580</v>
      </c>
      <c r="BJ458" s="550">
        <f t="shared" si="106"/>
        <v>0</v>
      </c>
      <c r="BK458" s="550">
        <f t="shared" si="107"/>
        <v>0</v>
      </c>
      <c r="BL458" s="550">
        <f t="shared" si="108"/>
        <v>0</v>
      </c>
      <c r="BM458" s="550">
        <f t="shared" si="109"/>
        <v>166580</v>
      </c>
      <c r="BO458" s="194"/>
      <c r="BQ458" s="193">
        <f t="shared" si="110"/>
        <v>0</v>
      </c>
      <c r="BR458" s="193">
        <f t="shared" si="111"/>
        <v>0</v>
      </c>
    </row>
    <row r="459" spans="1:70" ht="13.5" customHeight="1">
      <c r="A459" s="193" t="s">
        <v>378</v>
      </c>
      <c r="B459" s="193" t="s">
        <v>379</v>
      </c>
      <c r="C459" s="193" t="s">
        <v>214</v>
      </c>
      <c r="D459" s="193" t="s">
        <v>997</v>
      </c>
      <c r="E459" s="193" t="s">
        <v>998</v>
      </c>
      <c r="F459" s="193" t="s">
        <v>1789</v>
      </c>
      <c r="G459" s="193" t="s">
        <v>1789</v>
      </c>
      <c r="H459" s="193" t="s">
        <v>1781</v>
      </c>
      <c r="I459" s="193" t="s">
        <v>384</v>
      </c>
      <c r="J459" s="193" t="s">
        <v>1790</v>
      </c>
      <c r="K459" s="193" t="s">
        <v>386</v>
      </c>
      <c r="L459" s="193" t="s">
        <v>387</v>
      </c>
      <c r="M459" s="193" t="s">
        <v>378</v>
      </c>
      <c r="N459" s="193" t="s">
        <v>1497</v>
      </c>
      <c r="O459" s="193" t="s">
        <v>129</v>
      </c>
      <c r="P459" s="193" t="s">
        <v>138</v>
      </c>
      <c r="Q459" s="193" t="s">
        <v>137</v>
      </c>
      <c r="R459" s="193" t="s">
        <v>136</v>
      </c>
      <c r="S459" s="193" t="s">
        <v>214</v>
      </c>
      <c r="T459" s="193" t="s">
        <v>389</v>
      </c>
      <c r="U459" s="193" t="s">
        <v>390</v>
      </c>
      <c r="V459" s="193">
        <v>0</v>
      </c>
      <c r="W459" s="193">
        <v>0</v>
      </c>
      <c r="X459" s="193">
        <v>0</v>
      </c>
      <c r="Y459" s="194">
        <v>33936</v>
      </c>
      <c r="Z459" s="193" t="s">
        <v>1498</v>
      </c>
      <c r="AA459" s="193" t="s">
        <v>1499</v>
      </c>
      <c r="AB459" s="193">
        <v>33936</v>
      </c>
      <c r="AC459" s="193" t="s">
        <v>1500</v>
      </c>
      <c r="AD459" s="193" t="s">
        <v>136</v>
      </c>
      <c r="AE459" s="193">
        <v>33936</v>
      </c>
      <c r="AF459" s="193" t="s">
        <v>518</v>
      </c>
      <c r="AG459" s="193" t="s">
        <v>519</v>
      </c>
      <c r="AH459" s="193">
        <v>0</v>
      </c>
      <c r="AI459" s="193">
        <v>33936</v>
      </c>
      <c r="AJ459" s="193" t="s">
        <v>1791</v>
      </c>
      <c r="AL459" s="197" t="s">
        <v>1792</v>
      </c>
      <c r="AM459" s="193">
        <v>1</v>
      </c>
      <c r="AN459" s="193">
        <v>0</v>
      </c>
      <c r="AO459" s="193">
        <v>0</v>
      </c>
      <c r="AP459" s="193">
        <v>0</v>
      </c>
      <c r="AQ459" s="193" t="s">
        <v>214</v>
      </c>
      <c r="AS459" s="197" t="s">
        <v>518</v>
      </c>
      <c r="AT459" s="197" t="s">
        <v>519</v>
      </c>
      <c r="AV459" s="194">
        <v>33936</v>
      </c>
      <c r="AW459" s="194">
        <v>0</v>
      </c>
      <c r="AX459" s="194">
        <v>0</v>
      </c>
      <c r="AY459" s="549">
        <v>33936</v>
      </c>
      <c r="AZ459" s="194">
        <v>0</v>
      </c>
      <c r="BA459" s="194">
        <v>0</v>
      </c>
      <c r="BB459" s="551">
        <v>0</v>
      </c>
      <c r="BC459" s="551">
        <v>33936</v>
      </c>
      <c r="BD459" s="551">
        <v>0</v>
      </c>
      <c r="BF459" s="550">
        <f t="shared" si="102"/>
        <v>33936</v>
      </c>
      <c r="BG459" s="550">
        <f t="shared" si="103"/>
        <v>0</v>
      </c>
      <c r="BH459" s="550">
        <f t="shared" si="104"/>
        <v>0</v>
      </c>
      <c r="BI459" s="550">
        <f t="shared" si="105"/>
        <v>33936</v>
      </c>
      <c r="BJ459" s="550">
        <f t="shared" si="106"/>
        <v>0</v>
      </c>
      <c r="BK459" s="550">
        <f t="shared" si="107"/>
        <v>0</v>
      </c>
      <c r="BL459" s="550">
        <f t="shared" si="108"/>
        <v>0</v>
      </c>
      <c r="BM459" s="550">
        <f t="shared" si="109"/>
        <v>33936</v>
      </c>
      <c r="BO459" s="194"/>
      <c r="BQ459" s="193">
        <f t="shared" si="110"/>
        <v>0</v>
      </c>
      <c r="BR459" s="193">
        <f t="shared" si="111"/>
        <v>0</v>
      </c>
    </row>
    <row r="460" spans="1:70" ht="13.5" customHeight="1">
      <c r="A460" s="193" t="s">
        <v>378</v>
      </c>
      <c r="B460" s="193" t="s">
        <v>379</v>
      </c>
      <c r="C460" s="193" t="s">
        <v>214</v>
      </c>
      <c r="D460" s="193" t="s">
        <v>997</v>
      </c>
      <c r="E460" s="193" t="s">
        <v>998</v>
      </c>
      <c r="F460" s="193" t="s">
        <v>855</v>
      </c>
      <c r="G460" s="193" t="s">
        <v>855</v>
      </c>
      <c r="H460" s="193" t="s">
        <v>1781</v>
      </c>
      <c r="I460" s="193" t="s">
        <v>384</v>
      </c>
      <c r="J460" s="193" t="s">
        <v>1784</v>
      </c>
      <c r="K460" s="193" t="s">
        <v>386</v>
      </c>
      <c r="L460" s="193" t="s">
        <v>387</v>
      </c>
      <c r="M460" s="193" t="s">
        <v>378</v>
      </c>
      <c r="N460" s="193" t="s">
        <v>1497</v>
      </c>
      <c r="O460" s="193" t="s">
        <v>129</v>
      </c>
      <c r="P460" s="193" t="s">
        <v>138</v>
      </c>
      <c r="Q460" s="193" t="s">
        <v>137</v>
      </c>
      <c r="R460" s="193" t="s">
        <v>136</v>
      </c>
      <c r="S460" s="193" t="s">
        <v>214</v>
      </c>
      <c r="T460" s="193" t="s">
        <v>389</v>
      </c>
      <c r="U460" s="193" t="s">
        <v>390</v>
      </c>
      <c r="V460" s="193">
        <v>0</v>
      </c>
      <c r="W460" s="193">
        <v>0</v>
      </c>
      <c r="X460" s="193">
        <v>0</v>
      </c>
      <c r="Y460" s="194">
        <v>56576</v>
      </c>
      <c r="Z460" s="193" t="s">
        <v>1498</v>
      </c>
      <c r="AA460" s="193" t="s">
        <v>1499</v>
      </c>
      <c r="AB460" s="193">
        <v>56576</v>
      </c>
      <c r="AC460" s="193" t="s">
        <v>1500</v>
      </c>
      <c r="AD460" s="193" t="s">
        <v>136</v>
      </c>
      <c r="AE460" s="193">
        <v>56576</v>
      </c>
      <c r="AF460" s="193" t="s">
        <v>518</v>
      </c>
      <c r="AG460" s="193" t="s">
        <v>519</v>
      </c>
      <c r="AH460" s="193">
        <v>0</v>
      </c>
      <c r="AI460" s="193">
        <v>56576</v>
      </c>
      <c r="AJ460" s="193" t="s">
        <v>1785</v>
      </c>
      <c r="AL460" s="197" t="s">
        <v>1786</v>
      </c>
      <c r="AM460" s="193">
        <v>1</v>
      </c>
      <c r="AN460" s="193">
        <v>0</v>
      </c>
      <c r="AO460" s="193">
        <v>0</v>
      </c>
      <c r="AP460" s="193">
        <v>0</v>
      </c>
      <c r="AQ460" s="193" t="s">
        <v>214</v>
      </c>
      <c r="AS460" s="197" t="s">
        <v>518</v>
      </c>
      <c r="AT460" s="197" t="s">
        <v>519</v>
      </c>
      <c r="AV460" s="194">
        <v>56576</v>
      </c>
      <c r="AW460" s="194">
        <v>0</v>
      </c>
      <c r="AX460" s="194">
        <v>0</v>
      </c>
      <c r="AY460" s="549">
        <v>56576</v>
      </c>
      <c r="AZ460" s="194">
        <v>0</v>
      </c>
      <c r="BA460" s="194">
        <v>0</v>
      </c>
      <c r="BB460" s="551">
        <v>0</v>
      </c>
      <c r="BC460" s="551">
        <v>56576</v>
      </c>
      <c r="BD460" s="551">
        <v>0</v>
      </c>
      <c r="BF460" s="550">
        <f t="shared" si="102"/>
        <v>56576</v>
      </c>
      <c r="BG460" s="550">
        <f t="shared" si="103"/>
        <v>0</v>
      </c>
      <c r="BH460" s="550">
        <f t="shared" si="104"/>
        <v>0</v>
      </c>
      <c r="BI460" s="550">
        <f t="shared" si="105"/>
        <v>56576</v>
      </c>
      <c r="BJ460" s="550">
        <f t="shared" si="106"/>
        <v>0</v>
      </c>
      <c r="BK460" s="550">
        <f t="shared" si="107"/>
        <v>0</v>
      </c>
      <c r="BL460" s="550">
        <f t="shared" si="108"/>
        <v>0</v>
      </c>
      <c r="BM460" s="550">
        <f t="shared" si="109"/>
        <v>56576</v>
      </c>
      <c r="BO460" s="194"/>
      <c r="BQ460" s="193">
        <f t="shared" si="110"/>
        <v>0</v>
      </c>
      <c r="BR460" s="193">
        <f t="shared" si="111"/>
        <v>0</v>
      </c>
    </row>
    <row r="461" spans="1:70" ht="13.5" customHeight="1">
      <c r="A461" s="193" t="s">
        <v>378</v>
      </c>
      <c r="B461" s="193" t="s">
        <v>379</v>
      </c>
      <c r="C461" s="193" t="s">
        <v>214</v>
      </c>
      <c r="D461" s="193" t="s">
        <v>1109</v>
      </c>
      <c r="E461" s="193" t="s">
        <v>1110</v>
      </c>
      <c r="F461" s="193" t="s">
        <v>1313</v>
      </c>
      <c r="G461" s="193" t="s">
        <v>1313</v>
      </c>
      <c r="H461" s="193" t="s">
        <v>1802</v>
      </c>
      <c r="I461" s="193" t="s">
        <v>384</v>
      </c>
      <c r="J461" s="193" t="s">
        <v>1803</v>
      </c>
      <c r="K461" s="193" t="s">
        <v>386</v>
      </c>
      <c r="L461" s="193" t="s">
        <v>387</v>
      </c>
      <c r="M461" s="193" t="s">
        <v>378</v>
      </c>
      <c r="N461" s="193" t="s">
        <v>1497</v>
      </c>
      <c r="O461" s="193" t="s">
        <v>129</v>
      </c>
      <c r="P461" s="193" t="s">
        <v>138</v>
      </c>
      <c r="Q461" s="193" t="s">
        <v>137</v>
      </c>
      <c r="R461" s="193" t="s">
        <v>136</v>
      </c>
      <c r="S461" s="193" t="s">
        <v>214</v>
      </c>
      <c r="T461" s="193" t="s">
        <v>389</v>
      </c>
      <c r="U461" s="193" t="s">
        <v>390</v>
      </c>
      <c r="V461" s="193">
        <v>0</v>
      </c>
      <c r="W461" s="193">
        <v>0</v>
      </c>
      <c r="X461" s="193">
        <v>0</v>
      </c>
      <c r="Y461" s="194">
        <v>87457</v>
      </c>
      <c r="Z461" s="193" t="s">
        <v>1498</v>
      </c>
      <c r="AA461" s="193" t="s">
        <v>1499</v>
      </c>
      <c r="AB461" s="193">
        <v>87457</v>
      </c>
      <c r="AC461" s="193" t="s">
        <v>1500</v>
      </c>
      <c r="AD461" s="193" t="s">
        <v>136</v>
      </c>
      <c r="AE461" s="193">
        <v>87457</v>
      </c>
      <c r="AF461" s="193" t="s">
        <v>518</v>
      </c>
      <c r="AG461" s="193" t="s">
        <v>519</v>
      </c>
      <c r="AH461" s="193">
        <v>0</v>
      </c>
      <c r="AI461" s="193">
        <v>87457</v>
      </c>
      <c r="AJ461" s="193" t="s">
        <v>1804</v>
      </c>
      <c r="AL461" s="197" t="s">
        <v>1805</v>
      </c>
      <c r="AM461" s="193">
        <v>1</v>
      </c>
      <c r="AN461" s="193">
        <v>0</v>
      </c>
      <c r="AO461" s="193">
        <v>0</v>
      </c>
      <c r="AP461" s="193">
        <v>0</v>
      </c>
      <c r="AQ461" s="193" t="s">
        <v>214</v>
      </c>
      <c r="AS461" s="197" t="s">
        <v>518</v>
      </c>
      <c r="AT461" s="197" t="s">
        <v>519</v>
      </c>
      <c r="AV461" s="194">
        <v>87457</v>
      </c>
      <c r="AW461" s="194">
        <v>0</v>
      </c>
      <c r="AX461" s="194">
        <v>0</v>
      </c>
      <c r="AY461" s="549">
        <v>87457</v>
      </c>
      <c r="AZ461" s="194">
        <v>0</v>
      </c>
      <c r="BA461" s="194">
        <v>0</v>
      </c>
      <c r="BB461" s="551">
        <v>0</v>
      </c>
      <c r="BC461" s="551">
        <v>87457</v>
      </c>
      <c r="BD461" s="551">
        <v>0</v>
      </c>
      <c r="BF461" s="550">
        <f t="shared" si="102"/>
        <v>87457</v>
      </c>
      <c r="BG461" s="550">
        <f t="shared" si="103"/>
        <v>0</v>
      </c>
      <c r="BH461" s="550">
        <f t="shared" si="104"/>
        <v>0</v>
      </c>
      <c r="BI461" s="550">
        <f t="shared" si="105"/>
        <v>87457</v>
      </c>
      <c r="BJ461" s="550">
        <f t="shared" si="106"/>
        <v>0</v>
      </c>
      <c r="BK461" s="550">
        <f t="shared" si="107"/>
        <v>0</v>
      </c>
      <c r="BL461" s="550">
        <f t="shared" si="108"/>
        <v>0</v>
      </c>
      <c r="BM461" s="550">
        <f t="shared" si="109"/>
        <v>87457</v>
      </c>
      <c r="BO461" s="194"/>
      <c r="BQ461" s="193">
        <f t="shared" si="110"/>
        <v>0</v>
      </c>
      <c r="BR461" s="193">
        <f t="shared" si="111"/>
        <v>0</v>
      </c>
    </row>
    <row r="462" spans="1:70" ht="13.5" customHeight="1">
      <c r="A462" s="193" t="s">
        <v>378</v>
      </c>
      <c r="B462" s="193" t="s">
        <v>379</v>
      </c>
      <c r="C462" s="193" t="s">
        <v>214</v>
      </c>
      <c r="D462" s="193" t="s">
        <v>1109</v>
      </c>
      <c r="E462" s="193" t="s">
        <v>1110</v>
      </c>
      <c r="F462" s="193" t="s">
        <v>1313</v>
      </c>
      <c r="G462" s="193" t="s">
        <v>1313</v>
      </c>
      <c r="H462" s="193" t="s">
        <v>1806</v>
      </c>
      <c r="I462" s="193" t="s">
        <v>384</v>
      </c>
      <c r="J462" s="193" t="s">
        <v>1807</v>
      </c>
      <c r="K462" s="193" t="s">
        <v>386</v>
      </c>
      <c r="L462" s="193" t="s">
        <v>387</v>
      </c>
      <c r="M462" s="193" t="s">
        <v>378</v>
      </c>
      <c r="N462" s="193" t="s">
        <v>1497</v>
      </c>
      <c r="O462" s="193" t="s">
        <v>129</v>
      </c>
      <c r="P462" s="193" t="s">
        <v>138</v>
      </c>
      <c r="Q462" s="193" t="s">
        <v>137</v>
      </c>
      <c r="R462" s="193" t="s">
        <v>136</v>
      </c>
      <c r="S462" s="193" t="s">
        <v>214</v>
      </c>
      <c r="T462" s="193" t="s">
        <v>389</v>
      </c>
      <c r="U462" s="193" t="s">
        <v>390</v>
      </c>
      <c r="V462" s="193">
        <v>0</v>
      </c>
      <c r="W462" s="193">
        <v>0</v>
      </c>
      <c r="X462" s="193">
        <v>0</v>
      </c>
      <c r="Y462" s="194">
        <v>1786</v>
      </c>
      <c r="Z462" s="193" t="s">
        <v>1498</v>
      </c>
      <c r="AA462" s="193" t="s">
        <v>1499</v>
      </c>
      <c r="AB462" s="193">
        <v>1786</v>
      </c>
      <c r="AC462" s="193" t="s">
        <v>1500</v>
      </c>
      <c r="AD462" s="193" t="s">
        <v>136</v>
      </c>
      <c r="AE462" s="193">
        <v>1786</v>
      </c>
      <c r="AF462" s="193" t="s">
        <v>518</v>
      </c>
      <c r="AG462" s="193" t="s">
        <v>519</v>
      </c>
      <c r="AH462" s="193">
        <v>0</v>
      </c>
      <c r="AI462" s="193">
        <v>1786</v>
      </c>
      <c r="AJ462" s="193" t="s">
        <v>1724</v>
      </c>
      <c r="AL462" s="197" t="s">
        <v>1808</v>
      </c>
      <c r="AM462" s="193">
        <v>1</v>
      </c>
      <c r="AN462" s="193">
        <v>0</v>
      </c>
      <c r="AO462" s="193">
        <v>0</v>
      </c>
      <c r="AP462" s="193">
        <v>0</v>
      </c>
      <c r="AQ462" s="193" t="s">
        <v>214</v>
      </c>
      <c r="AS462" s="197" t="s">
        <v>518</v>
      </c>
      <c r="AT462" s="197" t="s">
        <v>519</v>
      </c>
      <c r="AV462" s="194">
        <v>1786</v>
      </c>
      <c r="AW462" s="194">
        <v>0</v>
      </c>
      <c r="AX462" s="194">
        <v>0</v>
      </c>
      <c r="AY462" s="549">
        <v>1786</v>
      </c>
      <c r="AZ462" s="194">
        <v>0</v>
      </c>
      <c r="BA462" s="194">
        <v>0</v>
      </c>
      <c r="BB462" s="551">
        <v>0</v>
      </c>
      <c r="BC462" s="551">
        <v>1786</v>
      </c>
      <c r="BD462" s="551">
        <v>0</v>
      </c>
      <c r="BF462" s="550">
        <f t="shared" si="102"/>
        <v>1786</v>
      </c>
      <c r="BG462" s="550">
        <f t="shared" si="103"/>
        <v>0</v>
      </c>
      <c r="BH462" s="550">
        <f t="shared" si="104"/>
        <v>0</v>
      </c>
      <c r="BI462" s="550">
        <f t="shared" si="105"/>
        <v>1786</v>
      </c>
      <c r="BJ462" s="550">
        <f t="shared" si="106"/>
        <v>0</v>
      </c>
      <c r="BK462" s="550">
        <f t="shared" si="107"/>
        <v>0</v>
      </c>
      <c r="BL462" s="550">
        <f t="shared" si="108"/>
        <v>0</v>
      </c>
      <c r="BM462" s="550">
        <f t="shared" si="109"/>
        <v>1786</v>
      </c>
      <c r="BO462" s="194"/>
      <c r="BQ462" s="193">
        <f t="shared" si="110"/>
        <v>0</v>
      </c>
      <c r="BR462" s="193">
        <f t="shared" si="111"/>
        <v>0</v>
      </c>
    </row>
    <row r="463" spans="1:70" ht="13.5" customHeight="1">
      <c r="A463" s="193" t="s">
        <v>378</v>
      </c>
      <c r="B463" s="193" t="s">
        <v>379</v>
      </c>
      <c r="C463" s="193" t="s">
        <v>214</v>
      </c>
      <c r="D463" s="193" t="s">
        <v>667</v>
      </c>
      <c r="E463" s="193" t="s">
        <v>668</v>
      </c>
      <c r="F463" s="193" t="s">
        <v>1306</v>
      </c>
      <c r="G463" s="193" t="s">
        <v>1306</v>
      </c>
      <c r="H463" s="193" t="s">
        <v>1809</v>
      </c>
      <c r="I463" s="193" t="s">
        <v>384</v>
      </c>
      <c r="J463" s="193" t="s">
        <v>1810</v>
      </c>
      <c r="K463" s="193" t="s">
        <v>386</v>
      </c>
      <c r="L463" s="193" t="s">
        <v>387</v>
      </c>
      <c r="M463" s="193" t="s">
        <v>378</v>
      </c>
      <c r="N463" s="193" t="s">
        <v>1497</v>
      </c>
      <c r="O463" s="193" t="s">
        <v>129</v>
      </c>
      <c r="P463" s="193" t="s">
        <v>138</v>
      </c>
      <c r="Q463" s="193" t="s">
        <v>137</v>
      </c>
      <c r="R463" s="193" t="s">
        <v>136</v>
      </c>
      <c r="S463" s="193" t="s">
        <v>214</v>
      </c>
      <c r="T463" s="193" t="s">
        <v>389</v>
      </c>
      <c r="U463" s="193" t="s">
        <v>390</v>
      </c>
      <c r="V463" s="193">
        <v>0</v>
      </c>
      <c r="W463" s="193">
        <v>0</v>
      </c>
      <c r="X463" s="193">
        <v>0</v>
      </c>
      <c r="Y463" s="194">
        <v>229</v>
      </c>
      <c r="Z463" s="193" t="s">
        <v>1498</v>
      </c>
      <c r="AA463" s="193" t="s">
        <v>1499</v>
      </c>
      <c r="AB463" s="193">
        <v>229</v>
      </c>
      <c r="AC463" s="193" t="s">
        <v>1500</v>
      </c>
      <c r="AD463" s="193" t="s">
        <v>136</v>
      </c>
      <c r="AE463" s="193">
        <v>229</v>
      </c>
      <c r="AF463" s="193" t="s">
        <v>518</v>
      </c>
      <c r="AG463" s="193" t="s">
        <v>519</v>
      </c>
      <c r="AH463" s="193">
        <v>0</v>
      </c>
      <c r="AI463" s="193">
        <v>229</v>
      </c>
      <c r="AJ463" s="193" t="s">
        <v>1811</v>
      </c>
      <c r="AL463" s="197" t="s">
        <v>1812</v>
      </c>
      <c r="AM463" s="193">
        <v>1</v>
      </c>
      <c r="AN463" s="193">
        <v>0</v>
      </c>
      <c r="AO463" s="193">
        <v>0</v>
      </c>
      <c r="AP463" s="193">
        <v>0</v>
      </c>
      <c r="AQ463" s="193" t="s">
        <v>214</v>
      </c>
      <c r="AS463" s="197" t="s">
        <v>518</v>
      </c>
      <c r="AT463" s="197" t="s">
        <v>519</v>
      </c>
      <c r="AV463" s="194">
        <v>229</v>
      </c>
      <c r="AW463" s="194">
        <v>0</v>
      </c>
      <c r="AX463" s="194">
        <v>0</v>
      </c>
      <c r="AY463" s="549">
        <v>229</v>
      </c>
      <c r="AZ463" s="194">
        <v>0</v>
      </c>
      <c r="BA463" s="194">
        <v>0</v>
      </c>
      <c r="BB463" s="551">
        <v>0</v>
      </c>
      <c r="BC463" s="551">
        <v>229</v>
      </c>
      <c r="BD463" s="551">
        <v>0</v>
      </c>
      <c r="BF463" s="550">
        <f t="shared" si="102"/>
        <v>229</v>
      </c>
      <c r="BG463" s="550">
        <f t="shared" si="103"/>
        <v>0</v>
      </c>
      <c r="BH463" s="550">
        <f t="shared" si="104"/>
        <v>0</v>
      </c>
      <c r="BI463" s="550">
        <f t="shared" si="105"/>
        <v>229</v>
      </c>
      <c r="BJ463" s="550">
        <f t="shared" si="106"/>
        <v>0</v>
      </c>
      <c r="BK463" s="550">
        <f t="shared" si="107"/>
        <v>0</v>
      </c>
      <c r="BL463" s="550">
        <f t="shared" si="108"/>
        <v>0</v>
      </c>
      <c r="BM463" s="550">
        <f t="shared" si="109"/>
        <v>229</v>
      </c>
      <c r="BO463" s="194"/>
      <c r="BQ463" s="193">
        <f t="shared" si="110"/>
        <v>0</v>
      </c>
      <c r="BR463" s="193">
        <f t="shared" si="111"/>
        <v>0</v>
      </c>
    </row>
    <row r="464" spans="1:70" ht="13.5" customHeight="1">
      <c r="A464" s="193" t="s">
        <v>378</v>
      </c>
      <c r="B464" s="193" t="s">
        <v>379</v>
      </c>
      <c r="C464" s="193" t="s">
        <v>214</v>
      </c>
      <c r="D464" s="193" t="s">
        <v>667</v>
      </c>
      <c r="E464" s="193" t="s">
        <v>668</v>
      </c>
      <c r="F464" s="193" t="s">
        <v>1813</v>
      </c>
      <c r="G464" s="193" t="s">
        <v>1813</v>
      </c>
      <c r="H464" s="193" t="s">
        <v>1814</v>
      </c>
      <c r="I464" s="193" t="s">
        <v>384</v>
      </c>
      <c r="J464" s="193" t="s">
        <v>1815</v>
      </c>
      <c r="K464" s="193" t="s">
        <v>386</v>
      </c>
      <c r="L464" s="193" t="s">
        <v>387</v>
      </c>
      <c r="M464" s="193" t="s">
        <v>378</v>
      </c>
      <c r="N464" s="193" t="s">
        <v>1497</v>
      </c>
      <c r="O464" s="193" t="s">
        <v>129</v>
      </c>
      <c r="P464" s="193" t="s">
        <v>138</v>
      </c>
      <c r="Q464" s="193" t="s">
        <v>137</v>
      </c>
      <c r="R464" s="193" t="s">
        <v>136</v>
      </c>
      <c r="S464" s="193" t="s">
        <v>214</v>
      </c>
      <c r="T464" s="193" t="s">
        <v>389</v>
      </c>
      <c r="U464" s="193" t="s">
        <v>390</v>
      </c>
      <c r="V464" s="193">
        <v>0</v>
      </c>
      <c r="W464" s="193">
        <v>0</v>
      </c>
      <c r="X464" s="193">
        <v>0</v>
      </c>
      <c r="Y464" s="194">
        <v>59</v>
      </c>
      <c r="Z464" s="193" t="s">
        <v>1498</v>
      </c>
      <c r="AA464" s="193" t="s">
        <v>1499</v>
      </c>
      <c r="AB464" s="193">
        <v>59</v>
      </c>
      <c r="AC464" s="193" t="s">
        <v>1500</v>
      </c>
      <c r="AD464" s="193" t="s">
        <v>136</v>
      </c>
      <c r="AE464" s="193">
        <v>59</v>
      </c>
      <c r="AF464" s="193" t="s">
        <v>518</v>
      </c>
      <c r="AG464" s="193" t="s">
        <v>519</v>
      </c>
      <c r="AH464" s="193">
        <v>0</v>
      </c>
      <c r="AI464" s="193">
        <v>59</v>
      </c>
      <c r="AJ464" s="193" t="s">
        <v>1811</v>
      </c>
      <c r="AL464" s="197" t="s">
        <v>1816</v>
      </c>
      <c r="AM464" s="193">
        <v>1</v>
      </c>
      <c r="AN464" s="193">
        <v>0</v>
      </c>
      <c r="AO464" s="193">
        <v>0</v>
      </c>
      <c r="AP464" s="193">
        <v>0</v>
      </c>
      <c r="AQ464" s="193" t="s">
        <v>214</v>
      </c>
      <c r="AS464" s="197" t="s">
        <v>518</v>
      </c>
      <c r="AT464" s="197" t="s">
        <v>519</v>
      </c>
      <c r="AV464" s="194">
        <v>59</v>
      </c>
      <c r="AW464" s="194">
        <v>0</v>
      </c>
      <c r="AX464" s="194">
        <v>0</v>
      </c>
      <c r="AY464" s="549">
        <v>59</v>
      </c>
      <c r="AZ464" s="194">
        <v>0</v>
      </c>
      <c r="BA464" s="194">
        <v>0</v>
      </c>
      <c r="BB464" s="551">
        <v>0</v>
      </c>
      <c r="BC464" s="551">
        <v>59</v>
      </c>
      <c r="BD464" s="551">
        <v>0</v>
      </c>
      <c r="BF464" s="550">
        <f t="shared" si="102"/>
        <v>59</v>
      </c>
      <c r="BG464" s="550">
        <f t="shared" si="103"/>
        <v>0</v>
      </c>
      <c r="BH464" s="550">
        <f t="shared" si="104"/>
        <v>0</v>
      </c>
      <c r="BI464" s="550">
        <f t="shared" si="105"/>
        <v>59</v>
      </c>
      <c r="BJ464" s="550">
        <f t="shared" si="106"/>
        <v>0</v>
      </c>
      <c r="BK464" s="550">
        <f t="shared" si="107"/>
        <v>0</v>
      </c>
      <c r="BL464" s="550">
        <f t="shared" si="108"/>
        <v>0</v>
      </c>
      <c r="BM464" s="550">
        <f t="shared" si="109"/>
        <v>59</v>
      </c>
      <c r="BO464" s="194"/>
      <c r="BQ464" s="193">
        <f t="shared" si="110"/>
        <v>0</v>
      </c>
      <c r="BR464" s="193">
        <f t="shared" si="111"/>
        <v>0</v>
      </c>
    </row>
    <row r="465" spans="1:70" ht="13.5" customHeight="1">
      <c r="A465" s="193" t="s">
        <v>378</v>
      </c>
      <c r="B465" s="193" t="s">
        <v>379</v>
      </c>
      <c r="C465" s="193" t="s">
        <v>214</v>
      </c>
      <c r="D465" s="193" t="s">
        <v>667</v>
      </c>
      <c r="E465" s="193" t="s">
        <v>668</v>
      </c>
      <c r="F465" s="193" t="s">
        <v>646</v>
      </c>
      <c r="G465" s="193" t="s">
        <v>646</v>
      </c>
      <c r="H465" s="193" t="s">
        <v>1817</v>
      </c>
      <c r="I465" s="193" t="s">
        <v>384</v>
      </c>
      <c r="J465" s="193" t="s">
        <v>1818</v>
      </c>
      <c r="K465" s="193" t="s">
        <v>386</v>
      </c>
      <c r="L465" s="193" t="s">
        <v>387</v>
      </c>
      <c r="M465" s="193" t="s">
        <v>378</v>
      </c>
      <c r="N465" s="193" t="s">
        <v>1497</v>
      </c>
      <c r="O465" s="193" t="s">
        <v>129</v>
      </c>
      <c r="P465" s="193" t="s">
        <v>138</v>
      </c>
      <c r="Q465" s="193" t="s">
        <v>137</v>
      </c>
      <c r="R465" s="193" t="s">
        <v>136</v>
      </c>
      <c r="S465" s="193" t="s">
        <v>214</v>
      </c>
      <c r="T465" s="193" t="s">
        <v>389</v>
      </c>
      <c r="U465" s="193" t="s">
        <v>390</v>
      </c>
      <c r="V465" s="193">
        <v>0</v>
      </c>
      <c r="W465" s="193">
        <v>0</v>
      </c>
      <c r="X465" s="193">
        <v>0</v>
      </c>
      <c r="Y465" s="194">
        <v>183</v>
      </c>
      <c r="Z465" s="193" t="s">
        <v>1498</v>
      </c>
      <c r="AA465" s="193" t="s">
        <v>1499</v>
      </c>
      <c r="AB465" s="193">
        <v>183</v>
      </c>
      <c r="AC465" s="193" t="s">
        <v>1500</v>
      </c>
      <c r="AD465" s="193" t="s">
        <v>136</v>
      </c>
      <c r="AE465" s="193">
        <v>183</v>
      </c>
      <c r="AF465" s="193" t="s">
        <v>518</v>
      </c>
      <c r="AG465" s="193" t="s">
        <v>519</v>
      </c>
      <c r="AH465" s="193">
        <v>0</v>
      </c>
      <c r="AI465" s="193">
        <v>183</v>
      </c>
      <c r="AJ465" s="193" t="s">
        <v>1811</v>
      </c>
      <c r="AL465" s="197" t="s">
        <v>1819</v>
      </c>
      <c r="AM465" s="193">
        <v>1</v>
      </c>
      <c r="AN465" s="193">
        <v>0</v>
      </c>
      <c r="AO465" s="193">
        <v>0</v>
      </c>
      <c r="AP465" s="193">
        <v>0</v>
      </c>
      <c r="AQ465" s="193" t="s">
        <v>214</v>
      </c>
      <c r="AS465" s="197" t="s">
        <v>518</v>
      </c>
      <c r="AT465" s="197" t="s">
        <v>519</v>
      </c>
      <c r="AV465" s="194">
        <v>183</v>
      </c>
      <c r="AW465" s="194">
        <v>0</v>
      </c>
      <c r="AX465" s="194">
        <v>0</v>
      </c>
      <c r="AY465" s="549">
        <v>183</v>
      </c>
      <c r="AZ465" s="194">
        <v>0</v>
      </c>
      <c r="BA465" s="194">
        <v>0</v>
      </c>
      <c r="BB465" s="551">
        <v>0</v>
      </c>
      <c r="BC465" s="551">
        <v>183</v>
      </c>
      <c r="BD465" s="551">
        <v>0</v>
      </c>
      <c r="BF465" s="550">
        <f t="shared" si="102"/>
        <v>183</v>
      </c>
      <c r="BG465" s="550">
        <f t="shared" si="103"/>
        <v>0</v>
      </c>
      <c r="BH465" s="550">
        <f t="shared" si="104"/>
        <v>0</v>
      </c>
      <c r="BI465" s="550">
        <f t="shared" si="105"/>
        <v>183</v>
      </c>
      <c r="BJ465" s="550">
        <f t="shared" si="106"/>
        <v>0</v>
      </c>
      <c r="BK465" s="550">
        <f t="shared" si="107"/>
        <v>0</v>
      </c>
      <c r="BL465" s="550">
        <f t="shared" si="108"/>
        <v>0</v>
      </c>
      <c r="BM465" s="550">
        <f t="shared" si="109"/>
        <v>183</v>
      </c>
      <c r="BO465" s="194"/>
      <c r="BQ465" s="193">
        <f t="shared" si="110"/>
        <v>0</v>
      </c>
      <c r="BR465" s="193">
        <f t="shared" si="111"/>
        <v>0</v>
      </c>
    </row>
    <row r="466" spans="1:70" ht="13.5" customHeight="1">
      <c r="A466" s="193" t="s">
        <v>378</v>
      </c>
      <c r="B466" s="193" t="s">
        <v>379</v>
      </c>
      <c r="C466" s="193" t="s">
        <v>214</v>
      </c>
      <c r="D466" s="193" t="s">
        <v>667</v>
      </c>
      <c r="E466" s="193" t="s">
        <v>668</v>
      </c>
      <c r="F466" s="193" t="s">
        <v>682</v>
      </c>
      <c r="G466" s="193" t="s">
        <v>682</v>
      </c>
      <c r="H466" s="193" t="s">
        <v>1820</v>
      </c>
      <c r="I466" s="193" t="s">
        <v>384</v>
      </c>
      <c r="J466" s="193" t="s">
        <v>1821</v>
      </c>
      <c r="K466" s="193" t="s">
        <v>386</v>
      </c>
      <c r="L466" s="193" t="s">
        <v>387</v>
      </c>
      <c r="M466" s="193" t="s">
        <v>378</v>
      </c>
      <c r="N466" s="193" t="s">
        <v>1497</v>
      </c>
      <c r="O466" s="193" t="s">
        <v>129</v>
      </c>
      <c r="P466" s="193" t="s">
        <v>138</v>
      </c>
      <c r="Q466" s="193" t="s">
        <v>137</v>
      </c>
      <c r="R466" s="193" t="s">
        <v>136</v>
      </c>
      <c r="S466" s="193" t="s">
        <v>214</v>
      </c>
      <c r="T466" s="193" t="s">
        <v>389</v>
      </c>
      <c r="U466" s="193" t="s">
        <v>390</v>
      </c>
      <c r="V466" s="193">
        <v>0</v>
      </c>
      <c r="W466" s="193">
        <v>0</v>
      </c>
      <c r="X466" s="193">
        <v>0</v>
      </c>
      <c r="Y466" s="194">
        <v>19</v>
      </c>
      <c r="Z466" s="193" t="s">
        <v>1498</v>
      </c>
      <c r="AA466" s="193" t="s">
        <v>1499</v>
      </c>
      <c r="AB466" s="193">
        <v>19</v>
      </c>
      <c r="AC466" s="193" t="s">
        <v>1500</v>
      </c>
      <c r="AD466" s="193" t="s">
        <v>136</v>
      </c>
      <c r="AE466" s="193">
        <v>19</v>
      </c>
      <c r="AF466" s="193" t="s">
        <v>518</v>
      </c>
      <c r="AG466" s="193" t="s">
        <v>519</v>
      </c>
      <c r="AH466" s="193">
        <v>0</v>
      </c>
      <c r="AI466" s="193">
        <v>19</v>
      </c>
      <c r="AJ466" s="193" t="s">
        <v>1811</v>
      </c>
      <c r="AL466" s="197" t="s">
        <v>1822</v>
      </c>
      <c r="AM466" s="193">
        <v>1</v>
      </c>
      <c r="AN466" s="193">
        <v>0</v>
      </c>
      <c r="AO466" s="193">
        <v>0</v>
      </c>
      <c r="AP466" s="193">
        <v>0</v>
      </c>
      <c r="AQ466" s="193" t="s">
        <v>214</v>
      </c>
      <c r="AS466" s="197" t="s">
        <v>518</v>
      </c>
      <c r="AT466" s="197" t="s">
        <v>519</v>
      </c>
      <c r="AV466" s="194">
        <v>19</v>
      </c>
      <c r="AW466" s="194">
        <v>0</v>
      </c>
      <c r="AX466" s="194">
        <v>0</v>
      </c>
      <c r="AY466" s="549">
        <v>19</v>
      </c>
      <c r="AZ466" s="194">
        <v>0</v>
      </c>
      <c r="BA466" s="194">
        <v>0</v>
      </c>
      <c r="BB466" s="551">
        <v>0</v>
      </c>
      <c r="BC466" s="551">
        <v>19</v>
      </c>
      <c r="BD466" s="551">
        <v>0</v>
      </c>
      <c r="BF466" s="550">
        <f t="shared" si="102"/>
        <v>19</v>
      </c>
      <c r="BG466" s="550">
        <f t="shared" si="103"/>
        <v>0</v>
      </c>
      <c r="BH466" s="550">
        <f t="shared" si="104"/>
        <v>0</v>
      </c>
      <c r="BI466" s="550">
        <f t="shared" si="105"/>
        <v>19</v>
      </c>
      <c r="BJ466" s="550">
        <f t="shared" si="106"/>
        <v>0</v>
      </c>
      <c r="BK466" s="550">
        <f t="shared" si="107"/>
        <v>0</v>
      </c>
      <c r="BL466" s="550">
        <f t="shared" si="108"/>
        <v>0</v>
      </c>
      <c r="BM466" s="550">
        <f t="shared" si="109"/>
        <v>19</v>
      </c>
      <c r="BO466" s="194"/>
      <c r="BQ466" s="193">
        <f t="shared" si="110"/>
        <v>0</v>
      </c>
      <c r="BR466" s="193">
        <f t="shared" si="111"/>
        <v>0</v>
      </c>
    </row>
    <row r="467" spans="1:70" ht="13.5" customHeight="1">
      <c r="A467" s="193" t="s">
        <v>378</v>
      </c>
      <c r="B467" s="193" t="s">
        <v>379</v>
      </c>
      <c r="C467" s="193" t="s">
        <v>214</v>
      </c>
      <c r="D467" s="193" t="s">
        <v>667</v>
      </c>
      <c r="E467" s="193" t="s">
        <v>668</v>
      </c>
      <c r="F467" s="193" t="s">
        <v>741</v>
      </c>
      <c r="G467" s="193" t="s">
        <v>741</v>
      </c>
      <c r="H467" s="193" t="s">
        <v>1823</v>
      </c>
      <c r="I467" s="193" t="s">
        <v>384</v>
      </c>
      <c r="J467" s="193" t="s">
        <v>1824</v>
      </c>
      <c r="K467" s="193" t="s">
        <v>386</v>
      </c>
      <c r="L467" s="193" t="s">
        <v>387</v>
      </c>
      <c r="M467" s="193" t="s">
        <v>378</v>
      </c>
      <c r="N467" s="193" t="s">
        <v>1497</v>
      </c>
      <c r="O467" s="193" t="s">
        <v>129</v>
      </c>
      <c r="P467" s="193" t="s">
        <v>138</v>
      </c>
      <c r="Q467" s="193" t="s">
        <v>137</v>
      </c>
      <c r="R467" s="193" t="s">
        <v>136</v>
      </c>
      <c r="S467" s="193" t="s">
        <v>214</v>
      </c>
      <c r="T467" s="193" t="s">
        <v>389</v>
      </c>
      <c r="U467" s="193" t="s">
        <v>390</v>
      </c>
      <c r="V467" s="193">
        <v>0</v>
      </c>
      <c r="W467" s="193">
        <v>0</v>
      </c>
      <c r="X467" s="193">
        <v>0</v>
      </c>
      <c r="Y467" s="194">
        <v>2651</v>
      </c>
      <c r="Z467" s="193" t="s">
        <v>1498</v>
      </c>
      <c r="AA467" s="193" t="s">
        <v>1499</v>
      </c>
      <c r="AB467" s="193">
        <v>2651</v>
      </c>
      <c r="AC467" s="193" t="s">
        <v>1500</v>
      </c>
      <c r="AD467" s="193" t="s">
        <v>136</v>
      </c>
      <c r="AE467" s="193">
        <v>2651</v>
      </c>
      <c r="AF467" s="193" t="s">
        <v>518</v>
      </c>
      <c r="AG467" s="193" t="s">
        <v>519</v>
      </c>
      <c r="AH467" s="193">
        <v>0</v>
      </c>
      <c r="AI467" s="193">
        <v>2651</v>
      </c>
      <c r="AJ467" s="193" t="s">
        <v>1724</v>
      </c>
      <c r="AL467" s="197" t="s">
        <v>1825</v>
      </c>
      <c r="AM467" s="193">
        <v>1</v>
      </c>
      <c r="AN467" s="193">
        <v>0</v>
      </c>
      <c r="AO467" s="193">
        <v>0</v>
      </c>
      <c r="AP467" s="193">
        <v>0</v>
      </c>
      <c r="AQ467" s="193" t="s">
        <v>214</v>
      </c>
      <c r="AS467" s="197" t="s">
        <v>518</v>
      </c>
      <c r="AT467" s="197" t="s">
        <v>519</v>
      </c>
      <c r="AV467" s="194">
        <v>2651</v>
      </c>
      <c r="AW467" s="194">
        <v>0</v>
      </c>
      <c r="AX467" s="194">
        <v>0</v>
      </c>
      <c r="AY467" s="549">
        <v>2651</v>
      </c>
      <c r="AZ467" s="194">
        <v>0</v>
      </c>
      <c r="BA467" s="194">
        <v>0</v>
      </c>
      <c r="BB467" s="551">
        <v>0</v>
      </c>
      <c r="BC467" s="551">
        <v>2651</v>
      </c>
      <c r="BD467" s="551">
        <v>0</v>
      </c>
      <c r="BF467" s="550">
        <f t="shared" si="102"/>
        <v>2651</v>
      </c>
      <c r="BG467" s="550">
        <f t="shared" si="103"/>
        <v>0</v>
      </c>
      <c r="BH467" s="550">
        <f t="shared" si="104"/>
        <v>0</v>
      </c>
      <c r="BI467" s="550">
        <f t="shared" si="105"/>
        <v>2651</v>
      </c>
      <c r="BJ467" s="550">
        <f t="shared" si="106"/>
        <v>0</v>
      </c>
      <c r="BK467" s="550">
        <f t="shared" si="107"/>
        <v>0</v>
      </c>
      <c r="BL467" s="550">
        <f t="shared" si="108"/>
        <v>0</v>
      </c>
      <c r="BM467" s="550">
        <f t="shared" si="109"/>
        <v>2651</v>
      </c>
      <c r="BO467" s="194"/>
      <c r="BQ467" s="193">
        <f t="shared" si="110"/>
        <v>0</v>
      </c>
      <c r="BR467" s="193">
        <f t="shared" si="111"/>
        <v>0</v>
      </c>
    </row>
    <row r="468" spans="1:70" ht="13.5" customHeight="1">
      <c r="A468" s="193" t="s">
        <v>378</v>
      </c>
      <c r="B468" s="193" t="s">
        <v>379</v>
      </c>
      <c r="C468" s="193" t="s">
        <v>214</v>
      </c>
      <c r="D468" s="193" t="s">
        <v>667</v>
      </c>
      <c r="E468" s="193" t="s">
        <v>668</v>
      </c>
      <c r="F468" s="193" t="s">
        <v>741</v>
      </c>
      <c r="G468" s="193" t="s">
        <v>741</v>
      </c>
      <c r="H468" s="193" t="s">
        <v>1826</v>
      </c>
      <c r="I468" s="193" t="s">
        <v>384</v>
      </c>
      <c r="J468" s="193" t="s">
        <v>1827</v>
      </c>
      <c r="K468" s="193" t="s">
        <v>386</v>
      </c>
      <c r="L468" s="193" t="s">
        <v>387</v>
      </c>
      <c r="M468" s="193" t="s">
        <v>378</v>
      </c>
      <c r="N468" s="193" t="s">
        <v>1497</v>
      </c>
      <c r="O468" s="193" t="s">
        <v>129</v>
      </c>
      <c r="P468" s="193" t="s">
        <v>138</v>
      </c>
      <c r="Q468" s="193" t="s">
        <v>137</v>
      </c>
      <c r="R468" s="193" t="s">
        <v>136</v>
      </c>
      <c r="S468" s="193" t="s">
        <v>214</v>
      </c>
      <c r="T468" s="193" t="s">
        <v>389</v>
      </c>
      <c r="U468" s="193" t="s">
        <v>390</v>
      </c>
      <c r="V468" s="193">
        <v>0</v>
      </c>
      <c r="W468" s="193">
        <v>0</v>
      </c>
      <c r="X468" s="193">
        <v>0</v>
      </c>
      <c r="Y468" s="194">
        <v>11589</v>
      </c>
      <c r="Z468" s="193" t="s">
        <v>1498</v>
      </c>
      <c r="AA468" s="193" t="s">
        <v>1499</v>
      </c>
      <c r="AB468" s="193">
        <v>11589</v>
      </c>
      <c r="AC468" s="193" t="s">
        <v>1500</v>
      </c>
      <c r="AD468" s="193" t="s">
        <v>136</v>
      </c>
      <c r="AE468" s="193">
        <v>11589</v>
      </c>
      <c r="AF468" s="193" t="s">
        <v>518</v>
      </c>
      <c r="AG468" s="193" t="s">
        <v>519</v>
      </c>
      <c r="AH468" s="193">
        <v>0</v>
      </c>
      <c r="AI468" s="193">
        <v>11589</v>
      </c>
      <c r="AJ468" s="193" t="s">
        <v>1796</v>
      </c>
      <c r="AL468" s="197" t="s">
        <v>1828</v>
      </c>
      <c r="AM468" s="193">
        <v>1</v>
      </c>
      <c r="AN468" s="193">
        <v>0</v>
      </c>
      <c r="AO468" s="193">
        <v>0</v>
      </c>
      <c r="AP468" s="193">
        <v>0</v>
      </c>
      <c r="AQ468" s="193" t="s">
        <v>214</v>
      </c>
      <c r="AS468" s="197" t="s">
        <v>518</v>
      </c>
      <c r="AT468" s="197" t="s">
        <v>519</v>
      </c>
      <c r="AV468" s="194">
        <v>11589</v>
      </c>
      <c r="AW468" s="194">
        <v>0</v>
      </c>
      <c r="AX468" s="194">
        <v>0</v>
      </c>
      <c r="AY468" s="549">
        <v>11589</v>
      </c>
      <c r="AZ468" s="194">
        <v>0</v>
      </c>
      <c r="BA468" s="194">
        <v>0</v>
      </c>
      <c r="BB468" s="551">
        <v>0</v>
      </c>
      <c r="BC468" s="551">
        <v>11589</v>
      </c>
      <c r="BD468" s="551">
        <v>0</v>
      </c>
      <c r="BF468" s="550">
        <f t="shared" si="102"/>
        <v>11589</v>
      </c>
      <c r="BG468" s="550">
        <f t="shared" si="103"/>
        <v>0</v>
      </c>
      <c r="BH468" s="550">
        <f t="shared" si="104"/>
        <v>0</v>
      </c>
      <c r="BI468" s="550">
        <f t="shared" si="105"/>
        <v>11589</v>
      </c>
      <c r="BJ468" s="550">
        <f t="shared" si="106"/>
        <v>0</v>
      </c>
      <c r="BK468" s="550">
        <f t="shared" si="107"/>
        <v>0</v>
      </c>
      <c r="BL468" s="550">
        <f t="shared" si="108"/>
        <v>0</v>
      </c>
      <c r="BM468" s="550">
        <f t="shared" si="109"/>
        <v>11589</v>
      </c>
      <c r="BO468" s="194"/>
      <c r="BQ468" s="193">
        <f t="shared" si="110"/>
        <v>0</v>
      </c>
      <c r="BR468" s="193">
        <f t="shared" si="111"/>
        <v>0</v>
      </c>
    </row>
    <row r="469" spans="1:70" ht="13.5" customHeight="1">
      <c r="A469" s="193" t="s">
        <v>378</v>
      </c>
      <c r="B469" s="193" t="s">
        <v>379</v>
      </c>
      <c r="C469" s="193" t="s">
        <v>214</v>
      </c>
      <c r="D469" s="193" t="s">
        <v>667</v>
      </c>
      <c r="E469" s="193" t="s">
        <v>668</v>
      </c>
      <c r="F469" s="193" t="s">
        <v>741</v>
      </c>
      <c r="G469" s="193" t="s">
        <v>741</v>
      </c>
      <c r="H469" s="193" t="s">
        <v>1829</v>
      </c>
      <c r="I469" s="193" t="s">
        <v>384</v>
      </c>
      <c r="J469" s="193" t="s">
        <v>1830</v>
      </c>
      <c r="K469" s="193" t="s">
        <v>386</v>
      </c>
      <c r="L469" s="193" t="s">
        <v>387</v>
      </c>
      <c r="M469" s="193" t="s">
        <v>378</v>
      </c>
      <c r="N469" s="193" t="s">
        <v>1497</v>
      </c>
      <c r="O469" s="193" t="s">
        <v>129</v>
      </c>
      <c r="P469" s="193" t="s">
        <v>138</v>
      </c>
      <c r="Q469" s="193" t="s">
        <v>137</v>
      </c>
      <c r="R469" s="193" t="s">
        <v>136</v>
      </c>
      <c r="S469" s="193" t="s">
        <v>214</v>
      </c>
      <c r="T469" s="193" t="s">
        <v>389</v>
      </c>
      <c r="U469" s="193" t="s">
        <v>390</v>
      </c>
      <c r="V469" s="193">
        <v>0</v>
      </c>
      <c r="W469" s="193">
        <v>0</v>
      </c>
      <c r="X469" s="193">
        <v>0</v>
      </c>
      <c r="Y469" s="194">
        <v>15797</v>
      </c>
      <c r="Z469" s="193" t="s">
        <v>1498</v>
      </c>
      <c r="AA469" s="193" t="s">
        <v>1499</v>
      </c>
      <c r="AB469" s="193">
        <v>15797</v>
      </c>
      <c r="AC469" s="193" t="s">
        <v>1500</v>
      </c>
      <c r="AD469" s="193" t="s">
        <v>136</v>
      </c>
      <c r="AE469" s="193">
        <v>15797</v>
      </c>
      <c r="AF469" s="193" t="s">
        <v>518</v>
      </c>
      <c r="AG469" s="193" t="s">
        <v>519</v>
      </c>
      <c r="AH469" s="193">
        <v>0</v>
      </c>
      <c r="AI469" s="193">
        <v>15797</v>
      </c>
      <c r="AJ469" s="193" t="s">
        <v>1811</v>
      </c>
      <c r="AL469" s="197" t="s">
        <v>1831</v>
      </c>
      <c r="AM469" s="193">
        <v>1</v>
      </c>
      <c r="AN469" s="193">
        <v>0</v>
      </c>
      <c r="AO469" s="193">
        <v>0</v>
      </c>
      <c r="AP469" s="193">
        <v>0</v>
      </c>
      <c r="AQ469" s="193" t="s">
        <v>214</v>
      </c>
      <c r="AS469" s="197" t="s">
        <v>518</v>
      </c>
      <c r="AT469" s="197" t="s">
        <v>519</v>
      </c>
      <c r="AV469" s="194">
        <v>15797</v>
      </c>
      <c r="AW469" s="194">
        <v>0</v>
      </c>
      <c r="AX469" s="194">
        <v>0</v>
      </c>
      <c r="AY469" s="549">
        <v>15797</v>
      </c>
      <c r="AZ469" s="194">
        <v>0</v>
      </c>
      <c r="BA469" s="194">
        <v>0</v>
      </c>
      <c r="BB469" s="551">
        <v>0</v>
      </c>
      <c r="BC469" s="551">
        <v>15797</v>
      </c>
      <c r="BD469" s="551">
        <v>0</v>
      </c>
      <c r="BF469" s="550">
        <f t="shared" si="102"/>
        <v>15797</v>
      </c>
      <c r="BG469" s="550">
        <f t="shared" si="103"/>
        <v>0</v>
      </c>
      <c r="BH469" s="550">
        <f t="shared" si="104"/>
        <v>0</v>
      </c>
      <c r="BI469" s="550">
        <f t="shared" si="105"/>
        <v>15797</v>
      </c>
      <c r="BJ469" s="550">
        <f t="shared" si="106"/>
        <v>0</v>
      </c>
      <c r="BK469" s="550">
        <f t="shared" si="107"/>
        <v>0</v>
      </c>
      <c r="BL469" s="550">
        <f t="shared" si="108"/>
        <v>0</v>
      </c>
      <c r="BM469" s="550">
        <f t="shared" si="109"/>
        <v>15797</v>
      </c>
      <c r="BO469" s="194"/>
      <c r="BQ469" s="193">
        <f t="shared" si="110"/>
        <v>0</v>
      </c>
      <c r="BR469" s="193">
        <f t="shared" si="111"/>
        <v>0</v>
      </c>
    </row>
    <row r="470" spans="1:70" ht="13.5" customHeight="1">
      <c r="A470" s="193" t="s">
        <v>378</v>
      </c>
      <c r="B470" s="193" t="s">
        <v>379</v>
      </c>
      <c r="C470" s="193" t="s">
        <v>214</v>
      </c>
      <c r="D470" s="193" t="s">
        <v>667</v>
      </c>
      <c r="E470" s="193" t="s">
        <v>668</v>
      </c>
      <c r="F470" s="193" t="s">
        <v>741</v>
      </c>
      <c r="G470" s="193" t="s">
        <v>741</v>
      </c>
      <c r="H470" s="193" t="s">
        <v>1832</v>
      </c>
      <c r="I470" s="193" t="s">
        <v>384</v>
      </c>
      <c r="J470" s="193" t="s">
        <v>1833</v>
      </c>
      <c r="K470" s="193" t="s">
        <v>386</v>
      </c>
      <c r="L470" s="193" t="s">
        <v>387</v>
      </c>
      <c r="M470" s="193" t="s">
        <v>378</v>
      </c>
      <c r="N470" s="193" t="s">
        <v>1497</v>
      </c>
      <c r="O470" s="193" t="s">
        <v>129</v>
      </c>
      <c r="P470" s="193" t="s">
        <v>138</v>
      </c>
      <c r="Q470" s="193" t="s">
        <v>137</v>
      </c>
      <c r="R470" s="193" t="s">
        <v>136</v>
      </c>
      <c r="S470" s="193" t="s">
        <v>214</v>
      </c>
      <c r="T470" s="193" t="s">
        <v>389</v>
      </c>
      <c r="U470" s="193" t="s">
        <v>390</v>
      </c>
      <c r="V470" s="193">
        <v>0</v>
      </c>
      <c r="W470" s="193">
        <v>0</v>
      </c>
      <c r="X470" s="193">
        <v>0</v>
      </c>
      <c r="Y470" s="194">
        <v>381</v>
      </c>
      <c r="Z470" s="193" t="s">
        <v>1498</v>
      </c>
      <c r="AA470" s="193" t="s">
        <v>1499</v>
      </c>
      <c r="AB470" s="193">
        <v>381</v>
      </c>
      <c r="AC470" s="193" t="s">
        <v>1500</v>
      </c>
      <c r="AD470" s="193" t="s">
        <v>136</v>
      </c>
      <c r="AE470" s="193">
        <v>381</v>
      </c>
      <c r="AF470" s="193" t="s">
        <v>518</v>
      </c>
      <c r="AG470" s="193" t="s">
        <v>519</v>
      </c>
      <c r="AH470" s="193">
        <v>0</v>
      </c>
      <c r="AI470" s="193">
        <v>381</v>
      </c>
      <c r="AJ470" s="193" t="s">
        <v>1834</v>
      </c>
      <c r="AL470" s="197" t="s">
        <v>1835</v>
      </c>
      <c r="AM470" s="193">
        <v>1</v>
      </c>
      <c r="AN470" s="193">
        <v>0</v>
      </c>
      <c r="AO470" s="193">
        <v>0</v>
      </c>
      <c r="AP470" s="193">
        <v>0</v>
      </c>
      <c r="AQ470" s="193" t="s">
        <v>214</v>
      </c>
      <c r="AS470" s="197" t="s">
        <v>518</v>
      </c>
      <c r="AT470" s="197" t="s">
        <v>519</v>
      </c>
      <c r="AV470" s="194">
        <v>381</v>
      </c>
      <c r="AW470" s="194">
        <v>0</v>
      </c>
      <c r="AX470" s="194">
        <v>0</v>
      </c>
      <c r="AY470" s="549">
        <v>381</v>
      </c>
      <c r="AZ470" s="194">
        <v>0</v>
      </c>
      <c r="BA470" s="194">
        <v>0</v>
      </c>
      <c r="BB470" s="551">
        <v>0</v>
      </c>
      <c r="BC470" s="551">
        <v>381</v>
      </c>
      <c r="BD470" s="551">
        <v>0</v>
      </c>
      <c r="BF470" s="550">
        <f t="shared" si="102"/>
        <v>381</v>
      </c>
      <c r="BG470" s="550">
        <f t="shared" si="103"/>
        <v>0</v>
      </c>
      <c r="BH470" s="550">
        <f t="shared" si="104"/>
        <v>0</v>
      </c>
      <c r="BI470" s="550">
        <f t="shared" si="105"/>
        <v>381</v>
      </c>
      <c r="BJ470" s="550">
        <f t="shared" si="106"/>
        <v>0</v>
      </c>
      <c r="BK470" s="550">
        <f t="shared" si="107"/>
        <v>0</v>
      </c>
      <c r="BL470" s="550">
        <f t="shared" si="108"/>
        <v>0</v>
      </c>
      <c r="BM470" s="550">
        <f t="shared" si="109"/>
        <v>381</v>
      </c>
      <c r="BO470" s="194"/>
      <c r="BQ470" s="193">
        <f t="shared" si="110"/>
        <v>0</v>
      </c>
      <c r="BR470" s="193">
        <f t="shared" si="111"/>
        <v>0</v>
      </c>
    </row>
    <row r="471" spans="1:70" ht="13.5" customHeight="1">
      <c r="A471" s="193" t="s">
        <v>378</v>
      </c>
      <c r="B471" s="193" t="s">
        <v>379</v>
      </c>
      <c r="C471" s="193" t="s">
        <v>214</v>
      </c>
      <c r="D471" s="193" t="s">
        <v>667</v>
      </c>
      <c r="E471" s="193" t="s">
        <v>668</v>
      </c>
      <c r="F471" s="193" t="s">
        <v>741</v>
      </c>
      <c r="G471" s="193" t="s">
        <v>741</v>
      </c>
      <c r="H471" s="193" t="s">
        <v>1836</v>
      </c>
      <c r="I471" s="193" t="s">
        <v>384</v>
      </c>
      <c r="J471" s="193" t="s">
        <v>1837</v>
      </c>
      <c r="K471" s="193" t="s">
        <v>386</v>
      </c>
      <c r="L471" s="193" t="s">
        <v>387</v>
      </c>
      <c r="M471" s="193" t="s">
        <v>378</v>
      </c>
      <c r="N471" s="193" t="s">
        <v>1497</v>
      </c>
      <c r="O471" s="193" t="s">
        <v>129</v>
      </c>
      <c r="P471" s="193" t="s">
        <v>138</v>
      </c>
      <c r="Q471" s="193" t="s">
        <v>137</v>
      </c>
      <c r="R471" s="193" t="s">
        <v>136</v>
      </c>
      <c r="S471" s="193" t="s">
        <v>214</v>
      </c>
      <c r="T471" s="193" t="s">
        <v>389</v>
      </c>
      <c r="U471" s="193" t="s">
        <v>390</v>
      </c>
      <c r="V471" s="193">
        <v>0</v>
      </c>
      <c r="W471" s="193">
        <v>0</v>
      </c>
      <c r="X471" s="193">
        <v>0</v>
      </c>
      <c r="Y471" s="194">
        <v>13982</v>
      </c>
      <c r="Z471" s="193" t="s">
        <v>1498</v>
      </c>
      <c r="AA471" s="193" t="s">
        <v>1499</v>
      </c>
      <c r="AB471" s="193">
        <v>13982</v>
      </c>
      <c r="AC471" s="193" t="s">
        <v>1500</v>
      </c>
      <c r="AD471" s="193" t="s">
        <v>136</v>
      </c>
      <c r="AE471" s="193">
        <v>13982</v>
      </c>
      <c r="AF471" s="193" t="s">
        <v>518</v>
      </c>
      <c r="AG471" s="193" t="s">
        <v>519</v>
      </c>
      <c r="AH471" s="193">
        <v>0</v>
      </c>
      <c r="AI471" s="193">
        <v>13982</v>
      </c>
      <c r="AJ471" s="193" t="s">
        <v>1838</v>
      </c>
      <c r="AL471" s="197" t="s">
        <v>1839</v>
      </c>
      <c r="AM471" s="193">
        <v>1</v>
      </c>
      <c r="AN471" s="193">
        <v>0</v>
      </c>
      <c r="AO471" s="193">
        <v>0</v>
      </c>
      <c r="AP471" s="193">
        <v>0</v>
      </c>
      <c r="AQ471" s="193" t="s">
        <v>214</v>
      </c>
      <c r="AS471" s="197" t="s">
        <v>518</v>
      </c>
      <c r="AT471" s="197" t="s">
        <v>519</v>
      </c>
      <c r="AV471" s="196">
        <v>13982</v>
      </c>
      <c r="AW471" s="196">
        <v>0</v>
      </c>
      <c r="AX471" s="196">
        <v>0</v>
      </c>
      <c r="AY471" s="550">
        <v>13982</v>
      </c>
      <c r="AZ471" s="196">
        <v>0</v>
      </c>
      <c r="BA471" s="196">
        <v>0</v>
      </c>
      <c r="BB471" s="551">
        <v>0</v>
      </c>
      <c r="BC471" s="551">
        <v>13982</v>
      </c>
      <c r="BD471" s="551">
        <v>0</v>
      </c>
      <c r="BF471" s="550">
        <f t="shared" si="102"/>
        <v>13982</v>
      </c>
      <c r="BG471" s="550">
        <f t="shared" si="103"/>
        <v>0</v>
      </c>
      <c r="BH471" s="550">
        <f t="shared" si="104"/>
        <v>0</v>
      </c>
      <c r="BI471" s="550">
        <f t="shared" si="105"/>
        <v>13982</v>
      </c>
      <c r="BJ471" s="550">
        <f t="shared" si="106"/>
        <v>0</v>
      </c>
      <c r="BK471" s="550">
        <f t="shared" si="107"/>
        <v>0</v>
      </c>
      <c r="BL471" s="550">
        <f t="shared" si="108"/>
        <v>0</v>
      </c>
      <c r="BM471" s="550">
        <f t="shared" si="109"/>
        <v>13982</v>
      </c>
      <c r="BO471" s="194"/>
      <c r="BQ471" s="193">
        <f t="shared" si="110"/>
        <v>0</v>
      </c>
      <c r="BR471" s="193">
        <f t="shared" si="111"/>
        <v>0</v>
      </c>
    </row>
    <row r="472" spans="1:70" ht="13.5" customHeight="1">
      <c r="A472" s="193" t="s">
        <v>378</v>
      </c>
      <c r="B472" s="193" t="s">
        <v>379</v>
      </c>
      <c r="C472" s="193" t="s">
        <v>214</v>
      </c>
      <c r="D472" s="193" t="s">
        <v>482</v>
      </c>
      <c r="E472" s="193" t="s">
        <v>483</v>
      </c>
      <c r="F472" s="193" t="s">
        <v>1840</v>
      </c>
      <c r="G472" s="193" t="s">
        <v>1840</v>
      </c>
      <c r="H472" s="193" t="s">
        <v>1841</v>
      </c>
      <c r="I472" s="193" t="s">
        <v>384</v>
      </c>
      <c r="J472" s="193" t="s">
        <v>1842</v>
      </c>
      <c r="K472" s="193" t="s">
        <v>386</v>
      </c>
      <c r="L472" s="193" t="s">
        <v>387</v>
      </c>
      <c r="M472" s="193" t="s">
        <v>378</v>
      </c>
      <c r="N472" s="193" t="s">
        <v>1497</v>
      </c>
      <c r="O472" s="193" t="s">
        <v>129</v>
      </c>
      <c r="P472" s="193" t="s">
        <v>138</v>
      </c>
      <c r="Q472" s="193" t="s">
        <v>137</v>
      </c>
      <c r="R472" s="193" t="s">
        <v>136</v>
      </c>
      <c r="S472" s="193" t="s">
        <v>214</v>
      </c>
      <c r="T472" s="193" t="s">
        <v>389</v>
      </c>
      <c r="U472" s="193" t="s">
        <v>390</v>
      </c>
      <c r="V472" s="193">
        <v>0</v>
      </c>
      <c r="W472" s="193">
        <v>0</v>
      </c>
      <c r="X472" s="193">
        <v>0</v>
      </c>
      <c r="Y472" s="194">
        <v>2030</v>
      </c>
      <c r="Z472" s="193" t="s">
        <v>1498</v>
      </c>
      <c r="AA472" s="193" t="s">
        <v>1499</v>
      </c>
      <c r="AB472" s="193">
        <v>2030</v>
      </c>
      <c r="AC472" s="193" t="s">
        <v>1500</v>
      </c>
      <c r="AD472" s="193" t="s">
        <v>136</v>
      </c>
      <c r="AE472" s="193">
        <v>2030</v>
      </c>
      <c r="AF472" s="193" t="s">
        <v>518</v>
      </c>
      <c r="AG472" s="193" t="s">
        <v>519</v>
      </c>
      <c r="AH472" s="193">
        <v>0</v>
      </c>
      <c r="AI472" s="193">
        <v>2030</v>
      </c>
      <c r="AJ472" s="193" t="s">
        <v>1724</v>
      </c>
      <c r="AL472" s="197" t="s">
        <v>1843</v>
      </c>
      <c r="AM472" s="193">
        <v>1</v>
      </c>
      <c r="AN472" s="193">
        <v>0</v>
      </c>
      <c r="AO472" s="193">
        <v>0</v>
      </c>
      <c r="AP472" s="193">
        <v>0</v>
      </c>
      <c r="AQ472" s="193" t="s">
        <v>214</v>
      </c>
      <c r="AS472" s="197" t="s">
        <v>518</v>
      </c>
      <c r="AT472" s="197" t="s">
        <v>519</v>
      </c>
      <c r="AV472" s="196">
        <v>2030</v>
      </c>
      <c r="AW472" s="196">
        <v>0</v>
      </c>
      <c r="AX472" s="196">
        <v>0</v>
      </c>
      <c r="AY472" s="550">
        <v>2030</v>
      </c>
      <c r="AZ472" s="196">
        <v>0</v>
      </c>
      <c r="BA472" s="196">
        <v>0</v>
      </c>
      <c r="BB472" s="551">
        <v>0</v>
      </c>
      <c r="BC472" s="551">
        <v>2030</v>
      </c>
      <c r="BD472" s="551">
        <v>0</v>
      </c>
      <c r="BF472" s="550">
        <f t="shared" si="102"/>
        <v>2030</v>
      </c>
      <c r="BG472" s="550">
        <f t="shared" si="103"/>
        <v>0</v>
      </c>
      <c r="BH472" s="550">
        <f t="shared" si="104"/>
        <v>0</v>
      </c>
      <c r="BI472" s="550">
        <f t="shared" si="105"/>
        <v>2030</v>
      </c>
      <c r="BJ472" s="550">
        <f t="shared" si="106"/>
        <v>0</v>
      </c>
      <c r="BK472" s="550">
        <f t="shared" si="107"/>
        <v>0</v>
      </c>
      <c r="BL472" s="550">
        <f t="shared" si="108"/>
        <v>0</v>
      </c>
      <c r="BM472" s="550">
        <f t="shared" si="109"/>
        <v>2030</v>
      </c>
      <c r="BO472" s="194"/>
      <c r="BQ472" s="193">
        <f t="shared" si="110"/>
        <v>0</v>
      </c>
      <c r="BR472" s="193">
        <f t="shared" si="111"/>
        <v>0</v>
      </c>
    </row>
    <row r="473" spans="1:70" ht="13.5" customHeight="1">
      <c r="A473" s="193" t="s">
        <v>378</v>
      </c>
      <c r="B473" s="193" t="s">
        <v>379</v>
      </c>
      <c r="C473" s="193" t="s">
        <v>214</v>
      </c>
      <c r="D473" s="193" t="s">
        <v>482</v>
      </c>
      <c r="E473" s="193" t="s">
        <v>483</v>
      </c>
      <c r="F473" s="193" t="s">
        <v>1840</v>
      </c>
      <c r="G473" s="193" t="s">
        <v>1840</v>
      </c>
      <c r="H473" s="193" t="s">
        <v>1844</v>
      </c>
      <c r="I473" s="193" t="s">
        <v>384</v>
      </c>
      <c r="J473" s="193" t="s">
        <v>1845</v>
      </c>
      <c r="K473" s="193" t="s">
        <v>386</v>
      </c>
      <c r="L473" s="193" t="s">
        <v>387</v>
      </c>
      <c r="M473" s="193" t="s">
        <v>378</v>
      </c>
      <c r="N473" s="193" t="s">
        <v>1497</v>
      </c>
      <c r="O473" s="193" t="s">
        <v>129</v>
      </c>
      <c r="P473" s="193" t="s">
        <v>138</v>
      </c>
      <c r="Q473" s="193" t="s">
        <v>137</v>
      </c>
      <c r="R473" s="193" t="s">
        <v>136</v>
      </c>
      <c r="S473" s="193" t="s">
        <v>214</v>
      </c>
      <c r="T473" s="193" t="s">
        <v>389</v>
      </c>
      <c r="U473" s="193" t="s">
        <v>390</v>
      </c>
      <c r="V473" s="193">
        <v>0</v>
      </c>
      <c r="W473" s="193">
        <v>0</v>
      </c>
      <c r="X473" s="193">
        <v>0</v>
      </c>
      <c r="Y473" s="194">
        <v>8700</v>
      </c>
      <c r="Z473" s="193" t="s">
        <v>1498</v>
      </c>
      <c r="AA473" s="193" t="s">
        <v>1499</v>
      </c>
      <c r="AB473" s="193">
        <v>8700</v>
      </c>
      <c r="AC473" s="193" t="s">
        <v>1500</v>
      </c>
      <c r="AD473" s="193" t="s">
        <v>136</v>
      </c>
      <c r="AE473" s="193">
        <v>8700</v>
      </c>
      <c r="AF473" s="193" t="s">
        <v>518</v>
      </c>
      <c r="AG473" s="193" t="s">
        <v>519</v>
      </c>
      <c r="AH473" s="193">
        <v>0</v>
      </c>
      <c r="AI473" s="193">
        <v>8700</v>
      </c>
      <c r="AJ473" s="193" t="s">
        <v>1846</v>
      </c>
      <c r="AL473" s="197" t="s">
        <v>1847</v>
      </c>
      <c r="AM473" s="193">
        <v>1</v>
      </c>
      <c r="AN473" s="193">
        <v>0</v>
      </c>
      <c r="AO473" s="193">
        <v>0</v>
      </c>
      <c r="AP473" s="193">
        <v>0</v>
      </c>
      <c r="AQ473" s="193" t="s">
        <v>214</v>
      </c>
      <c r="AS473" s="197" t="s">
        <v>518</v>
      </c>
      <c r="AT473" s="197" t="s">
        <v>519</v>
      </c>
      <c r="AV473" s="196">
        <v>8700</v>
      </c>
      <c r="AW473" s="196">
        <v>0</v>
      </c>
      <c r="AX473" s="196">
        <v>0</v>
      </c>
      <c r="AY473" s="550">
        <v>8700</v>
      </c>
      <c r="AZ473" s="196">
        <v>0</v>
      </c>
      <c r="BA473" s="196">
        <v>0</v>
      </c>
      <c r="BB473" s="551">
        <v>0</v>
      </c>
      <c r="BC473" s="551">
        <v>8700</v>
      </c>
      <c r="BD473" s="551">
        <v>0</v>
      </c>
      <c r="BF473" s="550">
        <f t="shared" si="102"/>
        <v>8700</v>
      </c>
      <c r="BG473" s="550">
        <f t="shared" si="103"/>
        <v>0</v>
      </c>
      <c r="BH473" s="550">
        <f t="shared" si="104"/>
        <v>0</v>
      </c>
      <c r="BI473" s="550">
        <f t="shared" si="105"/>
        <v>8700</v>
      </c>
      <c r="BJ473" s="550">
        <f t="shared" si="106"/>
        <v>0</v>
      </c>
      <c r="BK473" s="550">
        <f t="shared" si="107"/>
        <v>0</v>
      </c>
      <c r="BL473" s="550">
        <f t="shared" si="108"/>
        <v>0</v>
      </c>
      <c r="BM473" s="550">
        <f t="shared" si="109"/>
        <v>8700</v>
      </c>
      <c r="BO473" s="194"/>
      <c r="BQ473" s="193">
        <f t="shared" si="110"/>
        <v>0</v>
      </c>
      <c r="BR473" s="193">
        <f t="shared" si="111"/>
        <v>0</v>
      </c>
    </row>
    <row r="474" spans="1:70" ht="13.5" customHeight="1">
      <c r="A474" s="193" t="s">
        <v>378</v>
      </c>
      <c r="B474" s="193" t="s">
        <v>379</v>
      </c>
      <c r="C474" s="193" t="s">
        <v>214</v>
      </c>
      <c r="D474" s="193" t="s">
        <v>482</v>
      </c>
      <c r="E474" s="193" t="s">
        <v>483</v>
      </c>
      <c r="F474" s="193" t="s">
        <v>1840</v>
      </c>
      <c r="G474" s="193" t="s">
        <v>1840</v>
      </c>
      <c r="H474" s="193" t="s">
        <v>1848</v>
      </c>
      <c r="I474" s="193" t="s">
        <v>384</v>
      </c>
      <c r="J474" s="193" t="s">
        <v>1849</v>
      </c>
      <c r="K474" s="193" t="s">
        <v>386</v>
      </c>
      <c r="L474" s="193" t="s">
        <v>387</v>
      </c>
      <c r="M474" s="193" t="s">
        <v>378</v>
      </c>
      <c r="N474" s="193" t="s">
        <v>1497</v>
      </c>
      <c r="O474" s="193" t="s">
        <v>129</v>
      </c>
      <c r="P474" s="193" t="s">
        <v>138</v>
      </c>
      <c r="Q474" s="193" t="s">
        <v>137</v>
      </c>
      <c r="R474" s="193" t="s">
        <v>136</v>
      </c>
      <c r="S474" s="193" t="s">
        <v>214</v>
      </c>
      <c r="T474" s="193" t="s">
        <v>389</v>
      </c>
      <c r="U474" s="193" t="s">
        <v>390</v>
      </c>
      <c r="V474" s="193">
        <v>0</v>
      </c>
      <c r="W474" s="193">
        <v>0</v>
      </c>
      <c r="X474" s="193">
        <v>0</v>
      </c>
      <c r="Y474" s="194">
        <v>2966</v>
      </c>
      <c r="Z474" s="193" t="s">
        <v>1498</v>
      </c>
      <c r="AA474" s="193" t="s">
        <v>1499</v>
      </c>
      <c r="AB474" s="193">
        <v>2966</v>
      </c>
      <c r="AC474" s="193" t="s">
        <v>1500</v>
      </c>
      <c r="AD474" s="193" t="s">
        <v>136</v>
      </c>
      <c r="AE474" s="193">
        <v>2966</v>
      </c>
      <c r="AF474" s="193" t="s">
        <v>518</v>
      </c>
      <c r="AG474" s="193" t="s">
        <v>519</v>
      </c>
      <c r="AH474" s="193">
        <v>0</v>
      </c>
      <c r="AI474" s="193">
        <v>2966</v>
      </c>
      <c r="AJ474" s="193" t="s">
        <v>1811</v>
      </c>
      <c r="AL474" s="197" t="s">
        <v>1850</v>
      </c>
      <c r="AM474" s="193">
        <v>1</v>
      </c>
      <c r="AN474" s="193">
        <v>0</v>
      </c>
      <c r="AO474" s="193">
        <v>0</v>
      </c>
      <c r="AP474" s="193">
        <v>0</v>
      </c>
      <c r="AQ474" s="193" t="s">
        <v>214</v>
      </c>
      <c r="AS474" s="197" t="s">
        <v>518</v>
      </c>
      <c r="AT474" s="197" t="s">
        <v>519</v>
      </c>
      <c r="AV474" s="196">
        <v>2966</v>
      </c>
      <c r="AW474" s="196">
        <v>0</v>
      </c>
      <c r="AX474" s="196">
        <v>0</v>
      </c>
      <c r="AY474" s="550">
        <v>2966</v>
      </c>
      <c r="AZ474" s="196">
        <v>0</v>
      </c>
      <c r="BA474" s="196">
        <v>0</v>
      </c>
      <c r="BB474" s="551">
        <v>0</v>
      </c>
      <c r="BC474" s="551">
        <v>2966</v>
      </c>
      <c r="BD474" s="551">
        <v>0</v>
      </c>
      <c r="BF474" s="550">
        <f t="shared" si="102"/>
        <v>2966</v>
      </c>
      <c r="BG474" s="550">
        <f t="shared" si="103"/>
        <v>0</v>
      </c>
      <c r="BH474" s="550">
        <f t="shared" si="104"/>
        <v>0</v>
      </c>
      <c r="BI474" s="550">
        <f t="shared" si="105"/>
        <v>2966</v>
      </c>
      <c r="BJ474" s="550">
        <f t="shared" si="106"/>
        <v>0</v>
      </c>
      <c r="BK474" s="550">
        <f t="shared" si="107"/>
        <v>0</v>
      </c>
      <c r="BL474" s="550">
        <f t="shared" si="108"/>
        <v>0</v>
      </c>
      <c r="BM474" s="550">
        <f t="shared" si="109"/>
        <v>2966</v>
      </c>
      <c r="BO474" s="194"/>
      <c r="BQ474" s="193">
        <f t="shared" si="110"/>
        <v>0</v>
      </c>
      <c r="BR474" s="193">
        <f t="shared" si="111"/>
        <v>0</v>
      </c>
    </row>
    <row r="475" spans="1:70" ht="13.5" customHeight="1">
      <c r="A475" s="193" t="s">
        <v>378</v>
      </c>
      <c r="B475" s="193" t="s">
        <v>379</v>
      </c>
      <c r="C475" s="193" t="s">
        <v>214</v>
      </c>
      <c r="D475" s="193" t="s">
        <v>482</v>
      </c>
      <c r="E475" s="193" t="s">
        <v>483</v>
      </c>
      <c r="F475" s="193" t="s">
        <v>1840</v>
      </c>
      <c r="G475" s="193" t="s">
        <v>1840</v>
      </c>
      <c r="H475" s="193" t="s">
        <v>1851</v>
      </c>
      <c r="I475" s="193" t="s">
        <v>384</v>
      </c>
      <c r="J475" s="193" t="s">
        <v>1852</v>
      </c>
      <c r="K475" s="193" t="s">
        <v>386</v>
      </c>
      <c r="L475" s="193" t="s">
        <v>387</v>
      </c>
      <c r="M475" s="193" t="s">
        <v>378</v>
      </c>
      <c r="N475" s="193" t="s">
        <v>1497</v>
      </c>
      <c r="O475" s="193" t="s">
        <v>129</v>
      </c>
      <c r="P475" s="193" t="s">
        <v>138</v>
      </c>
      <c r="Q475" s="193" t="s">
        <v>137</v>
      </c>
      <c r="R475" s="193" t="s">
        <v>136</v>
      </c>
      <c r="S475" s="193" t="s">
        <v>214</v>
      </c>
      <c r="T475" s="193" t="s">
        <v>389</v>
      </c>
      <c r="U475" s="193" t="s">
        <v>390</v>
      </c>
      <c r="V475" s="193">
        <v>0</v>
      </c>
      <c r="W475" s="193">
        <v>0</v>
      </c>
      <c r="X475" s="193">
        <v>0</v>
      </c>
      <c r="Y475" s="194">
        <v>1170</v>
      </c>
      <c r="Z475" s="193" t="s">
        <v>1498</v>
      </c>
      <c r="AA475" s="193" t="s">
        <v>1499</v>
      </c>
      <c r="AB475" s="193">
        <v>1170</v>
      </c>
      <c r="AC475" s="193" t="s">
        <v>1500</v>
      </c>
      <c r="AD475" s="193" t="s">
        <v>136</v>
      </c>
      <c r="AE475" s="193">
        <v>1170</v>
      </c>
      <c r="AF475" s="193" t="s">
        <v>518</v>
      </c>
      <c r="AG475" s="193" t="s">
        <v>519</v>
      </c>
      <c r="AH475" s="193">
        <v>0</v>
      </c>
      <c r="AI475" s="193">
        <v>1170</v>
      </c>
      <c r="AJ475" s="193" t="s">
        <v>1724</v>
      </c>
      <c r="AL475" s="197" t="s">
        <v>1853</v>
      </c>
      <c r="AM475" s="193">
        <v>1</v>
      </c>
      <c r="AN475" s="193">
        <v>0</v>
      </c>
      <c r="AO475" s="193">
        <v>0</v>
      </c>
      <c r="AP475" s="193">
        <v>0</v>
      </c>
      <c r="AQ475" s="193" t="s">
        <v>214</v>
      </c>
      <c r="AS475" s="197" t="s">
        <v>518</v>
      </c>
      <c r="AT475" s="197" t="s">
        <v>519</v>
      </c>
      <c r="AV475" s="196">
        <v>1170</v>
      </c>
      <c r="AW475" s="196">
        <v>0</v>
      </c>
      <c r="AX475" s="196">
        <v>0</v>
      </c>
      <c r="AY475" s="550">
        <v>1170</v>
      </c>
      <c r="AZ475" s="196">
        <v>0</v>
      </c>
      <c r="BA475" s="196">
        <v>0</v>
      </c>
      <c r="BB475" s="551">
        <v>0</v>
      </c>
      <c r="BC475" s="551">
        <v>1170</v>
      </c>
      <c r="BD475" s="551">
        <v>0</v>
      </c>
      <c r="BF475" s="550">
        <f t="shared" si="102"/>
        <v>1170</v>
      </c>
      <c r="BG475" s="550">
        <f t="shared" si="103"/>
        <v>0</v>
      </c>
      <c r="BH475" s="550">
        <f t="shared" si="104"/>
        <v>0</v>
      </c>
      <c r="BI475" s="550">
        <f t="shared" si="105"/>
        <v>1170</v>
      </c>
      <c r="BJ475" s="550">
        <f t="shared" si="106"/>
        <v>0</v>
      </c>
      <c r="BK475" s="550">
        <f t="shared" si="107"/>
        <v>0</v>
      </c>
      <c r="BL475" s="550">
        <f t="shared" si="108"/>
        <v>0</v>
      </c>
      <c r="BM475" s="550">
        <f t="shared" si="109"/>
        <v>1170</v>
      </c>
      <c r="BO475" s="194"/>
      <c r="BQ475" s="193">
        <f t="shared" si="110"/>
        <v>0</v>
      </c>
      <c r="BR475" s="193">
        <f t="shared" si="111"/>
        <v>0</v>
      </c>
    </row>
    <row r="476" spans="1:70" ht="13.5" customHeight="1">
      <c r="A476" s="193" t="s">
        <v>378</v>
      </c>
      <c r="B476" s="193" t="s">
        <v>379</v>
      </c>
      <c r="C476" s="193" t="s">
        <v>214</v>
      </c>
      <c r="D476" s="193" t="s">
        <v>482</v>
      </c>
      <c r="E476" s="193" t="s">
        <v>483</v>
      </c>
      <c r="F476" s="193" t="s">
        <v>1840</v>
      </c>
      <c r="G476" s="193" t="s">
        <v>1840</v>
      </c>
      <c r="H476" s="193" t="s">
        <v>1854</v>
      </c>
      <c r="I476" s="193" t="s">
        <v>384</v>
      </c>
      <c r="J476" s="193" t="s">
        <v>1855</v>
      </c>
      <c r="K476" s="193" t="s">
        <v>386</v>
      </c>
      <c r="L476" s="193" t="s">
        <v>387</v>
      </c>
      <c r="M476" s="193" t="s">
        <v>378</v>
      </c>
      <c r="N476" s="193" t="s">
        <v>1497</v>
      </c>
      <c r="O476" s="193" t="s">
        <v>129</v>
      </c>
      <c r="P476" s="193" t="s">
        <v>138</v>
      </c>
      <c r="Q476" s="193" t="s">
        <v>137</v>
      </c>
      <c r="R476" s="193" t="s">
        <v>136</v>
      </c>
      <c r="S476" s="193" t="s">
        <v>214</v>
      </c>
      <c r="T476" s="193" t="s">
        <v>389</v>
      </c>
      <c r="U476" s="193" t="s">
        <v>390</v>
      </c>
      <c r="V476" s="193">
        <v>0</v>
      </c>
      <c r="W476" s="193">
        <v>0</v>
      </c>
      <c r="X476" s="193">
        <v>0</v>
      </c>
      <c r="Y476" s="194">
        <v>1840</v>
      </c>
      <c r="Z476" s="193" t="s">
        <v>1498</v>
      </c>
      <c r="AA476" s="193" t="s">
        <v>1499</v>
      </c>
      <c r="AB476" s="193">
        <v>1840</v>
      </c>
      <c r="AC476" s="193" t="s">
        <v>1500</v>
      </c>
      <c r="AD476" s="193" t="s">
        <v>136</v>
      </c>
      <c r="AE476" s="193">
        <v>1840</v>
      </c>
      <c r="AF476" s="193" t="s">
        <v>518</v>
      </c>
      <c r="AG476" s="193" t="s">
        <v>519</v>
      </c>
      <c r="AH476" s="193">
        <v>0</v>
      </c>
      <c r="AI476" s="193">
        <v>1840</v>
      </c>
      <c r="AJ476" s="193" t="s">
        <v>1856</v>
      </c>
      <c r="AL476" s="197" t="s">
        <v>1857</v>
      </c>
      <c r="AM476" s="193">
        <v>1</v>
      </c>
      <c r="AN476" s="193">
        <v>0</v>
      </c>
      <c r="AO476" s="193">
        <v>0</v>
      </c>
      <c r="AP476" s="193">
        <v>0</v>
      </c>
      <c r="AQ476" s="193" t="s">
        <v>214</v>
      </c>
      <c r="AS476" s="197" t="s">
        <v>518</v>
      </c>
      <c r="AT476" s="197" t="s">
        <v>519</v>
      </c>
      <c r="AV476" s="196">
        <v>1840</v>
      </c>
      <c r="AW476" s="196">
        <v>0</v>
      </c>
      <c r="AX476" s="196">
        <v>0</v>
      </c>
      <c r="AY476" s="550">
        <v>1840</v>
      </c>
      <c r="AZ476" s="196">
        <v>0</v>
      </c>
      <c r="BA476" s="196">
        <v>0</v>
      </c>
      <c r="BB476" s="551">
        <v>0</v>
      </c>
      <c r="BC476" s="551">
        <v>1840</v>
      </c>
      <c r="BD476" s="551">
        <v>0</v>
      </c>
      <c r="BF476" s="550">
        <f t="shared" si="102"/>
        <v>1840</v>
      </c>
      <c r="BG476" s="550">
        <f t="shared" si="103"/>
        <v>0</v>
      </c>
      <c r="BH476" s="550">
        <f t="shared" si="104"/>
        <v>0</v>
      </c>
      <c r="BI476" s="550">
        <f t="shared" si="105"/>
        <v>1840</v>
      </c>
      <c r="BJ476" s="550">
        <f t="shared" si="106"/>
        <v>0</v>
      </c>
      <c r="BK476" s="550">
        <f t="shared" si="107"/>
        <v>0</v>
      </c>
      <c r="BL476" s="550">
        <f t="shared" si="108"/>
        <v>0</v>
      </c>
      <c r="BM476" s="550">
        <f t="shared" si="109"/>
        <v>1840</v>
      </c>
      <c r="BO476" s="194"/>
      <c r="BQ476" s="193">
        <f t="shared" si="110"/>
        <v>0</v>
      </c>
      <c r="BR476" s="193">
        <f t="shared" si="111"/>
        <v>0</v>
      </c>
    </row>
    <row r="477" spans="1:70" ht="13.5" customHeight="1">
      <c r="A477" s="193" t="s">
        <v>378</v>
      </c>
      <c r="B477" s="193" t="s">
        <v>379</v>
      </c>
      <c r="C477" s="193" t="s">
        <v>214</v>
      </c>
      <c r="D477" s="193" t="s">
        <v>482</v>
      </c>
      <c r="E477" s="193" t="s">
        <v>483</v>
      </c>
      <c r="F477" s="193" t="s">
        <v>1266</v>
      </c>
      <c r="G477" s="193" t="s">
        <v>1266</v>
      </c>
      <c r="H477" s="193" t="s">
        <v>1858</v>
      </c>
      <c r="I477" s="193" t="s">
        <v>384</v>
      </c>
      <c r="J477" s="193" t="s">
        <v>1859</v>
      </c>
      <c r="K477" s="193" t="s">
        <v>386</v>
      </c>
      <c r="L477" s="193" t="s">
        <v>387</v>
      </c>
      <c r="M477" s="193" t="s">
        <v>378</v>
      </c>
      <c r="N477" s="193" t="s">
        <v>1497</v>
      </c>
      <c r="O477" s="193" t="s">
        <v>129</v>
      </c>
      <c r="P477" s="193" t="s">
        <v>138</v>
      </c>
      <c r="Q477" s="193" t="s">
        <v>137</v>
      </c>
      <c r="R477" s="193" t="s">
        <v>136</v>
      </c>
      <c r="S477" s="193" t="s">
        <v>214</v>
      </c>
      <c r="T477" s="193" t="s">
        <v>389</v>
      </c>
      <c r="U477" s="193" t="s">
        <v>390</v>
      </c>
      <c r="V477" s="193">
        <v>0</v>
      </c>
      <c r="W477" s="193">
        <v>0</v>
      </c>
      <c r="X477" s="193">
        <v>0</v>
      </c>
      <c r="Y477" s="194">
        <v>880</v>
      </c>
      <c r="Z477" s="193" t="s">
        <v>1498</v>
      </c>
      <c r="AA477" s="193" t="s">
        <v>1499</v>
      </c>
      <c r="AB477" s="193">
        <v>880</v>
      </c>
      <c r="AC477" s="193" t="s">
        <v>1500</v>
      </c>
      <c r="AD477" s="193" t="s">
        <v>136</v>
      </c>
      <c r="AE477" s="193">
        <v>880</v>
      </c>
      <c r="AF477" s="193" t="s">
        <v>518</v>
      </c>
      <c r="AG477" s="193" t="s">
        <v>519</v>
      </c>
      <c r="AH477" s="193">
        <v>0</v>
      </c>
      <c r="AI477" s="193">
        <v>880</v>
      </c>
      <c r="AJ477" s="193" t="s">
        <v>1860</v>
      </c>
      <c r="AL477" s="197" t="s">
        <v>1861</v>
      </c>
      <c r="AM477" s="193">
        <v>1</v>
      </c>
      <c r="AN477" s="193">
        <v>0</v>
      </c>
      <c r="AO477" s="193">
        <v>0</v>
      </c>
      <c r="AP477" s="193">
        <v>0</v>
      </c>
      <c r="AQ477" s="193" t="s">
        <v>214</v>
      </c>
      <c r="AS477" s="197" t="s">
        <v>518</v>
      </c>
      <c r="AT477" s="197" t="s">
        <v>519</v>
      </c>
      <c r="AV477" s="194">
        <v>880</v>
      </c>
      <c r="AW477" s="194">
        <v>0</v>
      </c>
      <c r="AX477" s="194">
        <v>0</v>
      </c>
      <c r="AY477" s="549">
        <v>880</v>
      </c>
      <c r="AZ477" s="194">
        <v>0</v>
      </c>
      <c r="BA477" s="194">
        <v>0</v>
      </c>
      <c r="BB477" s="551">
        <v>0</v>
      </c>
      <c r="BC477" s="551">
        <v>880</v>
      </c>
      <c r="BD477" s="551">
        <v>0</v>
      </c>
      <c r="BF477" s="550">
        <f t="shared" si="102"/>
        <v>880</v>
      </c>
      <c r="BG477" s="550">
        <f t="shared" si="103"/>
        <v>0</v>
      </c>
      <c r="BH477" s="550">
        <f t="shared" si="104"/>
        <v>0</v>
      </c>
      <c r="BI477" s="550">
        <f t="shared" si="105"/>
        <v>880</v>
      </c>
      <c r="BJ477" s="550">
        <f t="shared" si="106"/>
        <v>0</v>
      </c>
      <c r="BK477" s="550">
        <f t="shared" si="107"/>
        <v>0</v>
      </c>
      <c r="BL477" s="550">
        <f t="shared" si="108"/>
        <v>0</v>
      </c>
      <c r="BM477" s="550">
        <f t="shared" si="109"/>
        <v>880</v>
      </c>
      <c r="BO477" s="194"/>
      <c r="BQ477" s="193">
        <f t="shared" si="110"/>
        <v>0</v>
      </c>
      <c r="BR477" s="193">
        <f t="shared" si="111"/>
        <v>0</v>
      </c>
    </row>
    <row r="478" spans="1:70" ht="13.5" customHeight="1">
      <c r="A478" s="193" t="s">
        <v>378</v>
      </c>
      <c r="B478" s="193" t="s">
        <v>379</v>
      </c>
      <c r="C478" s="193" t="s">
        <v>214</v>
      </c>
      <c r="D478" s="193" t="s">
        <v>482</v>
      </c>
      <c r="E478" s="193" t="s">
        <v>483</v>
      </c>
      <c r="F478" s="193" t="s">
        <v>1266</v>
      </c>
      <c r="G478" s="193" t="s">
        <v>1266</v>
      </c>
      <c r="H478" s="193" t="s">
        <v>1862</v>
      </c>
      <c r="I478" s="193" t="s">
        <v>384</v>
      </c>
      <c r="J478" s="193" t="s">
        <v>1863</v>
      </c>
      <c r="K478" s="193" t="s">
        <v>386</v>
      </c>
      <c r="L478" s="193" t="s">
        <v>387</v>
      </c>
      <c r="M478" s="193" t="s">
        <v>378</v>
      </c>
      <c r="N478" s="193" t="s">
        <v>1497</v>
      </c>
      <c r="O478" s="193" t="s">
        <v>129</v>
      </c>
      <c r="P478" s="193" t="s">
        <v>138</v>
      </c>
      <c r="Q478" s="193" t="s">
        <v>137</v>
      </c>
      <c r="R478" s="193" t="s">
        <v>136</v>
      </c>
      <c r="S478" s="193" t="s">
        <v>214</v>
      </c>
      <c r="T478" s="193" t="s">
        <v>389</v>
      </c>
      <c r="U478" s="193" t="s">
        <v>390</v>
      </c>
      <c r="V478" s="193">
        <v>0</v>
      </c>
      <c r="W478" s="193">
        <v>0</v>
      </c>
      <c r="X478" s="193">
        <v>0</v>
      </c>
      <c r="Y478" s="194">
        <v>2440</v>
      </c>
      <c r="Z478" s="193" t="s">
        <v>1498</v>
      </c>
      <c r="AA478" s="193" t="s">
        <v>1499</v>
      </c>
      <c r="AB478" s="193">
        <v>2440</v>
      </c>
      <c r="AC478" s="193" t="s">
        <v>1500</v>
      </c>
      <c r="AD478" s="193" t="s">
        <v>136</v>
      </c>
      <c r="AE478" s="193">
        <v>2440</v>
      </c>
      <c r="AF478" s="193" t="s">
        <v>518</v>
      </c>
      <c r="AG478" s="193" t="s">
        <v>519</v>
      </c>
      <c r="AH478" s="193">
        <v>0</v>
      </c>
      <c r="AI478" s="193">
        <v>2440</v>
      </c>
      <c r="AJ478" s="193" t="s">
        <v>1864</v>
      </c>
      <c r="AL478" s="197" t="s">
        <v>1865</v>
      </c>
      <c r="AM478" s="193">
        <v>1</v>
      </c>
      <c r="AN478" s="193">
        <v>0</v>
      </c>
      <c r="AO478" s="193">
        <v>0</v>
      </c>
      <c r="AP478" s="193">
        <v>0</v>
      </c>
      <c r="AQ478" s="193" t="s">
        <v>214</v>
      </c>
      <c r="AS478" s="197" t="s">
        <v>518</v>
      </c>
      <c r="AT478" s="197" t="s">
        <v>519</v>
      </c>
      <c r="AV478" s="194">
        <v>2440</v>
      </c>
      <c r="AW478" s="194">
        <v>0</v>
      </c>
      <c r="AX478" s="194">
        <v>0</v>
      </c>
      <c r="AY478" s="549">
        <v>2440</v>
      </c>
      <c r="AZ478" s="194">
        <v>0</v>
      </c>
      <c r="BA478" s="194">
        <v>0</v>
      </c>
      <c r="BB478" s="551">
        <v>0</v>
      </c>
      <c r="BC478" s="551">
        <v>2440</v>
      </c>
      <c r="BD478" s="551">
        <v>0</v>
      </c>
      <c r="BF478" s="550">
        <f t="shared" si="102"/>
        <v>2440</v>
      </c>
      <c r="BG478" s="550">
        <f t="shared" si="103"/>
        <v>0</v>
      </c>
      <c r="BH478" s="550">
        <f t="shared" si="104"/>
        <v>0</v>
      </c>
      <c r="BI478" s="550">
        <f t="shared" si="105"/>
        <v>2440</v>
      </c>
      <c r="BJ478" s="550">
        <f t="shared" si="106"/>
        <v>0</v>
      </c>
      <c r="BK478" s="550">
        <f t="shared" si="107"/>
        <v>0</v>
      </c>
      <c r="BL478" s="550">
        <f t="shared" si="108"/>
        <v>0</v>
      </c>
      <c r="BM478" s="550">
        <f t="shared" si="109"/>
        <v>2440</v>
      </c>
      <c r="BO478" s="194"/>
      <c r="BQ478" s="193">
        <f t="shared" si="110"/>
        <v>0</v>
      </c>
      <c r="BR478" s="193">
        <f t="shared" si="111"/>
        <v>0</v>
      </c>
    </row>
    <row r="479" spans="1:70" ht="13.5" customHeight="1">
      <c r="A479" s="193" t="s">
        <v>378</v>
      </c>
      <c r="B479" s="193" t="s">
        <v>379</v>
      </c>
      <c r="C479" s="193" t="s">
        <v>214</v>
      </c>
      <c r="D479" s="193" t="s">
        <v>482</v>
      </c>
      <c r="E479" s="193" t="s">
        <v>483</v>
      </c>
      <c r="F479" s="193" t="s">
        <v>1840</v>
      </c>
      <c r="G479" s="193" t="s">
        <v>1840</v>
      </c>
      <c r="H479" s="193" t="s">
        <v>1866</v>
      </c>
      <c r="I479" s="193" t="s">
        <v>384</v>
      </c>
      <c r="J479" s="193" t="s">
        <v>1867</v>
      </c>
      <c r="K479" s="193" t="s">
        <v>386</v>
      </c>
      <c r="L479" s="193" t="s">
        <v>387</v>
      </c>
      <c r="M479" s="193" t="s">
        <v>378</v>
      </c>
      <c r="N479" s="193" t="s">
        <v>1497</v>
      </c>
      <c r="O479" s="193" t="s">
        <v>129</v>
      </c>
      <c r="P479" s="193" t="s">
        <v>138</v>
      </c>
      <c r="Q479" s="193" t="s">
        <v>137</v>
      </c>
      <c r="R479" s="193" t="s">
        <v>136</v>
      </c>
      <c r="S479" s="193" t="s">
        <v>214</v>
      </c>
      <c r="T479" s="193" t="s">
        <v>389</v>
      </c>
      <c r="U479" s="193" t="s">
        <v>390</v>
      </c>
      <c r="V479" s="193">
        <v>0</v>
      </c>
      <c r="W479" s="193">
        <v>0</v>
      </c>
      <c r="X479" s="193">
        <v>0</v>
      </c>
      <c r="Y479" s="194">
        <v>2450</v>
      </c>
      <c r="Z479" s="193" t="s">
        <v>1498</v>
      </c>
      <c r="AA479" s="193" t="s">
        <v>1499</v>
      </c>
      <c r="AB479" s="193">
        <v>2450</v>
      </c>
      <c r="AC479" s="193" t="s">
        <v>1500</v>
      </c>
      <c r="AD479" s="193" t="s">
        <v>136</v>
      </c>
      <c r="AE479" s="193">
        <v>2450</v>
      </c>
      <c r="AF479" s="193" t="s">
        <v>518</v>
      </c>
      <c r="AG479" s="193" t="s">
        <v>519</v>
      </c>
      <c r="AH479" s="193">
        <v>0</v>
      </c>
      <c r="AI479" s="193">
        <v>2450</v>
      </c>
      <c r="AJ479" s="193" t="s">
        <v>1868</v>
      </c>
      <c r="AL479" s="197" t="s">
        <v>1869</v>
      </c>
      <c r="AM479" s="193">
        <v>1</v>
      </c>
      <c r="AN479" s="193">
        <v>0</v>
      </c>
      <c r="AO479" s="193">
        <v>0</v>
      </c>
      <c r="AP479" s="193">
        <v>0</v>
      </c>
      <c r="AQ479" s="193" t="s">
        <v>214</v>
      </c>
      <c r="AS479" s="197" t="s">
        <v>518</v>
      </c>
      <c r="AT479" s="197" t="s">
        <v>519</v>
      </c>
      <c r="AV479" s="194">
        <v>2450</v>
      </c>
      <c r="AW479" s="194">
        <v>0</v>
      </c>
      <c r="AX479" s="194">
        <v>0</v>
      </c>
      <c r="AY479" s="549">
        <v>2450</v>
      </c>
      <c r="AZ479" s="194">
        <v>0</v>
      </c>
      <c r="BA479" s="194">
        <v>0</v>
      </c>
      <c r="BB479" s="551">
        <v>0</v>
      </c>
      <c r="BC479" s="551">
        <v>2450</v>
      </c>
      <c r="BD479" s="551">
        <v>0</v>
      </c>
      <c r="BF479" s="550">
        <f t="shared" si="102"/>
        <v>2450</v>
      </c>
      <c r="BG479" s="550">
        <f t="shared" si="103"/>
        <v>0</v>
      </c>
      <c r="BH479" s="550">
        <f t="shared" si="104"/>
        <v>0</v>
      </c>
      <c r="BI479" s="550">
        <f t="shared" si="105"/>
        <v>2450</v>
      </c>
      <c r="BJ479" s="550">
        <f t="shared" si="106"/>
        <v>0</v>
      </c>
      <c r="BK479" s="550">
        <f t="shared" si="107"/>
        <v>0</v>
      </c>
      <c r="BL479" s="550">
        <f t="shared" si="108"/>
        <v>0</v>
      </c>
      <c r="BM479" s="550">
        <f t="shared" si="109"/>
        <v>2450</v>
      </c>
      <c r="BO479" s="194"/>
      <c r="BQ479" s="193">
        <f t="shared" si="110"/>
        <v>0</v>
      </c>
      <c r="BR479" s="193">
        <f t="shared" si="111"/>
        <v>0</v>
      </c>
    </row>
    <row r="480" spans="1:70" ht="13.5" customHeight="1">
      <c r="A480" s="193" t="s">
        <v>378</v>
      </c>
      <c r="B480" s="193" t="s">
        <v>379</v>
      </c>
      <c r="C480" s="193" t="s">
        <v>214</v>
      </c>
      <c r="D480" s="193" t="s">
        <v>482</v>
      </c>
      <c r="E480" s="193" t="s">
        <v>483</v>
      </c>
      <c r="F480" s="193" t="s">
        <v>1840</v>
      </c>
      <c r="G480" s="193" t="s">
        <v>1840</v>
      </c>
      <c r="H480" s="193" t="s">
        <v>1870</v>
      </c>
      <c r="I480" s="193" t="s">
        <v>384</v>
      </c>
      <c r="J480" s="193" t="s">
        <v>1871</v>
      </c>
      <c r="K480" s="193" t="s">
        <v>386</v>
      </c>
      <c r="L480" s="193" t="s">
        <v>387</v>
      </c>
      <c r="M480" s="193" t="s">
        <v>378</v>
      </c>
      <c r="N480" s="193" t="s">
        <v>1497</v>
      </c>
      <c r="O480" s="193" t="s">
        <v>129</v>
      </c>
      <c r="P480" s="193" t="s">
        <v>138</v>
      </c>
      <c r="Q480" s="193" t="s">
        <v>137</v>
      </c>
      <c r="R480" s="193" t="s">
        <v>136</v>
      </c>
      <c r="S480" s="193" t="s">
        <v>214</v>
      </c>
      <c r="T480" s="193" t="s">
        <v>389</v>
      </c>
      <c r="U480" s="193" t="s">
        <v>390</v>
      </c>
      <c r="V480" s="193">
        <v>0</v>
      </c>
      <c r="W480" s="193">
        <v>0</v>
      </c>
      <c r="X480" s="193">
        <v>0</v>
      </c>
      <c r="Y480" s="194">
        <v>620</v>
      </c>
      <c r="Z480" s="193" t="s">
        <v>1498</v>
      </c>
      <c r="AA480" s="193" t="s">
        <v>1499</v>
      </c>
      <c r="AB480" s="193">
        <v>620</v>
      </c>
      <c r="AC480" s="193" t="s">
        <v>1500</v>
      </c>
      <c r="AD480" s="193" t="s">
        <v>136</v>
      </c>
      <c r="AE480" s="193">
        <v>620</v>
      </c>
      <c r="AF480" s="193" t="s">
        <v>518</v>
      </c>
      <c r="AG480" s="193" t="s">
        <v>519</v>
      </c>
      <c r="AH480" s="193">
        <v>0</v>
      </c>
      <c r="AI480" s="193">
        <v>620</v>
      </c>
      <c r="AJ480" s="193" t="s">
        <v>1872</v>
      </c>
      <c r="AL480" s="197" t="s">
        <v>1873</v>
      </c>
      <c r="AM480" s="193">
        <v>1</v>
      </c>
      <c r="AN480" s="193">
        <v>0</v>
      </c>
      <c r="AO480" s="193">
        <v>0</v>
      </c>
      <c r="AP480" s="193">
        <v>0</v>
      </c>
      <c r="AQ480" s="193" t="s">
        <v>214</v>
      </c>
      <c r="AS480" s="197" t="s">
        <v>518</v>
      </c>
      <c r="AT480" s="197" t="s">
        <v>519</v>
      </c>
      <c r="AV480" s="196">
        <v>620</v>
      </c>
      <c r="AW480" s="196">
        <v>0</v>
      </c>
      <c r="AX480" s="196">
        <v>0</v>
      </c>
      <c r="AY480" s="550">
        <v>620</v>
      </c>
      <c r="AZ480" s="196">
        <v>0</v>
      </c>
      <c r="BA480" s="196">
        <v>0</v>
      </c>
      <c r="BB480" s="551">
        <v>0</v>
      </c>
      <c r="BC480" s="551">
        <v>620</v>
      </c>
      <c r="BD480" s="551">
        <v>0</v>
      </c>
      <c r="BF480" s="550">
        <f t="shared" si="102"/>
        <v>620</v>
      </c>
      <c r="BG480" s="550">
        <f t="shared" si="103"/>
        <v>0</v>
      </c>
      <c r="BH480" s="550">
        <f t="shared" si="104"/>
        <v>0</v>
      </c>
      <c r="BI480" s="550">
        <f t="shared" si="105"/>
        <v>620</v>
      </c>
      <c r="BJ480" s="550">
        <f t="shared" si="106"/>
        <v>0</v>
      </c>
      <c r="BK480" s="550">
        <f t="shared" si="107"/>
        <v>0</v>
      </c>
      <c r="BL480" s="550">
        <f t="shared" si="108"/>
        <v>0</v>
      </c>
      <c r="BM480" s="550">
        <f t="shared" si="109"/>
        <v>620</v>
      </c>
      <c r="BO480" s="194"/>
      <c r="BQ480" s="193">
        <f t="shared" si="110"/>
        <v>0</v>
      </c>
      <c r="BR480" s="193">
        <f t="shared" si="111"/>
        <v>0</v>
      </c>
    </row>
    <row r="481" spans="1:70" ht="13.5" customHeight="1">
      <c r="A481" s="193" t="s">
        <v>378</v>
      </c>
      <c r="B481" s="193" t="s">
        <v>379</v>
      </c>
      <c r="C481" s="193" t="s">
        <v>214</v>
      </c>
      <c r="D481" s="193" t="s">
        <v>482</v>
      </c>
      <c r="E481" s="193" t="s">
        <v>483</v>
      </c>
      <c r="F481" s="193" t="s">
        <v>1685</v>
      </c>
      <c r="G481" s="193" t="s">
        <v>1685</v>
      </c>
      <c r="H481" s="193" t="s">
        <v>1874</v>
      </c>
      <c r="I481" s="193" t="s">
        <v>384</v>
      </c>
      <c r="J481" s="193" t="s">
        <v>1875</v>
      </c>
      <c r="K481" s="193" t="s">
        <v>386</v>
      </c>
      <c r="L481" s="193" t="s">
        <v>387</v>
      </c>
      <c r="M481" s="193" t="s">
        <v>378</v>
      </c>
      <c r="N481" s="193" t="s">
        <v>1497</v>
      </c>
      <c r="O481" s="193" t="s">
        <v>129</v>
      </c>
      <c r="P481" s="193" t="s">
        <v>138</v>
      </c>
      <c r="Q481" s="193" t="s">
        <v>137</v>
      </c>
      <c r="R481" s="193" t="s">
        <v>136</v>
      </c>
      <c r="S481" s="193" t="s">
        <v>214</v>
      </c>
      <c r="T481" s="193" t="s">
        <v>389</v>
      </c>
      <c r="U481" s="193" t="s">
        <v>390</v>
      </c>
      <c r="V481" s="193">
        <v>0</v>
      </c>
      <c r="W481" s="193">
        <v>0</v>
      </c>
      <c r="X481" s="193">
        <v>0</v>
      </c>
      <c r="Y481" s="194">
        <v>640</v>
      </c>
      <c r="Z481" s="193" t="s">
        <v>1498</v>
      </c>
      <c r="AA481" s="193" t="s">
        <v>1499</v>
      </c>
      <c r="AB481" s="193">
        <v>640</v>
      </c>
      <c r="AC481" s="193" t="s">
        <v>1500</v>
      </c>
      <c r="AD481" s="193" t="s">
        <v>136</v>
      </c>
      <c r="AE481" s="193">
        <v>640</v>
      </c>
      <c r="AF481" s="193" t="s">
        <v>518</v>
      </c>
      <c r="AG481" s="193" t="s">
        <v>519</v>
      </c>
      <c r="AH481" s="193">
        <v>0</v>
      </c>
      <c r="AI481" s="193">
        <v>640</v>
      </c>
      <c r="AJ481" s="193" t="s">
        <v>1846</v>
      </c>
      <c r="AL481" s="197" t="s">
        <v>1876</v>
      </c>
      <c r="AM481" s="193">
        <v>1</v>
      </c>
      <c r="AN481" s="193">
        <v>0</v>
      </c>
      <c r="AO481" s="193">
        <v>0</v>
      </c>
      <c r="AP481" s="193">
        <v>0</v>
      </c>
      <c r="AQ481" s="193" t="s">
        <v>214</v>
      </c>
      <c r="AS481" s="197" t="s">
        <v>518</v>
      </c>
      <c r="AT481" s="197" t="s">
        <v>519</v>
      </c>
      <c r="AV481" s="196">
        <v>640</v>
      </c>
      <c r="AW481" s="196">
        <v>0</v>
      </c>
      <c r="AX481" s="196">
        <v>0</v>
      </c>
      <c r="AY481" s="550">
        <v>640</v>
      </c>
      <c r="AZ481" s="196">
        <v>0</v>
      </c>
      <c r="BA481" s="196">
        <v>0</v>
      </c>
      <c r="BB481" s="551">
        <v>0</v>
      </c>
      <c r="BC481" s="551">
        <v>640</v>
      </c>
      <c r="BD481" s="551">
        <v>0</v>
      </c>
      <c r="BF481" s="550">
        <f t="shared" si="102"/>
        <v>640</v>
      </c>
      <c r="BG481" s="550">
        <f t="shared" si="103"/>
        <v>0</v>
      </c>
      <c r="BH481" s="550">
        <f t="shared" si="104"/>
        <v>0</v>
      </c>
      <c r="BI481" s="550">
        <f t="shared" si="105"/>
        <v>640</v>
      </c>
      <c r="BJ481" s="550">
        <f t="shared" si="106"/>
        <v>0</v>
      </c>
      <c r="BK481" s="550">
        <f t="shared" si="107"/>
        <v>0</v>
      </c>
      <c r="BL481" s="550">
        <f t="shared" si="108"/>
        <v>0</v>
      </c>
      <c r="BM481" s="550">
        <f t="shared" si="109"/>
        <v>640</v>
      </c>
      <c r="BO481" s="194"/>
      <c r="BQ481" s="193">
        <f t="shared" si="110"/>
        <v>0</v>
      </c>
      <c r="BR481" s="193">
        <f t="shared" si="111"/>
        <v>0</v>
      </c>
    </row>
    <row r="482" spans="1:70" ht="13.5" customHeight="1">
      <c r="A482" s="193" t="s">
        <v>378</v>
      </c>
      <c r="B482" s="193" t="s">
        <v>379</v>
      </c>
      <c r="C482" s="193" t="s">
        <v>214</v>
      </c>
      <c r="D482" s="193" t="s">
        <v>482</v>
      </c>
      <c r="E482" s="193" t="s">
        <v>483</v>
      </c>
      <c r="F482" s="193" t="s">
        <v>1840</v>
      </c>
      <c r="G482" s="193" t="s">
        <v>1840</v>
      </c>
      <c r="H482" s="193" t="s">
        <v>1877</v>
      </c>
      <c r="I482" s="193" t="s">
        <v>384</v>
      </c>
      <c r="J482" s="193" t="s">
        <v>1878</v>
      </c>
      <c r="K482" s="193" t="s">
        <v>386</v>
      </c>
      <c r="L482" s="193" t="s">
        <v>387</v>
      </c>
      <c r="M482" s="193" t="s">
        <v>378</v>
      </c>
      <c r="N482" s="193" t="s">
        <v>1497</v>
      </c>
      <c r="O482" s="193" t="s">
        <v>129</v>
      </c>
      <c r="P482" s="193" t="s">
        <v>138</v>
      </c>
      <c r="Q482" s="193" t="s">
        <v>137</v>
      </c>
      <c r="R482" s="193" t="s">
        <v>136</v>
      </c>
      <c r="S482" s="193" t="s">
        <v>214</v>
      </c>
      <c r="T482" s="193" t="s">
        <v>389</v>
      </c>
      <c r="U482" s="193" t="s">
        <v>390</v>
      </c>
      <c r="V482" s="193">
        <v>0</v>
      </c>
      <c r="W482" s="193">
        <v>0</v>
      </c>
      <c r="X482" s="193">
        <v>0</v>
      </c>
      <c r="Y482" s="194">
        <v>4680</v>
      </c>
      <c r="Z482" s="193" t="s">
        <v>1498</v>
      </c>
      <c r="AA482" s="193" t="s">
        <v>1499</v>
      </c>
      <c r="AB482" s="193">
        <v>4680</v>
      </c>
      <c r="AC482" s="193" t="s">
        <v>1500</v>
      </c>
      <c r="AD482" s="193" t="s">
        <v>136</v>
      </c>
      <c r="AE482" s="193">
        <v>4680</v>
      </c>
      <c r="AF482" s="193" t="s">
        <v>518</v>
      </c>
      <c r="AG482" s="193" t="s">
        <v>519</v>
      </c>
      <c r="AH482" s="193">
        <v>0</v>
      </c>
      <c r="AI482" s="193">
        <v>4680</v>
      </c>
      <c r="AJ482" s="193" t="s">
        <v>1879</v>
      </c>
      <c r="AL482" s="197" t="s">
        <v>1880</v>
      </c>
      <c r="AM482" s="193">
        <v>1</v>
      </c>
      <c r="AN482" s="193">
        <v>0</v>
      </c>
      <c r="AO482" s="193">
        <v>0</v>
      </c>
      <c r="AP482" s="193">
        <v>0</v>
      </c>
      <c r="AQ482" s="193" t="s">
        <v>214</v>
      </c>
      <c r="AS482" s="197" t="s">
        <v>518</v>
      </c>
      <c r="AT482" s="197" t="s">
        <v>519</v>
      </c>
      <c r="AV482" s="196">
        <v>4680</v>
      </c>
      <c r="AW482" s="196">
        <v>0</v>
      </c>
      <c r="AX482" s="196">
        <v>0</v>
      </c>
      <c r="AY482" s="550">
        <v>4680</v>
      </c>
      <c r="AZ482" s="196">
        <v>0</v>
      </c>
      <c r="BA482" s="196">
        <v>0</v>
      </c>
      <c r="BB482" s="551">
        <v>0</v>
      </c>
      <c r="BC482" s="551">
        <v>4680</v>
      </c>
      <c r="BD482" s="551">
        <v>0</v>
      </c>
      <c r="BF482" s="550">
        <f t="shared" si="102"/>
        <v>4680</v>
      </c>
      <c r="BG482" s="550">
        <f t="shared" si="103"/>
        <v>0</v>
      </c>
      <c r="BH482" s="550">
        <f t="shared" si="104"/>
        <v>0</v>
      </c>
      <c r="BI482" s="550">
        <f t="shared" si="105"/>
        <v>4680</v>
      </c>
      <c r="BJ482" s="550">
        <f t="shared" si="106"/>
        <v>0</v>
      </c>
      <c r="BK482" s="550">
        <f t="shared" si="107"/>
        <v>0</v>
      </c>
      <c r="BL482" s="550">
        <f t="shared" si="108"/>
        <v>0</v>
      </c>
      <c r="BM482" s="550">
        <f t="shared" si="109"/>
        <v>4680</v>
      </c>
      <c r="BO482" s="194"/>
      <c r="BQ482" s="193">
        <f t="shared" si="110"/>
        <v>0</v>
      </c>
      <c r="BR482" s="193">
        <f t="shared" si="111"/>
        <v>0</v>
      </c>
    </row>
    <row r="483" spans="1:70" ht="13.5" customHeight="1">
      <c r="A483" s="193" t="s">
        <v>378</v>
      </c>
      <c r="B483" s="193" t="s">
        <v>379</v>
      </c>
      <c r="C483" s="193" t="s">
        <v>214</v>
      </c>
      <c r="D483" s="193" t="s">
        <v>482</v>
      </c>
      <c r="E483" s="193" t="s">
        <v>483</v>
      </c>
      <c r="F483" s="193" t="s">
        <v>1266</v>
      </c>
      <c r="G483" s="193" t="s">
        <v>1266</v>
      </c>
      <c r="H483" s="193" t="s">
        <v>1881</v>
      </c>
      <c r="I483" s="193" t="s">
        <v>384</v>
      </c>
      <c r="J483" s="193" t="s">
        <v>1882</v>
      </c>
      <c r="K483" s="193" t="s">
        <v>386</v>
      </c>
      <c r="L483" s="193" t="s">
        <v>387</v>
      </c>
      <c r="M483" s="193" t="s">
        <v>378</v>
      </c>
      <c r="N483" s="193" t="s">
        <v>1497</v>
      </c>
      <c r="O483" s="193" t="s">
        <v>129</v>
      </c>
      <c r="P483" s="193" t="s">
        <v>138</v>
      </c>
      <c r="Q483" s="193" t="s">
        <v>137</v>
      </c>
      <c r="R483" s="193" t="s">
        <v>136</v>
      </c>
      <c r="S483" s="193" t="s">
        <v>214</v>
      </c>
      <c r="T483" s="193" t="s">
        <v>389</v>
      </c>
      <c r="U483" s="193" t="s">
        <v>390</v>
      </c>
      <c r="V483" s="193">
        <v>0</v>
      </c>
      <c r="W483" s="193">
        <v>0</v>
      </c>
      <c r="X483" s="193">
        <v>0</v>
      </c>
      <c r="Y483" s="194">
        <v>14880</v>
      </c>
      <c r="Z483" s="193" t="s">
        <v>1498</v>
      </c>
      <c r="AA483" s="193" t="s">
        <v>1499</v>
      </c>
      <c r="AB483" s="193">
        <v>14880</v>
      </c>
      <c r="AC483" s="193" t="s">
        <v>1500</v>
      </c>
      <c r="AD483" s="193" t="s">
        <v>136</v>
      </c>
      <c r="AE483" s="193">
        <v>14880</v>
      </c>
      <c r="AF483" s="193" t="s">
        <v>518</v>
      </c>
      <c r="AG483" s="193" t="s">
        <v>519</v>
      </c>
      <c r="AH483" s="193">
        <v>0</v>
      </c>
      <c r="AI483" s="193">
        <v>14880</v>
      </c>
      <c r="AJ483" s="193" t="s">
        <v>1883</v>
      </c>
      <c r="AL483" s="197" t="s">
        <v>1884</v>
      </c>
      <c r="AM483" s="193">
        <v>1</v>
      </c>
      <c r="AN483" s="193">
        <v>0</v>
      </c>
      <c r="AO483" s="193">
        <v>0</v>
      </c>
      <c r="AP483" s="193">
        <v>0</v>
      </c>
      <c r="AQ483" s="193" t="s">
        <v>214</v>
      </c>
      <c r="AS483" s="197" t="s">
        <v>518</v>
      </c>
      <c r="AT483" s="197" t="s">
        <v>519</v>
      </c>
      <c r="AV483" s="194">
        <v>14880</v>
      </c>
      <c r="AW483" s="194">
        <v>0</v>
      </c>
      <c r="AX483" s="194">
        <v>0</v>
      </c>
      <c r="AY483" s="549">
        <v>14880</v>
      </c>
      <c r="AZ483" s="194">
        <v>0</v>
      </c>
      <c r="BA483" s="194">
        <v>0</v>
      </c>
      <c r="BB483" s="551">
        <v>0</v>
      </c>
      <c r="BC483" s="551">
        <v>14880</v>
      </c>
      <c r="BD483" s="551">
        <v>0</v>
      </c>
      <c r="BF483" s="550">
        <f t="shared" si="102"/>
        <v>14880</v>
      </c>
      <c r="BG483" s="550">
        <f t="shared" si="103"/>
        <v>0</v>
      </c>
      <c r="BH483" s="550">
        <f t="shared" si="104"/>
        <v>0</v>
      </c>
      <c r="BI483" s="550">
        <f t="shared" si="105"/>
        <v>14880</v>
      </c>
      <c r="BJ483" s="550">
        <f t="shared" si="106"/>
        <v>0</v>
      </c>
      <c r="BK483" s="550">
        <f t="shared" si="107"/>
        <v>0</v>
      </c>
      <c r="BL483" s="550">
        <f t="shared" si="108"/>
        <v>0</v>
      </c>
      <c r="BM483" s="550">
        <f t="shared" si="109"/>
        <v>14880</v>
      </c>
      <c r="BO483" s="194"/>
      <c r="BQ483" s="193">
        <f t="shared" si="110"/>
        <v>0</v>
      </c>
      <c r="BR483" s="193">
        <f t="shared" si="111"/>
        <v>0</v>
      </c>
    </row>
    <row r="484" spans="1:70" ht="13.5" customHeight="1">
      <c r="A484" s="193" t="s">
        <v>378</v>
      </c>
      <c r="B484" s="193" t="s">
        <v>379</v>
      </c>
      <c r="C484" s="193" t="s">
        <v>214</v>
      </c>
      <c r="D484" s="193" t="s">
        <v>482</v>
      </c>
      <c r="E484" s="193" t="s">
        <v>483</v>
      </c>
      <c r="F484" s="193" t="s">
        <v>1266</v>
      </c>
      <c r="G484" s="193" t="s">
        <v>1266</v>
      </c>
      <c r="H484" s="193" t="s">
        <v>1885</v>
      </c>
      <c r="I484" s="193" t="s">
        <v>384</v>
      </c>
      <c r="J484" s="193" t="s">
        <v>1886</v>
      </c>
      <c r="K484" s="193" t="s">
        <v>386</v>
      </c>
      <c r="L484" s="193" t="s">
        <v>387</v>
      </c>
      <c r="M484" s="193" t="s">
        <v>378</v>
      </c>
      <c r="N484" s="193" t="s">
        <v>1497</v>
      </c>
      <c r="O484" s="193" t="s">
        <v>129</v>
      </c>
      <c r="P484" s="193" t="s">
        <v>138</v>
      </c>
      <c r="Q484" s="193" t="s">
        <v>137</v>
      </c>
      <c r="R484" s="193" t="s">
        <v>136</v>
      </c>
      <c r="S484" s="193" t="s">
        <v>214</v>
      </c>
      <c r="T484" s="193" t="s">
        <v>389</v>
      </c>
      <c r="U484" s="193" t="s">
        <v>390</v>
      </c>
      <c r="V484" s="193">
        <v>0</v>
      </c>
      <c r="W484" s="193">
        <v>0</v>
      </c>
      <c r="X484" s="193">
        <v>0</v>
      </c>
      <c r="Y484" s="194">
        <v>12972</v>
      </c>
      <c r="Z484" s="193" t="s">
        <v>1498</v>
      </c>
      <c r="AA484" s="193" t="s">
        <v>1499</v>
      </c>
      <c r="AB484" s="193">
        <v>12972</v>
      </c>
      <c r="AC484" s="193" t="s">
        <v>1500</v>
      </c>
      <c r="AD484" s="193" t="s">
        <v>136</v>
      </c>
      <c r="AE484" s="193">
        <v>12972</v>
      </c>
      <c r="AF484" s="193" t="s">
        <v>518</v>
      </c>
      <c r="AG484" s="193" t="s">
        <v>519</v>
      </c>
      <c r="AH484" s="193">
        <v>0</v>
      </c>
      <c r="AI484" s="193">
        <v>12972</v>
      </c>
      <c r="AJ484" s="193" t="s">
        <v>1887</v>
      </c>
      <c r="AL484" s="197" t="s">
        <v>1888</v>
      </c>
      <c r="AM484" s="193">
        <v>1</v>
      </c>
      <c r="AN484" s="193">
        <v>0</v>
      </c>
      <c r="AO484" s="193">
        <v>0</v>
      </c>
      <c r="AP484" s="193">
        <v>0</v>
      </c>
      <c r="AQ484" s="193" t="s">
        <v>214</v>
      </c>
      <c r="AS484" s="197" t="s">
        <v>518</v>
      </c>
      <c r="AT484" s="197" t="s">
        <v>519</v>
      </c>
      <c r="AV484" s="194">
        <v>12972</v>
      </c>
      <c r="AW484" s="194">
        <v>0</v>
      </c>
      <c r="AX484" s="194">
        <v>0</v>
      </c>
      <c r="AY484" s="549">
        <v>12972</v>
      </c>
      <c r="AZ484" s="194">
        <v>0</v>
      </c>
      <c r="BA484" s="194">
        <v>0</v>
      </c>
      <c r="BB484" s="551">
        <v>0</v>
      </c>
      <c r="BC484" s="551">
        <v>12972</v>
      </c>
      <c r="BD484" s="551">
        <v>0</v>
      </c>
      <c r="BF484" s="550">
        <f t="shared" si="102"/>
        <v>12972</v>
      </c>
      <c r="BG484" s="550">
        <f t="shared" si="103"/>
        <v>0</v>
      </c>
      <c r="BH484" s="550">
        <f t="shared" si="104"/>
        <v>0</v>
      </c>
      <c r="BI484" s="550">
        <f t="shared" si="105"/>
        <v>12972</v>
      </c>
      <c r="BJ484" s="550">
        <f t="shared" si="106"/>
        <v>0</v>
      </c>
      <c r="BK484" s="550">
        <f t="shared" si="107"/>
        <v>0</v>
      </c>
      <c r="BL484" s="550">
        <f t="shared" si="108"/>
        <v>0</v>
      </c>
      <c r="BM484" s="550">
        <f t="shared" si="109"/>
        <v>12972</v>
      </c>
      <c r="BO484" s="194"/>
      <c r="BQ484" s="193">
        <f t="shared" si="110"/>
        <v>0</v>
      </c>
      <c r="BR484" s="193">
        <f t="shared" si="111"/>
        <v>0</v>
      </c>
    </row>
    <row r="485" spans="1:70" ht="13.5" customHeight="1">
      <c r="A485" s="193" t="s">
        <v>378</v>
      </c>
      <c r="B485" s="193" t="s">
        <v>379</v>
      </c>
      <c r="C485" s="193" t="s">
        <v>214</v>
      </c>
      <c r="D485" s="193" t="s">
        <v>482</v>
      </c>
      <c r="E485" s="193" t="s">
        <v>483</v>
      </c>
      <c r="F485" s="193" t="s">
        <v>1266</v>
      </c>
      <c r="G485" s="193" t="s">
        <v>1266</v>
      </c>
      <c r="H485" s="193" t="s">
        <v>1889</v>
      </c>
      <c r="I485" s="193" t="s">
        <v>384</v>
      </c>
      <c r="J485" s="193" t="s">
        <v>1890</v>
      </c>
      <c r="K485" s="193" t="s">
        <v>386</v>
      </c>
      <c r="L485" s="193" t="s">
        <v>387</v>
      </c>
      <c r="M485" s="193" t="s">
        <v>378</v>
      </c>
      <c r="N485" s="193" t="s">
        <v>1497</v>
      </c>
      <c r="O485" s="193" t="s">
        <v>129</v>
      </c>
      <c r="P485" s="193" t="s">
        <v>138</v>
      </c>
      <c r="Q485" s="193" t="s">
        <v>137</v>
      </c>
      <c r="R485" s="193" t="s">
        <v>136</v>
      </c>
      <c r="S485" s="193" t="s">
        <v>214</v>
      </c>
      <c r="T485" s="193" t="s">
        <v>389</v>
      </c>
      <c r="U485" s="193" t="s">
        <v>390</v>
      </c>
      <c r="V485" s="193">
        <v>0</v>
      </c>
      <c r="W485" s="193">
        <v>0</v>
      </c>
      <c r="X485" s="193">
        <v>0</v>
      </c>
      <c r="Y485" s="194">
        <v>10210</v>
      </c>
      <c r="Z485" s="193" t="s">
        <v>1498</v>
      </c>
      <c r="AA485" s="193" t="s">
        <v>1499</v>
      </c>
      <c r="AB485" s="193">
        <v>10210</v>
      </c>
      <c r="AC485" s="193" t="s">
        <v>1500</v>
      </c>
      <c r="AD485" s="193" t="s">
        <v>136</v>
      </c>
      <c r="AE485" s="193">
        <v>10210</v>
      </c>
      <c r="AF485" s="193" t="s">
        <v>518</v>
      </c>
      <c r="AG485" s="193" t="s">
        <v>519</v>
      </c>
      <c r="AH485" s="193">
        <v>0</v>
      </c>
      <c r="AI485" s="193">
        <v>10210</v>
      </c>
      <c r="AJ485" s="193" t="s">
        <v>1891</v>
      </c>
      <c r="AL485" s="197" t="s">
        <v>1892</v>
      </c>
      <c r="AM485" s="193">
        <v>1</v>
      </c>
      <c r="AN485" s="193">
        <v>0</v>
      </c>
      <c r="AO485" s="193">
        <v>0</v>
      </c>
      <c r="AP485" s="193">
        <v>0</v>
      </c>
      <c r="AQ485" s="193" t="s">
        <v>214</v>
      </c>
      <c r="AS485" s="197" t="s">
        <v>518</v>
      </c>
      <c r="AT485" s="197" t="s">
        <v>519</v>
      </c>
      <c r="AV485" s="194">
        <v>10210</v>
      </c>
      <c r="AW485" s="194">
        <v>0</v>
      </c>
      <c r="AX485" s="194">
        <v>0</v>
      </c>
      <c r="AY485" s="549">
        <v>10210</v>
      </c>
      <c r="AZ485" s="194">
        <v>0</v>
      </c>
      <c r="BA485" s="194">
        <v>0</v>
      </c>
      <c r="BB485" s="551">
        <v>0</v>
      </c>
      <c r="BC485" s="551">
        <v>10210</v>
      </c>
      <c r="BD485" s="551">
        <v>0</v>
      </c>
      <c r="BF485" s="550">
        <f t="shared" si="102"/>
        <v>10210</v>
      </c>
      <c r="BG485" s="550">
        <f t="shared" si="103"/>
        <v>0</v>
      </c>
      <c r="BH485" s="550">
        <f t="shared" si="104"/>
        <v>0</v>
      </c>
      <c r="BI485" s="550">
        <f t="shared" si="105"/>
        <v>10210</v>
      </c>
      <c r="BJ485" s="550">
        <f t="shared" si="106"/>
        <v>0</v>
      </c>
      <c r="BK485" s="550">
        <f t="shared" si="107"/>
        <v>0</v>
      </c>
      <c r="BL485" s="550">
        <f t="shared" si="108"/>
        <v>0</v>
      </c>
      <c r="BM485" s="550">
        <f t="shared" si="109"/>
        <v>10210</v>
      </c>
      <c r="BO485" s="194"/>
      <c r="BQ485" s="193">
        <f t="shared" si="110"/>
        <v>0</v>
      </c>
      <c r="BR485" s="193">
        <f t="shared" si="111"/>
        <v>0</v>
      </c>
    </row>
    <row r="486" spans="1:70" ht="13.5" customHeight="1">
      <c r="A486" s="193" t="s">
        <v>378</v>
      </c>
      <c r="B486" s="193" t="s">
        <v>379</v>
      </c>
      <c r="C486" s="193" t="s">
        <v>214</v>
      </c>
      <c r="D486" s="193" t="s">
        <v>482</v>
      </c>
      <c r="E486" s="193" t="s">
        <v>483</v>
      </c>
      <c r="F486" s="193" t="s">
        <v>1840</v>
      </c>
      <c r="G486" s="193" t="s">
        <v>1840</v>
      </c>
      <c r="H486" s="193" t="s">
        <v>1893</v>
      </c>
      <c r="I486" s="193" t="s">
        <v>384</v>
      </c>
      <c r="J486" s="193" t="s">
        <v>1894</v>
      </c>
      <c r="K486" s="193" t="s">
        <v>386</v>
      </c>
      <c r="L486" s="193" t="s">
        <v>387</v>
      </c>
      <c r="M486" s="193" t="s">
        <v>378</v>
      </c>
      <c r="N486" s="193" t="s">
        <v>1497</v>
      </c>
      <c r="O486" s="193" t="s">
        <v>129</v>
      </c>
      <c r="P486" s="193" t="s">
        <v>138</v>
      </c>
      <c r="Q486" s="193" t="s">
        <v>137</v>
      </c>
      <c r="R486" s="193" t="s">
        <v>136</v>
      </c>
      <c r="S486" s="193" t="s">
        <v>214</v>
      </c>
      <c r="T486" s="193" t="s">
        <v>389</v>
      </c>
      <c r="U486" s="193" t="s">
        <v>390</v>
      </c>
      <c r="V486" s="193">
        <v>0</v>
      </c>
      <c r="W486" s="193">
        <v>0</v>
      </c>
      <c r="X486" s="193">
        <v>0</v>
      </c>
      <c r="Y486" s="194">
        <v>18800</v>
      </c>
      <c r="Z486" s="193" t="s">
        <v>1498</v>
      </c>
      <c r="AA486" s="193" t="s">
        <v>1499</v>
      </c>
      <c r="AB486" s="193">
        <v>18800</v>
      </c>
      <c r="AC486" s="193" t="s">
        <v>1500</v>
      </c>
      <c r="AD486" s="193" t="s">
        <v>136</v>
      </c>
      <c r="AE486" s="193">
        <v>18800</v>
      </c>
      <c r="AF486" s="193" t="s">
        <v>518</v>
      </c>
      <c r="AG486" s="193" t="s">
        <v>519</v>
      </c>
      <c r="AH486" s="193">
        <v>0</v>
      </c>
      <c r="AI486" s="193">
        <v>18800</v>
      </c>
      <c r="AJ486" s="193" t="s">
        <v>1895</v>
      </c>
      <c r="AL486" s="197" t="s">
        <v>1896</v>
      </c>
      <c r="AM486" s="193">
        <v>1</v>
      </c>
      <c r="AN486" s="193">
        <v>0</v>
      </c>
      <c r="AO486" s="193">
        <v>0</v>
      </c>
      <c r="AP486" s="193">
        <v>0</v>
      </c>
      <c r="AQ486" s="193" t="s">
        <v>214</v>
      </c>
      <c r="AS486" s="197" t="s">
        <v>518</v>
      </c>
      <c r="AT486" s="197" t="s">
        <v>519</v>
      </c>
      <c r="AV486" s="194">
        <v>18800</v>
      </c>
      <c r="AW486" s="194">
        <v>0</v>
      </c>
      <c r="AX486" s="194">
        <v>0</v>
      </c>
      <c r="AY486" s="549">
        <v>18800</v>
      </c>
      <c r="AZ486" s="194">
        <v>0</v>
      </c>
      <c r="BA486" s="194">
        <v>0</v>
      </c>
      <c r="BB486" s="551">
        <v>0</v>
      </c>
      <c r="BC486" s="551">
        <v>18800</v>
      </c>
      <c r="BD486" s="551">
        <v>0</v>
      </c>
      <c r="BF486" s="550">
        <f t="shared" si="102"/>
        <v>18800</v>
      </c>
      <c r="BG486" s="550">
        <f t="shared" si="103"/>
        <v>0</v>
      </c>
      <c r="BH486" s="550">
        <f t="shared" si="104"/>
        <v>0</v>
      </c>
      <c r="BI486" s="550">
        <f t="shared" si="105"/>
        <v>18800</v>
      </c>
      <c r="BJ486" s="550">
        <f t="shared" si="106"/>
        <v>0</v>
      </c>
      <c r="BK486" s="550">
        <f t="shared" si="107"/>
        <v>0</v>
      </c>
      <c r="BL486" s="550">
        <f t="shared" si="108"/>
        <v>0</v>
      </c>
      <c r="BM486" s="550">
        <f t="shared" si="109"/>
        <v>18800</v>
      </c>
      <c r="BO486" s="194"/>
      <c r="BQ486" s="193">
        <f t="shared" si="110"/>
        <v>0</v>
      </c>
      <c r="BR486" s="193">
        <f t="shared" si="111"/>
        <v>0</v>
      </c>
    </row>
    <row r="487" spans="1:70" ht="13.5" customHeight="1">
      <c r="A487" s="193" t="s">
        <v>378</v>
      </c>
      <c r="B487" s="193" t="s">
        <v>379</v>
      </c>
      <c r="C487" s="193" t="s">
        <v>214</v>
      </c>
      <c r="D487" s="193" t="s">
        <v>482</v>
      </c>
      <c r="E487" s="193" t="s">
        <v>483</v>
      </c>
      <c r="F487" s="193" t="s">
        <v>1840</v>
      </c>
      <c r="G487" s="193" t="s">
        <v>1840</v>
      </c>
      <c r="H487" s="193" t="s">
        <v>1897</v>
      </c>
      <c r="I487" s="193" t="s">
        <v>384</v>
      </c>
      <c r="J487" s="193" t="s">
        <v>1898</v>
      </c>
      <c r="K487" s="193" t="s">
        <v>386</v>
      </c>
      <c r="L487" s="193" t="s">
        <v>387</v>
      </c>
      <c r="M487" s="193" t="s">
        <v>378</v>
      </c>
      <c r="N487" s="193" t="s">
        <v>1497</v>
      </c>
      <c r="O487" s="193" t="s">
        <v>129</v>
      </c>
      <c r="P487" s="193" t="s">
        <v>138</v>
      </c>
      <c r="Q487" s="193" t="s">
        <v>137</v>
      </c>
      <c r="R487" s="193" t="s">
        <v>136</v>
      </c>
      <c r="S487" s="193" t="s">
        <v>214</v>
      </c>
      <c r="T487" s="193" t="s">
        <v>389</v>
      </c>
      <c r="U487" s="193" t="s">
        <v>390</v>
      </c>
      <c r="V487" s="193">
        <v>0</v>
      </c>
      <c r="W487" s="193">
        <v>0</v>
      </c>
      <c r="X487" s="193">
        <v>0</v>
      </c>
      <c r="Y487" s="194">
        <v>5920</v>
      </c>
      <c r="Z487" s="193" t="s">
        <v>1498</v>
      </c>
      <c r="AA487" s="193" t="s">
        <v>1499</v>
      </c>
      <c r="AB487" s="193">
        <v>5920</v>
      </c>
      <c r="AC487" s="193" t="s">
        <v>1500</v>
      </c>
      <c r="AD487" s="193" t="s">
        <v>136</v>
      </c>
      <c r="AE487" s="193">
        <v>5920</v>
      </c>
      <c r="AF487" s="193" t="s">
        <v>518</v>
      </c>
      <c r="AG487" s="193" t="s">
        <v>519</v>
      </c>
      <c r="AH487" s="193">
        <v>0</v>
      </c>
      <c r="AI487" s="193">
        <v>5920</v>
      </c>
      <c r="AJ487" s="193" t="s">
        <v>1899</v>
      </c>
      <c r="AL487" s="197" t="s">
        <v>1900</v>
      </c>
      <c r="AM487" s="193">
        <v>1</v>
      </c>
      <c r="AN487" s="193">
        <v>0</v>
      </c>
      <c r="AO487" s="193">
        <v>0</v>
      </c>
      <c r="AP487" s="193">
        <v>0</v>
      </c>
      <c r="AQ487" s="193" t="s">
        <v>214</v>
      </c>
      <c r="AS487" s="197" t="s">
        <v>518</v>
      </c>
      <c r="AT487" s="197" t="s">
        <v>519</v>
      </c>
      <c r="AV487" s="194">
        <v>5920</v>
      </c>
      <c r="AW487" s="194">
        <v>0</v>
      </c>
      <c r="AX487" s="194">
        <v>0</v>
      </c>
      <c r="AY487" s="549">
        <v>5920</v>
      </c>
      <c r="AZ487" s="194">
        <v>0</v>
      </c>
      <c r="BA487" s="194">
        <v>0</v>
      </c>
      <c r="BB487" s="551">
        <v>0</v>
      </c>
      <c r="BC487" s="551">
        <v>5920</v>
      </c>
      <c r="BD487" s="551">
        <v>0</v>
      </c>
      <c r="BF487" s="550">
        <f t="shared" si="102"/>
        <v>5920</v>
      </c>
      <c r="BG487" s="550">
        <f t="shared" si="103"/>
        <v>0</v>
      </c>
      <c r="BH487" s="550">
        <f t="shared" si="104"/>
        <v>0</v>
      </c>
      <c r="BI487" s="550">
        <f t="shared" si="105"/>
        <v>5920</v>
      </c>
      <c r="BJ487" s="550">
        <f t="shared" si="106"/>
        <v>0</v>
      </c>
      <c r="BK487" s="550">
        <f t="shared" si="107"/>
        <v>0</v>
      </c>
      <c r="BL487" s="550">
        <f t="shared" si="108"/>
        <v>0</v>
      </c>
      <c r="BM487" s="550">
        <f t="shared" si="109"/>
        <v>5920</v>
      </c>
      <c r="BO487" s="194"/>
      <c r="BQ487" s="193">
        <f t="shared" si="110"/>
        <v>0</v>
      </c>
      <c r="BR487" s="193">
        <f t="shared" si="111"/>
        <v>0</v>
      </c>
    </row>
    <row r="488" spans="1:70" ht="13.5" customHeight="1">
      <c r="A488" s="193" t="s">
        <v>378</v>
      </c>
      <c r="B488" s="193" t="s">
        <v>379</v>
      </c>
      <c r="C488" s="193" t="s">
        <v>214</v>
      </c>
      <c r="D488" s="193" t="s">
        <v>482</v>
      </c>
      <c r="E488" s="193" t="s">
        <v>483</v>
      </c>
      <c r="F488" s="193" t="s">
        <v>755</v>
      </c>
      <c r="G488" s="193" t="s">
        <v>755</v>
      </c>
      <c r="H488" s="193" t="s">
        <v>1901</v>
      </c>
      <c r="I488" s="193" t="s">
        <v>384</v>
      </c>
      <c r="J488" s="193" t="s">
        <v>1902</v>
      </c>
      <c r="K488" s="193" t="s">
        <v>386</v>
      </c>
      <c r="L488" s="193" t="s">
        <v>387</v>
      </c>
      <c r="M488" s="193" t="s">
        <v>378</v>
      </c>
      <c r="N488" s="193" t="s">
        <v>1497</v>
      </c>
      <c r="O488" s="193" t="s">
        <v>129</v>
      </c>
      <c r="P488" s="193" t="s">
        <v>138</v>
      </c>
      <c r="Q488" s="193" t="s">
        <v>137</v>
      </c>
      <c r="R488" s="193" t="s">
        <v>136</v>
      </c>
      <c r="S488" s="193" t="s">
        <v>214</v>
      </c>
      <c r="T488" s="193" t="s">
        <v>389</v>
      </c>
      <c r="U488" s="193" t="s">
        <v>390</v>
      </c>
      <c r="V488" s="193">
        <v>0</v>
      </c>
      <c r="W488" s="193">
        <v>0</v>
      </c>
      <c r="X488" s="193">
        <v>0</v>
      </c>
      <c r="Y488" s="194">
        <v>3366</v>
      </c>
      <c r="Z488" s="193" t="s">
        <v>1498</v>
      </c>
      <c r="AA488" s="193" t="s">
        <v>1499</v>
      </c>
      <c r="AB488" s="193">
        <v>3366</v>
      </c>
      <c r="AC488" s="193" t="s">
        <v>1500</v>
      </c>
      <c r="AD488" s="193" t="s">
        <v>136</v>
      </c>
      <c r="AE488" s="193">
        <v>3366</v>
      </c>
      <c r="AF488" s="193" t="s">
        <v>518</v>
      </c>
      <c r="AG488" s="193" t="s">
        <v>519</v>
      </c>
      <c r="AH488" s="193">
        <v>0</v>
      </c>
      <c r="AI488" s="193">
        <v>3366</v>
      </c>
      <c r="AJ488" s="193" t="s">
        <v>1903</v>
      </c>
      <c r="AL488" s="197" t="s">
        <v>1904</v>
      </c>
      <c r="AM488" s="193">
        <v>1</v>
      </c>
      <c r="AN488" s="193">
        <v>0</v>
      </c>
      <c r="AO488" s="193">
        <v>0</v>
      </c>
      <c r="AP488" s="193">
        <v>0</v>
      </c>
      <c r="AQ488" s="193" t="s">
        <v>214</v>
      </c>
      <c r="AS488" s="197" t="s">
        <v>518</v>
      </c>
      <c r="AT488" s="197" t="s">
        <v>519</v>
      </c>
      <c r="AV488" s="194">
        <v>3366</v>
      </c>
      <c r="AW488" s="194">
        <v>0</v>
      </c>
      <c r="AX488" s="194">
        <v>0</v>
      </c>
      <c r="AY488" s="549">
        <v>3366</v>
      </c>
      <c r="AZ488" s="194">
        <v>0</v>
      </c>
      <c r="BA488" s="194">
        <v>0</v>
      </c>
      <c r="BB488" s="551">
        <v>0</v>
      </c>
      <c r="BC488" s="551">
        <v>3366</v>
      </c>
      <c r="BD488" s="551">
        <v>0</v>
      </c>
      <c r="BF488" s="550">
        <f t="shared" si="102"/>
        <v>3366</v>
      </c>
      <c r="BG488" s="550">
        <f t="shared" si="103"/>
        <v>0</v>
      </c>
      <c r="BH488" s="550">
        <f t="shared" si="104"/>
        <v>0</v>
      </c>
      <c r="BI488" s="550">
        <f t="shared" si="105"/>
        <v>3366</v>
      </c>
      <c r="BJ488" s="550">
        <f t="shared" si="106"/>
        <v>0</v>
      </c>
      <c r="BK488" s="550">
        <f t="shared" si="107"/>
        <v>0</v>
      </c>
      <c r="BL488" s="550">
        <f t="shared" si="108"/>
        <v>0</v>
      </c>
      <c r="BM488" s="550">
        <f t="shared" si="109"/>
        <v>3366</v>
      </c>
      <c r="BO488" s="194"/>
      <c r="BQ488" s="193">
        <f t="shared" si="110"/>
        <v>0</v>
      </c>
      <c r="BR488" s="193">
        <f t="shared" si="111"/>
        <v>0</v>
      </c>
    </row>
    <row r="489" spans="1:70" ht="13.5" customHeight="1">
      <c r="A489" s="193" t="s">
        <v>378</v>
      </c>
      <c r="B489" s="193" t="s">
        <v>379</v>
      </c>
      <c r="C489" s="193" t="s">
        <v>214</v>
      </c>
      <c r="D489" s="193" t="s">
        <v>482</v>
      </c>
      <c r="E489" s="193" t="s">
        <v>483</v>
      </c>
      <c r="F489" s="193" t="s">
        <v>1840</v>
      </c>
      <c r="G489" s="193" t="s">
        <v>1840</v>
      </c>
      <c r="H489" s="193" t="s">
        <v>1905</v>
      </c>
      <c r="I489" s="193" t="s">
        <v>384</v>
      </c>
      <c r="J489" s="193" t="s">
        <v>1906</v>
      </c>
      <c r="K489" s="193" t="s">
        <v>386</v>
      </c>
      <c r="L489" s="193" t="s">
        <v>387</v>
      </c>
      <c r="M489" s="193" t="s">
        <v>378</v>
      </c>
      <c r="N489" s="193" t="s">
        <v>1497</v>
      </c>
      <c r="O489" s="193" t="s">
        <v>129</v>
      </c>
      <c r="P489" s="193" t="s">
        <v>138</v>
      </c>
      <c r="Q489" s="193" t="s">
        <v>137</v>
      </c>
      <c r="R489" s="193" t="s">
        <v>136</v>
      </c>
      <c r="S489" s="193" t="s">
        <v>214</v>
      </c>
      <c r="T489" s="193" t="s">
        <v>389</v>
      </c>
      <c r="U489" s="193" t="s">
        <v>390</v>
      </c>
      <c r="V489" s="193">
        <v>0</v>
      </c>
      <c r="W489" s="193">
        <v>0</v>
      </c>
      <c r="X489" s="193">
        <v>0</v>
      </c>
      <c r="Y489" s="194">
        <v>22</v>
      </c>
      <c r="Z489" s="193" t="s">
        <v>1498</v>
      </c>
      <c r="AA489" s="193" t="s">
        <v>1499</v>
      </c>
      <c r="AB489" s="193">
        <v>22</v>
      </c>
      <c r="AC489" s="193" t="s">
        <v>1500</v>
      </c>
      <c r="AD489" s="193" t="s">
        <v>136</v>
      </c>
      <c r="AE489" s="193">
        <v>22</v>
      </c>
      <c r="AF489" s="193" t="s">
        <v>518</v>
      </c>
      <c r="AG489" s="193" t="s">
        <v>519</v>
      </c>
      <c r="AH489" s="193">
        <v>0</v>
      </c>
      <c r="AI489" s="193">
        <v>22</v>
      </c>
      <c r="AJ489" s="193" t="s">
        <v>822</v>
      </c>
      <c r="AL489" s="197" t="s">
        <v>1907</v>
      </c>
      <c r="AM489" s="193">
        <v>1</v>
      </c>
      <c r="AN489" s="193">
        <v>0</v>
      </c>
      <c r="AO489" s="193">
        <v>0</v>
      </c>
      <c r="AP489" s="193">
        <v>0</v>
      </c>
      <c r="AQ489" s="193" t="s">
        <v>214</v>
      </c>
      <c r="AS489" s="197" t="s">
        <v>518</v>
      </c>
      <c r="AT489" s="197" t="s">
        <v>519</v>
      </c>
      <c r="AV489" s="194">
        <v>22</v>
      </c>
      <c r="AW489" s="194">
        <v>0</v>
      </c>
      <c r="AX489" s="194">
        <v>0</v>
      </c>
      <c r="AY489" s="549">
        <v>22</v>
      </c>
      <c r="AZ489" s="194">
        <v>0</v>
      </c>
      <c r="BA489" s="194">
        <v>0</v>
      </c>
      <c r="BB489" s="551">
        <v>0</v>
      </c>
      <c r="BC489" s="551">
        <v>22</v>
      </c>
      <c r="BD489" s="551">
        <v>0</v>
      </c>
      <c r="BF489" s="550">
        <f t="shared" si="102"/>
        <v>22</v>
      </c>
      <c r="BG489" s="550">
        <f t="shared" si="103"/>
        <v>0</v>
      </c>
      <c r="BH489" s="550">
        <f t="shared" si="104"/>
        <v>0</v>
      </c>
      <c r="BI489" s="550">
        <f t="shared" si="105"/>
        <v>22</v>
      </c>
      <c r="BJ489" s="550">
        <f t="shared" si="106"/>
        <v>0</v>
      </c>
      <c r="BK489" s="550">
        <f t="shared" si="107"/>
        <v>0</v>
      </c>
      <c r="BL489" s="550">
        <f t="shared" si="108"/>
        <v>0</v>
      </c>
      <c r="BM489" s="550">
        <f t="shared" si="109"/>
        <v>22</v>
      </c>
      <c r="BO489" s="194"/>
      <c r="BQ489" s="193">
        <f t="shared" si="110"/>
        <v>0</v>
      </c>
      <c r="BR489" s="193">
        <f t="shared" si="111"/>
        <v>0</v>
      </c>
    </row>
    <row r="490" spans="1:70" ht="13.5" customHeight="1">
      <c r="A490" s="193" t="s">
        <v>378</v>
      </c>
      <c r="B490" s="193" t="s">
        <v>379</v>
      </c>
      <c r="C490" s="193" t="s">
        <v>214</v>
      </c>
      <c r="D490" s="193" t="s">
        <v>482</v>
      </c>
      <c r="E490" s="193" t="s">
        <v>483</v>
      </c>
      <c r="F490" s="193" t="s">
        <v>702</v>
      </c>
      <c r="G490" s="193" t="s">
        <v>702</v>
      </c>
      <c r="H490" s="193" t="s">
        <v>1908</v>
      </c>
      <c r="I490" s="193" t="s">
        <v>384</v>
      </c>
      <c r="J490" s="193" t="s">
        <v>1909</v>
      </c>
      <c r="K490" s="193" t="s">
        <v>386</v>
      </c>
      <c r="L490" s="193" t="s">
        <v>387</v>
      </c>
      <c r="M490" s="193" t="s">
        <v>378</v>
      </c>
      <c r="N490" s="193" t="s">
        <v>1497</v>
      </c>
      <c r="O490" s="193" t="s">
        <v>129</v>
      </c>
      <c r="P490" s="193" t="s">
        <v>138</v>
      </c>
      <c r="Q490" s="193" t="s">
        <v>137</v>
      </c>
      <c r="R490" s="193" t="s">
        <v>136</v>
      </c>
      <c r="S490" s="193" t="s">
        <v>214</v>
      </c>
      <c r="T490" s="193" t="s">
        <v>389</v>
      </c>
      <c r="U490" s="193" t="s">
        <v>390</v>
      </c>
      <c r="V490" s="193">
        <v>0</v>
      </c>
      <c r="W490" s="193">
        <v>0</v>
      </c>
      <c r="X490" s="193">
        <v>0</v>
      </c>
      <c r="Y490" s="194">
        <v>121</v>
      </c>
      <c r="Z490" s="193" t="s">
        <v>1498</v>
      </c>
      <c r="AA490" s="193" t="s">
        <v>1499</v>
      </c>
      <c r="AB490" s="193">
        <v>121</v>
      </c>
      <c r="AC490" s="193" t="s">
        <v>1500</v>
      </c>
      <c r="AD490" s="193" t="s">
        <v>136</v>
      </c>
      <c r="AE490" s="193">
        <v>121</v>
      </c>
      <c r="AF490" s="193" t="s">
        <v>518</v>
      </c>
      <c r="AG490" s="193" t="s">
        <v>519</v>
      </c>
      <c r="AH490" s="193">
        <v>0</v>
      </c>
      <c r="AI490" s="193">
        <v>121</v>
      </c>
      <c r="AJ490" s="193" t="s">
        <v>1910</v>
      </c>
      <c r="AL490" s="197" t="s">
        <v>1911</v>
      </c>
      <c r="AM490" s="193">
        <v>1</v>
      </c>
      <c r="AN490" s="193">
        <v>0</v>
      </c>
      <c r="AO490" s="193">
        <v>0</v>
      </c>
      <c r="AP490" s="193">
        <v>0</v>
      </c>
      <c r="AQ490" s="193" t="s">
        <v>214</v>
      </c>
      <c r="AS490" s="197" t="s">
        <v>518</v>
      </c>
      <c r="AT490" s="197" t="s">
        <v>519</v>
      </c>
      <c r="AV490" s="194">
        <v>121</v>
      </c>
      <c r="AW490" s="194">
        <v>0</v>
      </c>
      <c r="AX490" s="194">
        <v>0</v>
      </c>
      <c r="AY490" s="549">
        <v>121</v>
      </c>
      <c r="AZ490" s="194">
        <v>0</v>
      </c>
      <c r="BA490" s="194">
        <v>0</v>
      </c>
      <c r="BB490" s="551">
        <v>0</v>
      </c>
      <c r="BC490" s="551">
        <v>121</v>
      </c>
      <c r="BD490" s="551">
        <v>0</v>
      </c>
      <c r="BF490" s="550">
        <f t="shared" si="102"/>
        <v>121</v>
      </c>
      <c r="BG490" s="550">
        <f t="shared" si="103"/>
        <v>0</v>
      </c>
      <c r="BH490" s="550">
        <f t="shared" si="104"/>
        <v>0</v>
      </c>
      <c r="BI490" s="550">
        <f t="shared" si="105"/>
        <v>121</v>
      </c>
      <c r="BJ490" s="550">
        <f t="shared" si="106"/>
        <v>0</v>
      </c>
      <c r="BK490" s="550">
        <f t="shared" si="107"/>
        <v>0</v>
      </c>
      <c r="BL490" s="550">
        <f t="shared" si="108"/>
        <v>0</v>
      </c>
      <c r="BM490" s="550">
        <f t="shared" si="109"/>
        <v>121</v>
      </c>
      <c r="BO490" s="194"/>
      <c r="BQ490" s="193">
        <f t="shared" si="110"/>
        <v>0</v>
      </c>
      <c r="BR490" s="193">
        <f t="shared" si="111"/>
        <v>0</v>
      </c>
    </row>
    <row r="491" spans="1:70" ht="13.5" customHeight="1">
      <c r="A491" s="193" t="s">
        <v>378</v>
      </c>
      <c r="B491" s="193" t="s">
        <v>379</v>
      </c>
      <c r="C491" s="193" t="s">
        <v>214</v>
      </c>
      <c r="D491" s="193" t="s">
        <v>482</v>
      </c>
      <c r="E491" s="193" t="s">
        <v>483</v>
      </c>
      <c r="F491" s="193" t="s">
        <v>1840</v>
      </c>
      <c r="G491" s="193" t="s">
        <v>1840</v>
      </c>
      <c r="H491" s="193" t="s">
        <v>1912</v>
      </c>
      <c r="I491" s="193" t="s">
        <v>384</v>
      </c>
      <c r="J491" s="193" t="s">
        <v>1913</v>
      </c>
      <c r="K491" s="193" t="s">
        <v>386</v>
      </c>
      <c r="L491" s="193" t="s">
        <v>387</v>
      </c>
      <c r="M491" s="193" t="s">
        <v>378</v>
      </c>
      <c r="N491" s="193" t="s">
        <v>1497</v>
      </c>
      <c r="O491" s="193" t="s">
        <v>129</v>
      </c>
      <c r="P491" s="193" t="s">
        <v>138</v>
      </c>
      <c r="Q491" s="193" t="s">
        <v>137</v>
      </c>
      <c r="R491" s="193" t="s">
        <v>136</v>
      </c>
      <c r="S491" s="193" t="s">
        <v>214</v>
      </c>
      <c r="T491" s="193" t="s">
        <v>389</v>
      </c>
      <c r="U491" s="193" t="s">
        <v>390</v>
      </c>
      <c r="V491" s="193">
        <v>0</v>
      </c>
      <c r="W491" s="193">
        <v>0</v>
      </c>
      <c r="X491" s="193">
        <v>0</v>
      </c>
      <c r="Y491" s="194">
        <v>4500</v>
      </c>
      <c r="Z491" s="193" t="s">
        <v>1498</v>
      </c>
      <c r="AA491" s="193" t="s">
        <v>1499</v>
      </c>
      <c r="AB491" s="193">
        <v>4500</v>
      </c>
      <c r="AC491" s="193" t="s">
        <v>1500</v>
      </c>
      <c r="AD491" s="193" t="s">
        <v>136</v>
      </c>
      <c r="AE491" s="193">
        <v>4500</v>
      </c>
      <c r="AF491" s="193" t="s">
        <v>518</v>
      </c>
      <c r="AG491" s="193" t="s">
        <v>519</v>
      </c>
      <c r="AH491" s="193">
        <v>0</v>
      </c>
      <c r="AI491" s="193">
        <v>4500</v>
      </c>
      <c r="AJ491" s="193" t="s">
        <v>1895</v>
      </c>
      <c r="AL491" s="197" t="s">
        <v>1914</v>
      </c>
      <c r="AM491" s="193">
        <v>1</v>
      </c>
      <c r="AN491" s="193">
        <v>0</v>
      </c>
      <c r="AO491" s="193">
        <v>0</v>
      </c>
      <c r="AP491" s="193">
        <v>0</v>
      </c>
      <c r="AQ491" s="193" t="s">
        <v>214</v>
      </c>
      <c r="AS491" s="197" t="s">
        <v>518</v>
      </c>
      <c r="AT491" s="197" t="s">
        <v>519</v>
      </c>
      <c r="AV491" s="194">
        <v>4500</v>
      </c>
      <c r="AW491" s="194">
        <v>0</v>
      </c>
      <c r="AX491" s="194">
        <v>0</v>
      </c>
      <c r="AY491" s="549">
        <v>4500</v>
      </c>
      <c r="AZ491" s="194">
        <v>0</v>
      </c>
      <c r="BA491" s="194">
        <v>0</v>
      </c>
      <c r="BB491" s="551">
        <v>0</v>
      </c>
      <c r="BC491" s="551">
        <v>4500</v>
      </c>
      <c r="BD491" s="551">
        <v>0</v>
      </c>
      <c r="BF491" s="550">
        <f t="shared" si="102"/>
        <v>4500</v>
      </c>
      <c r="BG491" s="550">
        <f t="shared" si="103"/>
        <v>0</v>
      </c>
      <c r="BH491" s="550">
        <f t="shared" si="104"/>
        <v>0</v>
      </c>
      <c r="BI491" s="550">
        <f t="shared" si="105"/>
        <v>4500</v>
      </c>
      <c r="BJ491" s="550">
        <f t="shared" si="106"/>
        <v>0</v>
      </c>
      <c r="BK491" s="550">
        <f t="shared" si="107"/>
        <v>0</v>
      </c>
      <c r="BL491" s="550">
        <f t="shared" si="108"/>
        <v>0</v>
      </c>
      <c r="BM491" s="550">
        <f t="shared" si="109"/>
        <v>4500</v>
      </c>
      <c r="BO491" s="194"/>
      <c r="BQ491" s="193">
        <f t="shared" si="110"/>
        <v>0</v>
      </c>
      <c r="BR491" s="193">
        <f t="shared" si="111"/>
        <v>0</v>
      </c>
    </row>
    <row r="492" spans="1:70" ht="13.5" customHeight="1">
      <c r="A492" s="193" t="s">
        <v>378</v>
      </c>
      <c r="B492" s="193" t="s">
        <v>379</v>
      </c>
      <c r="C492" s="193" t="s">
        <v>214</v>
      </c>
      <c r="D492" s="193" t="s">
        <v>482</v>
      </c>
      <c r="E492" s="193" t="s">
        <v>483</v>
      </c>
      <c r="F492" s="193" t="s">
        <v>1840</v>
      </c>
      <c r="G492" s="193" t="s">
        <v>1840</v>
      </c>
      <c r="H492" s="193" t="s">
        <v>1915</v>
      </c>
      <c r="I492" s="193" t="s">
        <v>384</v>
      </c>
      <c r="J492" s="193" t="s">
        <v>1916</v>
      </c>
      <c r="K492" s="193" t="s">
        <v>386</v>
      </c>
      <c r="L492" s="193" t="s">
        <v>387</v>
      </c>
      <c r="M492" s="193" t="s">
        <v>378</v>
      </c>
      <c r="N492" s="193" t="s">
        <v>1497</v>
      </c>
      <c r="O492" s="193" t="s">
        <v>129</v>
      </c>
      <c r="P492" s="193" t="s">
        <v>138</v>
      </c>
      <c r="Q492" s="193" t="s">
        <v>137</v>
      </c>
      <c r="R492" s="193" t="s">
        <v>136</v>
      </c>
      <c r="S492" s="193" t="s">
        <v>214</v>
      </c>
      <c r="T492" s="193" t="s">
        <v>389</v>
      </c>
      <c r="U492" s="193" t="s">
        <v>390</v>
      </c>
      <c r="V492" s="193">
        <v>0</v>
      </c>
      <c r="W492" s="193">
        <v>0</v>
      </c>
      <c r="X492" s="193">
        <v>0</v>
      </c>
      <c r="Y492" s="194">
        <v>7590</v>
      </c>
      <c r="Z492" s="193" t="s">
        <v>1498</v>
      </c>
      <c r="AA492" s="193" t="s">
        <v>1499</v>
      </c>
      <c r="AB492" s="193">
        <v>7590</v>
      </c>
      <c r="AC492" s="193" t="s">
        <v>1500</v>
      </c>
      <c r="AD492" s="193" t="s">
        <v>136</v>
      </c>
      <c r="AE492" s="193">
        <v>7590</v>
      </c>
      <c r="AF492" s="193" t="s">
        <v>518</v>
      </c>
      <c r="AG492" s="193" t="s">
        <v>519</v>
      </c>
      <c r="AH492" s="193">
        <v>0</v>
      </c>
      <c r="AI492" s="193">
        <v>7590</v>
      </c>
      <c r="AJ492" s="193" t="s">
        <v>1917</v>
      </c>
      <c r="AL492" s="197" t="s">
        <v>1918</v>
      </c>
      <c r="AM492" s="193">
        <v>1</v>
      </c>
      <c r="AN492" s="193">
        <v>0</v>
      </c>
      <c r="AO492" s="193">
        <v>0</v>
      </c>
      <c r="AP492" s="193">
        <v>0</v>
      </c>
      <c r="AQ492" s="193" t="s">
        <v>214</v>
      </c>
      <c r="AS492" s="197" t="s">
        <v>518</v>
      </c>
      <c r="AT492" s="197" t="s">
        <v>519</v>
      </c>
      <c r="AV492" s="194">
        <v>7590</v>
      </c>
      <c r="AW492" s="194">
        <v>0</v>
      </c>
      <c r="AX492" s="194">
        <v>0</v>
      </c>
      <c r="AY492" s="549">
        <v>7590</v>
      </c>
      <c r="AZ492" s="194">
        <v>0</v>
      </c>
      <c r="BA492" s="194">
        <v>0</v>
      </c>
      <c r="BB492" s="551">
        <v>0</v>
      </c>
      <c r="BC492" s="551">
        <v>7590</v>
      </c>
      <c r="BD492" s="551">
        <v>0</v>
      </c>
      <c r="BF492" s="550">
        <f t="shared" si="102"/>
        <v>7590</v>
      </c>
      <c r="BG492" s="550">
        <f t="shared" si="103"/>
        <v>0</v>
      </c>
      <c r="BH492" s="550">
        <f t="shared" si="104"/>
        <v>0</v>
      </c>
      <c r="BI492" s="550">
        <f t="shared" si="105"/>
        <v>7590</v>
      </c>
      <c r="BJ492" s="550">
        <f t="shared" si="106"/>
        <v>0</v>
      </c>
      <c r="BK492" s="550">
        <f t="shared" si="107"/>
        <v>0</v>
      </c>
      <c r="BL492" s="550">
        <f t="shared" si="108"/>
        <v>0</v>
      </c>
      <c r="BM492" s="550">
        <f t="shared" si="109"/>
        <v>7590</v>
      </c>
      <c r="BO492" s="194"/>
      <c r="BQ492" s="193">
        <f t="shared" si="110"/>
        <v>0</v>
      </c>
      <c r="BR492" s="193">
        <f t="shared" si="111"/>
        <v>0</v>
      </c>
    </row>
    <row r="493" spans="1:70" ht="13.5" customHeight="1">
      <c r="A493" s="193" t="s">
        <v>378</v>
      </c>
      <c r="B493" s="193" t="s">
        <v>379</v>
      </c>
      <c r="C493" s="193" t="s">
        <v>214</v>
      </c>
      <c r="D493" s="193" t="s">
        <v>482</v>
      </c>
      <c r="E493" s="193" t="s">
        <v>483</v>
      </c>
      <c r="F493" s="193" t="s">
        <v>1840</v>
      </c>
      <c r="G493" s="193" t="s">
        <v>1840</v>
      </c>
      <c r="H493" s="193" t="s">
        <v>1919</v>
      </c>
      <c r="I493" s="193" t="s">
        <v>384</v>
      </c>
      <c r="J493" s="193" t="s">
        <v>1920</v>
      </c>
      <c r="K493" s="193" t="s">
        <v>386</v>
      </c>
      <c r="L493" s="193" t="s">
        <v>387</v>
      </c>
      <c r="M493" s="193" t="s">
        <v>378</v>
      </c>
      <c r="N493" s="193" t="s">
        <v>1497</v>
      </c>
      <c r="O493" s="193" t="s">
        <v>129</v>
      </c>
      <c r="P493" s="193" t="s">
        <v>138</v>
      </c>
      <c r="Q493" s="193" t="s">
        <v>137</v>
      </c>
      <c r="R493" s="193" t="s">
        <v>136</v>
      </c>
      <c r="S493" s="193" t="s">
        <v>214</v>
      </c>
      <c r="T493" s="193" t="s">
        <v>389</v>
      </c>
      <c r="U493" s="193" t="s">
        <v>390</v>
      </c>
      <c r="V493" s="193">
        <v>0</v>
      </c>
      <c r="W493" s="193">
        <v>0</v>
      </c>
      <c r="X493" s="193">
        <v>0</v>
      </c>
      <c r="Y493" s="194">
        <v>40660</v>
      </c>
      <c r="Z493" s="193" t="s">
        <v>1498</v>
      </c>
      <c r="AA493" s="193" t="s">
        <v>1499</v>
      </c>
      <c r="AB493" s="193">
        <v>40660</v>
      </c>
      <c r="AC493" s="193" t="s">
        <v>1500</v>
      </c>
      <c r="AD493" s="193" t="s">
        <v>136</v>
      </c>
      <c r="AE493" s="193">
        <v>40660</v>
      </c>
      <c r="AF493" s="193" t="s">
        <v>518</v>
      </c>
      <c r="AG493" s="193" t="s">
        <v>519</v>
      </c>
      <c r="AH493" s="193">
        <v>0</v>
      </c>
      <c r="AI493" s="193">
        <v>40660</v>
      </c>
      <c r="AJ493" s="193" t="s">
        <v>1895</v>
      </c>
      <c r="AL493" s="197" t="s">
        <v>1921</v>
      </c>
      <c r="AM493" s="193">
        <v>1</v>
      </c>
      <c r="AN493" s="193">
        <v>0</v>
      </c>
      <c r="AO493" s="193">
        <v>0</v>
      </c>
      <c r="AP493" s="193">
        <v>0</v>
      </c>
      <c r="AQ493" s="193" t="s">
        <v>214</v>
      </c>
      <c r="AS493" s="197" t="s">
        <v>518</v>
      </c>
      <c r="AT493" s="197" t="s">
        <v>519</v>
      </c>
      <c r="AV493" s="194">
        <v>40660</v>
      </c>
      <c r="AW493" s="194">
        <v>0</v>
      </c>
      <c r="AX493" s="194">
        <v>0</v>
      </c>
      <c r="AY493" s="549">
        <v>40660</v>
      </c>
      <c r="AZ493" s="194">
        <v>0</v>
      </c>
      <c r="BA493" s="194">
        <v>0</v>
      </c>
      <c r="BB493" s="551">
        <v>0</v>
      </c>
      <c r="BC493" s="551">
        <v>40660</v>
      </c>
      <c r="BD493" s="551">
        <v>0</v>
      </c>
      <c r="BF493" s="550">
        <f t="shared" si="102"/>
        <v>40660</v>
      </c>
      <c r="BG493" s="550">
        <f t="shared" si="103"/>
        <v>0</v>
      </c>
      <c r="BH493" s="550">
        <f t="shared" si="104"/>
        <v>0</v>
      </c>
      <c r="BI493" s="550">
        <f t="shared" si="105"/>
        <v>40660</v>
      </c>
      <c r="BJ493" s="550">
        <f t="shared" si="106"/>
        <v>0</v>
      </c>
      <c r="BK493" s="550">
        <f t="shared" si="107"/>
        <v>0</v>
      </c>
      <c r="BL493" s="550">
        <f t="shared" si="108"/>
        <v>0</v>
      </c>
      <c r="BM493" s="550">
        <f t="shared" si="109"/>
        <v>40660</v>
      </c>
      <c r="BO493" s="194"/>
      <c r="BQ493" s="193">
        <f t="shared" si="110"/>
        <v>0</v>
      </c>
      <c r="BR493" s="193">
        <f t="shared" si="111"/>
        <v>0</v>
      </c>
    </row>
    <row r="494" spans="1:70" ht="13.5" customHeight="1">
      <c r="A494" s="193" t="s">
        <v>378</v>
      </c>
      <c r="B494" s="193" t="s">
        <v>379</v>
      </c>
      <c r="C494" s="193" t="s">
        <v>214</v>
      </c>
      <c r="D494" s="193" t="s">
        <v>482</v>
      </c>
      <c r="E494" s="193" t="s">
        <v>483</v>
      </c>
      <c r="F494" s="193" t="s">
        <v>1840</v>
      </c>
      <c r="G494" s="193" t="s">
        <v>1840</v>
      </c>
      <c r="H494" s="193" t="s">
        <v>1922</v>
      </c>
      <c r="I494" s="193" t="s">
        <v>384</v>
      </c>
      <c r="J494" s="193" t="s">
        <v>1923</v>
      </c>
      <c r="K494" s="193" t="s">
        <v>386</v>
      </c>
      <c r="L494" s="193" t="s">
        <v>387</v>
      </c>
      <c r="M494" s="193" t="s">
        <v>378</v>
      </c>
      <c r="N494" s="193" t="s">
        <v>1497</v>
      </c>
      <c r="O494" s="193" t="s">
        <v>129</v>
      </c>
      <c r="P494" s="193" t="s">
        <v>138</v>
      </c>
      <c r="Q494" s="193" t="s">
        <v>137</v>
      </c>
      <c r="R494" s="193" t="s">
        <v>136</v>
      </c>
      <c r="S494" s="193" t="s">
        <v>214</v>
      </c>
      <c r="T494" s="193" t="s">
        <v>389</v>
      </c>
      <c r="U494" s="193" t="s">
        <v>390</v>
      </c>
      <c r="V494" s="193">
        <v>0</v>
      </c>
      <c r="W494" s="193">
        <v>0</v>
      </c>
      <c r="X494" s="193">
        <v>0</v>
      </c>
      <c r="Y494" s="194">
        <v>2480</v>
      </c>
      <c r="Z494" s="193" t="s">
        <v>1498</v>
      </c>
      <c r="AA494" s="193" t="s">
        <v>1499</v>
      </c>
      <c r="AB494" s="193">
        <v>2480</v>
      </c>
      <c r="AC494" s="193" t="s">
        <v>1500</v>
      </c>
      <c r="AD494" s="193" t="s">
        <v>136</v>
      </c>
      <c r="AE494" s="193">
        <v>2480</v>
      </c>
      <c r="AF494" s="193" t="s">
        <v>518</v>
      </c>
      <c r="AG494" s="193" t="s">
        <v>519</v>
      </c>
      <c r="AH494" s="193">
        <v>0</v>
      </c>
      <c r="AI494" s="193">
        <v>2480</v>
      </c>
      <c r="AJ494" s="193" t="s">
        <v>1924</v>
      </c>
      <c r="AL494" s="197" t="s">
        <v>1925</v>
      </c>
      <c r="AM494" s="193">
        <v>1</v>
      </c>
      <c r="AN494" s="193">
        <v>0</v>
      </c>
      <c r="AO494" s="193">
        <v>0</v>
      </c>
      <c r="AP494" s="193">
        <v>0</v>
      </c>
      <c r="AQ494" s="193" t="s">
        <v>214</v>
      </c>
      <c r="AS494" s="197" t="s">
        <v>518</v>
      </c>
      <c r="AT494" s="197" t="s">
        <v>519</v>
      </c>
      <c r="AV494" s="194">
        <v>2480</v>
      </c>
      <c r="AW494" s="194">
        <v>0</v>
      </c>
      <c r="AX494" s="194">
        <v>0</v>
      </c>
      <c r="AY494" s="549">
        <v>2480</v>
      </c>
      <c r="AZ494" s="194">
        <v>0</v>
      </c>
      <c r="BA494" s="194">
        <v>0</v>
      </c>
      <c r="BB494" s="551">
        <v>0</v>
      </c>
      <c r="BC494" s="551">
        <v>2480</v>
      </c>
      <c r="BD494" s="551">
        <v>0</v>
      </c>
      <c r="BF494" s="550">
        <f t="shared" si="102"/>
        <v>2480</v>
      </c>
      <c r="BG494" s="550">
        <f t="shared" si="103"/>
        <v>0</v>
      </c>
      <c r="BH494" s="550">
        <f t="shared" si="104"/>
        <v>0</v>
      </c>
      <c r="BI494" s="550">
        <f t="shared" si="105"/>
        <v>2480</v>
      </c>
      <c r="BJ494" s="550">
        <f t="shared" si="106"/>
        <v>0</v>
      </c>
      <c r="BK494" s="550">
        <f t="shared" si="107"/>
        <v>0</v>
      </c>
      <c r="BL494" s="550">
        <f t="shared" si="108"/>
        <v>0</v>
      </c>
      <c r="BM494" s="550">
        <f t="shared" si="109"/>
        <v>2480</v>
      </c>
      <c r="BO494" s="194"/>
      <c r="BQ494" s="193">
        <f t="shared" si="110"/>
        <v>0</v>
      </c>
      <c r="BR494" s="193">
        <f t="shared" si="111"/>
        <v>0</v>
      </c>
    </row>
    <row r="495" spans="1:70" ht="13.5" customHeight="1">
      <c r="A495" s="193" t="s">
        <v>378</v>
      </c>
      <c r="B495" s="193" t="s">
        <v>379</v>
      </c>
      <c r="C495" s="193" t="s">
        <v>214</v>
      </c>
      <c r="D495" s="193" t="s">
        <v>482</v>
      </c>
      <c r="E495" s="193" t="s">
        <v>483</v>
      </c>
      <c r="F495" s="193" t="s">
        <v>1840</v>
      </c>
      <c r="G495" s="193" t="s">
        <v>1840</v>
      </c>
      <c r="H495" s="193" t="s">
        <v>1926</v>
      </c>
      <c r="I495" s="193" t="s">
        <v>384</v>
      </c>
      <c r="J495" s="193" t="s">
        <v>1927</v>
      </c>
      <c r="K495" s="193" t="s">
        <v>386</v>
      </c>
      <c r="L495" s="193" t="s">
        <v>387</v>
      </c>
      <c r="M495" s="193" t="s">
        <v>378</v>
      </c>
      <c r="N495" s="193" t="s">
        <v>1497</v>
      </c>
      <c r="O495" s="193" t="s">
        <v>129</v>
      </c>
      <c r="P495" s="193" t="s">
        <v>138</v>
      </c>
      <c r="Q495" s="193" t="s">
        <v>137</v>
      </c>
      <c r="R495" s="193" t="s">
        <v>136</v>
      </c>
      <c r="S495" s="193" t="s">
        <v>214</v>
      </c>
      <c r="T495" s="193" t="s">
        <v>389</v>
      </c>
      <c r="U495" s="193" t="s">
        <v>390</v>
      </c>
      <c r="V495" s="193">
        <v>0</v>
      </c>
      <c r="W495" s="193">
        <v>0</v>
      </c>
      <c r="X495" s="193">
        <v>0</v>
      </c>
      <c r="Y495" s="194">
        <v>5730</v>
      </c>
      <c r="Z495" s="193" t="s">
        <v>1498</v>
      </c>
      <c r="AA495" s="193" t="s">
        <v>1499</v>
      </c>
      <c r="AB495" s="193">
        <v>5730</v>
      </c>
      <c r="AC495" s="193" t="s">
        <v>1500</v>
      </c>
      <c r="AD495" s="193" t="s">
        <v>136</v>
      </c>
      <c r="AE495" s="193">
        <v>5730</v>
      </c>
      <c r="AF495" s="193" t="s">
        <v>518</v>
      </c>
      <c r="AG495" s="193" t="s">
        <v>519</v>
      </c>
      <c r="AH495" s="193">
        <v>0</v>
      </c>
      <c r="AI495" s="193">
        <v>5730</v>
      </c>
      <c r="AJ495" s="193" t="s">
        <v>1928</v>
      </c>
      <c r="AL495" s="197" t="s">
        <v>1929</v>
      </c>
      <c r="AM495" s="193">
        <v>1</v>
      </c>
      <c r="AN495" s="193">
        <v>0</v>
      </c>
      <c r="AO495" s="193">
        <v>0</v>
      </c>
      <c r="AP495" s="193">
        <v>0</v>
      </c>
      <c r="AQ495" s="193" t="s">
        <v>214</v>
      </c>
      <c r="AS495" s="197" t="s">
        <v>518</v>
      </c>
      <c r="AT495" s="197" t="s">
        <v>519</v>
      </c>
      <c r="AV495" s="194">
        <v>5730</v>
      </c>
      <c r="AW495" s="194">
        <v>0</v>
      </c>
      <c r="AX495" s="194">
        <v>0</v>
      </c>
      <c r="AY495" s="549">
        <v>5730</v>
      </c>
      <c r="AZ495" s="194">
        <v>0</v>
      </c>
      <c r="BA495" s="194">
        <v>0</v>
      </c>
      <c r="BB495" s="551">
        <v>0</v>
      </c>
      <c r="BC495" s="551">
        <v>5730</v>
      </c>
      <c r="BD495" s="551">
        <v>0</v>
      </c>
      <c r="BF495" s="550">
        <f t="shared" si="102"/>
        <v>5730</v>
      </c>
      <c r="BG495" s="550">
        <f t="shared" si="103"/>
        <v>0</v>
      </c>
      <c r="BH495" s="550">
        <f t="shared" si="104"/>
        <v>0</v>
      </c>
      <c r="BI495" s="550">
        <f t="shared" si="105"/>
        <v>5730</v>
      </c>
      <c r="BJ495" s="550">
        <f t="shared" si="106"/>
        <v>0</v>
      </c>
      <c r="BK495" s="550">
        <f t="shared" si="107"/>
        <v>0</v>
      </c>
      <c r="BL495" s="550">
        <f t="shared" si="108"/>
        <v>0</v>
      </c>
      <c r="BM495" s="550">
        <f t="shared" si="109"/>
        <v>5730</v>
      </c>
      <c r="BO495" s="194"/>
      <c r="BQ495" s="193">
        <f t="shared" si="110"/>
        <v>0</v>
      </c>
      <c r="BR495" s="193">
        <f t="shared" si="111"/>
        <v>0</v>
      </c>
    </row>
    <row r="496" spans="1:70" ht="13.5" customHeight="1">
      <c r="A496" s="193" t="s">
        <v>378</v>
      </c>
      <c r="B496" s="193" t="s">
        <v>379</v>
      </c>
      <c r="C496" s="193" t="s">
        <v>214</v>
      </c>
      <c r="D496" s="193" t="s">
        <v>667</v>
      </c>
      <c r="E496" s="193" t="s">
        <v>668</v>
      </c>
      <c r="F496" s="193" t="s">
        <v>563</v>
      </c>
      <c r="G496" s="193" t="s">
        <v>563</v>
      </c>
      <c r="H496" s="193" t="s">
        <v>1930</v>
      </c>
      <c r="I496" s="193" t="s">
        <v>384</v>
      </c>
      <c r="J496" s="193" t="s">
        <v>1931</v>
      </c>
      <c r="K496" s="193" t="s">
        <v>386</v>
      </c>
      <c r="L496" s="193" t="s">
        <v>387</v>
      </c>
      <c r="M496" s="193" t="s">
        <v>378</v>
      </c>
      <c r="N496" s="193" t="s">
        <v>1497</v>
      </c>
      <c r="O496" s="193" t="s">
        <v>129</v>
      </c>
      <c r="P496" s="193" t="s">
        <v>138</v>
      </c>
      <c r="Q496" s="193" t="s">
        <v>137</v>
      </c>
      <c r="R496" s="193" t="s">
        <v>136</v>
      </c>
      <c r="S496" s="193" t="s">
        <v>214</v>
      </c>
      <c r="T496" s="193" t="s">
        <v>389</v>
      </c>
      <c r="U496" s="193" t="s">
        <v>390</v>
      </c>
      <c r="V496" s="193">
        <v>0</v>
      </c>
      <c r="W496" s="193">
        <v>0</v>
      </c>
      <c r="X496" s="193">
        <v>0</v>
      </c>
      <c r="Y496" s="194">
        <v>2104</v>
      </c>
      <c r="Z496" s="193" t="s">
        <v>1498</v>
      </c>
      <c r="AA496" s="193" t="s">
        <v>1499</v>
      </c>
      <c r="AB496" s="193">
        <v>2104</v>
      </c>
      <c r="AC496" s="193" t="s">
        <v>1500</v>
      </c>
      <c r="AD496" s="193" t="s">
        <v>136</v>
      </c>
      <c r="AE496" s="193">
        <v>2104</v>
      </c>
      <c r="AF496" s="193" t="s">
        <v>518</v>
      </c>
      <c r="AG496" s="193" t="s">
        <v>519</v>
      </c>
      <c r="AH496" s="193">
        <v>0</v>
      </c>
      <c r="AI496" s="193">
        <v>2104</v>
      </c>
      <c r="AJ496" s="193" t="s">
        <v>1932</v>
      </c>
      <c r="AL496" s="197" t="s">
        <v>1933</v>
      </c>
      <c r="AM496" s="193">
        <v>1</v>
      </c>
      <c r="AN496" s="193">
        <v>0</v>
      </c>
      <c r="AO496" s="193">
        <v>0</v>
      </c>
      <c r="AP496" s="193">
        <v>0</v>
      </c>
      <c r="AQ496" s="193" t="s">
        <v>214</v>
      </c>
      <c r="AS496" s="197" t="s">
        <v>518</v>
      </c>
      <c r="AT496" s="197" t="s">
        <v>519</v>
      </c>
      <c r="AV496" s="194">
        <v>2104</v>
      </c>
      <c r="AW496" s="194">
        <v>0</v>
      </c>
      <c r="AX496" s="194">
        <v>0</v>
      </c>
      <c r="AY496" s="549">
        <v>2104</v>
      </c>
      <c r="AZ496" s="194">
        <v>0</v>
      </c>
      <c r="BA496" s="194">
        <v>0</v>
      </c>
      <c r="BB496" s="551">
        <v>0</v>
      </c>
      <c r="BC496" s="551">
        <v>2104</v>
      </c>
      <c r="BD496" s="551">
        <v>0</v>
      </c>
      <c r="BF496" s="550">
        <f t="shared" si="102"/>
        <v>2104</v>
      </c>
      <c r="BG496" s="550">
        <f t="shared" si="103"/>
        <v>0</v>
      </c>
      <c r="BH496" s="550">
        <f t="shared" si="104"/>
        <v>0</v>
      </c>
      <c r="BI496" s="550">
        <f t="shared" si="105"/>
        <v>2104</v>
      </c>
      <c r="BJ496" s="550">
        <f t="shared" si="106"/>
        <v>0</v>
      </c>
      <c r="BK496" s="550">
        <f t="shared" si="107"/>
        <v>0</v>
      </c>
      <c r="BL496" s="550">
        <f t="shared" si="108"/>
        <v>0</v>
      </c>
      <c r="BM496" s="550">
        <f t="shared" si="109"/>
        <v>2104</v>
      </c>
      <c r="BO496" s="194"/>
      <c r="BQ496" s="193">
        <f t="shared" si="110"/>
        <v>0</v>
      </c>
      <c r="BR496" s="193">
        <f t="shared" si="111"/>
        <v>0</v>
      </c>
    </row>
    <row r="497" spans="1:70" ht="13.5" customHeight="1">
      <c r="A497" s="193" t="s">
        <v>378</v>
      </c>
      <c r="B497" s="193" t="s">
        <v>379</v>
      </c>
      <c r="C497" s="193" t="s">
        <v>214</v>
      </c>
      <c r="D497" s="193" t="s">
        <v>667</v>
      </c>
      <c r="E497" s="193" t="s">
        <v>668</v>
      </c>
      <c r="F497" s="193" t="s">
        <v>1186</v>
      </c>
      <c r="G497" s="193" t="s">
        <v>1186</v>
      </c>
      <c r="H497" s="193" t="s">
        <v>1934</v>
      </c>
      <c r="I497" s="193" t="s">
        <v>384</v>
      </c>
      <c r="J497" s="193" t="s">
        <v>1935</v>
      </c>
      <c r="K497" s="193" t="s">
        <v>386</v>
      </c>
      <c r="L497" s="193" t="s">
        <v>387</v>
      </c>
      <c r="M497" s="193" t="s">
        <v>378</v>
      </c>
      <c r="N497" s="193" t="s">
        <v>1497</v>
      </c>
      <c r="O497" s="193" t="s">
        <v>129</v>
      </c>
      <c r="P497" s="193" t="s">
        <v>138</v>
      </c>
      <c r="Q497" s="193" t="s">
        <v>137</v>
      </c>
      <c r="R497" s="193" t="s">
        <v>136</v>
      </c>
      <c r="S497" s="193" t="s">
        <v>214</v>
      </c>
      <c r="T497" s="193" t="s">
        <v>389</v>
      </c>
      <c r="U497" s="193" t="s">
        <v>390</v>
      </c>
      <c r="V497" s="193">
        <v>0</v>
      </c>
      <c r="W497" s="193">
        <v>0</v>
      </c>
      <c r="X497" s="193">
        <v>0</v>
      </c>
      <c r="Y497" s="194">
        <v>1052</v>
      </c>
      <c r="Z497" s="193" t="s">
        <v>1498</v>
      </c>
      <c r="AA497" s="193" t="s">
        <v>1499</v>
      </c>
      <c r="AB497" s="193">
        <v>1052</v>
      </c>
      <c r="AC497" s="193" t="s">
        <v>1500</v>
      </c>
      <c r="AD497" s="193" t="s">
        <v>136</v>
      </c>
      <c r="AE497" s="193">
        <v>1052</v>
      </c>
      <c r="AF497" s="193" t="s">
        <v>518</v>
      </c>
      <c r="AG497" s="193" t="s">
        <v>519</v>
      </c>
      <c r="AH497" s="193">
        <v>0</v>
      </c>
      <c r="AI497" s="193">
        <v>1052</v>
      </c>
      <c r="AJ497" s="193" t="s">
        <v>1936</v>
      </c>
      <c r="AL497" s="197" t="s">
        <v>1937</v>
      </c>
      <c r="AM497" s="193">
        <v>1</v>
      </c>
      <c r="AN497" s="193">
        <v>0</v>
      </c>
      <c r="AO497" s="193">
        <v>0</v>
      </c>
      <c r="AP497" s="193">
        <v>0</v>
      </c>
      <c r="AQ497" s="193" t="s">
        <v>214</v>
      </c>
      <c r="AS497" s="197" t="s">
        <v>518</v>
      </c>
      <c r="AT497" s="197" t="s">
        <v>519</v>
      </c>
      <c r="AV497" s="194">
        <v>1052</v>
      </c>
      <c r="AW497" s="194">
        <v>0</v>
      </c>
      <c r="AX497" s="194">
        <v>0</v>
      </c>
      <c r="AY497" s="549">
        <v>1052</v>
      </c>
      <c r="AZ497" s="194">
        <v>0</v>
      </c>
      <c r="BA497" s="194">
        <v>0</v>
      </c>
      <c r="BB497" s="551">
        <v>0</v>
      </c>
      <c r="BC497" s="551">
        <v>1052</v>
      </c>
      <c r="BD497" s="551">
        <v>0</v>
      </c>
      <c r="BF497" s="550">
        <f t="shared" si="102"/>
        <v>1052</v>
      </c>
      <c r="BG497" s="550">
        <f t="shared" si="103"/>
        <v>0</v>
      </c>
      <c r="BH497" s="550">
        <f t="shared" si="104"/>
        <v>0</v>
      </c>
      <c r="BI497" s="550">
        <f t="shared" si="105"/>
        <v>1052</v>
      </c>
      <c r="BJ497" s="550">
        <f t="shared" si="106"/>
        <v>0</v>
      </c>
      <c r="BK497" s="550">
        <f t="shared" si="107"/>
        <v>0</v>
      </c>
      <c r="BL497" s="550">
        <f t="shared" si="108"/>
        <v>0</v>
      </c>
      <c r="BM497" s="550">
        <f t="shared" si="109"/>
        <v>1052</v>
      </c>
      <c r="BO497" s="194"/>
      <c r="BQ497" s="193">
        <f t="shared" si="110"/>
        <v>0</v>
      </c>
      <c r="BR497" s="193">
        <f t="shared" si="111"/>
        <v>0</v>
      </c>
    </row>
    <row r="498" spans="1:70" ht="13.5" customHeight="1">
      <c r="A498" s="193" t="s">
        <v>378</v>
      </c>
      <c r="B498" s="193" t="s">
        <v>379</v>
      </c>
      <c r="C498" s="193" t="s">
        <v>214</v>
      </c>
      <c r="D498" s="193" t="s">
        <v>667</v>
      </c>
      <c r="E498" s="193" t="s">
        <v>668</v>
      </c>
      <c r="F498" s="193" t="s">
        <v>1104</v>
      </c>
      <c r="G498" s="193" t="s">
        <v>1104</v>
      </c>
      <c r="H498" s="193" t="s">
        <v>1938</v>
      </c>
      <c r="I498" s="193" t="s">
        <v>384</v>
      </c>
      <c r="J498" s="193" t="s">
        <v>1939</v>
      </c>
      <c r="K498" s="193" t="s">
        <v>386</v>
      </c>
      <c r="L498" s="193" t="s">
        <v>387</v>
      </c>
      <c r="M498" s="193" t="s">
        <v>378</v>
      </c>
      <c r="N498" s="193" t="s">
        <v>1497</v>
      </c>
      <c r="O498" s="193" t="s">
        <v>129</v>
      </c>
      <c r="P498" s="193" t="s">
        <v>138</v>
      </c>
      <c r="Q498" s="193" t="s">
        <v>137</v>
      </c>
      <c r="R498" s="193" t="s">
        <v>136</v>
      </c>
      <c r="S498" s="193" t="s">
        <v>214</v>
      </c>
      <c r="T498" s="193" t="s">
        <v>389</v>
      </c>
      <c r="U498" s="193" t="s">
        <v>390</v>
      </c>
      <c r="V498" s="193">
        <v>0</v>
      </c>
      <c r="W498" s="193">
        <v>0</v>
      </c>
      <c r="X498" s="193">
        <v>0</v>
      </c>
      <c r="Y498" s="194">
        <v>24000</v>
      </c>
      <c r="Z498" s="193" t="s">
        <v>1498</v>
      </c>
      <c r="AA498" s="193" t="s">
        <v>1499</v>
      </c>
      <c r="AB498" s="193">
        <v>24000</v>
      </c>
      <c r="AC498" s="193" t="s">
        <v>1500</v>
      </c>
      <c r="AD498" s="193" t="s">
        <v>136</v>
      </c>
      <c r="AE498" s="193">
        <v>24000</v>
      </c>
      <c r="AF498" s="193" t="s">
        <v>518</v>
      </c>
      <c r="AG498" s="193" t="s">
        <v>519</v>
      </c>
      <c r="AH498" s="193">
        <v>0</v>
      </c>
      <c r="AI498" s="193">
        <v>24000</v>
      </c>
      <c r="AJ498" s="193" t="s">
        <v>1940</v>
      </c>
      <c r="AL498" s="197" t="s">
        <v>1941</v>
      </c>
      <c r="AM498" s="193">
        <v>1</v>
      </c>
      <c r="AN498" s="193">
        <v>0</v>
      </c>
      <c r="AO498" s="193">
        <v>0</v>
      </c>
      <c r="AP498" s="193">
        <v>0</v>
      </c>
      <c r="AQ498" s="193" t="s">
        <v>214</v>
      </c>
      <c r="AS498" s="197" t="s">
        <v>518</v>
      </c>
      <c r="AT498" s="197" t="s">
        <v>519</v>
      </c>
      <c r="AV498" s="194">
        <v>24000</v>
      </c>
      <c r="AW498" s="194">
        <v>0</v>
      </c>
      <c r="AX498" s="194">
        <v>0</v>
      </c>
      <c r="AY498" s="549">
        <v>24000</v>
      </c>
      <c r="AZ498" s="194">
        <v>0</v>
      </c>
      <c r="BA498" s="194">
        <v>0</v>
      </c>
      <c r="BB498" s="551">
        <v>0</v>
      </c>
      <c r="BC498" s="551">
        <v>24000</v>
      </c>
      <c r="BD498" s="551">
        <v>0</v>
      </c>
      <c r="BF498" s="550">
        <f t="shared" si="102"/>
        <v>24000</v>
      </c>
      <c r="BG498" s="550">
        <f t="shared" si="103"/>
        <v>0</v>
      </c>
      <c r="BH498" s="550">
        <f t="shared" si="104"/>
        <v>0</v>
      </c>
      <c r="BI498" s="550">
        <f t="shared" si="105"/>
        <v>24000</v>
      </c>
      <c r="BJ498" s="550">
        <f t="shared" si="106"/>
        <v>0</v>
      </c>
      <c r="BK498" s="550">
        <f t="shared" si="107"/>
        <v>0</v>
      </c>
      <c r="BL498" s="550">
        <f t="shared" si="108"/>
        <v>0</v>
      </c>
      <c r="BM498" s="550">
        <f t="shared" si="109"/>
        <v>24000</v>
      </c>
      <c r="BO498" s="194"/>
      <c r="BQ498" s="193">
        <f t="shared" si="110"/>
        <v>0</v>
      </c>
      <c r="BR498" s="193">
        <f t="shared" si="111"/>
        <v>0</v>
      </c>
    </row>
    <row r="499" spans="1:70" ht="13.5" customHeight="1">
      <c r="A499" s="193" t="s">
        <v>378</v>
      </c>
      <c r="B499" s="193" t="s">
        <v>379</v>
      </c>
      <c r="C499" s="193" t="s">
        <v>214</v>
      </c>
      <c r="D499" s="193" t="s">
        <v>667</v>
      </c>
      <c r="E499" s="193" t="s">
        <v>668</v>
      </c>
      <c r="F499" s="193" t="s">
        <v>1616</v>
      </c>
      <c r="G499" s="193" t="s">
        <v>1616</v>
      </c>
      <c r="H499" s="193" t="s">
        <v>1942</v>
      </c>
      <c r="I499" s="193" t="s">
        <v>384</v>
      </c>
      <c r="J499" s="193" t="s">
        <v>1943</v>
      </c>
      <c r="K499" s="193" t="s">
        <v>386</v>
      </c>
      <c r="L499" s="193" t="s">
        <v>387</v>
      </c>
      <c r="M499" s="193" t="s">
        <v>378</v>
      </c>
      <c r="N499" s="193" t="s">
        <v>1497</v>
      </c>
      <c r="O499" s="193" t="s">
        <v>129</v>
      </c>
      <c r="P499" s="193" t="s">
        <v>138</v>
      </c>
      <c r="Q499" s="193" t="s">
        <v>137</v>
      </c>
      <c r="R499" s="193" t="s">
        <v>136</v>
      </c>
      <c r="S499" s="193" t="s">
        <v>214</v>
      </c>
      <c r="T499" s="193" t="s">
        <v>389</v>
      </c>
      <c r="U499" s="193" t="s">
        <v>390</v>
      </c>
      <c r="V499" s="193">
        <v>0</v>
      </c>
      <c r="W499" s="193">
        <v>0</v>
      </c>
      <c r="X499" s="193">
        <v>0</v>
      </c>
      <c r="Y499" s="194">
        <v>17760</v>
      </c>
      <c r="Z499" s="193" t="s">
        <v>1498</v>
      </c>
      <c r="AA499" s="193" t="s">
        <v>1499</v>
      </c>
      <c r="AB499" s="193">
        <v>17760</v>
      </c>
      <c r="AC499" s="193" t="s">
        <v>1500</v>
      </c>
      <c r="AD499" s="193" t="s">
        <v>136</v>
      </c>
      <c r="AE499" s="193">
        <v>17760</v>
      </c>
      <c r="AF499" s="193" t="s">
        <v>518</v>
      </c>
      <c r="AG499" s="193" t="s">
        <v>519</v>
      </c>
      <c r="AH499" s="193">
        <v>0</v>
      </c>
      <c r="AI499" s="193">
        <v>17760</v>
      </c>
      <c r="AJ499" s="193" t="s">
        <v>1940</v>
      </c>
      <c r="AL499" s="197" t="s">
        <v>1944</v>
      </c>
      <c r="AM499" s="193">
        <v>1</v>
      </c>
      <c r="AN499" s="193">
        <v>0</v>
      </c>
      <c r="AO499" s="193">
        <v>0</v>
      </c>
      <c r="AP499" s="193">
        <v>0</v>
      </c>
      <c r="AQ499" s="193" t="s">
        <v>214</v>
      </c>
      <c r="AS499" s="197" t="s">
        <v>518</v>
      </c>
      <c r="AT499" s="197" t="s">
        <v>519</v>
      </c>
      <c r="AV499" s="196">
        <v>17760</v>
      </c>
      <c r="AW499" s="196">
        <v>0</v>
      </c>
      <c r="AX499" s="196">
        <v>0</v>
      </c>
      <c r="AY499" s="550">
        <v>17760</v>
      </c>
      <c r="AZ499" s="196">
        <v>0</v>
      </c>
      <c r="BA499" s="196">
        <v>0</v>
      </c>
      <c r="BB499" s="551">
        <v>0</v>
      </c>
      <c r="BC499" s="551">
        <v>17760</v>
      </c>
      <c r="BD499" s="551">
        <v>0</v>
      </c>
      <c r="BF499" s="550">
        <f t="shared" si="102"/>
        <v>17760</v>
      </c>
      <c r="BG499" s="550">
        <f t="shared" si="103"/>
        <v>0</v>
      </c>
      <c r="BH499" s="550">
        <f t="shared" si="104"/>
        <v>0</v>
      </c>
      <c r="BI499" s="550">
        <f t="shared" si="105"/>
        <v>17760</v>
      </c>
      <c r="BJ499" s="550">
        <f t="shared" si="106"/>
        <v>0</v>
      </c>
      <c r="BK499" s="550">
        <f t="shared" si="107"/>
        <v>0</v>
      </c>
      <c r="BL499" s="550">
        <f t="shared" si="108"/>
        <v>0</v>
      </c>
      <c r="BM499" s="550">
        <f t="shared" si="109"/>
        <v>17760</v>
      </c>
      <c r="BO499" s="194"/>
      <c r="BQ499" s="193">
        <f t="shared" si="110"/>
        <v>0</v>
      </c>
      <c r="BR499" s="193">
        <f t="shared" si="111"/>
        <v>0</v>
      </c>
    </row>
    <row r="500" spans="1:70" ht="13.5" customHeight="1">
      <c r="A500" s="193" t="s">
        <v>378</v>
      </c>
      <c r="B500" s="193" t="s">
        <v>379</v>
      </c>
      <c r="C500" s="193" t="s">
        <v>214</v>
      </c>
      <c r="D500" s="193" t="s">
        <v>667</v>
      </c>
      <c r="E500" s="193" t="s">
        <v>668</v>
      </c>
      <c r="F500" s="193" t="s">
        <v>933</v>
      </c>
      <c r="G500" s="193" t="s">
        <v>933</v>
      </c>
      <c r="H500" s="193" t="s">
        <v>1945</v>
      </c>
      <c r="I500" s="193" t="s">
        <v>384</v>
      </c>
      <c r="J500" s="193" t="s">
        <v>1946</v>
      </c>
      <c r="K500" s="193" t="s">
        <v>386</v>
      </c>
      <c r="L500" s="193" t="s">
        <v>387</v>
      </c>
      <c r="M500" s="193" t="s">
        <v>378</v>
      </c>
      <c r="N500" s="193" t="s">
        <v>1497</v>
      </c>
      <c r="O500" s="193" t="s">
        <v>129</v>
      </c>
      <c r="P500" s="193" t="s">
        <v>138</v>
      </c>
      <c r="Q500" s="193" t="s">
        <v>137</v>
      </c>
      <c r="R500" s="193" t="s">
        <v>136</v>
      </c>
      <c r="S500" s="193" t="s">
        <v>214</v>
      </c>
      <c r="T500" s="193" t="s">
        <v>389</v>
      </c>
      <c r="U500" s="193" t="s">
        <v>390</v>
      </c>
      <c r="V500" s="193">
        <v>0</v>
      </c>
      <c r="W500" s="193">
        <v>0</v>
      </c>
      <c r="X500" s="193">
        <v>0</v>
      </c>
      <c r="Y500" s="194">
        <v>24648</v>
      </c>
      <c r="Z500" s="193" t="s">
        <v>1498</v>
      </c>
      <c r="AA500" s="193" t="s">
        <v>1499</v>
      </c>
      <c r="AB500" s="193">
        <v>24648</v>
      </c>
      <c r="AC500" s="193" t="s">
        <v>1500</v>
      </c>
      <c r="AD500" s="193" t="s">
        <v>136</v>
      </c>
      <c r="AE500" s="193">
        <v>24648</v>
      </c>
      <c r="AF500" s="193" t="s">
        <v>518</v>
      </c>
      <c r="AG500" s="193" t="s">
        <v>519</v>
      </c>
      <c r="AH500" s="193">
        <v>0</v>
      </c>
      <c r="AI500" s="193">
        <v>24648</v>
      </c>
      <c r="AJ500" s="193" t="s">
        <v>1947</v>
      </c>
      <c r="AL500" s="197" t="s">
        <v>1948</v>
      </c>
      <c r="AM500" s="193">
        <v>1</v>
      </c>
      <c r="AN500" s="193">
        <v>0</v>
      </c>
      <c r="AO500" s="193">
        <v>0</v>
      </c>
      <c r="AP500" s="193">
        <v>0</v>
      </c>
      <c r="AQ500" s="193" t="s">
        <v>214</v>
      </c>
      <c r="AS500" s="197" t="s">
        <v>518</v>
      </c>
      <c r="AT500" s="197" t="s">
        <v>519</v>
      </c>
      <c r="AV500" s="196">
        <v>24648</v>
      </c>
      <c r="AW500" s="196">
        <v>0</v>
      </c>
      <c r="AX500" s="196">
        <v>0</v>
      </c>
      <c r="AY500" s="550">
        <v>24648</v>
      </c>
      <c r="AZ500" s="196">
        <v>0</v>
      </c>
      <c r="BA500" s="196">
        <v>0</v>
      </c>
      <c r="BB500" s="551">
        <v>0</v>
      </c>
      <c r="BC500" s="551">
        <v>24648</v>
      </c>
      <c r="BD500" s="551">
        <v>0</v>
      </c>
      <c r="BF500" s="550">
        <f t="shared" si="102"/>
        <v>24648</v>
      </c>
      <c r="BG500" s="550">
        <f t="shared" si="103"/>
        <v>0</v>
      </c>
      <c r="BH500" s="550">
        <f t="shared" si="104"/>
        <v>0</v>
      </c>
      <c r="BI500" s="550">
        <f t="shared" si="105"/>
        <v>24648</v>
      </c>
      <c r="BJ500" s="550">
        <f t="shared" si="106"/>
        <v>0</v>
      </c>
      <c r="BK500" s="550">
        <f t="shared" si="107"/>
        <v>0</v>
      </c>
      <c r="BL500" s="550">
        <f t="shared" si="108"/>
        <v>0</v>
      </c>
      <c r="BM500" s="550">
        <f t="shared" si="109"/>
        <v>24648</v>
      </c>
      <c r="BO500" s="194"/>
      <c r="BQ500" s="193">
        <f t="shared" si="110"/>
        <v>0</v>
      </c>
      <c r="BR500" s="193">
        <f t="shared" si="111"/>
        <v>0</v>
      </c>
    </row>
    <row r="501" spans="1:70" ht="13.5" customHeight="1">
      <c r="A501" s="193" t="s">
        <v>378</v>
      </c>
      <c r="B501" s="193" t="s">
        <v>379</v>
      </c>
      <c r="C501" s="193" t="s">
        <v>214</v>
      </c>
      <c r="D501" s="193" t="s">
        <v>667</v>
      </c>
      <c r="E501" s="193" t="s">
        <v>668</v>
      </c>
      <c r="F501" s="193" t="s">
        <v>544</v>
      </c>
      <c r="G501" s="193" t="s">
        <v>544</v>
      </c>
      <c r="H501" s="193" t="s">
        <v>1949</v>
      </c>
      <c r="I501" s="193" t="s">
        <v>384</v>
      </c>
      <c r="J501" s="193" t="s">
        <v>1950</v>
      </c>
      <c r="K501" s="193" t="s">
        <v>386</v>
      </c>
      <c r="L501" s="193" t="s">
        <v>387</v>
      </c>
      <c r="M501" s="193" t="s">
        <v>378</v>
      </c>
      <c r="N501" s="193" t="s">
        <v>1497</v>
      </c>
      <c r="O501" s="193" t="s">
        <v>129</v>
      </c>
      <c r="P501" s="193" t="s">
        <v>138</v>
      </c>
      <c r="Q501" s="193" t="s">
        <v>137</v>
      </c>
      <c r="R501" s="193" t="s">
        <v>136</v>
      </c>
      <c r="S501" s="193" t="s">
        <v>214</v>
      </c>
      <c r="T501" s="193" t="s">
        <v>389</v>
      </c>
      <c r="U501" s="193" t="s">
        <v>390</v>
      </c>
      <c r="V501" s="193">
        <v>0</v>
      </c>
      <c r="W501" s="193">
        <v>0</v>
      </c>
      <c r="X501" s="193">
        <v>0</v>
      </c>
      <c r="Y501" s="194">
        <v>1072</v>
      </c>
      <c r="Z501" s="193" t="s">
        <v>1498</v>
      </c>
      <c r="AA501" s="193" t="s">
        <v>1499</v>
      </c>
      <c r="AB501" s="193">
        <v>1072</v>
      </c>
      <c r="AC501" s="193" t="s">
        <v>1500</v>
      </c>
      <c r="AD501" s="193" t="s">
        <v>136</v>
      </c>
      <c r="AE501" s="193">
        <v>1072</v>
      </c>
      <c r="AF501" s="193" t="s">
        <v>518</v>
      </c>
      <c r="AG501" s="193" t="s">
        <v>519</v>
      </c>
      <c r="AH501" s="193">
        <v>0</v>
      </c>
      <c r="AI501" s="193">
        <v>1072</v>
      </c>
      <c r="AJ501" s="193" t="s">
        <v>1951</v>
      </c>
      <c r="AL501" s="197" t="s">
        <v>1952</v>
      </c>
      <c r="AM501" s="193">
        <v>1</v>
      </c>
      <c r="AN501" s="193">
        <v>0</v>
      </c>
      <c r="AO501" s="193">
        <v>0</v>
      </c>
      <c r="AP501" s="193">
        <v>0</v>
      </c>
      <c r="AQ501" s="193" t="s">
        <v>214</v>
      </c>
      <c r="AS501" s="197" t="s">
        <v>518</v>
      </c>
      <c r="AT501" s="197" t="s">
        <v>519</v>
      </c>
      <c r="AV501" s="196">
        <v>1072</v>
      </c>
      <c r="AW501" s="196">
        <v>0</v>
      </c>
      <c r="AX501" s="196">
        <v>0</v>
      </c>
      <c r="AY501" s="550">
        <v>1072</v>
      </c>
      <c r="AZ501" s="196">
        <v>0</v>
      </c>
      <c r="BA501" s="196">
        <v>0</v>
      </c>
      <c r="BB501" s="551">
        <v>0</v>
      </c>
      <c r="BC501" s="551">
        <v>1072</v>
      </c>
      <c r="BD501" s="551">
        <v>0</v>
      </c>
      <c r="BF501" s="550">
        <f t="shared" si="102"/>
        <v>1072</v>
      </c>
      <c r="BG501" s="550">
        <f t="shared" si="103"/>
        <v>0</v>
      </c>
      <c r="BH501" s="550">
        <f t="shared" si="104"/>
        <v>0</v>
      </c>
      <c r="BI501" s="550">
        <f t="shared" si="105"/>
        <v>1072</v>
      </c>
      <c r="BJ501" s="550">
        <f t="shared" si="106"/>
        <v>0</v>
      </c>
      <c r="BK501" s="550">
        <f t="shared" si="107"/>
        <v>0</v>
      </c>
      <c r="BL501" s="550">
        <f t="shared" si="108"/>
        <v>0</v>
      </c>
      <c r="BM501" s="550">
        <f t="shared" si="109"/>
        <v>1072</v>
      </c>
      <c r="BO501" s="194"/>
      <c r="BQ501" s="193">
        <f t="shared" si="110"/>
        <v>0</v>
      </c>
      <c r="BR501" s="193">
        <f t="shared" si="111"/>
        <v>0</v>
      </c>
    </row>
    <row r="502" spans="1:70" ht="13.5" customHeight="1">
      <c r="A502" s="193" t="s">
        <v>378</v>
      </c>
      <c r="B502" s="193" t="s">
        <v>379</v>
      </c>
      <c r="C502" s="193" t="s">
        <v>214</v>
      </c>
      <c r="D502" s="193" t="s">
        <v>667</v>
      </c>
      <c r="E502" s="193" t="s">
        <v>668</v>
      </c>
      <c r="F502" s="193" t="s">
        <v>1953</v>
      </c>
      <c r="G502" s="193" t="s">
        <v>1953</v>
      </c>
      <c r="H502" s="193" t="s">
        <v>1954</v>
      </c>
      <c r="I502" s="193" t="s">
        <v>384</v>
      </c>
      <c r="J502" s="193" t="s">
        <v>1955</v>
      </c>
      <c r="K502" s="193" t="s">
        <v>386</v>
      </c>
      <c r="L502" s="193" t="s">
        <v>387</v>
      </c>
      <c r="M502" s="193" t="s">
        <v>378</v>
      </c>
      <c r="N502" s="193" t="s">
        <v>1497</v>
      </c>
      <c r="O502" s="193" t="s">
        <v>129</v>
      </c>
      <c r="P502" s="193" t="s">
        <v>138</v>
      </c>
      <c r="Q502" s="193" t="s">
        <v>137</v>
      </c>
      <c r="R502" s="193" t="s">
        <v>136</v>
      </c>
      <c r="S502" s="193" t="s">
        <v>214</v>
      </c>
      <c r="T502" s="193" t="s">
        <v>389</v>
      </c>
      <c r="U502" s="193" t="s">
        <v>390</v>
      </c>
      <c r="V502" s="193">
        <v>0</v>
      </c>
      <c r="W502" s="193">
        <v>0</v>
      </c>
      <c r="X502" s="193">
        <v>0</v>
      </c>
      <c r="Y502" s="194">
        <v>14385</v>
      </c>
      <c r="Z502" s="193" t="s">
        <v>1498</v>
      </c>
      <c r="AA502" s="193" t="s">
        <v>1499</v>
      </c>
      <c r="AB502" s="193">
        <v>14385</v>
      </c>
      <c r="AC502" s="193" t="s">
        <v>1500</v>
      </c>
      <c r="AD502" s="193" t="s">
        <v>136</v>
      </c>
      <c r="AE502" s="193">
        <v>14385</v>
      </c>
      <c r="AF502" s="193" t="s">
        <v>518</v>
      </c>
      <c r="AG502" s="193" t="s">
        <v>519</v>
      </c>
      <c r="AH502" s="193">
        <v>0</v>
      </c>
      <c r="AI502" s="193">
        <v>14385</v>
      </c>
      <c r="AJ502" s="193" t="s">
        <v>1956</v>
      </c>
      <c r="AL502" s="197" t="s">
        <v>1957</v>
      </c>
      <c r="AM502" s="193">
        <v>1</v>
      </c>
      <c r="AN502" s="193">
        <v>0</v>
      </c>
      <c r="AO502" s="193">
        <v>0</v>
      </c>
      <c r="AP502" s="193">
        <v>0</v>
      </c>
      <c r="AQ502" s="193" t="s">
        <v>214</v>
      </c>
      <c r="AS502" s="197" t="s">
        <v>518</v>
      </c>
      <c r="AT502" s="197" t="s">
        <v>519</v>
      </c>
      <c r="AV502" s="196">
        <v>14385</v>
      </c>
      <c r="AW502" s="196">
        <v>0</v>
      </c>
      <c r="AX502" s="196">
        <v>0</v>
      </c>
      <c r="AY502" s="550">
        <v>14385</v>
      </c>
      <c r="AZ502" s="196">
        <v>0</v>
      </c>
      <c r="BA502" s="196">
        <v>0</v>
      </c>
      <c r="BB502" s="551">
        <v>0</v>
      </c>
      <c r="BC502" s="551">
        <v>14385</v>
      </c>
      <c r="BD502" s="551">
        <v>0</v>
      </c>
      <c r="BF502" s="550">
        <f t="shared" si="102"/>
        <v>14385</v>
      </c>
      <c r="BG502" s="550">
        <f t="shared" si="103"/>
        <v>0</v>
      </c>
      <c r="BH502" s="550">
        <f t="shared" si="104"/>
        <v>0</v>
      </c>
      <c r="BI502" s="550">
        <f t="shared" si="105"/>
        <v>14385</v>
      </c>
      <c r="BJ502" s="550">
        <f t="shared" si="106"/>
        <v>0</v>
      </c>
      <c r="BK502" s="550">
        <f t="shared" si="107"/>
        <v>0</v>
      </c>
      <c r="BL502" s="550">
        <f t="shared" si="108"/>
        <v>0</v>
      </c>
      <c r="BM502" s="550">
        <f t="shared" si="109"/>
        <v>14385</v>
      </c>
      <c r="BO502" s="194"/>
      <c r="BQ502" s="193">
        <f t="shared" si="110"/>
        <v>0</v>
      </c>
      <c r="BR502" s="193">
        <f t="shared" si="111"/>
        <v>0</v>
      </c>
    </row>
    <row r="503" spans="1:70" ht="13.5" customHeight="1">
      <c r="A503" s="193" t="s">
        <v>378</v>
      </c>
      <c r="B503" s="193" t="s">
        <v>379</v>
      </c>
      <c r="C503" s="193" t="s">
        <v>214</v>
      </c>
      <c r="D503" s="193" t="s">
        <v>667</v>
      </c>
      <c r="E503" s="193" t="s">
        <v>668</v>
      </c>
      <c r="F503" s="193" t="s">
        <v>1953</v>
      </c>
      <c r="G503" s="193" t="s">
        <v>1953</v>
      </c>
      <c r="H503" s="193" t="s">
        <v>1958</v>
      </c>
      <c r="I503" s="193" t="s">
        <v>384</v>
      </c>
      <c r="J503" s="193" t="s">
        <v>1959</v>
      </c>
      <c r="K503" s="193" t="s">
        <v>386</v>
      </c>
      <c r="L503" s="193" t="s">
        <v>387</v>
      </c>
      <c r="M503" s="193" t="s">
        <v>378</v>
      </c>
      <c r="N503" s="193" t="s">
        <v>1497</v>
      </c>
      <c r="O503" s="193" t="s">
        <v>129</v>
      </c>
      <c r="P503" s="193" t="s">
        <v>138</v>
      </c>
      <c r="Q503" s="193" t="s">
        <v>137</v>
      </c>
      <c r="R503" s="193" t="s">
        <v>136</v>
      </c>
      <c r="S503" s="193" t="s">
        <v>214</v>
      </c>
      <c r="T503" s="193" t="s">
        <v>389</v>
      </c>
      <c r="U503" s="193" t="s">
        <v>390</v>
      </c>
      <c r="V503" s="193">
        <v>0</v>
      </c>
      <c r="W503" s="193">
        <v>0</v>
      </c>
      <c r="X503" s="193">
        <v>0</v>
      </c>
      <c r="Y503" s="194">
        <v>16030</v>
      </c>
      <c r="Z503" s="193" t="s">
        <v>1498</v>
      </c>
      <c r="AA503" s="193" t="s">
        <v>1499</v>
      </c>
      <c r="AB503" s="193">
        <v>16030</v>
      </c>
      <c r="AC503" s="193" t="s">
        <v>1500</v>
      </c>
      <c r="AD503" s="193" t="s">
        <v>136</v>
      </c>
      <c r="AE503" s="193">
        <v>16030</v>
      </c>
      <c r="AF503" s="193" t="s">
        <v>518</v>
      </c>
      <c r="AG503" s="193" t="s">
        <v>519</v>
      </c>
      <c r="AH503" s="193">
        <v>0</v>
      </c>
      <c r="AI503" s="193">
        <v>16030</v>
      </c>
      <c r="AJ503" s="193" t="s">
        <v>1956</v>
      </c>
      <c r="AL503" s="197" t="s">
        <v>1960</v>
      </c>
      <c r="AM503" s="193">
        <v>1</v>
      </c>
      <c r="AN503" s="193">
        <v>0</v>
      </c>
      <c r="AO503" s="193">
        <v>0</v>
      </c>
      <c r="AP503" s="193">
        <v>0</v>
      </c>
      <c r="AQ503" s="193" t="s">
        <v>214</v>
      </c>
      <c r="AS503" s="197" t="s">
        <v>518</v>
      </c>
      <c r="AT503" s="197" t="s">
        <v>519</v>
      </c>
      <c r="AV503" s="196">
        <v>16030</v>
      </c>
      <c r="AW503" s="196">
        <v>0</v>
      </c>
      <c r="AX503" s="196">
        <v>0</v>
      </c>
      <c r="AY503" s="550">
        <v>16030</v>
      </c>
      <c r="AZ503" s="196">
        <v>0</v>
      </c>
      <c r="BA503" s="196">
        <v>0</v>
      </c>
      <c r="BB503" s="551">
        <v>0</v>
      </c>
      <c r="BC503" s="551">
        <v>16030</v>
      </c>
      <c r="BD503" s="551">
        <v>0</v>
      </c>
      <c r="BF503" s="550">
        <f t="shared" si="102"/>
        <v>16030</v>
      </c>
      <c r="BG503" s="550">
        <f t="shared" si="103"/>
        <v>0</v>
      </c>
      <c r="BH503" s="550">
        <f t="shared" si="104"/>
        <v>0</v>
      </c>
      <c r="BI503" s="550">
        <f t="shared" si="105"/>
        <v>16030</v>
      </c>
      <c r="BJ503" s="550">
        <f t="shared" si="106"/>
        <v>0</v>
      </c>
      <c r="BK503" s="550">
        <f t="shared" si="107"/>
        <v>0</v>
      </c>
      <c r="BL503" s="550">
        <f t="shared" si="108"/>
        <v>0</v>
      </c>
      <c r="BM503" s="550">
        <f t="shared" si="109"/>
        <v>16030</v>
      </c>
      <c r="BO503" s="194"/>
      <c r="BQ503" s="193">
        <f t="shared" si="110"/>
        <v>0</v>
      </c>
      <c r="BR503" s="193">
        <f t="shared" si="111"/>
        <v>0</v>
      </c>
    </row>
    <row r="504" spans="1:70" ht="13.5" customHeight="1">
      <c r="A504" s="193" t="s">
        <v>378</v>
      </c>
      <c r="B504" s="193" t="s">
        <v>379</v>
      </c>
      <c r="C504" s="193" t="s">
        <v>214</v>
      </c>
      <c r="D504" s="193" t="s">
        <v>667</v>
      </c>
      <c r="E504" s="193" t="s">
        <v>668</v>
      </c>
      <c r="F504" s="193" t="s">
        <v>1555</v>
      </c>
      <c r="G504" s="193" t="s">
        <v>1555</v>
      </c>
      <c r="H504" s="193" t="s">
        <v>1961</v>
      </c>
      <c r="I504" s="193" t="s">
        <v>384</v>
      </c>
      <c r="J504" s="193" t="s">
        <v>1962</v>
      </c>
      <c r="K504" s="193" t="s">
        <v>386</v>
      </c>
      <c r="L504" s="193" t="s">
        <v>387</v>
      </c>
      <c r="M504" s="193" t="s">
        <v>378</v>
      </c>
      <c r="N504" s="193" t="s">
        <v>1497</v>
      </c>
      <c r="O504" s="193" t="s">
        <v>129</v>
      </c>
      <c r="P504" s="193" t="s">
        <v>138</v>
      </c>
      <c r="Q504" s="193" t="s">
        <v>137</v>
      </c>
      <c r="R504" s="193" t="s">
        <v>136</v>
      </c>
      <c r="S504" s="193" t="s">
        <v>214</v>
      </c>
      <c r="T504" s="193" t="s">
        <v>389</v>
      </c>
      <c r="U504" s="193" t="s">
        <v>390</v>
      </c>
      <c r="V504" s="193">
        <v>0</v>
      </c>
      <c r="W504" s="193">
        <v>0</v>
      </c>
      <c r="X504" s="193">
        <v>0</v>
      </c>
      <c r="Y504" s="194">
        <v>225215</v>
      </c>
      <c r="Z504" s="193" t="s">
        <v>1498</v>
      </c>
      <c r="AA504" s="193" t="s">
        <v>1499</v>
      </c>
      <c r="AB504" s="193">
        <v>225215</v>
      </c>
      <c r="AC504" s="193" t="s">
        <v>1500</v>
      </c>
      <c r="AD504" s="193" t="s">
        <v>136</v>
      </c>
      <c r="AE504" s="193">
        <v>225215</v>
      </c>
      <c r="AF504" s="193" t="s">
        <v>518</v>
      </c>
      <c r="AG504" s="193" t="s">
        <v>519</v>
      </c>
      <c r="AH504" s="193">
        <v>0</v>
      </c>
      <c r="AI504" s="193">
        <v>225215</v>
      </c>
      <c r="AJ504" s="193" t="s">
        <v>1963</v>
      </c>
      <c r="AL504" s="197" t="s">
        <v>1964</v>
      </c>
      <c r="AM504" s="193">
        <v>1</v>
      </c>
      <c r="AN504" s="193">
        <v>0</v>
      </c>
      <c r="AO504" s="193">
        <v>0</v>
      </c>
      <c r="AP504" s="193">
        <v>0</v>
      </c>
      <c r="AQ504" s="193" t="s">
        <v>214</v>
      </c>
      <c r="AS504" s="197" t="s">
        <v>518</v>
      </c>
      <c r="AT504" s="197" t="s">
        <v>519</v>
      </c>
      <c r="AV504" s="196">
        <v>225215</v>
      </c>
      <c r="AW504" s="196">
        <v>0</v>
      </c>
      <c r="AX504" s="196">
        <v>0</v>
      </c>
      <c r="AY504" s="550">
        <v>225215</v>
      </c>
      <c r="AZ504" s="196">
        <v>0</v>
      </c>
      <c r="BA504" s="196">
        <v>0</v>
      </c>
      <c r="BB504" s="551">
        <v>0</v>
      </c>
      <c r="BC504" s="551">
        <v>225215</v>
      </c>
      <c r="BD504" s="551">
        <v>0</v>
      </c>
      <c r="BF504" s="550">
        <f t="shared" si="102"/>
        <v>225215</v>
      </c>
      <c r="BG504" s="550">
        <f t="shared" si="103"/>
        <v>0</v>
      </c>
      <c r="BH504" s="550">
        <f t="shared" si="104"/>
        <v>0</v>
      </c>
      <c r="BI504" s="550">
        <f t="shared" si="105"/>
        <v>225215</v>
      </c>
      <c r="BJ504" s="550">
        <f t="shared" si="106"/>
        <v>0</v>
      </c>
      <c r="BK504" s="550">
        <f t="shared" si="107"/>
        <v>0</v>
      </c>
      <c r="BL504" s="550">
        <f t="shared" si="108"/>
        <v>0</v>
      </c>
      <c r="BM504" s="550">
        <f t="shared" si="109"/>
        <v>225215</v>
      </c>
      <c r="BO504" s="194"/>
      <c r="BQ504" s="193">
        <f t="shared" si="110"/>
        <v>0</v>
      </c>
      <c r="BR504" s="193">
        <f t="shared" si="111"/>
        <v>0</v>
      </c>
    </row>
    <row r="505" spans="1:70" ht="13.5" customHeight="1">
      <c r="A505" s="193" t="s">
        <v>378</v>
      </c>
      <c r="B505" s="193" t="s">
        <v>379</v>
      </c>
      <c r="C505" s="193" t="s">
        <v>214</v>
      </c>
      <c r="D505" s="193" t="s">
        <v>667</v>
      </c>
      <c r="E505" s="193" t="s">
        <v>668</v>
      </c>
      <c r="F505" s="193" t="s">
        <v>1555</v>
      </c>
      <c r="G505" s="193" t="s">
        <v>1555</v>
      </c>
      <c r="H505" s="193" t="s">
        <v>1965</v>
      </c>
      <c r="I505" s="193" t="s">
        <v>384</v>
      </c>
      <c r="J505" s="193" t="s">
        <v>1966</v>
      </c>
      <c r="K505" s="193" t="s">
        <v>386</v>
      </c>
      <c r="L505" s="193" t="s">
        <v>387</v>
      </c>
      <c r="M505" s="193" t="s">
        <v>378</v>
      </c>
      <c r="N505" s="193" t="s">
        <v>1497</v>
      </c>
      <c r="O505" s="193" t="s">
        <v>129</v>
      </c>
      <c r="P505" s="193" t="s">
        <v>138</v>
      </c>
      <c r="Q505" s="193" t="s">
        <v>137</v>
      </c>
      <c r="R505" s="193" t="s">
        <v>136</v>
      </c>
      <c r="S505" s="193" t="s">
        <v>214</v>
      </c>
      <c r="T505" s="193" t="s">
        <v>389</v>
      </c>
      <c r="U505" s="193" t="s">
        <v>390</v>
      </c>
      <c r="V505" s="193">
        <v>0</v>
      </c>
      <c r="W505" s="193">
        <v>0</v>
      </c>
      <c r="X505" s="193">
        <v>0</v>
      </c>
      <c r="Y505" s="194">
        <v>22520</v>
      </c>
      <c r="Z505" s="193" t="s">
        <v>1498</v>
      </c>
      <c r="AA505" s="193" t="s">
        <v>1499</v>
      </c>
      <c r="AB505" s="193">
        <v>22520</v>
      </c>
      <c r="AC505" s="193" t="s">
        <v>1500</v>
      </c>
      <c r="AD505" s="193" t="s">
        <v>136</v>
      </c>
      <c r="AE505" s="193">
        <v>22520</v>
      </c>
      <c r="AF505" s="193" t="s">
        <v>518</v>
      </c>
      <c r="AG505" s="193" t="s">
        <v>519</v>
      </c>
      <c r="AH505" s="193">
        <v>0</v>
      </c>
      <c r="AI505" s="193">
        <v>22520</v>
      </c>
      <c r="AJ505" s="193" t="s">
        <v>1967</v>
      </c>
      <c r="AL505" s="197" t="s">
        <v>1968</v>
      </c>
      <c r="AM505" s="193">
        <v>1</v>
      </c>
      <c r="AN505" s="193">
        <v>0</v>
      </c>
      <c r="AO505" s="193">
        <v>0</v>
      </c>
      <c r="AP505" s="193">
        <v>0</v>
      </c>
      <c r="AQ505" s="193" t="s">
        <v>214</v>
      </c>
      <c r="AS505" s="197" t="s">
        <v>518</v>
      </c>
      <c r="AT505" s="197" t="s">
        <v>519</v>
      </c>
      <c r="AV505" s="196">
        <v>22520</v>
      </c>
      <c r="AW505" s="196">
        <v>0</v>
      </c>
      <c r="AX505" s="196">
        <v>0</v>
      </c>
      <c r="AY505" s="550">
        <v>22520</v>
      </c>
      <c r="AZ505" s="196">
        <v>0</v>
      </c>
      <c r="BA505" s="196">
        <v>0</v>
      </c>
      <c r="BB505" s="551">
        <v>0</v>
      </c>
      <c r="BC505" s="551">
        <v>22520</v>
      </c>
      <c r="BD505" s="551">
        <v>0</v>
      </c>
      <c r="BF505" s="550">
        <f t="shared" si="102"/>
        <v>22520</v>
      </c>
      <c r="BG505" s="550">
        <f t="shared" si="103"/>
        <v>0</v>
      </c>
      <c r="BH505" s="550">
        <f t="shared" si="104"/>
        <v>0</v>
      </c>
      <c r="BI505" s="550">
        <f t="shared" si="105"/>
        <v>22520</v>
      </c>
      <c r="BJ505" s="550">
        <f t="shared" si="106"/>
        <v>0</v>
      </c>
      <c r="BK505" s="550">
        <f t="shared" si="107"/>
        <v>0</v>
      </c>
      <c r="BL505" s="550">
        <f t="shared" si="108"/>
        <v>0</v>
      </c>
      <c r="BM505" s="550">
        <f t="shared" si="109"/>
        <v>22520</v>
      </c>
      <c r="BO505" s="194"/>
      <c r="BQ505" s="193">
        <f t="shared" si="110"/>
        <v>0</v>
      </c>
      <c r="BR505" s="193">
        <f t="shared" si="111"/>
        <v>0</v>
      </c>
    </row>
    <row r="506" spans="1:70" ht="13.5" customHeight="1">
      <c r="A506" s="193" t="s">
        <v>378</v>
      </c>
      <c r="B506" s="193" t="s">
        <v>379</v>
      </c>
      <c r="C506" s="193" t="s">
        <v>214</v>
      </c>
      <c r="D506" s="193" t="s">
        <v>667</v>
      </c>
      <c r="E506" s="193" t="s">
        <v>668</v>
      </c>
      <c r="F506" s="193" t="s">
        <v>1555</v>
      </c>
      <c r="G506" s="193" t="s">
        <v>1555</v>
      </c>
      <c r="H506" s="193" t="s">
        <v>1969</v>
      </c>
      <c r="I506" s="193" t="s">
        <v>384</v>
      </c>
      <c r="J506" s="193" t="s">
        <v>1970</v>
      </c>
      <c r="K506" s="193" t="s">
        <v>386</v>
      </c>
      <c r="L506" s="193" t="s">
        <v>387</v>
      </c>
      <c r="M506" s="193" t="s">
        <v>378</v>
      </c>
      <c r="N506" s="193" t="s">
        <v>1497</v>
      </c>
      <c r="O506" s="193" t="s">
        <v>129</v>
      </c>
      <c r="P506" s="193" t="s">
        <v>138</v>
      </c>
      <c r="Q506" s="193" t="s">
        <v>137</v>
      </c>
      <c r="R506" s="193" t="s">
        <v>136</v>
      </c>
      <c r="S506" s="193" t="s">
        <v>214</v>
      </c>
      <c r="T506" s="193" t="s">
        <v>389</v>
      </c>
      <c r="U506" s="193" t="s">
        <v>390</v>
      </c>
      <c r="V506" s="193">
        <v>0</v>
      </c>
      <c r="W506" s="193">
        <v>0</v>
      </c>
      <c r="X506" s="193">
        <v>0</v>
      </c>
      <c r="Y506" s="194">
        <v>22540</v>
      </c>
      <c r="Z506" s="193" t="s">
        <v>1498</v>
      </c>
      <c r="AA506" s="193" t="s">
        <v>1499</v>
      </c>
      <c r="AB506" s="193">
        <v>22540</v>
      </c>
      <c r="AC506" s="193" t="s">
        <v>1500</v>
      </c>
      <c r="AD506" s="193" t="s">
        <v>136</v>
      </c>
      <c r="AE506" s="193">
        <v>22540</v>
      </c>
      <c r="AF506" s="193" t="s">
        <v>518</v>
      </c>
      <c r="AG506" s="193" t="s">
        <v>519</v>
      </c>
      <c r="AH506" s="193">
        <v>0</v>
      </c>
      <c r="AI506" s="193">
        <v>22540</v>
      </c>
      <c r="AJ506" s="193" t="s">
        <v>1971</v>
      </c>
      <c r="AL506" s="197" t="s">
        <v>1972</v>
      </c>
      <c r="AM506" s="193">
        <v>1</v>
      </c>
      <c r="AN506" s="193">
        <v>0</v>
      </c>
      <c r="AO506" s="193">
        <v>0</v>
      </c>
      <c r="AP506" s="193">
        <v>0</v>
      </c>
      <c r="AQ506" s="193" t="s">
        <v>214</v>
      </c>
      <c r="AS506" s="197" t="s">
        <v>518</v>
      </c>
      <c r="AT506" s="197" t="s">
        <v>519</v>
      </c>
      <c r="AV506" s="196">
        <v>22540</v>
      </c>
      <c r="AW506" s="196">
        <v>0</v>
      </c>
      <c r="AX506" s="196">
        <v>0</v>
      </c>
      <c r="AY506" s="550">
        <v>22540</v>
      </c>
      <c r="AZ506" s="196">
        <v>0</v>
      </c>
      <c r="BA506" s="196">
        <v>0</v>
      </c>
      <c r="BB506" s="551">
        <v>0</v>
      </c>
      <c r="BC506" s="551">
        <v>22540</v>
      </c>
      <c r="BD506" s="551">
        <v>0</v>
      </c>
      <c r="BF506" s="550">
        <f t="shared" si="102"/>
        <v>22540</v>
      </c>
      <c r="BG506" s="550">
        <f t="shared" si="103"/>
        <v>0</v>
      </c>
      <c r="BH506" s="550">
        <f t="shared" si="104"/>
        <v>0</v>
      </c>
      <c r="BI506" s="550">
        <f t="shared" si="105"/>
        <v>22540</v>
      </c>
      <c r="BJ506" s="550">
        <f t="shared" si="106"/>
        <v>0</v>
      </c>
      <c r="BK506" s="550">
        <f t="shared" si="107"/>
        <v>0</v>
      </c>
      <c r="BL506" s="550">
        <f t="shared" si="108"/>
        <v>0</v>
      </c>
      <c r="BM506" s="550">
        <f t="shared" si="109"/>
        <v>22540</v>
      </c>
      <c r="BO506" s="194"/>
      <c r="BQ506" s="193">
        <f t="shared" si="110"/>
        <v>0</v>
      </c>
      <c r="BR506" s="193">
        <f t="shared" si="111"/>
        <v>0</v>
      </c>
    </row>
    <row r="507" spans="1:70" ht="13.5" customHeight="1">
      <c r="A507" s="193" t="s">
        <v>378</v>
      </c>
      <c r="B507" s="193" t="s">
        <v>379</v>
      </c>
      <c r="C507" s="193" t="s">
        <v>214</v>
      </c>
      <c r="D507" s="193" t="s">
        <v>667</v>
      </c>
      <c r="E507" s="193" t="s">
        <v>668</v>
      </c>
      <c r="F507" s="193" t="s">
        <v>1555</v>
      </c>
      <c r="G507" s="193" t="s">
        <v>1555</v>
      </c>
      <c r="H507" s="193" t="s">
        <v>1973</v>
      </c>
      <c r="I507" s="193" t="s">
        <v>384</v>
      </c>
      <c r="J507" s="193" t="s">
        <v>1974</v>
      </c>
      <c r="K507" s="193" t="s">
        <v>386</v>
      </c>
      <c r="L507" s="193" t="s">
        <v>387</v>
      </c>
      <c r="M507" s="193" t="s">
        <v>378</v>
      </c>
      <c r="N507" s="193" t="s">
        <v>1497</v>
      </c>
      <c r="O507" s="193" t="s">
        <v>129</v>
      </c>
      <c r="P507" s="193" t="s">
        <v>138</v>
      </c>
      <c r="Q507" s="193" t="s">
        <v>137</v>
      </c>
      <c r="R507" s="193" t="s">
        <v>136</v>
      </c>
      <c r="S507" s="193" t="s">
        <v>214</v>
      </c>
      <c r="T507" s="193" t="s">
        <v>389</v>
      </c>
      <c r="U507" s="193" t="s">
        <v>390</v>
      </c>
      <c r="V507" s="193">
        <v>0</v>
      </c>
      <c r="W507" s="193">
        <v>0</v>
      </c>
      <c r="X507" s="193">
        <v>0</v>
      </c>
      <c r="Y507" s="194">
        <v>22480</v>
      </c>
      <c r="Z507" s="193" t="s">
        <v>1498</v>
      </c>
      <c r="AA507" s="193" t="s">
        <v>1499</v>
      </c>
      <c r="AB507" s="193">
        <v>22480</v>
      </c>
      <c r="AC507" s="193" t="s">
        <v>1500</v>
      </c>
      <c r="AD507" s="193" t="s">
        <v>136</v>
      </c>
      <c r="AE507" s="193">
        <v>22480</v>
      </c>
      <c r="AF507" s="193" t="s">
        <v>518</v>
      </c>
      <c r="AG507" s="193" t="s">
        <v>519</v>
      </c>
      <c r="AH507" s="193">
        <v>0</v>
      </c>
      <c r="AI507" s="193">
        <v>22480</v>
      </c>
      <c r="AJ507" s="193" t="s">
        <v>1975</v>
      </c>
      <c r="AL507" s="197" t="s">
        <v>1976</v>
      </c>
      <c r="AM507" s="193">
        <v>1</v>
      </c>
      <c r="AN507" s="193">
        <v>0</v>
      </c>
      <c r="AO507" s="193">
        <v>0</v>
      </c>
      <c r="AP507" s="193">
        <v>0</v>
      </c>
      <c r="AQ507" s="193" t="s">
        <v>214</v>
      </c>
      <c r="AS507" s="197" t="s">
        <v>518</v>
      </c>
      <c r="AT507" s="197" t="s">
        <v>519</v>
      </c>
      <c r="AV507" s="194">
        <v>22480</v>
      </c>
      <c r="AW507" s="194">
        <v>0</v>
      </c>
      <c r="AX507" s="194">
        <v>0</v>
      </c>
      <c r="AY507" s="549">
        <v>22480</v>
      </c>
      <c r="AZ507" s="194">
        <v>0</v>
      </c>
      <c r="BA507" s="194">
        <v>0</v>
      </c>
      <c r="BB507" s="551">
        <v>0</v>
      </c>
      <c r="BC507" s="551">
        <v>22480</v>
      </c>
      <c r="BD507" s="551">
        <v>0</v>
      </c>
      <c r="BF507" s="550">
        <f t="shared" si="102"/>
        <v>22480</v>
      </c>
      <c r="BG507" s="550">
        <f t="shared" si="103"/>
        <v>0</v>
      </c>
      <c r="BH507" s="550">
        <f t="shared" si="104"/>
        <v>0</v>
      </c>
      <c r="BI507" s="550">
        <f t="shared" si="105"/>
        <v>22480</v>
      </c>
      <c r="BJ507" s="550">
        <f t="shared" si="106"/>
        <v>0</v>
      </c>
      <c r="BK507" s="550">
        <f t="shared" si="107"/>
        <v>0</v>
      </c>
      <c r="BL507" s="550">
        <f t="shared" si="108"/>
        <v>0</v>
      </c>
      <c r="BM507" s="550">
        <f t="shared" si="109"/>
        <v>22480</v>
      </c>
      <c r="BO507" s="194"/>
      <c r="BQ507" s="193">
        <f t="shared" si="110"/>
        <v>0</v>
      </c>
      <c r="BR507" s="193">
        <f t="shared" si="111"/>
        <v>0</v>
      </c>
    </row>
    <row r="508" spans="1:70" ht="13.5" customHeight="1">
      <c r="A508" s="193" t="s">
        <v>378</v>
      </c>
      <c r="B508" s="193" t="s">
        <v>379</v>
      </c>
      <c r="C508" s="193" t="s">
        <v>214</v>
      </c>
      <c r="D508" s="193" t="s">
        <v>667</v>
      </c>
      <c r="E508" s="193" t="s">
        <v>668</v>
      </c>
      <c r="F508" s="193" t="s">
        <v>1555</v>
      </c>
      <c r="G508" s="193" t="s">
        <v>1555</v>
      </c>
      <c r="H508" s="193" t="s">
        <v>1977</v>
      </c>
      <c r="I508" s="193" t="s">
        <v>384</v>
      </c>
      <c r="J508" s="193" t="s">
        <v>1978</v>
      </c>
      <c r="K508" s="193" t="s">
        <v>386</v>
      </c>
      <c r="L508" s="193" t="s">
        <v>387</v>
      </c>
      <c r="M508" s="193" t="s">
        <v>378</v>
      </c>
      <c r="N508" s="193" t="s">
        <v>1497</v>
      </c>
      <c r="O508" s="193" t="s">
        <v>129</v>
      </c>
      <c r="P508" s="193" t="s">
        <v>138</v>
      </c>
      <c r="Q508" s="193" t="s">
        <v>137</v>
      </c>
      <c r="R508" s="193" t="s">
        <v>136</v>
      </c>
      <c r="S508" s="193" t="s">
        <v>214</v>
      </c>
      <c r="T508" s="193" t="s">
        <v>389</v>
      </c>
      <c r="U508" s="193" t="s">
        <v>390</v>
      </c>
      <c r="V508" s="193">
        <v>0</v>
      </c>
      <c r="W508" s="193">
        <v>0</v>
      </c>
      <c r="X508" s="193">
        <v>0</v>
      </c>
      <c r="Y508" s="194">
        <v>8500</v>
      </c>
      <c r="Z508" s="193" t="s">
        <v>1498</v>
      </c>
      <c r="AA508" s="193" t="s">
        <v>1499</v>
      </c>
      <c r="AB508" s="193">
        <v>8500</v>
      </c>
      <c r="AC508" s="193" t="s">
        <v>1500</v>
      </c>
      <c r="AD508" s="193" t="s">
        <v>136</v>
      </c>
      <c r="AE508" s="193">
        <v>8500</v>
      </c>
      <c r="AF508" s="193" t="s">
        <v>518</v>
      </c>
      <c r="AG508" s="193" t="s">
        <v>519</v>
      </c>
      <c r="AH508" s="193">
        <v>0</v>
      </c>
      <c r="AI508" s="193">
        <v>8500</v>
      </c>
      <c r="AJ508" s="193" t="s">
        <v>1979</v>
      </c>
      <c r="AL508" s="197" t="s">
        <v>1980</v>
      </c>
      <c r="AM508" s="193">
        <v>1</v>
      </c>
      <c r="AN508" s="193">
        <v>0</v>
      </c>
      <c r="AO508" s="193">
        <v>0</v>
      </c>
      <c r="AP508" s="193">
        <v>0</v>
      </c>
      <c r="AQ508" s="193" t="s">
        <v>214</v>
      </c>
      <c r="AS508" s="197" t="s">
        <v>518</v>
      </c>
      <c r="AT508" s="197" t="s">
        <v>519</v>
      </c>
      <c r="AV508" s="194">
        <v>8500</v>
      </c>
      <c r="AW508" s="194">
        <v>0</v>
      </c>
      <c r="AX508" s="194">
        <v>0</v>
      </c>
      <c r="AY508" s="549">
        <v>8500</v>
      </c>
      <c r="AZ508" s="194">
        <v>0</v>
      </c>
      <c r="BA508" s="194">
        <v>0</v>
      </c>
      <c r="BB508" s="551">
        <v>0</v>
      </c>
      <c r="BC508" s="551">
        <v>8500</v>
      </c>
      <c r="BD508" s="551">
        <v>0</v>
      </c>
      <c r="BF508" s="550">
        <f t="shared" si="102"/>
        <v>8500</v>
      </c>
      <c r="BG508" s="550">
        <f t="shared" si="103"/>
        <v>0</v>
      </c>
      <c r="BH508" s="550">
        <f t="shared" si="104"/>
        <v>0</v>
      </c>
      <c r="BI508" s="550">
        <f t="shared" si="105"/>
        <v>8500</v>
      </c>
      <c r="BJ508" s="550">
        <f t="shared" si="106"/>
        <v>0</v>
      </c>
      <c r="BK508" s="550">
        <f t="shared" si="107"/>
        <v>0</v>
      </c>
      <c r="BL508" s="550">
        <f t="shared" si="108"/>
        <v>0</v>
      </c>
      <c r="BM508" s="550">
        <f t="shared" si="109"/>
        <v>8500</v>
      </c>
      <c r="BO508" s="194"/>
      <c r="BQ508" s="193">
        <f t="shared" si="110"/>
        <v>0</v>
      </c>
      <c r="BR508" s="193">
        <f t="shared" si="111"/>
        <v>0</v>
      </c>
    </row>
    <row r="509" spans="1:70" ht="13.5" customHeight="1">
      <c r="A509" s="193" t="s">
        <v>378</v>
      </c>
      <c r="B509" s="193" t="s">
        <v>379</v>
      </c>
      <c r="C509" s="193" t="s">
        <v>214</v>
      </c>
      <c r="D509" s="193" t="s">
        <v>1729</v>
      </c>
      <c r="E509" s="193" t="s">
        <v>1730</v>
      </c>
      <c r="F509" s="193" t="s">
        <v>575</v>
      </c>
      <c r="G509" s="193" t="s">
        <v>575</v>
      </c>
      <c r="H509" s="193" t="s">
        <v>1981</v>
      </c>
      <c r="I509" s="193" t="s">
        <v>384</v>
      </c>
      <c r="J509" s="193" t="s">
        <v>1982</v>
      </c>
      <c r="K509" s="193" t="s">
        <v>386</v>
      </c>
      <c r="L509" s="193" t="s">
        <v>387</v>
      </c>
      <c r="M509" s="193" t="s">
        <v>378</v>
      </c>
      <c r="N509" s="193" t="s">
        <v>1497</v>
      </c>
      <c r="O509" s="193" t="s">
        <v>129</v>
      </c>
      <c r="P509" s="193" t="s">
        <v>138</v>
      </c>
      <c r="Q509" s="193" t="s">
        <v>137</v>
      </c>
      <c r="R509" s="193" t="s">
        <v>136</v>
      </c>
      <c r="S509" s="193" t="s">
        <v>214</v>
      </c>
      <c r="T509" s="193" t="s">
        <v>389</v>
      </c>
      <c r="U509" s="193" t="s">
        <v>390</v>
      </c>
      <c r="V509" s="193">
        <v>0</v>
      </c>
      <c r="W509" s="193">
        <v>0</v>
      </c>
      <c r="X509" s="193">
        <v>0</v>
      </c>
      <c r="Y509" s="194">
        <v>4829</v>
      </c>
      <c r="Z509" s="193" t="s">
        <v>1498</v>
      </c>
      <c r="AA509" s="193" t="s">
        <v>1499</v>
      </c>
      <c r="AB509" s="193">
        <v>4829</v>
      </c>
      <c r="AC509" s="193" t="s">
        <v>1500</v>
      </c>
      <c r="AD509" s="193" t="s">
        <v>136</v>
      </c>
      <c r="AE509" s="193">
        <v>4829</v>
      </c>
      <c r="AF509" s="193" t="s">
        <v>394</v>
      </c>
      <c r="AG509" s="193" t="s">
        <v>395</v>
      </c>
      <c r="AH509" s="193">
        <v>439</v>
      </c>
      <c r="AI509" s="193">
        <v>4390</v>
      </c>
      <c r="AJ509" s="193" t="s">
        <v>1983</v>
      </c>
      <c r="AL509" s="197" t="s">
        <v>1984</v>
      </c>
      <c r="AM509" s="193">
        <v>1</v>
      </c>
      <c r="AN509" s="193">
        <v>0</v>
      </c>
      <c r="AO509" s="193">
        <v>0</v>
      </c>
      <c r="AP509" s="193">
        <v>0</v>
      </c>
      <c r="AQ509" s="193" t="s">
        <v>214</v>
      </c>
      <c r="AS509" s="197" t="s">
        <v>394</v>
      </c>
      <c r="AT509" s="197" t="s">
        <v>395</v>
      </c>
      <c r="AV509" s="194">
        <v>1111</v>
      </c>
      <c r="AW509" s="194">
        <v>0</v>
      </c>
      <c r="AX509" s="194">
        <v>0</v>
      </c>
      <c r="AY509" s="549">
        <v>1111</v>
      </c>
      <c r="AZ509" s="194">
        <v>0</v>
      </c>
      <c r="BA509" s="194">
        <v>3718</v>
      </c>
      <c r="BB509" s="551">
        <v>3718</v>
      </c>
      <c r="BC509" s="551">
        <v>4829</v>
      </c>
      <c r="BD509" s="551">
        <v>0</v>
      </c>
      <c r="BF509" s="550">
        <f t="shared" si="102"/>
        <v>1010</v>
      </c>
      <c r="BG509" s="550">
        <f t="shared" si="103"/>
        <v>0</v>
      </c>
      <c r="BH509" s="550">
        <f t="shared" si="104"/>
        <v>0</v>
      </c>
      <c r="BI509" s="550">
        <f t="shared" si="105"/>
        <v>1010</v>
      </c>
      <c r="BJ509" s="550">
        <f t="shared" si="106"/>
        <v>0</v>
      </c>
      <c r="BK509" s="550">
        <f t="shared" si="107"/>
        <v>3380</v>
      </c>
      <c r="BL509" s="550">
        <f t="shared" si="108"/>
        <v>3380</v>
      </c>
      <c r="BM509" s="550">
        <f t="shared" si="109"/>
        <v>4390</v>
      </c>
      <c r="BO509" s="194"/>
      <c r="BQ509" s="193">
        <f t="shared" si="110"/>
        <v>0</v>
      </c>
      <c r="BR509" s="193">
        <f t="shared" si="111"/>
        <v>0</v>
      </c>
    </row>
    <row r="510" spans="1:70" ht="13.5" customHeight="1">
      <c r="A510" s="193" t="s">
        <v>378</v>
      </c>
      <c r="B510" s="193" t="s">
        <v>379</v>
      </c>
      <c r="C510" s="193" t="s">
        <v>214</v>
      </c>
      <c r="D510" s="193" t="s">
        <v>1729</v>
      </c>
      <c r="E510" s="193" t="s">
        <v>1730</v>
      </c>
      <c r="F510" s="193" t="s">
        <v>706</v>
      </c>
      <c r="G510" s="193" t="s">
        <v>706</v>
      </c>
      <c r="H510" s="193" t="s">
        <v>1985</v>
      </c>
      <c r="I510" s="193" t="s">
        <v>384</v>
      </c>
      <c r="J510" s="193" t="s">
        <v>1986</v>
      </c>
      <c r="K510" s="193" t="s">
        <v>386</v>
      </c>
      <c r="L510" s="193" t="s">
        <v>387</v>
      </c>
      <c r="M510" s="193" t="s">
        <v>378</v>
      </c>
      <c r="N510" s="193" t="s">
        <v>1497</v>
      </c>
      <c r="O510" s="193" t="s">
        <v>129</v>
      </c>
      <c r="P510" s="193" t="s">
        <v>138</v>
      </c>
      <c r="Q510" s="193" t="s">
        <v>137</v>
      </c>
      <c r="R510" s="193" t="s">
        <v>136</v>
      </c>
      <c r="S510" s="193" t="s">
        <v>214</v>
      </c>
      <c r="T510" s="193" t="s">
        <v>389</v>
      </c>
      <c r="U510" s="193" t="s">
        <v>390</v>
      </c>
      <c r="V510" s="193">
        <v>0</v>
      </c>
      <c r="W510" s="193">
        <v>0</v>
      </c>
      <c r="X510" s="193">
        <v>0</v>
      </c>
      <c r="Y510" s="194">
        <v>6987</v>
      </c>
      <c r="Z510" s="193" t="s">
        <v>1498</v>
      </c>
      <c r="AA510" s="193" t="s">
        <v>1499</v>
      </c>
      <c r="AB510" s="193">
        <v>6987</v>
      </c>
      <c r="AC510" s="193" t="s">
        <v>1500</v>
      </c>
      <c r="AD510" s="193" t="s">
        <v>136</v>
      </c>
      <c r="AE510" s="193">
        <v>6987</v>
      </c>
      <c r="AF510" s="193" t="s">
        <v>394</v>
      </c>
      <c r="AG510" s="193" t="s">
        <v>395</v>
      </c>
      <c r="AH510" s="193">
        <v>635</v>
      </c>
      <c r="AI510" s="193">
        <v>6352</v>
      </c>
      <c r="AJ510" s="193" t="s">
        <v>1987</v>
      </c>
      <c r="AL510" s="197" t="s">
        <v>1988</v>
      </c>
      <c r="AM510" s="193">
        <v>1</v>
      </c>
      <c r="AN510" s="193">
        <v>0</v>
      </c>
      <c r="AO510" s="193">
        <v>0</v>
      </c>
      <c r="AP510" s="193">
        <v>0</v>
      </c>
      <c r="AQ510" s="193" t="s">
        <v>214</v>
      </c>
      <c r="AS510" s="197" t="s">
        <v>394</v>
      </c>
      <c r="AT510" s="197" t="s">
        <v>395</v>
      </c>
      <c r="AV510" s="194">
        <v>1607</v>
      </c>
      <c r="AW510" s="194">
        <v>0</v>
      </c>
      <c r="AX510" s="194">
        <v>0</v>
      </c>
      <c r="AY510" s="549">
        <v>1607</v>
      </c>
      <c r="AZ510" s="194">
        <v>0</v>
      </c>
      <c r="BA510" s="194">
        <v>5380</v>
      </c>
      <c r="BB510" s="551">
        <v>5380</v>
      </c>
      <c r="BC510" s="551">
        <v>6987</v>
      </c>
      <c r="BD510" s="551">
        <v>0</v>
      </c>
      <c r="BF510" s="550">
        <f t="shared" si="102"/>
        <v>1461</v>
      </c>
      <c r="BG510" s="550">
        <f t="shared" si="103"/>
        <v>0</v>
      </c>
      <c r="BH510" s="550">
        <f t="shared" si="104"/>
        <v>0</v>
      </c>
      <c r="BI510" s="550">
        <f t="shared" si="105"/>
        <v>1461</v>
      </c>
      <c r="BJ510" s="550">
        <f t="shared" si="106"/>
        <v>0</v>
      </c>
      <c r="BK510" s="550">
        <f t="shared" si="107"/>
        <v>4891</v>
      </c>
      <c r="BL510" s="550">
        <f t="shared" si="108"/>
        <v>4891</v>
      </c>
      <c r="BM510" s="550">
        <f t="shared" si="109"/>
        <v>6352</v>
      </c>
      <c r="BO510" s="194"/>
      <c r="BQ510" s="193">
        <f t="shared" si="110"/>
        <v>-9.0909090909008228E-2</v>
      </c>
      <c r="BR510" s="193">
        <f t="shared" si="111"/>
        <v>-9.0909090909008228E-2</v>
      </c>
    </row>
    <row r="511" spans="1:70" ht="13.5" customHeight="1">
      <c r="A511" s="193" t="s">
        <v>378</v>
      </c>
      <c r="B511" s="193" t="s">
        <v>379</v>
      </c>
      <c r="C511" s="193" t="s">
        <v>214</v>
      </c>
      <c r="D511" s="193" t="s">
        <v>1729</v>
      </c>
      <c r="E511" s="193" t="s">
        <v>1730</v>
      </c>
      <c r="F511" s="193" t="s">
        <v>439</v>
      </c>
      <c r="G511" s="193" t="s">
        <v>439</v>
      </c>
      <c r="H511" s="193" t="s">
        <v>1989</v>
      </c>
      <c r="I511" s="193" t="s">
        <v>384</v>
      </c>
      <c r="J511" s="193" t="s">
        <v>1990</v>
      </c>
      <c r="K511" s="193" t="s">
        <v>386</v>
      </c>
      <c r="L511" s="193" t="s">
        <v>387</v>
      </c>
      <c r="M511" s="193" t="s">
        <v>378</v>
      </c>
      <c r="N511" s="193" t="s">
        <v>1497</v>
      </c>
      <c r="O511" s="193" t="s">
        <v>129</v>
      </c>
      <c r="P511" s="193" t="s">
        <v>138</v>
      </c>
      <c r="Q511" s="193" t="s">
        <v>137</v>
      </c>
      <c r="R511" s="193" t="s">
        <v>136</v>
      </c>
      <c r="S511" s="193" t="s">
        <v>214</v>
      </c>
      <c r="T511" s="193" t="s">
        <v>389</v>
      </c>
      <c r="U511" s="193" t="s">
        <v>390</v>
      </c>
      <c r="V511" s="193">
        <v>0</v>
      </c>
      <c r="W511" s="193">
        <v>0</v>
      </c>
      <c r="X511" s="193">
        <v>0</v>
      </c>
      <c r="Y511" s="194">
        <v>6443</v>
      </c>
      <c r="Z511" s="193" t="s">
        <v>1498</v>
      </c>
      <c r="AA511" s="193" t="s">
        <v>1499</v>
      </c>
      <c r="AB511" s="193">
        <v>6443</v>
      </c>
      <c r="AC511" s="193" t="s">
        <v>1500</v>
      </c>
      <c r="AD511" s="193" t="s">
        <v>136</v>
      </c>
      <c r="AE511" s="193">
        <v>6443</v>
      </c>
      <c r="AF511" s="193" t="s">
        <v>394</v>
      </c>
      <c r="AG511" s="193" t="s">
        <v>395</v>
      </c>
      <c r="AH511" s="193">
        <v>585</v>
      </c>
      <c r="AI511" s="193">
        <v>5858</v>
      </c>
      <c r="AJ511" s="193" t="s">
        <v>1987</v>
      </c>
      <c r="AL511" s="197" t="s">
        <v>1991</v>
      </c>
      <c r="AM511" s="193">
        <v>1</v>
      </c>
      <c r="AN511" s="193">
        <v>0</v>
      </c>
      <c r="AO511" s="193">
        <v>0</v>
      </c>
      <c r="AP511" s="193">
        <v>0</v>
      </c>
      <c r="AQ511" s="193" t="s">
        <v>214</v>
      </c>
      <c r="AS511" s="197" t="s">
        <v>394</v>
      </c>
      <c r="AT511" s="197" t="s">
        <v>395</v>
      </c>
      <c r="AV511" s="194">
        <v>1482</v>
      </c>
      <c r="AW511" s="194">
        <v>0</v>
      </c>
      <c r="AX511" s="194">
        <v>0</v>
      </c>
      <c r="AY511" s="549">
        <v>1482</v>
      </c>
      <c r="AZ511" s="194">
        <v>0</v>
      </c>
      <c r="BA511" s="194">
        <v>4961</v>
      </c>
      <c r="BB511" s="551">
        <v>4961</v>
      </c>
      <c r="BC511" s="551">
        <v>6443</v>
      </c>
      <c r="BD511" s="551">
        <v>0</v>
      </c>
      <c r="BF511" s="550">
        <f t="shared" si="102"/>
        <v>1347</v>
      </c>
      <c r="BG511" s="550">
        <f t="shared" si="103"/>
        <v>0</v>
      </c>
      <c r="BH511" s="550">
        <f t="shared" si="104"/>
        <v>0</v>
      </c>
      <c r="BI511" s="550">
        <f t="shared" si="105"/>
        <v>1347</v>
      </c>
      <c r="BJ511" s="550">
        <f t="shared" si="106"/>
        <v>0</v>
      </c>
      <c r="BK511" s="550">
        <f t="shared" si="107"/>
        <v>4510</v>
      </c>
      <c r="BL511" s="550">
        <f t="shared" si="108"/>
        <v>4510</v>
      </c>
      <c r="BM511" s="550">
        <f t="shared" si="109"/>
        <v>5857</v>
      </c>
      <c r="BO511" s="194"/>
      <c r="BQ511" s="193">
        <f t="shared" si="110"/>
        <v>0.27272727272725206</v>
      </c>
      <c r="BR511" s="193">
        <f t="shared" si="111"/>
        <v>0</v>
      </c>
    </row>
    <row r="512" spans="1:70" ht="13.5" customHeight="1">
      <c r="A512" s="193" t="s">
        <v>378</v>
      </c>
      <c r="B512" s="193" t="s">
        <v>379</v>
      </c>
      <c r="C512" s="193" t="s">
        <v>214</v>
      </c>
      <c r="D512" s="193" t="s">
        <v>1729</v>
      </c>
      <c r="E512" s="193" t="s">
        <v>1730</v>
      </c>
      <c r="F512" s="193" t="s">
        <v>759</v>
      </c>
      <c r="G512" s="193" t="s">
        <v>759</v>
      </c>
      <c r="H512" s="193" t="s">
        <v>1992</v>
      </c>
      <c r="I512" s="193" t="s">
        <v>384</v>
      </c>
      <c r="J512" s="193" t="s">
        <v>1993</v>
      </c>
      <c r="K512" s="193" t="s">
        <v>386</v>
      </c>
      <c r="L512" s="193" t="s">
        <v>387</v>
      </c>
      <c r="M512" s="193" t="s">
        <v>378</v>
      </c>
      <c r="N512" s="193" t="s">
        <v>1497</v>
      </c>
      <c r="O512" s="193" t="s">
        <v>129</v>
      </c>
      <c r="P512" s="193" t="s">
        <v>138</v>
      </c>
      <c r="Q512" s="193" t="s">
        <v>137</v>
      </c>
      <c r="R512" s="193" t="s">
        <v>136</v>
      </c>
      <c r="S512" s="193" t="s">
        <v>214</v>
      </c>
      <c r="T512" s="193" t="s">
        <v>389</v>
      </c>
      <c r="U512" s="193" t="s">
        <v>390</v>
      </c>
      <c r="V512" s="193">
        <v>0</v>
      </c>
      <c r="W512" s="193">
        <v>0</v>
      </c>
      <c r="X512" s="193">
        <v>0</v>
      </c>
      <c r="Y512" s="194">
        <v>2775</v>
      </c>
      <c r="Z512" s="193" t="s">
        <v>1498</v>
      </c>
      <c r="AA512" s="193" t="s">
        <v>1499</v>
      </c>
      <c r="AB512" s="193">
        <v>2775</v>
      </c>
      <c r="AC512" s="193" t="s">
        <v>1500</v>
      </c>
      <c r="AD512" s="193" t="s">
        <v>136</v>
      </c>
      <c r="AE512" s="193">
        <v>2775</v>
      </c>
      <c r="AF512" s="193" t="s">
        <v>394</v>
      </c>
      <c r="AG512" s="193" t="s">
        <v>395</v>
      </c>
      <c r="AH512" s="193">
        <v>252</v>
      </c>
      <c r="AI512" s="193">
        <v>2523</v>
      </c>
      <c r="AJ512" s="193" t="s">
        <v>1983</v>
      </c>
      <c r="AL512" s="197" t="s">
        <v>1994</v>
      </c>
      <c r="AM512" s="193">
        <v>1</v>
      </c>
      <c r="AN512" s="193">
        <v>0</v>
      </c>
      <c r="AO512" s="193">
        <v>0</v>
      </c>
      <c r="AP512" s="193">
        <v>0</v>
      </c>
      <c r="AQ512" s="193" t="s">
        <v>214</v>
      </c>
      <c r="AS512" s="197" t="s">
        <v>394</v>
      </c>
      <c r="AT512" s="197" t="s">
        <v>395</v>
      </c>
      <c r="AV512" s="194">
        <v>638</v>
      </c>
      <c r="AW512" s="194">
        <v>0</v>
      </c>
      <c r="AX512" s="194">
        <v>0</v>
      </c>
      <c r="AY512" s="549">
        <v>638</v>
      </c>
      <c r="AZ512" s="194">
        <v>0</v>
      </c>
      <c r="BA512" s="194">
        <v>2137</v>
      </c>
      <c r="BB512" s="551">
        <v>2137</v>
      </c>
      <c r="BC512" s="551">
        <v>2775</v>
      </c>
      <c r="BD512" s="551">
        <v>0</v>
      </c>
      <c r="BF512" s="550">
        <f t="shared" si="102"/>
        <v>580</v>
      </c>
      <c r="BG512" s="550">
        <f t="shared" si="103"/>
        <v>0</v>
      </c>
      <c r="BH512" s="550">
        <f t="shared" si="104"/>
        <v>0</v>
      </c>
      <c r="BI512" s="550">
        <f t="shared" si="105"/>
        <v>580</v>
      </c>
      <c r="BJ512" s="550">
        <f t="shared" si="106"/>
        <v>0</v>
      </c>
      <c r="BK512" s="550">
        <f t="shared" si="107"/>
        <v>1943</v>
      </c>
      <c r="BL512" s="550">
        <f t="shared" si="108"/>
        <v>1943</v>
      </c>
      <c r="BM512" s="550">
        <f t="shared" si="109"/>
        <v>2523</v>
      </c>
      <c r="BO512" s="194"/>
      <c r="BQ512" s="193">
        <f t="shared" si="110"/>
        <v>0</v>
      </c>
      <c r="BR512" s="193">
        <f t="shared" si="111"/>
        <v>-0.27272727272725206</v>
      </c>
    </row>
    <row r="513" spans="1:70" ht="13.5" customHeight="1">
      <c r="A513" s="193" t="s">
        <v>378</v>
      </c>
      <c r="B513" s="193" t="s">
        <v>379</v>
      </c>
      <c r="C513" s="193" t="s">
        <v>214</v>
      </c>
      <c r="D513" s="193" t="s">
        <v>1729</v>
      </c>
      <c r="E513" s="193" t="s">
        <v>1730</v>
      </c>
      <c r="F513" s="193" t="s">
        <v>1995</v>
      </c>
      <c r="G513" s="193" t="s">
        <v>1995</v>
      </c>
      <c r="H513" s="193" t="s">
        <v>1996</v>
      </c>
      <c r="I513" s="193" t="s">
        <v>384</v>
      </c>
      <c r="J513" s="193" t="s">
        <v>1997</v>
      </c>
      <c r="K513" s="193" t="s">
        <v>386</v>
      </c>
      <c r="L513" s="193" t="s">
        <v>387</v>
      </c>
      <c r="M513" s="193" t="s">
        <v>378</v>
      </c>
      <c r="N513" s="193" t="s">
        <v>1497</v>
      </c>
      <c r="O513" s="193" t="s">
        <v>129</v>
      </c>
      <c r="P513" s="193" t="s">
        <v>138</v>
      </c>
      <c r="Q513" s="193" t="s">
        <v>137</v>
      </c>
      <c r="R513" s="193" t="s">
        <v>136</v>
      </c>
      <c r="S513" s="193" t="s">
        <v>214</v>
      </c>
      <c r="T513" s="193" t="s">
        <v>389</v>
      </c>
      <c r="U513" s="193" t="s">
        <v>390</v>
      </c>
      <c r="V513" s="193">
        <v>0</v>
      </c>
      <c r="W513" s="193">
        <v>0</v>
      </c>
      <c r="X513" s="193">
        <v>0</v>
      </c>
      <c r="Y513" s="194">
        <v>3757</v>
      </c>
      <c r="Z513" s="193" t="s">
        <v>1498</v>
      </c>
      <c r="AA513" s="193" t="s">
        <v>1499</v>
      </c>
      <c r="AB513" s="193">
        <v>3757</v>
      </c>
      <c r="AC513" s="193" t="s">
        <v>1500</v>
      </c>
      <c r="AD513" s="193" t="s">
        <v>136</v>
      </c>
      <c r="AE513" s="193">
        <v>3757</v>
      </c>
      <c r="AF513" s="193" t="s">
        <v>394</v>
      </c>
      <c r="AG513" s="193" t="s">
        <v>395</v>
      </c>
      <c r="AH513" s="193">
        <v>341</v>
      </c>
      <c r="AI513" s="193">
        <v>3416</v>
      </c>
      <c r="AJ513" s="193" t="s">
        <v>1983</v>
      </c>
      <c r="AL513" s="197" t="s">
        <v>1998</v>
      </c>
      <c r="AM513" s="193">
        <v>1</v>
      </c>
      <c r="AN513" s="193">
        <v>0</v>
      </c>
      <c r="AO513" s="193">
        <v>0</v>
      </c>
      <c r="AP513" s="193">
        <v>0</v>
      </c>
      <c r="AQ513" s="193" t="s">
        <v>214</v>
      </c>
      <c r="AS513" s="197" t="s">
        <v>394</v>
      </c>
      <c r="AT513" s="197" t="s">
        <v>395</v>
      </c>
      <c r="AV513" s="194">
        <v>864</v>
      </c>
      <c r="AW513" s="194">
        <v>0</v>
      </c>
      <c r="AX513" s="194">
        <v>0</v>
      </c>
      <c r="AY513" s="549">
        <v>864</v>
      </c>
      <c r="AZ513" s="194">
        <v>0</v>
      </c>
      <c r="BA513" s="194">
        <v>2893</v>
      </c>
      <c r="BB513" s="551">
        <v>2893</v>
      </c>
      <c r="BC513" s="551">
        <v>3757</v>
      </c>
      <c r="BD513" s="551">
        <v>0</v>
      </c>
      <c r="BF513" s="550">
        <f t="shared" si="102"/>
        <v>785</v>
      </c>
      <c r="BG513" s="550">
        <f t="shared" si="103"/>
        <v>0</v>
      </c>
      <c r="BH513" s="550">
        <f t="shared" si="104"/>
        <v>0</v>
      </c>
      <c r="BI513" s="550">
        <f t="shared" si="105"/>
        <v>785</v>
      </c>
      <c r="BJ513" s="550">
        <f t="shared" si="106"/>
        <v>0</v>
      </c>
      <c r="BK513" s="550">
        <f t="shared" si="107"/>
        <v>2630</v>
      </c>
      <c r="BL513" s="550">
        <f t="shared" si="108"/>
        <v>2630</v>
      </c>
      <c r="BM513" s="550">
        <f t="shared" si="109"/>
        <v>3415</v>
      </c>
      <c r="BO513" s="194"/>
      <c r="BQ513" s="193">
        <f t="shared" si="110"/>
        <v>0.45454545454549589</v>
      </c>
      <c r="BR513" s="193">
        <f t="shared" si="111"/>
        <v>0</v>
      </c>
    </row>
    <row r="514" spans="1:70" ht="13.5" customHeight="1">
      <c r="A514" s="193" t="s">
        <v>378</v>
      </c>
      <c r="B514" s="193" t="s">
        <v>379</v>
      </c>
      <c r="C514" s="193" t="s">
        <v>214</v>
      </c>
      <c r="D514" s="193" t="s">
        <v>1729</v>
      </c>
      <c r="E514" s="193" t="s">
        <v>1730</v>
      </c>
      <c r="F514" s="193" t="s">
        <v>1258</v>
      </c>
      <c r="G514" s="193" t="s">
        <v>1258</v>
      </c>
      <c r="H514" s="193" t="s">
        <v>1999</v>
      </c>
      <c r="I514" s="193" t="s">
        <v>384</v>
      </c>
      <c r="J514" s="193" t="s">
        <v>2000</v>
      </c>
      <c r="K514" s="193" t="s">
        <v>386</v>
      </c>
      <c r="L514" s="193" t="s">
        <v>387</v>
      </c>
      <c r="M514" s="193" t="s">
        <v>378</v>
      </c>
      <c r="N514" s="193" t="s">
        <v>1497</v>
      </c>
      <c r="O514" s="193" t="s">
        <v>129</v>
      </c>
      <c r="P514" s="193" t="s">
        <v>138</v>
      </c>
      <c r="Q514" s="193" t="s">
        <v>137</v>
      </c>
      <c r="R514" s="193" t="s">
        <v>136</v>
      </c>
      <c r="S514" s="193" t="s">
        <v>214</v>
      </c>
      <c r="T514" s="193" t="s">
        <v>389</v>
      </c>
      <c r="U514" s="193" t="s">
        <v>390</v>
      </c>
      <c r="V514" s="193">
        <v>0</v>
      </c>
      <c r="W514" s="193">
        <v>0</v>
      </c>
      <c r="X514" s="193">
        <v>0</v>
      </c>
      <c r="Y514" s="194">
        <v>4203</v>
      </c>
      <c r="Z514" s="193" t="s">
        <v>1498</v>
      </c>
      <c r="AA514" s="193" t="s">
        <v>1499</v>
      </c>
      <c r="AB514" s="193">
        <v>4203</v>
      </c>
      <c r="AC514" s="193" t="s">
        <v>1500</v>
      </c>
      <c r="AD514" s="193" t="s">
        <v>136</v>
      </c>
      <c r="AE514" s="193">
        <v>4203</v>
      </c>
      <c r="AF514" s="193" t="s">
        <v>394</v>
      </c>
      <c r="AG514" s="193" t="s">
        <v>395</v>
      </c>
      <c r="AH514" s="193">
        <v>382</v>
      </c>
      <c r="AI514" s="193">
        <v>3821</v>
      </c>
      <c r="AJ514" s="193" t="s">
        <v>1983</v>
      </c>
      <c r="AL514" s="197" t="s">
        <v>2001</v>
      </c>
      <c r="AM514" s="193">
        <v>1</v>
      </c>
      <c r="AN514" s="193">
        <v>0</v>
      </c>
      <c r="AO514" s="193">
        <v>0</v>
      </c>
      <c r="AP514" s="193">
        <v>0</v>
      </c>
      <c r="AQ514" s="193" t="s">
        <v>214</v>
      </c>
      <c r="AS514" s="197" t="s">
        <v>394</v>
      </c>
      <c r="AT514" s="197" t="s">
        <v>395</v>
      </c>
      <c r="AV514" s="194">
        <v>967</v>
      </c>
      <c r="AW514" s="194">
        <v>0</v>
      </c>
      <c r="AX514" s="194">
        <v>0</v>
      </c>
      <c r="AY514" s="549">
        <v>967</v>
      </c>
      <c r="AZ514" s="194">
        <v>0</v>
      </c>
      <c r="BA514" s="194">
        <v>3236</v>
      </c>
      <c r="BB514" s="551">
        <v>3236</v>
      </c>
      <c r="BC514" s="551">
        <v>4203</v>
      </c>
      <c r="BD514" s="551">
        <v>0</v>
      </c>
      <c r="BF514" s="550">
        <f t="shared" si="102"/>
        <v>879</v>
      </c>
      <c r="BG514" s="550">
        <f t="shared" si="103"/>
        <v>0</v>
      </c>
      <c r="BH514" s="550">
        <f t="shared" si="104"/>
        <v>0</v>
      </c>
      <c r="BI514" s="550">
        <f t="shared" si="105"/>
        <v>879</v>
      </c>
      <c r="BJ514" s="550">
        <f t="shared" si="106"/>
        <v>0</v>
      </c>
      <c r="BK514" s="550">
        <f t="shared" si="107"/>
        <v>2942</v>
      </c>
      <c r="BL514" s="550">
        <f t="shared" si="108"/>
        <v>2942</v>
      </c>
      <c r="BM514" s="550">
        <f t="shared" si="109"/>
        <v>3821</v>
      </c>
      <c r="BO514" s="194"/>
      <c r="BQ514" s="193">
        <f t="shared" si="110"/>
        <v>9.0909090909121915E-2</v>
      </c>
      <c r="BR514" s="193">
        <f t="shared" si="111"/>
        <v>-0.18181818181801646</v>
      </c>
    </row>
    <row r="515" spans="1:70" ht="13.5" customHeight="1">
      <c r="A515" s="193" t="s">
        <v>378</v>
      </c>
      <c r="B515" s="193" t="s">
        <v>379</v>
      </c>
      <c r="C515" s="193" t="s">
        <v>214</v>
      </c>
      <c r="D515" s="193" t="s">
        <v>1729</v>
      </c>
      <c r="E515" s="193" t="s">
        <v>1730</v>
      </c>
      <c r="F515" s="193" t="s">
        <v>575</v>
      </c>
      <c r="G515" s="193" t="s">
        <v>575</v>
      </c>
      <c r="H515" s="193" t="s">
        <v>2002</v>
      </c>
      <c r="I515" s="193" t="s">
        <v>384</v>
      </c>
      <c r="J515" s="193" t="s">
        <v>2003</v>
      </c>
      <c r="K515" s="193" t="s">
        <v>386</v>
      </c>
      <c r="L515" s="193" t="s">
        <v>387</v>
      </c>
      <c r="M515" s="193" t="s">
        <v>378</v>
      </c>
      <c r="N515" s="193" t="s">
        <v>1497</v>
      </c>
      <c r="O515" s="193" t="s">
        <v>129</v>
      </c>
      <c r="P515" s="193" t="s">
        <v>138</v>
      </c>
      <c r="Q515" s="193" t="s">
        <v>137</v>
      </c>
      <c r="R515" s="193" t="s">
        <v>136</v>
      </c>
      <c r="S515" s="193" t="s">
        <v>214</v>
      </c>
      <c r="T515" s="193" t="s">
        <v>389</v>
      </c>
      <c r="U515" s="193" t="s">
        <v>390</v>
      </c>
      <c r="V515" s="193">
        <v>0</v>
      </c>
      <c r="W515" s="193">
        <v>0</v>
      </c>
      <c r="X515" s="193">
        <v>0</v>
      </c>
      <c r="Y515" s="194">
        <v>4537</v>
      </c>
      <c r="Z515" s="193" t="s">
        <v>1498</v>
      </c>
      <c r="AA515" s="193" t="s">
        <v>1499</v>
      </c>
      <c r="AB515" s="193">
        <v>4537</v>
      </c>
      <c r="AC515" s="193" t="s">
        <v>1500</v>
      </c>
      <c r="AD515" s="193" t="s">
        <v>136</v>
      </c>
      <c r="AE515" s="193">
        <v>4537</v>
      </c>
      <c r="AF515" s="193" t="s">
        <v>394</v>
      </c>
      <c r="AG515" s="193" t="s">
        <v>395</v>
      </c>
      <c r="AH515" s="193">
        <v>412</v>
      </c>
      <c r="AI515" s="193">
        <v>4125</v>
      </c>
      <c r="AJ515" s="193" t="s">
        <v>2004</v>
      </c>
      <c r="AL515" s="197" t="s">
        <v>2005</v>
      </c>
      <c r="AM515" s="193">
        <v>1</v>
      </c>
      <c r="AN515" s="193">
        <v>0</v>
      </c>
      <c r="AO515" s="193">
        <v>0</v>
      </c>
      <c r="AP515" s="193">
        <v>0</v>
      </c>
      <c r="AQ515" s="193" t="s">
        <v>214</v>
      </c>
      <c r="AS515" s="197" t="s">
        <v>394</v>
      </c>
      <c r="AT515" s="197" t="s">
        <v>395</v>
      </c>
      <c r="AV515" s="194">
        <v>1044</v>
      </c>
      <c r="AW515" s="194">
        <v>0</v>
      </c>
      <c r="AX515" s="194">
        <v>0</v>
      </c>
      <c r="AY515" s="549">
        <v>1044</v>
      </c>
      <c r="AZ515" s="194">
        <v>0</v>
      </c>
      <c r="BA515" s="194">
        <v>3493</v>
      </c>
      <c r="BB515" s="551">
        <v>3493</v>
      </c>
      <c r="BC515" s="551">
        <v>4537</v>
      </c>
      <c r="BD515" s="551">
        <v>0</v>
      </c>
      <c r="BF515" s="550">
        <f t="shared" si="102"/>
        <v>949</v>
      </c>
      <c r="BG515" s="550">
        <f t="shared" si="103"/>
        <v>0</v>
      </c>
      <c r="BH515" s="550">
        <f t="shared" si="104"/>
        <v>0</v>
      </c>
      <c r="BI515" s="550">
        <f t="shared" si="105"/>
        <v>949</v>
      </c>
      <c r="BJ515" s="550">
        <f t="shared" si="106"/>
        <v>0</v>
      </c>
      <c r="BK515" s="550">
        <f t="shared" si="107"/>
        <v>3175</v>
      </c>
      <c r="BL515" s="550">
        <f t="shared" si="108"/>
        <v>3175</v>
      </c>
      <c r="BM515" s="550">
        <f t="shared" si="109"/>
        <v>4124</v>
      </c>
      <c r="BO515" s="194"/>
      <c r="BQ515" s="193">
        <f t="shared" si="110"/>
        <v>9.0909090909121915E-2</v>
      </c>
      <c r="BR515" s="193">
        <f t="shared" si="111"/>
        <v>0.45454545454549589</v>
      </c>
    </row>
    <row r="516" spans="1:70" ht="13.5" customHeight="1">
      <c r="A516" s="193" t="s">
        <v>378</v>
      </c>
      <c r="B516" s="193" t="s">
        <v>379</v>
      </c>
      <c r="C516" s="193" t="s">
        <v>214</v>
      </c>
      <c r="D516" s="193" t="s">
        <v>1729</v>
      </c>
      <c r="E516" s="193" t="s">
        <v>1730</v>
      </c>
      <c r="F516" s="193" t="s">
        <v>706</v>
      </c>
      <c r="G516" s="193" t="s">
        <v>706</v>
      </c>
      <c r="H516" s="193" t="s">
        <v>2006</v>
      </c>
      <c r="I516" s="193" t="s">
        <v>384</v>
      </c>
      <c r="J516" s="193" t="s">
        <v>2007</v>
      </c>
      <c r="K516" s="193" t="s">
        <v>386</v>
      </c>
      <c r="L516" s="193" t="s">
        <v>387</v>
      </c>
      <c r="M516" s="193" t="s">
        <v>378</v>
      </c>
      <c r="N516" s="193" t="s">
        <v>1497</v>
      </c>
      <c r="O516" s="193" t="s">
        <v>129</v>
      </c>
      <c r="P516" s="193" t="s">
        <v>138</v>
      </c>
      <c r="Q516" s="193" t="s">
        <v>137</v>
      </c>
      <c r="R516" s="193" t="s">
        <v>136</v>
      </c>
      <c r="S516" s="193" t="s">
        <v>214</v>
      </c>
      <c r="T516" s="193" t="s">
        <v>389</v>
      </c>
      <c r="U516" s="193" t="s">
        <v>390</v>
      </c>
      <c r="V516" s="193">
        <v>0</v>
      </c>
      <c r="W516" s="193">
        <v>0</v>
      </c>
      <c r="X516" s="193">
        <v>0</v>
      </c>
      <c r="Y516" s="194">
        <v>5574</v>
      </c>
      <c r="Z516" s="193" t="s">
        <v>1498</v>
      </c>
      <c r="AA516" s="193" t="s">
        <v>1499</v>
      </c>
      <c r="AB516" s="193">
        <v>5574</v>
      </c>
      <c r="AC516" s="193" t="s">
        <v>1500</v>
      </c>
      <c r="AD516" s="193" t="s">
        <v>136</v>
      </c>
      <c r="AE516" s="193">
        <v>5574</v>
      </c>
      <c r="AF516" s="193" t="s">
        <v>394</v>
      </c>
      <c r="AG516" s="193" t="s">
        <v>395</v>
      </c>
      <c r="AH516" s="193">
        <v>506</v>
      </c>
      <c r="AI516" s="193">
        <v>5068</v>
      </c>
      <c r="AJ516" s="193" t="s">
        <v>2008</v>
      </c>
      <c r="AL516" s="197" t="s">
        <v>2009</v>
      </c>
      <c r="AM516" s="193">
        <v>1</v>
      </c>
      <c r="AN516" s="193">
        <v>0</v>
      </c>
      <c r="AO516" s="193">
        <v>0</v>
      </c>
      <c r="AP516" s="193">
        <v>0</v>
      </c>
      <c r="AQ516" s="193" t="s">
        <v>214</v>
      </c>
      <c r="AS516" s="197" t="s">
        <v>394</v>
      </c>
      <c r="AT516" s="197" t="s">
        <v>395</v>
      </c>
      <c r="AV516" s="194">
        <v>1282</v>
      </c>
      <c r="AW516" s="194">
        <v>0</v>
      </c>
      <c r="AX516" s="194">
        <v>0</v>
      </c>
      <c r="AY516" s="549">
        <v>1282</v>
      </c>
      <c r="AZ516" s="194">
        <v>0</v>
      </c>
      <c r="BA516" s="194">
        <v>4292</v>
      </c>
      <c r="BB516" s="551">
        <v>4292</v>
      </c>
      <c r="BC516" s="551">
        <v>5574</v>
      </c>
      <c r="BD516" s="551">
        <v>0</v>
      </c>
      <c r="BF516" s="550">
        <f t="shared" si="102"/>
        <v>1165</v>
      </c>
      <c r="BG516" s="550">
        <f t="shared" si="103"/>
        <v>0</v>
      </c>
      <c r="BH516" s="550">
        <f t="shared" si="104"/>
        <v>0</v>
      </c>
      <c r="BI516" s="550">
        <f t="shared" si="105"/>
        <v>1165</v>
      </c>
      <c r="BJ516" s="550">
        <f t="shared" si="106"/>
        <v>0</v>
      </c>
      <c r="BK516" s="550">
        <f t="shared" si="107"/>
        <v>3902</v>
      </c>
      <c r="BL516" s="550">
        <f t="shared" si="108"/>
        <v>3902</v>
      </c>
      <c r="BM516" s="550">
        <f t="shared" si="109"/>
        <v>5067</v>
      </c>
      <c r="BO516" s="194"/>
      <c r="BQ516" s="193">
        <f t="shared" si="110"/>
        <v>0.45454545454549589</v>
      </c>
      <c r="BR516" s="193">
        <f t="shared" si="111"/>
        <v>-0.18181818181801646</v>
      </c>
    </row>
    <row r="517" spans="1:70" ht="13.5" customHeight="1">
      <c r="A517" s="193" t="s">
        <v>378</v>
      </c>
      <c r="B517" s="193" t="s">
        <v>379</v>
      </c>
      <c r="C517" s="193" t="s">
        <v>214</v>
      </c>
      <c r="D517" s="193" t="s">
        <v>1729</v>
      </c>
      <c r="E517" s="193" t="s">
        <v>1730</v>
      </c>
      <c r="F517" s="193" t="s">
        <v>439</v>
      </c>
      <c r="G517" s="193" t="s">
        <v>439</v>
      </c>
      <c r="H517" s="193" t="s">
        <v>2010</v>
      </c>
      <c r="I517" s="193" t="s">
        <v>384</v>
      </c>
      <c r="J517" s="193" t="s">
        <v>2011</v>
      </c>
      <c r="K517" s="193" t="s">
        <v>386</v>
      </c>
      <c r="L517" s="193" t="s">
        <v>387</v>
      </c>
      <c r="M517" s="193" t="s">
        <v>378</v>
      </c>
      <c r="N517" s="193" t="s">
        <v>1497</v>
      </c>
      <c r="O517" s="193" t="s">
        <v>129</v>
      </c>
      <c r="P517" s="193" t="s">
        <v>138</v>
      </c>
      <c r="Q517" s="193" t="s">
        <v>137</v>
      </c>
      <c r="R517" s="193" t="s">
        <v>136</v>
      </c>
      <c r="S517" s="193" t="s">
        <v>214</v>
      </c>
      <c r="T517" s="193" t="s">
        <v>389</v>
      </c>
      <c r="U517" s="193" t="s">
        <v>390</v>
      </c>
      <c r="V517" s="193">
        <v>0</v>
      </c>
      <c r="W517" s="193">
        <v>0</v>
      </c>
      <c r="X517" s="193">
        <v>0</v>
      </c>
      <c r="Y517" s="194">
        <v>5072</v>
      </c>
      <c r="Z517" s="193" t="s">
        <v>1498</v>
      </c>
      <c r="AA517" s="193" t="s">
        <v>1499</v>
      </c>
      <c r="AB517" s="193">
        <v>5072</v>
      </c>
      <c r="AC517" s="193" t="s">
        <v>1500</v>
      </c>
      <c r="AD517" s="193" t="s">
        <v>136</v>
      </c>
      <c r="AE517" s="193">
        <v>5072</v>
      </c>
      <c r="AF517" s="193" t="s">
        <v>394</v>
      </c>
      <c r="AG517" s="193" t="s">
        <v>395</v>
      </c>
      <c r="AH517" s="193">
        <v>461</v>
      </c>
      <c r="AI517" s="193">
        <v>4611</v>
      </c>
      <c r="AJ517" s="193" t="s">
        <v>2008</v>
      </c>
      <c r="AL517" s="197" t="s">
        <v>2012</v>
      </c>
      <c r="AM517" s="193">
        <v>1</v>
      </c>
      <c r="AN517" s="193">
        <v>0</v>
      </c>
      <c r="AO517" s="193">
        <v>0</v>
      </c>
      <c r="AP517" s="193">
        <v>0</v>
      </c>
      <c r="AQ517" s="193" t="s">
        <v>214</v>
      </c>
      <c r="AS517" s="197" t="s">
        <v>394</v>
      </c>
      <c r="AT517" s="197" t="s">
        <v>395</v>
      </c>
      <c r="AV517" s="194">
        <v>1167</v>
      </c>
      <c r="AW517" s="194">
        <v>0</v>
      </c>
      <c r="AX517" s="194">
        <v>0</v>
      </c>
      <c r="AY517" s="549">
        <v>1167</v>
      </c>
      <c r="AZ517" s="194">
        <v>0</v>
      </c>
      <c r="BA517" s="194">
        <v>3905</v>
      </c>
      <c r="BB517" s="551">
        <v>3905</v>
      </c>
      <c r="BC517" s="551">
        <v>5072</v>
      </c>
      <c r="BD517" s="551">
        <v>0</v>
      </c>
      <c r="BF517" s="550">
        <f t="shared" si="102"/>
        <v>1061</v>
      </c>
      <c r="BG517" s="550">
        <f t="shared" si="103"/>
        <v>0</v>
      </c>
      <c r="BH517" s="550">
        <f t="shared" si="104"/>
        <v>0</v>
      </c>
      <c r="BI517" s="550">
        <f t="shared" si="105"/>
        <v>1061</v>
      </c>
      <c r="BJ517" s="550">
        <f t="shared" si="106"/>
        <v>0</v>
      </c>
      <c r="BK517" s="550">
        <f t="shared" si="107"/>
        <v>3550</v>
      </c>
      <c r="BL517" s="550">
        <f t="shared" si="108"/>
        <v>3550</v>
      </c>
      <c r="BM517" s="550">
        <f t="shared" si="109"/>
        <v>4611</v>
      </c>
      <c r="BO517" s="194"/>
      <c r="BQ517" s="193">
        <f t="shared" si="110"/>
        <v>-9.0909090909008228E-2</v>
      </c>
      <c r="BR517" s="193">
        <f t="shared" si="111"/>
        <v>0</v>
      </c>
    </row>
    <row r="518" spans="1:70" ht="13.5" customHeight="1">
      <c r="A518" s="193" t="s">
        <v>378</v>
      </c>
      <c r="B518" s="193" t="s">
        <v>379</v>
      </c>
      <c r="C518" s="193" t="s">
        <v>214</v>
      </c>
      <c r="D518" s="193" t="s">
        <v>1729</v>
      </c>
      <c r="E518" s="193" t="s">
        <v>1730</v>
      </c>
      <c r="F518" s="193" t="s">
        <v>759</v>
      </c>
      <c r="G518" s="193" t="s">
        <v>759</v>
      </c>
      <c r="H518" s="193" t="s">
        <v>2013</v>
      </c>
      <c r="I518" s="193" t="s">
        <v>384</v>
      </c>
      <c r="J518" s="193" t="s">
        <v>2014</v>
      </c>
      <c r="K518" s="193" t="s">
        <v>386</v>
      </c>
      <c r="L518" s="193" t="s">
        <v>387</v>
      </c>
      <c r="M518" s="193" t="s">
        <v>378</v>
      </c>
      <c r="N518" s="193" t="s">
        <v>1497</v>
      </c>
      <c r="O518" s="193" t="s">
        <v>129</v>
      </c>
      <c r="P518" s="193" t="s">
        <v>138</v>
      </c>
      <c r="Q518" s="193" t="s">
        <v>137</v>
      </c>
      <c r="R518" s="193" t="s">
        <v>136</v>
      </c>
      <c r="S518" s="193" t="s">
        <v>214</v>
      </c>
      <c r="T518" s="193" t="s">
        <v>389</v>
      </c>
      <c r="U518" s="193" t="s">
        <v>390</v>
      </c>
      <c r="V518" s="193">
        <v>0</v>
      </c>
      <c r="W518" s="193">
        <v>0</v>
      </c>
      <c r="X518" s="193">
        <v>0</v>
      </c>
      <c r="Y518" s="194">
        <v>2874</v>
      </c>
      <c r="Z518" s="193" t="s">
        <v>1498</v>
      </c>
      <c r="AA518" s="193" t="s">
        <v>1499</v>
      </c>
      <c r="AB518" s="193">
        <v>2874</v>
      </c>
      <c r="AC518" s="193" t="s">
        <v>1500</v>
      </c>
      <c r="AD518" s="193" t="s">
        <v>136</v>
      </c>
      <c r="AE518" s="193">
        <v>2874</v>
      </c>
      <c r="AF518" s="193" t="s">
        <v>394</v>
      </c>
      <c r="AG518" s="193" t="s">
        <v>395</v>
      </c>
      <c r="AH518" s="193">
        <v>261</v>
      </c>
      <c r="AI518" s="193">
        <v>2613</v>
      </c>
      <c r="AJ518" s="193" t="s">
        <v>2004</v>
      </c>
      <c r="AL518" s="197" t="s">
        <v>2015</v>
      </c>
      <c r="AM518" s="193">
        <v>1</v>
      </c>
      <c r="AN518" s="193">
        <v>0</v>
      </c>
      <c r="AO518" s="193">
        <v>0</v>
      </c>
      <c r="AP518" s="193">
        <v>0</v>
      </c>
      <c r="AQ518" s="193" t="s">
        <v>214</v>
      </c>
      <c r="AS518" s="197" t="s">
        <v>394</v>
      </c>
      <c r="AT518" s="197" t="s">
        <v>395</v>
      </c>
      <c r="AV518" s="194">
        <v>661</v>
      </c>
      <c r="AW518" s="194">
        <v>0</v>
      </c>
      <c r="AX518" s="194">
        <v>0</v>
      </c>
      <c r="AY518" s="549">
        <v>661</v>
      </c>
      <c r="AZ518" s="194">
        <v>0</v>
      </c>
      <c r="BA518" s="194">
        <v>2213</v>
      </c>
      <c r="BB518" s="551">
        <v>2213</v>
      </c>
      <c r="BC518" s="551">
        <v>2874</v>
      </c>
      <c r="BD518" s="551">
        <v>0</v>
      </c>
      <c r="BF518" s="550">
        <f t="shared" si="102"/>
        <v>601</v>
      </c>
      <c r="BG518" s="550">
        <f t="shared" si="103"/>
        <v>0</v>
      </c>
      <c r="BH518" s="550">
        <f t="shared" si="104"/>
        <v>0</v>
      </c>
      <c r="BI518" s="550">
        <f t="shared" si="105"/>
        <v>601</v>
      </c>
      <c r="BJ518" s="550">
        <f t="shared" si="106"/>
        <v>0</v>
      </c>
      <c r="BK518" s="550">
        <f t="shared" si="107"/>
        <v>2012</v>
      </c>
      <c r="BL518" s="550">
        <f t="shared" si="108"/>
        <v>2012</v>
      </c>
      <c r="BM518" s="550">
        <f t="shared" si="109"/>
        <v>2613</v>
      </c>
      <c r="BO518" s="194"/>
      <c r="BQ518" s="193">
        <f t="shared" si="110"/>
        <v>-9.0909090909121915E-2</v>
      </c>
      <c r="BR518" s="193">
        <f t="shared" si="111"/>
        <v>-0.18181818181824383</v>
      </c>
    </row>
    <row r="519" spans="1:70" ht="13.5" customHeight="1">
      <c r="A519" s="193" t="s">
        <v>378</v>
      </c>
      <c r="B519" s="193" t="s">
        <v>379</v>
      </c>
      <c r="C519" s="193" t="s">
        <v>214</v>
      </c>
      <c r="D519" s="193" t="s">
        <v>1729</v>
      </c>
      <c r="E519" s="193" t="s">
        <v>1730</v>
      </c>
      <c r="F519" s="193" t="s">
        <v>1995</v>
      </c>
      <c r="G519" s="193" t="s">
        <v>1995</v>
      </c>
      <c r="H519" s="193" t="s">
        <v>2016</v>
      </c>
      <c r="I519" s="193" t="s">
        <v>384</v>
      </c>
      <c r="J519" s="193" t="s">
        <v>2017</v>
      </c>
      <c r="K519" s="193" t="s">
        <v>386</v>
      </c>
      <c r="L519" s="193" t="s">
        <v>387</v>
      </c>
      <c r="M519" s="193" t="s">
        <v>378</v>
      </c>
      <c r="N519" s="193" t="s">
        <v>1497</v>
      </c>
      <c r="O519" s="193" t="s">
        <v>129</v>
      </c>
      <c r="P519" s="193" t="s">
        <v>138</v>
      </c>
      <c r="Q519" s="193" t="s">
        <v>137</v>
      </c>
      <c r="R519" s="193" t="s">
        <v>136</v>
      </c>
      <c r="S519" s="193" t="s">
        <v>214</v>
      </c>
      <c r="T519" s="193" t="s">
        <v>389</v>
      </c>
      <c r="U519" s="193" t="s">
        <v>390</v>
      </c>
      <c r="V519" s="193">
        <v>0</v>
      </c>
      <c r="W519" s="193">
        <v>0</v>
      </c>
      <c r="X519" s="193">
        <v>0</v>
      </c>
      <c r="Y519" s="194">
        <v>4147</v>
      </c>
      <c r="Z519" s="193" t="s">
        <v>1498</v>
      </c>
      <c r="AA519" s="193" t="s">
        <v>1499</v>
      </c>
      <c r="AB519" s="193">
        <v>4147</v>
      </c>
      <c r="AC519" s="193" t="s">
        <v>1500</v>
      </c>
      <c r="AD519" s="193" t="s">
        <v>136</v>
      </c>
      <c r="AE519" s="193">
        <v>4147</v>
      </c>
      <c r="AF519" s="193" t="s">
        <v>394</v>
      </c>
      <c r="AG519" s="193" t="s">
        <v>395</v>
      </c>
      <c r="AH519" s="193">
        <v>377</v>
      </c>
      <c r="AI519" s="193">
        <v>3770</v>
      </c>
      <c r="AJ519" s="193" t="s">
        <v>2004</v>
      </c>
      <c r="AL519" s="197" t="s">
        <v>2018</v>
      </c>
      <c r="AM519" s="193">
        <v>1</v>
      </c>
      <c r="AN519" s="193">
        <v>0</v>
      </c>
      <c r="AO519" s="193">
        <v>0</v>
      </c>
      <c r="AP519" s="193">
        <v>0</v>
      </c>
      <c r="AQ519" s="193" t="s">
        <v>214</v>
      </c>
      <c r="AS519" s="197" t="s">
        <v>394</v>
      </c>
      <c r="AT519" s="197" t="s">
        <v>395</v>
      </c>
      <c r="AV519" s="194">
        <v>954</v>
      </c>
      <c r="AW519" s="194">
        <v>0</v>
      </c>
      <c r="AX519" s="194">
        <v>0</v>
      </c>
      <c r="AY519" s="549">
        <v>954</v>
      </c>
      <c r="AZ519" s="194">
        <v>0</v>
      </c>
      <c r="BA519" s="194">
        <v>3193</v>
      </c>
      <c r="BB519" s="551">
        <v>3193</v>
      </c>
      <c r="BC519" s="551">
        <v>4147</v>
      </c>
      <c r="BD519" s="551">
        <v>0</v>
      </c>
      <c r="BF519" s="550">
        <f t="shared" ref="BF519:BF582" si="112">+IFERROR(ROUND(AV519*100/(100+$AT519),0),AV519)</f>
        <v>867</v>
      </c>
      <c r="BG519" s="550">
        <f t="shared" ref="BG519:BG582" si="113">+IFERROR(ROUND(AW519*100/(100+$AT519),0),AW519)</f>
        <v>0</v>
      </c>
      <c r="BH519" s="550">
        <f t="shared" ref="BH519:BH582" si="114">+IFERROR(ROUND(AX519*100/(100+$AT519),0),AX519)</f>
        <v>0</v>
      </c>
      <c r="BI519" s="550">
        <f t="shared" ref="BI519:BI582" si="115">SUM(BF519:BH519)</f>
        <v>867</v>
      </c>
      <c r="BJ519" s="550">
        <f t="shared" ref="BJ519:BJ582" si="116">+IFERROR(ROUND(AZ519*100/(100+$AT519),0),AZ519)</f>
        <v>0</v>
      </c>
      <c r="BK519" s="550">
        <f t="shared" ref="BK519:BK582" si="117">+IFERROR(ROUND(BA519*100/(100+$AT519),0),BA519)</f>
        <v>2903</v>
      </c>
      <c r="BL519" s="550">
        <f t="shared" ref="BL519:BL582" si="118">SUM(BJ519:BK519)</f>
        <v>2903</v>
      </c>
      <c r="BM519" s="550">
        <f t="shared" ref="BM519:BM582" si="119">+BI519+BL519</f>
        <v>3770</v>
      </c>
      <c r="BO519" s="194"/>
      <c r="BQ519" s="193">
        <f t="shared" ref="BQ519:BQ582" si="120">AY519*100/(100+$AT519)-BI519</f>
        <v>0.27272727272725206</v>
      </c>
      <c r="BR519" s="193">
        <f t="shared" ref="BR519:BR582" si="121">BB519*100/(100+$AT519)-BL519</f>
        <v>-0.27272727272747943</v>
      </c>
    </row>
    <row r="520" spans="1:70" ht="13.5" customHeight="1">
      <c r="A520" s="193" t="s">
        <v>378</v>
      </c>
      <c r="B520" s="193" t="s">
        <v>379</v>
      </c>
      <c r="C520" s="193" t="s">
        <v>214</v>
      </c>
      <c r="D520" s="193" t="s">
        <v>1729</v>
      </c>
      <c r="E520" s="193" t="s">
        <v>1730</v>
      </c>
      <c r="F520" s="193" t="s">
        <v>1258</v>
      </c>
      <c r="G520" s="193" t="s">
        <v>1258</v>
      </c>
      <c r="H520" s="193" t="s">
        <v>2019</v>
      </c>
      <c r="I520" s="193" t="s">
        <v>384</v>
      </c>
      <c r="J520" s="193" t="s">
        <v>2020</v>
      </c>
      <c r="K520" s="193" t="s">
        <v>386</v>
      </c>
      <c r="L520" s="193" t="s">
        <v>387</v>
      </c>
      <c r="M520" s="193" t="s">
        <v>378</v>
      </c>
      <c r="N520" s="193" t="s">
        <v>1497</v>
      </c>
      <c r="O520" s="193" t="s">
        <v>129</v>
      </c>
      <c r="P520" s="193" t="s">
        <v>138</v>
      </c>
      <c r="Q520" s="193" t="s">
        <v>137</v>
      </c>
      <c r="R520" s="193" t="s">
        <v>136</v>
      </c>
      <c r="S520" s="193" t="s">
        <v>214</v>
      </c>
      <c r="T520" s="193" t="s">
        <v>389</v>
      </c>
      <c r="U520" s="193" t="s">
        <v>390</v>
      </c>
      <c r="V520" s="193">
        <v>0</v>
      </c>
      <c r="W520" s="193">
        <v>0</v>
      </c>
      <c r="X520" s="193">
        <v>0</v>
      </c>
      <c r="Y520" s="194">
        <v>4694</v>
      </c>
      <c r="Z520" s="193" t="s">
        <v>1498</v>
      </c>
      <c r="AA520" s="193" t="s">
        <v>1499</v>
      </c>
      <c r="AB520" s="193">
        <v>4694</v>
      </c>
      <c r="AC520" s="193" t="s">
        <v>1500</v>
      </c>
      <c r="AD520" s="193" t="s">
        <v>136</v>
      </c>
      <c r="AE520" s="193">
        <v>4694</v>
      </c>
      <c r="AF520" s="193" t="s">
        <v>394</v>
      </c>
      <c r="AG520" s="193" t="s">
        <v>395</v>
      </c>
      <c r="AH520" s="193">
        <v>426</v>
      </c>
      <c r="AI520" s="193">
        <v>4268</v>
      </c>
      <c r="AJ520" s="193" t="s">
        <v>2004</v>
      </c>
      <c r="AL520" s="197" t="s">
        <v>2021</v>
      </c>
      <c r="AM520" s="193">
        <v>1</v>
      </c>
      <c r="AN520" s="193">
        <v>0</v>
      </c>
      <c r="AO520" s="193">
        <v>0</v>
      </c>
      <c r="AP520" s="193">
        <v>0</v>
      </c>
      <c r="AQ520" s="193" t="s">
        <v>214</v>
      </c>
      <c r="AS520" s="197" t="s">
        <v>394</v>
      </c>
      <c r="AT520" s="197" t="s">
        <v>395</v>
      </c>
      <c r="AV520" s="194">
        <v>1080</v>
      </c>
      <c r="AW520" s="194">
        <v>0</v>
      </c>
      <c r="AX520" s="194">
        <v>0</v>
      </c>
      <c r="AY520" s="549">
        <v>1080</v>
      </c>
      <c r="AZ520" s="194">
        <v>0</v>
      </c>
      <c r="BA520" s="194">
        <v>3614</v>
      </c>
      <c r="BB520" s="551">
        <v>3614</v>
      </c>
      <c r="BC520" s="551">
        <v>4694</v>
      </c>
      <c r="BD520" s="551">
        <v>0</v>
      </c>
      <c r="BF520" s="550">
        <f t="shared" si="112"/>
        <v>982</v>
      </c>
      <c r="BG520" s="550">
        <f t="shared" si="113"/>
        <v>0</v>
      </c>
      <c r="BH520" s="550">
        <f t="shared" si="114"/>
        <v>0</v>
      </c>
      <c r="BI520" s="550">
        <f t="shared" si="115"/>
        <v>982</v>
      </c>
      <c r="BJ520" s="550">
        <f t="shared" si="116"/>
        <v>0</v>
      </c>
      <c r="BK520" s="550">
        <f t="shared" si="117"/>
        <v>3285</v>
      </c>
      <c r="BL520" s="550">
        <f t="shared" si="118"/>
        <v>3285</v>
      </c>
      <c r="BM520" s="550">
        <f t="shared" si="119"/>
        <v>4267</v>
      </c>
      <c r="BO520" s="194"/>
      <c r="BQ520" s="193">
        <f t="shared" si="120"/>
        <v>-0.18181818181813014</v>
      </c>
      <c r="BR520" s="193">
        <f t="shared" si="121"/>
        <v>0.45454545454549589</v>
      </c>
    </row>
    <row r="521" spans="1:70" ht="13.5" customHeight="1">
      <c r="A521" s="193" t="s">
        <v>378</v>
      </c>
      <c r="B521" s="193" t="s">
        <v>379</v>
      </c>
      <c r="C521" s="193" t="s">
        <v>214</v>
      </c>
      <c r="D521" s="193" t="s">
        <v>1484</v>
      </c>
      <c r="E521" s="193" t="s">
        <v>1485</v>
      </c>
      <c r="F521" s="193" t="s">
        <v>1685</v>
      </c>
      <c r="G521" s="193" t="s">
        <v>1685</v>
      </c>
      <c r="H521" s="193" t="s">
        <v>2022</v>
      </c>
      <c r="I521" s="193" t="s">
        <v>384</v>
      </c>
      <c r="J521" s="193" t="s">
        <v>2023</v>
      </c>
      <c r="K521" s="193" t="s">
        <v>386</v>
      </c>
      <c r="L521" s="193" t="s">
        <v>387</v>
      </c>
      <c r="M521" s="193" t="s">
        <v>378</v>
      </c>
      <c r="N521" s="193" t="s">
        <v>1497</v>
      </c>
      <c r="O521" s="193" t="s">
        <v>129</v>
      </c>
      <c r="P521" s="193" t="s">
        <v>138</v>
      </c>
      <c r="Q521" s="193" t="s">
        <v>137</v>
      </c>
      <c r="R521" s="193" t="s">
        <v>136</v>
      </c>
      <c r="S521" s="193" t="s">
        <v>214</v>
      </c>
      <c r="T521" s="193" t="s">
        <v>389</v>
      </c>
      <c r="U521" s="193" t="s">
        <v>390</v>
      </c>
      <c r="V521" s="193">
        <v>0</v>
      </c>
      <c r="W521" s="193">
        <v>0</v>
      </c>
      <c r="X521" s="193">
        <v>0</v>
      </c>
      <c r="Y521" s="194">
        <v>250575</v>
      </c>
      <c r="Z521" s="193" t="s">
        <v>1498</v>
      </c>
      <c r="AA521" s="193" t="s">
        <v>1499</v>
      </c>
      <c r="AB521" s="193">
        <v>250575</v>
      </c>
      <c r="AC521" s="193" t="s">
        <v>1500</v>
      </c>
      <c r="AD521" s="193" t="s">
        <v>136</v>
      </c>
      <c r="AE521" s="193">
        <v>250575</v>
      </c>
      <c r="AF521" s="193" t="s">
        <v>394</v>
      </c>
      <c r="AG521" s="193" t="s">
        <v>395</v>
      </c>
      <c r="AH521" s="193">
        <v>22779</v>
      </c>
      <c r="AI521" s="193">
        <v>227796</v>
      </c>
      <c r="AJ521" s="193" t="s">
        <v>2024</v>
      </c>
      <c r="AL521" s="197" t="s">
        <v>2025</v>
      </c>
      <c r="AM521" s="193">
        <v>1</v>
      </c>
      <c r="AN521" s="193">
        <v>0</v>
      </c>
      <c r="AO521" s="193">
        <v>0</v>
      </c>
      <c r="AP521" s="193" t="s">
        <v>2026</v>
      </c>
      <c r="AQ521" s="193" t="s">
        <v>214</v>
      </c>
      <c r="AS521" s="197" t="s">
        <v>394</v>
      </c>
      <c r="AT521" s="197" t="s">
        <v>395</v>
      </c>
      <c r="AV521" s="194">
        <v>250575</v>
      </c>
      <c r="AW521" s="194">
        <v>0</v>
      </c>
      <c r="AX521" s="194">
        <v>0</v>
      </c>
      <c r="AY521" s="549">
        <v>250575</v>
      </c>
      <c r="AZ521" s="194">
        <v>0</v>
      </c>
      <c r="BA521" s="194">
        <v>0</v>
      </c>
      <c r="BB521" s="551">
        <v>0</v>
      </c>
      <c r="BC521" s="551">
        <v>250575</v>
      </c>
      <c r="BD521" s="551">
        <v>0</v>
      </c>
      <c r="BF521" s="550">
        <f t="shared" si="112"/>
        <v>227795</v>
      </c>
      <c r="BG521" s="550">
        <f t="shared" si="113"/>
        <v>0</v>
      </c>
      <c r="BH521" s="550">
        <f t="shared" si="114"/>
        <v>0</v>
      </c>
      <c r="BI521" s="550">
        <f t="shared" si="115"/>
        <v>227795</v>
      </c>
      <c r="BJ521" s="550">
        <f t="shared" si="116"/>
        <v>0</v>
      </c>
      <c r="BK521" s="550">
        <f t="shared" si="117"/>
        <v>0</v>
      </c>
      <c r="BL521" s="550">
        <f t="shared" si="118"/>
        <v>0</v>
      </c>
      <c r="BM521" s="550">
        <f t="shared" si="119"/>
        <v>227795</v>
      </c>
      <c r="BO521" s="194"/>
      <c r="BQ521" s="193">
        <f t="shared" si="120"/>
        <v>0.45454545455868356</v>
      </c>
      <c r="BR521" s="193">
        <f t="shared" si="121"/>
        <v>0</v>
      </c>
    </row>
    <row r="522" spans="1:70" ht="13.5" customHeight="1">
      <c r="A522" s="193" t="s">
        <v>378</v>
      </c>
      <c r="B522" s="193" t="s">
        <v>379</v>
      </c>
      <c r="C522" s="193" t="s">
        <v>214</v>
      </c>
      <c r="D522" s="193" t="s">
        <v>1484</v>
      </c>
      <c r="E522" s="193" t="s">
        <v>1485</v>
      </c>
      <c r="F522" s="193" t="s">
        <v>1685</v>
      </c>
      <c r="G522" s="193" t="s">
        <v>1685</v>
      </c>
      <c r="H522" s="193" t="s">
        <v>2027</v>
      </c>
      <c r="I522" s="193" t="s">
        <v>384</v>
      </c>
      <c r="J522" s="193" t="s">
        <v>2028</v>
      </c>
      <c r="K522" s="193" t="s">
        <v>386</v>
      </c>
      <c r="L522" s="193" t="s">
        <v>387</v>
      </c>
      <c r="M522" s="193" t="s">
        <v>378</v>
      </c>
      <c r="N522" s="193" t="s">
        <v>1497</v>
      </c>
      <c r="O522" s="193" t="s">
        <v>129</v>
      </c>
      <c r="P522" s="193" t="s">
        <v>138</v>
      </c>
      <c r="Q522" s="193" t="s">
        <v>137</v>
      </c>
      <c r="R522" s="193" t="s">
        <v>136</v>
      </c>
      <c r="S522" s="193" t="s">
        <v>214</v>
      </c>
      <c r="T522" s="193" t="s">
        <v>389</v>
      </c>
      <c r="U522" s="193" t="s">
        <v>390</v>
      </c>
      <c r="V522" s="193">
        <v>0</v>
      </c>
      <c r="W522" s="193">
        <v>0</v>
      </c>
      <c r="X522" s="193">
        <v>0</v>
      </c>
      <c r="Y522" s="554">
        <v>289000</v>
      </c>
      <c r="Z522" s="193" t="s">
        <v>1498</v>
      </c>
      <c r="AA522" s="193" t="s">
        <v>1499</v>
      </c>
      <c r="AB522" s="193">
        <v>289000</v>
      </c>
      <c r="AC522" s="193" t="s">
        <v>1500</v>
      </c>
      <c r="AD522" s="193" t="s">
        <v>136</v>
      </c>
      <c r="AE522" s="193">
        <v>289000</v>
      </c>
      <c r="AF522" s="193" t="s">
        <v>518</v>
      </c>
      <c r="AG522" s="193" t="s">
        <v>519</v>
      </c>
      <c r="AH522" s="193">
        <v>0</v>
      </c>
      <c r="AI522" s="193">
        <v>289000</v>
      </c>
      <c r="AJ522" s="193" t="s">
        <v>2029</v>
      </c>
      <c r="AL522" s="197" t="s">
        <v>2030</v>
      </c>
      <c r="AM522" s="193">
        <v>1</v>
      </c>
      <c r="AN522" s="193">
        <v>0</v>
      </c>
      <c r="AO522" s="193">
        <v>0</v>
      </c>
      <c r="AP522" s="193">
        <v>0</v>
      </c>
      <c r="AQ522" s="193" t="s">
        <v>214</v>
      </c>
      <c r="AS522" s="197" t="s">
        <v>518</v>
      </c>
      <c r="AT522" s="197" t="s">
        <v>519</v>
      </c>
      <c r="AV522" s="196">
        <v>289000</v>
      </c>
      <c r="AW522" s="196">
        <v>0</v>
      </c>
      <c r="AX522" s="196">
        <v>0</v>
      </c>
      <c r="AY522" s="550">
        <v>289000</v>
      </c>
      <c r="AZ522" s="196">
        <v>0</v>
      </c>
      <c r="BA522" s="196">
        <v>0</v>
      </c>
      <c r="BB522" s="551">
        <v>0</v>
      </c>
      <c r="BC522" s="551">
        <v>289000</v>
      </c>
      <c r="BD522" s="551">
        <v>0</v>
      </c>
      <c r="BF522" s="550">
        <f t="shared" si="112"/>
        <v>289000</v>
      </c>
      <c r="BG522" s="550">
        <f t="shared" si="113"/>
        <v>0</v>
      </c>
      <c r="BH522" s="550">
        <f t="shared" si="114"/>
        <v>0</v>
      </c>
      <c r="BI522" s="550">
        <f t="shared" si="115"/>
        <v>289000</v>
      </c>
      <c r="BJ522" s="550">
        <f t="shared" si="116"/>
        <v>0</v>
      </c>
      <c r="BK522" s="550">
        <f t="shared" si="117"/>
        <v>0</v>
      </c>
      <c r="BL522" s="550">
        <f t="shared" si="118"/>
        <v>0</v>
      </c>
      <c r="BM522" s="550">
        <f t="shared" si="119"/>
        <v>289000</v>
      </c>
      <c r="BO522" s="194"/>
      <c r="BQ522" s="193">
        <f t="shared" si="120"/>
        <v>0</v>
      </c>
      <c r="BR522" s="193">
        <f t="shared" si="121"/>
        <v>0</v>
      </c>
    </row>
    <row r="523" spans="1:70" ht="13.5" customHeight="1">
      <c r="A523" s="193" t="s">
        <v>378</v>
      </c>
      <c r="B523" s="193" t="s">
        <v>379</v>
      </c>
      <c r="C523" s="193" t="s">
        <v>214</v>
      </c>
      <c r="D523" s="193" t="s">
        <v>1484</v>
      </c>
      <c r="E523" s="193" t="s">
        <v>1485</v>
      </c>
      <c r="F523" s="193" t="s">
        <v>1007</v>
      </c>
      <c r="G523" s="193" t="s">
        <v>1007</v>
      </c>
      <c r="H523" s="193" t="s">
        <v>2031</v>
      </c>
      <c r="I523" s="193" t="s">
        <v>384</v>
      </c>
      <c r="J523" s="193" t="s">
        <v>2032</v>
      </c>
      <c r="K523" s="193" t="s">
        <v>386</v>
      </c>
      <c r="L523" s="193" t="s">
        <v>387</v>
      </c>
      <c r="M523" s="193" t="s">
        <v>378</v>
      </c>
      <c r="N523" s="193" t="s">
        <v>1497</v>
      </c>
      <c r="O523" s="193" t="s">
        <v>129</v>
      </c>
      <c r="P523" s="193" t="s">
        <v>138</v>
      </c>
      <c r="Q523" s="193" t="s">
        <v>137</v>
      </c>
      <c r="R523" s="193" t="s">
        <v>136</v>
      </c>
      <c r="S523" s="193" t="s">
        <v>214</v>
      </c>
      <c r="T523" s="193" t="s">
        <v>389</v>
      </c>
      <c r="U523" s="193" t="s">
        <v>390</v>
      </c>
      <c r="V523" s="193">
        <v>0</v>
      </c>
      <c r="W523" s="193">
        <v>0</v>
      </c>
      <c r="X523" s="193">
        <v>0</v>
      </c>
      <c r="Y523" s="194">
        <v>244830</v>
      </c>
      <c r="Z523" s="193" t="s">
        <v>1498</v>
      </c>
      <c r="AA523" s="193" t="s">
        <v>1499</v>
      </c>
      <c r="AB523" s="193">
        <v>244830</v>
      </c>
      <c r="AC523" s="193" t="s">
        <v>1500</v>
      </c>
      <c r="AD523" s="193" t="s">
        <v>136</v>
      </c>
      <c r="AE523" s="193">
        <v>244830</v>
      </c>
      <c r="AF523" s="193" t="s">
        <v>518</v>
      </c>
      <c r="AG523" s="193" t="s">
        <v>519</v>
      </c>
      <c r="AH523" s="193">
        <v>0</v>
      </c>
      <c r="AI523" s="193">
        <v>244830</v>
      </c>
      <c r="AJ523" s="193" t="s">
        <v>2033</v>
      </c>
      <c r="AL523" s="197" t="s">
        <v>2034</v>
      </c>
      <c r="AM523" s="193">
        <v>1</v>
      </c>
      <c r="AN523" s="193">
        <v>0</v>
      </c>
      <c r="AO523" s="193">
        <v>0</v>
      </c>
      <c r="AP523" s="193">
        <v>0</v>
      </c>
      <c r="AQ523" s="193" t="s">
        <v>214</v>
      </c>
      <c r="AS523" s="197" t="s">
        <v>518</v>
      </c>
      <c r="AT523" s="197" t="s">
        <v>519</v>
      </c>
      <c r="AV523" s="196">
        <v>0</v>
      </c>
      <c r="AW523" s="196">
        <v>0</v>
      </c>
      <c r="AX523" s="196">
        <v>0</v>
      </c>
      <c r="AY523" s="550">
        <v>0</v>
      </c>
      <c r="AZ523" s="196">
        <v>0</v>
      </c>
      <c r="BA523" s="196">
        <v>244830</v>
      </c>
      <c r="BB523" s="551">
        <v>244830</v>
      </c>
      <c r="BC523" s="551">
        <v>244830</v>
      </c>
      <c r="BD523" s="551">
        <v>0</v>
      </c>
      <c r="BF523" s="550">
        <f t="shared" si="112"/>
        <v>0</v>
      </c>
      <c r="BG523" s="550">
        <f t="shared" si="113"/>
        <v>0</v>
      </c>
      <c r="BH523" s="550">
        <f t="shared" si="114"/>
        <v>0</v>
      </c>
      <c r="BI523" s="550">
        <f t="shared" si="115"/>
        <v>0</v>
      </c>
      <c r="BJ523" s="550">
        <f t="shared" si="116"/>
        <v>0</v>
      </c>
      <c r="BK523" s="550">
        <f t="shared" si="117"/>
        <v>244830</v>
      </c>
      <c r="BL523" s="550">
        <f t="shared" si="118"/>
        <v>244830</v>
      </c>
      <c r="BM523" s="550">
        <f t="shared" si="119"/>
        <v>244830</v>
      </c>
      <c r="BO523" s="194"/>
      <c r="BQ523" s="193">
        <f t="shared" si="120"/>
        <v>0</v>
      </c>
      <c r="BR523" s="193">
        <f t="shared" si="121"/>
        <v>0</v>
      </c>
    </row>
    <row r="524" spans="1:70" ht="13.5" customHeight="1">
      <c r="A524" s="193" t="s">
        <v>378</v>
      </c>
      <c r="B524" s="193" t="s">
        <v>379</v>
      </c>
      <c r="C524" s="193" t="s">
        <v>214</v>
      </c>
      <c r="D524" s="193" t="s">
        <v>1484</v>
      </c>
      <c r="E524" s="193" t="s">
        <v>1485</v>
      </c>
      <c r="F524" s="193" t="s">
        <v>2035</v>
      </c>
      <c r="G524" s="193" t="s">
        <v>2035</v>
      </c>
      <c r="H524" s="193" t="s">
        <v>2036</v>
      </c>
      <c r="I524" s="193" t="s">
        <v>512</v>
      </c>
      <c r="J524" s="193" t="s">
        <v>2037</v>
      </c>
      <c r="K524" s="193" t="s">
        <v>386</v>
      </c>
      <c r="L524" s="193" t="s">
        <v>387</v>
      </c>
      <c r="M524" s="193" t="s">
        <v>378</v>
      </c>
      <c r="N524" s="193" t="s">
        <v>1497</v>
      </c>
      <c r="O524" s="193" t="s">
        <v>129</v>
      </c>
      <c r="P524" s="193" t="s">
        <v>138</v>
      </c>
      <c r="Q524" s="193" t="s">
        <v>137</v>
      </c>
      <c r="R524" s="193" t="s">
        <v>136</v>
      </c>
      <c r="S524" s="193" t="s">
        <v>214</v>
      </c>
      <c r="T524" s="193" t="s">
        <v>389</v>
      </c>
      <c r="U524" s="193" t="s">
        <v>390</v>
      </c>
      <c r="V524" s="193">
        <v>0</v>
      </c>
      <c r="W524" s="193">
        <v>0</v>
      </c>
      <c r="X524" s="193">
        <v>0</v>
      </c>
      <c r="Y524" s="194">
        <v>758980</v>
      </c>
      <c r="Z524" s="193" t="s">
        <v>515</v>
      </c>
      <c r="AA524" s="193" t="s">
        <v>516</v>
      </c>
      <c r="AB524" s="193">
        <v>758980</v>
      </c>
      <c r="AC524" s="193" t="s">
        <v>1500</v>
      </c>
      <c r="AD524" s="193" t="s">
        <v>136</v>
      </c>
      <c r="AE524" s="193">
        <v>758980</v>
      </c>
      <c r="AF524" s="193" t="s">
        <v>518</v>
      </c>
      <c r="AG524" s="193" t="s">
        <v>519</v>
      </c>
      <c r="AH524" s="193">
        <v>0</v>
      </c>
      <c r="AI524" s="193">
        <v>758980</v>
      </c>
      <c r="AJ524" s="193" t="s">
        <v>2033</v>
      </c>
      <c r="AL524" s="197" t="s">
        <v>2038</v>
      </c>
      <c r="AM524" s="193">
        <v>1</v>
      </c>
      <c r="AN524" s="193">
        <v>0</v>
      </c>
      <c r="AO524" s="193">
        <v>0</v>
      </c>
      <c r="AP524" s="193">
        <v>0</v>
      </c>
      <c r="AQ524" s="193" t="s">
        <v>214</v>
      </c>
      <c r="AS524" s="197" t="s">
        <v>518</v>
      </c>
      <c r="AT524" s="197" t="s">
        <v>519</v>
      </c>
      <c r="AV524" s="196">
        <v>0</v>
      </c>
      <c r="AW524" s="196">
        <v>0</v>
      </c>
      <c r="AX524" s="196">
        <v>0</v>
      </c>
      <c r="AY524" s="550">
        <v>0</v>
      </c>
      <c r="AZ524" s="196">
        <v>0</v>
      </c>
      <c r="BA524" s="196">
        <v>758980</v>
      </c>
      <c r="BB524" s="551">
        <v>758980</v>
      </c>
      <c r="BC524" s="551">
        <v>758980</v>
      </c>
      <c r="BD524" s="551">
        <v>0</v>
      </c>
      <c r="BF524" s="550">
        <f t="shared" si="112"/>
        <v>0</v>
      </c>
      <c r="BG524" s="550">
        <f t="shared" si="113"/>
        <v>0</v>
      </c>
      <c r="BH524" s="550">
        <f t="shared" si="114"/>
        <v>0</v>
      </c>
      <c r="BI524" s="550">
        <f t="shared" si="115"/>
        <v>0</v>
      </c>
      <c r="BJ524" s="550">
        <f t="shared" si="116"/>
        <v>0</v>
      </c>
      <c r="BK524" s="550">
        <f t="shared" si="117"/>
        <v>758980</v>
      </c>
      <c r="BL524" s="550">
        <f t="shared" si="118"/>
        <v>758980</v>
      </c>
      <c r="BM524" s="550">
        <f t="shared" si="119"/>
        <v>758980</v>
      </c>
      <c r="BO524" s="194"/>
      <c r="BQ524" s="193">
        <f t="shared" si="120"/>
        <v>0</v>
      </c>
      <c r="BR524" s="193">
        <f t="shared" si="121"/>
        <v>0</v>
      </c>
    </row>
    <row r="525" spans="1:70" ht="13.5" customHeight="1">
      <c r="A525" s="193" t="s">
        <v>378</v>
      </c>
      <c r="B525" s="193" t="s">
        <v>379</v>
      </c>
      <c r="C525" s="193" t="s">
        <v>214</v>
      </c>
      <c r="D525" s="193" t="s">
        <v>1484</v>
      </c>
      <c r="E525" s="193" t="s">
        <v>1485</v>
      </c>
      <c r="F525" s="193" t="s">
        <v>402</v>
      </c>
      <c r="G525" s="193" t="s">
        <v>402</v>
      </c>
      <c r="H525" s="193" t="s">
        <v>2039</v>
      </c>
      <c r="I525" s="193" t="s">
        <v>384</v>
      </c>
      <c r="J525" s="193" t="s">
        <v>2050</v>
      </c>
      <c r="K525" s="193" t="s">
        <v>386</v>
      </c>
      <c r="L525" s="193" t="s">
        <v>387</v>
      </c>
      <c r="M525" s="193" t="s">
        <v>378</v>
      </c>
      <c r="N525" s="193" t="s">
        <v>1497</v>
      </c>
      <c r="O525" s="193" t="s">
        <v>129</v>
      </c>
      <c r="P525" s="193" t="s">
        <v>138</v>
      </c>
      <c r="Q525" s="193" t="s">
        <v>137</v>
      </c>
      <c r="R525" s="193" t="s">
        <v>136</v>
      </c>
      <c r="S525" s="193" t="s">
        <v>214</v>
      </c>
      <c r="T525" s="193" t="s">
        <v>389</v>
      </c>
      <c r="U525" s="193" t="s">
        <v>390</v>
      </c>
      <c r="V525" s="193">
        <v>0</v>
      </c>
      <c r="W525" s="193">
        <v>0</v>
      </c>
      <c r="X525" s="193">
        <v>0</v>
      </c>
      <c r="Y525" s="194">
        <v>2209710</v>
      </c>
      <c r="Z525" s="193" t="s">
        <v>1498</v>
      </c>
      <c r="AA525" s="193" t="s">
        <v>1499</v>
      </c>
      <c r="AB525" s="193">
        <v>2209710</v>
      </c>
      <c r="AC525" s="193" t="s">
        <v>1500</v>
      </c>
      <c r="AD525" s="193" t="s">
        <v>136</v>
      </c>
      <c r="AE525" s="193">
        <v>2209710</v>
      </c>
      <c r="AF525" s="193" t="s">
        <v>518</v>
      </c>
      <c r="AG525" s="193" t="s">
        <v>519</v>
      </c>
      <c r="AH525" s="193">
        <v>0</v>
      </c>
      <c r="AI525" s="193">
        <v>2209710</v>
      </c>
      <c r="AJ525" s="193" t="s">
        <v>2033</v>
      </c>
      <c r="AL525" s="197" t="s">
        <v>2051</v>
      </c>
      <c r="AM525" s="193">
        <v>1</v>
      </c>
      <c r="AN525" s="193">
        <v>0</v>
      </c>
      <c r="AO525" s="193">
        <v>0</v>
      </c>
      <c r="AP525" s="193">
        <v>0</v>
      </c>
      <c r="AQ525" s="193" t="s">
        <v>214</v>
      </c>
      <c r="AS525" s="197" t="s">
        <v>518</v>
      </c>
      <c r="AT525" s="197" t="s">
        <v>519</v>
      </c>
      <c r="AV525" s="194">
        <v>0</v>
      </c>
      <c r="AW525" s="194">
        <v>0</v>
      </c>
      <c r="AX525" s="194">
        <v>0</v>
      </c>
      <c r="AY525" s="549">
        <v>0</v>
      </c>
      <c r="AZ525" s="194">
        <v>0</v>
      </c>
      <c r="BA525" s="194">
        <v>2209710</v>
      </c>
      <c r="BB525" s="551">
        <v>2209710</v>
      </c>
      <c r="BC525" s="551">
        <v>2209710</v>
      </c>
      <c r="BD525" s="551">
        <v>0</v>
      </c>
      <c r="BF525" s="550">
        <f t="shared" si="112"/>
        <v>0</v>
      </c>
      <c r="BG525" s="550">
        <f t="shared" si="113"/>
        <v>0</v>
      </c>
      <c r="BH525" s="550">
        <f t="shared" si="114"/>
        <v>0</v>
      </c>
      <c r="BI525" s="550">
        <f t="shared" si="115"/>
        <v>0</v>
      </c>
      <c r="BJ525" s="550">
        <f t="shared" si="116"/>
        <v>0</v>
      </c>
      <c r="BK525" s="550">
        <f t="shared" si="117"/>
        <v>2209710</v>
      </c>
      <c r="BL525" s="550">
        <f t="shared" si="118"/>
        <v>2209710</v>
      </c>
      <c r="BM525" s="550">
        <f t="shared" si="119"/>
        <v>2209710</v>
      </c>
      <c r="BO525" s="194"/>
      <c r="BQ525" s="193">
        <f t="shared" si="120"/>
        <v>0</v>
      </c>
      <c r="BR525" s="193">
        <f t="shared" si="121"/>
        <v>0</v>
      </c>
    </row>
    <row r="526" spans="1:70" ht="13.5" customHeight="1">
      <c r="A526" s="193" t="s">
        <v>378</v>
      </c>
      <c r="B526" s="193" t="s">
        <v>379</v>
      </c>
      <c r="C526" s="193" t="s">
        <v>214</v>
      </c>
      <c r="D526" s="193" t="s">
        <v>1484</v>
      </c>
      <c r="E526" s="193" t="s">
        <v>1485</v>
      </c>
      <c r="F526" s="193" t="s">
        <v>1588</v>
      </c>
      <c r="G526" s="193" t="s">
        <v>1588</v>
      </c>
      <c r="H526" s="193" t="s">
        <v>2039</v>
      </c>
      <c r="I526" s="193" t="s">
        <v>384</v>
      </c>
      <c r="J526" s="193" t="s">
        <v>2052</v>
      </c>
      <c r="K526" s="193" t="s">
        <v>386</v>
      </c>
      <c r="L526" s="193" t="s">
        <v>387</v>
      </c>
      <c r="M526" s="193" t="s">
        <v>378</v>
      </c>
      <c r="N526" s="193" t="s">
        <v>1497</v>
      </c>
      <c r="O526" s="193" t="s">
        <v>129</v>
      </c>
      <c r="P526" s="193" t="s">
        <v>138</v>
      </c>
      <c r="Q526" s="193" t="s">
        <v>137</v>
      </c>
      <c r="R526" s="193" t="s">
        <v>136</v>
      </c>
      <c r="S526" s="193" t="s">
        <v>214</v>
      </c>
      <c r="T526" s="193" t="s">
        <v>389</v>
      </c>
      <c r="U526" s="193" t="s">
        <v>390</v>
      </c>
      <c r="V526" s="193">
        <v>0</v>
      </c>
      <c r="W526" s="193">
        <v>0</v>
      </c>
      <c r="X526" s="193">
        <v>0</v>
      </c>
      <c r="Y526" s="194">
        <v>48400</v>
      </c>
      <c r="Z526" s="193" t="s">
        <v>1498</v>
      </c>
      <c r="AA526" s="193" t="s">
        <v>1499</v>
      </c>
      <c r="AB526" s="193">
        <v>48400</v>
      </c>
      <c r="AC526" s="193" t="s">
        <v>1500</v>
      </c>
      <c r="AD526" s="193" t="s">
        <v>136</v>
      </c>
      <c r="AE526" s="193">
        <v>48400</v>
      </c>
      <c r="AF526" s="193" t="s">
        <v>518</v>
      </c>
      <c r="AG526" s="193" t="s">
        <v>519</v>
      </c>
      <c r="AH526" s="193">
        <v>0</v>
      </c>
      <c r="AI526" s="193">
        <v>48400</v>
      </c>
      <c r="AJ526" s="193" t="s">
        <v>2053</v>
      </c>
      <c r="AL526" s="197" t="s">
        <v>2054</v>
      </c>
      <c r="AM526" s="193">
        <v>1</v>
      </c>
      <c r="AN526" s="193">
        <v>0</v>
      </c>
      <c r="AO526" s="193">
        <v>0</v>
      </c>
      <c r="AP526" s="193">
        <v>0</v>
      </c>
      <c r="AQ526" s="193" t="s">
        <v>214</v>
      </c>
      <c r="AS526" s="197" t="s">
        <v>518</v>
      </c>
      <c r="AT526" s="197" t="s">
        <v>519</v>
      </c>
      <c r="AV526" s="194">
        <v>0</v>
      </c>
      <c r="AW526" s="194">
        <v>0</v>
      </c>
      <c r="AX526" s="194">
        <v>0</v>
      </c>
      <c r="AY526" s="549">
        <v>0</v>
      </c>
      <c r="AZ526" s="194">
        <v>0</v>
      </c>
      <c r="BA526" s="194">
        <v>48400</v>
      </c>
      <c r="BB526" s="551">
        <v>48400</v>
      </c>
      <c r="BC526" s="551">
        <v>48400</v>
      </c>
      <c r="BD526" s="551">
        <v>0</v>
      </c>
      <c r="BF526" s="550">
        <f t="shared" si="112"/>
        <v>0</v>
      </c>
      <c r="BG526" s="550">
        <f t="shared" si="113"/>
        <v>0</v>
      </c>
      <c r="BH526" s="550">
        <f t="shared" si="114"/>
        <v>0</v>
      </c>
      <c r="BI526" s="550">
        <f t="shared" si="115"/>
        <v>0</v>
      </c>
      <c r="BJ526" s="550">
        <f t="shared" si="116"/>
        <v>0</v>
      </c>
      <c r="BK526" s="550">
        <f t="shared" si="117"/>
        <v>48400</v>
      </c>
      <c r="BL526" s="550">
        <f t="shared" si="118"/>
        <v>48400</v>
      </c>
      <c r="BM526" s="550">
        <f t="shared" si="119"/>
        <v>48400</v>
      </c>
      <c r="BO526" s="194"/>
      <c r="BQ526" s="193">
        <f t="shared" si="120"/>
        <v>0</v>
      </c>
      <c r="BR526" s="193">
        <f t="shared" si="121"/>
        <v>0</v>
      </c>
    </row>
    <row r="527" spans="1:70" ht="13.5" customHeight="1">
      <c r="A527" s="193" t="s">
        <v>378</v>
      </c>
      <c r="B527" s="193" t="s">
        <v>379</v>
      </c>
      <c r="C527" s="193" t="s">
        <v>214</v>
      </c>
      <c r="D527" s="193" t="s">
        <v>1484</v>
      </c>
      <c r="E527" s="193" t="s">
        <v>1485</v>
      </c>
      <c r="F527" s="193" t="s">
        <v>710</v>
      </c>
      <c r="G527" s="193" t="s">
        <v>710</v>
      </c>
      <c r="H527" s="193" t="s">
        <v>2039</v>
      </c>
      <c r="I527" s="193" t="s">
        <v>384</v>
      </c>
      <c r="J527" s="193" t="s">
        <v>2046</v>
      </c>
      <c r="K527" s="193" t="s">
        <v>386</v>
      </c>
      <c r="L527" s="193" t="s">
        <v>387</v>
      </c>
      <c r="M527" s="193" t="s">
        <v>378</v>
      </c>
      <c r="N527" s="193" t="s">
        <v>1497</v>
      </c>
      <c r="O527" s="193" t="s">
        <v>129</v>
      </c>
      <c r="P527" s="193" t="s">
        <v>138</v>
      </c>
      <c r="Q527" s="193" t="s">
        <v>137</v>
      </c>
      <c r="R527" s="193" t="s">
        <v>136</v>
      </c>
      <c r="S527" s="193" t="s">
        <v>214</v>
      </c>
      <c r="T527" s="193" t="s">
        <v>389</v>
      </c>
      <c r="U527" s="193" t="s">
        <v>390</v>
      </c>
      <c r="V527" s="193">
        <v>0</v>
      </c>
      <c r="W527" s="193">
        <v>0</v>
      </c>
      <c r="X527" s="193">
        <v>0</v>
      </c>
      <c r="Y527" s="194">
        <v>795660</v>
      </c>
      <c r="Z527" s="193" t="s">
        <v>1498</v>
      </c>
      <c r="AA527" s="193" t="s">
        <v>1499</v>
      </c>
      <c r="AB527" s="193">
        <v>795660</v>
      </c>
      <c r="AC527" s="193" t="s">
        <v>1500</v>
      </c>
      <c r="AD527" s="193" t="s">
        <v>136</v>
      </c>
      <c r="AE527" s="193">
        <v>795660</v>
      </c>
      <c r="AF527" s="193" t="s">
        <v>518</v>
      </c>
      <c r="AG527" s="193" t="s">
        <v>519</v>
      </c>
      <c r="AH527" s="193">
        <v>0</v>
      </c>
      <c r="AI527" s="193">
        <v>795660</v>
      </c>
      <c r="AJ527" s="193" t="s">
        <v>2033</v>
      </c>
      <c r="AL527" s="197" t="s">
        <v>2047</v>
      </c>
      <c r="AM527" s="193">
        <v>1</v>
      </c>
      <c r="AN527" s="193">
        <v>0</v>
      </c>
      <c r="AO527" s="193">
        <v>0</v>
      </c>
      <c r="AP527" s="193">
        <v>0</v>
      </c>
      <c r="AQ527" s="193" t="s">
        <v>214</v>
      </c>
      <c r="AS527" s="197" t="s">
        <v>518</v>
      </c>
      <c r="AT527" s="197" t="s">
        <v>519</v>
      </c>
      <c r="AV527" s="194">
        <v>0</v>
      </c>
      <c r="AW527" s="194">
        <v>0</v>
      </c>
      <c r="AX527" s="194">
        <v>0</v>
      </c>
      <c r="AY527" s="549">
        <v>0</v>
      </c>
      <c r="AZ527" s="194">
        <v>0</v>
      </c>
      <c r="BA527" s="194">
        <v>795660</v>
      </c>
      <c r="BB527" s="551">
        <v>795660</v>
      </c>
      <c r="BC527" s="551">
        <v>795660</v>
      </c>
      <c r="BD527" s="551">
        <v>0</v>
      </c>
      <c r="BF527" s="550">
        <f t="shared" si="112"/>
        <v>0</v>
      </c>
      <c r="BG527" s="550">
        <f t="shared" si="113"/>
        <v>0</v>
      </c>
      <c r="BH527" s="550">
        <f t="shared" si="114"/>
        <v>0</v>
      </c>
      <c r="BI527" s="550">
        <f t="shared" si="115"/>
        <v>0</v>
      </c>
      <c r="BJ527" s="550">
        <f t="shared" si="116"/>
        <v>0</v>
      </c>
      <c r="BK527" s="550">
        <f t="shared" si="117"/>
        <v>795660</v>
      </c>
      <c r="BL527" s="550">
        <f t="shared" si="118"/>
        <v>795660</v>
      </c>
      <c r="BM527" s="550">
        <f t="shared" si="119"/>
        <v>795660</v>
      </c>
      <c r="BO527" s="194"/>
      <c r="BQ527" s="193">
        <f t="shared" si="120"/>
        <v>0</v>
      </c>
      <c r="BR527" s="193">
        <f t="shared" si="121"/>
        <v>0</v>
      </c>
    </row>
    <row r="528" spans="1:70" ht="13.5" customHeight="1">
      <c r="A528" s="193" t="s">
        <v>378</v>
      </c>
      <c r="B528" s="193" t="s">
        <v>379</v>
      </c>
      <c r="C528" s="193" t="s">
        <v>214</v>
      </c>
      <c r="D528" s="193" t="s">
        <v>1484</v>
      </c>
      <c r="E528" s="193" t="s">
        <v>1485</v>
      </c>
      <c r="F528" s="193" t="s">
        <v>1007</v>
      </c>
      <c r="G528" s="193" t="s">
        <v>1007</v>
      </c>
      <c r="H528" s="193" t="s">
        <v>2036</v>
      </c>
      <c r="I528" s="193" t="s">
        <v>384</v>
      </c>
      <c r="J528" s="193" t="s">
        <v>2048</v>
      </c>
      <c r="K528" s="193" t="s">
        <v>386</v>
      </c>
      <c r="L528" s="193" t="s">
        <v>387</v>
      </c>
      <c r="M528" s="193" t="s">
        <v>378</v>
      </c>
      <c r="N528" s="193" t="s">
        <v>1497</v>
      </c>
      <c r="O528" s="193" t="s">
        <v>129</v>
      </c>
      <c r="P528" s="193" t="s">
        <v>138</v>
      </c>
      <c r="Q528" s="193" t="s">
        <v>137</v>
      </c>
      <c r="R528" s="193" t="s">
        <v>136</v>
      </c>
      <c r="S528" s="193" t="s">
        <v>214</v>
      </c>
      <c r="T528" s="193" t="s">
        <v>389</v>
      </c>
      <c r="U528" s="193" t="s">
        <v>390</v>
      </c>
      <c r="V528" s="193">
        <v>0</v>
      </c>
      <c r="W528" s="193">
        <v>0</v>
      </c>
      <c r="X528" s="193">
        <v>0</v>
      </c>
      <c r="Y528" s="194">
        <v>244830</v>
      </c>
      <c r="Z528" s="193" t="s">
        <v>1498</v>
      </c>
      <c r="AA528" s="193" t="s">
        <v>1499</v>
      </c>
      <c r="AB528" s="193">
        <v>244830</v>
      </c>
      <c r="AC528" s="193" t="s">
        <v>1500</v>
      </c>
      <c r="AD528" s="193" t="s">
        <v>136</v>
      </c>
      <c r="AE528" s="193">
        <v>244830</v>
      </c>
      <c r="AF528" s="193" t="s">
        <v>518</v>
      </c>
      <c r="AG528" s="193" t="s">
        <v>519</v>
      </c>
      <c r="AH528" s="193">
        <v>0</v>
      </c>
      <c r="AI528" s="193">
        <v>244830</v>
      </c>
      <c r="AJ528" s="193" t="s">
        <v>2033</v>
      </c>
      <c r="AL528" s="197" t="s">
        <v>2049</v>
      </c>
      <c r="AM528" s="193">
        <v>1</v>
      </c>
      <c r="AN528" s="193">
        <v>0</v>
      </c>
      <c r="AO528" s="193">
        <v>0</v>
      </c>
      <c r="AP528" s="193">
        <v>0</v>
      </c>
      <c r="AQ528" s="193" t="s">
        <v>214</v>
      </c>
      <c r="AS528" s="197" t="s">
        <v>518</v>
      </c>
      <c r="AT528" s="197" t="s">
        <v>519</v>
      </c>
      <c r="AV528" s="194">
        <v>0</v>
      </c>
      <c r="AW528" s="194">
        <v>0</v>
      </c>
      <c r="AX528" s="194">
        <v>0</v>
      </c>
      <c r="AY528" s="549">
        <v>0</v>
      </c>
      <c r="AZ528" s="194">
        <v>0</v>
      </c>
      <c r="BA528" s="194">
        <v>244830</v>
      </c>
      <c r="BB528" s="551">
        <v>244830</v>
      </c>
      <c r="BC528" s="551">
        <v>244830</v>
      </c>
      <c r="BD528" s="551">
        <v>0</v>
      </c>
      <c r="BF528" s="550">
        <f t="shared" si="112"/>
        <v>0</v>
      </c>
      <c r="BG528" s="550">
        <f t="shared" si="113"/>
        <v>0</v>
      </c>
      <c r="BH528" s="550">
        <f t="shared" si="114"/>
        <v>0</v>
      </c>
      <c r="BI528" s="550">
        <f t="shared" si="115"/>
        <v>0</v>
      </c>
      <c r="BJ528" s="550">
        <f t="shared" si="116"/>
        <v>0</v>
      </c>
      <c r="BK528" s="550">
        <f t="shared" si="117"/>
        <v>244830</v>
      </c>
      <c r="BL528" s="550">
        <f t="shared" si="118"/>
        <v>244830</v>
      </c>
      <c r="BM528" s="550">
        <f t="shared" si="119"/>
        <v>244830</v>
      </c>
      <c r="BO528" s="194"/>
      <c r="BQ528" s="193">
        <f t="shared" si="120"/>
        <v>0</v>
      </c>
      <c r="BR528" s="193">
        <f t="shared" si="121"/>
        <v>0</v>
      </c>
    </row>
    <row r="529" spans="1:70" ht="13.5" customHeight="1">
      <c r="A529" s="193" t="s">
        <v>378</v>
      </c>
      <c r="B529" s="193" t="s">
        <v>379</v>
      </c>
      <c r="C529" s="193" t="s">
        <v>214</v>
      </c>
      <c r="D529" s="193" t="s">
        <v>1484</v>
      </c>
      <c r="E529" s="193" t="s">
        <v>1485</v>
      </c>
      <c r="F529" s="193" t="s">
        <v>1559</v>
      </c>
      <c r="G529" s="193" t="s">
        <v>1559</v>
      </c>
      <c r="H529" s="193" t="s">
        <v>2039</v>
      </c>
      <c r="I529" s="193" t="s">
        <v>384</v>
      </c>
      <c r="J529" s="193" t="s">
        <v>2040</v>
      </c>
      <c r="K529" s="193" t="s">
        <v>386</v>
      </c>
      <c r="L529" s="193" t="s">
        <v>387</v>
      </c>
      <c r="M529" s="193" t="s">
        <v>378</v>
      </c>
      <c r="N529" s="193" t="s">
        <v>1497</v>
      </c>
      <c r="O529" s="193" t="s">
        <v>129</v>
      </c>
      <c r="P529" s="193" t="s">
        <v>138</v>
      </c>
      <c r="Q529" s="193" t="s">
        <v>137</v>
      </c>
      <c r="R529" s="193" t="s">
        <v>136</v>
      </c>
      <c r="S529" s="193" t="s">
        <v>214</v>
      </c>
      <c r="T529" s="193" t="s">
        <v>389</v>
      </c>
      <c r="U529" s="193" t="s">
        <v>390</v>
      </c>
      <c r="V529" s="193">
        <v>0</v>
      </c>
      <c r="W529" s="193">
        <v>0</v>
      </c>
      <c r="X529" s="193">
        <v>0</v>
      </c>
      <c r="Y529" s="194">
        <v>3393100</v>
      </c>
      <c r="Z529" s="193" t="s">
        <v>1498</v>
      </c>
      <c r="AA529" s="193" t="s">
        <v>1499</v>
      </c>
      <c r="AB529" s="193">
        <v>3393100</v>
      </c>
      <c r="AC529" s="193" t="s">
        <v>1500</v>
      </c>
      <c r="AD529" s="193" t="s">
        <v>136</v>
      </c>
      <c r="AE529" s="193">
        <v>3393100</v>
      </c>
      <c r="AF529" s="193" t="s">
        <v>518</v>
      </c>
      <c r="AG529" s="193" t="s">
        <v>519</v>
      </c>
      <c r="AH529" s="193">
        <v>0</v>
      </c>
      <c r="AI529" s="193">
        <v>3393100</v>
      </c>
      <c r="AJ529" s="193" t="s">
        <v>2041</v>
      </c>
      <c r="AL529" s="197" t="s">
        <v>2042</v>
      </c>
      <c r="AM529" s="193">
        <v>1</v>
      </c>
      <c r="AN529" s="193">
        <v>0</v>
      </c>
      <c r="AO529" s="193">
        <v>0</v>
      </c>
      <c r="AP529" s="193">
        <v>0</v>
      </c>
      <c r="AQ529" s="193" t="s">
        <v>214</v>
      </c>
      <c r="AS529" s="197" t="s">
        <v>518</v>
      </c>
      <c r="AT529" s="197" t="s">
        <v>519</v>
      </c>
      <c r="AV529" s="194">
        <v>0</v>
      </c>
      <c r="AW529" s="194">
        <v>0</v>
      </c>
      <c r="AX529" s="194">
        <v>0</v>
      </c>
      <c r="AY529" s="549">
        <v>0</v>
      </c>
      <c r="AZ529" s="194">
        <v>0</v>
      </c>
      <c r="BA529" s="194">
        <v>3393100</v>
      </c>
      <c r="BB529" s="551">
        <v>3393100</v>
      </c>
      <c r="BC529" s="551">
        <v>3393100</v>
      </c>
      <c r="BD529" s="551">
        <v>0</v>
      </c>
      <c r="BF529" s="550">
        <f t="shared" si="112"/>
        <v>0</v>
      </c>
      <c r="BG529" s="550">
        <f t="shared" si="113"/>
        <v>0</v>
      </c>
      <c r="BH529" s="550">
        <f t="shared" si="114"/>
        <v>0</v>
      </c>
      <c r="BI529" s="550">
        <f t="shared" si="115"/>
        <v>0</v>
      </c>
      <c r="BJ529" s="550">
        <f t="shared" si="116"/>
        <v>0</v>
      </c>
      <c r="BK529" s="550">
        <f t="shared" si="117"/>
        <v>3393100</v>
      </c>
      <c r="BL529" s="550">
        <f t="shared" si="118"/>
        <v>3393100</v>
      </c>
      <c r="BM529" s="550">
        <f t="shared" si="119"/>
        <v>3393100</v>
      </c>
      <c r="BO529" s="194"/>
      <c r="BQ529" s="193">
        <f t="shared" si="120"/>
        <v>0</v>
      </c>
      <c r="BR529" s="193">
        <f t="shared" si="121"/>
        <v>0</v>
      </c>
    </row>
    <row r="530" spans="1:70" ht="13.5" customHeight="1">
      <c r="A530" s="193" t="s">
        <v>378</v>
      </c>
      <c r="B530" s="193" t="s">
        <v>379</v>
      </c>
      <c r="C530" s="193" t="s">
        <v>214</v>
      </c>
      <c r="D530" s="193" t="s">
        <v>1484</v>
      </c>
      <c r="E530" s="193" t="s">
        <v>1485</v>
      </c>
      <c r="F530" s="193" t="s">
        <v>1313</v>
      </c>
      <c r="G530" s="193" t="s">
        <v>1313</v>
      </c>
      <c r="H530" s="193" t="s">
        <v>2039</v>
      </c>
      <c r="I530" s="193" t="s">
        <v>384</v>
      </c>
      <c r="J530" s="193" t="s">
        <v>2043</v>
      </c>
      <c r="K530" s="193" t="s">
        <v>386</v>
      </c>
      <c r="L530" s="193" t="s">
        <v>387</v>
      </c>
      <c r="M530" s="193" t="s">
        <v>378</v>
      </c>
      <c r="N530" s="193" t="s">
        <v>1497</v>
      </c>
      <c r="O530" s="193" t="s">
        <v>129</v>
      </c>
      <c r="P530" s="193" t="s">
        <v>138</v>
      </c>
      <c r="Q530" s="193" t="s">
        <v>137</v>
      </c>
      <c r="R530" s="193" t="s">
        <v>136</v>
      </c>
      <c r="S530" s="193" t="s">
        <v>214</v>
      </c>
      <c r="T530" s="193" t="s">
        <v>389</v>
      </c>
      <c r="U530" s="193" t="s">
        <v>390</v>
      </c>
      <c r="V530" s="193">
        <v>0</v>
      </c>
      <c r="W530" s="193">
        <v>0</v>
      </c>
      <c r="X530" s="193">
        <v>0</v>
      </c>
      <c r="Y530" s="194">
        <v>3820</v>
      </c>
      <c r="Z530" s="193" t="s">
        <v>1498</v>
      </c>
      <c r="AA530" s="193" t="s">
        <v>1499</v>
      </c>
      <c r="AB530" s="193">
        <v>3820</v>
      </c>
      <c r="AC530" s="193" t="s">
        <v>1500</v>
      </c>
      <c r="AD530" s="193" t="s">
        <v>136</v>
      </c>
      <c r="AE530" s="193">
        <v>3820</v>
      </c>
      <c r="AF530" s="193" t="s">
        <v>394</v>
      </c>
      <c r="AG530" s="193" t="s">
        <v>395</v>
      </c>
      <c r="AH530" s="193">
        <v>347</v>
      </c>
      <c r="AI530" s="193">
        <v>3473</v>
      </c>
      <c r="AJ530" s="193" t="s">
        <v>2044</v>
      </c>
      <c r="AL530" s="197" t="s">
        <v>2045</v>
      </c>
      <c r="AM530" s="193">
        <v>1</v>
      </c>
      <c r="AN530" s="193">
        <v>0</v>
      </c>
      <c r="AO530" s="193">
        <v>0</v>
      </c>
      <c r="AP530" s="193">
        <v>0</v>
      </c>
      <c r="AQ530" s="193" t="s">
        <v>214</v>
      </c>
      <c r="AS530" s="197" t="s">
        <v>394</v>
      </c>
      <c r="AT530" s="197" t="s">
        <v>395</v>
      </c>
      <c r="AV530" s="194">
        <v>0</v>
      </c>
      <c r="AW530" s="194">
        <v>0</v>
      </c>
      <c r="AX530" s="194">
        <v>0</v>
      </c>
      <c r="AY530" s="549">
        <v>0</v>
      </c>
      <c r="AZ530" s="194">
        <v>0</v>
      </c>
      <c r="BA530" s="194">
        <v>3820</v>
      </c>
      <c r="BB530" s="551">
        <v>3820</v>
      </c>
      <c r="BC530" s="551">
        <v>3820</v>
      </c>
      <c r="BD530" s="551">
        <v>0</v>
      </c>
      <c r="BF530" s="550">
        <f t="shared" si="112"/>
        <v>0</v>
      </c>
      <c r="BG530" s="550">
        <f t="shared" si="113"/>
        <v>0</v>
      </c>
      <c r="BH530" s="550">
        <f t="shared" si="114"/>
        <v>0</v>
      </c>
      <c r="BI530" s="550">
        <f t="shared" si="115"/>
        <v>0</v>
      </c>
      <c r="BJ530" s="550">
        <f t="shared" si="116"/>
        <v>0</v>
      </c>
      <c r="BK530" s="550">
        <f t="shared" si="117"/>
        <v>3473</v>
      </c>
      <c r="BL530" s="550">
        <f t="shared" si="118"/>
        <v>3473</v>
      </c>
      <c r="BM530" s="550">
        <f t="shared" si="119"/>
        <v>3473</v>
      </c>
      <c r="BO530" s="194"/>
      <c r="BQ530" s="193">
        <f t="shared" si="120"/>
        <v>0</v>
      </c>
      <c r="BR530" s="193">
        <f t="shared" si="121"/>
        <v>-0.27272727272747943</v>
      </c>
    </row>
    <row r="531" spans="1:70" ht="13.5" customHeight="1">
      <c r="A531" s="193" t="s">
        <v>378</v>
      </c>
      <c r="B531" s="193" t="s">
        <v>379</v>
      </c>
      <c r="C531" s="193" t="s">
        <v>214</v>
      </c>
      <c r="D531" s="193" t="s">
        <v>1484</v>
      </c>
      <c r="E531" s="193" t="s">
        <v>1485</v>
      </c>
      <c r="F531" s="193" t="s">
        <v>2035</v>
      </c>
      <c r="G531" s="193" t="s">
        <v>2035</v>
      </c>
      <c r="H531" s="193" t="s">
        <v>2055</v>
      </c>
      <c r="I531" s="193" t="s">
        <v>1508</v>
      </c>
      <c r="J531" s="193" t="s">
        <v>2056</v>
      </c>
      <c r="K531" s="193" t="s">
        <v>386</v>
      </c>
      <c r="L531" s="193" t="s">
        <v>387</v>
      </c>
      <c r="M531" s="193" t="s">
        <v>378</v>
      </c>
      <c r="N531" s="193" t="s">
        <v>1497</v>
      </c>
      <c r="O531" s="193" t="s">
        <v>129</v>
      </c>
      <c r="P531" s="193" t="s">
        <v>138</v>
      </c>
      <c r="Q531" s="193" t="s">
        <v>137</v>
      </c>
      <c r="R531" s="193" t="s">
        <v>136</v>
      </c>
      <c r="S531" s="193" t="s">
        <v>214</v>
      </c>
      <c r="T531" s="193" t="s">
        <v>389</v>
      </c>
      <c r="U531" s="193" t="s">
        <v>390</v>
      </c>
      <c r="V531" s="193">
        <v>0</v>
      </c>
      <c r="W531" s="193">
        <v>0</v>
      </c>
      <c r="X531" s="193">
        <v>0</v>
      </c>
      <c r="Y531" s="194">
        <v>-514150</v>
      </c>
      <c r="Z531" s="193" t="s">
        <v>1500</v>
      </c>
      <c r="AA531" s="193" t="s">
        <v>136</v>
      </c>
      <c r="AB531" s="193">
        <v>514150</v>
      </c>
      <c r="AC531" s="193" t="s">
        <v>1510</v>
      </c>
      <c r="AD531" s="193" t="s">
        <v>1511</v>
      </c>
      <c r="AE531" s="193">
        <v>514150</v>
      </c>
      <c r="AF531" s="193" t="s">
        <v>518</v>
      </c>
      <c r="AG531" s="193" t="s">
        <v>519</v>
      </c>
      <c r="AH531" s="193">
        <v>0</v>
      </c>
      <c r="AI531" s="193">
        <v>-514150</v>
      </c>
      <c r="AJ531" s="193" t="s">
        <v>214</v>
      </c>
      <c r="AL531" s="197" t="s">
        <v>2057</v>
      </c>
      <c r="AM531" s="193">
        <v>1</v>
      </c>
      <c r="AN531" s="193">
        <v>0</v>
      </c>
      <c r="AO531" s="193">
        <v>0</v>
      </c>
      <c r="AP531" s="193" t="s">
        <v>2058</v>
      </c>
      <c r="AQ531" s="193" t="s">
        <v>214</v>
      </c>
      <c r="AS531" s="197" t="s">
        <v>518</v>
      </c>
      <c r="AT531" s="197" t="s">
        <v>519</v>
      </c>
      <c r="AV531" s="194">
        <v>0</v>
      </c>
      <c r="AW531" s="194">
        <v>0</v>
      </c>
      <c r="AX531" s="194">
        <v>0</v>
      </c>
      <c r="AY531" s="549">
        <v>0</v>
      </c>
      <c r="AZ531" s="194">
        <v>0</v>
      </c>
      <c r="BA531" s="194">
        <v>-514150</v>
      </c>
      <c r="BB531" s="551">
        <v>-514150</v>
      </c>
      <c r="BC531" s="551">
        <v>-514150</v>
      </c>
      <c r="BD531" s="551">
        <v>0</v>
      </c>
      <c r="BF531" s="550">
        <f t="shared" si="112"/>
        <v>0</v>
      </c>
      <c r="BG531" s="550">
        <f t="shared" si="113"/>
        <v>0</v>
      </c>
      <c r="BH531" s="550">
        <f t="shared" si="114"/>
        <v>0</v>
      </c>
      <c r="BI531" s="550">
        <f t="shared" si="115"/>
        <v>0</v>
      </c>
      <c r="BJ531" s="550">
        <f t="shared" si="116"/>
        <v>0</v>
      </c>
      <c r="BK531" s="550">
        <f t="shared" si="117"/>
        <v>-514150</v>
      </c>
      <c r="BL531" s="550">
        <f t="shared" si="118"/>
        <v>-514150</v>
      </c>
      <c r="BM531" s="550">
        <f t="shared" si="119"/>
        <v>-514150</v>
      </c>
      <c r="BO531" s="194"/>
      <c r="BQ531" s="193">
        <f t="shared" si="120"/>
        <v>0</v>
      </c>
      <c r="BR531" s="193">
        <f t="shared" si="121"/>
        <v>0</v>
      </c>
    </row>
    <row r="532" spans="1:70" ht="13.5" customHeight="1">
      <c r="A532" s="193" t="s">
        <v>378</v>
      </c>
      <c r="B532" s="193" t="s">
        <v>379</v>
      </c>
      <c r="C532" s="193" t="s">
        <v>214</v>
      </c>
      <c r="D532" s="193" t="s">
        <v>1484</v>
      </c>
      <c r="E532" s="193" t="s">
        <v>1485</v>
      </c>
      <c r="F532" s="193" t="s">
        <v>1525</v>
      </c>
      <c r="G532" s="193" t="s">
        <v>1525</v>
      </c>
      <c r="H532" s="193" t="s">
        <v>2055</v>
      </c>
      <c r="I532" s="193" t="s">
        <v>1508</v>
      </c>
      <c r="J532" s="193" t="s">
        <v>2059</v>
      </c>
      <c r="K532" s="193" t="s">
        <v>386</v>
      </c>
      <c r="L532" s="193" t="s">
        <v>387</v>
      </c>
      <c r="M532" s="193" t="s">
        <v>378</v>
      </c>
      <c r="N532" s="193" t="s">
        <v>1497</v>
      </c>
      <c r="O532" s="193" t="s">
        <v>129</v>
      </c>
      <c r="P532" s="193" t="s">
        <v>138</v>
      </c>
      <c r="Q532" s="193" t="s">
        <v>137</v>
      </c>
      <c r="R532" s="193" t="s">
        <v>136</v>
      </c>
      <c r="S532" s="193" t="s">
        <v>214</v>
      </c>
      <c r="T532" s="193" t="s">
        <v>389</v>
      </c>
      <c r="U532" s="193" t="s">
        <v>390</v>
      </c>
      <c r="V532" s="193">
        <v>0</v>
      </c>
      <c r="W532" s="193">
        <v>0</v>
      </c>
      <c r="X532" s="193">
        <v>0</v>
      </c>
      <c r="Y532" s="194">
        <v>-1010920</v>
      </c>
      <c r="Z532" s="193" t="s">
        <v>1500</v>
      </c>
      <c r="AA532" s="193" t="s">
        <v>136</v>
      </c>
      <c r="AB532" s="193">
        <v>1010920</v>
      </c>
      <c r="AC532" s="193" t="s">
        <v>1510</v>
      </c>
      <c r="AD532" s="193" t="s">
        <v>1511</v>
      </c>
      <c r="AE532" s="193">
        <v>1010920</v>
      </c>
      <c r="AF532" s="193" t="s">
        <v>518</v>
      </c>
      <c r="AG532" s="193" t="s">
        <v>519</v>
      </c>
      <c r="AH532" s="193">
        <v>0</v>
      </c>
      <c r="AI532" s="193">
        <v>-1010920</v>
      </c>
      <c r="AJ532" s="193" t="s">
        <v>214</v>
      </c>
      <c r="AL532" s="197" t="s">
        <v>2060</v>
      </c>
      <c r="AM532" s="193">
        <v>1</v>
      </c>
      <c r="AN532" s="193">
        <v>0</v>
      </c>
      <c r="AO532" s="193">
        <v>0</v>
      </c>
      <c r="AP532" s="193" t="s">
        <v>2058</v>
      </c>
      <c r="AQ532" s="193" t="s">
        <v>214</v>
      </c>
      <c r="AS532" s="197" t="s">
        <v>518</v>
      </c>
      <c r="AT532" s="197" t="s">
        <v>519</v>
      </c>
      <c r="AV532" s="194">
        <v>0</v>
      </c>
      <c r="AW532" s="194">
        <v>0</v>
      </c>
      <c r="AX532" s="194">
        <v>0</v>
      </c>
      <c r="AY532" s="549">
        <v>0</v>
      </c>
      <c r="AZ532" s="194">
        <v>0</v>
      </c>
      <c r="BA532" s="194">
        <v>-1010920</v>
      </c>
      <c r="BB532" s="551">
        <v>-1010920</v>
      </c>
      <c r="BC532" s="551">
        <v>-1010920</v>
      </c>
      <c r="BD532" s="551">
        <v>0</v>
      </c>
      <c r="BF532" s="550">
        <f t="shared" si="112"/>
        <v>0</v>
      </c>
      <c r="BG532" s="550">
        <f t="shared" si="113"/>
        <v>0</v>
      </c>
      <c r="BH532" s="550">
        <f t="shared" si="114"/>
        <v>0</v>
      </c>
      <c r="BI532" s="550">
        <f t="shared" si="115"/>
        <v>0</v>
      </c>
      <c r="BJ532" s="550">
        <f t="shared" si="116"/>
        <v>0</v>
      </c>
      <c r="BK532" s="550">
        <f t="shared" si="117"/>
        <v>-1010920</v>
      </c>
      <c r="BL532" s="550">
        <f t="shared" si="118"/>
        <v>-1010920</v>
      </c>
      <c r="BM532" s="550">
        <f t="shared" si="119"/>
        <v>-1010920</v>
      </c>
      <c r="BO532" s="194"/>
      <c r="BQ532" s="193">
        <f t="shared" si="120"/>
        <v>0</v>
      </c>
      <c r="BR532" s="193">
        <f t="shared" si="121"/>
        <v>0</v>
      </c>
    </row>
    <row r="533" spans="1:70" ht="13.5" customHeight="1">
      <c r="A533" s="193" t="s">
        <v>378</v>
      </c>
      <c r="B533" s="193" t="s">
        <v>379</v>
      </c>
      <c r="C533" s="193" t="s">
        <v>214</v>
      </c>
      <c r="D533" s="193" t="s">
        <v>1484</v>
      </c>
      <c r="E533" s="193" t="s">
        <v>1485</v>
      </c>
      <c r="F533" s="193" t="s">
        <v>1525</v>
      </c>
      <c r="G533" s="193" t="s">
        <v>1525</v>
      </c>
      <c r="H533" s="193" t="s">
        <v>2055</v>
      </c>
      <c r="I533" s="193" t="s">
        <v>1508</v>
      </c>
      <c r="J533" s="193" t="s">
        <v>2061</v>
      </c>
      <c r="K533" s="193" t="s">
        <v>386</v>
      </c>
      <c r="L533" s="193" t="s">
        <v>387</v>
      </c>
      <c r="M533" s="193" t="s">
        <v>378</v>
      </c>
      <c r="N533" s="193" t="s">
        <v>1497</v>
      </c>
      <c r="O533" s="193" t="s">
        <v>129</v>
      </c>
      <c r="P533" s="193" t="s">
        <v>138</v>
      </c>
      <c r="Q533" s="193" t="s">
        <v>137</v>
      </c>
      <c r="R533" s="193" t="s">
        <v>136</v>
      </c>
      <c r="S533" s="193" t="s">
        <v>214</v>
      </c>
      <c r="T533" s="193" t="s">
        <v>389</v>
      </c>
      <c r="U533" s="193" t="s">
        <v>390</v>
      </c>
      <c r="V533" s="193">
        <v>0</v>
      </c>
      <c r="W533" s="193">
        <v>0</v>
      </c>
      <c r="X533" s="193">
        <v>0</v>
      </c>
      <c r="Y533" s="194">
        <v>-417720</v>
      </c>
      <c r="Z533" s="193" t="s">
        <v>1500</v>
      </c>
      <c r="AA533" s="193" t="s">
        <v>136</v>
      </c>
      <c r="AB533" s="193">
        <v>417720</v>
      </c>
      <c r="AC533" s="193" t="s">
        <v>1510</v>
      </c>
      <c r="AD533" s="193" t="s">
        <v>1511</v>
      </c>
      <c r="AE533" s="193">
        <v>417720</v>
      </c>
      <c r="AF533" s="193" t="s">
        <v>518</v>
      </c>
      <c r="AG533" s="193" t="s">
        <v>519</v>
      </c>
      <c r="AH533" s="193">
        <v>0</v>
      </c>
      <c r="AI533" s="193">
        <v>-417720</v>
      </c>
      <c r="AJ533" s="193" t="s">
        <v>214</v>
      </c>
      <c r="AL533" s="197" t="s">
        <v>2062</v>
      </c>
      <c r="AM533" s="193">
        <v>1</v>
      </c>
      <c r="AN533" s="193">
        <v>0</v>
      </c>
      <c r="AO533" s="193">
        <v>0</v>
      </c>
      <c r="AP533" s="193" t="s">
        <v>2058</v>
      </c>
      <c r="AQ533" s="193" t="s">
        <v>214</v>
      </c>
      <c r="AS533" s="197" t="s">
        <v>518</v>
      </c>
      <c r="AT533" s="197" t="s">
        <v>519</v>
      </c>
      <c r="AV533" s="194">
        <v>0</v>
      </c>
      <c r="AW533" s="194">
        <v>0</v>
      </c>
      <c r="AX533" s="194">
        <v>0</v>
      </c>
      <c r="AY533" s="549">
        <v>0</v>
      </c>
      <c r="AZ533" s="194">
        <v>0</v>
      </c>
      <c r="BA533" s="194">
        <v>-417720</v>
      </c>
      <c r="BB533" s="551">
        <v>-417720</v>
      </c>
      <c r="BC533" s="551">
        <v>-417720</v>
      </c>
      <c r="BD533" s="551">
        <v>0</v>
      </c>
      <c r="BF533" s="550">
        <f t="shared" si="112"/>
        <v>0</v>
      </c>
      <c r="BG533" s="550">
        <f t="shared" si="113"/>
        <v>0</v>
      </c>
      <c r="BH533" s="550">
        <f t="shared" si="114"/>
        <v>0</v>
      </c>
      <c r="BI533" s="550">
        <f t="shared" si="115"/>
        <v>0</v>
      </c>
      <c r="BJ533" s="550">
        <f t="shared" si="116"/>
        <v>0</v>
      </c>
      <c r="BK533" s="550">
        <f t="shared" si="117"/>
        <v>-417720</v>
      </c>
      <c r="BL533" s="550">
        <f t="shared" si="118"/>
        <v>-417720</v>
      </c>
      <c r="BM533" s="550">
        <f t="shared" si="119"/>
        <v>-417720</v>
      </c>
      <c r="BO533" s="194"/>
      <c r="BQ533" s="193">
        <f t="shared" si="120"/>
        <v>0</v>
      </c>
      <c r="BR533" s="193">
        <f t="shared" si="121"/>
        <v>0</v>
      </c>
    </row>
    <row r="534" spans="1:70" ht="13.5" customHeight="1">
      <c r="A534" s="193" t="s">
        <v>378</v>
      </c>
      <c r="B534" s="193" t="s">
        <v>379</v>
      </c>
      <c r="C534" s="193" t="s">
        <v>214</v>
      </c>
      <c r="D534" s="193" t="s">
        <v>508</v>
      </c>
      <c r="E534" s="193" t="s">
        <v>509</v>
      </c>
      <c r="F534" s="193" t="s">
        <v>431</v>
      </c>
      <c r="G534" s="193" t="s">
        <v>431</v>
      </c>
      <c r="H534" s="193" t="s">
        <v>2070</v>
      </c>
      <c r="I534" s="193" t="s">
        <v>384</v>
      </c>
      <c r="J534" s="193" t="s">
        <v>2071</v>
      </c>
      <c r="K534" s="193" t="s">
        <v>386</v>
      </c>
      <c r="L534" s="193" t="s">
        <v>387</v>
      </c>
      <c r="M534" s="193" t="s">
        <v>378</v>
      </c>
      <c r="N534" s="193" t="s">
        <v>1497</v>
      </c>
      <c r="O534" s="193" t="s">
        <v>129</v>
      </c>
      <c r="P534" s="193" t="s">
        <v>138</v>
      </c>
      <c r="Q534" s="193" t="s">
        <v>137</v>
      </c>
      <c r="R534" s="193" t="s">
        <v>136</v>
      </c>
      <c r="S534" s="193" t="s">
        <v>214</v>
      </c>
      <c r="T534" s="193" t="s">
        <v>389</v>
      </c>
      <c r="U534" s="193" t="s">
        <v>390</v>
      </c>
      <c r="V534" s="193">
        <v>0</v>
      </c>
      <c r="W534" s="193">
        <v>0</v>
      </c>
      <c r="X534" s="193">
        <v>0</v>
      </c>
      <c r="Y534" s="194">
        <v>970</v>
      </c>
      <c r="Z534" s="193" t="s">
        <v>1498</v>
      </c>
      <c r="AA534" s="193" t="s">
        <v>1499</v>
      </c>
      <c r="AB534" s="193">
        <v>970</v>
      </c>
      <c r="AC534" s="193" t="s">
        <v>1500</v>
      </c>
      <c r="AD534" s="193" t="s">
        <v>136</v>
      </c>
      <c r="AE534" s="193">
        <v>970</v>
      </c>
      <c r="AF534" s="193" t="s">
        <v>394</v>
      </c>
      <c r="AG534" s="193" t="s">
        <v>395</v>
      </c>
      <c r="AH534" s="193">
        <v>88</v>
      </c>
      <c r="AI534" s="193">
        <v>882</v>
      </c>
      <c r="AJ534" s="193" t="s">
        <v>2072</v>
      </c>
      <c r="AL534" s="197" t="s">
        <v>2073</v>
      </c>
      <c r="AM534" s="193">
        <v>1</v>
      </c>
      <c r="AN534" s="193">
        <v>0</v>
      </c>
      <c r="AO534" s="193">
        <v>0</v>
      </c>
      <c r="AP534" s="193">
        <v>0</v>
      </c>
      <c r="AQ534" s="193" t="s">
        <v>214</v>
      </c>
      <c r="AS534" s="197" t="s">
        <v>394</v>
      </c>
      <c r="AT534" s="197" t="s">
        <v>395</v>
      </c>
      <c r="AV534" s="194">
        <v>970</v>
      </c>
      <c r="AW534" s="194">
        <v>0</v>
      </c>
      <c r="AX534" s="194">
        <v>0</v>
      </c>
      <c r="AY534" s="549">
        <v>970</v>
      </c>
      <c r="AZ534" s="194">
        <v>0</v>
      </c>
      <c r="BA534" s="194">
        <v>0</v>
      </c>
      <c r="BB534" s="551">
        <v>0</v>
      </c>
      <c r="BC534" s="551">
        <v>970</v>
      </c>
      <c r="BD534" s="551">
        <v>0</v>
      </c>
      <c r="BF534" s="550">
        <f t="shared" si="112"/>
        <v>882</v>
      </c>
      <c r="BG534" s="550">
        <f t="shared" si="113"/>
        <v>0</v>
      </c>
      <c r="BH534" s="550">
        <f t="shared" si="114"/>
        <v>0</v>
      </c>
      <c r="BI534" s="550">
        <f t="shared" si="115"/>
        <v>882</v>
      </c>
      <c r="BJ534" s="550">
        <f t="shared" si="116"/>
        <v>0</v>
      </c>
      <c r="BK534" s="550">
        <f t="shared" si="117"/>
        <v>0</v>
      </c>
      <c r="BL534" s="550">
        <f t="shared" si="118"/>
        <v>0</v>
      </c>
      <c r="BM534" s="550">
        <f t="shared" si="119"/>
        <v>882</v>
      </c>
      <c r="BO534" s="194"/>
      <c r="BQ534" s="193">
        <f t="shared" si="120"/>
        <v>-0.18181818181813014</v>
      </c>
      <c r="BR534" s="193">
        <f t="shared" si="121"/>
        <v>0</v>
      </c>
    </row>
    <row r="535" spans="1:70" ht="13.5" customHeight="1">
      <c r="A535" s="193" t="s">
        <v>378</v>
      </c>
      <c r="B535" s="193" t="s">
        <v>379</v>
      </c>
      <c r="C535" s="193" t="s">
        <v>214</v>
      </c>
      <c r="D535" s="193" t="s">
        <v>508</v>
      </c>
      <c r="E535" s="193" t="s">
        <v>509</v>
      </c>
      <c r="F535" s="193" t="s">
        <v>1150</v>
      </c>
      <c r="G535" s="193" t="s">
        <v>1150</v>
      </c>
      <c r="H535" s="193" t="s">
        <v>2063</v>
      </c>
      <c r="I535" s="193" t="s">
        <v>384</v>
      </c>
      <c r="J535" s="193" t="s">
        <v>2074</v>
      </c>
      <c r="K535" s="193" t="s">
        <v>386</v>
      </c>
      <c r="L535" s="193" t="s">
        <v>387</v>
      </c>
      <c r="M535" s="193" t="s">
        <v>378</v>
      </c>
      <c r="N535" s="193" t="s">
        <v>1497</v>
      </c>
      <c r="O535" s="193" t="s">
        <v>129</v>
      </c>
      <c r="P535" s="193" t="s">
        <v>138</v>
      </c>
      <c r="Q535" s="193" t="s">
        <v>137</v>
      </c>
      <c r="R535" s="193" t="s">
        <v>136</v>
      </c>
      <c r="S535" s="193" t="s">
        <v>214</v>
      </c>
      <c r="T535" s="193" t="s">
        <v>389</v>
      </c>
      <c r="U535" s="193" t="s">
        <v>390</v>
      </c>
      <c r="V535" s="193">
        <v>0</v>
      </c>
      <c r="W535" s="193">
        <v>0</v>
      </c>
      <c r="X535" s="193">
        <v>0</v>
      </c>
      <c r="Y535" s="194">
        <v>8880</v>
      </c>
      <c r="Z535" s="193" t="s">
        <v>1498</v>
      </c>
      <c r="AA535" s="193" t="s">
        <v>1499</v>
      </c>
      <c r="AB535" s="193">
        <v>8880</v>
      </c>
      <c r="AC535" s="193" t="s">
        <v>1500</v>
      </c>
      <c r="AD535" s="193" t="s">
        <v>136</v>
      </c>
      <c r="AE535" s="193">
        <v>8880</v>
      </c>
      <c r="AF535" s="193" t="s">
        <v>518</v>
      </c>
      <c r="AG535" s="193" t="s">
        <v>519</v>
      </c>
      <c r="AH535" s="193">
        <v>0</v>
      </c>
      <c r="AI535" s="193">
        <v>8880</v>
      </c>
      <c r="AJ535" s="193" t="s">
        <v>2075</v>
      </c>
      <c r="AL535" s="197" t="s">
        <v>2076</v>
      </c>
      <c r="AM535" s="193">
        <v>1</v>
      </c>
      <c r="AN535" s="193">
        <v>0</v>
      </c>
      <c r="AO535" s="193">
        <v>0</v>
      </c>
      <c r="AP535" s="193">
        <v>0</v>
      </c>
      <c r="AQ535" s="193" t="s">
        <v>214</v>
      </c>
      <c r="AS535" s="197" t="s">
        <v>518</v>
      </c>
      <c r="AT535" s="197" t="s">
        <v>519</v>
      </c>
      <c r="AV535" s="194">
        <v>8880</v>
      </c>
      <c r="AW535" s="194">
        <v>0</v>
      </c>
      <c r="AX535" s="194">
        <v>0</v>
      </c>
      <c r="AY535" s="549">
        <v>8880</v>
      </c>
      <c r="AZ535" s="194">
        <v>0</v>
      </c>
      <c r="BA535" s="194">
        <v>0</v>
      </c>
      <c r="BB535" s="551">
        <v>0</v>
      </c>
      <c r="BC535" s="551">
        <v>8880</v>
      </c>
      <c r="BD535" s="551">
        <v>0</v>
      </c>
      <c r="BF535" s="550">
        <f t="shared" si="112"/>
        <v>8880</v>
      </c>
      <c r="BG535" s="550">
        <f t="shared" si="113"/>
        <v>0</v>
      </c>
      <c r="BH535" s="550">
        <f t="shared" si="114"/>
        <v>0</v>
      </c>
      <c r="BI535" s="550">
        <f t="shared" si="115"/>
        <v>8880</v>
      </c>
      <c r="BJ535" s="550">
        <f t="shared" si="116"/>
        <v>0</v>
      </c>
      <c r="BK535" s="550">
        <f t="shared" si="117"/>
        <v>0</v>
      </c>
      <c r="BL535" s="550">
        <f t="shared" si="118"/>
        <v>0</v>
      </c>
      <c r="BM535" s="550">
        <f t="shared" si="119"/>
        <v>8880</v>
      </c>
      <c r="BO535" s="194"/>
      <c r="BQ535" s="193">
        <f t="shared" si="120"/>
        <v>0</v>
      </c>
      <c r="BR535" s="193">
        <f t="shared" si="121"/>
        <v>0</v>
      </c>
    </row>
    <row r="536" spans="1:70" ht="13.5" customHeight="1">
      <c r="A536" s="193" t="s">
        <v>378</v>
      </c>
      <c r="B536" s="193" t="s">
        <v>379</v>
      </c>
      <c r="C536" s="193" t="s">
        <v>214</v>
      </c>
      <c r="D536" s="193" t="s">
        <v>508</v>
      </c>
      <c r="E536" s="193" t="s">
        <v>509</v>
      </c>
      <c r="F536" s="193" t="s">
        <v>1136</v>
      </c>
      <c r="G536" s="193" t="s">
        <v>1136</v>
      </c>
      <c r="H536" s="193" t="s">
        <v>2063</v>
      </c>
      <c r="I536" s="193" t="s">
        <v>384</v>
      </c>
      <c r="J536" s="193" t="s">
        <v>2067</v>
      </c>
      <c r="K536" s="193" t="s">
        <v>386</v>
      </c>
      <c r="L536" s="193" t="s">
        <v>387</v>
      </c>
      <c r="M536" s="193" t="s">
        <v>378</v>
      </c>
      <c r="N536" s="193" t="s">
        <v>1497</v>
      </c>
      <c r="O536" s="193" t="s">
        <v>129</v>
      </c>
      <c r="P536" s="193" t="s">
        <v>138</v>
      </c>
      <c r="Q536" s="193" t="s">
        <v>137</v>
      </c>
      <c r="R536" s="193" t="s">
        <v>136</v>
      </c>
      <c r="S536" s="193" t="s">
        <v>214</v>
      </c>
      <c r="T536" s="193" t="s">
        <v>389</v>
      </c>
      <c r="U536" s="193" t="s">
        <v>390</v>
      </c>
      <c r="V536" s="193">
        <v>0</v>
      </c>
      <c r="W536" s="193">
        <v>0</v>
      </c>
      <c r="X536" s="193">
        <v>0</v>
      </c>
      <c r="Y536" s="194">
        <v>111000</v>
      </c>
      <c r="Z536" s="193" t="s">
        <v>1498</v>
      </c>
      <c r="AA536" s="193" t="s">
        <v>1499</v>
      </c>
      <c r="AB536" s="193">
        <v>111000</v>
      </c>
      <c r="AC536" s="193" t="s">
        <v>1500</v>
      </c>
      <c r="AD536" s="193" t="s">
        <v>136</v>
      </c>
      <c r="AE536" s="193">
        <v>111000</v>
      </c>
      <c r="AF536" s="193" t="s">
        <v>518</v>
      </c>
      <c r="AG536" s="193" t="s">
        <v>519</v>
      </c>
      <c r="AH536" s="193">
        <v>0</v>
      </c>
      <c r="AI536" s="193">
        <v>111000</v>
      </c>
      <c r="AJ536" s="193" t="s">
        <v>2068</v>
      </c>
      <c r="AL536" s="197" t="s">
        <v>2069</v>
      </c>
      <c r="AM536" s="193">
        <v>1</v>
      </c>
      <c r="AN536" s="193">
        <v>0</v>
      </c>
      <c r="AO536" s="193">
        <v>0</v>
      </c>
      <c r="AP536" s="193">
        <v>0</v>
      </c>
      <c r="AQ536" s="193" t="s">
        <v>214</v>
      </c>
      <c r="AS536" s="197" t="s">
        <v>518</v>
      </c>
      <c r="AT536" s="197" t="s">
        <v>519</v>
      </c>
      <c r="AV536" s="194">
        <v>111000</v>
      </c>
      <c r="AW536" s="194">
        <v>0</v>
      </c>
      <c r="AX536" s="194">
        <v>0</v>
      </c>
      <c r="AY536" s="549">
        <v>111000</v>
      </c>
      <c r="AZ536" s="194">
        <v>0</v>
      </c>
      <c r="BA536" s="194">
        <v>0</v>
      </c>
      <c r="BB536" s="551">
        <v>0</v>
      </c>
      <c r="BC536" s="551">
        <v>111000</v>
      </c>
      <c r="BD536" s="551">
        <v>0</v>
      </c>
      <c r="BF536" s="550">
        <f t="shared" si="112"/>
        <v>111000</v>
      </c>
      <c r="BG536" s="550">
        <f t="shared" si="113"/>
        <v>0</v>
      </c>
      <c r="BH536" s="550">
        <f t="shared" si="114"/>
        <v>0</v>
      </c>
      <c r="BI536" s="550">
        <f t="shared" si="115"/>
        <v>111000</v>
      </c>
      <c r="BJ536" s="550">
        <f t="shared" si="116"/>
        <v>0</v>
      </c>
      <c r="BK536" s="550">
        <f t="shared" si="117"/>
        <v>0</v>
      </c>
      <c r="BL536" s="550">
        <f t="shared" si="118"/>
        <v>0</v>
      </c>
      <c r="BM536" s="550">
        <f t="shared" si="119"/>
        <v>111000</v>
      </c>
      <c r="BO536" s="194"/>
      <c r="BQ536" s="193">
        <f t="shared" si="120"/>
        <v>0</v>
      </c>
      <c r="BR536" s="193">
        <f t="shared" si="121"/>
        <v>0</v>
      </c>
    </row>
    <row r="537" spans="1:70" ht="13.5" customHeight="1">
      <c r="A537" s="193" t="s">
        <v>378</v>
      </c>
      <c r="B537" s="193" t="s">
        <v>379</v>
      </c>
      <c r="C537" s="193" t="s">
        <v>214</v>
      </c>
      <c r="D537" s="193" t="s">
        <v>508</v>
      </c>
      <c r="E537" s="193" t="s">
        <v>509</v>
      </c>
      <c r="F537" s="193" t="s">
        <v>1282</v>
      </c>
      <c r="G537" s="193" t="s">
        <v>1282</v>
      </c>
      <c r="H537" s="193" t="s">
        <v>2063</v>
      </c>
      <c r="I537" s="193" t="s">
        <v>384</v>
      </c>
      <c r="J537" s="193" t="s">
        <v>2064</v>
      </c>
      <c r="K537" s="193" t="s">
        <v>386</v>
      </c>
      <c r="L537" s="193" t="s">
        <v>387</v>
      </c>
      <c r="M537" s="193" t="s">
        <v>378</v>
      </c>
      <c r="N537" s="193" t="s">
        <v>1497</v>
      </c>
      <c r="O537" s="193" t="s">
        <v>129</v>
      </c>
      <c r="P537" s="193" t="s">
        <v>138</v>
      </c>
      <c r="Q537" s="193" t="s">
        <v>137</v>
      </c>
      <c r="R537" s="193" t="s">
        <v>136</v>
      </c>
      <c r="S537" s="193" t="s">
        <v>214</v>
      </c>
      <c r="T537" s="193" t="s">
        <v>389</v>
      </c>
      <c r="U537" s="193" t="s">
        <v>390</v>
      </c>
      <c r="V537" s="193">
        <v>0</v>
      </c>
      <c r="W537" s="193">
        <v>0</v>
      </c>
      <c r="X537" s="193">
        <v>0</v>
      </c>
      <c r="Y537" s="194">
        <v>288600</v>
      </c>
      <c r="Z537" s="193" t="s">
        <v>1498</v>
      </c>
      <c r="AA537" s="193" t="s">
        <v>1499</v>
      </c>
      <c r="AB537" s="193">
        <v>288600</v>
      </c>
      <c r="AC537" s="193" t="s">
        <v>1500</v>
      </c>
      <c r="AD537" s="193" t="s">
        <v>136</v>
      </c>
      <c r="AE537" s="193">
        <v>288600</v>
      </c>
      <c r="AF537" s="193" t="s">
        <v>518</v>
      </c>
      <c r="AG537" s="193" t="s">
        <v>519</v>
      </c>
      <c r="AH537" s="193">
        <v>0</v>
      </c>
      <c r="AI537" s="193">
        <v>288600</v>
      </c>
      <c r="AJ537" s="193" t="s">
        <v>2065</v>
      </c>
      <c r="AL537" s="197" t="s">
        <v>2066</v>
      </c>
      <c r="AM537" s="193">
        <v>1</v>
      </c>
      <c r="AN537" s="193">
        <v>0</v>
      </c>
      <c r="AO537" s="193">
        <v>0</v>
      </c>
      <c r="AP537" s="193">
        <v>0</v>
      </c>
      <c r="AQ537" s="193" t="s">
        <v>214</v>
      </c>
      <c r="AS537" s="197" t="s">
        <v>518</v>
      </c>
      <c r="AT537" s="197" t="s">
        <v>519</v>
      </c>
      <c r="AV537" s="194">
        <v>288600</v>
      </c>
      <c r="AW537" s="194">
        <v>0</v>
      </c>
      <c r="AX537" s="194">
        <v>0</v>
      </c>
      <c r="AY537" s="549">
        <v>288600</v>
      </c>
      <c r="AZ537" s="194">
        <v>0</v>
      </c>
      <c r="BA537" s="194">
        <v>0</v>
      </c>
      <c r="BB537" s="551">
        <v>0</v>
      </c>
      <c r="BC537" s="551">
        <v>288600</v>
      </c>
      <c r="BD537" s="551">
        <v>0</v>
      </c>
      <c r="BF537" s="550">
        <f t="shared" si="112"/>
        <v>288600</v>
      </c>
      <c r="BG537" s="550">
        <f t="shared" si="113"/>
        <v>0</v>
      </c>
      <c r="BH537" s="550">
        <f t="shared" si="114"/>
        <v>0</v>
      </c>
      <c r="BI537" s="550">
        <f t="shared" si="115"/>
        <v>288600</v>
      </c>
      <c r="BJ537" s="550">
        <f t="shared" si="116"/>
        <v>0</v>
      </c>
      <c r="BK537" s="550">
        <f t="shared" si="117"/>
        <v>0</v>
      </c>
      <c r="BL537" s="550">
        <f t="shared" si="118"/>
        <v>0</v>
      </c>
      <c r="BM537" s="550">
        <f t="shared" si="119"/>
        <v>288600</v>
      </c>
      <c r="BO537" s="194"/>
      <c r="BQ537" s="193">
        <f t="shared" si="120"/>
        <v>0</v>
      </c>
      <c r="BR537" s="193">
        <f t="shared" si="121"/>
        <v>0</v>
      </c>
    </row>
    <row r="538" spans="1:70" ht="13.5" customHeight="1">
      <c r="A538" s="193" t="s">
        <v>378</v>
      </c>
      <c r="B538" s="193" t="s">
        <v>379</v>
      </c>
      <c r="C538" s="193" t="s">
        <v>214</v>
      </c>
      <c r="D538" s="193" t="s">
        <v>508</v>
      </c>
      <c r="E538" s="193" t="s">
        <v>509</v>
      </c>
      <c r="F538" s="193" t="s">
        <v>1685</v>
      </c>
      <c r="G538" s="193" t="s">
        <v>1685</v>
      </c>
      <c r="H538" s="193" t="s">
        <v>2077</v>
      </c>
      <c r="I538" s="193" t="s">
        <v>384</v>
      </c>
      <c r="J538" s="193" t="s">
        <v>2078</v>
      </c>
      <c r="K538" s="193" t="s">
        <v>386</v>
      </c>
      <c r="L538" s="193" t="s">
        <v>387</v>
      </c>
      <c r="M538" s="193" t="s">
        <v>378</v>
      </c>
      <c r="N538" s="193" t="s">
        <v>1497</v>
      </c>
      <c r="O538" s="193" t="s">
        <v>129</v>
      </c>
      <c r="P538" s="193" t="s">
        <v>138</v>
      </c>
      <c r="Q538" s="193" t="s">
        <v>137</v>
      </c>
      <c r="R538" s="193" t="s">
        <v>136</v>
      </c>
      <c r="S538" s="193" t="s">
        <v>214</v>
      </c>
      <c r="T538" s="193" t="s">
        <v>389</v>
      </c>
      <c r="U538" s="193" t="s">
        <v>390</v>
      </c>
      <c r="V538" s="193">
        <v>0</v>
      </c>
      <c r="W538" s="193">
        <v>0</v>
      </c>
      <c r="X538" s="193">
        <v>0</v>
      </c>
      <c r="Y538" s="194">
        <v>285</v>
      </c>
      <c r="Z538" s="193" t="s">
        <v>1498</v>
      </c>
      <c r="AA538" s="193" t="s">
        <v>1499</v>
      </c>
      <c r="AB538" s="193">
        <v>285</v>
      </c>
      <c r="AC538" s="193" t="s">
        <v>1500</v>
      </c>
      <c r="AD538" s="193" t="s">
        <v>136</v>
      </c>
      <c r="AE538" s="193">
        <v>285</v>
      </c>
      <c r="AF538" s="193" t="s">
        <v>518</v>
      </c>
      <c r="AG538" s="193" t="s">
        <v>519</v>
      </c>
      <c r="AH538" s="193">
        <v>0</v>
      </c>
      <c r="AI538" s="193">
        <v>285</v>
      </c>
      <c r="AJ538" s="193" t="s">
        <v>2079</v>
      </c>
      <c r="AL538" s="197" t="s">
        <v>2080</v>
      </c>
      <c r="AM538" s="193">
        <v>1</v>
      </c>
      <c r="AN538" s="193">
        <v>0</v>
      </c>
      <c r="AO538" s="193">
        <v>0</v>
      </c>
      <c r="AP538" s="193">
        <v>0</v>
      </c>
      <c r="AQ538" s="193" t="s">
        <v>214</v>
      </c>
      <c r="AS538" s="197" t="s">
        <v>518</v>
      </c>
      <c r="AT538" s="197" t="s">
        <v>519</v>
      </c>
      <c r="AV538" s="194">
        <v>285</v>
      </c>
      <c r="AW538" s="194">
        <v>0</v>
      </c>
      <c r="AX538" s="194">
        <v>0</v>
      </c>
      <c r="AY538" s="549">
        <v>285</v>
      </c>
      <c r="AZ538" s="194">
        <v>0</v>
      </c>
      <c r="BA538" s="194">
        <v>0</v>
      </c>
      <c r="BB538" s="551">
        <v>0</v>
      </c>
      <c r="BC538" s="551">
        <v>285</v>
      </c>
      <c r="BD538" s="551">
        <v>0</v>
      </c>
      <c r="BF538" s="550">
        <f t="shared" si="112"/>
        <v>285</v>
      </c>
      <c r="BG538" s="550">
        <f t="shared" si="113"/>
        <v>0</v>
      </c>
      <c r="BH538" s="550">
        <f t="shared" si="114"/>
        <v>0</v>
      </c>
      <c r="BI538" s="550">
        <f t="shared" si="115"/>
        <v>285</v>
      </c>
      <c r="BJ538" s="550">
        <f t="shared" si="116"/>
        <v>0</v>
      </c>
      <c r="BK538" s="550">
        <f t="shared" si="117"/>
        <v>0</v>
      </c>
      <c r="BL538" s="550">
        <f t="shared" si="118"/>
        <v>0</v>
      </c>
      <c r="BM538" s="550">
        <f t="shared" si="119"/>
        <v>285</v>
      </c>
      <c r="BO538" s="194"/>
      <c r="BQ538" s="193">
        <f t="shared" si="120"/>
        <v>0</v>
      </c>
      <c r="BR538" s="193">
        <f t="shared" si="121"/>
        <v>0</v>
      </c>
    </row>
    <row r="539" spans="1:70" ht="13.5" customHeight="1">
      <c r="A539" s="193" t="s">
        <v>378</v>
      </c>
      <c r="B539" s="193" t="s">
        <v>379</v>
      </c>
      <c r="C539" s="193" t="s">
        <v>214</v>
      </c>
      <c r="D539" s="193" t="s">
        <v>1441</v>
      </c>
      <c r="E539" s="193" t="s">
        <v>1442</v>
      </c>
      <c r="F539" s="193" t="s">
        <v>559</v>
      </c>
      <c r="G539" s="193" t="s">
        <v>559</v>
      </c>
      <c r="H539" s="193" t="s">
        <v>2081</v>
      </c>
      <c r="I539" s="193" t="s">
        <v>512</v>
      </c>
      <c r="J539" s="193" t="s">
        <v>2082</v>
      </c>
      <c r="K539" s="193" t="s">
        <v>386</v>
      </c>
      <c r="L539" s="193" t="s">
        <v>387</v>
      </c>
      <c r="M539" s="193" t="s">
        <v>378</v>
      </c>
      <c r="N539" s="193" t="s">
        <v>1497</v>
      </c>
      <c r="O539" s="193" t="s">
        <v>129</v>
      </c>
      <c r="P539" s="193" t="s">
        <v>138</v>
      </c>
      <c r="Q539" s="193" t="s">
        <v>137</v>
      </c>
      <c r="R539" s="193" t="s">
        <v>136</v>
      </c>
      <c r="S539" s="193" t="s">
        <v>214</v>
      </c>
      <c r="T539" s="193" t="s">
        <v>389</v>
      </c>
      <c r="U539" s="193" t="s">
        <v>390</v>
      </c>
      <c r="V539" s="193">
        <v>0</v>
      </c>
      <c r="W539" s="193">
        <v>0</v>
      </c>
      <c r="X539" s="193">
        <v>0</v>
      </c>
      <c r="Y539" s="194">
        <v>384960</v>
      </c>
      <c r="Z539" s="193" t="s">
        <v>515</v>
      </c>
      <c r="AA539" s="193" t="s">
        <v>516</v>
      </c>
      <c r="AB539" s="193">
        <v>384960</v>
      </c>
      <c r="AC539" s="193" t="s">
        <v>1500</v>
      </c>
      <c r="AD539" s="193" t="s">
        <v>136</v>
      </c>
      <c r="AE539" s="193">
        <v>384960</v>
      </c>
      <c r="AF539" s="193" t="s">
        <v>394</v>
      </c>
      <c r="AG539" s="193" t="s">
        <v>395</v>
      </c>
      <c r="AH539" s="193">
        <v>34996</v>
      </c>
      <c r="AI539" s="193">
        <v>349964</v>
      </c>
      <c r="AJ539" s="193" t="s">
        <v>2083</v>
      </c>
      <c r="AL539" s="197" t="s">
        <v>2084</v>
      </c>
      <c r="AM539" s="193">
        <v>1</v>
      </c>
      <c r="AN539" s="193">
        <v>0</v>
      </c>
      <c r="AO539" s="193">
        <v>0</v>
      </c>
      <c r="AP539" s="193">
        <v>0</v>
      </c>
      <c r="AQ539" s="193" t="s">
        <v>214</v>
      </c>
      <c r="AS539" s="197" t="s">
        <v>394</v>
      </c>
      <c r="AT539" s="197" t="s">
        <v>395</v>
      </c>
      <c r="AV539" s="194">
        <v>192480</v>
      </c>
      <c r="AW539" s="194">
        <v>0</v>
      </c>
      <c r="AX539" s="194">
        <v>0</v>
      </c>
      <c r="AY539" s="549">
        <v>192480</v>
      </c>
      <c r="AZ539" s="194">
        <v>0</v>
      </c>
      <c r="BA539" s="194">
        <v>192480</v>
      </c>
      <c r="BB539" s="551">
        <v>192480</v>
      </c>
      <c r="BC539" s="551">
        <v>384960</v>
      </c>
      <c r="BD539" s="551">
        <v>0</v>
      </c>
      <c r="BF539" s="550">
        <f t="shared" si="112"/>
        <v>174982</v>
      </c>
      <c r="BG539" s="550">
        <f t="shared" si="113"/>
        <v>0</v>
      </c>
      <c r="BH539" s="550">
        <f t="shared" si="114"/>
        <v>0</v>
      </c>
      <c r="BI539" s="550">
        <f t="shared" si="115"/>
        <v>174982</v>
      </c>
      <c r="BJ539" s="550">
        <f t="shared" si="116"/>
        <v>0</v>
      </c>
      <c r="BK539" s="550">
        <f t="shared" si="117"/>
        <v>174982</v>
      </c>
      <c r="BL539" s="550">
        <f t="shared" si="118"/>
        <v>174982</v>
      </c>
      <c r="BM539" s="550">
        <f t="shared" si="119"/>
        <v>349964</v>
      </c>
      <c r="BO539" s="194"/>
      <c r="BQ539" s="193">
        <f t="shared" si="120"/>
        <v>-0.18181818182347342</v>
      </c>
      <c r="BR539" s="193">
        <f t="shared" si="121"/>
        <v>-0.18181818182347342</v>
      </c>
    </row>
    <row r="540" spans="1:70" ht="13.5" customHeight="1">
      <c r="A540" s="193" t="s">
        <v>378</v>
      </c>
      <c r="B540" s="193" t="s">
        <v>379</v>
      </c>
      <c r="C540" s="193" t="s">
        <v>214</v>
      </c>
      <c r="D540" s="193" t="s">
        <v>1441</v>
      </c>
      <c r="E540" s="193" t="s">
        <v>1442</v>
      </c>
      <c r="F540" s="193" t="s">
        <v>1007</v>
      </c>
      <c r="G540" s="193" t="s">
        <v>1007</v>
      </c>
      <c r="H540" s="193" t="s">
        <v>2085</v>
      </c>
      <c r="I540" s="193" t="s">
        <v>512</v>
      </c>
      <c r="J540" s="193" t="s">
        <v>2086</v>
      </c>
      <c r="K540" s="193" t="s">
        <v>386</v>
      </c>
      <c r="L540" s="193" t="s">
        <v>387</v>
      </c>
      <c r="M540" s="193" t="s">
        <v>378</v>
      </c>
      <c r="N540" s="193" t="s">
        <v>1497</v>
      </c>
      <c r="O540" s="193" t="s">
        <v>129</v>
      </c>
      <c r="P540" s="193" t="s">
        <v>138</v>
      </c>
      <c r="Q540" s="193" t="s">
        <v>137</v>
      </c>
      <c r="R540" s="193" t="s">
        <v>136</v>
      </c>
      <c r="S540" s="193" t="s">
        <v>214</v>
      </c>
      <c r="T540" s="193" t="s">
        <v>389</v>
      </c>
      <c r="U540" s="193" t="s">
        <v>390</v>
      </c>
      <c r="V540" s="193">
        <v>0</v>
      </c>
      <c r="W540" s="193">
        <v>0</v>
      </c>
      <c r="X540" s="193">
        <v>0</v>
      </c>
      <c r="Y540" s="194">
        <v>396900</v>
      </c>
      <c r="Z540" s="193" t="s">
        <v>515</v>
      </c>
      <c r="AA540" s="193" t="s">
        <v>516</v>
      </c>
      <c r="AB540" s="193">
        <v>396900</v>
      </c>
      <c r="AC540" s="193" t="s">
        <v>1500</v>
      </c>
      <c r="AD540" s="193" t="s">
        <v>136</v>
      </c>
      <c r="AE540" s="193">
        <v>396900</v>
      </c>
      <c r="AF540" s="193" t="s">
        <v>394</v>
      </c>
      <c r="AG540" s="193" t="s">
        <v>395</v>
      </c>
      <c r="AH540" s="193">
        <v>36078</v>
      </c>
      <c r="AI540" s="193">
        <v>360822</v>
      </c>
      <c r="AJ540" s="193" t="s">
        <v>2087</v>
      </c>
      <c r="AL540" s="197" t="s">
        <v>2088</v>
      </c>
      <c r="AM540" s="193">
        <v>1</v>
      </c>
      <c r="AN540" s="193">
        <v>0</v>
      </c>
      <c r="AO540" s="193">
        <v>0</v>
      </c>
      <c r="AP540" s="193">
        <v>0</v>
      </c>
      <c r="AQ540" s="193" t="s">
        <v>214</v>
      </c>
      <c r="AS540" s="197" t="s">
        <v>394</v>
      </c>
      <c r="AT540" s="197" t="s">
        <v>395</v>
      </c>
      <c r="AV540" s="194">
        <v>198450</v>
      </c>
      <c r="AW540" s="194">
        <v>0</v>
      </c>
      <c r="AX540" s="194">
        <v>0</v>
      </c>
      <c r="AY540" s="549">
        <v>198450</v>
      </c>
      <c r="AZ540" s="194">
        <v>0</v>
      </c>
      <c r="BA540" s="194">
        <v>198450</v>
      </c>
      <c r="BB540" s="551">
        <v>198450</v>
      </c>
      <c r="BC540" s="551">
        <v>396900</v>
      </c>
      <c r="BD540" s="551">
        <v>0</v>
      </c>
      <c r="BF540" s="550">
        <f t="shared" si="112"/>
        <v>180409</v>
      </c>
      <c r="BG540" s="550">
        <f t="shared" si="113"/>
        <v>0</v>
      </c>
      <c r="BH540" s="550">
        <f t="shared" si="114"/>
        <v>0</v>
      </c>
      <c r="BI540" s="550">
        <f t="shared" si="115"/>
        <v>180409</v>
      </c>
      <c r="BJ540" s="550">
        <f t="shared" si="116"/>
        <v>0</v>
      </c>
      <c r="BK540" s="550">
        <f t="shared" si="117"/>
        <v>180409</v>
      </c>
      <c r="BL540" s="550">
        <f t="shared" si="118"/>
        <v>180409</v>
      </c>
      <c r="BM540" s="550">
        <f t="shared" si="119"/>
        <v>360818</v>
      </c>
      <c r="BO540" s="194"/>
      <c r="BQ540" s="193">
        <f t="shared" si="120"/>
        <v>9.0909090911736712E-2</v>
      </c>
      <c r="BR540" s="193">
        <f t="shared" si="121"/>
        <v>9.0909090911736712E-2</v>
      </c>
    </row>
    <row r="541" spans="1:70" ht="13.5" customHeight="1">
      <c r="A541" s="193" t="s">
        <v>378</v>
      </c>
      <c r="B541" s="193" t="s">
        <v>379</v>
      </c>
      <c r="C541" s="193" t="s">
        <v>214</v>
      </c>
      <c r="D541" s="193" t="s">
        <v>1441</v>
      </c>
      <c r="E541" s="193" t="s">
        <v>1442</v>
      </c>
      <c r="F541" s="193" t="s">
        <v>2089</v>
      </c>
      <c r="G541" s="193" t="s">
        <v>2089</v>
      </c>
      <c r="H541" s="193" t="s">
        <v>2090</v>
      </c>
      <c r="I541" s="193" t="s">
        <v>512</v>
      </c>
      <c r="J541" s="193" t="s">
        <v>2091</v>
      </c>
      <c r="K541" s="193" t="s">
        <v>386</v>
      </c>
      <c r="L541" s="193" t="s">
        <v>387</v>
      </c>
      <c r="M541" s="193" t="s">
        <v>378</v>
      </c>
      <c r="N541" s="193" t="s">
        <v>1497</v>
      </c>
      <c r="O541" s="193" t="s">
        <v>129</v>
      </c>
      <c r="P541" s="193" t="s">
        <v>138</v>
      </c>
      <c r="Q541" s="193" t="s">
        <v>137</v>
      </c>
      <c r="R541" s="193" t="s">
        <v>136</v>
      </c>
      <c r="S541" s="193" t="s">
        <v>214</v>
      </c>
      <c r="T541" s="193" t="s">
        <v>389</v>
      </c>
      <c r="U541" s="193" t="s">
        <v>390</v>
      </c>
      <c r="V541" s="193">
        <v>0</v>
      </c>
      <c r="W541" s="193">
        <v>0</v>
      </c>
      <c r="X541" s="193">
        <v>0</v>
      </c>
      <c r="Y541" s="194">
        <v>195</v>
      </c>
      <c r="Z541" s="193" t="s">
        <v>515</v>
      </c>
      <c r="AA541" s="193" t="s">
        <v>516</v>
      </c>
      <c r="AB541" s="193">
        <v>195</v>
      </c>
      <c r="AC541" s="193" t="s">
        <v>1500</v>
      </c>
      <c r="AD541" s="193" t="s">
        <v>136</v>
      </c>
      <c r="AE541" s="193">
        <v>195</v>
      </c>
      <c r="AF541" s="193" t="s">
        <v>518</v>
      </c>
      <c r="AG541" s="193" t="s">
        <v>519</v>
      </c>
      <c r="AH541" s="193">
        <v>0</v>
      </c>
      <c r="AI541" s="193">
        <v>195</v>
      </c>
      <c r="AJ541" s="193" t="s">
        <v>1724</v>
      </c>
      <c r="AL541" s="197" t="s">
        <v>2092</v>
      </c>
      <c r="AM541" s="193">
        <v>1</v>
      </c>
      <c r="AN541" s="193">
        <v>0</v>
      </c>
      <c r="AO541" s="193">
        <v>0</v>
      </c>
      <c r="AP541" s="193">
        <v>0</v>
      </c>
      <c r="AQ541" s="193" t="s">
        <v>214</v>
      </c>
      <c r="AS541" s="197" t="s">
        <v>518</v>
      </c>
      <c r="AT541" s="197" t="s">
        <v>519</v>
      </c>
      <c r="AV541" s="194">
        <v>0</v>
      </c>
      <c r="AW541" s="194">
        <v>0</v>
      </c>
      <c r="AX541" s="194">
        <v>0</v>
      </c>
      <c r="AY541" s="549">
        <v>0</v>
      </c>
      <c r="AZ541" s="194">
        <v>0</v>
      </c>
      <c r="BA541" s="194">
        <v>195</v>
      </c>
      <c r="BB541" s="551">
        <v>195</v>
      </c>
      <c r="BC541" s="551">
        <v>195</v>
      </c>
      <c r="BD541" s="551">
        <v>0</v>
      </c>
      <c r="BF541" s="550">
        <f t="shared" si="112"/>
        <v>0</v>
      </c>
      <c r="BG541" s="550">
        <f t="shared" si="113"/>
        <v>0</v>
      </c>
      <c r="BH541" s="550">
        <f t="shared" si="114"/>
        <v>0</v>
      </c>
      <c r="BI541" s="550">
        <f t="shared" si="115"/>
        <v>0</v>
      </c>
      <c r="BJ541" s="550">
        <f t="shared" si="116"/>
        <v>0</v>
      </c>
      <c r="BK541" s="550">
        <f t="shared" si="117"/>
        <v>195</v>
      </c>
      <c r="BL541" s="550">
        <f t="shared" si="118"/>
        <v>195</v>
      </c>
      <c r="BM541" s="550">
        <f t="shared" si="119"/>
        <v>195</v>
      </c>
      <c r="BO541" s="194"/>
      <c r="BQ541" s="193">
        <f t="shared" si="120"/>
        <v>0</v>
      </c>
      <c r="BR541" s="193">
        <f t="shared" si="121"/>
        <v>0</v>
      </c>
    </row>
    <row r="542" spans="1:70" ht="13.5" customHeight="1">
      <c r="A542" s="193" t="s">
        <v>378</v>
      </c>
      <c r="B542" s="193" t="s">
        <v>379</v>
      </c>
      <c r="C542" s="193" t="s">
        <v>214</v>
      </c>
      <c r="D542" s="193" t="s">
        <v>1441</v>
      </c>
      <c r="E542" s="193" t="s">
        <v>1442</v>
      </c>
      <c r="F542" s="193" t="s">
        <v>1536</v>
      </c>
      <c r="G542" s="193" t="s">
        <v>1536</v>
      </c>
      <c r="H542" s="193" t="s">
        <v>2093</v>
      </c>
      <c r="I542" s="193" t="s">
        <v>512</v>
      </c>
      <c r="J542" s="193" t="s">
        <v>2094</v>
      </c>
      <c r="K542" s="193" t="s">
        <v>386</v>
      </c>
      <c r="L542" s="193" t="s">
        <v>387</v>
      </c>
      <c r="M542" s="193" t="s">
        <v>378</v>
      </c>
      <c r="N542" s="193" t="s">
        <v>1497</v>
      </c>
      <c r="O542" s="193" t="s">
        <v>129</v>
      </c>
      <c r="P542" s="193" t="s">
        <v>138</v>
      </c>
      <c r="Q542" s="193" t="s">
        <v>137</v>
      </c>
      <c r="R542" s="193" t="s">
        <v>136</v>
      </c>
      <c r="S542" s="193" t="s">
        <v>214</v>
      </c>
      <c r="T542" s="193" t="s">
        <v>389</v>
      </c>
      <c r="U542" s="193" t="s">
        <v>390</v>
      </c>
      <c r="V542" s="193">
        <v>0</v>
      </c>
      <c r="W542" s="193">
        <v>0</v>
      </c>
      <c r="X542" s="193">
        <v>0</v>
      </c>
      <c r="Y542" s="194">
        <v>8295</v>
      </c>
      <c r="Z542" s="193" t="s">
        <v>515</v>
      </c>
      <c r="AA542" s="193" t="s">
        <v>516</v>
      </c>
      <c r="AB542" s="193">
        <v>8295</v>
      </c>
      <c r="AC542" s="193" t="s">
        <v>1500</v>
      </c>
      <c r="AD542" s="193" t="s">
        <v>136</v>
      </c>
      <c r="AE542" s="193">
        <v>8295</v>
      </c>
      <c r="AF542" s="193" t="s">
        <v>518</v>
      </c>
      <c r="AG542" s="193" t="s">
        <v>519</v>
      </c>
      <c r="AH542" s="193">
        <v>0</v>
      </c>
      <c r="AI542" s="193">
        <v>8295</v>
      </c>
      <c r="AJ542" s="193" t="s">
        <v>2095</v>
      </c>
      <c r="AL542" s="197" t="s">
        <v>2096</v>
      </c>
      <c r="AM542" s="193">
        <v>1</v>
      </c>
      <c r="AN542" s="193">
        <v>0</v>
      </c>
      <c r="AO542" s="193">
        <v>0</v>
      </c>
      <c r="AP542" s="193">
        <v>0</v>
      </c>
      <c r="AQ542" s="193" t="s">
        <v>214</v>
      </c>
      <c r="AS542" s="197" t="s">
        <v>518</v>
      </c>
      <c r="AT542" s="197" t="s">
        <v>519</v>
      </c>
      <c r="AV542" s="196">
        <v>0</v>
      </c>
      <c r="AW542" s="196">
        <v>0</v>
      </c>
      <c r="AX542" s="196">
        <v>0</v>
      </c>
      <c r="AY542" s="550">
        <v>0</v>
      </c>
      <c r="AZ542" s="196">
        <v>0</v>
      </c>
      <c r="BA542" s="196">
        <v>8295</v>
      </c>
      <c r="BB542" s="551">
        <v>8295</v>
      </c>
      <c r="BC542" s="551">
        <v>8295</v>
      </c>
      <c r="BD542" s="551">
        <v>0</v>
      </c>
      <c r="BF542" s="550">
        <f t="shared" si="112"/>
        <v>0</v>
      </c>
      <c r="BG542" s="550">
        <f t="shared" si="113"/>
        <v>0</v>
      </c>
      <c r="BH542" s="550">
        <f t="shared" si="114"/>
        <v>0</v>
      </c>
      <c r="BI542" s="550">
        <f t="shared" si="115"/>
        <v>0</v>
      </c>
      <c r="BJ542" s="550">
        <f t="shared" si="116"/>
        <v>0</v>
      </c>
      <c r="BK542" s="550">
        <f t="shared" si="117"/>
        <v>8295</v>
      </c>
      <c r="BL542" s="550">
        <f t="shared" si="118"/>
        <v>8295</v>
      </c>
      <c r="BM542" s="550">
        <f t="shared" si="119"/>
        <v>8295</v>
      </c>
      <c r="BO542" s="194"/>
      <c r="BQ542" s="193">
        <f t="shared" si="120"/>
        <v>0</v>
      </c>
      <c r="BR542" s="193">
        <f t="shared" si="121"/>
        <v>0</v>
      </c>
    </row>
    <row r="543" spans="1:70" ht="13.5" customHeight="1">
      <c r="A543" s="193" t="s">
        <v>378</v>
      </c>
      <c r="B543" s="193" t="s">
        <v>379</v>
      </c>
      <c r="C543" s="193" t="s">
        <v>214</v>
      </c>
      <c r="D543" s="193" t="s">
        <v>1441</v>
      </c>
      <c r="E543" s="193" t="s">
        <v>1442</v>
      </c>
      <c r="F543" s="193" t="s">
        <v>1115</v>
      </c>
      <c r="G543" s="193" t="s">
        <v>1115</v>
      </c>
      <c r="H543" s="193" t="s">
        <v>2097</v>
      </c>
      <c r="I543" s="193" t="s">
        <v>512</v>
      </c>
      <c r="J543" s="193" t="s">
        <v>2098</v>
      </c>
      <c r="K543" s="193" t="s">
        <v>386</v>
      </c>
      <c r="L543" s="193" t="s">
        <v>387</v>
      </c>
      <c r="M543" s="193" t="s">
        <v>378</v>
      </c>
      <c r="N543" s="193" t="s">
        <v>1497</v>
      </c>
      <c r="O543" s="193" t="s">
        <v>129</v>
      </c>
      <c r="P543" s="193" t="s">
        <v>138</v>
      </c>
      <c r="Q543" s="193" t="s">
        <v>137</v>
      </c>
      <c r="R543" s="193" t="s">
        <v>136</v>
      </c>
      <c r="S543" s="193" t="s">
        <v>214</v>
      </c>
      <c r="T543" s="193" t="s">
        <v>389</v>
      </c>
      <c r="U543" s="193" t="s">
        <v>390</v>
      </c>
      <c r="V543" s="193">
        <v>0</v>
      </c>
      <c r="W543" s="193">
        <v>0</v>
      </c>
      <c r="X543" s="193">
        <v>0</v>
      </c>
      <c r="Y543" s="194">
        <v>7800</v>
      </c>
      <c r="Z543" s="193" t="s">
        <v>515</v>
      </c>
      <c r="AA543" s="193" t="s">
        <v>516</v>
      </c>
      <c r="AB543" s="193">
        <v>7800</v>
      </c>
      <c r="AC543" s="193" t="s">
        <v>1500</v>
      </c>
      <c r="AD543" s="193" t="s">
        <v>136</v>
      </c>
      <c r="AE543" s="193">
        <v>7800</v>
      </c>
      <c r="AF543" s="193" t="s">
        <v>518</v>
      </c>
      <c r="AG543" s="193" t="s">
        <v>519</v>
      </c>
      <c r="AH543" s="193">
        <v>0</v>
      </c>
      <c r="AI543" s="193">
        <v>7800</v>
      </c>
      <c r="AJ543" s="193" t="s">
        <v>2099</v>
      </c>
      <c r="AL543" s="197" t="s">
        <v>2100</v>
      </c>
      <c r="AM543" s="193">
        <v>1</v>
      </c>
      <c r="AN543" s="193">
        <v>0</v>
      </c>
      <c r="AO543" s="193">
        <v>0</v>
      </c>
      <c r="AP543" s="193">
        <v>0</v>
      </c>
      <c r="AQ543" s="193" t="s">
        <v>214</v>
      </c>
      <c r="AS543" s="197" t="s">
        <v>518</v>
      </c>
      <c r="AT543" s="197" t="s">
        <v>519</v>
      </c>
      <c r="AV543" s="196">
        <v>7800</v>
      </c>
      <c r="AW543" s="196">
        <v>0</v>
      </c>
      <c r="AX543" s="196">
        <v>0</v>
      </c>
      <c r="AY543" s="550">
        <v>7800</v>
      </c>
      <c r="AZ543" s="196">
        <v>0</v>
      </c>
      <c r="BA543" s="196">
        <v>0</v>
      </c>
      <c r="BB543" s="551">
        <v>0</v>
      </c>
      <c r="BC543" s="551">
        <v>7800</v>
      </c>
      <c r="BD543" s="551">
        <v>0</v>
      </c>
      <c r="BF543" s="550">
        <f t="shared" si="112"/>
        <v>7800</v>
      </c>
      <c r="BG543" s="550">
        <f t="shared" si="113"/>
        <v>0</v>
      </c>
      <c r="BH543" s="550">
        <f t="shared" si="114"/>
        <v>0</v>
      </c>
      <c r="BI543" s="550">
        <f t="shared" si="115"/>
        <v>7800</v>
      </c>
      <c r="BJ543" s="550">
        <f t="shared" si="116"/>
        <v>0</v>
      </c>
      <c r="BK543" s="550">
        <f t="shared" si="117"/>
        <v>0</v>
      </c>
      <c r="BL543" s="550">
        <f t="shared" si="118"/>
        <v>0</v>
      </c>
      <c r="BM543" s="550">
        <f t="shared" si="119"/>
        <v>7800</v>
      </c>
      <c r="BO543" s="194"/>
      <c r="BQ543" s="193">
        <f t="shared" si="120"/>
        <v>0</v>
      </c>
      <c r="BR543" s="193">
        <f t="shared" si="121"/>
        <v>0</v>
      </c>
    </row>
    <row r="544" spans="1:70" ht="13.5" customHeight="1">
      <c r="A544" s="193" t="s">
        <v>378</v>
      </c>
      <c r="B544" s="193" t="s">
        <v>379</v>
      </c>
      <c r="C544" s="193" t="s">
        <v>214</v>
      </c>
      <c r="D544" s="193" t="s">
        <v>1631</v>
      </c>
      <c r="E544" s="193" t="s">
        <v>1632</v>
      </c>
      <c r="F544" s="193" t="s">
        <v>1295</v>
      </c>
      <c r="G544" s="193" t="s">
        <v>1295</v>
      </c>
      <c r="H544" s="193" t="s">
        <v>2101</v>
      </c>
      <c r="I544" s="193" t="s">
        <v>384</v>
      </c>
      <c r="J544" s="193" t="s">
        <v>2102</v>
      </c>
      <c r="K544" s="193" t="s">
        <v>386</v>
      </c>
      <c r="L544" s="193" t="s">
        <v>387</v>
      </c>
      <c r="M544" s="193" t="s">
        <v>378</v>
      </c>
      <c r="N544" s="193" t="s">
        <v>1497</v>
      </c>
      <c r="O544" s="193" t="s">
        <v>129</v>
      </c>
      <c r="P544" s="193" t="s">
        <v>138</v>
      </c>
      <c r="Q544" s="193" t="s">
        <v>137</v>
      </c>
      <c r="R544" s="193" t="s">
        <v>136</v>
      </c>
      <c r="S544" s="193" t="s">
        <v>214</v>
      </c>
      <c r="T544" s="193" t="s">
        <v>389</v>
      </c>
      <c r="U544" s="193" t="s">
        <v>390</v>
      </c>
      <c r="V544" s="193">
        <v>0</v>
      </c>
      <c r="W544" s="193">
        <v>0</v>
      </c>
      <c r="X544" s="193">
        <v>0</v>
      </c>
      <c r="Y544" s="194">
        <v>3433</v>
      </c>
      <c r="Z544" s="193" t="s">
        <v>1498</v>
      </c>
      <c r="AA544" s="193" t="s">
        <v>1499</v>
      </c>
      <c r="AB544" s="193">
        <v>3433</v>
      </c>
      <c r="AC544" s="193" t="s">
        <v>1500</v>
      </c>
      <c r="AD544" s="193" t="s">
        <v>136</v>
      </c>
      <c r="AE544" s="193">
        <v>3433</v>
      </c>
      <c r="AF544" s="193" t="s">
        <v>394</v>
      </c>
      <c r="AG544" s="193" t="s">
        <v>395</v>
      </c>
      <c r="AH544" s="193">
        <v>312</v>
      </c>
      <c r="AI544" s="193">
        <v>3121</v>
      </c>
      <c r="AJ544" s="193" t="s">
        <v>2103</v>
      </c>
      <c r="AL544" s="197" t="s">
        <v>2104</v>
      </c>
      <c r="AM544" s="193">
        <v>1</v>
      </c>
      <c r="AN544" s="193">
        <v>0</v>
      </c>
      <c r="AO544" s="193">
        <v>0</v>
      </c>
      <c r="AP544" s="193">
        <v>0</v>
      </c>
      <c r="AQ544" s="193" t="s">
        <v>214</v>
      </c>
      <c r="AS544" s="197" t="s">
        <v>394</v>
      </c>
      <c r="AT544" s="197" t="s">
        <v>395</v>
      </c>
      <c r="AV544" s="196">
        <v>618</v>
      </c>
      <c r="AW544" s="196">
        <v>0</v>
      </c>
      <c r="AX544" s="196">
        <v>0</v>
      </c>
      <c r="AY544" s="550">
        <v>618</v>
      </c>
      <c r="AZ544" s="196">
        <v>0</v>
      </c>
      <c r="BA544" s="196">
        <v>2815</v>
      </c>
      <c r="BB544" s="551">
        <v>2815</v>
      </c>
      <c r="BC544" s="551">
        <v>3433</v>
      </c>
      <c r="BD544" s="551">
        <v>0</v>
      </c>
      <c r="BF544" s="550">
        <f t="shared" si="112"/>
        <v>562</v>
      </c>
      <c r="BG544" s="550">
        <f t="shared" si="113"/>
        <v>0</v>
      </c>
      <c r="BH544" s="550">
        <f t="shared" si="114"/>
        <v>0</v>
      </c>
      <c r="BI544" s="550">
        <f t="shared" si="115"/>
        <v>562</v>
      </c>
      <c r="BJ544" s="550">
        <f t="shared" si="116"/>
        <v>0</v>
      </c>
      <c r="BK544" s="550">
        <f t="shared" si="117"/>
        <v>2559</v>
      </c>
      <c r="BL544" s="550">
        <f t="shared" si="118"/>
        <v>2559</v>
      </c>
      <c r="BM544" s="550">
        <f t="shared" si="119"/>
        <v>3121</v>
      </c>
      <c r="BO544" s="194"/>
      <c r="BQ544" s="193">
        <f t="shared" si="120"/>
        <v>-0.18181818181813014</v>
      </c>
      <c r="BR544" s="193">
        <f t="shared" si="121"/>
        <v>9.0909090909008228E-2</v>
      </c>
    </row>
    <row r="545" spans="1:70" ht="13.5" customHeight="1">
      <c r="A545" s="193" t="s">
        <v>378</v>
      </c>
      <c r="B545" s="193" t="s">
        <v>379</v>
      </c>
      <c r="C545" s="193" t="s">
        <v>214</v>
      </c>
      <c r="D545" s="193" t="s">
        <v>1631</v>
      </c>
      <c r="E545" s="193" t="s">
        <v>1632</v>
      </c>
      <c r="F545" s="193" t="s">
        <v>1416</v>
      </c>
      <c r="G545" s="193" t="s">
        <v>1416</v>
      </c>
      <c r="H545" s="193" t="s">
        <v>2105</v>
      </c>
      <c r="I545" s="193" t="s">
        <v>384</v>
      </c>
      <c r="J545" s="193" t="s">
        <v>2106</v>
      </c>
      <c r="K545" s="193" t="s">
        <v>386</v>
      </c>
      <c r="L545" s="193" t="s">
        <v>387</v>
      </c>
      <c r="M545" s="193" t="s">
        <v>378</v>
      </c>
      <c r="N545" s="193" t="s">
        <v>1497</v>
      </c>
      <c r="O545" s="193" t="s">
        <v>129</v>
      </c>
      <c r="P545" s="193" t="s">
        <v>138</v>
      </c>
      <c r="Q545" s="193" t="s">
        <v>137</v>
      </c>
      <c r="R545" s="193" t="s">
        <v>136</v>
      </c>
      <c r="S545" s="193" t="s">
        <v>214</v>
      </c>
      <c r="T545" s="193" t="s">
        <v>389</v>
      </c>
      <c r="U545" s="193" t="s">
        <v>390</v>
      </c>
      <c r="V545" s="193">
        <v>0</v>
      </c>
      <c r="W545" s="193">
        <v>0</v>
      </c>
      <c r="X545" s="193">
        <v>0</v>
      </c>
      <c r="Y545" s="194">
        <v>3587</v>
      </c>
      <c r="Z545" s="193" t="s">
        <v>1498</v>
      </c>
      <c r="AA545" s="193" t="s">
        <v>1499</v>
      </c>
      <c r="AB545" s="193">
        <v>3587</v>
      </c>
      <c r="AC545" s="193" t="s">
        <v>1500</v>
      </c>
      <c r="AD545" s="193" t="s">
        <v>136</v>
      </c>
      <c r="AE545" s="193">
        <v>3587</v>
      </c>
      <c r="AF545" s="193" t="s">
        <v>394</v>
      </c>
      <c r="AG545" s="193" t="s">
        <v>395</v>
      </c>
      <c r="AH545" s="193">
        <v>326</v>
      </c>
      <c r="AI545" s="193">
        <v>3261</v>
      </c>
      <c r="AJ545" s="193" t="s">
        <v>2103</v>
      </c>
      <c r="AL545" s="197" t="s">
        <v>2107</v>
      </c>
      <c r="AM545" s="193">
        <v>1</v>
      </c>
      <c r="AN545" s="193">
        <v>0</v>
      </c>
      <c r="AO545" s="193">
        <v>0</v>
      </c>
      <c r="AP545" s="193">
        <v>0</v>
      </c>
      <c r="AQ545" s="193" t="s">
        <v>214</v>
      </c>
      <c r="AS545" s="197" t="s">
        <v>394</v>
      </c>
      <c r="AT545" s="197" t="s">
        <v>395</v>
      </c>
      <c r="AV545" s="194">
        <v>646</v>
      </c>
      <c r="AW545" s="194">
        <v>0</v>
      </c>
      <c r="AX545" s="194">
        <v>0</v>
      </c>
      <c r="AY545" s="549">
        <v>646</v>
      </c>
      <c r="AZ545" s="194">
        <v>0</v>
      </c>
      <c r="BA545" s="194">
        <v>2941</v>
      </c>
      <c r="BB545" s="551">
        <v>2941</v>
      </c>
      <c r="BC545" s="551">
        <v>3587</v>
      </c>
      <c r="BD545" s="551">
        <v>0</v>
      </c>
      <c r="BF545" s="550">
        <f t="shared" si="112"/>
        <v>587</v>
      </c>
      <c r="BG545" s="550">
        <f t="shared" si="113"/>
        <v>0</v>
      </c>
      <c r="BH545" s="550">
        <f t="shared" si="114"/>
        <v>0</v>
      </c>
      <c r="BI545" s="550">
        <f t="shared" si="115"/>
        <v>587</v>
      </c>
      <c r="BJ545" s="550">
        <f t="shared" si="116"/>
        <v>0</v>
      </c>
      <c r="BK545" s="550">
        <f t="shared" si="117"/>
        <v>2674</v>
      </c>
      <c r="BL545" s="550">
        <f t="shared" si="118"/>
        <v>2674</v>
      </c>
      <c r="BM545" s="550">
        <f t="shared" si="119"/>
        <v>3261</v>
      </c>
      <c r="BO545" s="194"/>
      <c r="BQ545" s="193">
        <f t="shared" si="120"/>
        <v>0.27272727272725206</v>
      </c>
      <c r="BR545" s="193">
        <f t="shared" si="121"/>
        <v>-0.36363636363648766</v>
      </c>
    </row>
    <row r="546" spans="1:70" ht="13.5" customHeight="1">
      <c r="A546" s="193" t="s">
        <v>378</v>
      </c>
      <c r="B546" s="193" t="s">
        <v>379</v>
      </c>
      <c r="C546" s="193" t="s">
        <v>214</v>
      </c>
      <c r="D546" s="193" t="s">
        <v>1631</v>
      </c>
      <c r="E546" s="193" t="s">
        <v>1632</v>
      </c>
      <c r="F546" s="193" t="s">
        <v>439</v>
      </c>
      <c r="G546" s="193" t="s">
        <v>439</v>
      </c>
      <c r="H546" s="193" t="s">
        <v>2108</v>
      </c>
      <c r="I546" s="193" t="s">
        <v>384</v>
      </c>
      <c r="J546" s="193" t="s">
        <v>2109</v>
      </c>
      <c r="K546" s="193" t="s">
        <v>386</v>
      </c>
      <c r="L546" s="193" t="s">
        <v>387</v>
      </c>
      <c r="M546" s="193" t="s">
        <v>378</v>
      </c>
      <c r="N546" s="193" t="s">
        <v>1497</v>
      </c>
      <c r="O546" s="193" t="s">
        <v>129</v>
      </c>
      <c r="P546" s="193" t="s">
        <v>138</v>
      </c>
      <c r="Q546" s="193" t="s">
        <v>137</v>
      </c>
      <c r="R546" s="193" t="s">
        <v>136</v>
      </c>
      <c r="S546" s="193" t="s">
        <v>214</v>
      </c>
      <c r="T546" s="193" t="s">
        <v>389</v>
      </c>
      <c r="U546" s="193" t="s">
        <v>390</v>
      </c>
      <c r="V546" s="193">
        <v>0</v>
      </c>
      <c r="W546" s="193">
        <v>0</v>
      </c>
      <c r="X546" s="193">
        <v>0</v>
      </c>
      <c r="Y546" s="194">
        <v>3046</v>
      </c>
      <c r="Z546" s="193" t="s">
        <v>1498</v>
      </c>
      <c r="AA546" s="193" t="s">
        <v>1499</v>
      </c>
      <c r="AB546" s="193">
        <v>3046</v>
      </c>
      <c r="AC546" s="193" t="s">
        <v>1500</v>
      </c>
      <c r="AD546" s="193" t="s">
        <v>136</v>
      </c>
      <c r="AE546" s="193">
        <v>3046</v>
      </c>
      <c r="AF546" s="193" t="s">
        <v>394</v>
      </c>
      <c r="AG546" s="193" t="s">
        <v>395</v>
      </c>
      <c r="AH546" s="193">
        <v>276</v>
      </c>
      <c r="AI546" s="193">
        <v>2770</v>
      </c>
      <c r="AJ546" s="193" t="s">
        <v>2110</v>
      </c>
      <c r="AL546" s="197" t="s">
        <v>2111</v>
      </c>
      <c r="AM546" s="193">
        <v>1</v>
      </c>
      <c r="AN546" s="193">
        <v>0</v>
      </c>
      <c r="AO546" s="193">
        <v>0</v>
      </c>
      <c r="AP546" s="193">
        <v>0</v>
      </c>
      <c r="AQ546" s="193" t="s">
        <v>214</v>
      </c>
      <c r="AS546" s="197" t="s">
        <v>394</v>
      </c>
      <c r="AT546" s="197" t="s">
        <v>395</v>
      </c>
      <c r="AV546" s="194">
        <v>548</v>
      </c>
      <c r="AW546" s="194">
        <v>0</v>
      </c>
      <c r="AX546" s="194">
        <v>0</v>
      </c>
      <c r="AY546" s="549">
        <v>548</v>
      </c>
      <c r="AZ546" s="194">
        <v>0</v>
      </c>
      <c r="BA546" s="194">
        <v>2498</v>
      </c>
      <c r="BB546" s="551">
        <v>2498</v>
      </c>
      <c r="BC546" s="551">
        <v>3046</v>
      </c>
      <c r="BD546" s="551">
        <v>0</v>
      </c>
      <c r="BF546" s="550">
        <f t="shared" si="112"/>
        <v>498</v>
      </c>
      <c r="BG546" s="550">
        <f t="shared" si="113"/>
        <v>0</v>
      </c>
      <c r="BH546" s="550">
        <f t="shared" si="114"/>
        <v>0</v>
      </c>
      <c r="BI546" s="550">
        <f t="shared" si="115"/>
        <v>498</v>
      </c>
      <c r="BJ546" s="550">
        <f t="shared" si="116"/>
        <v>0</v>
      </c>
      <c r="BK546" s="550">
        <f t="shared" si="117"/>
        <v>2271</v>
      </c>
      <c r="BL546" s="550">
        <f t="shared" si="118"/>
        <v>2271</v>
      </c>
      <c r="BM546" s="550">
        <f t="shared" si="119"/>
        <v>2769</v>
      </c>
      <c r="BO546" s="194"/>
      <c r="BQ546" s="193">
        <f t="shared" si="120"/>
        <v>0.18181818181818699</v>
      </c>
      <c r="BR546" s="193">
        <f t="shared" si="121"/>
        <v>-9.0909090909008228E-2</v>
      </c>
    </row>
    <row r="547" spans="1:70" ht="13.5" customHeight="1">
      <c r="A547" s="193" t="s">
        <v>378</v>
      </c>
      <c r="B547" s="193" t="s">
        <v>379</v>
      </c>
      <c r="C547" s="193" t="s">
        <v>214</v>
      </c>
      <c r="D547" s="193" t="s">
        <v>1631</v>
      </c>
      <c r="E547" s="193" t="s">
        <v>1632</v>
      </c>
      <c r="F547" s="193" t="s">
        <v>411</v>
      </c>
      <c r="G547" s="193" t="s">
        <v>411</v>
      </c>
      <c r="H547" s="193" t="s">
        <v>2112</v>
      </c>
      <c r="I547" s="193" t="s">
        <v>384</v>
      </c>
      <c r="J547" s="193" t="s">
        <v>2113</v>
      </c>
      <c r="K547" s="193" t="s">
        <v>386</v>
      </c>
      <c r="L547" s="193" t="s">
        <v>387</v>
      </c>
      <c r="M547" s="193" t="s">
        <v>378</v>
      </c>
      <c r="N547" s="193" t="s">
        <v>1497</v>
      </c>
      <c r="O547" s="193" t="s">
        <v>129</v>
      </c>
      <c r="P547" s="193" t="s">
        <v>138</v>
      </c>
      <c r="Q547" s="193" t="s">
        <v>137</v>
      </c>
      <c r="R547" s="193" t="s">
        <v>136</v>
      </c>
      <c r="S547" s="193" t="s">
        <v>214</v>
      </c>
      <c r="T547" s="193" t="s">
        <v>389</v>
      </c>
      <c r="U547" s="193" t="s">
        <v>390</v>
      </c>
      <c r="V547" s="193">
        <v>0</v>
      </c>
      <c r="W547" s="193">
        <v>0</v>
      </c>
      <c r="X547" s="193">
        <v>0</v>
      </c>
      <c r="Y547" s="194">
        <v>3132</v>
      </c>
      <c r="Z547" s="193" t="s">
        <v>1498</v>
      </c>
      <c r="AA547" s="193" t="s">
        <v>1499</v>
      </c>
      <c r="AB547" s="193">
        <v>3132</v>
      </c>
      <c r="AC547" s="193" t="s">
        <v>1500</v>
      </c>
      <c r="AD547" s="193" t="s">
        <v>136</v>
      </c>
      <c r="AE547" s="193">
        <v>3132</v>
      </c>
      <c r="AF547" s="193" t="s">
        <v>394</v>
      </c>
      <c r="AG547" s="193" t="s">
        <v>395</v>
      </c>
      <c r="AH547" s="193">
        <v>284</v>
      </c>
      <c r="AI547" s="193">
        <v>2848</v>
      </c>
      <c r="AJ547" s="193" t="s">
        <v>2103</v>
      </c>
      <c r="AL547" s="197" t="s">
        <v>2114</v>
      </c>
      <c r="AM547" s="193">
        <v>1</v>
      </c>
      <c r="AN547" s="193">
        <v>0</v>
      </c>
      <c r="AO547" s="193">
        <v>0</v>
      </c>
      <c r="AP547" s="193">
        <v>0</v>
      </c>
      <c r="AQ547" s="193" t="s">
        <v>214</v>
      </c>
      <c r="AS547" s="197" t="s">
        <v>394</v>
      </c>
      <c r="AT547" s="197" t="s">
        <v>395</v>
      </c>
      <c r="AV547" s="194">
        <v>564</v>
      </c>
      <c r="AW547" s="194">
        <v>0</v>
      </c>
      <c r="AX547" s="194">
        <v>0</v>
      </c>
      <c r="AY547" s="549">
        <v>564</v>
      </c>
      <c r="AZ547" s="194">
        <v>0</v>
      </c>
      <c r="BA547" s="194">
        <v>2568</v>
      </c>
      <c r="BB547" s="551">
        <v>2568</v>
      </c>
      <c r="BC547" s="551">
        <v>3132</v>
      </c>
      <c r="BD547" s="551">
        <v>0</v>
      </c>
      <c r="BF547" s="550">
        <f t="shared" si="112"/>
        <v>513</v>
      </c>
      <c r="BG547" s="550">
        <f t="shared" si="113"/>
        <v>0</v>
      </c>
      <c r="BH547" s="550">
        <f t="shared" si="114"/>
        <v>0</v>
      </c>
      <c r="BI547" s="550">
        <f t="shared" si="115"/>
        <v>513</v>
      </c>
      <c r="BJ547" s="550">
        <f t="shared" si="116"/>
        <v>0</v>
      </c>
      <c r="BK547" s="550">
        <f t="shared" si="117"/>
        <v>2335</v>
      </c>
      <c r="BL547" s="550">
        <f t="shared" si="118"/>
        <v>2335</v>
      </c>
      <c r="BM547" s="550">
        <f t="shared" si="119"/>
        <v>2848</v>
      </c>
      <c r="BO547" s="194"/>
      <c r="BQ547" s="193">
        <f t="shared" si="120"/>
        <v>-0.27272727272725206</v>
      </c>
      <c r="BR547" s="193">
        <f t="shared" si="121"/>
        <v>-0.45454545454549589</v>
      </c>
    </row>
    <row r="548" spans="1:70" ht="13.5" customHeight="1">
      <c r="A548" s="193" t="s">
        <v>378</v>
      </c>
      <c r="B548" s="193" t="s">
        <v>379</v>
      </c>
      <c r="C548" s="193" t="s">
        <v>214</v>
      </c>
      <c r="D548" s="193" t="s">
        <v>1631</v>
      </c>
      <c r="E548" s="193" t="s">
        <v>1632</v>
      </c>
      <c r="F548" s="193" t="s">
        <v>956</v>
      </c>
      <c r="G548" s="193" t="s">
        <v>956</v>
      </c>
      <c r="H548" s="193" t="s">
        <v>2115</v>
      </c>
      <c r="I548" s="193" t="s">
        <v>384</v>
      </c>
      <c r="J548" s="193" t="s">
        <v>2116</v>
      </c>
      <c r="K548" s="193" t="s">
        <v>386</v>
      </c>
      <c r="L548" s="193" t="s">
        <v>387</v>
      </c>
      <c r="M548" s="193" t="s">
        <v>378</v>
      </c>
      <c r="N548" s="193" t="s">
        <v>1497</v>
      </c>
      <c r="O548" s="193" t="s">
        <v>129</v>
      </c>
      <c r="P548" s="193" t="s">
        <v>138</v>
      </c>
      <c r="Q548" s="193" t="s">
        <v>137</v>
      </c>
      <c r="R548" s="193" t="s">
        <v>136</v>
      </c>
      <c r="S548" s="193" t="s">
        <v>214</v>
      </c>
      <c r="T548" s="193" t="s">
        <v>389</v>
      </c>
      <c r="U548" s="193" t="s">
        <v>390</v>
      </c>
      <c r="V548" s="193">
        <v>0</v>
      </c>
      <c r="W548" s="193">
        <v>0</v>
      </c>
      <c r="X548" s="193">
        <v>0</v>
      </c>
      <c r="Y548" s="194">
        <v>3451</v>
      </c>
      <c r="Z548" s="193" t="s">
        <v>1498</v>
      </c>
      <c r="AA548" s="193" t="s">
        <v>1499</v>
      </c>
      <c r="AB548" s="193">
        <v>3451</v>
      </c>
      <c r="AC548" s="193" t="s">
        <v>1500</v>
      </c>
      <c r="AD548" s="193" t="s">
        <v>136</v>
      </c>
      <c r="AE548" s="193">
        <v>3451</v>
      </c>
      <c r="AF548" s="193" t="s">
        <v>394</v>
      </c>
      <c r="AG548" s="193" t="s">
        <v>395</v>
      </c>
      <c r="AH548" s="193">
        <v>313</v>
      </c>
      <c r="AI548" s="193">
        <v>3138</v>
      </c>
      <c r="AJ548" s="193" t="s">
        <v>2103</v>
      </c>
      <c r="AL548" s="197" t="s">
        <v>2117</v>
      </c>
      <c r="AM548" s="193">
        <v>1</v>
      </c>
      <c r="AN548" s="193">
        <v>0</v>
      </c>
      <c r="AO548" s="193">
        <v>0</v>
      </c>
      <c r="AP548" s="193">
        <v>0</v>
      </c>
      <c r="AQ548" s="193" t="s">
        <v>214</v>
      </c>
      <c r="AS548" s="197" t="s">
        <v>394</v>
      </c>
      <c r="AT548" s="197" t="s">
        <v>395</v>
      </c>
      <c r="AV548" s="194">
        <v>621</v>
      </c>
      <c r="AW548" s="194">
        <v>0</v>
      </c>
      <c r="AX548" s="194">
        <v>0</v>
      </c>
      <c r="AY548" s="549">
        <v>621</v>
      </c>
      <c r="AZ548" s="194">
        <v>0</v>
      </c>
      <c r="BA548" s="194">
        <v>2830</v>
      </c>
      <c r="BB548" s="551">
        <v>2830</v>
      </c>
      <c r="BC548" s="551">
        <v>3451</v>
      </c>
      <c r="BD548" s="551">
        <v>0</v>
      </c>
      <c r="BF548" s="550">
        <f t="shared" si="112"/>
        <v>565</v>
      </c>
      <c r="BG548" s="550">
        <f t="shared" si="113"/>
        <v>0</v>
      </c>
      <c r="BH548" s="550">
        <f t="shared" si="114"/>
        <v>0</v>
      </c>
      <c r="BI548" s="550">
        <f t="shared" si="115"/>
        <v>565</v>
      </c>
      <c r="BJ548" s="550">
        <f t="shared" si="116"/>
        <v>0</v>
      </c>
      <c r="BK548" s="550">
        <f t="shared" si="117"/>
        <v>2573</v>
      </c>
      <c r="BL548" s="550">
        <f t="shared" si="118"/>
        <v>2573</v>
      </c>
      <c r="BM548" s="550">
        <f t="shared" si="119"/>
        <v>3138</v>
      </c>
      <c r="BO548" s="194"/>
      <c r="BQ548" s="193">
        <f t="shared" si="120"/>
        <v>-0.45454545454549589</v>
      </c>
      <c r="BR548" s="193">
        <f t="shared" si="121"/>
        <v>-0.27272727272747943</v>
      </c>
    </row>
    <row r="549" spans="1:70" ht="13.5" customHeight="1">
      <c r="A549" s="193" t="s">
        <v>378</v>
      </c>
      <c r="B549" s="193" t="s">
        <v>379</v>
      </c>
      <c r="C549" s="193" t="s">
        <v>214</v>
      </c>
      <c r="D549" s="193" t="s">
        <v>1631</v>
      </c>
      <c r="E549" s="193" t="s">
        <v>1632</v>
      </c>
      <c r="F549" s="193" t="s">
        <v>1254</v>
      </c>
      <c r="G549" s="193" t="s">
        <v>1254</v>
      </c>
      <c r="H549" s="193" t="s">
        <v>2118</v>
      </c>
      <c r="I549" s="193" t="s">
        <v>384</v>
      </c>
      <c r="J549" s="193" t="s">
        <v>2119</v>
      </c>
      <c r="K549" s="193" t="s">
        <v>386</v>
      </c>
      <c r="L549" s="193" t="s">
        <v>387</v>
      </c>
      <c r="M549" s="193" t="s">
        <v>378</v>
      </c>
      <c r="N549" s="193" t="s">
        <v>1497</v>
      </c>
      <c r="O549" s="193" t="s">
        <v>129</v>
      </c>
      <c r="P549" s="193" t="s">
        <v>138</v>
      </c>
      <c r="Q549" s="193" t="s">
        <v>137</v>
      </c>
      <c r="R549" s="193" t="s">
        <v>136</v>
      </c>
      <c r="S549" s="193" t="s">
        <v>214</v>
      </c>
      <c r="T549" s="193" t="s">
        <v>389</v>
      </c>
      <c r="U549" s="193" t="s">
        <v>390</v>
      </c>
      <c r="V549" s="193">
        <v>0</v>
      </c>
      <c r="W549" s="193">
        <v>0</v>
      </c>
      <c r="X549" s="193">
        <v>0</v>
      </c>
      <c r="Y549" s="194">
        <v>3531</v>
      </c>
      <c r="Z549" s="193" t="s">
        <v>1498</v>
      </c>
      <c r="AA549" s="193" t="s">
        <v>1499</v>
      </c>
      <c r="AB549" s="193">
        <v>3531</v>
      </c>
      <c r="AC549" s="193" t="s">
        <v>1500</v>
      </c>
      <c r="AD549" s="193" t="s">
        <v>136</v>
      </c>
      <c r="AE549" s="193">
        <v>3531</v>
      </c>
      <c r="AF549" s="193" t="s">
        <v>394</v>
      </c>
      <c r="AG549" s="193" t="s">
        <v>395</v>
      </c>
      <c r="AH549" s="193">
        <v>321</v>
      </c>
      <c r="AI549" s="193">
        <v>3210</v>
      </c>
      <c r="AJ549" s="193" t="s">
        <v>2103</v>
      </c>
      <c r="AL549" s="197" t="s">
        <v>2120</v>
      </c>
      <c r="AM549" s="193">
        <v>1</v>
      </c>
      <c r="AN549" s="193">
        <v>0</v>
      </c>
      <c r="AO549" s="193">
        <v>0</v>
      </c>
      <c r="AP549" s="193">
        <v>0</v>
      </c>
      <c r="AQ549" s="193" t="s">
        <v>214</v>
      </c>
      <c r="AS549" s="197" t="s">
        <v>394</v>
      </c>
      <c r="AT549" s="197" t="s">
        <v>395</v>
      </c>
      <c r="AV549" s="194">
        <v>636</v>
      </c>
      <c r="AW549" s="194">
        <v>0</v>
      </c>
      <c r="AX549" s="194">
        <v>0</v>
      </c>
      <c r="AY549" s="549">
        <v>636</v>
      </c>
      <c r="AZ549" s="194">
        <v>0</v>
      </c>
      <c r="BA549" s="194">
        <v>2895</v>
      </c>
      <c r="BB549" s="551">
        <v>2895</v>
      </c>
      <c r="BC549" s="551">
        <v>3531</v>
      </c>
      <c r="BD549" s="551">
        <v>0</v>
      </c>
      <c r="BF549" s="550">
        <f t="shared" si="112"/>
        <v>578</v>
      </c>
      <c r="BG549" s="550">
        <f t="shared" si="113"/>
        <v>0</v>
      </c>
      <c r="BH549" s="550">
        <f t="shared" si="114"/>
        <v>0</v>
      </c>
      <c r="BI549" s="550">
        <f t="shared" si="115"/>
        <v>578</v>
      </c>
      <c r="BJ549" s="550">
        <f t="shared" si="116"/>
        <v>0</v>
      </c>
      <c r="BK549" s="550">
        <f t="shared" si="117"/>
        <v>2632</v>
      </c>
      <c r="BL549" s="550">
        <f t="shared" si="118"/>
        <v>2632</v>
      </c>
      <c r="BM549" s="550">
        <f t="shared" si="119"/>
        <v>3210</v>
      </c>
      <c r="BO549" s="194"/>
      <c r="BQ549" s="193">
        <f t="shared" si="120"/>
        <v>0.18181818181813014</v>
      </c>
      <c r="BR549" s="193">
        <f t="shared" si="121"/>
        <v>-0.18181818181801646</v>
      </c>
    </row>
    <row r="550" spans="1:70" ht="13.5" customHeight="1">
      <c r="A550" s="193" t="s">
        <v>378</v>
      </c>
      <c r="B550" s="193" t="s">
        <v>379</v>
      </c>
      <c r="C550" s="193" t="s">
        <v>214</v>
      </c>
      <c r="D550" s="193" t="s">
        <v>1631</v>
      </c>
      <c r="E550" s="193" t="s">
        <v>1632</v>
      </c>
      <c r="F550" s="193" t="s">
        <v>1295</v>
      </c>
      <c r="G550" s="193" t="s">
        <v>1295</v>
      </c>
      <c r="H550" s="193" t="s">
        <v>2121</v>
      </c>
      <c r="I550" s="193" t="s">
        <v>384</v>
      </c>
      <c r="J550" s="193" t="s">
        <v>2122</v>
      </c>
      <c r="K550" s="193" t="s">
        <v>386</v>
      </c>
      <c r="L550" s="193" t="s">
        <v>387</v>
      </c>
      <c r="M550" s="193" t="s">
        <v>378</v>
      </c>
      <c r="N550" s="193" t="s">
        <v>1497</v>
      </c>
      <c r="O550" s="193" t="s">
        <v>129</v>
      </c>
      <c r="P550" s="193" t="s">
        <v>138</v>
      </c>
      <c r="Q550" s="193" t="s">
        <v>137</v>
      </c>
      <c r="R550" s="193" t="s">
        <v>136</v>
      </c>
      <c r="S550" s="193" t="s">
        <v>214</v>
      </c>
      <c r="T550" s="193" t="s">
        <v>389</v>
      </c>
      <c r="U550" s="193" t="s">
        <v>390</v>
      </c>
      <c r="V550" s="193">
        <v>0</v>
      </c>
      <c r="W550" s="193">
        <v>0</v>
      </c>
      <c r="X550" s="193">
        <v>0</v>
      </c>
      <c r="Y550" s="194">
        <v>3869</v>
      </c>
      <c r="Z550" s="193" t="s">
        <v>1498</v>
      </c>
      <c r="AA550" s="193" t="s">
        <v>1499</v>
      </c>
      <c r="AB550" s="193">
        <v>3869</v>
      </c>
      <c r="AC550" s="193" t="s">
        <v>1500</v>
      </c>
      <c r="AD550" s="193" t="s">
        <v>136</v>
      </c>
      <c r="AE550" s="193">
        <v>3869</v>
      </c>
      <c r="AF550" s="193" t="s">
        <v>394</v>
      </c>
      <c r="AG550" s="193" t="s">
        <v>395</v>
      </c>
      <c r="AH550" s="193">
        <v>351</v>
      </c>
      <c r="AI550" s="193">
        <v>3518</v>
      </c>
      <c r="AJ550" s="193" t="s">
        <v>2103</v>
      </c>
      <c r="AL550" s="197" t="s">
        <v>2123</v>
      </c>
      <c r="AM550" s="193">
        <v>1</v>
      </c>
      <c r="AN550" s="193">
        <v>0</v>
      </c>
      <c r="AO550" s="193">
        <v>0</v>
      </c>
      <c r="AP550" s="193">
        <v>0</v>
      </c>
      <c r="AQ550" s="193" t="s">
        <v>214</v>
      </c>
      <c r="AS550" s="197" t="s">
        <v>394</v>
      </c>
      <c r="AT550" s="197" t="s">
        <v>395</v>
      </c>
      <c r="AV550" s="194">
        <v>696</v>
      </c>
      <c r="AW550" s="194">
        <v>0</v>
      </c>
      <c r="AX550" s="194">
        <v>0</v>
      </c>
      <c r="AY550" s="549">
        <v>696</v>
      </c>
      <c r="AZ550" s="194">
        <v>0</v>
      </c>
      <c r="BA550" s="194">
        <v>3173</v>
      </c>
      <c r="BB550" s="551">
        <v>3173</v>
      </c>
      <c r="BC550" s="551">
        <v>3869</v>
      </c>
      <c r="BD550" s="551">
        <v>0</v>
      </c>
      <c r="BF550" s="550">
        <f t="shared" si="112"/>
        <v>633</v>
      </c>
      <c r="BG550" s="550">
        <f t="shared" si="113"/>
        <v>0</v>
      </c>
      <c r="BH550" s="550">
        <f t="shared" si="114"/>
        <v>0</v>
      </c>
      <c r="BI550" s="550">
        <f t="shared" si="115"/>
        <v>633</v>
      </c>
      <c r="BJ550" s="550">
        <f t="shared" si="116"/>
        <v>0</v>
      </c>
      <c r="BK550" s="550">
        <f t="shared" si="117"/>
        <v>2885</v>
      </c>
      <c r="BL550" s="550">
        <f t="shared" si="118"/>
        <v>2885</v>
      </c>
      <c r="BM550" s="550">
        <f t="shared" si="119"/>
        <v>3518</v>
      </c>
      <c r="BO550" s="194"/>
      <c r="BQ550" s="193">
        <f t="shared" si="120"/>
        <v>-0.27272727272725206</v>
      </c>
      <c r="BR550" s="193">
        <f t="shared" si="121"/>
        <v>-0.45454545454549589</v>
      </c>
    </row>
    <row r="551" spans="1:70" ht="13.5" customHeight="1">
      <c r="A551" s="193" t="s">
        <v>378</v>
      </c>
      <c r="B551" s="193" t="s">
        <v>379</v>
      </c>
      <c r="C551" s="193" t="s">
        <v>214</v>
      </c>
      <c r="D551" s="193" t="s">
        <v>1631</v>
      </c>
      <c r="E551" s="193" t="s">
        <v>1632</v>
      </c>
      <c r="F551" s="193" t="s">
        <v>1416</v>
      </c>
      <c r="G551" s="193" t="s">
        <v>1416</v>
      </c>
      <c r="H551" s="193" t="s">
        <v>2124</v>
      </c>
      <c r="I551" s="193" t="s">
        <v>384</v>
      </c>
      <c r="J551" s="193" t="s">
        <v>2125</v>
      </c>
      <c r="K551" s="193" t="s">
        <v>386</v>
      </c>
      <c r="L551" s="193" t="s">
        <v>387</v>
      </c>
      <c r="M551" s="193" t="s">
        <v>378</v>
      </c>
      <c r="N551" s="193" t="s">
        <v>1497</v>
      </c>
      <c r="O551" s="193" t="s">
        <v>129</v>
      </c>
      <c r="P551" s="193" t="s">
        <v>138</v>
      </c>
      <c r="Q551" s="193" t="s">
        <v>137</v>
      </c>
      <c r="R551" s="193" t="s">
        <v>136</v>
      </c>
      <c r="S551" s="193" t="s">
        <v>214</v>
      </c>
      <c r="T551" s="193" t="s">
        <v>389</v>
      </c>
      <c r="U551" s="193" t="s">
        <v>390</v>
      </c>
      <c r="V551" s="193">
        <v>0</v>
      </c>
      <c r="W551" s="193">
        <v>0</v>
      </c>
      <c r="X551" s="193">
        <v>0</v>
      </c>
      <c r="Y551" s="194">
        <v>4180</v>
      </c>
      <c r="Z551" s="193" t="s">
        <v>1498</v>
      </c>
      <c r="AA551" s="193" t="s">
        <v>1499</v>
      </c>
      <c r="AB551" s="193">
        <v>4180</v>
      </c>
      <c r="AC551" s="193" t="s">
        <v>1500</v>
      </c>
      <c r="AD551" s="193" t="s">
        <v>136</v>
      </c>
      <c r="AE551" s="193">
        <v>4180</v>
      </c>
      <c r="AF551" s="193" t="s">
        <v>394</v>
      </c>
      <c r="AG551" s="193" t="s">
        <v>395</v>
      </c>
      <c r="AH551" s="193">
        <v>380</v>
      </c>
      <c r="AI551" s="193">
        <v>3800</v>
      </c>
      <c r="AJ551" s="193" t="s">
        <v>2103</v>
      </c>
      <c r="AL551" s="197" t="s">
        <v>2126</v>
      </c>
      <c r="AM551" s="193">
        <v>1</v>
      </c>
      <c r="AN551" s="193">
        <v>0</v>
      </c>
      <c r="AO551" s="193">
        <v>0</v>
      </c>
      <c r="AP551" s="193">
        <v>0</v>
      </c>
      <c r="AQ551" s="193" t="s">
        <v>214</v>
      </c>
      <c r="AS551" s="197" t="s">
        <v>394</v>
      </c>
      <c r="AT551" s="197" t="s">
        <v>395</v>
      </c>
      <c r="AV551" s="194">
        <v>752</v>
      </c>
      <c r="AW551" s="194">
        <v>0</v>
      </c>
      <c r="AX551" s="194">
        <v>0</v>
      </c>
      <c r="AY551" s="549">
        <v>752</v>
      </c>
      <c r="AZ551" s="194">
        <v>0</v>
      </c>
      <c r="BA551" s="194">
        <v>3428</v>
      </c>
      <c r="BB551" s="551">
        <v>3428</v>
      </c>
      <c r="BC551" s="551">
        <v>4180</v>
      </c>
      <c r="BD551" s="551">
        <v>0</v>
      </c>
      <c r="BF551" s="550">
        <f t="shared" si="112"/>
        <v>684</v>
      </c>
      <c r="BG551" s="550">
        <f t="shared" si="113"/>
        <v>0</v>
      </c>
      <c r="BH551" s="550">
        <f t="shared" si="114"/>
        <v>0</v>
      </c>
      <c r="BI551" s="550">
        <f t="shared" si="115"/>
        <v>684</v>
      </c>
      <c r="BJ551" s="550">
        <f t="shared" si="116"/>
        <v>0</v>
      </c>
      <c r="BK551" s="550">
        <f t="shared" si="117"/>
        <v>3116</v>
      </c>
      <c r="BL551" s="550">
        <f t="shared" si="118"/>
        <v>3116</v>
      </c>
      <c r="BM551" s="550">
        <f t="shared" si="119"/>
        <v>3800</v>
      </c>
      <c r="BO551" s="194"/>
      <c r="BQ551" s="193">
        <f t="shared" si="120"/>
        <v>-0.36363636363637397</v>
      </c>
      <c r="BR551" s="193">
        <f t="shared" si="121"/>
        <v>0.36363636363648766</v>
      </c>
    </row>
    <row r="552" spans="1:70" ht="13.5" customHeight="1">
      <c r="A552" s="193" t="s">
        <v>378</v>
      </c>
      <c r="B552" s="193" t="s">
        <v>379</v>
      </c>
      <c r="C552" s="193" t="s">
        <v>214</v>
      </c>
      <c r="D552" s="193" t="s">
        <v>1631</v>
      </c>
      <c r="E552" s="193" t="s">
        <v>1632</v>
      </c>
      <c r="F552" s="193" t="s">
        <v>439</v>
      </c>
      <c r="G552" s="193" t="s">
        <v>439</v>
      </c>
      <c r="H552" s="193" t="s">
        <v>2127</v>
      </c>
      <c r="I552" s="193" t="s">
        <v>384</v>
      </c>
      <c r="J552" s="193" t="s">
        <v>2128</v>
      </c>
      <c r="K552" s="193" t="s">
        <v>386</v>
      </c>
      <c r="L552" s="193" t="s">
        <v>387</v>
      </c>
      <c r="M552" s="193" t="s">
        <v>378</v>
      </c>
      <c r="N552" s="193" t="s">
        <v>1497</v>
      </c>
      <c r="O552" s="193" t="s">
        <v>129</v>
      </c>
      <c r="P552" s="193" t="s">
        <v>138</v>
      </c>
      <c r="Q552" s="193" t="s">
        <v>137</v>
      </c>
      <c r="R552" s="193" t="s">
        <v>136</v>
      </c>
      <c r="S552" s="193" t="s">
        <v>214</v>
      </c>
      <c r="T552" s="193" t="s">
        <v>389</v>
      </c>
      <c r="U552" s="193" t="s">
        <v>390</v>
      </c>
      <c r="V552" s="193">
        <v>0</v>
      </c>
      <c r="W552" s="193">
        <v>0</v>
      </c>
      <c r="X552" s="193">
        <v>0</v>
      </c>
      <c r="Y552" s="194">
        <v>3882</v>
      </c>
      <c r="Z552" s="193" t="s">
        <v>1498</v>
      </c>
      <c r="AA552" s="193" t="s">
        <v>1499</v>
      </c>
      <c r="AB552" s="193">
        <v>3882</v>
      </c>
      <c r="AC552" s="193" t="s">
        <v>1500</v>
      </c>
      <c r="AD552" s="193" t="s">
        <v>136</v>
      </c>
      <c r="AE552" s="193">
        <v>3882</v>
      </c>
      <c r="AF552" s="193" t="s">
        <v>394</v>
      </c>
      <c r="AG552" s="193" t="s">
        <v>395</v>
      </c>
      <c r="AH552" s="193">
        <v>352</v>
      </c>
      <c r="AI552" s="193">
        <v>3530</v>
      </c>
      <c r="AJ552" s="193" t="s">
        <v>2110</v>
      </c>
      <c r="AL552" s="197" t="s">
        <v>2129</v>
      </c>
      <c r="AM552" s="193">
        <v>1</v>
      </c>
      <c r="AN552" s="193">
        <v>0</v>
      </c>
      <c r="AO552" s="193">
        <v>0</v>
      </c>
      <c r="AP552" s="193">
        <v>0</v>
      </c>
      <c r="AQ552" s="193" t="s">
        <v>214</v>
      </c>
      <c r="AS552" s="197" t="s">
        <v>394</v>
      </c>
      <c r="AT552" s="197" t="s">
        <v>395</v>
      </c>
      <c r="AV552" s="196">
        <v>699</v>
      </c>
      <c r="AW552" s="196">
        <v>0</v>
      </c>
      <c r="AX552" s="196">
        <v>0</v>
      </c>
      <c r="AY552" s="550">
        <v>699</v>
      </c>
      <c r="AZ552" s="196">
        <v>0</v>
      </c>
      <c r="BA552" s="196">
        <v>3183</v>
      </c>
      <c r="BB552" s="552">
        <v>3183</v>
      </c>
      <c r="BC552" s="551">
        <v>3882</v>
      </c>
      <c r="BD552" s="551">
        <v>0</v>
      </c>
      <c r="BF552" s="550">
        <f t="shared" si="112"/>
        <v>635</v>
      </c>
      <c r="BG552" s="550">
        <f t="shared" si="113"/>
        <v>0</v>
      </c>
      <c r="BH552" s="550">
        <f t="shared" si="114"/>
        <v>0</v>
      </c>
      <c r="BI552" s="550">
        <f t="shared" si="115"/>
        <v>635</v>
      </c>
      <c r="BJ552" s="550">
        <f t="shared" si="116"/>
        <v>0</v>
      </c>
      <c r="BK552" s="550">
        <f t="shared" si="117"/>
        <v>2894</v>
      </c>
      <c r="BL552" s="550">
        <f t="shared" si="118"/>
        <v>2894</v>
      </c>
      <c r="BM552" s="550">
        <f t="shared" si="119"/>
        <v>3529</v>
      </c>
      <c r="BO552" s="194"/>
      <c r="BQ552" s="193">
        <f t="shared" si="120"/>
        <v>0.45454545454549589</v>
      </c>
      <c r="BR552" s="193">
        <f t="shared" si="121"/>
        <v>-0.36363636363648766</v>
      </c>
    </row>
    <row r="553" spans="1:70" ht="13.5" customHeight="1">
      <c r="A553" s="193" t="s">
        <v>378</v>
      </c>
      <c r="B553" s="193" t="s">
        <v>379</v>
      </c>
      <c r="C553" s="193" t="s">
        <v>214</v>
      </c>
      <c r="D553" s="193" t="s">
        <v>1631</v>
      </c>
      <c r="E553" s="193" t="s">
        <v>1632</v>
      </c>
      <c r="F553" s="193" t="s">
        <v>411</v>
      </c>
      <c r="G553" s="193" t="s">
        <v>411</v>
      </c>
      <c r="H553" s="193" t="s">
        <v>2130</v>
      </c>
      <c r="I553" s="193" t="s">
        <v>384</v>
      </c>
      <c r="J553" s="193" t="s">
        <v>2131</v>
      </c>
      <c r="K553" s="193" t="s">
        <v>386</v>
      </c>
      <c r="L553" s="193" t="s">
        <v>387</v>
      </c>
      <c r="M553" s="193" t="s">
        <v>378</v>
      </c>
      <c r="N553" s="193" t="s">
        <v>1497</v>
      </c>
      <c r="O553" s="193" t="s">
        <v>129</v>
      </c>
      <c r="P553" s="193" t="s">
        <v>138</v>
      </c>
      <c r="Q553" s="193" t="s">
        <v>137</v>
      </c>
      <c r="R553" s="193" t="s">
        <v>136</v>
      </c>
      <c r="S553" s="193" t="s">
        <v>214</v>
      </c>
      <c r="T553" s="193" t="s">
        <v>389</v>
      </c>
      <c r="U553" s="193" t="s">
        <v>390</v>
      </c>
      <c r="V553" s="193">
        <v>0</v>
      </c>
      <c r="W553" s="193">
        <v>0</v>
      </c>
      <c r="X553" s="193">
        <v>0</v>
      </c>
      <c r="Y553" s="194">
        <v>3708</v>
      </c>
      <c r="Z553" s="193" t="s">
        <v>1498</v>
      </c>
      <c r="AA553" s="193" t="s">
        <v>1499</v>
      </c>
      <c r="AB553" s="193">
        <v>3708</v>
      </c>
      <c r="AC553" s="193" t="s">
        <v>1500</v>
      </c>
      <c r="AD553" s="193" t="s">
        <v>136</v>
      </c>
      <c r="AE553" s="193">
        <v>3708</v>
      </c>
      <c r="AF553" s="193" t="s">
        <v>394</v>
      </c>
      <c r="AG553" s="193" t="s">
        <v>395</v>
      </c>
      <c r="AH553" s="193">
        <v>337</v>
      </c>
      <c r="AI553" s="193">
        <v>3371</v>
      </c>
      <c r="AJ553" s="193" t="s">
        <v>2103</v>
      </c>
      <c r="AL553" s="197" t="s">
        <v>2132</v>
      </c>
      <c r="AM553" s="193">
        <v>1</v>
      </c>
      <c r="AN553" s="193">
        <v>0</v>
      </c>
      <c r="AO553" s="193">
        <v>0</v>
      </c>
      <c r="AP553" s="193">
        <v>0</v>
      </c>
      <c r="AQ553" s="193" t="s">
        <v>214</v>
      </c>
      <c r="AS553" s="197" t="s">
        <v>394</v>
      </c>
      <c r="AT553" s="197" t="s">
        <v>395</v>
      </c>
      <c r="AV553" s="194">
        <v>667</v>
      </c>
      <c r="AW553" s="194">
        <v>0</v>
      </c>
      <c r="AX553" s="194">
        <v>0</v>
      </c>
      <c r="AY553" s="549">
        <v>667</v>
      </c>
      <c r="AZ553" s="194">
        <v>0</v>
      </c>
      <c r="BA553" s="194">
        <v>3041</v>
      </c>
      <c r="BB553" s="551">
        <v>3041</v>
      </c>
      <c r="BC553" s="551">
        <v>3708</v>
      </c>
      <c r="BD553" s="551">
        <v>0</v>
      </c>
      <c r="BF553" s="550">
        <f t="shared" si="112"/>
        <v>606</v>
      </c>
      <c r="BG553" s="550">
        <f t="shared" si="113"/>
        <v>0</v>
      </c>
      <c r="BH553" s="550">
        <f t="shared" si="114"/>
        <v>0</v>
      </c>
      <c r="BI553" s="550">
        <f t="shared" si="115"/>
        <v>606</v>
      </c>
      <c r="BJ553" s="550">
        <f t="shared" si="116"/>
        <v>0</v>
      </c>
      <c r="BK553" s="550">
        <f t="shared" si="117"/>
        <v>2765</v>
      </c>
      <c r="BL553" s="550">
        <f t="shared" si="118"/>
        <v>2765</v>
      </c>
      <c r="BM553" s="550">
        <f t="shared" si="119"/>
        <v>3371</v>
      </c>
      <c r="BO553" s="194"/>
      <c r="BQ553" s="193">
        <f t="shared" si="120"/>
        <v>0.36363636363637397</v>
      </c>
      <c r="BR553" s="193">
        <f t="shared" si="121"/>
        <v>-0.45454545454549589</v>
      </c>
    </row>
    <row r="554" spans="1:70" ht="13.5" customHeight="1">
      <c r="A554" s="193" t="s">
        <v>378</v>
      </c>
      <c r="B554" s="193" t="s">
        <v>379</v>
      </c>
      <c r="C554" s="193" t="s">
        <v>214</v>
      </c>
      <c r="D554" s="193" t="s">
        <v>1631</v>
      </c>
      <c r="E554" s="193" t="s">
        <v>1632</v>
      </c>
      <c r="F554" s="193" t="s">
        <v>956</v>
      </c>
      <c r="G554" s="193" t="s">
        <v>956</v>
      </c>
      <c r="H554" s="193" t="s">
        <v>2133</v>
      </c>
      <c r="I554" s="193" t="s">
        <v>384</v>
      </c>
      <c r="J554" s="193" t="s">
        <v>2134</v>
      </c>
      <c r="K554" s="193" t="s">
        <v>386</v>
      </c>
      <c r="L554" s="193" t="s">
        <v>387</v>
      </c>
      <c r="M554" s="193" t="s">
        <v>378</v>
      </c>
      <c r="N554" s="193" t="s">
        <v>1497</v>
      </c>
      <c r="O554" s="193" t="s">
        <v>129</v>
      </c>
      <c r="P554" s="193" t="s">
        <v>138</v>
      </c>
      <c r="Q554" s="193" t="s">
        <v>137</v>
      </c>
      <c r="R554" s="193" t="s">
        <v>136</v>
      </c>
      <c r="S554" s="193" t="s">
        <v>214</v>
      </c>
      <c r="T554" s="193" t="s">
        <v>389</v>
      </c>
      <c r="U554" s="193" t="s">
        <v>390</v>
      </c>
      <c r="V554" s="193">
        <v>0</v>
      </c>
      <c r="W554" s="193">
        <v>0</v>
      </c>
      <c r="X554" s="193">
        <v>0</v>
      </c>
      <c r="Y554" s="194">
        <v>4983</v>
      </c>
      <c r="Z554" s="193" t="s">
        <v>1498</v>
      </c>
      <c r="AA554" s="193" t="s">
        <v>1499</v>
      </c>
      <c r="AB554" s="193">
        <v>4983</v>
      </c>
      <c r="AC554" s="193" t="s">
        <v>1500</v>
      </c>
      <c r="AD554" s="193" t="s">
        <v>136</v>
      </c>
      <c r="AE554" s="193">
        <v>4983</v>
      </c>
      <c r="AF554" s="193" t="s">
        <v>394</v>
      </c>
      <c r="AG554" s="193" t="s">
        <v>395</v>
      </c>
      <c r="AH554" s="193">
        <v>453</v>
      </c>
      <c r="AI554" s="193">
        <v>4530</v>
      </c>
      <c r="AJ554" s="193" t="s">
        <v>2103</v>
      </c>
      <c r="AL554" s="197" t="s">
        <v>2135</v>
      </c>
      <c r="AM554" s="193">
        <v>1</v>
      </c>
      <c r="AN554" s="193">
        <v>0</v>
      </c>
      <c r="AO554" s="193">
        <v>0</v>
      </c>
      <c r="AP554" s="193">
        <v>0</v>
      </c>
      <c r="AQ554" s="193" t="s">
        <v>214</v>
      </c>
      <c r="AS554" s="197" t="s">
        <v>394</v>
      </c>
      <c r="AT554" s="197" t="s">
        <v>395</v>
      </c>
      <c r="AV554" s="194">
        <v>897</v>
      </c>
      <c r="AW554" s="194">
        <v>0</v>
      </c>
      <c r="AX554" s="194">
        <v>0</v>
      </c>
      <c r="AY554" s="549">
        <v>897</v>
      </c>
      <c r="AZ554" s="194">
        <v>0</v>
      </c>
      <c r="BA554" s="194">
        <v>4086</v>
      </c>
      <c r="BB554" s="551">
        <v>4086</v>
      </c>
      <c r="BC554" s="551">
        <v>4983</v>
      </c>
      <c r="BD554" s="551">
        <v>0</v>
      </c>
      <c r="BF554" s="550">
        <f t="shared" si="112"/>
        <v>815</v>
      </c>
      <c r="BG554" s="550">
        <f t="shared" si="113"/>
        <v>0</v>
      </c>
      <c r="BH554" s="550">
        <f t="shared" si="114"/>
        <v>0</v>
      </c>
      <c r="BI554" s="550">
        <f t="shared" si="115"/>
        <v>815</v>
      </c>
      <c r="BJ554" s="550">
        <f t="shared" si="116"/>
        <v>0</v>
      </c>
      <c r="BK554" s="574">
        <f>+IFERROR(ROUND(BA554*100/(100+$AT554),0),BA554)-1</f>
        <v>3714</v>
      </c>
      <c r="BL554" s="550">
        <f t="shared" si="118"/>
        <v>3714</v>
      </c>
      <c r="BM554" s="550">
        <f t="shared" si="119"/>
        <v>4529</v>
      </c>
      <c r="BO554" s="194"/>
      <c r="BQ554" s="193">
        <f t="shared" si="120"/>
        <v>0.45454545454549589</v>
      </c>
      <c r="BR554" s="193">
        <f t="shared" si="121"/>
        <v>0.54545454545450411</v>
      </c>
    </row>
    <row r="555" spans="1:70" ht="13.5" customHeight="1">
      <c r="A555" s="193" t="s">
        <v>378</v>
      </c>
      <c r="B555" s="193" t="s">
        <v>379</v>
      </c>
      <c r="C555" s="193" t="s">
        <v>214</v>
      </c>
      <c r="D555" s="193" t="s">
        <v>1631</v>
      </c>
      <c r="E555" s="193" t="s">
        <v>1632</v>
      </c>
      <c r="F555" s="193" t="s">
        <v>1254</v>
      </c>
      <c r="G555" s="193" t="s">
        <v>1254</v>
      </c>
      <c r="H555" s="193" t="s">
        <v>2136</v>
      </c>
      <c r="I555" s="193" t="s">
        <v>384</v>
      </c>
      <c r="J555" s="193" t="s">
        <v>2137</v>
      </c>
      <c r="K555" s="193" t="s">
        <v>386</v>
      </c>
      <c r="L555" s="193" t="s">
        <v>387</v>
      </c>
      <c r="M555" s="193" t="s">
        <v>378</v>
      </c>
      <c r="N555" s="193" t="s">
        <v>1497</v>
      </c>
      <c r="O555" s="193" t="s">
        <v>129</v>
      </c>
      <c r="P555" s="193" t="s">
        <v>138</v>
      </c>
      <c r="Q555" s="193" t="s">
        <v>137</v>
      </c>
      <c r="R555" s="193" t="s">
        <v>136</v>
      </c>
      <c r="S555" s="193" t="s">
        <v>214</v>
      </c>
      <c r="T555" s="193" t="s">
        <v>389</v>
      </c>
      <c r="U555" s="193" t="s">
        <v>390</v>
      </c>
      <c r="V555" s="193">
        <v>0</v>
      </c>
      <c r="W555" s="193">
        <v>0</v>
      </c>
      <c r="X555" s="193">
        <v>0</v>
      </c>
      <c r="Y555" s="194">
        <v>5905</v>
      </c>
      <c r="Z555" s="193" t="s">
        <v>1498</v>
      </c>
      <c r="AA555" s="193" t="s">
        <v>1499</v>
      </c>
      <c r="AB555" s="193">
        <v>5905</v>
      </c>
      <c r="AC555" s="193" t="s">
        <v>1500</v>
      </c>
      <c r="AD555" s="193" t="s">
        <v>136</v>
      </c>
      <c r="AE555" s="193">
        <v>5905</v>
      </c>
      <c r="AF555" s="193" t="s">
        <v>394</v>
      </c>
      <c r="AG555" s="193" t="s">
        <v>395</v>
      </c>
      <c r="AH555" s="193">
        <v>536</v>
      </c>
      <c r="AI555" s="193">
        <v>5369</v>
      </c>
      <c r="AJ555" s="193" t="s">
        <v>2103</v>
      </c>
      <c r="AL555" s="197" t="s">
        <v>2138</v>
      </c>
      <c r="AM555" s="193">
        <v>1</v>
      </c>
      <c r="AN555" s="193">
        <v>0</v>
      </c>
      <c r="AO555" s="193">
        <v>0</v>
      </c>
      <c r="AP555" s="193">
        <v>0</v>
      </c>
      <c r="AQ555" s="193" t="s">
        <v>214</v>
      </c>
      <c r="AS555" s="197" t="s">
        <v>394</v>
      </c>
      <c r="AT555" s="197" t="s">
        <v>395</v>
      </c>
      <c r="AV555" s="194">
        <v>1063</v>
      </c>
      <c r="AW555" s="194">
        <v>0</v>
      </c>
      <c r="AX555" s="194">
        <v>0</v>
      </c>
      <c r="AY555" s="549">
        <v>1063</v>
      </c>
      <c r="AZ555" s="194">
        <v>0</v>
      </c>
      <c r="BA555" s="194">
        <v>4842</v>
      </c>
      <c r="BB555" s="551">
        <v>4842</v>
      </c>
      <c r="BC555" s="551">
        <v>5905</v>
      </c>
      <c r="BD555" s="551">
        <v>0</v>
      </c>
      <c r="BF555" s="550">
        <f t="shared" si="112"/>
        <v>966</v>
      </c>
      <c r="BG555" s="550">
        <f t="shared" si="113"/>
        <v>0</v>
      </c>
      <c r="BH555" s="550">
        <f t="shared" si="114"/>
        <v>0</v>
      </c>
      <c r="BI555" s="550">
        <f t="shared" si="115"/>
        <v>966</v>
      </c>
      <c r="BJ555" s="550">
        <f t="shared" si="116"/>
        <v>0</v>
      </c>
      <c r="BK555" s="550">
        <f t="shared" si="117"/>
        <v>4402</v>
      </c>
      <c r="BL555" s="550">
        <f t="shared" si="118"/>
        <v>4402</v>
      </c>
      <c r="BM555" s="550">
        <f t="shared" si="119"/>
        <v>5368</v>
      </c>
      <c r="BO555" s="194"/>
      <c r="BQ555" s="193">
        <f t="shared" si="120"/>
        <v>0.36363636363637397</v>
      </c>
      <c r="BR555" s="193">
        <f t="shared" si="121"/>
        <v>-0.18181818181801646</v>
      </c>
    </row>
    <row r="556" spans="1:70" ht="13.5" customHeight="1">
      <c r="A556" s="193" t="s">
        <v>378</v>
      </c>
      <c r="B556" s="193" t="s">
        <v>379</v>
      </c>
      <c r="C556" s="193" t="s">
        <v>214</v>
      </c>
      <c r="D556" s="193" t="s">
        <v>1631</v>
      </c>
      <c r="E556" s="193" t="s">
        <v>1632</v>
      </c>
      <c r="F556" s="193" t="s">
        <v>1295</v>
      </c>
      <c r="G556" s="193" t="s">
        <v>1295</v>
      </c>
      <c r="H556" s="193" t="s">
        <v>2139</v>
      </c>
      <c r="I556" s="193" t="s">
        <v>384</v>
      </c>
      <c r="J556" s="193" t="s">
        <v>2140</v>
      </c>
      <c r="K556" s="193" t="s">
        <v>386</v>
      </c>
      <c r="L556" s="193" t="s">
        <v>387</v>
      </c>
      <c r="M556" s="193" t="s">
        <v>378</v>
      </c>
      <c r="N556" s="193" t="s">
        <v>1497</v>
      </c>
      <c r="O556" s="193" t="s">
        <v>129</v>
      </c>
      <c r="P556" s="193" t="s">
        <v>138</v>
      </c>
      <c r="Q556" s="193" t="s">
        <v>137</v>
      </c>
      <c r="R556" s="193" t="s">
        <v>136</v>
      </c>
      <c r="S556" s="193" t="s">
        <v>214</v>
      </c>
      <c r="T556" s="193" t="s">
        <v>389</v>
      </c>
      <c r="U556" s="193" t="s">
        <v>390</v>
      </c>
      <c r="V556" s="193">
        <v>0</v>
      </c>
      <c r="W556" s="193">
        <v>0</v>
      </c>
      <c r="X556" s="193">
        <v>0</v>
      </c>
      <c r="Y556" s="194">
        <v>6120</v>
      </c>
      <c r="Z556" s="193" t="s">
        <v>1498</v>
      </c>
      <c r="AA556" s="193" t="s">
        <v>1499</v>
      </c>
      <c r="AB556" s="193">
        <v>6120</v>
      </c>
      <c r="AC556" s="193" t="s">
        <v>1500</v>
      </c>
      <c r="AD556" s="193" t="s">
        <v>136</v>
      </c>
      <c r="AE556" s="193">
        <v>6120</v>
      </c>
      <c r="AF556" s="193" t="s">
        <v>394</v>
      </c>
      <c r="AG556" s="193" t="s">
        <v>395</v>
      </c>
      <c r="AH556" s="193">
        <v>556</v>
      </c>
      <c r="AI556" s="193">
        <v>5564</v>
      </c>
      <c r="AJ556" s="193" t="s">
        <v>2141</v>
      </c>
      <c r="AL556" s="197" t="s">
        <v>2142</v>
      </c>
      <c r="AM556" s="193">
        <v>1</v>
      </c>
      <c r="AN556" s="193">
        <v>0</v>
      </c>
      <c r="AO556" s="193">
        <v>0</v>
      </c>
      <c r="AP556" s="193">
        <v>0</v>
      </c>
      <c r="AQ556" s="193" t="s">
        <v>214</v>
      </c>
      <c r="AS556" s="197" t="s">
        <v>394</v>
      </c>
      <c r="AT556" s="197" t="s">
        <v>395</v>
      </c>
      <c r="AV556" s="194">
        <v>1102</v>
      </c>
      <c r="AW556" s="194">
        <v>0</v>
      </c>
      <c r="AX556" s="194">
        <v>0</v>
      </c>
      <c r="AY556" s="549">
        <v>1102</v>
      </c>
      <c r="AZ556" s="194">
        <v>0</v>
      </c>
      <c r="BA556" s="194">
        <v>5018</v>
      </c>
      <c r="BB556" s="551">
        <v>5018</v>
      </c>
      <c r="BC556" s="551">
        <v>6120</v>
      </c>
      <c r="BD556" s="551">
        <v>0</v>
      </c>
      <c r="BF556" s="550">
        <f t="shared" si="112"/>
        <v>1002</v>
      </c>
      <c r="BG556" s="550">
        <f t="shared" si="113"/>
        <v>0</v>
      </c>
      <c r="BH556" s="550">
        <f t="shared" si="114"/>
        <v>0</v>
      </c>
      <c r="BI556" s="550">
        <f t="shared" si="115"/>
        <v>1002</v>
      </c>
      <c r="BJ556" s="550">
        <f t="shared" si="116"/>
        <v>0</v>
      </c>
      <c r="BK556" s="550">
        <f t="shared" si="117"/>
        <v>4562</v>
      </c>
      <c r="BL556" s="550">
        <f t="shared" si="118"/>
        <v>4562</v>
      </c>
      <c r="BM556" s="550">
        <f t="shared" si="119"/>
        <v>5564</v>
      </c>
      <c r="BO556" s="194"/>
      <c r="BQ556" s="193">
        <f t="shared" si="120"/>
        <v>-0.18181818181813014</v>
      </c>
      <c r="BR556" s="193">
        <f t="shared" si="121"/>
        <v>-0.18181818181801646</v>
      </c>
    </row>
    <row r="557" spans="1:70" ht="13.5" customHeight="1">
      <c r="A557" s="193" t="s">
        <v>378</v>
      </c>
      <c r="B557" s="193" t="s">
        <v>379</v>
      </c>
      <c r="C557" s="193" t="s">
        <v>214</v>
      </c>
      <c r="D557" s="193" t="s">
        <v>1631</v>
      </c>
      <c r="E557" s="193" t="s">
        <v>1632</v>
      </c>
      <c r="F557" s="193" t="s">
        <v>1416</v>
      </c>
      <c r="G557" s="193" t="s">
        <v>1416</v>
      </c>
      <c r="H557" s="193" t="s">
        <v>2143</v>
      </c>
      <c r="I557" s="193" t="s">
        <v>384</v>
      </c>
      <c r="J557" s="193" t="s">
        <v>2144</v>
      </c>
      <c r="K557" s="193" t="s">
        <v>386</v>
      </c>
      <c r="L557" s="193" t="s">
        <v>387</v>
      </c>
      <c r="M557" s="193" t="s">
        <v>378</v>
      </c>
      <c r="N557" s="193" t="s">
        <v>1497</v>
      </c>
      <c r="O557" s="193" t="s">
        <v>129</v>
      </c>
      <c r="P557" s="193" t="s">
        <v>138</v>
      </c>
      <c r="Q557" s="193" t="s">
        <v>137</v>
      </c>
      <c r="R557" s="193" t="s">
        <v>136</v>
      </c>
      <c r="S557" s="193" t="s">
        <v>214</v>
      </c>
      <c r="T557" s="193" t="s">
        <v>389</v>
      </c>
      <c r="U557" s="193" t="s">
        <v>390</v>
      </c>
      <c r="V557" s="193">
        <v>0</v>
      </c>
      <c r="W557" s="193">
        <v>0</v>
      </c>
      <c r="X557" s="193">
        <v>0</v>
      </c>
      <c r="Y557" s="194">
        <v>6224</v>
      </c>
      <c r="Z557" s="193" t="s">
        <v>1498</v>
      </c>
      <c r="AA557" s="193" t="s">
        <v>1499</v>
      </c>
      <c r="AB557" s="193">
        <v>6224</v>
      </c>
      <c r="AC557" s="193" t="s">
        <v>1500</v>
      </c>
      <c r="AD557" s="193" t="s">
        <v>136</v>
      </c>
      <c r="AE557" s="193">
        <v>6224</v>
      </c>
      <c r="AF557" s="193" t="s">
        <v>394</v>
      </c>
      <c r="AG557" s="193" t="s">
        <v>395</v>
      </c>
      <c r="AH557" s="193">
        <v>565</v>
      </c>
      <c r="AI557" s="193">
        <v>5659</v>
      </c>
      <c r="AJ557" s="193" t="s">
        <v>2141</v>
      </c>
      <c r="AL557" s="197" t="s">
        <v>2145</v>
      </c>
      <c r="AM557" s="193">
        <v>1</v>
      </c>
      <c r="AN557" s="193">
        <v>0</v>
      </c>
      <c r="AO557" s="193">
        <v>0</v>
      </c>
      <c r="AP557" s="193">
        <v>0</v>
      </c>
      <c r="AQ557" s="193" t="s">
        <v>214</v>
      </c>
      <c r="AS557" s="197" t="s">
        <v>394</v>
      </c>
      <c r="AT557" s="197" t="s">
        <v>395</v>
      </c>
      <c r="AV557" s="194">
        <v>1120</v>
      </c>
      <c r="AW557" s="194">
        <v>0</v>
      </c>
      <c r="AX557" s="194">
        <v>0</v>
      </c>
      <c r="AY557" s="549">
        <v>1120</v>
      </c>
      <c r="AZ557" s="194">
        <v>0</v>
      </c>
      <c r="BA557" s="194">
        <v>5104</v>
      </c>
      <c r="BB557" s="551">
        <v>5104</v>
      </c>
      <c r="BC557" s="551">
        <v>6224</v>
      </c>
      <c r="BD557" s="551">
        <v>0</v>
      </c>
      <c r="BF557" s="550">
        <f t="shared" si="112"/>
        <v>1018</v>
      </c>
      <c r="BG557" s="550">
        <f t="shared" si="113"/>
        <v>0</v>
      </c>
      <c r="BH557" s="550">
        <f t="shared" si="114"/>
        <v>0</v>
      </c>
      <c r="BI557" s="550">
        <f t="shared" si="115"/>
        <v>1018</v>
      </c>
      <c r="BJ557" s="550">
        <f t="shared" si="116"/>
        <v>0</v>
      </c>
      <c r="BK557" s="550">
        <f t="shared" si="117"/>
        <v>4640</v>
      </c>
      <c r="BL557" s="550">
        <f t="shared" si="118"/>
        <v>4640</v>
      </c>
      <c r="BM557" s="550">
        <f t="shared" si="119"/>
        <v>5658</v>
      </c>
      <c r="BO557" s="194"/>
      <c r="BQ557" s="193">
        <f t="shared" si="120"/>
        <v>0.18181818181813014</v>
      </c>
      <c r="BR557" s="193">
        <f t="shared" si="121"/>
        <v>0</v>
      </c>
    </row>
    <row r="558" spans="1:70" ht="13.5" customHeight="1">
      <c r="A558" s="193" t="s">
        <v>378</v>
      </c>
      <c r="B558" s="193" t="s">
        <v>379</v>
      </c>
      <c r="C558" s="193" t="s">
        <v>214</v>
      </c>
      <c r="D558" s="193" t="s">
        <v>1631</v>
      </c>
      <c r="E558" s="193" t="s">
        <v>1632</v>
      </c>
      <c r="F558" s="193" t="s">
        <v>439</v>
      </c>
      <c r="G558" s="193" t="s">
        <v>439</v>
      </c>
      <c r="H558" s="193" t="s">
        <v>2146</v>
      </c>
      <c r="I558" s="193" t="s">
        <v>384</v>
      </c>
      <c r="J558" s="193" t="s">
        <v>2147</v>
      </c>
      <c r="K558" s="193" t="s">
        <v>386</v>
      </c>
      <c r="L558" s="193" t="s">
        <v>387</v>
      </c>
      <c r="M558" s="193" t="s">
        <v>378</v>
      </c>
      <c r="N558" s="193" t="s">
        <v>1497</v>
      </c>
      <c r="O558" s="193" t="s">
        <v>129</v>
      </c>
      <c r="P558" s="193" t="s">
        <v>138</v>
      </c>
      <c r="Q558" s="193" t="s">
        <v>137</v>
      </c>
      <c r="R558" s="193" t="s">
        <v>136</v>
      </c>
      <c r="S558" s="193" t="s">
        <v>214</v>
      </c>
      <c r="T558" s="193" t="s">
        <v>389</v>
      </c>
      <c r="U558" s="193" t="s">
        <v>390</v>
      </c>
      <c r="V558" s="193">
        <v>0</v>
      </c>
      <c r="W558" s="193">
        <v>0</v>
      </c>
      <c r="X558" s="193">
        <v>0</v>
      </c>
      <c r="Y558" s="194">
        <v>5614</v>
      </c>
      <c r="Z558" s="193" t="s">
        <v>1498</v>
      </c>
      <c r="AA558" s="193" t="s">
        <v>1499</v>
      </c>
      <c r="AB558" s="193">
        <v>5614</v>
      </c>
      <c r="AC558" s="193" t="s">
        <v>1500</v>
      </c>
      <c r="AD558" s="193" t="s">
        <v>136</v>
      </c>
      <c r="AE558" s="193">
        <v>5614</v>
      </c>
      <c r="AF558" s="193" t="s">
        <v>394</v>
      </c>
      <c r="AG558" s="193" t="s">
        <v>395</v>
      </c>
      <c r="AH558" s="193">
        <v>510</v>
      </c>
      <c r="AI558" s="193">
        <v>5104</v>
      </c>
      <c r="AJ558" s="193" t="s">
        <v>1987</v>
      </c>
      <c r="AL558" s="197" t="s">
        <v>2148</v>
      </c>
      <c r="AM558" s="193">
        <v>1</v>
      </c>
      <c r="AN558" s="193">
        <v>0</v>
      </c>
      <c r="AO558" s="193">
        <v>0</v>
      </c>
      <c r="AP558" s="193">
        <v>0</v>
      </c>
      <c r="AQ558" s="193" t="s">
        <v>214</v>
      </c>
      <c r="AS558" s="197" t="s">
        <v>394</v>
      </c>
      <c r="AT558" s="197" t="s">
        <v>395</v>
      </c>
      <c r="AV558" s="194">
        <v>1011</v>
      </c>
      <c r="AW558" s="194">
        <v>0</v>
      </c>
      <c r="AX558" s="194">
        <v>0</v>
      </c>
      <c r="AY558" s="549">
        <v>1011</v>
      </c>
      <c r="AZ558" s="194">
        <v>0</v>
      </c>
      <c r="BA558" s="194">
        <v>4603</v>
      </c>
      <c r="BB558" s="551">
        <v>4603</v>
      </c>
      <c r="BC558" s="551">
        <v>5614</v>
      </c>
      <c r="BD558" s="551">
        <v>0</v>
      </c>
      <c r="BF558" s="550">
        <f t="shared" si="112"/>
        <v>919</v>
      </c>
      <c r="BG558" s="550">
        <f t="shared" si="113"/>
        <v>0</v>
      </c>
      <c r="BH558" s="550">
        <f t="shared" si="114"/>
        <v>0</v>
      </c>
      <c r="BI558" s="550">
        <f t="shared" si="115"/>
        <v>919</v>
      </c>
      <c r="BJ558" s="550">
        <f t="shared" si="116"/>
        <v>0</v>
      </c>
      <c r="BK558" s="574">
        <f>+IFERROR(ROUND(BA558*100/(100+$AT558),0),BA558)-1</f>
        <v>4184</v>
      </c>
      <c r="BL558" s="550">
        <f t="shared" si="118"/>
        <v>4184</v>
      </c>
      <c r="BM558" s="550">
        <f t="shared" si="119"/>
        <v>5103</v>
      </c>
      <c r="BO558" s="194"/>
      <c r="BQ558" s="193">
        <f t="shared" si="120"/>
        <v>9.0909090909121915E-2</v>
      </c>
      <c r="BR558" s="193">
        <f t="shared" si="121"/>
        <v>0.54545454545495886</v>
      </c>
    </row>
    <row r="559" spans="1:70" ht="13.5" customHeight="1">
      <c r="A559" s="193" t="s">
        <v>378</v>
      </c>
      <c r="B559" s="193" t="s">
        <v>379</v>
      </c>
      <c r="C559" s="193" t="s">
        <v>214</v>
      </c>
      <c r="D559" s="193" t="s">
        <v>1631</v>
      </c>
      <c r="E559" s="193" t="s">
        <v>1632</v>
      </c>
      <c r="F559" s="193" t="s">
        <v>411</v>
      </c>
      <c r="G559" s="193" t="s">
        <v>411</v>
      </c>
      <c r="H559" s="193" t="s">
        <v>2149</v>
      </c>
      <c r="I559" s="193" t="s">
        <v>384</v>
      </c>
      <c r="J559" s="193" t="s">
        <v>2150</v>
      </c>
      <c r="K559" s="193" t="s">
        <v>386</v>
      </c>
      <c r="L559" s="193" t="s">
        <v>387</v>
      </c>
      <c r="M559" s="193" t="s">
        <v>378</v>
      </c>
      <c r="N559" s="193" t="s">
        <v>1497</v>
      </c>
      <c r="O559" s="193" t="s">
        <v>129</v>
      </c>
      <c r="P559" s="193" t="s">
        <v>138</v>
      </c>
      <c r="Q559" s="193" t="s">
        <v>137</v>
      </c>
      <c r="R559" s="193" t="s">
        <v>136</v>
      </c>
      <c r="S559" s="193" t="s">
        <v>214</v>
      </c>
      <c r="T559" s="193" t="s">
        <v>389</v>
      </c>
      <c r="U559" s="193" t="s">
        <v>390</v>
      </c>
      <c r="V559" s="193">
        <v>0</v>
      </c>
      <c r="W559" s="193">
        <v>0</v>
      </c>
      <c r="X559" s="193">
        <v>0</v>
      </c>
      <c r="Y559" s="194">
        <v>4341</v>
      </c>
      <c r="Z559" s="193" t="s">
        <v>1498</v>
      </c>
      <c r="AA559" s="193" t="s">
        <v>1499</v>
      </c>
      <c r="AB559" s="193">
        <v>4341</v>
      </c>
      <c r="AC559" s="193" t="s">
        <v>1500</v>
      </c>
      <c r="AD559" s="193" t="s">
        <v>136</v>
      </c>
      <c r="AE559" s="193">
        <v>4341</v>
      </c>
      <c r="AF559" s="193" t="s">
        <v>394</v>
      </c>
      <c r="AG559" s="193" t="s">
        <v>395</v>
      </c>
      <c r="AH559" s="193">
        <v>394</v>
      </c>
      <c r="AI559" s="193">
        <v>3947</v>
      </c>
      <c r="AJ559" s="193" t="s">
        <v>2141</v>
      </c>
      <c r="AL559" s="197" t="s">
        <v>2151</v>
      </c>
      <c r="AM559" s="193">
        <v>1</v>
      </c>
      <c r="AN559" s="193">
        <v>0</v>
      </c>
      <c r="AO559" s="193">
        <v>0</v>
      </c>
      <c r="AP559" s="193">
        <v>0</v>
      </c>
      <c r="AQ559" s="193" t="s">
        <v>214</v>
      </c>
      <c r="AS559" s="197" t="s">
        <v>394</v>
      </c>
      <c r="AT559" s="197" t="s">
        <v>395</v>
      </c>
      <c r="AV559" s="194">
        <v>781</v>
      </c>
      <c r="AW559" s="194">
        <v>0</v>
      </c>
      <c r="AX559" s="194">
        <v>0</v>
      </c>
      <c r="AY559" s="549">
        <v>781</v>
      </c>
      <c r="AZ559" s="194">
        <v>0</v>
      </c>
      <c r="BA559" s="194">
        <v>3560</v>
      </c>
      <c r="BB559" s="551">
        <v>3560</v>
      </c>
      <c r="BC559" s="551">
        <v>4341</v>
      </c>
      <c r="BD559" s="551">
        <v>0</v>
      </c>
      <c r="BF559" s="550">
        <f t="shared" si="112"/>
        <v>710</v>
      </c>
      <c r="BG559" s="550">
        <f t="shared" si="113"/>
        <v>0</v>
      </c>
      <c r="BH559" s="550">
        <f t="shared" si="114"/>
        <v>0</v>
      </c>
      <c r="BI559" s="550">
        <f t="shared" si="115"/>
        <v>710</v>
      </c>
      <c r="BJ559" s="550">
        <f t="shared" si="116"/>
        <v>0</v>
      </c>
      <c r="BK559" s="550">
        <f t="shared" si="117"/>
        <v>3236</v>
      </c>
      <c r="BL559" s="550">
        <f t="shared" si="118"/>
        <v>3236</v>
      </c>
      <c r="BM559" s="550">
        <f t="shared" si="119"/>
        <v>3946</v>
      </c>
      <c r="BO559" s="194"/>
      <c r="BQ559" s="193">
        <f t="shared" si="120"/>
        <v>0</v>
      </c>
      <c r="BR559" s="193">
        <f t="shared" si="121"/>
        <v>0.36363636363648766</v>
      </c>
    </row>
    <row r="560" spans="1:70" ht="13.5" customHeight="1">
      <c r="A560" s="193" t="s">
        <v>378</v>
      </c>
      <c r="B560" s="193" t="s">
        <v>379</v>
      </c>
      <c r="C560" s="193" t="s">
        <v>214</v>
      </c>
      <c r="D560" s="193" t="s">
        <v>1631</v>
      </c>
      <c r="E560" s="193" t="s">
        <v>1632</v>
      </c>
      <c r="F560" s="193" t="s">
        <v>956</v>
      </c>
      <c r="G560" s="193" t="s">
        <v>956</v>
      </c>
      <c r="H560" s="193" t="s">
        <v>2152</v>
      </c>
      <c r="I560" s="193" t="s">
        <v>384</v>
      </c>
      <c r="J560" s="193" t="s">
        <v>2153</v>
      </c>
      <c r="K560" s="193" t="s">
        <v>386</v>
      </c>
      <c r="L560" s="193" t="s">
        <v>387</v>
      </c>
      <c r="M560" s="193" t="s">
        <v>378</v>
      </c>
      <c r="N560" s="193" t="s">
        <v>1497</v>
      </c>
      <c r="O560" s="193" t="s">
        <v>129</v>
      </c>
      <c r="P560" s="193" t="s">
        <v>138</v>
      </c>
      <c r="Q560" s="193" t="s">
        <v>137</v>
      </c>
      <c r="R560" s="193" t="s">
        <v>136</v>
      </c>
      <c r="S560" s="193" t="s">
        <v>214</v>
      </c>
      <c r="T560" s="193" t="s">
        <v>389</v>
      </c>
      <c r="U560" s="193" t="s">
        <v>390</v>
      </c>
      <c r="V560" s="193">
        <v>0</v>
      </c>
      <c r="W560" s="193">
        <v>0</v>
      </c>
      <c r="X560" s="193">
        <v>0</v>
      </c>
      <c r="Y560" s="194">
        <v>5591</v>
      </c>
      <c r="Z560" s="193" t="s">
        <v>1498</v>
      </c>
      <c r="AA560" s="193" t="s">
        <v>1499</v>
      </c>
      <c r="AB560" s="193">
        <v>5591</v>
      </c>
      <c r="AC560" s="193" t="s">
        <v>1500</v>
      </c>
      <c r="AD560" s="193" t="s">
        <v>136</v>
      </c>
      <c r="AE560" s="193">
        <v>5591</v>
      </c>
      <c r="AF560" s="193" t="s">
        <v>394</v>
      </c>
      <c r="AG560" s="193" t="s">
        <v>395</v>
      </c>
      <c r="AH560" s="193">
        <v>508</v>
      </c>
      <c r="AI560" s="193">
        <v>5083</v>
      </c>
      <c r="AJ560" s="193" t="s">
        <v>2141</v>
      </c>
      <c r="AL560" s="197" t="s">
        <v>2154</v>
      </c>
      <c r="AM560" s="193">
        <v>1</v>
      </c>
      <c r="AN560" s="193">
        <v>0</v>
      </c>
      <c r="AO560" s="193">
        <v>0</v>
      </c>
      <c r="AP560" s="193">
        <v>0</v>
      </c>
      <c r="AQ560" s="193" t="s">
        <v>214</v>
      </c>
      <c r="AS560" s="197" t="s">
        <v>394</v>
      </c>
      <c r="AT560" s="197" t="s">
        <v>395</v>
      </c>
      <c r="AV560" s="194">
        <v>1006</v>
      </c>
      <c r="AW560" s="194">
        <v>0</v>
      </c>
      <c r="AX560" s="194">
        <v>0</v>
      </c>
      <c r="AY560" s="549">
        <v>1006</v>
      </c>
      <c r="AZ560" s="194">
        <v>0</v>
      </c>
      <c r="BA560" s="194">
        <v>4585</v>
      </c>
      <c r="BB560" s="551">
        <v>4585</v>
      </c>
      <c r="BC560" s="551">
        <v>5591</v>
      </c>
      <c r="BD560" s="551">
        <v>0</v>
      </c>
      <c r="BF560" s="574">
        <f>+IFERROR(ROUND(AV560*100/(100+$AT560),0),AV560)-1</f>
        <v>914</v>
      </c>
      <c r="BG560" s="550">
        <f t="shared" si="113"/>
        <v>0</v>
      </c>
      <c r="BH560" s="550">
        <f t="shared" si="114"/>
        <v>0</v>
      </c>
      <c r="BI560" s="550">
        <f t="shared" si="115"/>
        <v>914</v>
      </c>
      <c r="BJ560" s="550">
        <f t="shared" si="116"/>
        <v>0</v>
      </c>
      <c r="BK560" s="550">
        <f t="shared" si="117"/>
        <v>4168</v>
      </c>
      <c r="BL560" s="550">
        <f t="shared" si="118"/>
        <v>4168</v>
      </c>
      <c r="BM560" s="550">
        <f t="shared" si="119"/>
        <v>5082</v>
      </c>
      <c r="BO560" s="194"/>
      <c r="BQ560" s="193">
        <f t="shared" si="120"/>
        <v>0.54545454545450411</v>
      </c>
      <c r="BR560" s="193">
        <f t="shared" si="121"/>
        <v>0.18181818181801646</v>
      </c>
    </row>
    <row r="561" spans="1:70" ht="13.5" customHeight="1">
      <c r="A561" s="193" t="s">
        <v>378</v>
      </c>
      <c r="B561" s="193" t="s">
        <v>379</v>
      </c>
      <c r="C561" s="193" t="s">
        <v>214</v>
      </c>
      <c r="D561" s="193" t="s">
        <v>1631</v>
      </c>
      <c r="E561" s="193" t="s">
        <v>1632</v>
      </c>
      <c r="F561" s="193" t="s">
        <v>1254</v>
      </c>
      <c r="G561" s="193" t="s">
        <v>1254</v>
      </c>
      <c r="H561" s="193" t="s">
        <v>2155</v>
      </c>
      <c r="I561" s="193" t="s">
        <v>384</v>
      </c>
      <c r="J561" s="193" t="s">
        <v>2156</v>
      </c>
      <c r="K561" s="193" t="s">
        <v>386</v>
      </c>
      <c r="L561" s="193" t="s">
        <v>387</v>
      </c>
      <c r="M561" s="193" t="s">
        <v>378</v>
      </c>
      <c r="N561" s="193" t="s">
        <v>1497</v>
      </c>
      <c r="O561" s="193" t="s">
        <v>129</v>
      </c>
      <c r="P561" s="193" t="s">
        <v>138</v>
      </c>
      <c r="Q561" s="193" t="s">
        <v>137</v>
      </c>
      <c r="R561" s="193" t="s">
        <v>136</v>
      </c>
      <c r="S561" s="193" t="s">
        <v>214</v>
      </c>
      <c r="T561" s="193" t="s">
        <v>389</v>
      </c>
      <c r="U561" s="193" t="s">
        <v>390</v>
      </c>
      <c r="V561" s="193">
        <v>0</v>
      </c>
      <c r="W561" s="193">
        <v>0</v>
      </c>
      <c r="X561" s="193">
        <v>0</v>
      </c>
      <c r="Y561" s="194">
        <v>5892</v>
      </c>
      <c r="Z561" s="193" t="s">
        <v>1498</v>
      </c>
      <c r="AA561" s="193" t="s">
        <v>1499</v>
      </c>
      <c r="AB561" s="193">
        <v>5892</v>
      </c>
      <c r="AC561" s="193" t="s">
        <v>1500</v>
      </c>
      <c r="AD561" s="193" t="s">
        <v>136</v>
      </c>
      <c r="AE561" s="193">
        <v>5892</v>
      </c>
      <c r="AF561" s="193" t="s">
        <v>394</v>
      </c>
      <c r="AG561" s="193" t="s">
        <v>395</v>
      </c>
      <c r="AH561" s="193">
        <v>535</v>
      </c>
      <c r="AI561" s="193">
        <v>5357</v>
      </c>
      <c r="AJ561" s="193" t="s">
        <v>2141</v>
      </c>
      <c r="AL561" s="197" t="s">
        <v>2157</v>
      </c>
      <c r="AM561" s="193">
        <v>1</v>
      </c>
      <c r="AN561" s="193">
        <v>0</v>
      </c>
      <c r="AO561" s="193">
        <v>0</v>
      </c>
      <c r="AP561" s="193">
        <v>0</v>
      </c>
      <c r="AQ561" s="193" t="s">
        <v>214</v>
      </c>
      <c r="AS561" s="197" t="s">
        <v>394</v>
      </c>
      <c r="AT561" s="197" t="s">
        <v>395</v>
      </c>
      <c r="AV561" s="194">
        <v>1061</v>
      </c>
      <c r="AW561" s="194">
        <v>0</v>
      </c>
      <c r="AX561" s="194">
        <v>0</v>
      </c>
      <c r="AY561" s="549">
        <v>1061</v>
      </c>
      <c r="AZ561" s="194">
        <v>0</v>
      </c>
      <c r="BA561" s="194">
        <v>4831</v>
      </c>
      <c r="BB561" s="551">
        <v>4831</v>
      </c>
      <c r="BC561" s="551">
        <v>5892</v>
      </c>
      <c r="BD561" s="551">
        <v>0</v>
      </c>
      <c r="BF561" s="574">
        <f>+IFERROR(ROUND(AV561*100/(100+$AT561),0),AV561)-1</f>
        <v>964</v>
      </c>
      <c r="BG561" s="550">
        <f t="shared" si="113"/>
        <v>0</v>
      </c>
      <c r="BH561" s="550">
        <f t="shared" si="114"/>
        <v>0</v>
      </c>
      <c r="BI561" s="550">
        <f t="shared" si="115"/>
        <v>964</v>
      </c>
      <c r="BJ561" s="550">
        <f t="shared" si="116"/>
        <v>0</v>
      </c>
      <c r="BK561" s="550">
        <f t="shared" si="117"/>
        <v>4392</v>
      </c>
      <c r="BL561" s="550">
        <f t="shared" si="118"/>
        <v>4392</v>
      </c>
      <c r="BM561" s="550">
        <f t="shared" si="119"/>
        <v>5356</v>
      </c>
      <c r="BO561" s="194"/>
      <c r="BQ561" s="193">
        <f t="shared" si="120"/>
        <v>0.54545454545450411</v>
      </c>
      <c r="BR561" s="193">
        <f t="shared" si="121"/>
        <v>-0.18181818181801646</v>
      </c>
    </row>
    <row r="562" spans="1:70" ht="13.5" customHeight="1">
      <c r="A562" s="193" t="s">
        <v>378</v>
      </c>
      <c r="B562" s="193" t="s">
        <v>379</v>
      </c>
      <c r="C562" s="193" t="s">
        <v>214</v>
      </c>
      <c r="D562" s="193" t="s">
        <v>1098</v>
      </c>
      <c r="E562" s="193" t="s">
        <v>1099</v>
      </c>
      <c r="F562" s="193" t="s">
        <v>1588</v>
      </c>
      <c r="G562" s="193" t="s">
        <v>1588</v>
      </c>
      <c r="H562" s="193" t="s">
        <v>2158</v>
      </c>
      <c r="I562" s="193" t="s">
        <v>384</v>
      </c>
      <c r="J562" s="193" t="s">
        <v>2159</v>
      </c>
      <c r="K562" s="193" t="s">
        <v>386</v>
      </c>
      <c r="L562" s="193" t="s">
        <v>387</v>
      </c>
      <c r="M562" s="193" t="s">
        <v>378</v>
      </c>
      <c r="N562" s="193" t="s">
        <v>1497</v>
      </c>
      <c r="O562" s="193" t="s">
        <v>129</v>
      </c>
      <c r="P562" s="193" t="s">
        <v>138</v>
      </c>
      <c r="Q562" s="193" t="s">
        <v>137</v>
      </c>
      <c r="R562" s="193" t="s">
        <v>136</v>
      </c>
      <c r="S562" s="193" t="s">
        <v>214</v>
      </c>
      <c r="T562" s="193" t="s">
        <v>389</v>
      </c>
      <c r="U562" s="193" t="s">
        <v>390</v>
      </c>
      <c r="V562" s="193">
        <v>0</v>
      </c>
      <c r="W562" s="193">
        <v>0</v>
      </c>
      <c r="X562" s="193">
        <v>0</v>
      </c>
      <c r="Y562" s="194">
        <v>6347</v>
      </c>
      <c r="Z562" s="193" t="s">
        <v>1498</v>
      </c>
      <c r="AA562" s="193" t="s">
        <v>1499</v>
      </c>
      <c r="AB562" s="193">
        <v>6347</v>
      </c>
      <c r="AC562" s="193" t="s">
        <v>1500</v>
      </c>
      <c r="AD562" s="193" t="s">
        <v>136</v>
      </c>
      <c r="AE562" s="193">
        <v>6347</v>
      </c>
      <c r="AF562" s="193" t="s">
        <v>394</v>
      </c>
      <c r="AG562" s="193" t="s">
        <v>395</v>
      </c>
      <c r="AH562" s="193">
        <v>577</v>
      </c>
      <c r="AI562" s="193">
        <v>5770</v>
      </c>
      <c r="AJ562" s="193" t="s">
        <v>2160</v>
      </c>
      <c r="AL562" s="197" t="s">
        <v>2161</v>
      </c>
      <c r="AM562" s="193">
        <v>1</v>
      </c>
      <c r="AN562" s="193">
        <v>0</v>
      </c>
      <c r="AO562" s="193">
        <v>0</v>
      </c>
      <c r="AP562" s="193">
        <v>0</v>
      </c>
      <c r="AQ562" s="193" t="s">
        <v>214</v>
      </c>
      <c r="AS562" s="197" t="s">
        <v>394</v>
      </c>
      <c r="AT562" s="197" t="s">
        <v>395</v>
      </c>
      <c r="AV562" s="194">
        <v>1206</v>
      </c>
      <c r="AW562" s="194">
        <v>0</v>
      </c>
      <c r="AX562" s="194">
        <v>0</v>
      </c>
      <c r="AY562" s="549">
        <v>1206</v>
      </c>
      <c r="AZ562" s="194">
        <v>0</v>
      </c>
      <c r="BA562" s="194">
        <v>5141</v>
      </c>
      <c r="BB562" s="551">
        <v>5141</v>
      </c>
      <c r="BC562" s="551">
        <v>6347</v>
      </c>
      <c r="BD562" s="551">
        <v>0</v>
      </c>
      <c r="BF562" s="550">
        <f t="shared" si="112"/>
        <v>1096</v>
      </c>
      <c r="BG562" s="550">
        <f t="shared" si="113"/>
        <v>0</v>
      </c>
      <c r="BH562" s="550">
        <f t="shared" si="114"/>
        <v>0</v>
      </c>
      <c r="BI562" s="550">
        <f t="shared" si="115"/>
        <v>1096</v>
      </c>
      <c r="BJ562" s="550">
        <f t="shared" si="116"/>
        <v>0</v>
      </c>
      <c r="BK562" s="550">
        <f t="shared" si="117"/>
        <v>4674</v>
      </c>
      <c r="BL562" s="550">
        <f t="shared" si="118"/>
        <v>4674</v>
      </c>
      <c r="BM562" s="550">
        <f t="shared" si="119"/>
        <v>5770</v>
      </c>
      <c r="BO562" s="194"/>
      <c r="BQ562" s="193">
        <f t="shared" si="120"/>
        <v>0.36363636363626028</v>
      </c>
      <c r="BR562" s="193">
        <f t="shared" si="121"/>
        <v>-0.36363636363603291</v>
      </c>
    </row>
    <row r="563" spans="1:70" ht="13.5" customHeight="1">
      <c r="A563" s="193" t="s">
        <v>378</v>
      </c>
      <c r="B563" s="193" t="s">
        <v>379</v>
      </c>
      <c r="C563" s="193" t="s">
        <v>214</v>
      </c>
      <c r="D563" s="193" t="s">
        <v>1098</v>
      </c>
      <c r="E563" s="193" t="s">
        <v>1099</v>
      </c>
      <c r="F563" s="193" t="s">
        <v>1588</v>
      </c>
      <c r="G563" s="193" t="s">
        <v>1588</v>
      </c>
      <c r="H563" s="193" t="s">
        <v>2158</v>
      </c>
      <c r="I563" s="193" t="s">
        <v>384</v>
      </c>
      <c r="J563" s="193" t="s">
        <v>2162</v>
      </c>
      <c r="K563" s="193" t="s">
        <v>386</v>
      </c>
      <c r="L563" s="193" t="s">
        <v>387</v>
      </c>
      <c r="M563" s="193" t="s">
        <v>378</v>
      </c>
      <c r="N563" s="193" t="s">
        <v>1497</v>
      </c>
      <c r="O563" s="193" t="s">
        <v>129</v>
      </c>
      <c r="P563" s="193" t="s">
        <v>138</v>
      </c>
      <c r="Q563" s="193" t="s">
        <v>137</v>
      </c>
      <c r="R563" s="193" t="s">
        <v>136</v>
      </c>
      <c r="S563" s="193" t="s">
        <v>214</v>
      </c>
      <c r="T563" s="193" t="s">
        <v>389</v>
      </c>
      <c r="U563" s="193" t="s">
        <v>390</v>
      </c>
      <c r="V563" s="193">
        <v>0</v>
      </c>
      <c r="W563" s="193">
        <v>0</v>
      </c>
      <c r="X563" s="193">
        <v>0</v>
      </c>
      <c r="Y563" s="194">
        <v>9476</v>
      </c>
      <c r="Z563" s="193" t="s">
        <v>1498</v>
      </c>
      <c r="AA563" s="193" t="s">
        <v>1499</v>
      </c>
      <c r="AB563" s="193">
        <v>9476</v>
      </c>
      <c r="AC563" s="193" t="s">
        <v>1500</v>
      </c>
      <c r="AD563" s="193" t="s">
        <v>136</v>
      </c>
      <c r="AE563" s="193">
        <v>9476</v>
      </c>
      <c r="AF563" s="193" t="s">
        <v>394</v>
      </c>
      <c r="AG563" s="193" t="s">
        <v>395</v>
      </c>
      <c r="AH563" s="193">
        <v>861</v>
      </c>
      <c r="AI563" s="193">
        <v>8615</v>
      </c>
      <c r="AJ563" s="193" t="s">
        <v>2163</v>
      </c>
      <c r="AL563" s="197" t="s">
        <v>2164</v>
      </c>
      <c r="AM563" s="193">
        <v>1</v>
      </c>
      <c r="AN563" s="193">
        <v>0</v>
      </c>
      <c r="AO563" s="193">
        <v>0</v>
      </c>
      <c r="AP563" s="193">
        <v>0</v>
      </c>
      <c r="AQ563" s="193" t="s">
        <v>214</v>
      </c>
      <c r="AS563" s="197" t="s">
        <v>394</v>
      </c>
      <c r="AT563" s="197" t="s">
        <v>395</v>
      </c>
      <c r="AV563" s="194">
        <v>1800</v>
      </c>
      <c r="AW563" s="194">
        <v>0</v>
      </c>
      <c r="AX563" s="194">
        <v>0</v>
      </c>
      <c r="AY563" s="549">
        <v>1800</v>
      </c>
      <c r="AZ563" s="194">
        <v>0</v>
      </c>
      <c r="BA563" s="194">
        <v>7676</v>
      </c>
      <c r="BB563" s="551">
        <v>7676</v>
      </c>
      <c r="BC563" s="551">
        <v>9476</v>
      </c>
      <c r="BD563" s="551">
        <v>0</v>
      </c>
      <c r="BF563" s="550">
        <f t="shared" si="112"/>
        <v>1636</v>
      </c>
      <c r="BG563" s="550">
        <f t="shared" si="113"/>
        <v>0</v>
      </c>
      <c r="BH563" s="550">
        <f t="shared" si="114"/>
        <v>0</v>
      </c>
      <c r="BI563" s="550">
        <f t="shared" si="115"/>
        <v>1636</v>
      </c>
      <c r="BJ563" s="550">
        <f t="shared" si="116"/>
        <v>0</v>
      </c>
      <c r="BK563" s="550">
        <f t="shared" si="117"/>
        <v>6978</v>
      </c>
      <c r="BL563" s="550">
        <f t="shared" si="118"/>
        <v>6978</v>
      </c>
      <c r="BM563" s="550">
        <f t="shared" si="119"/>
        <v>8614</v>
      </c>
      <c r="BO563" s="194"/>
      <c r="BQ563" s="193">
        <f t="shared" si="120"/>
        <v>0.36363636363626028</v>
      </c>
      <c r="BR563" s="193">
        <f t="shared" si="121"/>
        <v>0.18181818181801646</v>
      </c>
    </row>
    <row r="564" spans="1:70" ht="13.5" customHeight="1">
      <c r="A564" s="193" t="s">
        <v>378</v>
      </c>
      <c r="B564" s="193" t="s">
        <v>379</v>
      </c>
      <c r="C564" s="193" t="s">
        <v>214</v>
      </c>
      <c r="D564" s="193" t="s">
        <v>1098</v>
      </c>
      <c r="E564" s="193" t="s">
        <v>1099</v>
      </c>
      <c r="F564" s="193" t="s">
        <v>2165</v>
      </c>
      <c r="G564" s="193" t="s">
        <v>2165</v>
      </c>
      <c r="H564" s="193" t="s">
        <v>2166</v>
      </c>
      <c r="I564" s="193" t="s">
        <v>384</v>
      </c>
      <c r="J564" s="193" t="s">
        <v>2167</v>
      </c>
      <c r="K564" s="193" t="s">
        <v>386</v>
      </c>
      <c r="L564" s="193" t="s">
        <v>387</v>
      </c>
      <c r="M564" s="193" t="s">
        <v>378</v>
      </c>
      <c r="N564" s="193" t="s">
        <v>1497</v>
      </c>
      <c r="O564" s="193" t="s">
        <v>129</v>
      </c>
      <c r="P564" s="193" t="s">
        <v>138</v>
      </c>
      <c r="Q564" s="193" t="s">
        <v>137</v>
      </c>
      <c r="R564" s="193" t="s">
        <v>136</v>
      </c>
      <c r="S564" s="193" t="s">
        <v>214</v>
      </c>
      <c r="T564" s="193" t="s">
        <v>389</v>
      </c>
      <c r="U564" s="193" t="s">
        <v>390</v>
      </c>
      <c r="V564" s="193">
        <v>0</v>
      </c>
      <c r="W564" s="193">
        <v>0</v>
      </c>
      <c r="X564" s="193">
        <v>0</v>
      </c>
      <c r="Y564" s="194">
        <v>6482</v>
      </c>
      <c r="Z564" s="193" t="s">
        <v>1498</v>
      </c>
      <c r="AA564" s="193" t="s">
        <v>1499</v>
      </c>
      <c r="AB564" s="193">
        <v>6482</v>
      </c>
      <c r="AC564" s="193" t="s">
        <v>1500</v>
      </c>
      <c r="AD564" s="193" t="s">
        <v>136</v>
      </c>
      <c r="AE564" s="193">
        <v>6482</v>
      </c>
      <c r="AF564" s="193" t="s">
        <v>394</v>
      </c>
      <c r="AG564" s="193" t="s">
        <v>395</v>
      </c>
      <c r="AH564" s="193">
        <v>589</v>
      </c>
      <c r="AI564" s="193">
        <v>5893</v>
      </c>
      <c r="AJ564" s="193" t="s">
        <v>2160</v>
      </c>
      <c r="AL564" s="197" t="s">
        <v>2168</v>
      </c>
      <c r="AM564" s="193">
        <v>1</v>
      </c>
      <c r="AN564" s="193">
        <v>0</v>
      </c>
      <c r="AO564" s="193">
        <v>0</v>
      </c>
      <c r="AP564" s="193">
        <v>0</v>
      </c>
      <c r="AQ564" s="193" t="s">
        <v>214</v>
      </c>
      <c r="AS564" s="197" t="s">
        <v>394</v>
      </c>
      <c r="AT564" s="197" t="s">
        <v>395</v>
      </c>
      <c r="AV564" s="194">
        <v>1232</v>
      </c>
      <c r="AW564" s="194">
        <v>0</v>
      </c>
      <c r="AX564" s="194">
        <v>0</v>
      </c>
      <c r="AY564" s="549">
        <v>1232</v>
      </c>
      <c r="AZ564" s="194">
        <v>0</v>
      </c>
      <c r="BA564" s="194">
        <v>5250</v>
      </c>
      <c r="BB564" s="551">
        <v>5250</v>
      </c>
      <c r="BC564" s="551">
        <v>6482</v>
      </c>
      <c r="BD564" s="551">
        <v>0</v>
      </c>
      <c r="BF564" s="550">
        <f t="shared" si="112"/>
        <v>1120</v>
      </c>
      <c r="BG564" s="550">
        <f t="shared" si="113"/>
        <v>0</v>
      </c>
      <c r="BH564" s="550">
        <f t="shared" si="114"/>
        <v>0</v>
      </c>
      <c r="BI564" s="550">
        <f t="shared" si="115"/>
        <v>1120</v>
      </c>
      <c r="BJ564" s="550">
        <f t="shared" si="116"/>
        <v>0</v>
      </c>
      <c r="BK564" s="550">
        <f t="shared" si="117"/>
        <v>4773</v>
      </c>
      <c r="BL564" s="550">
        <f t="shared" si="118"/>
        <v>4773</v>
      </c>
      <c r="BM564" s="550">
        <f t="shared" si="119"/>
        <v>5893</v>
      </c>
      <c r="BO564" s="194"/>
      <c r="BQ564" s="193">
        <f t="shared" si="120"/>
        <v>0</v>
      </c>
      <c r="BR564" s="193">
        <f t="shared" si="121"/>
        <v>-0.27272727272702468</v>
      </c>
    </row>
    <row r="565" spans="1:70" ht="13.5" customHeight="1">
      <c r="A565" s="193" t="s">
        <v>378</v>
      </c>
      <c r="B565" s="193" t="s">
        <v>379</v>
      </c>
      <c r="C565" s="193" t="s">
        <v>214</v>
      </c>
      <c r="D565" s="193" t="s">
        <v>1098</v>
      </c>
      <c r="E565" s="193" t="s">
        <v>1099</v>
      </c>
      <c r="F565" s="193" t="s">
        <v>2165</v>
      </c>
      <c r="G565" s="193" t="s">
        <v>2165</v>
      </c>
      <c r="H565" s="193" t="s">
        <v>2166</v>
      </c>
      <c r="I565" s="193" t="s">
        <v>384</v>
      </c>
      <c r="J565" s="193" t="s">
        <v>2169</v>
      </c>
      <c r="K565" s="193" t="s">
        <v>386</v>
      </c>
      <c r="L565" s="193" t="s">
        <v>387</v>
      </c>
      <c r="M565" s="193" t="s">
        <v>378</v>
      </c>
      <c r="N565" s="193" t="s">
        <v>1497</v>
      </c>
      <c r="O565" s="193" t="s">
        <v>129</v>
      </c>
      <c r="P565" s="193" t="s">
        <v>138</v>
      </c>
      <c r="Q565" s="193" t="s">
        <v>137</v>
      </c>
      <c r="R565" s="193" t="s">
        <v>136</v>
      </c>
      <c r="S565" s="193" t="s">
        <v>214</v>
      </c>
      <c r="T565" s="193" t="s">
        <v>389</v>
      </c>
      <c r="U565" s="193" t="s">
        <v>390</v>
      </c>
      <c r="V565" s="193">
        <v>0</v>
      </c>
      <c r="W565" s="193">
        <v>0</v>
      </c>
      <c r="X565" s="193">
        <v>0</v>
      </c>
      <c r="Y565" s="194">
        <v>8841</v>
      </c>
      <c r="Z565" s="193" t="s">
        <v>1498</v>
      </c>
      <c r="AA565" s="193" t="s">
        <v>1499</v>
      </c>
      <c r="AB565" s="193">
        <v>8841</v>
      </c>
      <c r="AC565" s="193" t="s">
        <v>1500</v>
      </c>
      <c r="AD565" s="193" t="s">
        <v>136</v>
      </c>
      <c r="AE565" s="193">
        <v>8841</v>
      </c>
      <c r="AF565" s="193" t="s">
        <v>394</v>
      </c>
      <c r="AG565" s="193" t="s">
        <v>395</v>
      </c>
      <c r="AH565" s="193">
        <v>803</v>
      </c>
      <c r="AI565" s="193">
        <v>8038</v>
      </c>
      <c r="AJ565" s="193" t="s">
        <v>2163</v>
      </c>
      <c r="AL565" s="197" t="s">
        <v>2170</v>
      </c>
      <c r="AM565" s="193">
        <v>1</v>
      </c>
      <c r="AN565" s="193">
        <v>0</v>
      </c>
      <c r="AO565" s="193">
        <v>0</v>
      </c>
      <c r="AP565" s="193">
        <v>0</v>
      </c>
      <c r="AQ565" s="193" t="s">
        <v>214</v>
      </c>
      <c r="AS565" s="197" t="s">
        <v>394</v>
      </c>
      <c r="AT565" s="197" t="s">
        <v>395</v>
      </c>
      <c r="AV565" s="194">
        <v>1680</v>
      </c>
      <c r="AW565" s="194">
        <v>0</v>
      </c>
      <c r="AX565" s="194">
        <v>0</v>
      </c>
      <c r="AY565" s="549">
        <v>1680</v>
      </c>
      <c r="AZ565" s="194">
        <v>0</v>
      </c>
      <c r="BA565" s="194">
        <v>7161</v>
      </c>
      <c r="BB565" s="551">
        <v>7161</v>
      </c>
      <c r="BC565" s="551">
        <v>8841</v>
      </c>
      <c r="BD565" s="551">
        <v>0</v>
      </c>
      <c r="BF565" s="550">
        <f t="shared" si="112"/>
        <v>1527</v>
      </c>
      <c r="BG565" s="550">
        <f t="shared" si="113"/>
        <v>0</v>
      </c>
      <c r="BH565" s="550">
        <f t="shared" si="114"/>
        <v>0</v>
      </c>
      <c r="BI565" s="550">
        <f t="shared" si="115"/>
        <v>1527</v>
      </c>
      <c r="BJ565" s="550">
        <f t="shared" si="116"/>
        <v>0</v>
      </c>
      <c r="BK565" s="550">
        <f t="shared" si="117"/>
        <v>6510</v>
      </c>
      <c r="BL565" s="550">
        <f t="shared" si="118"/>
        <v>6510</v>
      </c>
      <c r="BM565" s="550">
        <f t="shared" si="119"/>
        <v>8037</v>
      </c>
      <c r="BO565" s="194"/>
      <c r="BQ565" s="193">
        <f t="shared" si="120"/>
        <v>0.27272727272725206</v>
      </c>
      <c r="BR565" s="193">
        <f t="shared" si="121"/>
        <v>0</v>
      </c>
    </row>
    <row r="566" spans="1:70" ht="13.5" customHeight="1">
      <c r="A566" s="193" t="s">
        <v>378</v>
      </c>
      <c r="B566" s="193" t="s">
        <v>379</v>
      </c>
      <c r="C566" s="193" t="s">
        <v>214</v>
      </c>
      <c r="D566" s="193" t="s">
        <v>1098</v>
      </c>
      <c r="E566" s="193" t="s">
        <v>1099</v>
      </c>
      <c r="F566" s="193" t="s">
        <v>439</v>
      </c>
      <c r="G566" s="193" t="s">
        <v>439</v>
      </c>
      <c r="H566" s="193" t="s">
        <v>2171</v>
      </c>
      <c r="I566" s="193" t="s">
        <v>384</v>
      </c>
      <c r="J566" s="193" t="s">
        <v>2172</v>
      </c>
      <c r="K566" s="193" t="s">
        <v>386</v>
      </c>
      <c r="L566" s="193" t="s">
        <v>387</v>
      </c>
      <c r="M566" s="193" t="s">
        <v>378</v>
      </c>
      <c r="N566" s="193" t="s">
        <v>1497</v>
      </c>
      <c r="O566" s="193" t="s">
        <v>129</v>
      </c>
      <c r="P566" s="193" t="s">
        <v>138</v>
      </c>
      <c r="Q566" s="193" t="s">
        <v>137</v>
      </c>
      <c r="R566" s="193" t="s">
        <v>136</v>
      </c>
      <c r="S566" s="193" t="s">
        <v>214</v>
      </c>
      <c r="T566" s="193" t="s">
        <v>389</v>
      </c>
      <c r="U566" s="193" t="s">
        <v>390</v>
      </c>
      <c r="V566" s="193">
        <v>0</v>
      </c>
      <c r="W566" s="193">
        <v>0</v>
      </c>
      <c r="X566" s="193">
        <v>0</v>
      </c>
      <c r="Y566" s="194">
        <v>6076</v>
      </c>
      <c r="Z566" s="193" t="s">
        <v>1498</v>
      </c>
      <c r="AA566" s="193" t="s">
        <v>1499</v>
      </c>
      <c r="AB566" s="193">
        <v>6076</v>
      </c>
      <c r="AC566" s="193" t="s">
        <v>1500</v>
      </c>
      <c r="AD566" s="193" t="s">
        <v>136</v>
      </c>
      <c r="AE566" s="193">
        <v>6076</v>
      </c>
      <c r="AF566" s="193" t="s">
        <v>394</v>
      </c>
      <c r="AG566" s="193" t="s">
        <v>395</v>
      </c>
      <c r="AH566" s="193">
        <v>552</v>
      </c>
      <c r="AI566" s="193">
        <v>5524</v>
      </c>
      <c r="AJ566" s="193" t="s">
        <v>2160</v>
      </c>
      <c r="AL566" s="197" t="s">
        <v>2173</v>
      </c>
      <c r="AM566" s="193">
        <v>1</v>
      </c>
      <c r="AN566" s="193">
        <v>0</v>
      </c>
      <c r="AO566" s="193">
        <v>0</v>
      </c>
      <c r="AP566" s="193">
        <v>0</v>
      </c>
      <c r="AQ566" s="193" t="s">
        <v>214</v>
      </c>
      <c r="AS566" s="197" t="s">
        <v>394</v>
      </c>
      <c r="AT566" s="197" t="s">
        <v>395</v>
      </c>
      <c r="AV566" s="194">
        <v>1154</v>
      </c>
      <c r="AW566" s="194">
        <v>0</v>
      </c>
      <c r="AX566" s="194">
        <v>0</v>
      </c>
      <c r="AY566" s="549">
        <v>1154</v>
      </c>
      <c r="AZ566" s="194">
        <v>0</v>
      </c>
      <c r="BA566" s="194">
        <v>4922</v>
      </c>
      <c r="BB566" s="551">
        <v>4922</v>
      </c>
      <c r="BC566" s="551">
        <v>6076</v>
      </c>
      <c r="BD566" s="551">
        <v>0</v>
      </c>
      <c r="BF566" s="550">
        <f t="shared" si="112"/>
        <v>1049</v>
      </c>
      <c r="BG566" s="550">
        <f t="shared" si="113"/>
        <v>0</v>
      </c>
      <c r="BH566" s="550">
        <f t="shared" si="114"/>
        <v>0</v>
      </c>
      <c r="BI566" s="550">
        <f t="shared" si="115"/>
        <v>1049</v>
      </c>
      <c r="BJ566" s="550">
        <f t="shared" si="116"/>
        <v>0</v>
      </c>
      <c r="BK566" s="574">
        <f>+IFERROR(ROUND(BA566*100/(100+$AT566),0),BA566)-1</f>
        <v>4474</v>
      </c>
      <c r="BL566" s="550">
        <f t="shared" si="118"/>
        <v>4474</v>
      </c>
      <c r="BM566" s="550">
        <f t="shared" si="119"/>
        <v>5523</v>
      </c>
      <c r="BO566" s="194"/>
      <c r="BQ566" s="193">
        <f t="shared" si="120"/>
        <v>9.0909090909008228E-2</v>
      </c>
      <c r="BR566" s="193">
        <f t="shared" si="121"/>
        <v>0.54545454545495886</v>
      </c>
    </row>
    <row r="567" spans="1:70" ht="13.5" customHeight="1">
      <c r="A567" s="193" t="s">
        <v>378</v>
      </c>
      <c r="B567" s="193" t="s">
        <v>379</v>
      </c>
      <c r="C567" s="193" t="s">
        <v>214</v>
      </c>
      <c r="D567" s="193" t="s">
        <v>1098</v>
      </c>
      <c r="E567" s="193" t="s">
        <v>1099</v>
      </c>
      <c r="F567" s="193" t="s">
        <v>439</v>
      </c>
      <c r="G567" s="193" t="s">
        <v>439</v>
      </c>
      <c r="H567" s="193" t="s">
        <v>2171</v>
      </c>
      <c r="I567" s="193" t="s">
        <v>384</v>
      </c>
      <c r="J567" s="193" t="s">
        <v>2174</v>
      </c>
      <c r="K567" s="193" t="s">
        <v>386</v>
      </c>
      <c r="L567" s="193" t="s">
        <v>387</v>
      </c>
      <c r="M567" s="193" t="s">
        <v>378</v>
      </c>
      <c r="N567" s="193" t="s">
        <v>1497</v>
      </c>
      <c r="O567" s="193" t="s">
        <v>129</v>
      </c>
      <c r="P567" s="193" t="s">
        <v>138</v>
      </c>
      <c r="Q567" s="193" t="s">
        <v>137</v>
      </c>
      <c r="R567" s="193" t="s">
        <v>136</v>
      </c>
      <c r="S567" s="193" t="s">
        <v>214</v>
      </c>
      <c r="T567" s="193" t="s">
        <v>389</v>
      </c>
      <c r="U567" s="193" t="s">
        <v>390</v>
      </c>
      <c r="V567" s="193">
        <v>0</v>
      </c>
      <c r="W567" s="193">
        <v>0</v>
      </c>
      <c r="X567" s="193">
        <v>0</v>
      </c>
      <c r="Y567" s="194">
        <v>7450</v>
      </c>
      <c r="Z567" s="193" t="s">
        <v>1498</v>
      </c>
      <c r="AA567" s="193" t="s">
        <v>1499</v>
      </c>
      <c r="AB567" s="193">
        <v>7450</v>
      </c>
      <c r="AC567" s="193" t="s">
        <v>1500</v>
      </c>
      <c r="AD567" s="193" t="s">
        <v>136</v>
      </c>
      <c r="AE567" s="193">
        <v>7450</v>
      </c>
      <c r="AF567" s="193" t="s">
        <v>394</v>
      </c>
      <c r="AG567" s="193" t="s">
        <v>395</v>
      </c>
      <c r="AH567" s="193">
        <v>677</v>
      </c>
      <c r="AI567" s="193">
        <v>6773</v>
      </c>
      <c r="AJ567" s="193" t="s">
        <v>2175</v>
      </c>
      <c r="AL567" s="197" t="s">
        <v>2176</v>
      </c>
      <c r="AM567" s="193">
        <v>1</v>
      </c>
      <c r="AN567" s="193">
        <v>0</v>
      </c>
      <c r="AO567" s="193">
        <v>0</v>
      </c>
      <c r="AP567" s="193">
        <v>0</v>
      </c>
      <c r="AQ567" s="193" t="s">
        <v>214</v>
      </c>
      <c r="AS567" s="197" t="s">
        <v>394</v>
      </c>
      <c r="AT567" s="197" t="s">
        <v>395</v>
      </c>
      <c r="AV567" s="194">
        <v>1416</v>
      </c>
      <c r="AW567" s="194">
        <v>0</v>
      </c>
      <c r="AX567" s="194">
        <v>0</v>
      </c>
      <c r="AY567" s="549">
        <v>1416</v>
      </c>
      <c r="AZ567" s="194">
        <v>0</v>
      </c>
      <c r="BA567" s="194">
        <v>6034</v>
      </c>
      <c r="BB567" s="551">
        <v>6034</v>
      </c>
      <c r="BC567" s="551">
        <v>7450</v>
      </c>
      <c r="BD567" s="551">
        <v>0</v>
      </c>
      <c r="BF567" s="550">
        <f t="shared" si="112"/>
        <v>1287</v>
      </c>
      <c r="BG567" s="550">
        <f t="shared" si="113"/>
        <v>0</v>
      </c>
      <c r="BH567" s="550">
        <f t="shared" si="114"/>
        <v>0</v>
      </c>
      <c r="BI567" s="550">
        <f t="shared" si="115"/>
        <v>1287</v>
      </c>
      <c r="BJ567" s="550">
        <f t="shared" si="116"/>
        <v>0</v>
      </c>
      <c r="BK567" s="550">
        <f t="shared" si="117"/>
        <v>5485</v>
      </c>
      <c r="BL567" s="550">
        <f t="shared" si="118"/>
        <v>5485</v>
      </c>
      <c r="BM567" s="550">
        <f t="shared" si="119"/>
        <v>6772</v>
      </c>
      <c r="BO567" s="194"/>
      <c r="BQ567" s="193">
        <f t="shared" si="120"/>
        <v>0.27272727272725206</v>
      </c>
      <c r="BR567" s="193">
        <f t="shared" si="121"/>
        <v>0.45454545454504114</v>
      </c>
    </row>
    <row r="568" spans="1:70" ht="13.5" customHeight="1">
      <c r="A568" s="193" t="s">
        <v>378</v>
      </c>
      <c r="B568" s="193" t="s">
        <v>379</v>
      </c>
      <c r="C568" s="193" t="s">
        <v>214</v>
      </c>
      <c r="D568" s="193" t="s">
        <v>1098</v>
      </c>
      <c r="E568" s="193" t="s">
        <v>1099</v>
      </c>
      <c r="F568" s="193" t="s">
        <v>1705</v>
      </c>
      <c r="G568" s="193" t="s">
        <v>1705</v>
      </c>
      <c r="H568" s="193" t="s">
        <v>2177</v>
      </c>
      <c r="I568" s="193" t="s">
        <v>384</v>
      </c>
      <c r="J568" s="193" t="s">
        <v>2178</v>
      </c>
      <c r="K568" s="193" t="s">
        <v>386</v>
      </c>
      <c r="L568" s="193" t="s">
        <v>387</v>
      </c>
      <c r="M568" s="193" t="s">
        <v>378</v>
      </c>
      <c r="N568" s="193" t="s">
        <v>1497</v>
      </c>
      <c r="O568" s="193" t="s">
        <v>129</v>
      </c>
      <c r="P568" s="193" t="s">
        <v>138</v>
      </c>
      <c r="Q568" s="193" t="s">
        <v>137</v>
      </c>
      <c r="R568" s="193" t="s">
        <v>136</v>
      </c>
      <c r="S568" s="193" t="s">
        <v>214</v>
      </c>
      <c r="T568" s="193" t="s">
        <v>389</v>
      </c>
      <c r="U568" s="193" t="s">
        <v>390</v>
      </c>
      <c r="V568" s="193">
        <v>0</v>
      </c>
      <c r="W568" s="193">
        <v>0</v>
      </c>
      <c r="X568" s="193">
        <v>0</v>
      </c>
      <c r="Y568" s="194">
        <v>8328</v>
      </c>
      <c r="Z568" s="193" t="s">
        <v>1498</v>
      </c>
      <c r="AA568" s="193" t="s">
        <v>1499</v>
      </c>
      <c r="AB568" s="193">
        <v>8328</v>
      </c>
      <c r="AC568" s="193" t="s">
        <v>1500</v>
      </c>
      <c r="AD568" s="193" t="s">
        <v>136</v>
      </c>
      <c r="AE568" s="193">
        <v>8328</v>
      </c>
      <c r="AF568" s="193" t="s">
        <v>394</v>
      </c>
      <c r="AG568" s="193" t="s">
        <v>395</v>
      </c>
      <c r="AH568" s="193">
        <v>757</v>
      </c>
      <c r="AI568" s="193">
        <v>7571</v>
      </c>
      <c r="AJ568" s="193" t="s">
        <v>2160</v>
      </c>
      <c r="AL568" s="197" t="s">
        <v>2179</v>
      </c>
      <c r="AM568" s="193">
        <v>1</v>
      </c>
      <c r="AN568" s="193">
        <v>0</v>
      </c>
      <c r="AO568" s="193">
        <v>0</v>
      </c>
      <c r="AP568" s="193">
        <v>0</v>
      </c>
      <c r="AQ568" s="193" t="s">
        <v>214</v>
      </c>
      <c r="AS568" s="197" t="s">
        <v>394</v>
      </c>
      <c r="AT568" s="197" t="s">
        <v>395</v>
      </c>
      <c r="AV568" s="196">
        <v>1582</v>
      </c>
      <c r="AW568" s="194">
        <v>0</v>
      </c>
      <c r="AX568" s="194">
        <v>0</v>
      </c>
      <c r="AY568" s="549">
        <v>1582</v>
      </c>
      <c r="AZ568" s="194">
        <v>0</v>
      </c>
      <c r="BA568" s="196">
        <v>6746</v>
      </c>
      <c r="BB568" s="551">
        <v>6746</v>
      </c>
      <c r="BC568" s="551">
        <v>8328</v>
      </c>
      <c r="BD568" s="551">
        <v>0</v>
      </c>
      <c r="BF568" s="550">
        <f t="shared" si="112"/>
        <v>1438</v>
      </c>
      <c r="BG568" s="550">
        <f t="shared" si="113"/>
        <v>0</v>
      </c>
      <c r="BH568" s="550">
        <f t="shared" si="114"/>
        <v>0</v>
      </c>
      <c r="BI568" s="550">
        <f t="shared" si="115"/>
        <v>1438</v>
      </c>
      <c r="BJ568" s="550">
        <f t="shared" si="116"/>
        <v>0</v>
      </c>
      <c r="BK568" s="550">
        <f t="shared" si="117"/>
        <v>6133</v>
      </c>
      <c r="BL568" s="550">
        <f t="shared" si="118"/>
        <v>6133</v>
      </c>
      <c r="BM568" s="550">
        <f t="shared" si="119"/>
        <v>7571</v>
      </c>
      <c r="BO568" s="194"/>
      <c r="BQ568" s="193">
        <f t="shared" si="120"/>
        <v>0.18181818181824383</v>
      </c>
      <c r="BR568" s="193">
        <f t="shared" si="121"/>
        <v>-0.27272727272702468</v>
      </c>
    </row>
    <row r="569" spans="1:70" ht="13.5" customHeight="1">
      <c r="A569" s="193" t="s">
        <v>378</v>
      </c>
      <c r="B569" s="193" t="s">
        <v>379</v>
      </c>
      <c r="C569" s="193" t="s">
        <v>214</v>
      </c>
      <c r="D569" s="193" t="s">
        <v>1098</v>
      </c>
      <c r="E569" s="193" t="s">
        <v>1099</v>
      </c>
      <c r="F569" s="193" t="s">
        <v>1705</v>
      </c>
      <c r="G569" s="193" t="s">
        <v>1705</v>
      </c>
      <c r="H569" s="193" t="s">
        <v>2177</v>
      </c>
      <c r="I569" s="193" t="s">
        <v>384</v>
      </c>
      <c r="J569" s="193" t="s">
        <v>2180</v>
      </c>
      <c r="K569" s="193" t="s">
        <v>386</v>
      </c>
      <c r="L569" s="193" t="s">
        <v>387</v>
      </c>
      <c r="M569" s="193" t="s">
        <v>378</v>
      </c>
      <c r="N569" s="193" t="s">
        <v>1497</v>
      </c>
      <c r="O569" s="193" t="s">
        <v>129</v>
      </c>
      <c r="P569" s="193" t="s">
        <v>138</v>
      </c>
      <c r="Q569" s="193" t="s">
        <v>137</v>
      </c>
      <c r="R569" s="193" t="s">
        <v>136</v>
      </c>
      <c r="S569" s="193" t="s">
        <v>214</v>
      </c>
      <c r="T569" s="193" t="s">
        <v>389</v>
      </c>
      <c r="U569" s="193" t="s">
        <v>390</v>
      </c>
      <c r="V569" s="193">
        <v>0</v>
      </c>
      <c r="W569" s="193">
        <v>0</v>
      </c>
      <c r="X569" s="193">
        <v>0</v>
      </c>
      <c r="Y569" s="194">
        <v>6496</v>
      </c>
      <c r="Z569" s="193" t="s">
        <v>1498</v>
      </c>
      <c r="AA569" s="193" t="s">
        <v>1499</v>
      </c>
      <c r="AB569" s="193">
        <v>6496</v>
      </c>
      <c r="AC569" s="193" t="s">
        <v>1500</v>
      </c>
      <c r="AD569" s="193" t="s">
        <v>136</v>
      </c>
      <c r="AE569" s="193">
        <v>6496</v>
      </c>
      <c r="AF569" s="193" t="s">
        <v>394</v>
      </c>
      <c r="AG569" s="193" t="s">
        <v>395</v>
      </c>
      <c r="AH569" s="193">
        <v>590</v>
      </c>
      <c r="AI569" s="193">
        <v>5906</v>
      </c>
      <c r="AJ569" s="193" t="s">
        <v>2163</v>
      </c>
      <c r="AL569" s="197" t="s">
        <v>2181</v>
      </c>
      <c r="AM569" s="193">
        <v>1</v>
      </c>
      <c r="AN569" s="193">
        <v>0</v>
      </c>
      <c r="AO569" s="193">
        <v>0</v>
      </c>
      <c r="AP569" s="193">
        <v>0</v>
      </c>
      <c r="AQ569" s="193" t="s">
        <v>214</v>
      </c>
      <c r="AS569" s="197" t="s">
        <v>394</v>
      </c>
      <c r="AT569" s="197" t="s">
        <v>395</v>
      </c>
      <c r="AV569" s="194">
        <v>1234</v>
      </c>
      <c r="AW569" s="194">
        <v>0</v>
      </c>
      <c r="AX569" s="194">
        <v>0</v>
      </c>
      <c r="AY569" s="549">
        <v>1234</v>
      </c>
      <c r="AZ569" s="194">
        <v>0</v>
      </c>
      <c r="BA569" s="194">
        <v>5262</v>
      </c>
      <c r="BB569" s="551">
        <v>5262</v>
      </c>
      <c r="BC569" s="551">
        <v>6496</v>
      </c>
      <c r="BD569" s="551">
        <v>0</v>
      </c>
      <c r="BF569" s="550">
        <f t="shared" si="112"/>
        <v>1122</v>
      </c>
      <c r="BG569" s="550">
        <f t="shared" si="113"/>
        <v>0</v>
      </c>
      <c r="BH569" s="550">
        <f t="shared" si="114"/>
        <v>0</v>
      </c>
      <c r="BI569" s="550">
        <f t="shared" si="115"/>
        <v>1122</v>
      </c>
      <c r="BJ569" s="550">
        <f t="shared" si="116"/>
        <v>0</v>
      </c>
      <c r="BK569" s="550">
        <f t="shared" si="117"/>
        <v>4784</v>
      </c>
      <c r="BL569" s="550">
        <f t="shared" si="118"/>
        <v>4784</v>
      </c>
      <c r="BM569" s="550">
        <f t="shared" si="119"/>
        <v>5906</v>
      </c>
      <c r="BO569" s="194"/>
      <c r="BQ569" s="193">
        <f t="shared" si="120"/>
        <v>-0.18181818181824383</v>
      </c>
      <c r="BR569" s="193">
        <f t="shared" si="121"/>
        <v>-0.36363636363603291</v>
      </c>
    </row>
    <row r="570" spans="1:70" ht="13.5" customHeight="1">
      <c r="A570" s="193" t="s">
        <v>378</v>
      </c>
      <c r="B570" s="193" t="s">
        <v>379</v>
      </c>
      <c r="C570" s="193" t="s">
        <v>214</v>
      </c>
      <c r="D570" s="193" t="s">
        <v>1098</v>
      </c>
      <c r="E570" s="193" t="s">
        <v>1099</v>
      </c>
      <c r="F570" s="193" t="s">
        <v>956</v>
      </c>
      <c r="G570" s="193" t="s">
        <v>956</v>
      </c>
      <c r="H570" s="193" t="s">
        <v>2182</v>
      </c>
      <c r="I570" s="193" t="s">
        <v>384</v>
      </c>
      <c r="J570" s="193" t="s">
        <v>2183</v>
      </c>
      <c r="K570" s="193" t="s">
        <v>386</v>
      </c>
      <c r="L570" s="193" t="s">
        <v>387</v>
      </c>
      <c r="M570" s="193" t="s">
        <v>378</v>
      </c>
      <c r="N570" s="193" t="s">
        <v>1497</v>
      </c>
      <c r="O570" s="193" t="s">
        <v>129</v>
      </c>
      <c r="P570" s="193" t="s">
        <v>138</v>
      </c>
      <c r="Q570" s="193" t="s">
        <v>137</v>
      </c>
      <c r="R570" s="193" t="s">
        <v>136</v>
      </c>
      <c r="S570" s="193" t="s">
        <v>214</v>
      </c>
      <c r="T570" s="193" t="s">
        <v>389</v>
      </c>
      <c r="U570" s="193" t="s">
        <v>390</v>
      </c>
      <c r="V570" s="193">
        <v>0</v>
      </c>
      <c r="W570" s="193">
        <v>0</v>
      </c>
      <c r="X570" s="193">
        <v>0</v>
      </c>
      <c r="Y570" s="194">
        <v>3813</v>
      </c>
      <c r="Z570" s="193" t="s">
        <v>1498</v>
      </c>
      <c r="AA570" s="193" t="s">
        <v>1499</v>
      </c>
      <c r="AB570" s="193">
        <v>3813</v>
      </c>
      <c r="AC570" s="193" t="s">
        <v>1500</v>
      </c>
      <c r="AD570" s="193" t="s">
        <v>136</v>
      </c>
      <c r="AE570" s="193">
        <v>3813</v>
      </c>
      <c r="AF570" s="193" t="s">
        <v>394</v>
      </c>
      <c r="AG570" s="193" t="s">
        <v>395</v>
      </c>
      <c r="AH570" s="193">
        <v>346</v>
      </c>
      <c r="AI570" s="193">
        <v>3467</v>
      </c>
      <c r="AJ570" s="193" t="s">
        <v>2160</v>
      </c>
      <c r="AL570" s="197" t="s">
        <v>2184</v>
      </c>
      <c r="AM570" s="193">
        <v>1</v>
      </c>
      <c r="AN570" s="193">
        <v>0</v>
      </c>
      <c r="AO570" s="193">
        <v>0</v>
      </c>
      <c r="AP570" s="193">
        <v>0</v>
      </c>
      <c r="AQ570" s="193" t="s">
        <v>214</v>
      </c>
      <c r="AS570" s="197" t="s">
        <v>394</v>
      </c>
      <c r="AT570" s="197" t="s">
        <v>395</v>
      </c>
      <c r="AV570" s="194">
        <v>724</v>
      </c>
      <c r="AW570" s="194">
        <v>0</v>
      </c>
      <c r="AX570" s="194">
        <v>0</v>
      </c>
      <c r="AY570" s="549">
        <v>724</v>
      </c>
      <c r="AZ570" s="194">
        <v>0</v>
      </c>
      <c r="BA570" s="194">
        <v>3089</v>
      </c>
      <c r="BB570" s="551">
        <v>3089</v>
      </c>
      <c r="BC570" s="551">
        <v>3813</v>
      </c>
      <c r="BD570" s="551">
        <v>0</v>
      </c>
      <c r="BF570" s="550">
        <f t="shared" si="112"/>
        <v>658</v>
      </c>
      <c r="BG570" s="550">
        <f t="shared" si="113"/>
        <v>0</v>
      </c>
      <c r="BH570" s="550">
        <f t="shared" si="114"/>
        <v>0</v>
      </c>
      <c r="BI570" s="550">
        <f t="shared" si="115"/>
        <v>658</v>
      </c>
      <c r="BJ570" s="550">
        <f t="shared" si="116"/>
        <v>0</v>
      </c>
      <c r="BK570" s="550">
        <f t="shared" si="117"/>
        <v>2808</v>
      </c>
      <c r="BL570" s="550">
        <f t="shared" si="118"/>
        <v>2808</v>
      </c>
      <c r="BM570" s="550">
        <f t="shared" si="119"/>
        <v>3466</v>
      </c>
      <c r="BO570" s="194"/>
      <c r="BQ570" s="193">
        <f t="shared" si="120"/>
        <v>0.18181818181813014</v>
      </c>
      <c r="BR570" s="193">
        <f t="shared" si="121"/>
        <v>0.18181818181801646</v>
      </c>
    </row>
    <row r="571" spans="1:70" ht="13.5" customHeight="1">
      <c r="A571" s="193" t="s">
        <v>378</v>
      </c>
      <c r="B571" s="193" t="s">
        <v>379</v>
      </c>
      <c r="C571" s="193" t="s">
        <v>214</v>
      </c>
      <c r="D571" s="193" t="s">
        <v>1098</v>
      </c>
      <c r="E571" s="193" t="s">
        <v>1099</v>
      </c>
      <c r="F571" s="193" t="s">
        <v>956</v>
      </c>
      <c r="G571" s="193" t="s">
        <v>956</v>
      </c>
      <c r="H571" s="193" t="s">
        <v>2182</v>
      </c>
      <c r="I571" s="193" t="s">
        <v>384</v>
      </c>
      <c r="J571" s="193" t="s">
        <v>2185</v>
      </c>
      <c r="K571" s="193" t="s">
        <v>386</v>
      </c>
      <c r="L571" s="193" t="s">
        <v>387</v>
      </c>
      <c r="M571" s="193" t="s">
        <v>378</v>
      </c>
      <c r="N571" s="193" t="s">
        <v>1497</v>
      </c>
      <c r="O571" s="193" t="s">
        <v>129</v>
      </c>
      <c r="P571" s="193" t="s">
        <v>138</v>
      </c>
      <c r="Q571" s="193" t="s">
        <v>137</v>
      </c>
      <c r="R571" s="193" t="s">
        <v>136</v>
      </c>
      <c r="S571" s="193" t="s">
        <v>214</v>
      </c>
      <c r="T571" s="193" t="s">
        <v>389</v>
      </c>
      <c r="U571" s="193" t="s">
        <v>390</v>
      </c>
      <c r="V571" s="193">
        <v>0</v>
      </c>
      <c r="W571" s="193">
        <v>0</v>
      </c>
      <c r="X571" s="193">
        <v>0</v>
      </c>
      <c r="Y571" s="194">
        <v>4554</v>
      </c>
      <c r="Z571" s="193" t="s">
        <v>1498</v>
      </c>
      <c r="AA571" s="193" t="s">
        <v>1499</v>
      </c>
      <c r="AB571" s="193">
        <v>4554</v>
      </c>
      <c r="AC571" s="193" t="s">
        <v>1500</v>
      </c>
      <c r="AD571" s="193" t="s">
        <v>136</v>
      </c>
      <c r="AE571" s="193">
        <v>4554</v>
      </c>
      <c r="AF571" s="193" t="s">
        <v>394</v>
      </c>
      <c r="AG571" s="193" t="s">
        <v>395</v>
      </c>
      <c r="AH571" s="193">
        <v>414</v>
      </c>
      <c r="AI571" s="193">
        <v>4140</v>
      </c>
      <c r="AJ571" s="193" t="s">
        <v>2163</v>
      </c>
      <c r="AL571" s="197" t="s">
        <v>2186</v>
      </c>
      <c r="AM571" s="193">
        <v>1</v>
      </c>
      <c r="AN571" s="193">
        <v>0</v>
      </c>
      <c r="AO571" s="193">
        <v>0</v>
      </c>
      <c r="AP571" s="193">
        <v>0</v>
      </c>
      <c r="AQ571" s="193" t="s">
        <v>214</v>
      </c>
      <c r="AS571" s="197" t="s">
        <v>394</v>
      </c>
      <c r="AT571" s="197" t="s">
        <v>395</v>
      </c>
      <c r="AV571" s="194">
        <v>865</v>
      </c>
      <c r="AW571" s="194">
        <v>0</v>
      </c>
      <c r="AX571" s="194">
        <v>0</v>
      </c>
      <c r="AY571" s="549">
        <v>865</v>
      </c>
      <c r="AZ571" s="194">
        <v>0</v>
      </c>
      <c r="BA571" s="194">
        <v>3689</v>
      </c>
      <c r="BB571" s="551">
        <v>3689</v>
      </c>
      <c r="BC571" s="551">
        <v>4554</v>
      </c>
      <c r="BD571" s="551">
        <v>0</v>
      </c>
      <c r="BF571" s="550">
        <f t="shared" si="112"/>
        <v>786</v>
      </c>
      <c r="BG571" s="550">
        <f t="shared" si="113"/>
        <v>0</v>
      </c>
      <c r="BH571" s="550">
        <f t="shared" si="114"/>
        <v>0</v>
      </c>
      <c r="BI571" s="550">
        <f t="shared" si="115"/>
        <v>786</v>
      </c>
      <c r="BJ571" s="550">
        <f t="shared" si="116"/>
        <v>0</v>
      </c>
      <c r="BK571" s="550">
        <f t="shared" si="117"/>
        <v>3354</v>
      </c>
      <c r="BL571" s="550">
        <f t="shared" si="118"/>
        <v>3354</v>
      </c>
      <c r="BM571" s="550">
        <f t="shared" si="119"/>
        <v>4140</v>
      </c>
      <c r="BO571" s="194"/>
      <c r="BQ571" s="193">
        <f t="shared" si="120"/>
        <v>0.36363636363637397</v>
      </c>
      <c r="BR571" s="193">
        <f t="shared" si="121"/>
        <v>-0.36363636363648766</v>
      </c>
    </row>
    <row r="572" spans="1:70" ht="13.5" customHeight="1">
      <c r="A572" s="193" t="s">
        <v>378</v>
      </c>
      <c r="B572" s="193" t="s">
        <v>379</v>
      </c>
      <c r="C572" s="193" t="s">
        <v>214</v>
      </c>
      <c r="D572" s="193" t="s">
        <v>1098</v>
      </c>
      <c r="E572" s="193" t="s">
        <v>1099</v>
      </c>
      <c r="F572" s="193" t="s">
        <v>1254</v>
      </c>
      <c r="G572" s="193" t="s">
        <v>1254</v>
      </c>
      <c r="H572" s="193" t="s">
        <v>2187</v>
      </c>
      <c r="I572" s="193" t="s">
        <v>384</v>
      </c>
      <c r="J572" s="193" t="s">
        <v>2188</v>
      </c>
      <c r="K572" s="193" t="s">
        <v>386</v>
      </c>
      <c r="L572" s="193" t="s">
        <v>387</v>
      </c>
      <c r="M572" s="193" t="s">
        <v>378</v>
      </c>
      <c r="N572" s="193" t="s">
        <v>1497</v>
      </c>
      <c r="O572" s="193" t="s">
        <v>129</v>
      </c>
      <c r="P572" s="193" t="s">
        <v>138</v>
      </c>
      <c r="Q572" s="193" t="s">
        <v>137</v>
      </c>
      <c r="R572" s="193" t="s">
        <v>136</v>
      </c>
      <c r="S572" s="193" t="s">
        <v>214</v>
      </c>
      <c r="T572" s="193" t="s">
        <v>389</v>
      </c>
      <c r="U572" s="193" t="s">
        <v>390</v>
      </c>
      <c r="V572" s="193">
        <v>0</v>
      </c>
      <c r="W572" s="193">
        <v>0</v>
      </c>
      <c r="X572" s="193">
        <v>0</v>
      </c>
      <c r="Y572" s="194">
        <v>3691</v>
      </c>
      <c r="Z572" s="193" t="s">
        <v>1498</v>
      </c>
      <c r="AA572" s="193" t="s">
        <v>1499</v>
      </c>
      <c r="AB572" s="193">
        <v>3691</v>
      </c>
      <c r="AC572" s="193" t="s">
        <v>1500</v>
      </c>
      <c r="AD572" s="193" t="s">
        <v>136</v>
      </c>
      <c r="AE572" s="193">
        <v>3691</v>
      </c>
      <c r="AF572" s="193" t="s">
        <v>394</v>
      </c>
      <c r="AG572" s="193" t="s">
        <v>395</v>
      </c>
      <c r="AH572" s="193">
        <v>335</v>
      </c>
      <c r="AI572" s="193">
        <v>3356</v>
      </c>
      <c r="AJ572" s="193" t="s">
        <v>2160</v>
      </c>
      <c r="AL572" s="197" t="s">
        <v>2189</v>
      </c>
      <c r="AM572" s="193">
        <v>1</v>
      </c>
      <c r="AN572" s="193">
        <v>0</v>
      </c>
      <c r="AO572" s="193">
        <v>0</v>
      </c>
      <c r="AP572" s="193">
        <v>0</v>
      </c>
      <c r="AQ572" s="193" t="s">
        <v>214</v>
      </c>
      <c r="AS572" s="197" t="s">
        <v>394</v>
      </c>
      <c r="AT572" s="197" t="s">
        <v>395</v>
      </c>
      <c r="AV572" s="194">
        <v>701</v>
      </c>
      <c r="AW572" s="194">
        <v>0</v>
      </c>
      <c r="AX572" s="194">
        <v>0</v>
      </c>
      <c r="AY572" s="549">
        <v>701</v>
      </c>
      <c r="AZ572" s="194">
        <v>0</v>
      </c>
      <c r="BA572" s="194">
        <v>2990</v>
      </c>
      <c r="BB572" s="551">
        <v>2990</v>
      </c>
      <c r="BC572" s="551">
        <v>3691</v>
      </c>
      <c r="BD572" s="551">
        <v>0</v>
      </c>
      <c r="BF572" s="550">
        <f t="shared" si="112"/>
        <v>637</v>
      </c>
      <c r="BG572" s="550">
        <f t="shared" si="113"/>
        <v>0</v>
      </c>
      <c r="BH572" s="550">
        <f t="shared" si="114"/>
        <v>0</v>
      </c>
      <c r="BI572" s="550">
        <f t="shared" si="115"/>
        <v>637</v>
      </c>
      <c r="BJ572" s="550">
        <f t="shared" si="116"/>
        <v>0</v>
      </c>
      <c r="BK572" s="550">
        <f t="shared" si="117"/>
        <v>2718</v>
      </c>
      <c r="BL572" s="550">
        <f t="shared" si="118"/>
        <v>2718</v>
      </c>
      <c r="BM572" s="550">
        <f t="shared" si="119"/>
        <v>3355</v>
      </c>
      <c r="BO572" s="194"/>
      <c r="BQ572" s="193">
        <f t="shared" si="120"/>
        <v>0.27272727272725206</v>
      </c>
      <c r="BR572" s="193">
        <f t="shared" si="121"/>
        <v>0.18181818181801646</v>
      </c>
    </row>
    <row r="573" spans="1:70" ht="13.5" customHeight="1">
      <c r="A573" s="193" t="s">
        <v>378</v>
      </c>
      <c r="B573" s="193" t="s">
        <v>379</v>
      </c>
      <c r="C573" s="193" t="s">
        <v>214</v>
      </c>
      <c r="D573" s="193" t="s">
        <v>1098</v>
      </c>
      <c r="E573" s="193" t="s">
        <v>1099</v>
      </c>
      <c r="F573" s="193" t="s">
        <v>1254</v>
      </c>
      <c r="G573" s="193" t="s">
        <v>1254</v>
      </c>
      <c r="H573" s="193" t="s">
        <v>2187</v>
      </c>
      <c r="I573" s="193" t="s">
        <v>384</v>
      </c>
      <c r="J573" s="193" t="s">
        <v>2190</v>
      </c>
      <c r="K573" s="193" t="s">
        <v>386</v>
      </c>
      <c r="L573" s="193" t="s">
        <v>387</v>
      </c>
      <c r="M573" s="193" t="s">
        <v>378</v>
      </c>
      <c r="N573" s="193" t="s">
        <v>1497</v>
      </c>
      <c r="O573" s="193" t="s">
        <v>129</v>
      </c>
      <c r="P573" s="193" t="s">
        <v>138</v>
      </c>
      <c r="Q573" s="193" t="s">
        <v>137</v>
      </c>
      <c r="R573" s="193" t="s">
        <v>136</v>
      </c>
      <c r="S573" s="193" t="s">
        <v>214</v>
      </c>
      <c r="T573" s="193" t="s">
        <v>389</v>
      </c>
      <c r="U573" s="193" t="s">
        <v>390</v>
      </c>
      <c r="V573" s="193">
        <v>0</v>
      </c>
      <c r="W573" s="193">
        <v>0</v>
      </c>
      <c r="X573" s="193">
        <v>0</v>
      </c>
      <c r="Y573" s="194">
        <v>4427</v>
      </c>
      <c r="Z573" s="193" t="s">
        <v>1498</v>
      </c>
      <c r="AA573" s="193" t="s">
        <v>1499</v>
      </c>
      <c r="AB573" s="193">
        <v>4427</v>
      </c>
      <c r="AC573" s="193" t="s">
        <v>1500</v>
      </c>
      <c r="AD573" s="193" t="s">
        <v>136</v>
      </c>
      <c r="AE573" s="193">
        <v>4427</v>
      </c>
      <c r="AF573" s="193" t="s">
        <v>394</v>
      </c>
      <c r="AG573" s="193" t="s">
        <v>395</v>
      </c>
      <c r="AH573" s="193">
        <v>402</v>
      </c>
      <c r="AI573" s="193">
        <v>4025</v>
      </c>
      <c r="AJ573" s="193" t="s">
        <v>2163</v>
      </c>
      <c r="AL573" s="197" t="s">
        <v>2191</v>
      </c>
      <c r="AM573" s="193">
        <v>1</v>
      </c>
      <c r="AN573" s="193">
        <v>0</v>
      </c>
      <c r="AO573" s="193">
        <v>0</v>
      </c>
      <c r="AP573" s="193">
        <v>0</v>
      </c>
      <c r="AQ573" s="193" t="s">
        <v>214</v>
      </c>
      <c r="AS573" s="197" t="s">
        <v>394</v>
      </c>
      <c r="AT573" s="197" t="s">
        <v>395</v>
      </c>
      <c r="AV573" s="194">
        <v>841</v>
      </c>
      <c r="AW573" s="194">
        <v>0</v>
      </c>
      <c r="AX573" s="194">
        <v>0</v>
      </c>
      <c r="AY573" s="549">
        <v>841</v>
      </c>
      <c r="AZ573" s="194">
        <v>0</v>
      </c>
      <c r="BA573" s="194">
        <v>3586</v>
      </c>
      <c r="BB573" s="551">
        <v>3586</v>
      </c>
      <c r="BC573" s="551">
        <v>4427</v>
      </c>
      <c r="BD573" s="551">
        <v>0</v>
      </c>
      <c r="BF573" s="550">
        <f t="shared" si="112"/>
        <v>765</v>
      </c>
      <c r="BG573" s="550">
        <f t="shared" si="113"/>
        <v>0</v>
      </c>
      <c r="BH573" s="550">
        <f t="shared" si="114"/>
        <v>0</v>
      </c>
      <c r="BI573" s="550">
        <f t="shared" si="115"/>
        <v>765</v>
      </c>
      <c r="BJ573" s="550">
        <f t="shared" si="116"/>
        <v>0</v>
      </c>
      <c r="BK573" s="550">
        <f t="shared" si="117"/>
        <v>3260</v>
      </c>
      <c r="BL573" s="550">
        <f t="shared" si="118"/>
        <v>3260</v>
      </c>
      <c r="BM573" s="550">
        <f t="shared" si="119"/>
        <v>4025</v>
      </c>
      <c r="BO573" s="194"/>
      <c r="BQ573" s="193">
        <f t="shared" si="120"/>
        <v>-0.45454545454549589</v>
      </c>
      <c r="BR573" s="193">
        <f t="shared" si="121"/>
        <v>0</v>
      </c>
    </row>
    <row r="574" spans="1:70" ht="13.5" customHeight="1">
      <c r="A574" s="193" t="s">
        <v>378</v>
      </c>
      <c r="B574" s="193" t="s">
        <v>379</v>
      </c>
      <c r="C574" s="193" t="s">
        <v>214</v>
      </c>
      <c r="D574" s="193" t="s">
        <v>380</v>
      </c>
      <c r="E574" s="193" t="s">
        <v>381</v>
      </c>
      <c r="F574" s="193" t="s">
        <v>398</v>
      </c>
      <c r="G574" s="193" t="s">
        <v>398</v>
      </c>
      <c r="H574" s="193" t="s">
        <v>2192</v>
      </c>
      <c r="I574" s="193" t="s">
        <v>384</v>
      </c>
      <c r="J574" s="193" t="s">
        <v>2193</v>
      </c>
      <c r="K574" s="193" t="s">
        <v>386</v>
      </c>
      <c r="L574" s="193" t="s">
        <v>387</v>
      </c>
      <c r="M574" s="193" t="s">
        <v>378</v>
      </c>
      <c r="N574" s="193" t="s">
        <v>1497</v>
      </c>
      <c r="O574" s="193" t="s">
        <v>129</v>
      </c>
      <c r="P574" s="193" t="s">
        <v>138</v>
      </c>
      <c r="Q574" s="193" t="s">
        <v>137</v>
      </c>
      <c r="R574" s="193" t="s">
        <v>136</v>
      </c>
      <c r="S574" s="193" t="s">
        <v>214</v>
      </c>
      <c r="T574" s="193" t="s">
        <v>389</v>
      </c>
      <c r="U574" s="193" t="s">
        <v>390</v>
      </c>
      <c r="V574" s="193">
        <v>0</v>
      </c>
      <c r="W574" s="193">
        <v>0</v>
      </c>
      <c r="X574" s="193">
        <v>0</v>
      </c>
      <c r="Y574" s="194">
        <v>7242</v>
      </c>
      <c r="Z574" s="193" t="s">
        <v>1498</v>
      </c>
      <c r="AA574" s="193" t="s">
        <v>1499</v>
      </c>
      <c r="AB574" s="193">
        <v>7242</v>
      </c>
      <c r="AC574" s="193" t="s">
        <v>1500</v>
      </c>
      <c r="AD574" s="193" t="s">
        <v>136</v>
      </c>
      <c r="AE574" s="193">
        <v>7242</v>
      </c>
      <c r="AF574" s="193" t="s">
        <v>394</v>
      </c>
      <c r="AG574" s="193" t="s">
        <v>395</v>
      </c>
      <c r="AH574" s="193">
        <v>658</v>
      </c>
      <c r="AI574" s="193">
        <v>6584</v>
      </c>
      <c r="AJ574" s="193" t="s">
        <v>2194</v>
      </c>
      <c r="AL574" s="197" t="s">
        <v>2195</v>
      </c>
      <c r="AM574" s="193">
        <v>1</v>
      </c>
      <c r="AN574" s="193">
        <v>0</v>
      </c>
      <c r="AO574" s="193">
        <v>0</v>
      </c>
      <c r="AP574" s="193">
        <v>0</v>
      </c>
      <c r="AQ574" s="193" t="s">
        <v>214</v>
      </c>
      <c r="AS574" s="197" t="s">
        <v>394</v>
      </c>
      <c r="AT574" s="197" t="s">
        <v>395</v>
      </c>
      <c r="AV574" s="196">
        <v>0</v>
      </c>
      <c r="AW574" s="196">
        <v>0</v>
      </c>
      <c r="AX574" s="196">
        <v>0</v>
      </c>
      <c r="AY574" s="550">
        <v>0</v>
      </c>
      <c r="AZ574" s="196">
        <v>0</v>
      </c>
      <c r="BA574" s="196">
        <v>7242</v>
      </c>
      <c r="BB574" s="551">
        <v>7242</v>
      </c>
      <c r="BC574" s="551">
        <v>7242</v>
      </c>
      <c r="BD574" s="551">
        <v>0</v>
      </c>
      <c r="BF574" s="550">
        <f t="shared" si="112"/>
        <v>0</v>
      </c>
      <c r="BG574" s="550">
        <f t="shared" si="113"/>
        <v>0</v>
      </c>
      <c r="BH574" s="550">
        <f t="shared" si="114"/>
        <v>0</v>
      </c>
      <c r="BI574" s="550">
        <f t="shared" si="115"/>
        <v>0</v>
      </c>
      <c r="BJ574" s="550">
        <f t="shared" si="116"/>
        <v>0</v>
      </c>
      <c r="BK574" s="550">
        <f t="shared" si="117"/>
        <v>6584</v>
      </c>
      <c r="BL574" s="550">
        <f t="shared" si="118"/>
        <v>6584</v>
      </c>
      <c r="BM574" s="550">
        <f t="shared" si="119"/>
        <v>6584</v>
      </c>
      <c r="BO574" s="194"/>
      <c r="BQ574" s="193">
        <f t="shared" si="120"/>
        <v>0</v>
      </c>
      <c r="BR574" s="193">
        <f t="shared" si="121"/>
        <v>-0.36363636363603291</v>
      </c>
    </row>
    <row r="575" spans="1:70" ht="13.5" customHeight="1">
      <c r="A575" s="193" t="s">
        <v>378</v>
      </c>
      <c r="B575" s="193" t="s">
        <v>379</v>
      </c>
      <c r="C575" s="193" t="s">
        <v>214</v>
      </c>
      <c r="D575" s="193" t="s">
        <v>380</v>
      </c>
      <c r="E575" s="193" t="s">
        <v>381</v>
      </c>
      <c r="F575" s="193" t="s">
        <v>398</v>
      </c>
      <c r="G575" s="193" t="s">
        <v>398</v>
      </c>
      <c r="H575" s="193" t="s">
        <v>2192</v>
      </c>
      <c r="I575" s="193" t="s">
        <v>384</v>
      </c>
      <c r="J575" s="193" t="s">
        <v>2196</v>
      </c>
      <c r="K575" s="193" t="s">
        <v>386</v>
      </c>
      <c r="L575" s="193" t="s">
        <v>387</v>
      </c>
      <c r="M575" s="193" t="s">
        <v>378</v>
      </c>
      <c r="N575" s="193" t="s">
        <v>1497</v>
      </c>
      <c r="O575" s="193" t="s">
        <v>129</v>
      </c>
      <c r="P575" s="193" t="s">
        <v>138</v>
      </c>
      <c r="Q575" s="193" t="s">
        <v>137</v>
      </c>
      <c r="R575" s="193" t="s">
        <v>136</v>
      </c>
      <c r="S575" s="193" t="s">
        <v>214</v>
      </c>
      <c r="T575" s="193" t="s">
        <v>389</v>
      </c>
      <c r="U575" s="193" t="s">
        <v>390</v>
      </c>
      <c r="V575" s="193">
        <v>0</v>
      </c>
      <c r="W575" s="193">
        <v>0</v>
      </c>
      <c r="X575" s="193">
        <v>0</v>
      </c>
      <c r="Y575" s="194">
        <v>3791</v>
      </c>
      <c r="Z575" s="193" t="s">
        <v>1498</v>
      </c>
      <c r="AA575" s="193" t="s">
        <v>1499</v>
      </c>
      <c r="AB575" s="193">
        <v>3791</v>
      </c>
      <c r="AC575" s="193" t="s">
        <v>1500</v>
      </c>
      <c r="AD575" s="193" t="s">
        <v>136</v>
      </c>
      <c r="AE575" s="193">
        <v>3791</v>
      </c>
      <c r="AF575" s="193" t="s">
        <v>394</v>
      </c>
      <c r="AG575" s="193" t="s">
        <v>395</v>
      </c>
      <c r="AH575" s="193">
        <v>344</v>
      </c>
      <c r="AI575" s="193">
        <v>3447</v>
      </c>
      <c r="AJ575" s="193" t="s">
        <v>2194</v>
      </c>
      <c r="AL575" s="197" t="s">
        <v>2197</v>
      </c>
      <c r="AM575" s="193">
        <v>1</v>
      </c>
      <c r="AN575" s="193">
        <v>0</v>
      </c>
      <c r="AO575" s="193">
        <v>0</v>
      </c>
      <c r="AP575" s="193">
        <v>0</v>
      </c>
      <c r="AQ575" s="193" t="s">
        <v>214</v>
      </c>
      <c r="AS575" s="197" t="s">
        <v>394</v>
      </c>
      <c r="AT575" s="197" t="s">
        <v>395</v>
      </c>
      <c r="AV575" s="194">
        <v>0</v>
      </c>
      <c r="AW575" s="194">
        <v>0</v>
      </c>
      <c r="AX575" s="194">
        <v>0</v>
      </c>
      <c r="AY575" s="549">
        <v>0</v>
      </c>
      <c r="AZ575" s="194">
        <v>0</v>
      </c>
      <c r="BA575" s="194">
        <v>3791</v>
      </c>
      <c r="BB575" s="551">
        <v>3791</v>
      </c>
      <c r="BC575" s="551">
        <v>3791</v>
      </c>
      <c r="BD575" s="551">
        <v>0</v>
      </c>
      <c r="BF575" s="550">
        <f t="shared" si="112"/>
        <v>0</v>
      </c>
      <c r="BG575" s="550">
        <f t="shared" si="113"/>
        <v>0</v>
      </c>
      <c r="BH575" s="550">
        <f t="shared" si="114"/>
        <v>0</v>
      </c>
      <c r="BI575" s="550">
        <f t="shared" si="115"/>
        <v>0</v>
      </c>
      <c r="BJ575" s="550">
        <f t="shared" si="116"/>
        <v>0</v>
      </c>
      <c r="BK575" s="550">
        <f t="shared" si="117"/>
        <v>3446</v>
      </c>
      <c r="BL575" s="550">
        <f t="shared" si="118"/>
        <v>3446</v>
      </c>
      <c r="BM575" s="550">
        <f t="shared" si="119"/>
        <v>3446</v>
      </c>
      <c r="BO575" s="194"/>
      <c r="BQ575" s="193">
        <f t="shared" si="120"/>
        <v>0</v>
      </c>
      <c r="BR575" s="193">
        <f t="shared" si="121"/>
        <v>0.36363636363648766</v>
      </c>
    </row>
    <row r="576" spans="1:70" ht="13.5" customHeight="1">
      <c r="A576" s="193" t="s">
        <v>378</v>
      </c>
      <c r="B576" s="193" t="s">
        <v>379</v>
      </c>
      <c r="C576" s="193" t="s">
        <v>214</v>
      </c>
      <c r="D576" s="193" t="s">
        <v>380</v>
      </c>
      <c r="E576" s="193" t="s">
        <v>381</v>
      </c>
      <c r="F576" s="193" t="s">
        <v>431</v>
      </c>
      <c r="G576" s="193" t="s">
        <v>431</v>
      </c>
      <c r="H576" s="193" t="s">
        <v>2198</v>
      </c>
      <c r="I576" s="193" t="s">
        <v>384</v>
      </c>
      <c r="J576" s="193" t="s">
        <v>2199</v>
      </c>
      <c r="K576" s="193" t="s">
        <v>386</v>
      </c>
      <c r="L576" s="193" t="s">
        <v>387</v>
      </c>
      <c r="M576" s="193" t="s">
        <v>378</v>
      </c>
      <c r="N576" s="193" t="s">
        <v>1497</v>
      </c>
      <c r="O576" s="193" t="s">
        <v>129</v>
      </c>
      <c r="P576" s="193" t="s">
        <v>138</v>
      </c>
      <c r="Q576" s="193" t="s">
        <v>137</v>
      </c>
      <c r="R576" s="193" t="s">
        <v>136</v>
      </c>
      <c r="S576" s="193" t="s">
        <v>214</v>
      </c>
      <c r="T576" s="193" t="s">
        <v>389</v>
      </c>
      <c r="U576" s="193" t="s">
        <v>390</v>
      </c>
      <c r="V576" s="193">
        <v>0</v>
      </c>
      <c r="W576" s="193">
        <v>0</v>
      </c>
      <c r="X576" s="193">
        <v>0</v>
      </c>
      <c r="Y576" s="194">
        <v>7189</v>
      </c>
      <c r="Z576" s="193" t="s">
        <v>1498</v>
      </c>
      <c r="AA576" s="193" t="s">
        <v>1499</v>
      </c>
      <c r="AB576" s="193">
        <v>7189</v>
      </c>
      <c r="AC576" s="193" t="s">
        <v>1500</v>
      </c>
      <c r="AD576" s="193" t="s">
        <v>136</v>
      </c>
      <c r="AE576" s="193">
        <v>7189</v>
      </c>
      <c r="AF576" s="193" t="s">
        <v>394</v>
      </c>
      <c r="AG576" s="193" t="s">
        <v>395</v>
      </c>
      <c r="AH576" s="193">
        <v>653</v>
      </c>
      <c r="AI576" s="193">
        <v>6536</v>
      </c>
      <c r="AJ576" s="193" t="s">
        <v>2194</v>
      </c>
      <c r="AL576" s="197" t="s">
        <v>2200</v>
      </c>
      <c r="AM576" s="193">
        <v>1</v>
      </c>
      <c r="AN576" s="193">
        <v>0</v>
      </c>
      <c r="AO576" s="193">
        <v>0</v>
      </c>
      <c r="AP576" s="193">
        <v>0</v>
      </c>
      <c r="AQ576" s="193" t="s">
        <v>214</v>
      </c>
      <c r="AS576" s="197" t="s">
        <v>394</v>
      </c>
      <c r="AT576" s="197" t="s">
        <v>395</v>
      </c>
      <c r="AV576" s="194">
        <v>0</v>
      </c>
      <c r="AW576" s="194">
        <v>0</v>
      </c>
      <c r="AX576" s="194">
        <v>0</v>
      </c>
      <c r="AY576" s="549">
        <v>0</v>
      </c>
      <c r="AZ576" s="194">
        <v>0</v>
      </c>
      <c r="BA576" s="194">
        <v>7189</v>
      </c>
      <c r="BB576" s="551">
        <v>7189</v>
      </c>
      <c r="BC576" s="551">
        <v>7189</v>
      </c>
      <c r="BD576" s="551">
        <v>0</v>
      </c>
      <c r="BF576" s="550">
        <f t="shared" si="112"/>
        <v>0</v>
      </c>
      <c r="BG576" s="550">
        <f t="shared" si="113"/>
        <v>0</v>
      </c>
      <c r="BH576" s="550">
        <f t="shared" si="114"/>
        <v>0</v>
      </c>
      <c r="BI576" s="550">
        <f t="shared" si="115"/>
        <v>0</v>
      </c>
      <c r="BJ576" s="550">
        <f t="shared" si="116"/>
        <v>0</v>
      </c>
      <c r="BK576" s="550">
        <f t="shared" si="117"/>
        <v>6535</v>
      </c>
      <c r="BL576" s="550">
        <f t="shared" si="118"/>
        <v>6535</v>
      </c>
      <c r="BM576" s="550">
        <f t="shared" si="119"/>
        <v>6535</v>
      </c>
      <c r="BO576" s="194"/>
      <c r="BQ576" s="193">
        <f t="shared" si="120"/>
        <v>0</v>
      </c>
      <c r="BR576" s="193">
        <f t="shared" si="121"/>
        <v>0.45454545454504114</v>
      </c>
    </row>
    <row r="577" spans="1:70" ht="13.5" customHeight="1">
      <c r="A577" s="193" t="s">
        <v>378</v>
      </c>
      <c r="B577" s="193" t="s">
        <v>379</v>
      </c>
      <c r="C577" s="193" t="s">
        <v>214</v>
      </c>
      <c r="D577" s="193" t="s">
        <v>380</v>
      </c>
      <c r="E577" s="193" t="s">
        <v>381</v>
      </c>
      <c r="F577" s="193" t="s">
        <v>431</v>
      </c>
      <c r="G577" s="193" t="s">
        <v>431</v>
      </c>
      <c r="H577" s="193" t="s">
        <v>2198</v>
      </c>
      <c r="I577" s="193" t="s">
        <v>384</v>
      </c>
      <c r="J577" s="193" t="s">
        <v>2201</v>
      </c>
      <c r="K577" s="193" t="s">
        <v>386</v>
      </c>
      <c r="L577" s="193" t="s">
        <v>387</v>
      </c>
      <c r="M577" s="193" t="s">
        <v>378</v>
      </c>
      <c r="N577" s="193" t="s">
        <v>1497</v>
      </c>
      <c r="O577" s="193" t="s">
        <v>129</v>
      </c>
      <c r="P577" s="193" t="s">
        <v>138</v>
      </c>
      <c r="Q577" s="193" t="s">
        <v>137</v>
      </c>
      <c r="R577" s="193" t="s">
        <v>136</v>
      </c>
      <c r="S577" s="193" t="s">
        <v>214</v>
      </c>
      <c r="T577" s="193" t="s">
        <v>389</v>
      </c>
      <c r="U577" s="193" t="s">
        <v>390</v>
      </c>
      <c r="V577" s="193">
        <v>0</v>
      </c>
      <c r="W577" s="193">
        <v>0</v>
      </c>
      <c r="X577" s="193">
        <v>0</v>
      </c>
      <c r="Y577" s="194">
        <v>6124</v>
      </c>
      <c r="Z577" s="193" t="s">
        <v>1498</v>
      </c>
      <c r="AA577" s="193" t="s">
        <v>1499</v>
      </c>
      <c r="AB577" s="193">
        <v>6124</v>
      </c>
      <c r="AC577" s="193" t="s">
        <v>1500</v>
      </c>
      <c r="AD577" s="193" t="s">
        <v>136</v>
      </c>
      <c r="AE577" s="193">
        <v>6124</v>
      </c>
      <c r="AF577" s="193" t="s">
        <v>394</v>
      </c>
      <c r="AG577" s="193" t="s">
        <v>395</v>
      </c>
      <c r="AH577" s="193">
        <v>556</v>
      </c>
      <c r="AI577" s="193">
        <v>5568</v>
      </c>
      <c r="AJ577" s="193" t="s">
        <v>2194</v>
      </c>
      <c r="AL577" s="197" t="s">
        <v>2202</v>
      </c>
      <c r="AM577" s="193">
        <v>1</v>
      </c>
      <c r="AN577" s="193">
        <v>0</v>
      </c>
      <c r="AO577" s="193">
        <v>0</v>
      </c>
      <c r="AP577" s="193">
        <v>0</v>
      </c>
      <c r="AQ577" s="193" t="s">
        <v>214</v>
      </c>
      <c r="AS577" s="197" t="s">
        <v>394</v>
      </c>
      <c r="AT577" s="197" t="s">
        <v>395</v>
      </c>
      <c r="AV577" s="194">
        <v>0</v>
      </c>
      <c r="AW577" s="194">
        <v>0</v>
      </c>
      <c r="AX577" s="194">
        <v>0</v>
      </c>
      <c r="AY577" s="549">
        <v>0</v>
      </c>
      <c r="AZ577" s="194">
        <v>0</v>
      </c>
      <c r="BA577" s="194">
        <v>6124</v>
      </c>
      <c r="BB577" s="551">
        <v>6124</v>
      </c>
      <c r="BC577" s="551">
        <v>6124</v>
      </c>
      <c r="BD577" s="551">
        <v>0</v>
      </c>
      <c r="BF577" s="550">
        <f t="shared" si="112"/>
        <v>0</v>
      </c>
      <c r="BG577" s="550">
        <f t="shared" si="113"/>
        <v>0</v>
      </c>
      <c r="BH577" s="550">
        <f t="shared" si="114"/>
        <v>0</v>
      </c>
      <c r="BI577" s="550">
        <f t="shared" si="115"/>
        <v>0</v>
      </c>
      <c r="BJ577" s="550">
        <f t="shared" si="116"/>
        <v>0</v>
      </c>
      <c r="BK577" s="550">
        <f t="shared" si="117"/>
        <v>5567</v>
      </c>
      <c r="BL577" s="550">
        <f t="shared" si="118"/>
        <v>5567</v>
      </c>
      <c r="BM577" s="550">
        <f t="shared" si="119"/>
        <v>5567</v>
      </c>
      <c r="BO577" s="194"/>
      <c r="BQ577" s="193">
        <f t="shared" si="120"/>
        <v>0</v>
      </c>
      <c r="BR577" s="193">
        <f t="shared" si="121"/>
        <v>0.27272727272702468</v>
      </c>
    </row>
    <row r="578" spans="1:70" ht="13.5" customHeight="1">
      <c r="A578" s="193" t="s">
        <v>378</v>
      </c>
      <c r="B578" s="193" t="s">
        <v>379</v>
      </c>
      <c r="C578" s="193" t="s">
        <v>214</v>
      </c>
      <c r="D578" s="193" t="s">
        <v>380</v>
      </c>
      <c r="E578" s="193" t="s">
        <v>381</v>
      </c>
      <c r="F578" s="193" t="s">
        <v>439</v>
      </c>
      <c r="G578" s="193" t="s">
        <v>439</v>
      </c>
      <c r="H578" s="193" t="s">
        <v>2203</v>
      </c>
      <c r="I578" s="193" t="s">
        <v>384</v>
      </c>
      <c r="J578" s="193" t="s">
        <v>2204</v>
      </c>
      <c r="K578" s="193" t="s">
        <v>386</v>
      </c>
      <c r="L578" s="193" t="s">
        <v>387</v>
      </c>
      <c r="M578" s="193" t="s">
        <v>378</v>
      </c>
      <c r="N578" s="193" t="s">
        <v>1497</v>
      </c>
      <c r="O578" s="193" t="s">
        <v>129</v>
      </c>
      <c r="P578" s="193" t="s">
        <v>138</v>
      </c>
      <c r="Q578" s="193" t="s">
        <v>137</v>
      </c>
      <c r="R578" s="193" t="s">
        <v>136</v>
      </c>
      <c r="S578" s="193" t="s">
        <v>214</v>
      </c>
      <c r="T578" s="193" t="s">
        <v>389</v>
      </c>
      <c r="U578" s="193" t="s">
        <v>390</v>
      </c>
      <c r="V578" s="193">
        <v>0</v>
      </c>
      <c r="W578" s="193">
        <v>0</v>
      </c>
      <c r="X578" s="193">
        <v>0</v>
      </c>
      <c r="Y578" s="194">
        <v>6740</v>
      </c>
      <c r="Z578" s="193" t="s">
        <v>1498</v>
      </c>
      <c r="AA578" s="193" t="s">
        <v>1499</v>
      </c>
      <c r="AB578" s="193">
        <v>6740</v>
      </c>
      <c r="AC578" s="193" t="s">
        <v>1500</v>
      </c>
      <c r="AD578" s="193" t="s">
        <v>136</v>
      </c>
      <c r="AE578" s="193">
        <v>6740</v>
      </c>
      <c r="AF578" s="193" t="s">
        <v>518</v>
      </c>
      <c r="AG578" s="193" t="s">
        <v>519</v>
      </c>
      <c r="AH578" s="193">
        <v>0</v>
      </c>
      <c r="AI578" s="193">
        <v>6740</v>
      </c>
      <c r="AJ578" s="193" t="s">
        <v>2205</v>
      </c>
      <c r="AL578" s="197" t="s">
        <v>2206</v>
      </c>
      <c r="AM578" s="193">
        <v>2</v>
      </c>
      <c r="AN578" s="193">
        <v>17</v>
      </c>
      <c r="AO578" s="193">
        <v>10</v>
      </c>
      <c r="AP578" s="193">
        <v>0</v>
      </c>
      <c r="AQ578" s="193" t="s">
        <v>214</v>
      </c>
      <c r="AS578" s="197">
        <v>17</v>
      </c>
      <c r="AT578" s="197">
        <v>10</v>
      </c>
      <c r="AV578" s="194">
        <v>0</v>
      </c>
      <c r="AW578" s="194">
        <v>0</v>
      </c>
      <c r="AX578" s="194">
        <v>0</v>
      </c>
      <c r="AY578" s="549">
        <v>0</v>
      </c>
      <c r="AZ578" s="194">
        <v>0</v>
      </c>
      <c r="BA578" s="194">
        <v>6740</v>
      </c>
      <c r="BB578" s="551">
        <v>6740</v>
      </c>
      <c r="BC578" s="551">
        <v>6740</v>
      </c>
      <c r="BD578" s="551">
        <v>0</v>
      </c>
      <c r="BF578" s="550">
        <f t="shared" si="112"/>
        <v>0</v>
      </c>
      <c r="BG578" s="550">
        <f t="shared" si="113"/>
        <v>0</v>
      </c>
      <c r="BH578" s="550">
        <f t="shared" si="114"/>
        <v>0</v>
      </c>
      <c r="BI578" s="550">
        <f t="shared" si="115"/>
        <v>0</v>
      </c>
      <c r="BJ578" s="550">
        <f t="shared" si="116"/>
        <v>0</v>
      </c>
      <c r="BK578" s="550">
        <f t="shared" si="117"/>
        <v>6127</v>
      </c>
      <c r="BL578" s="550">
        <f t="shared" si="118"/>
        <v>6127</v>
      </c>
      <c r="BM578" s="550">
        <f t="shared" si="119"/>
        <v>6127</v>
      </c>
      <c r="BO578" s="194"/>
      <c r="BQ578" s="193">
        <f t="shared" si="120"/>
        <v>0</v>
      </c>
      <c r="BR578" s="193">
        <f t="shared" si="121"/>
        <v>0.27272727272702468</v>
      </c>
    </row>
    <row r="579" spans="1:70" ht="13.5" customHeight="1">
      <c r="A579" s="193" t="s">
        <v>378</v>
      </c>
      <c r="B579" s="193" t="s">
        <v>379</v>
      </c>
      <c r="C579" s="193" t="s">
        <v>214</v>
      </c>
      <c r="D579" s="193" t="s">
        <v>380</v>
      </c>
      <c r="E579" s="193" t="s">
        <v>381</v>
      </c>
      <c r="F579" s="193" t="s">
        <v>439</v>
      </c>
      <c r="G579" s="193" t="s">
        <v>439</v>
      </c>
      <c r="H579" s="193" t="s">
        <v>2203</v>
      </c>
      <c r="I579" s="193" t="s">
        <v>384</v>
      </c>
      <c r="J579" s="193" t="s">
        <v>2207</v>
      </c>
      <c r="K579" s="193" t="s">
        <v>386</v>
      </c>
      <c r="L579" s="193" t="s">
        <v>387</v>
      </c>
      <c r="M579" s="193" t="s">
        <v>378</v>
      </c>
      <c r="N579" s="193" t="s">
        <v>1497</v>
      </c>
      <c r="O579" s="193" t="s">
        <v>129</v>
      </c>
      <c r="P579" s="193" t="s">
        <v>138</v>
      </c>
      <c r="Q579" s="193" t="s">
        <v>137</v>
      </c>
      <c r="R579" s="193" t="s">
        <v>136</v>
      </c>
      <c r="S579" s="193" t="s">
        <v>214</v>
      </c>
      <c r="T579" s="193" t="s">
        <v>389</v>
      </c>
      <c r="U579" s="193" t="s">
        <v>390</v>
      </c>
      <c r="V579" s="193">
        <v>0</v>
      </c>
      <c r="W579" s="193">
        <v>0</v>
      </c>
      <c r="X579" s="193">
        <v>0</v>
      </c>
      <c r="Y579" s="194">
        <v>5444</v>
      </c>
      <c r="Z579" s="193" t="s">
        <v>1498</v>
      </c>
      <c r="AA579" s="193" t="s">
        <v>1499</v>
      </c>
      <c r="AB579" s="193">
        <v>5444</v>
      </c>
      <c r="AC579" s="193" t="s">
        <v>1500</v>
      </c>
      <c r="AD579" s="193" t="s">
        <v>136</v>
      </c>
      <c r="AE579" s="193">
        <v>5444</v>
      </c>
      <c r="AF579" s="193" t="s">
        <v>518</v>
      </c>
      <c r="AG579" s="193" t="s">
        <v>519</v>
      </c>
      <c r="AH579" s="193">
        <v>0</v>
      </c>
      <c r="AI579" s="193">
        <v>5444</v>
      </c>
      <c r="AJ579" s="193" t="s">
        <v>2205</v>
      </c>
      <c r="AL579" s="197" t="s">
        <v>2208</v>
      </c>
      <c r="AM579" s="193">
        <v>2</v>
      </c>
      <c r="AN579" s="193">
        <v>17</v>
      </c>
      <c r="AO579" s="193">
        <v>10</v>
      </c>
      <c r="AP579" s="193">
        <v>0</v>
      </c>
      <c r="AQ579" s="193" t="s">
        <v>214</v>
      </c>
      <c r="AS579" s="197">
        <v>17</v>
      </c>
      <c r="AT579" s="197">
        <v>10</v>
      </c>
      <c r="AV579" s="194">
        <v>0</v>
      </c>
      <c r="AW579" s="194">
        <v>0</v>
      </c>
      <c r="AX579" s="194">
        <v>0</v>
      </c>
      <c r="AY579" s="549">
        <v>0</v>
      </c>
      <c r="AZ579" s="194">
        <v>0</v>
      </c>
      <c r="BA579" s="194">
        <v>5444</v>
      </c>
      <c r="BB579" s="551">
        <v>5444</v>
      </c>
      <c r="BC579" s="551">
        <v>5444</v>
      </c>
      <c r="BD579" s="551">
        <v>0</v>
      </c>
      <c r="BF579" s="550">
        <f t="shared" si="112"/>
        <v>0</v>
      </c>
      <c r="BG579" s="550">
        <f t="shared" si="113"/>
        <v>0</v>
      </c>
      <c r="BH579" s="550">
        <f t="shared" si="114"/>
        <v>0</v>
      </c>
      <c r="BI579" s="550">
        <f t="shared" si="115"/>
        <v>0</v>
      </c>
      <c r="BJ579" s="550">
        <f t="shared" si="116"/>
        <v>0</v>
      </c>
      <c r="BK579" s="550">
        <f t="shared" si="117"/>
        <v>4949</v>
      </c>
      <c r="BL579" s="550">
        <f t="shared" si="118"/>
        <v>4949</v>
      </c>
      <c r="BM579" s="550">
        <f t="shared" si="119"/>
        <v>4949</v>
      </c>
      <c r="BO579" s="194"/>
      <c r="BQ579" s="193">
        <f t="shared" si="120"/>
        <v>0</v>
      </c>
      <c r="BR579" s="193">
        <f t="shared" si="121"/>
        <v>9.0909090909008228E-2</v>
      </c>
    </row>
    <row r="580" spans="1:70" ht="13.5" customHeight="1">
      <c r="A580" s="193" t="s">
        <v>378</v>
      </c>
      <c r="B580" s="193" t="s">
        <v>379</v>
      </c>
      <c r="C580" s="193" t="s">
        <v>214</v>
      </c>
      <c r="D580" s="193" t="s">
        <v>380</v>
      </c>
      <c r="E580" s="193" t="s">
        <v>381</v>
      </c>
      <c r="F580" s="193" t="s">
        <v>411</v>
      </c>
      <c r="G580" s="193" t="s">
        <v>411</v>
      </c>
      <c r="H580" s="193" t="s">
        <v>2209</v>
      </c>
      <c r="I580" s="193" t="s">
        <v>384</v>
      </c>
      <c r="J580" s="193" t="s">
        <v>2210</v>
      </c>
      <c r="K580" s="193" t="s">
        <v>386</v>
      </c>
      <c r="L580" s="193" t="s">
        <v>387</v>
      </c>
      <c r="M580" s="193" t="s">
        <v>378</v>
      </c>
      <c r="N580" s="193" t="s">
        <v>1497</v>
      </c>
      <c r="O580" s="193" t="s">
        <v>129</v>
      </c>
      <c r="P580" s="193" t="s">
        <v>138</v>
      </c>
      <c r="Q580" s="193" t="s">
        <v>137</v>
      </c>
      <c r="R580" s="193" t="s">
        <v>136</v>
      </c>
      <c r="S580" s="193" t="s">
        <v>214</v>
      </c>
      <c r="T580" s="193" t="s">
        <v>389</v>
      </c>
      <c r="U580" s="193" t="s">
        <v>390</v>
      </c>
      <c r="V580" s="193">
        <v>0</v>
      </c>
      <c r="W580" s="193">
        <v>0</v>
      </c>
      <c r="X580" s="193">
        <v>0</v>
      </c>
      <c r="Y580" s="194">
        <v>10111</v>
      </c>
      <c r="Z580" s="193" t="s">
        <v>1498</v>
      </c>
      <c r="AA580" s="193" t="s">
        <v>1499</v>
      </c>
      <c r="AB580" s="193">
        <v>10111</v>
      </c>
      <c r="AC580" s="193" t="s">
        <v>1500</v>
      </c>
      <c r="AD580" s="193" t="s">
        <v>136</v>
      </c>
      <c r="AE580" s="193">
        <v>10111</v>
      </c>
      <c r="AF580" s="193" t="s">
        <v>394</v>
      </c>
      <c r="AG580" s="193" t="s">
        <v>395</v>
      </c>
      <c r="AH580" s="193">
        <v>919</v>
      </c>
      <c r="AI580" s="193">
        <v>9192</v>
      </c>
      <c r="AJ580" s="193" t="s">
        <v>2211</v>
      </c>
      <c r="AL580" s="197" t="s">
        <v>2212</v>
      </c>
      <c r="AM580" s="193">
        <v>1</v>
      </c>
      <c r="AN580" s="193">
        <v>0</v>
      </c>
      <c r="AO580" s="193">
        <v>0</v>
      </c>
      <c r="AP580" s="193">
        <v>0</v>
      </c>
      <c r="AQ580" s="193" t="s">
        <v>214</v>
      </c>
      <c r="AS580" s="197" t="s">
        <v>394</v>
      </c>
      <c r="AT580" s="197" t="s">
        <v>395</v>
      </c>
      <c r="AV580" s="196">
        <v>0</v>
      </c>
      <c r="AW580" s="196">
        <v>0</v>
      </c>
      <c r="AX580" s="196">
        <v>0</v>
      </c>
      <c r="AY580" s="550">
        <v>0</v>
      </c>
      <c r="AZ580" s="196">
        <v>0</v>
      </c>
      <c r="BA580" s="196">
        <v>10111</v>
      </c>
      <c r="BB580" s="551">
        <v>10111</v>
      </c>
      <c r="BC580" s="551">
        <v>10111</v>
      </c>
      <c r="BD580" s="551">
        <v>0</v>
      </c>
      <c r="BF580" s="550">
        <f t="shared" si="112"/>
        <v>0</v>
      </c>
      <c r="BG580" s="550">
        <f t="shared" si="113"/>
        <v>0</v>
      </c>
      <c r="BH580" s="550">
        <f t="shared" si="114"/>
        <v>0</v>
      </c>
      <c r="BI580" s="550">
        <f t="shared" si="115"/>
        <v>0</v>
      </c>
      <c r="BJ580" s="550">
        <f t="shared" si="116"/>
        <v>0</v>
      </c>
      <c r="BK580" s="550">
        <f t="shared" si="117"/>
        <v>9192</v>
      </c>
      <c r="BL580" s="550">
        <f t="shared" si="118"/>
        <v>9192</v>
      </c>
      <c r="BM580" s="550">
        <f t="shared" si="119"/>
        <v>9192</v>
      </c>
      <c r="BO580" s="194"/>
      <c r="BQ580" s="193">
        <f t="shared" si="120"/>
        <v>0</v>
      </c>
      <c r="BR580" s="193">
        <f t="shared" si="121"/>
        <v>-0.18181818181801646</v>
      </c>
    </row>
    <row r="581" spans="1:70" ht="13.5" customHeight="1">
      <c r="A581" s="193" t="s">
        <v>378</v>
      </c>
      <c r="B581" s="193" t="s">
        <v>379</v>
      </c>
      <c r="C581" s="193" t="s">
        <v>214</v>
      </c>
      <c r="D581" s="193" t="s">
        <v>380</v>
      </c>
      <c r="E581" s="193" t="s">
        <v>381</v>
      </c>
      <c r="F581" s="193" t="s">
        <v>411</v>
      </c>
      <c r="G581" s="193" t="s">
        <v>411</v>
      </c>
      <c r="H581" s="193" t="s">
        <v>2209</v>
      </c>
      <c r="I581" s="193" t="s">
        <v>384</v>
      </c>
      <c r="J581" s="193" t="s">
        <v>2213</v>
      </c>
      <c r="K581" s="193" t="s">
        <v>386</v>
      </c>
      <c r="L581" s="193" t="s">
        <v>387</v>
      </c>
      <c r="M581" s="193" t="s">
        <v>378</v>
      </c>
      <c r="N581" s="193" t="s">
        <v>1497</v>
      </c>
      <c r="O581" s="193" t="s">
        <v>129</v>
      </c>
      <c r="P581" s="193" t="s">
        <v>138</v>
      </c>
      <c r="Q581" s="193" t="s">
        <v>137</v>
      </c>
      <c r="R581" s="193" t="s">
        <v>136</v>
      </c>
      <c r="S581" s="193" t="s">
        <v>214</v>
      </c>
      <c r="T581" s="193" t="s">
        <v>389</v>
      </c>
      <c r="U581" s="193" t="s">
        <v>390</v>
      </c>
      <c r="V581" s="193">
        <v>0</v>
      </c>
      <c r="W581" s="193">
        <v>0</v>
      </c>
      <c r="X581" s="193">
        <v>0</v>
      </c>
      <c r="Y581" s="194">
        <v>3133</v>
      </c>
      <c r="Z581" s="193" t="s">
        <v>1498</v>
      </c>
      <c r="AA581" s="193" t="s">
        <v>1499</v>
      </c>
      <c r="AB581" s="193">
        <v>3133</v>
      </c>
      <c r="AC581" s="193" t="s">
        <v>1500</v>
      </c>
      <c r="AD581" s="193" t="s">
        <v>136</v>
      </c>
      <c r="AE581" s="193">
        <v>3133</v>
      </c>
      <c r="AF581" s="193" t="s">
        <v>394</v>
      </c>
      <c r="AG581" s="193" t="s">
        <v>395</v>
      </c>
      <c r="AH581" s="193">
        <v>284</v>
      </c>
      <c r="AI581" s="193">
        <v>2849</v>
      </c>
      <c r="AJ581" s="193" t="s">
        <v>2211</v>
      </c>
      <c r="AL581" s="197" t="s">
        <v>2214</v>
      </c>
      <c r="AM581" s="193">
        <v>1</v>
      </c>
      <c r="AN581" s="193">
        <v>0</v>
      </c>
      <c r="AO581" s="193">
        <v>0</v>
      </c>
      <c r="AP581" s="193">
        <v>0</v>
      </c>
      <c r="AQ581" s="193" t="s">
        <v>214</v>
      </c>
      <c r="AS581" s="197" t="s">
        <v>394</v>
      </c>
      <c r="AT581" s="197" t="s">
        <v>395</v>
      </c>
      <c r="AV581" s="196">
        <v>0</v>
      </c>
      <c r="AW581" s="196">
        <v>0</v>
      </c>
      <c r="AX581" s="196">
        <v>0</v>
      </c>
      <c r="AY581" s="550">
        <v>0</v>
      </c>
      <c r="AZ581" s="196">
        <v>0</v>
      </c>
      <c r="BA581" s="196">
        <v>3133</v>
      </c>
      <c r="BB581" s="551">
        <v>3133</v>
      </c>
      <c r="BC581" s="551">
        <v>3133</v>
      </c>
      <c r="BD581" s="551">
        <v>0</v>
      </c>
      <c r="BF581" s="550">
        <f t="shared" si="112"/>
        <v>0</v>
      </c>
      <c r="BG581" s="550">
        <f t="shared" si="113"/>
        <v>0</v>
      </c>
      <c r="BH581" s="550">
        <f t="shared" si="114"/>
        <v>0</v>
      </c>
      <c r="BI581" s="550">
        <f t="shared" si="115"/>
        <v>0</v>
      </c>
      <c r="BJ581" s="550">
        <f t="shared" si="116"/>
        <v>0</v>
      </c>
      <c r="BK581" s="550">
        <f t="shared" si="117"/>
        <v>2848</v>
      </c>
      <c r="BL581" s="550">
        <f t="shared" si="118"/>
        <v>2848</v>
      </c>
      <c r="BM581" s="550">
        <f t="shared" si="119"/>
        <v>2848</v>
      </c>
      <c r="BO581" s="194"/>
      <c r="BQ581" s="193">
        <f t="shared" si="120"/>
        <v>0</v>
      </c>
      <c r="BR581" s="193">
        <f t="shared" si="121"/>
        <v>0.18181818181801646</v>
      </c>
    </row>
    <row r="582" spans="1:70" ht="13.5" customHeight="1">
      <c r="A582" s="193" t="s">
        <v>378</v>
      </c>
      <c r="B582" s="193" t="s">
        <v>379</v>
      </c>
      <c r="C582" s="193" t="s">
        <v>214</v>
      </c>
      <c r="D582" s="193" t="s">
        <v>380</v>
      </c>
      <c r="E582" s="193" t="s">
        <v>381</v>
      </c>
      <c r="F582" s="193" t="s">
        <v>419</v>
      </c>
      <c r="G582" s="193" t="s">
        <v>419</v>
      </c>
      <c r="H582" s="193" t="s">
        <v>2215</v>
      </c>
      <c r="I582" s="193" t="s">
        <v>384</v>
      </c>
      <c r="J582" s="193" t="s">
        <v>2216</v>
      </c>
      <c r="K582" s="193" t="s">
        <v>386</v>
      </c>
      <c r="L582" s="193" t="s">
        <v>387</v>
      </c>
      <c r="M582" s="193" t="s">
        <v>378</v>
      </c>
      <c r="N582" s="193" t="s">
        <v>1497</v>
      </c>
      <c r="O582" s="193" t="s">
        <v>129</v>
      </c>
      <c r="P582" s="193" t="s">
        <v>138</v>
      </c>
      <c r="Q582" s="193" t="s">
        <v>137</v>
      </c>
      <c r="R582" s="193" t="s">
        <v>136</v>
      </c>
      <c r="S582" s="193" t="s">
        <v>214</v>
      </c>
      <c r="T582" s="193" t="s">
        <v>389</v>
      </c>
      <c r="U582" s="193" t="s">
        <v>390</v>
      </c>
      <c r="V582" s="193">
        <v>0</v>
      </c>
      <c r="W582" s="193">
        <v>0</v>
      </c>
      <c r="X582" s="193">
        <v>0</v>
      </c>
      <c r="Y582" s="194">
        <v>6003</v>
      </c>
      <c r="Z582" s="193" t="s">
        <v>1498</v>
      </c>
      <c r="AA582" s="193" t="s">
        <v>1499</v>
      </c>
      <c r="AB582" s="193">
        <v>6003</v>
      </c>
      <c r="AC582" s="193" t="s">
        <v>1500</v>
      </c>
      <c r="AD582" s="193" t="s">
        <v>136</v>
      </c>
      <c r="AE582" s="193">
        <v>6003</v>
      </c>
      <c r="AF582" s="193" t="s">
        <v>394</v>
      </c>
      <c r="AG582" s="193" t="s">
        <v>395</v>
      </c>
      <c r="AH582" s="193">
        <v>545</v>
      </c>
      <c r="AI582" s="193">
        <v>5458</v>
      </c>
      <c r="AJ582" s="193" t="s">
        <v>2211</v>
      </c>
      <c r="AL582" s="197" t="s">
        <v>2217</v>
      </c>
      <c r="AM582" s="193">
        <v>1</v>
      </c>
      <c r="AN582" s="193">
        <v>0</v>
      </c>
      <c r="AO582" s="193">
        <v>0</v>
      </c>
      <c r="AP582" s="193">
        <v>0</v>
      </c>
      <c r="AQ582" s="193" t="s">
        <v>214</v>
      </c>
      <c r="AS582" s="197" t="s">
        <v>394</v>
      </c>
      <c r="AT582" s="197" t="s">
        <v>395</v>
      </c>
      <c r="AV582" s="196">
        <v>0</v>
      </c>
      <c r="AW582" s="196">
        <v>0</v>
      </c>
      <c r="AX582" s="196">
        <v>0</v>
      </c>
      <c r="AY582" s="550">
        <v>0</v>
      </c>
      <c r="AZ582" s="196">
        <v>0</v>
      </c>
      <c r="BA582" s="196">
        <v>6003</v>
      </c>
      <c r="BB582" s="551">
        <v>6003</v>
      </c>
      <c r="BC582" s="551">
        <v>6003</v>
      </c>
      <c r="BD582" s="551">
        <v>0</v>
      </c>
      <c r="BF582" s="550">
        <f t="shared" si="112"/>
        <v>0</v>
      </c>
      <c r="BG582" s="550">
        <f t="shared" si="113"/>
        <v>0</v>
      </c>
      <c r="BH582" s="550">
        <f t="shared" si="114"/>
        <v>0</v>
      </c>
      <c r="BI582" s="550">
        <f t="shared" si="115"/>
        <v>0</v>
      </c>
      <c r="BJ582" s="550">
        <f t="shared" si="116"/>
        <v>0</v>
      </c>
      <c r="BK582" s="550">
        <f t="shared" si="117"/>
        <v>5457</v>
      </c>
      <c r="BL582" s="550">
        <f t="shared" si="118"/>
        <v>5457</v>
      </c>
      <c r="BM582" s="550">
        <f t="shared" si="119"/>
        <v>5457</v>
      </c>
      <c r="BO582" s="194"/>
      <c r="BQ582" s="193">
        <f t="shared" si="120"/>
        <v>0</v>
      </c>
      <c r="BR582" s="193">
        <f t="shared" si="121"/>
        <v>0.27272727272702468</v>
      </c>
    </row>
    <row r="583" spans="1:70" ht="13.5" customHeight="1">
      <c r="A583" s="193" t="s">
        <v>378</v>
      </c>
      <c r="B583" s="193" t="s">
        <v>379</v>
      </c>
      <c r="C583" s="193" t="s">
        <v>214</v>
      </c>
      <c r="D583" s="193" t="s">
        <v>380</v>
      </c>
      <c r="E583" s="193" t="s">
        <v>381</v>
      </c>
      <c r="F583" s="193" t="s">
        <v>419</v>
      </c>
      <c r="G583" s="193" t="s">
        <v>419</v>
      </c>
      <c r="H583" s="193" t="s">
        <v>2215</v>
      </c>
      <c r="I583" s="193" t="s">
        <v>384</v>
      </c>
      <c r="J583" s="193" t="s">
        <v>2218</v>
      </c>
      <c r="K583" s="193" t="s">
        <v>386</v>
      </c>
      <c r="L583" s="193" t="s">
        <v>387</v>
      </c>
      <c r="M583" s="193" t="s">
        <v>378</v>
      </c>
      <c r="N583" s="193" t="s">
        <v>1497</v>
      </c>
      <c r="O583" s="193" t="s">
        <v>129</v>
      </c>
      <c r="P583" s="193" t="s">
        <v>138</v>
      </c>
      <c r="Q583" s="193" t="s">
        <v>137</v>
      </c>
      <c r="R583" s="193" t="s">
        <v>136</v>
      </c>
      <c r="S583" s="193" t="s">
        <v>214</v>
      </c>
      <c r="T583" s="193" t="s">
        <v>389</v>
      </c>
      <c r="U583" s="193" t="s">
        <v>390</v>
      </c>
      <c r="V583" s="193">
        <v>0</v>
      </c>
      <c r="W583" s="193">
        <v>0</v>
      </c>
      <c r="X583" s="193">
        <v>0</v>
      </c>
      <c r="Y583" s="194">
        <v>3838</v>
      </c>
      <c r="Z583" s="193" t="s">
        <v>1498</v>
      </c>
      <c r="AA583" s="193" t="s">
        <v>1499</v>
      </c>
      <c r="AB583" s="193">
        <v>3838</v>
      </c>
      <c r="AC583" s="193" t="s">
        <v>1500</v>
      </c>
      <c r="AD583" s="193" t="s">
        <v>136</v>
      </c>
      <c r="AE583" s="193">
        <v>3838</v>
      </c>
      <c r="AF583" s="193" t="s">
        <v>394</v>
      </c>
      <c r="AG583" s="193" t="s">
        <v>395</v>
      </c>
      <c r="AH583" s="193">
        <v>348</v>
      </c>
      <c r="AI583" s="193">
        <v>3490</v>
      </c>
      <c r="AJ583" s="193" t="s">
        <v>2211</v>
      </c>
      <c r="AL583" s="197" t="s">
        <v>2219</v>
      </c>
      <c r="AM583" s="193">
        <v>1</v>
      </c>
      <c r="AN583" s="193">
        <v>0</v>
      </c>
      <c r="AO583" s="193">
        <v>0</v>
      </c>
      <c r="AP583" s="193">
        <v>0</v>
      </c>
      <c r="AQ583" s="193" t="s">
        <v>214</v>
      </c>
      <c r="AS583" s="197" t="s">
        <v>394</v>
      </c>
      <c r="AT583" s="197" t="s">
        <v>395</v>
      </c>
      <c r="AV583" s="196">
        <v>0</v>
      </c>
      <c r="AW583" s="196">
        <v>0</v>
      </c>
      <c r="AX583" s="196">
        <v>0</v>
      </c>
      <c r="AY583" s="550">
        <v>0</v>
      </c>
      <c r="AZ583" s="196">
        <v>0</v>
      </c>
      <c r="BA583" s="196">
        <v>3838</v>
      </c>
      <c r="BB583" s="551">
        <v>3838</v>
      </c>
      <c r="BC583" s="551">
        <v>3838</v>
      </c>
      <c r="BD583" s="551">
        <v>0</v>
      </c>
      <c r="BF583" s="550">
        <f t="shared" ref="BF583:BF646" si="122">+IFERROR(ROUND(AV583*100/(100+$AT583),0),AV583)</f>
        <v>0</v>
      </c>
      <c r="BG583" s="550">
        <f t="shared" ref="BG583:BG646" si="123">+IFERROR(ROUND(AW583*100/(100+$AT583),0),AW583)</f>
        <v>0</v>
      </c>
      <c r="BH583" s="550">
        <f t="shared" ref="BH583:BH646" si="124">+IFERROR(ROUND(AX583*100/(100+$AT583),0),AX583)</f>
        <v>0</v>
      </c>
      <c r="BI583" s="550">
        <f t="shared" ref="BI583:BI646" si="125">SUM(BF583:BH583)</f>
        <v>0</v>
      </c>
      <c r="BJ583" s="550">
        <f t="shared" ref="BJ583:BJ646" si="126">+IFERROR(ROUND(AZ583*100/(100+$AT583),0),AZ583)</f>
        <v>0</v>
      </c>
      <c r="BK583" s="550">
        <f t="shared" ref="BK583:BK646" si="127">+IFERROR(ROUND(BA583*100/(100+$AT583),0),BA583)</f>
        <v>3489</v>
      </c>
      <c r="BL583" s="550">
        <f t="shared" ref="BL583:BL646" si="128">SUM(BJ583:BK583)</f>
        <v>3489</v>
      </c>
      <c r="BM583" s="550">
        <f t="shared" ref="BM583:BM646" si="129">+BI583+BL583</f>
        <v>3489</v>
      </c>
      <c r="BO583" s="194"/>
      <c r="BQ583" s="193">
        <f t="shared" ref="BQ583:BQ646" si="130">AY583*100/(100+$AT583)-BI583</f>
        <v>0</v>
      </c>
      <c r="BR583" s="193">
        <f t="shared" ref="BR583:BR646" si="131">BB583*100/(100+$AT583)-BL583</f>
        <v>9.0909090909008228E-2</v>
      </c>
    </row>
    <row r="584" spans="1:70" ht="13.5" customHeight="1">
      <c r="A584" s="193" t="s">
        <v>378</v>
      </c>
      <c r="B584" s="193" t="s">
        <v>379</v>
      </c>
      <c r="C584" s="193" t="s">
        <v>214</v>
      </c>
      <c r="D584" s="193" t="s">
        <v>380</v>
      </c>
      <c r="E584" s="193" t="s">
        <v>381</v>
      </c>
      <c r="F584" s="193" t="s">
        <v>427</v>
      </c>
      <c r="G584" s="193" t="s">
        <v>427</v>
      </c>
      <c r="H584" s="193" t="s">
        <v>2220</v>
      </c>
      <c r="I584" s="193" t="s">
        <v>384</v>
      </c>
      <c r="J584" s="193" t="s">
        <v>2221</v>
      </c>
      <c r="K584" s="193" t="s">
        <v>386</v>
      </c>
      <c r="L584" s="193" t="s">
        <v>387</v>
      </c>
      <c r="M584" s="193" t="s">
        <v>378</v>
      </c>
      <c r="N584" s="193" t="s">
        <v>1497</v>
      </c>
      <c r="O584" s="193" t="s">
        <v>129</v>
      </c>
      <c r="P584" s="193" t="s">
        <v>138</v>
      </c>
      <c r="Q584" s="193" t="s">
        <v>137</v>
      </c>
      <c r="R584" s="193" t="s">
        <v>136</v>
      </c>
      <c r="S584" s="193" t="s">
        <v>214</v>
      </c>
      <c r="T584" s="193" t="s">
        <v>389</v>
      </c>
      <c r="U584" s="193" t="s">
        <v>390</v>
      </c>
      <c r="V584" s="193">
        <v>0</v>
      </c>
      <c r="W584" s="193">
        <v>0</v>
      </c>
      <c r="X584" s="193">
        <v>0</v>
      </c>
      <c r="Y584" s="194">
        <v>3799</v>
      </c>
      <c r="Z584" s="193" t="s">
        <v>1498</v>
      </c>
      <c r="AA584" s="193" t="s">
        <v>1499</v>
      </c>
      <c r="AB584" s="193">
        <v>3799</v>
      </c>
      <c r="AC584" s="193" t="s">
        <v>1500</v>
      </c>
      <c r="AD584" s="193" t="s">
        <v>136</v>
      </c>
      <c r="AE584" s="193">
        <v>3799</v>
      </c>
      <c r="AF584" s="193" t="s">
        <v>394</v>
      </c>
      <c r="AG584" s="193" t="s">
        <v>395</v>
      </c>
      <c r="AH584" s="193">
        <v>345</v>
      </c>
      <c r="AI584" s="193">
        <v>3454</v>
      </c>
      <c r="AJ584" s="193" t="s">
        <v>2211</v>
      </c>
      <c r="AL584" s="197" t="s">
        <v>2222</v>
      </c>
      <c r="AM584" s="193">
        <v>1</v>
      </c>
      <c r="AN584" s="193">
        <v>0</v>
      </c>
      <c r="AO584" s="193">
        <v>0</v>
      </c>
      <c r="AP584" s="193">
        <v>0</v>
      </c>
      <c r="AQ584" s="193" t="s">
        <v>214</v>
      </c>
      <c r="AS584" s="197" t="s">
        <v>394</v>
      </c>
      <c r="AT584" s="197" t="s">
        <v>395</v>
      </c>
      <c r="AV584" s="196">
        <v>0</v>
      </c>
      <c r="AW584" s="196">
        <v>0</v>
      </c>
      <c r="AX584" s="196">
        <v>0</v>
      </c>
      <c r="AY584" s="550">
        <v>0</v>
      </c>
      <c r="AZ584" s="196">
        <v>0</v>
      </c>
      <c r="BA584" s="196">
        <v>3799</v>
      </c>
      <c r="BB584" s="551">
        <v>3799</v>
      </c>
      <c r="BC584" s="551">
        <v>3799</v>
      </c>
      <c r="BD584" s="551">
        <v>0</v>
      </c>
      <c r="BF584" s="550">
        <f t="shared" si="122"/>
        <v>0</v>
      </c>
      <c r="BG584" s="550">
        <f t="shared" si="123"/>
        <v>0</v>
      </c>
      <c r="BH584" s="550">
        <f t="shared" si="124"/>
        <v>0</v>
      </c>
      <c r="BI584" s="550">
        <f t="shared" si="125"/>
        <v>0</v>
      </c>
      <c r="BJ584" s="550">
        <f t="shared" si="126"/>
        <v>0</v>
      </c>
      <c r="BK584" s="550">
        <f t="shared" si="127"/>
        <v>3454</v>
      </c>
      <c r="BL584" s="550">
        <f t="shared" si="128"/>
        <v>3454</v>
      </c>
      <c r="BM584" s="550">
        <f t="shared" si="129"/>
        <v>3454</v>
      </c>
      <c r="BO584" s="194"/>
      <c r="BQ584" s="193">
        <f t="shared" si="130"/>
        <v>0</v>
      </c>
      <c r="BR584" s="193">
        <f t="shared" si="131"/>
        <v>-0.36363636363648766</v>
      </c>
    </row>
    <row r="585" spans="1:70" ht="13.5" customHeight="1">
      <c r="A585" s="193" t="s">
        <v>378</v>
      </c>
      <c r="B585" s="193" t="s">
        <v>379</v>
      </c>
      <c r="C585" s="193" t="s">
        <v>214</v>
      </c>
      <c r="D585" s="193" t="s">
        <v>380</v>
      </c>
      <c r="E585" s="193" t="s">
        <v>381</v>
      </c>
      <c r="F585" s="193" t="s">
        <v>427</v>
      </c>
      <c r="G585" s="193" t="s">
        <v>427</v>
      </c>
      <c r="H585" s="193" t="s">
        <v>2220</v>
      </c>
      <c r="I585" s="193" t="s">
        <v>384</v>
      </c>
      <c r="J585" s="193" t="s">
        <v>2223</v>
      </c>
      <c r="K585" s="193" t="s">
        <v>386</v>
      </c>
      <c r="L585" s="193" t="s">
        <v>387</v>
      </c>
      <c r="M585" s="193" t="s">
        <v>378</v>
      </c>
      <c r="N585" s="193" t="s">
        <v>1497</v>
      </c>
      <c r="O585" s="193" t="s">
        <v>129</v>
      </c>
      <c r="P585" s="193" t="s">
        <v>138</v>
      </c>
      <c r="Q585" s="193" t="s">
        <v>137</v>
      </c>
      <c r="R585" s="193" t="s">
        <v>136</v>
      </c>
      <c r="S585" s="193" t="s">
        <v>214</v>
      </c>
      <c r="T585" s="193" t="s">
        <v>389</v>
      </c>
      <c r="U585" s="193" t="s">
        <v>390</v>
      </c>
      <c r="V585" s="193">
        <v>0</v>
      </c>
      <c r="W585" s="193">
        <v>0</v>
      </c>
      <c r="X585" s="193">
        <v>0</v>
      </c>
      <c r="Y585" s="194">
        <v>3928</v>
      </c>
      <c r="Z585" s="193" t="s">
        <v>1498</v>
      </c>
      <c r="AA585" s="193" t="s">
        <v>1499</v>
      </c>
      <c r="AB585" s="193">
        <v>3928</v>
      </c>
      <c r="AC585" s="193" t="s">
        <v>1500</v>
      </c>
      <c r="AD585" s="193" t="s">
        <v>136</v>
      </c>
      <c r="AE585" s="193">
        <v>3928</v>
      </c>
      <c r="AF585" s="193" t="s">
        <v>394</v>
      </c>
      <c r="AG585" s="193" t="s">
        <v>395</v>
      </c>
      <c r="AH585" s="193">
        <v>357</v>
      </c>
      <c r="AI585" s="193">
        <v>3571</v>
      </c>
      <c r="AJ585" s="193" t="s">
        <v>2211</v>
      </c>
      <c r="AL585" s="197" t="s">
        <v>2224</v>
      </c>
      <c r="AM585" s="193">
        <v>1</v>
      </c>
      <c r="AN585" s="193">
        <v>0</v>
      </c>
      <c r="AO585" s="193">
        <v>0</v>
      </c>
      <c r="AP585" s="193">
        <v>0</v>
      </c>
      <c r="AQ585" s="193" t="s">
        <v>214</v>
      </c>
      <c r="AS585" s="197" t="s">
        <v>394</v>
      </c>
      <c r="AT585" s="197" t="s">
        <v>395</v>
      </c>
      <c r="AV585" s="196">
        <v>0</v>
      </c>
      <c r="AW585" s="196">
        <v>0</v>
      </c>
      <c r="AX585" s="196">
        <v>0</v>
      </c>
      <c r="AY585" s="550">
        <v>0</v>
      </c>
      <c r="AZ585" s="196">
        <v>0</v>
      </c>
      <c r="BA585" s="196">
        <v>3928</v>
      </c>
      <c r="BB585" s="551">
        <v>3928</v>
      </c>
      <c r="BC585" s="551">
        <v>3928</v>
      </c>
      <c r="BD585" s="551">
        <v>0</v>
      </c>
      <c r="BF585" s="550">
        <f t="shared" si="122"/>
        <v>0</v>
      </c>
      <c r="BG585" s="550">
        <f t="shared" si="123"/>
        <v>0</v>
      </c>
      <c r="BH585" s="550">
        <f t="shared" si="124"/>
        <v>0</v>
      </c>
      <c r="BI585" s="550">
        <f t="shared" si="125"/>
        <v>0</v>
      </c>
      <c r="BJ585" s="550">
        <f t="shared" si="126"/>
        <v>0</v>
      </c>
      <c r="BK585" s="550">
        <f t="shared" si="127"/>
        <v>3571</v>
      </c>
      <c r="BL585" s="550">
        <f t="shared" si="128"/>
        <v>3571</v>
      </c>
      <c r="BM585" s="550">
        <f t="shared" si="129"/>
        <v>3571</v>
      </c>
      <c r="BO585" s="194"/>
      <c r="BQ585" s="193">
        <f t="shared" si="130"/>
        <v>0</v>
      </c>
      <c r="BR585" s="193">
        <f t="shared" si="131"/>
        <v>-9.0909090909008228E-2</v>
      </c>
    </row>
    <row r="586" spans="1:70" ht="13.5" customHeight="1">
      <c r="A586" s="193" t="s">
        <v>378</v>
      </c>
      <c r="B586" s="193" t="s">
        <v>379</v>
      </c>
      <c r="C586" s="193" t="s">
        <v>214</v>
      </c>
      <c r="D586" s="193" t="s">
        <v>1484</v>
      </c>
      <c r="E586" s="193" t="s">
        <v>1485</v>
      </c>
      <c r="F586" s="193" t="s">
        <v>1232</v>
      </c>
      <c r="G586" s="193" t="s">
        <v>1232</v>
      </c>
      <c r="H586" s="193" t="s">
        <v>2225</v>
      </c>
      <c r="I586" s="193" t="s">
        <v>384</v>
      </c>
      <c r="J586" s="193" t="s">
        <v>2226</v>
      </c>
      <c r="K586" s="193" t="s">
        <v>386</v>
      </c>
      <c r="L586" s="193" t="s">
        <v>387</v>
      </c>
      <c r="M586" s="193" t="s">
        <v>378</v>
      </c>
      <c r="N586" s="193" t="s">
        <v>1497</v>
      </c>
      <c r="O586" s="193" t="s">
        <v>129</v>
      </c>
      <c r="P586" s="193" t="s">
        <v>138</v>
      </c>
      <c r="Q586" s="193" t="s">
        <v>137</v>
      </c>
      <c r="R586" s="193" t="s">
        <v>136</v>
      </c>
      <c r="S586" s="193" t="s">
        <v>214</v>
      </c>
      <c r="T586" s="193" t="s">
        <v>389</v>
      </c>
      <c r="U586" s="193" t="s">
        <v>390</v>
      </c>
      <c r="V586" s="193">
        <v>0</v>
      </c>
      <c r="W586" s="193">
        <v>0</v>
      </c>
      <c r="X586" s="193">
        <v>0</v>
      </c>
      <c r="Y586" s="194">
        <v>5000</v>
      </c>
      <c r="Z586" s="193" t="s">
        <v>1498</v>
      </c>
      <c r="AA586" s="193" t="s">
        <v>1499</v>
      </c>
      <c r="AB586" s="193">
        <v>5000</v>
      </c>
      <c r="AC586" s="193" t="s">
        <v>1500</v>
      </c>
      <c r="AD586" s="193" t="s">
        <v>136</v>
      </c>
      <c r="AE586" s="193">
        <v>5000</v>
      </c>
      <c r="AF586" s="193" t="s">
        <v>394</v>
      </c>
      <c r="AG586" s="193" t="s">
        <v>395</v>
      </c>
      <c r="AH586" s="193">
        <v>454</v>
      </c>
      <c r="AI586" s="193">
        <v>4546</v>
      </c>
      <c r="AJ586" s="193" t="s">
        <v>2227</v>
      </c>
      <c r="AL586" s="197" t="s">
        <v>2228</v>
      </c>
      <c r="AM586" s="193">
        <v>1</v>
      </c>
      <c r="AN586" s="193">
        <v>0</v>
      </c>
      <c r="AO586" s="193">
        <v>0</v>
      </c>
      <c r="AP586" s="193">
        <v>0</v>
      </c>
      <c r="AQ586" s="193" t="s">
        <v>214</v>
      </c>
      <c r="AS586" s="197" t="s">
        <v>394</v>
      </c>
      <c r="AT586" s="197" t="s">
        <v>395</v>
      </c>
      <c r="AV586" s="196">
        <v>2500</v>
      </c>
      <c r="AW586" s="196">
        <v>0</v>
      </c>
      <c r="AX586" s="196">
        <v>0</v>
      </c>
      <c r="AY586" s="550">
        <v>2500</v>
      </c>
      <c r="AZ586" s="196">
        <v>0</v>
      </c>
      <c r="BA586" s="196">
        <v>2500</v>
      </c>
      <c r="BB586" s="551">
        <v>2500</v>
      </c>
      <c r="BC586" s="551">
        <v>5000</v>
      </c>
      <c r="BD586" s="551">
        <v>0</v>
      </c>
      <c r="BF586" s="550">
        <f t="shared" si="122"/>
        <v>2273</v>
      </c>
      <c r="BG586" s="550">
        <f t="shared" si="123"/>
        <v>0</v>
      </c>
      <c r="BH586" s="550">
        <f t="shared" si="124"/>
        <v>0</v>
      </c>
      <c r="BI586" s="550">
        <f t="shared" si="125"/>
        <v>2273</v>
      </c>
      <c r="BJ586" s="550">
        <f t="shared" si="126"/>
        <v>0</v>
      </c>
      <c r="BK586" s="550">
        <f t="shared" si="127"/>
        <v>2273</v>
      </c>
      <c r="BL586" s="550">
        <f t="shared" si="128"/>
        <v>2273</v>
      </c>
      <c r="BM586" s="550">
        <f t="shared" si="129"/>
        <v>4546</v>
      </c>
      <c r="BO586" s="194"/>
      <c r="BQ586" s="193">
        <f t="shared" si="130"/>
        <v>-0.27272727272747943</v>
      </c>
      <c r="BR586" s="193">
        <f t="shared" si="131"/>
        <v>-0.27272727272747943</v>
      </c>
    </row>
    <row r="587" spans="1:70" ht="13.5" customHeight="1">
      <c r="A587" s="193" t="s">
        <v>378</v>
      </c>
      <c r="B587" s="193" t="s">
        <v>379</v>
      </c>
      <c r="C587" s="193" t="s">
        <v>214</v>
      </c>
      <c r="D587" s="193" t="s">
        <v>1484</v>
      </c>
      <c r="E587" s="193" t="s">
        <v>1485</v>
      </c>
      <c r="F587" s="193" t="s">
        <v>1443</v>
      </c>
      <c r="G587" s="193" t="s">
        <v>1443</v>
      </c>
      <c r="H587" s="193" t="s">
        <v>2225</v>
      </c>
      <c r="I587" s="193" t="s">
        <v>384</v>
      </c>
      <c r="J587" s="193" t="s">
        <v>2229</v>
      </c>
      <c r="K587" s="193" t="s">
        <v>386</v>
      </c>
      <c r="L587" s="193" t="s">
        <v>387</v>
      </c>
      <c r="M587" s="193" t="s">
        <v>378</v>
      </c>
      <c r="N587" s="193" t="s">
        <v>1497</v>
      </c>
      <c r="O587" s="193" t="s">
        <v>129</v>
      </c>
      <c r="P587" s="193" t="s">
        <v>138</v>
      </c>
      <c r="Q587" s="193" t="s">
        <v>137</v>
      </c>
      <c r="R587" s="193" t="s">
        <v>136</v>
      </c>
      <c r="S587" s="193" t="s">
        <v>214</v>
      </c>
      <c r="T587" s="193" t="s">
        <v>389</v>
      </c>
      <c r="U587" s="193" t="s">
        <v>390</v>
      </c>
      <c r="V587" s="193">
        <v>0</v>
      </c>
      <c r="W587" s="193">
        <v>0</v>
      </c>
      <c r="X587" s="193">
        <v>0</v>
      </c>
      <c r="Y587" s="194">
        <v>25000</v>
      </c>
      <c r="Z587" s="193" t="s">
        <v>1498</v>
      </c>
      <c r="AA587" s="193" t="s">
        <v>1499</v>
      </c>
      <c r="AB587" s="193">
        <v>25000</v>
      </c>
      <c r="AC587" s="193" t="s">
        <v>1500</v>
      </c>
      <c r="AD587" s="193" t="s">
        <v>136</v>
      </c>
      <c r="AE587" s="193">
        <v>25000</v>
      </c>
      <c r="AF587" s="193" t="s">
        <v>394</v>
      </c>
      <c r="AG587" s="193" t="s">
        <v>395</v>
      </c>
      <c r="AH587" s="193">
        <v>2272</v>
      </c>
      <c r="AI587" s="193">
        <v>22728</v>
      </c>
      <c r="AJ587" s="193" t="s">
        <v>2227</v>
      </c>
      <c r="AL587" s="197" t="s">
        <v>2230</v>
      </c>
      <c r="AM587" s="193">
        <v>1</v>
      </c>
      <c r="AN587" s="193">
        <v>0</v>
      </c>
      <c r="AO587" s="193">
        <v>0</v>
      </c>
      <c r="AP587" s="193">
        <v>0</v>
      </c>
      <c r="AQ587" s="193" t="s">
        <v>214</v>
      </c>
      <c r="AS587" s="197" t="s">
        <v>394</v>
      </c>
      <c r="AT587" s="197" t="s">
        <v>395</v>
      </c>
      <c r="AV587" s="194">
        <v>12500</v>
      </c>
      <c r="AW587" s="194">
        <v>0</v>
      </c>
      <c r="AX587" s="194">
        <v>0</v>
      </c>
      <c r="AY587" s="549">
        <v>12500</v>
      </c>
      <c r="AZ587" s="194">
        <v>0</v>
      </c>
      <c r="BA587" s="194">
        <v>12500</v>
      </c>
      <c r="BB587" s="551">
        <v>12500</v>
      </c>
      <c r="BC587" s="551">
        <v>25000</v>
      </c>
      <c r="BD587" s="551">
        <v>0</v>
      </c>
      <c r="BF587" s="550">
        <f t="shared" si="122"/>
        <v>11364</v>
      </c>
      <c r="BG587" s="550">
        <f t="shared" si="123"/>
        <v>0</v>
      </c>
      <c r="BH587" s="550">
        <f t="shared" si="124"/>
        <v>0</v>
      </c>
      <c r="BI587" s="550">
        <f t="shared" si="125"/>
        <v>11364</v>
      </c>
      <c r="BJ587" s="550">
        <f t="shared" si="126"/>
        <v>0</v>
      </c>
      <c r="BK587" s="550">
        <f t="shared" si="127"/>
        <v>11364</v>
      </c>
      <c r="BL587" s="550">
        <f t="shared" si="128"/>
        <v>11364</v>
      </c>
      <c r="BM587" s="550">
        <f t="shared" si="129"/>
        <v>22728</v>
      </c>
      <c r="BO587" s="194"/>
      <c r="BQ587" s="193">
        <f t="shared" si="130"/>
        <v>-0.36363636363603291</v>
      </c>
      <c r="BR587" s="193">
        <f t="shared" si="131"/>
        <v>-0.36363636363603291</v>
      </c>
    </row>
    <row r="588" spans="1:70" ht="13.5" customHeight="1">
      <c r="A588" s="193" t="s">
        <v>378</v>
      </c>
      <c r="B588" s="193" t="s">
        <v>379</v>
      </c>
      <c r="C588" s="193" t="s">
        <v>214</v>
      </c>
      <c r="D588" s="193" t="s">
        <v>1441</v>
      </c>
      <c r="E588" s="193" t="s">
        <v>1442</v>
      </c>
      <c r="F588" s="193" t="s">
        <v>439</v>
      </c>
      <c r="G588" s="193" t="s">
        <v>439</v>
      </c>
      <c r="H588" s="193" t="s">
        <v>2231</v>
      </c>
      <c r="I588" s="193" t="s">
        <v>1508</v>
      </c>
      <c r="J588" s="193" t="s">
        <v>2232</v>
      </c>
      <c r="K588" s="193" t="s">
        <v>386</v>
      </c>
      <c r="L588" s="193" t="s">
        <v>387</v>
      </c>
      <c r="M588" s="193" t="s">
        <v>378</v>
      </c>
      <c r="N588" s="193" t="s">
        <v>1497</v>
      </c>
      <c r="O588" s="193" t="s">
        <v>129</v>
      </c>
      <c r="P588" s="193" t="s">
        <v>138</v>
      </c>
      <c r="Q588" s="193" t="s">
        <v>137</v>
      </c>
      <c r="R588" s="193" t="s">
        <v>136</v>
      </c>
      <c r="S588" s="193" t="s">
        <v>214</v>
      </c>
      <c r="T588" s="193" t="s">
        <v>389</v>
      </c>
      <c r="U588" s="193" t="s">
        <v>390</v>
      </c>
      <c r="V588" s="193">
        <v>0</v>
      </c>
      <c r="W588" s="193">
        <v>0</v>
      </c>
      <c r="X588" s="193">
        <v>0</v>
      </c>
      <c r="Y588" s="194">
        <v>-156</v>
      </c>
      <c r="Z588" s="193" t="s">
        <v>1500</v>
      </c>
      <c r="AA588" s="193" t="s">
        <v>136</v>
      </c>
      <c r="AB588" s="193">
        <v>156</v>
      </c>
      <c r="AC588" s="193" t="s">
        <v>1691</v>
      </c>
      <c r="AD588" s="193" t="s">
        <v>1692</v>
      </c>
      <c r="AE588" s="193">
        <v>156</v>
      </c>
      <c r="AF588" s="193" t="s">
        <v>518</v>
      </c>
      <c r="AG588" s="193" t="s">
        <v>519</v>
      </c>
      <c r="AH588" s="193">
        <v>0</v>
      </c>
      <c r="AI588" s="193">
        <v>-156</v>
      </c>
      <c r="AJ588" s="193" t="s">
        <v>214</v>
      </c>
      <c r="AL588" s="197" t="s">
        <v>2233</v>
      </c>
      <c r="AM588" s="193">
        <v>1</v>
      </c>
      <c r="AN588" s="193">
        <v>0</v>
      </c>
      <c r="AO588" s="193">
        <v>0</v>
      </c>
      <c r="AP588" s="193" t="s">
        <v>2234</v>
      </c>
      <c r="AQ588" s="193" t="s">
        <v>214</v>
      </c>
      <c r="AS588" s="197" t="s">
        <v>518</v>
      </c>
      <c r="AT588" s="197" t="s">
        <v>519</v>
      </c>
      <c r="AV588" s="196">
        <v>0</v>
      </c>
      <c r="AW588" s="196">
        <v>0</v>
      </c>
      <c r="AX588" s="196">
        <v>0</v>
      </c>
      <c r="AY588" s="550">
        <v>0</v>
      </c>
      <c r="AZ588" s="196">
        <v>0</v>
      </c>
      <c r="BA588" s="196">
        <v>-156</v>
      </c>
      <c r="BB588" s="551">
        <v>-156</v>
      </c>
      <c r="BC588" s="551">
        <v>-156</v>
      </c>
      <c r="BD588" s="551">
        <v>0</v>
      </c>
      <c r="BF588" s="550">
        <f t="shared" si="122"/>
        <v>0</v>
      </c>
      <c r="BG588" s="550">
        <f t="shared" si="123"/>
        <v>0</v>
      </c>
      <c r="BH588" s="550">
        <f t="shared" si="124"/>
        <v>0</v>
      </c>
      <c r="BI588" s="550">
        <f t="shared" si="125"/>
        <v>0</v>
      </c>
      <c r="BJ588" s="550">
        <f t="shared" si="126"/>
        <v>0</v>
      </c>
      <c r="BK588" s="550">
        <f t="shared" si="127"/>
        <v>-156</v>
      </c>
      <c r="BL588" s="550">
        <f t="shared" si="128"/>
        <v>-156</v>
      </c>
      <c r="BM588" s="550">
        <f t="shared" si="129"/>
        <v>-156</v>
      </c>
      <c r="BO588" s="194"/>
      <c r="BQ588" s="193">
        <f t="shared" si="130"/>
        <v>0</v>
      </c>
      <c r="BR588" s="193">
        <f t="shared" si="131"/>
        <v>0</v>
      </c>
    </row>
    <row r="589" spans="1:70" ht="13.5" customHeight="1">
      <c r="A589" s="193" t="s">
        <v>378</v>
      </c>
      <c r="B589" s="193" t="s">
        <v>379</v>
      </c>
      <c r="C589" s="193" t="s">
        <v>214</v>
      </c>
      <c r="D589" s="193" t="s">
        <v>380</v>
      </c>
      <c r="E589" s="193" t="s">
        <v>381</v>
      </c>
      <c r="F589" s="193" t="s">
        <v>1579</v>
      </c>
      <c r="G589" s="193" t="s">
        <v>1579</v>
      </c>
      <c r="H589" s="193" t="s">
        <v>2235</v>
      </c>
      <c r="I589" s="193" t="s">
        <v>384</v>
      </c>
      <c r="J589" s="193" t="s">
        <v>2236</v>
      </c>
      <c r="K589" s="193" t="s">
        <v>386</v>
      </c>
      <c r="L589" s="193" t="s">
        <v>387</v>
      </c>
      <c r="M589" s="193" t="s">
        <v>378</v>
      </c>
      <c r="N589" s="193" t="s">
        <v>1497</v>
      </c>
      <c r="O589" s="193" t="s">
        <v>129</v>
      </c>
      <c r="P589" s="193" t="s">
        <v>138</v>
      </c>
      <c r="Q589" s="193" t="s">
        <v>137</v>
      </c>
      <c r="R589" s="193" t="s">
        <v>136</v>
      </c>
      <c r="S589" s="193" t="s">
        <v>214</v>
      </c>
      <c r="T589" s="193" t="s">
        <v>389</v>
      </c>
      <c r="U589" s="193" t="s">
        <v>390</v>
      </c>
      <c r="V589" s="193">
        <v>0</v>
      </c>
      <c r="W589" s="193">
        <v>0</v>
      </c>
      <c r="X589" s="193">
        <v>0</v>
      </c>
      <c r="Y589" s="194">
        <v>3841520</v>
      </c>
      <c r="Z589" s="193" t="s">
        <v>1498</v>
      </c>
      <c r="AA589" s="193" t="s">
        <v>1499</v>
      </c>
      <c r="AB589" s="193">
        <v>3841520</v>
      </c>
      <c r="AC589" s="193" t="s">
        <v>1500</v>
      </c>
      <c r="AD589" s="193" t="s">
        <v>136</v>
      </c>
      <c r="AE589" s="193">
        <v>3841520</v>
      </c>
      <c r="AF589" s="193" t="s">
        <v>518</v>
      </c>
      <c r="AG589" s="193" t="s">
        <v>519</v>
      </c>
      <c r="AH589" s="193">
        <v>0</v>
      </c>
      <c r="AI589" s="193">
        <v>3841520</v>
      </c>
      <c r="AJ589" s="193" t="s">
        <v>409</v>
      </c>
      <c r="AL589" s="197" t="s">
        <v>2237</v>
      </c>
      <c r="AM589" s="193">
        <v>1</v>
      </c>
      <c r="AN589" s="193">
        <v>0</v>
      </c>
      <c r="AO589" s="193">
        <v>0</v>
      </c>
      <c r="AP589" s="193">
        <v>0</v>
      </c>
      <c r="AQ589" s="193" t="s">
        <v>214</v>
      </c>
      <c r="AS589" s="197" t="s">
        <v>518</v>
      </c>
      <c r="AT589" s="197" t="s">
        <v>519</v>
      </c>
      <c r="AV589" s="196">
        <v>0</v>
      </c>
      <c r="AW589" s="196">
        <v>0</v>
      </c>
      <c r="AX589" s="196">
        <v>0</v>
      </c>
      <c r="AY589" s="550">
        <v>0</v>
      </c>
      <c r="AZ589" s="196">
        <v>0</v>
      </c>
      <c r="BA589" s="196">
        <v>3841520</v>
      </c>
      <c r="BB589" s="551">
        <v>3841520</v>
      </c>
      <c r="BC589" s="551">
        <v>3841520</v>
      </c>
      <c r="BD589" s="551">
        <v>0</v>
      </c>
      <c r="BF589" s="550">
        <f t="shared" si="122"/>
        <v>0</v>
      </c>
      <c r="BG589" s="550">
        <f t="shared" si="123"/>
        <v>0</v>
      </c>
      <c r="BH589" s="550">
        <f t="shared" si="124"/>
        <v>0</v>
      </c>
      <c r="BI589" s="550">
        <f t="shared" si="125"/>
        <v>0</v>
      </c>
      <c r="BJ589" s="550">
        <f t="shared" si="126"/>
        <v>0</v>
      </c>
      <c r="BK589" s="550">
        <f t="shared" si="127"/>
        <v>3841520</v>
      </c>
      <c r="BL589" s="550">
        <f t="shared" si="128"/>
        <v>3841520</v>
      </c>
      <c r="BM589" s="550">
        <f t="shared" si="129"/>
        <v>3841520</v>
      </c>
      <c r="BO589" s="194"/>
      <c r="BQ589" s="193">
        <f t="shared" si="130"/>
        <v>0</v>
      </c>
      <c r="BR589" s="193">
        <f t="shared" si="131"/>
        <v>0</v>
      </c>
    </row>
    <row r="590" spans="1:70" ht="13.5" customHeight="1">
      <c r="A590" s="193" t="s">
        <v>378</v>
      </c>
      <c r="B590" s="193" t="s">
        <v>379</v>
      </c>
      <c r="C590" s="193" t="s">
        <v>214</v>
      </c>
      <c r="D590" s="193" t="s">
        <v>380</v>
      </c>
      <c r="E590" s="193" t="s">
        <v>381</v>
      </c>
      <c r="F590" s="193" t="s">
        <v>1685</v>
      </c>
      <c r="G590" s="193" t="s">
        <v>1685</v>
      </c>
      <c r="H590" s="193" t="s">
        <v>2238</v>
      </c>
      <c r="I590" s="193" t="s">
        <v>1508</v>
      </c>
      <c r="J590" s="193" t="s">
        <v>2239</v>
      </c>
      <c r="K590" s="193" t="s">
        <v>386</v>
      </c>
      <c r="L590" s="193" t="s">
        <v>387</v>
      </c>
      <c r="M590" s="193" t="s">
        <v>378</v>
      </c>
      <c r="N590" s="193" t="s">
        <v>1497</v>
      </c>
      <c r="O590" s="193" t="s">
        <v>129</v>
      </c>
      <c r="P590" s="193" t="s">
        <v>138</v>
      </c>
      <c r="Q590" s="193" t="s">
        <v>137</v>
      </c>
      <c r="R590" s="193" t="s">
        <v>136</v>
      </c>
      <c r="S590" s="193" t="s">
        <v>214</v>
      </c>
      <c r="T590" s="193" t="s">
        <v>389</v>
      </c>
      <c r="U590" s="193" t="s">
        <v>390</v>
      </c>
      <c r="V590" s="193">
        <v>0</v>
      </c>
      <c r="W590" s="193">
        <v>0</v>
      </c>
      <c r="X590" s="193">
        <v>0</v>
      </c>
      <c r="Y590" s="194">
        <v>30120</v>
      </c>
      <c r="Z590" s="193" t="s">
        <v>1498</v>
      </c>
      <c r="AA590" s="193" t="s">
        <v>1499</v>
      </c>
      <c r="AB590" s="193">
        <v>30120</v>
      </c>
      <c r="AC590" s="193" t="s">
        <v>1500</v>
      </c>
      <c r="AD590" s="193" t="s">
        <v>136</v>
      </c>
      <c r="AE590" s="193">
        <v>30120</v>
      </c>
      <c r="AF590" s="193" t="s">
        <v>518</v>
      </c>
      <c r="AG590" s="193" t="s">
        <v>519</v>
      </c>
      <c r="AH590" s="193">
        <v>0</v>
      </c>
      <c r="AI590" s="193">
        <v>30120</v>
      </c>
      <c r="AJ590" s="193" t="s">
        <v>214</v>
      </c>
      <c r="AL590" s="197" t="s">
        <v>2240</v>
      </c>
      <c r="AM590" s="193">
        <v>1</v>
      </c>
      <c r="AN590" s="193">
        <v>0</v>
      </c>
      <c r="AO590" s="193">
        <v>0</v>
      </c>
      <c r="AP590" s="193">
        <v>0</v>
      </c>
      <c r="AQ590" s="193" t="s">
        <v>214</v>
      </c>
      <c r="AS590" s="197" t="s">
        <v>518</v>
      </c>
      <c r="AT590" s="197" t="s">
        <v>519</v>
      </c>
      <c r="AV590" s="196">
        <v>0</v>
      </c>
      <c r="AW590" s="196">
        <v>0</v>
      </c>
      <c r="AX590" s="196">
        <v>0</v>
      </c>
      <c r="AY590" s="550">
        <v>0</v>
      </c>
      <c r="AZ590" s="196">
        <v>0</v>
      </c>
      <c r="BA590" s="196">
        <v>30120</v>
      </c>
      <c r="BB590" s="551">
        <v>30120</v>
      </c>
      <c r="BC590" s="551">
        <v>30120</v>
      </c>
      <c r="BD590" s="551">
        <v>0</v>
      </c>
      <c r="BF590" s="550">
        <f t="shared" si="122"/>
        <v>0</v>
      </c>
      <c r="BG590" s="550">
        <f t="shared" si="123"/>
        <v>0</v>
      </c>
      <c r="BH590" s="550">
        <f t="shared" si="124"/>
        <v>0</v>
      </c>
      <c r="BI590" s="550">
        <f t="shared" si="125"/>
        <v>0</v>
      </c>
      <c r="BJ590" s="550">
        <f t="shared" si="126"/>
        <v>0</v>
      </c>
      <c r="BK590" s="550">
        <f t="shared" si="127"/>
        <v>30120</v>
      </c>
      <c r="BL590" s="550">
        <f t="shared" si="128"/>
        <v>30120</v>
      </c>
      <c r="BM590" s="550">
        <f t="shared" si="129"/>
        <v>30120</v>
      </c>
      <c r="BO590" s="194"/>
      <c r="BQ590" s="193">
        <f t="shared" si="130"/>
        <v>0</v>
      </c>
      <c r="BR590" s="193">
        <f t="shared" si="131"/>
        <v>0</v>
      </c>
    </row>
    <row r="591" spans="1:70" ht="13.5" customHeight="1">
      <c r="A591" s="193" t="s">
        <v>378</v>
      </c>
      <c r="B591" s="193" t="s">
        <v>379</v>
      </c>
      <c r="C591" s="193" t="s">
        <v>214</v>
      </c>
      <c r="D591" s="193" t="s">
        <v>1165</v>
      </c>
      <c r="E591" s="193" t="s">
        <v>1166</v>
      </c>
      <c r="F591" s="193" t="s">
        <v>845</v>
      </c>
      <c r="G591" s="193" t="s">
        <v>845</v>
      </c>
      <c r="H591" s="193" t="s">
        <v>2241</v>
      </c>
      <c r="I591" s="193" t="s">
        <v>512</v>
      </c>
      <c r="J591" s="193" t="s">
        <v>2242</v>
      </c>
      <c r="K591" s="193" t="s">
        <v>386</v>
      </c>
      <c r="L591" s="193" t="s">
        <v>387</v>
      </c>
      <c r="M591" s="193" t="s">
        <v>378</v>
      </c>
      <c r="N591" s="193" t="s">
        <v>1497</v>
      </c>
      <c r="O591" s="193" t="s">
        <v>129</v>
      </c>
      <c r="P591" s="193" t="s">
        <v>138</v>
      </c>
      <c r="Q591" s="193" t="s">
        <v>137</v>
      </c>
      <c r="R591" s="193" t="s">
        <v>136</v>
      </c>
      <c r="S591" s="193" t="s">
        <v>214</v>
      </c>
      <c r="T591" s="193" t="s">
        <v>389</v>
      </c>
      <c r="U591" s="193" t="s">
        <v>390</v>
      </c>
      <c r="V591" s="193">
        <v>0</v>
      </c>
      <c r="W591" s="193">
        <v>0</v>
      </c>
      <c r="X591" s="193">
        <v>0</v>
      </c>
      <c r="Y591" s="194">
        <v>16700</v>
      </c>
      <c r="Z591" s="193" t="s">
        <v>515</v>
      </c>
      <c r="AA591" s="193" t="s">
        <v>516</v>
      </c>
      <c r="AB591" s="193">
        <v>16700</v>
      </c>
      <c r="AC591" s="193" t="s">
        <v>1500</v>
      </c>
      <c r="AD591" s="193" t="s">
        <v>136</v>
      </c>
      <c r="AE591" s="193">
        <v>16700</v>
      </c>
      <c r="AF591" s="193" t="s">
        <v>518</v>
      </c>
      <c r="AG591" s="193" t="s">
        <v>519</v>
      </c>
      <c r="AH591" s="193">
        <v>0</v>
      </c>
      <c r="AI591" s="193">
        <v>16700</v>
      </c>
      <c r="AJ591" s="193" t="s">
        <v>2243</v>
      </c>
      <c r="AL591" s="197" t="s">
        <v>2244</v>
      </c>
      <c r="AM591" s="193">
        <v>1</v>
      </c>
      <c r="AN591" s="193">
        <v>0</v>
      </c>
      <c r="AO591" s="193">
        <v>0</v>
      </c>
      <c r="AP591" s="193" t="s">
        <v>1524</v>
      </c>
      <c r="AQ591" s="193" t="s">
        <v>214</v>
      </c>
      <c r="AS591" s="197" t="s">
        <v>518</v>
      </c>
      <c r="AT591" s="197" t="s">
        <v>519</v>
      </c>
      <c r="AV591" s="196">
        <v>0</v>
      </c>
      <c r="AW591" s="196">
        <v>0</v>
      </c>
      <c r="AX591" s="196">
        <v>16700</v>
      </c>
      <c r="AY591" s="550">
        <v>16700</v>
      </c>
      <c r="AZ591" s="196">
        <v>0</v>
      </c>
      <c r="BA591" s="196">
        <v>0</v>
      </c>
      <c r="BB591" s="551">
        <v>0</v>
      </c>
      <c r="BC591" s="551">
        <v>16700</v>
      </c>
      <c r="BD591" s="551">
        <v>0</v>
      </c>
      <c r="BF591" s="550">
        <f t="shared" si="122"/>
        <v>0</v>
      </c>
      <c r="BG591" s="550">
        <f t="shared" si="123"/>
        <v>0</v>
      </c>
      <c r="BH591" s="550">
        <f t="shared" si="124"/>
        <v>16700</v>
      </c>
      <c r="BI591" s="550">
        <f t="shared" si="125"/>
        <v>16700</v>
      </c>
      <c r="BJ591" s="550">
        <f t="shared" si="126"/>
        <v>0</v>
      </c>
      <c r="BK591" s="550">
        <f t="shared" si="127"/>
        <v>0</v>
      </c>
      <c r="BL591" s="550">
        <f t="shared" si="128"/>
        <v>0</v>
      </c>
      <c r="BM591" s="550">
        <f t="shared" si="129"/>
        <v>16700</v>
      </c>
      <c r="BO591" s="194"/>
      <c r="BQ591" s="193">
        <f t="shared" si="130"/>
        <v>0</v>
      </c>
      <c r="BR591" s="193">
        <f t="shared" si="131"/>
        <v>0</v>
      </c>
    </row>
    <row r="592" spans="1:70" ht="13.5" customHeight="1">
      <c r="A592" s="193" t="s">
        <v>378</v>
      </c>
      <c r="B592" s="193" t="s">
        <v>379</v>
      </c>
      <c r="C592" s="193" t="s">
        <v>214</v>
      </c>
      <c r="D592" s="193" t="s">
        <v>1165</v>
      </c>
      <c r="E592" s="193" t="s">
        <v>1166</v>
      </c>
      <c r="F592" s="193" t="s">
        <v>1437</v>
      </c>
      <c r="G592" s="193" t="s">
        <v>1437</v>
      </c>
      <c r="H592" s="193" t="s">
        <v>2245</v>
      </c>
      <c r="I592" s="193" t="s">
        <v>512</v>
      </c>
      <c r="J592" s="193" t="s">
        <v>2249</v>
      </c>
      <c r="K592" s="193" t="s">
        <v>386</v>
      </c>
      <c r="L592" s="193" t="s">
        <v>387</v>
      </c>
      <c r="M592" s="193" t="s">
        <v>378</v>
      </c>
      <c r="N592" s="193" t="s">
        <v>1497</v>
      </c>
      <c r="O592" s="193" t="s">
        <v>129</v>
      </c>
      <c r="P592" s="193" t="s">
        <v>138</v>
      </c>
      <c r="Q592" s="193" t="s">
        <v>137</v>
      </c>
      <c r="R592" s="193" t="s">
        <v>136</v>
      </c>
      <c r="S592" s="193" t="s">
        <v>214</v>
      </c>
      <c r="T592" s="193" t="s">
        <v>389</v>
      </c>
      <c r="U592" s="193" t="s">
        <v>390</v>
      </c>
      <c r="V592" s="193">
        <v>0</v>
      </c>
      <c r="W592" s="193">
        <v>0</v>
      </c>
      <c r="X592" s="193">
        <v>0</v>
      </c>
      <c r="Y592" s="194">
        <v>7700</v>
      </c>
      <c r="Z592" s="193" t="s">
        <v>515</v>
      </c>
      <c r="AA592" s="193" t="s">
        <v>516</v>
      </c>
      <c r="AB592" s="193">
        <v>7700</v>
      </c>
      <c r="AC592" s="193" t="s">
        <v>1500</v>
      </c>
      <c r="AD592" s="193" t="s">
        <v>136</v>
      </c>
      <c r="AE592" s="193">
        <v>7700</v>
      </c>
      <c r="AF592" s="193" t="s">
        <v>518</v>
      </c>
      <c r="AG592" s="193" t="s">
        <v>519</v>
      </c>
      <c r="AH592" s="193">
        <v>0</v>
      </c>
      <c r="AI592" s="193">
        <v>7700</v>
      </c>
      <c r="AJ592" s="193" t="s">
        <v>2250</v>
      </c>
      <c r="AL592" s="197" t="s">
        <v>2251</v>
      </c>
      <c r="AM592" s="193">
        <v>1</v>
      </c>
      <c r="AN592" s="193">
        <v>0</v>
      </c>
      <c r="AO592" s="193">
        <v>0</v>
      </c>
      <c r="AP592" s="193" t="s">
        <v>1524</v>
      </c>
      <c r="AQ592" s="193" t="s">
        <v>214</v>
      </c>
      <c r="AS592" s="197" t="s">
        <v>518</v>
      </c>
      <c r="AT592" s="197" t="s">
        <v>519</v>
      </c>
      <c r="AV592" s="196">
        <v>0</v>
      </c>
      <c r="AW592" s="196">
        <v>0</v>
      </c>
      <c r="AX592" s="196">
        <v>7700</v>
      </c>
      <c r="AY592" s="550">
        <v>7700</v>
      </c>
      <c r="AZ592" s="196">
        <v>0</v>
      </c>
      <c r="BA592" s="196">
        <v>0</v>
      </c>
      <c r="BB592" s="551">
        <v>0</v>
      </c>
      <c r="BC592" s="551">
        <v>7700</v>
      </c>
      <c r="BD592" s="551">
        <v>0</v>
      </c>
      <c r="BF592" s="550">
        <f t="shared" si="122"/>
        <v>0</v>
      </c>
      <c r="BG592" s="550">
        <f t="shared" si="123"/>
        <v>0</v>
      </c>
      <c r="BH592" s="550">
        <f t="shared" si="124"/>
        <v>7700</v>
      </c>
      <c r="BI592" s="550">
        <f t="shared" si="125"/>
        <v>7700</v>
      </c>
      <c r="BJ592" s="550">
        <f t="shared" si="126"/>
        <v>0</v>
      </c>
      <c r="BK592" s="550">
        <f t="shared" si="127"/>
        <v>0</v>
      </c>
      <c r="BL592" s="550">
        <f t="shared" si="128"/>
        <v>0</v>
      </c>
      <c r="BM592" s="550">
        <f t="shared" si="129"/>
        <v>7700</v>
      </c>
      <c r="BO592" s="194"/>
      <c r="BQ592" s="193">
        <f t="shared" si="130"/>
        <v>0</v>
      </c>
      <c r="BR592" s="193">
        <f t="shared" si="131"/>
        <v>0</v>
      </c>
    </row>
    <row r="593" spans="1:70" ht="13.5" customHeight="1">
      <c r="A593" s="193" t="s">
        <v>378</v>
      </c>
      <c r="B593" s="193" t="s">
        <v>379</v>
      </c>
      <c r="C593" s="193" t="s">
        <v>214</v>
      </c>
      <c r="D593" s="193" t="s">
        <v>1165</v>
      </c>
      <c r="E593" s="193" t="s">
        <v>1166</v>
      </c>
      <c r="F593" s="193" t="s">
        <v>1396</v>
      </c>
      <c r="G593" s="193" t="s">
        <v>1396</v>
      </c>
      <c r="H593" s="193" t="s">
        <v>2245</v>
      </c>
      <c r="I593" s="193" t="s">
        <v>512</v>
      </c>
      <c r="J593" s="193" t="s">
        <v>2246</v>
      </c>
      <c r="K593" s="193" t="s">
        <v>386</v>
      </c>
      <c r="L593" s="193" t="s">
        <v>387</v>
      </c>
      <c r="M593" s="193" t="s">
        <v>378</v>
      </c>
      <c r="N593" s="193" t="s">
        <v>1497</v>
      </c>
      <c r="O593" s="193" t="s">
        <v>129</v>
      </c>
      <c r="P593" s="193" t="s">
        <v>138</v>
      </c>
      <c r="Q593" s="193" t="s">
        <v>137</v>
      </c>
      <c r="R593" s="193" t="s">
        <v>136</v>
      </c>
      <c r="S593" s="193" t="s">
        <v>214</v>
      </c>
      <c r="T593" s="193" t="s">
        <v>389</v>
      </c>
      <c r="U593" s="193" t="s">
        <v>390</v>
      </c>
      <c r="V593" s="193">
        <v>0</v>
      </c>
      <c r="W593" s="193">
        <v>0</v>
      </c>
      <c r="X593" s="193">
        <v>0</v>
      </c>
      <c r="Y593" s="194">
        <v>9000</v>
      </c>
      <c r="Z593" s="193" t="s">
        <v>515</v>
      </c>
      <c r="AA593" s="193" t="s">
        <v>516</v>
      </c>
      <c r="AB593" s="193">
        <v>9000</v>
      </c>
      <c r="AC593" s="193" t="s">
        <v>1500</v>
      </c>
      <c r="AD593" s="193" t="s">
        <v>136</v>
      </c>
      <c r="AE593" s="193">
        <v>9000</v>
      </c>
      <c r="AF593" s="193" t="s">
        <v>518</v>
      </c>
      <c r="AG593" s="193" t="s">
        <v>519</v>
      </c>
      <c r="AH593" s="193">
        <v>0</v>
      </c>
      <c r="AI593" s="193">
        <v>9000</v>
      </c>
      <c r="AJ593" s="193" t="s">
        <v>2247</v>
      </c>
      <c r="AL593" s="197" t="s">
        <v>2248</v>
      </c>
      <c r="AM593" s="193">
        <v>1</v>
      </c>
      <c r="AN593" s="193">
        <v>0</v>
      </c>
      <c r="AO593" s="193">
        <v>0</v>
      </c>
      <c r="AP593" s="193" t="s">
        <v>1524</v>
      </c>
      <c r="AQ593" s="193" t="s">
        <v>214</v>
      </c>
      <c r="AS593" s="197" t="s">
        <v>518</v>
      </c>
      <c r="AT593" s="197" t="s">
        <v>519</v>
      </c>
      <c r="AV593" s="196">
        <v>0</v>
      </c>
      <c r="AW593" s="196">
        <v>0</v>
      </c>
      <c r="AX593" s="196">
        <v>9000</v>
      </c>
      <c r="AY593" s="550">
        <v>9000</v>
      </c>
      <c r="AZ593" s="196">
        <v>0</v>
      </c>
      <c r="BA593" s="196">
        <v>0</v>
      </c>
      <c r="BB593" s="551">
        <v>0</v>
      </c>
      <c r="BC593" s="551">
        <v>9000</v>
      </c>
      <c r="BD593" s="551">
        <v>0</v>
      </c>
      <c r="BF593" s="550">
        <f t="shared" si="122"/>
        <v>0</v>
      </c>
      <c r="BG593" s="550">
        <f t="shared" si="123"/>
        <v>0</v>
      </c>
      <c r="BH593" s="550">
        <f t="shared" si="124"/>
        <v>9000</v>
      </c>
      <c r="BI593" s="550">
        <f t="shared" si="125"/>
        <v>9000</v>
      </c>
      <c r="BJ593" s="550">
        <f t="shared" si="126"/>
        <v>0</v>
      </c>
      <c r="BK593" s="550">
        <f t="shared" si="127"/>
        <v>0</v>
      </c>
      <c r="BL593" s="550">
        <f t="shared" si="128"/>
        <v>0</v>
      </c>
      <c r="BM593" s="550">
        <f t="shared" si="129"/>
        <v>9000</v>
      </c>
      <c r="BO593" s="194"/>
      <c r="BQ593" s="193">
        <f t="shared" si="130"/>
        <v>0</v>
      </c>
      <c r="BR593" s="193">
        <f t="shared" si="131"/>
        <v>0</v>
      </c>
    </row>
    <row r="594" spans="1:70" ht="13.5" customHeight="1">
      <c r="A594" s="193" t="s">
        <v>378</v>
      </c>
      <c r="B594" s="193" t="s">
        <v>379</v>
      </c>
      <c r="C594" s="193" t="s">
        <v>214</v>
      </c>
      <c r="D594" s="193" t="s">
        <v>1165</v>
      </c>
      <c r="E594" s="193" t="s">
        <v>1166</v>
      </c>
      <c r="F594" s="193" t="s">
        <v>678</v>
      </c>
      <c r="G594" s="193" t="s">
        <v>678</v>
      </c>
      <c r="H594" s="193" t="s">
        <v>2245</v>
      </c>
      <c r="I594" s="193" t="s">
        <v>512</v>
      </c>
      <c r="J594" s="193" t="s">
        <v>2259</v>
      </c>
      <c r="K594" s="193" t="s">
        <v>386</v>
      </c>
      <c r="L594" s="193" t="s">
        <v>387</v>
      </c>
      <c r="M594" s="193" t="s">
        <v>378</v>
      </c>
      <c r="N594" s="193" t="s">
        <v>1497</v>
      </c>
      <c r="O594" s="193" t="s">
        <v>129</v>
      </c>
      <c r="P594" s="193" t="s">
        <v>138</v>
      </c>
      <c r="Q594" s="193" t="s">
        <v>137</v>
      </c>
      <c r="R594" s="193" t="s">
        <v>136</v>
      </c>
      <c r="S594" s="193" t="s">
        <v>214</v>
      </c>
      <c r="T594" s="193" t="s">
        <v>389</v>
      </c>
      <c r="U594" s="193" t="s">
        <v>390</v>
      </c>
      <c r="V594" s="193">
        <v>0</v>
      </c>
      <c r="W594" s="193">
        <v>0</v>
      </c>
      <c r="X594" s="193">
        <v>0</v>
      </c>
      <c r="Y594" s="194">
        <v>27700</v>
      </c>
      <c r="Z594" s="193" t="s">
        <v>515</v>
      </c>
      <c r="AA594" s="193" t="s">
        <v>516</v>
      </c>
      <c r="AB594" s="193">
        <v>27700</v>
      </c>
      <c r="AC594" s="193" t="s">
        <v>1500</v>
      </c>
      <c r="AD594" s="193" t="s">
        <v>136</v>
      </c>
      <c r="AE594" s="193">
        <v>27700</v>
      </c>
      <c r="AF594" s="193" t="s">
        <v>518</v>
      </c>
      <c r="AG594" s="193" t="s">
        <v>519</v>
      </c>
      <c r="AH594" s="193">
        <v>0</v>
      </c>
      <c r="AI594" s="193">
        <v>27700</v>
      </c>
      <c r="AJ594" s="193" t="s">
        <v>2260</v>
      </c>
      <c r="AL594" s="197" t="s">
        <v>2261</v>
      </c>
      <c r="AM594" s="193">
        <v>1</v>
      </c>
      <c r="AN594" s="193">
        <v>0</v>
      </c>
      <c r="AO594" s="193">
        <v>0</v>
      </c>
      <c r="AP594" s="193" t="s">
        <v>1524</v>
      </c>
      <c r="AQ594" s="193" t="s">
        <v>214</v>
      </c>
      <c r="AS594" s="197" t="s">
        <v>518</v>
      </c>
      <c r="AT594" s="197" t="s">
        <v>519</v>
      </c>
      <c r="AV594" s="196">
        <v>0</v>
      </c>
      <c r="AW594" s="196">
        <v>0</v>
      </c>
      <c r="AX594" s="196">
        <v>27700</v>
      </c>
      <c r="AY594" s="550">
        <v>27700</v>
      </c>
      <c r="AZ594" s="196">
        <v>0</v>
      </c>
      <c r="BA594" s="196">
        <v>0</v>
      </c>
      <c r="BB594" s="551">
        <v>0</v>
      </c>
      <c r="BC594" s="551">
        <v>27700</v>
      </c>
      <c r="BD594" s="551">
        <v>0</v>
      </c>
      <c r="BF594" s="550">
        <f t="shared" si="122"/>
        <v>0</v>
      </c>
      <c r="BG594" s="550">
        <f t="shared" si="123"/>
        <v>0</v>
      </c>
      <c r="BH594" s="550">
        <f t="shared" si="124"/>
        <v>27700</v>
      </c>
      <c r="BI594" s="550">
        <f t="shared" si="125"/>
        <v>27700</v>
      </c>
      <c r="BJ594" s="550">
        <f t="shared" si="126"/>
        <v>0</v>
      </c>
      <c r="BK594" s="550">
        <f t="shared" si="127"/>
        <v>0</v>
      </c>
      <c r="BL594" s="550">
        <f t="shared" si="128"/>
        <v>0</v>
      </c>
      <c r="BM594" s="550">
        <f t="shared" si="129"/>
        <v>27700</v>
      </c>
      <c r="BO594" s="194"/>
      <c r="BQ594" s="193">
        <f t="shared" si="130"/>
        <v>0</v>
      </c>
      <c r="BR594" s="193">
        <f t="shared" si="131"/>
        <v>0</v>
      </c>
    </row>
    <row r="595" spans="1:70" ht="13.5" customHeight="1">
      <c r="A595" s="193" t="s">
        <v>378</v>
      </c>
      <c r="B595" s="193" t="s">
        <v>379</v>
      </c>
      <c r="C595" s="193" t="s">
        <v>214</v>
      </c>
      <c r="D595" s="193" t="s">
        <v>1165</v>
      </c>
      <c r="E595" s="193" t="s">
        <v>1166</v>
      </c>
      <c r="F595" s="193" t="s">
        <v>937</v>
      </c>
      <c r="G595" s="193" t="s">
        <v>937</v>
      </c>
      <c r="H595" s="193" t="s">
        <v>2245</v>
      </c>
      <c r="I595" s="193" t="s">
        <v>512</v>
      </c>
      <c r="J595" s="193" t="s">
        <v>2316</v>
      </c>
      <c r="K595" s="193" t="s">
        <v>386</v>
      </c>
      <c r="L595" s="193" t="s">
        <v>387</v>
      </c>
      <c r="M595" s="193" t="s">
        <v>378</v>
      </c>
      <c r="N595" s="193" t="s">
        <v>1497</v>
      </c>
      <c r="O595" s="193" t="s">
        <v>129</v>
      </c>
      <c r="P595" s="193" t="s">
        <v>138</v>
      </c>
      <c r="Q595" s="193" t="s">
        <v>137</v>
      </c>
      <c r="R595" s="193" t="s">
        <v>136</v>
      </c>
      <c r="S595" s="193" t="s">
        <v>214</v>
      </c>
      <c r="T595" s="193" t="s">
        <v>389</v>
      </c>
      <c r="U595" s="193" t="s">
        <v>390</v>
      </c>
      <c r="V595" s="193">
        <v>0</v>
      </c>
      <c r="W595" s="193">
        <v>0</v>
      </c>
      <c r="X595" s="193">
        <v>0</v>
      </c>
      <c r="Y595" s="194">
        <v>12500</v>
      </c>
      <c r="Z595" s="193" t="s">
        <v>515</v>
      </c>
      <c r="AA595" s="193" t="s">
        <v>516</v>
      </c>
      <c r="AB595" s="193">
        <v>12500</v>
      </c>
      <c r="AC595" s="193" t="s">
        <v>1500</v>
      </c>
      <c r="AD595" s="193" t="s">
        <v>136</v>
      </c>
      <c r="AE595" s="193">
        <v>12500</v>
      </c>
      <c r="AF595" s="193" t="s">
        <v>518</v>
      </c>
      <c r="AG595" s="193" t="s">
        <v>519</v>
      </c>
      <c r="AH595" s="193">
        <v>0</v>
      </c>
      <c r="AI595" s="193">
        <v>12500</v>
      </c>
      <c r="AJ595" s="193" t="s">
        <v>2285</v>
      </c>
      <c r="AL595" s="197" t="s">
        <v>2317</v>
      </c>
      <c r="AM595" s="193">
        <v>1</v>
      </c>
      <c r="AN595" s="193">
        <v>0</v>
      </c>
      <c r="AO595" s="193">
        <v>0</v>
      </c>
      <c r="AP595" s="193" t="s">
        <v>1524</v>
      </c>
      <c r="AQ595" s="193" t="s">
        <v>214</v>
      </c>
      <c r="AS595" s="197" t="s">
        <v>518</v>
      </c>
      <c r="AT595" s="197" t="s">
        <v>519</v>
      </c>
      <c r="AV595" s="196">
        <v>0</v>
      </c>
      <c r="AW595" s="196">
        <v>0</v>
      </c>
      <c r="AX595" s="196">
        <v>12500</v>
      </c>
      <c r="AY595" s="550">
        <v>12500</v>
      </c>
      <c r="AZ595" s="196">
        <v>0</v>
      </c>
      <c r="BA595" s="196">
        <v>0</v>
      </c>
      <c r="BB595" s="551">
        <v>0</v>
      </c>
      <c r="BC595" s="551">
        <v>12500</v>
      </c>
      <c r="BD595" s="551">
        <v>0</v>
      </c>
      <c r="BF595" s="550">
        <f t="shared" si="122"/>
        <v>0</v>
      </c>
      <c r="BG595" s="550">
        <f t="shared" si="123"/>
        <v>0</v>
      </c>
      <c r="BH595" s="550">
        <f t="shared" si="124"/>
        <v>12500</v>
      </c>
      <c r="BI595" s="550">
        <f t="shared" si="125"/>
        <v>12500</v>
      </c>
      <c r="BJ595" s="550">
        <f t="shared" si="126"/>
        <v>0</v>
      </c>
      <c r="BK595" s="550">
        <f t="shared" si="127"/>
        <v>0</v>
      </c>
      <c r="BL595" s="550">
        <f t="shared" si="128"/>
        <v>0</v>
      </c>
      <c r="BM595" s="550">
        <f t="shared" si="129"/>
        <v>12500</v>
      </c>
      <c r="BO595" s="194"/>
      <c r="BQ595" s="193">
        <f t="shared" si="130"/>
        <v>0</v>
      </c>
      <c r="BR595" s="193">
        <f t="shared" si="131"/>
        <v>0</v>
      </c>
    </row>
    <row r="596" spans="1:70" ht="13.5" customHeight="1">
      <c r="A596" s="193" t="s">
        <v>378</v>
      </c>
      <c r="B596" s="193" t="s">
        <v>379</v>
      </c>
      <c r="C596" s="193" t="s">
        <v>214</v>
      </c>
      <c r="D596" s="193" t="s">
        <v>1165</v>
      </c>
      <c r="E596" s="193" t="s">
        <v>1166</v>
      </c>
      <c r="F596" s="193" t="s">
        <v>1519</v>
      </c>
      <c r="G596" s="193" t="s">
        <v>1519</v>
      </c>
      <c r="H596" s="193" t="s">
        <v>2245</v>
      </c>
      <c r="I596" s="193" t="s">
        <v>512</v>
      </c>
      <c r="J596" s="193" t="s">
        <v>2256</v>
      </c>
      <c r="K596" s="193" t="s">
        <v>386</v>
      </c>
      <c r="L596" s="193" t="s">
        <v>387</v>
      </c>
      <c r="M596" s="193" t="s">
        <v>378</v>
      </c>
      <c r="N596" s="193" t="s">
        <v>1497</v>
      </c>
      <c r="O596" s="193" t="s">
        <v>129</v>
      </c>
      <c r="P596" s="193" t="s">
        <v>138</v>
      </c>
      <c r="Q596" s="193" t="s">
        <v>137</v>
      </c>
      <c r="R596" s="193" t="s">
        <v>136</v>
      </c>
      <c r="S596" s="193" t="s">
        <v>214</v>
      </c>
      <c r="T596" s="193" t="s">
        <v>389</v>
      </c>
      <c r="U596" s="193" t="s">
        <v>390</v>
      </c>
      <c r="V596" s="193">
        <v>0</v>
      </c>
      <c r="W596" s="193">
        <v>0</v>
      </c>
      <c r="X596" s="193">
        <v>0</v>
      </c>
      <c r="Y596" s="194">
        <v>37700</v>
      </c>
      <c r="Z596" s="193" t="s">
        <v>515</v>
      </c>
      <c r="AA596" s="193" t="s">
        <v>516</v>
      </c>
      <c r="AB596" s="193">
        <v>37700</v>
      </c>
      <c r="AC596" s="193" t="s">
        <v>1500</v>
      </c>
      <c r="AD596" s="193" t="s">
        <v>136</v>
      </c>
      <c r="AE596" s="193">
        <v>37700</v>
      </c>
      <c r="AF596" s="193" t="s">
        <v>518</v>
      </c>
      <c r="AG596" s="193" t="s">
        <v>519</v>
      </c>
      <c r="AH596" s="193">
        <v>0</v>
      </c>
      <c r="AI596" s="193">
        <v>37700</v>
      </c>
      <c r="AJ596" s="193" t="s">
        <v>2257</v>
      </c>
      <c r="AL596" s="197" t="s">
        <v>2258</v>
      </c>
      <c r="AM596" s="193">
        <v>1</v>
      </c>
      <c r="AN596" s="193">
        <v>0</v>
      </c>
      <c r="AO596" s="193">
        <v>0</v>
      </c>
      <c r="AP596" s="193" t="s">
        <v>1524</v>
      </c>
      <c r="AQ596" s="193" t="s">
        <v>214</v>
      </c>
      <c r="AS596" s="197" t="s">
        <v>518</v>
      </c>
      <c r="AT596" s="197" t="s">
        <v>519</v>
      </c>
      <c r="AV596" s="196">
        <v>0</v>
      </c>
      <c r="AW596" s="196">
        <v>0</v>
      </c>
      <c r="AX596" s="196">
        <v>37700</v>
      </c>
      <c r="AY596" s="550">
        <v>37700</v>
      </c>
      <c r="AZ596" s="196">
        <v>0</v>
      </c>
      <c r="BA596" s="196">
        <v>0</v>
      </c>
      <c r="BB596" s="551">
        <v>0</v>
      </c>
      <c r="BC596" s="551">
        <v>37700</v>
      </c>
      <c r="BD596" s="551">
        <v>0</v>
      </c>
      <c r="BF596" s="550">
        <f t="shared" si="122"/>
        <v>0</v>
      </c>
      <c r="BG596" s="550">
        <f t="shared" si="123"/>
        <v>0</v>
      </c>
      <c r="BH596" s="550">
        <f t="shared" si="124"/>
        <v>37700</v>
      </c>
      <c r="BI596" s="550">
        <f t="shared" si="125"/>
        <v>37700</v>
      </c>
      <c r="BJ596" s="550">
        <f t="shared" si="126"/>
        <v>0</v>
      </c>
      <c r="BK596" s="550">
        <f t="shared" si="127"/>
        <v>0</v>
      </c>
      <c r="BL596" s="550">
        <f t="shared" si="128"/>
        <v>0</v>
      </c>
      <c r="BM596" s="550">
        <f t="shared" si="129"/>
        <v>37700</v>
      </c>
      <c r="BO596" s="194"/>
      <c r="BQ596" s="193">
        <f t="shared" si="130"/>
        <v>0</v>
      </c>
      <c r="BR596" s="193">
        <f t="shared" si="131"/>
        <v>0</v>
      </c>
    </row>
    <row r="597" spans="1:70" ht="13.5" customHeight="1">
      <c r="A597" s="193" t="s">
        <v>378</v>
      </c>
      <c r="B597" s="193" t="s">
        <v>379</v>
      </c>
      <c r="C597" s="193" t="s">
        <v>214</v>
      </c>
      <c r="D597" s="193" t="s">
        <v>1165</v>
      </c>
      <c r="E597" s="193" t="s">
        <v>1166</v>
      </c>
      <c r="F597" s="193" t="s">
        <v>1007</v>
      </c>
      <c r="G597" s="193" t="s">
        <v>1007</v>
      </c>
      <c r="H597" s="193" t="s">
        <v>2252</v>
      </c>
      <c r="I597" s="193" t="s">
        <v>512</v>
      </c>
      <c r="J597" s="193" t="s">
        <v>2253</v>
      </c>
      <c r="K597" s="193" t="s">
        <v>386</v>
      </c>
      <c r="L597" s="193" t="s">
        <v>387</v>
      </c>
      <c r="M597" s="193" t="s">
        <v>378</v>
      </c>
      <c r="N597" s="193" t="s">
        <v>1497</v>
      </c>
      <c r="O597" s="193" t="s">
        <v>129</v>
      </c>
      <c r="P597" s="193" t="s">
        <v>138</v>
      </c>
      <c r="Q597" s="193" t="s">
        <v>137</v>
      </c>
      <c r="R597" s="193" t="s">
        <v>136</v>
      </c>
      <c r="S597" s="193" t="s">
        <v>214</v>
      </c>
      <c r="T597" s="193" t="s">
        <v>389</v>
      </c>
      <c r="U597" s="193" t="s">
        <v>390</v>
      </c>
      <c r="V597" s="193">
        <v>0</v>
      </c>
      <c r="W597" s="193">
        <v>0</v>
      </c>
      <c r="X597" s="193">
        <v>0</v>
      </c>
      <c r="Y597" s="194">
        <v>25700</v>
      </c>
      <c r="Z597" s="193" t="s">
        <v>515</v>
      </c>
      <c r="AA597" s="193" t="s">
        <v>516</v>
      </c>
      <c r="AB597" s="193">
        <v>25700</v>
      </c>
      <c r="AC597" s="193" t="s">
        <v>1500</v>
      </c>
      <c r="AD597" s="193" t="s">
        <v>136</v>
      </c>
      <c r="AE597" s="193">
        <v>25700</v>
      </c>
      <c r="AF597" s="193" t="s">
        <v>518</v>
      </c>
      <c r="AG597" s="193" t="s">
        <v>519</v>
      </c>
      <c r="AH597" s="193">
        <v>0</v>
      </c>
      <c r="AI597" s="193">
        <v>25700</v>
      </c>
      <c r="AJ597" s="193" t="s">
        <v>2254</v>
      </c>
      <c r="AL597" s="197" t="s">
        <v>2255</v>
      </c>
      <c r="AM597" s="193">
        <v>1</v>
      </c>
      <c r="AN597" s="193">
        <v>0</v>
      </c>
      <c r="AO597" s="193">
        <v>0</v>
      </c>
      <c r="AP597" s="193" t="s">
        <v>1524</v>
      </c>
      <c r="AQ597" s="193" t="s">
        <v>214</v>
      </c>
      <c r="AS597" s="197" t="s">
        <v>518</v>
      </c>
      <c r="AT597" s="197" t="s">
        <v>519</v>
      </c>
      <c r="AV597" s="196">
        <v>0</v>
      </c>
      <c r="AW597" s="196">
        <v>0</v>
      </c>
      <c r="AX597" s="196">
        <v>25700</v>
      </c>
      <c r="AY597" s="550">
        <v>25700</v>
      </c>
      <c r="AZ597" s="196">
        <v>0</v>
      </c>
      <c r="BA597" s="196">
        <v>0</v>
      </c>
      <c r="BB597" s="551">
        <v>0</v>
      </c>
      <c r="BC597" s="551">
        <v>25700</v>
      </c>
      <c r="BD597" s="551">
        <v>0</v>
      </c>
      <c r="BF597" s="550">
        <f t="shared" si="122"/>
        <v>0</v>
      </c>
      <c r="BG597" s="550">
        <f t="shared" si="123"/>
        <v>0</v>
      </c>
      <c r="BH597" s="550">
        <f t="shared" si="124"/>
        <v>25700</v>
      </c>
      <c r="BI597" s="550">
        <f t="shared" si="125"/>
        <v>25700</v>
      </c>
      <c r="BJ597" s="550">
        <f t="shared" si="126"/>
        <v>0</v>
      </c>
      <c r="BK597" s="550">
        <f t="shared" si="127"/>
        <v>0</v>
      </c>
      <c r="BL597" s="550">
        <f t="shared" si="128"/>
        <v>0</v>
      </c>
      <c r="BM597" s="550">
        <f t="shared" si="129"/>
        <v>25700</v>
      </c>
      <c r="BO597" s="194"/>
      <c r="BQ597" s="193">
        <f t="shared" si="130"/>
        <v>0</v>
      </c>
      <c r="BR597" s="193">
        <f t="shared" si="131"/>
        <v>0</v>
      </c>
    </row>
    <row r="598" spans="1:70" ht="13.5" customHeight="1">
      <c r="A598" s="193" t="s">
        <v>378</v>
      </c>
      <c r="B598" s="193" t="s">
        <v>379</v>
      </c>
      <c r="C598" s="193" t="s">
        <v>214</v>
      </c>
      <c r="D598" s="193" t="s">
        <v>1165</v>
      </c>
      <c r="E598" s="193" t="s">
        <v>1166</v>
      </c>
      <c r="F598" s="193" t="s">
        <v>1525</v>
      </c>
      <c r="G598" s="193" t="s">
        <v>1525</v>
      </c>
      <c r="H598" s="193" t="s">
        <v>2252</v>
      </c>
      <c r="I598" s="193" t="s">
        <v>512</v>
      </c>
      <c r="J598" s="193" t="s">
        <v>2262</v>
      </c>
      <c r="K598" s="193" t="s">
        <v>386</v>
      </c>
      <c r="L598" s="193" t="s">
        <v>387</v>
      </c>
      <c r="M598" s="193" t="s">
        <v>378</v>
      </c>
      <c r="N598" s="193" t="s">
        <v>1497</v>
      </c>
      <c r="O598" s="193" t="s">
        <v>129</v>
      </c>
      <c r="P598" s="193" t="s">
        <v>138</v>
      </c>
      <c r="Q598" s="193" t="s">
        <v>137</v>
      </c>
      <c r="R598" s="193" t="s">
        <v>136</v>
      </c>
      <c r="S598" s="193" t="s">
        <v>214</v>
      </c>
      <c r="T598" s="193" t="s">
        <v>389</v>
      </c>
      <c r="U598" s="193" t="s">
        <v>390</v>
      </c>
      <c r="V598" s="193">
        <v>0</v>
      </c>
      <c r="W598" s="193">
        <v>0</v>
      </c>
      <c r="X598" s="193">
        <v>0</v>
      </c>
      <c r="Y598" s="194">
        <v>32700</v>
      </c>
      <c r="Z598" s="193" t="s">
        <v>515</v>
      </c>
      <c r="AA598" s="193" t="s">
        <v>516</v>
      </c>
      <c r="AB598" s="193">
        <v>32700</v>
      </c>
      <c r="AC598" s="193" t="s">
        <v>1500</v>
      </c>
      <c r="AD598" s="193" t="s">
        <v>136</v>
      </c>
      <c r="AE598" s="193">
        <v>32700</v>
      </c>
      <c r="AF598" s="193" t="s">
        <v>518</v>
      </c>
      <c r="AG598" s="193" t="s">
        <v>519</v>
      </c>
      <c r="AH598" s="193">
        <v>0</v>
      </c>
      <c r="AI598" s="193">
        <v>32700</v>
      </c>
      <c r="AJ598" s="193" t="s">
        <v>2263</v>
      </c>
      <c r="AL598" s="197" t="s">
        <v>2264</v>
      </c>
      <c r="AM598" s="193">
        <v>1</v>
      </c>
      <c r="AN598" s="193">
        <v>0</v>
      </c>
      <c r="AO598" s="193">
        <v>0</v>
      </c>
      <c r="AP598" s="193" t="s">
        <v>1524</v>
      </c>
      <c r="AQ598" s="193" t="s">
        <v>214</v>
      </c>
      <c r="AS598" s="197" t="s">
        <v>518</v>
      </c>
      <c r="AT598" s="197" t="s">
        <v>519</v>
      </c>
      <c r="AV598" s="196">
        <v>0</v>
      </c>
      <c r="AW598" s="196">
        <v>0</v>
      </c>
      <c r="AX598" s="196">
        <v>32700</v>
      </c>
      <c r="AY598" s="550">
        <v>32700</v>
      </c>
      <c r="AZ598" s="196">
        <v>0</v>
      </c>
      <c r="BA598" s="196">
        <v>0</v>
      </c>
      <c r="BB598" s="551">
        <v>0</v>
      </c>
      <c r="BC598" s="551">
        <v>32700</v>
      </c>
      <c r="BD598" s="551">
        <v>0</v>
      </c>
      <c r="BF598" s="550">
        <f t="shared" si="122"/>
        <v>0</v>
      </c>
      <c r="BG598" s="550">
        <f t="shared" si="123"/>
        <v>0</v>
      </c>
      <c r="BH598" s="550">
        <f t="shared" si="124"/>
        <v>32700</v>
      </c>
      <c r="BI598" s="550">
        <f t="shared" si="125"/>
        <v>32700</v>
      </c>
      <c r="BJ598" s="550">
        <f t="shared" si="126"/>
        <v>0</v>
      </c>
      <c r="BK598" s="550">
        <f t="shared" si="127"/>
        <v>0</v>
      </c>
      <c r="BL598" s="550">
        <f t="shared" si="128"/>
        <v>0</v>
      </c>
      <c r="BM598" s="550">
        <f t="shared" si="129"/>
        <v>32700</v>
      </c>
      <c r="BO598" s="194"/>
      <c r="BQ598" s="193">
        <f t="shared" si="130"/>
        <v>0</v>
      </c>
      <c r="BR598" s="193">
        <f t="shared" si="131"/>
        <v>0</v>
      </c>
    </row>
    <row r="599" spans="1:70" ht="13.5" customHeight="1">
      <c r="A599" s="193" t="s">
        <v>378</v>
      </c>
      <c r="B599" s="193" t="s">
        <v>379</v>
      </c>
      <c r="C599" s="193" t="s">
        <v>214</v>
      </c>
      <c r="D599" s="193" t="s">
        <v>1165</v>
      </c>
      <c r="E599" s="193" t="s">
        <v>1166</v>
      </c>
      <c r="F599" s="193" t="s">
        <v>1371</v>
      </c>
      <c r="G599" s="193" t="s">
        <v>1371</v>
      </c>
      <c r="H599" s="193" t="s">
        <v>2252</v>
      </c>
      <c r="I599" s="193" t="s">
        <v>512</v>
      </c>
      <c r="J599" s="193" t="s">
        <v>2265</v>
      </c>
      <c r="K599" s="193" t="s">
        <v>386</v>
      </c>
      <c r="L599" s="193" t="s">
        <v>387</v>
      </c>
      <c r="M599" s="193" t="s">
        <v>378</v>
      </c>
      <c r="N599" s="193" t="s">
        <v>1497</v>
      </c>
      <c r="O599" s="193" t="s">
        <v>129</v>
      </c>
      <c r="P599" s="193" t="s">
        <v>138</v>
      </c>
      <c r="Q599" s="193" t="s">
        <v>137</v>
      </c>
      <c r="R599" s="193" t="s">
        <v>136</v>
      </c>
      <c r="S599" s="193" t="s">
        <v>214</v>
      </c>
      <c r="T599" s="193" t="s">
        <v>389</v>
      </c>
      <c r="U599" s="193" t="s">
        <v>390</v>
      </c>
      <c r="V599" s="193">
        <v>0</v>
      </c>
      <c r="W599" s="193">
        <v>0</v>
      </c>
      <c r="X599" s="193">
        <v>0</v>
      </c>
      <c r="Y599" s="194">
        <v>6200</v>
      </c>
      <c r="Z599" s="193" t="s">
        <v>515</v>
      </c>
      <c r="AA599" s="193" t="s">
        <v>516</v>
      </c>
      <c r="AB599" s="193">
        <v>6200</v>
      </c>
      <c r="AC599" s="193" t="s">
        <v>1500</v>
      </c>
      <c r="AD599" s="193" t="s">
        <v>136</v>
      </c>
      <c r="AE599" s="193">
        <v>6200</v>
      </c>
      <c r="AF599" s="193" t="s">
        <v>518</v>
      </c>
      <c r="AG599" s="193" t="s">
        <v>519</v>
      </c>
      <c r="AH599" s="193">
        <v>0</v>
      </c>
      <c r="AI599" s="193">
        <v>6200</v>
      </c>
      <c r="AJ599" s="193" t="s">
        <v>2266</v>
      </c>
      <c r="AL599" s="197" t="s">
        <v>2267</v>
      </c>
      <c r="AM599" s="193">
        <v>1</v>
      </c>
      <c r="AN599" s="193">
        <v>0</v>
      </c>
      <c r="AO599" s="193">
        <v>0</v>
      </c>
      <c r="AP599" s="193" t="s">
        <v>1524</v>
      </c>
      <c r="AQ599" s="193" t="s">
        <v>214</v>
      </c>
      <c r="AS599" s="197" t="s">
        <v>518</v>
      </c>
      <c r="AT599" s="197" t="s">
        <v>519</v>
      </c>
      <c r="AV599" s="196">
        <v>0</v>
      </c>
      <c r="AW599" s="196">
        <v>0</v>
      </c>
      <c r="AX599" s="196">
        <v>6200</v>
      </c>
      <c r="AY599" s="550">
        <v>6200</v>
      </c>
      <c r="AZ599" s="196">
        <v>0</v>
      </c>
      <c r="BA599" s="196">
        <v>0</v>
      </c>
      <c r="BB599" s="551">
        <v>0</v>
      </c>
      <c r="BC599" s="551">
        <v>6200</v>
      </c>
      <c r="BD599" s="551">
        <v>0</v>
      </c>
      <c r="BF599" s="550">
        <f t="shared" si="122"/>
        <v>0</v>
      </c>
      <c r="BG599" s="550">
        <f t="shared" si="123"/>
        <v>0</v>
      </c>
      <c r="BH599" s="550">
        <f t="shared" si="124"/>
        <v>6200</v>
      </c>
      <c r="BI599" s="550">
        <f t="shared" si="125"/>
        <v>6200</v>
      </c>
      <c r="BJ599" s="550">
        <f t="shared" si="126"/>
        <v>0</v>
      </c>
      <c r="BK599" s="550">
        <f t="shared" si="127"/>
        <v>0</v>
      </c>
      <c r="BL599" s="550">
        <f t="shared" si="128"/>
        <v>0</v>
      </c>
      <c r="BM599" s="550">
        <f t="shared" si="129"/>
        <v>6200</v>
      </c>
      <c r="BO599" s="194"/>
      <c r="BQ599" s="193">
        <f t="shared" si="130"/>
        <v>0</v>
      </c>
      <c r="BR599" s="193">
        <f t="shared" si="131"/>
        <v>0</v>
      </c>
    </row>
    <row r="600" spans="1:70" ht="13.5" customHeight="1">
      <c r="A600" s="193" t="s">
        <v>378</v>
      </c>
      <c r="B600" s="193" t="s">
        <v>379</v>
      </c>
      <c r="C600" s="193" t="s">
        <v>214</v>
      </c>
      <c r="D600" s="193" t="s">
        <v>1165</v>
      </c>
      <c r="E600" s="193" t="s">
        <v>1166</v>
      </c>
      <c r="F600" s="193" t="s">
        <v>2268</v>
      </c>
      <c r="G600" s="193" t="s">
        <v>2268</v>
      </c>
      <c r="H600" s="193" t="s">
        <v>2245</v>
      </c>
      <c r="I600" s="193" t="s">
        <v>512</v>
      </c>
      <c r="J600" s="193" t="s">
        <v>2269</v>
      </c>
      <c r="K600" s="193" t="s">
        <v>386</v>
      </c>
      <c r="L600" s="193" t="s">
        <v>387</v>
      </c>
      <c r="M600" s="193" t="s">
        <v>378</v>
      </c>
      <c r="N600" s="193" t="s">
        <v>1497</v>
      </c>
      <c r="O600" s="193" t="s">
        <v>129</v>
      </c>
      <c r="P600" s="193" t="s">
        <v>138</v>
      </c>
      <c r="Q600" s="193" t="s">
        <v>137</v>
      </c>
      <c r="R600" s="193" t="s">
        <v>136</v>
      </c>
      <c r="S600" s="193" t="s">
        <v>214</v>
      </c>
      <c r="T600" s="193" t="s">
        <v>389</v>
      </c>
      <c r="U600" s="193" t="s">
        <v>390</v>
      </c>
      <c r="V600" s="193">
        <v>0</v>
      </c>
      <c r="W600" s="193">
        <v>0</v>
      </c>
      <c r="X600" s="193">
        <v>0</v>
      </c>
      <c r="Y600" s="555">
        <v>8800</v>
      </c>
      <c r="Z600" s="193" t="s">
        <v>515</v>
      </c>
      <c r="AA600" s="193" t="s">
        <v>516</v>
      </c>
      <c r="AB600" s="193">
        <v>8800</v>
      </c>
      <c r="AC600" s="193" t="s">
        <v>1500</v>
      </c>
      <c r="AD600" s="193" t="s">
        <v>136</v>
      </c>
      <c r="AE600" s="193">
        <v>8800</v>
      </c>
      <c r="AF600" s="193" t="s">
        <v>518</v>
      </c>
      <c r="AG600" s="193" t="s">
        <v>519</v>
      </c>
      <c r="AH600" s="193">
        <v>0</v>
      </c>
      <c r="AI600" s="193">
        <v>8800</v>
      </c>
      <c r="AJ600" s="193" t="s">
        <v>2270</v>
      </c>
      <c r="AL600" s="197" t="s">
        <v>2271</v>
      </c>
      <c r="AM600" s="193">
        <v>1</v>
      </c>
      <c r="AN600" s="193">
        <v>0</v>
      </c>
      <c r="AO600" s="193">
        <v>0</v>
      </c>
      <c r="AP600" s="193" t="s">
        <v>1524</v>
      </c>
      <c r="AQ600" s="193" t="s">
        <v>214</v>
      </c>
      <c r="AS600" s="197" t="s">
        <v>518</v>
      </c>
      <c r="AT600" s="197" t="s">
        <v>519</v>
      </c>
      <c r="AV600" s="196">
        <v>0</v>
      </c>
      <c r="AW600" s="196">
        <v>0</v>
      </c>
      <c r="AX600" s="196">
        <v>8800</v>
      </c>
      <c r="AY600" s="550">
        <v>8800</v>
      </c>
      <c r="AZ600" s="196">
        <v>0</v>
      </c>
      <c r="BA600" s="196">
        <v>0</v>
      </c>
      <c r="BB600" s="551">
        <v>0</v>
      </c>
      <c r="BC600" s="551">
        <v>8800</v>
      </c>
      <c r="BD600" s="551">
        <v>0</v>
      </c>
      <c r="BF600" s="550">
        <f t="shared" si="122"/>
        <v>0</v>
      </c>
      <c r="BG600" s="550">
        <f t="shared" si="123"/>
        <v>0</v>
      </c>
      <c r="BH600" s="550">
        <f t="shared" si="124"/>
        <v>8800</v>
      </c>
      <c r="BI600" s="550">
        <f t="shared" si="125"/>
        <v>8800</v>
      </c>
      <c r="BJ600" s="550">
        <f t="shared" si="126"/>
        <v>0</v>
      </c>
      <c r="BK600" s="550">
        <f t="shared" si="127"/>
        <v>0</v>
      </c>
      <c r="BL600" s="550">
        <f t="shared" si="128"/>
        <v>0</v>
      </c>
      <c r="BM600" s="550">
        <f t="shared" si="129"/>
        <v>8800</v>
      </c>
      <c r="BO600" s="194"/>
      <c r="BQ600" s="193">
        <f t="shared" si="130"/>
        <v>0</v>
      </c>
      <c r="BR600" s="193">
        <f t="shared" si="131"/>
        <v>0</v>
      </c>
    </row>
    <row r="601" spans="1:70" ht="13.5" customHeight="1">
      <c r="A601" s="193" t="s">
        <v>378</v>
      </c>
      <c r="B601" s="193" t="s">
        <v>379</v>
      </c>
      <c r="C601" s="193" t="s">
        <v>214</v>
      </c>
      <c r="D601" s="193" t="s">
        <v>1165</v>
      </c>
      <c r="E601" s="193" t="s">
        <v>1166</v>
      </c>
      <c r="F601" s="193" t="s">
        <v>741</v>
      </c>
      <c r="G601" s="193" t="s">
        <v>741</v>
      </c>
      <c r="H601" s="193" t="s">
        <v>2245</v>
      </c>
      <c r="I601" s="193" t="s">
        <v>512</v>
      </c>
      <c r="J601" s="193" t="s">
        <v>2287</v>
      </c>
      <c r="K601" s="193" t="s">
        <v>386</v>
      </c>
      <c r="L601" s="193" t="s">
        <v>387</v>
      </c>
      <c r="M601" s="193" t="s">
        <v>378</v>
      </c>
      <c r="N601" s="193" t="s">
        <v>1497</v>
      </c>
      <c r="O601" s="193" t="s">
        <v>129</v>
      </c>
      <c r="P601" s="193" t="s">
        <v>138</v>
      </c>
      <c r="Q601" s="193" t="s">
        <v>137</v>
      </c>
      <c r="R601" s="193" t="s">
        <v>136</v>
      </c>
      <c r="S601" s="193" t="s">
        <v>214</v>
      </c>
      <c r="T601" s="193" t="s">
        <v>389</v>
      </c>
      <c r="U601" s="193" t="s">
        <v>390</v>
      </c>
      <c r="V601" s="193">
        <v>0</v>
      </c>
      <c r="W601" s="193">
        <v>0</v>
      </c>
      <c r="X601" s="193">
        <v>0</v>
      </c>
      <c r="Y601" s="555">
        <v>13000</v>
      </c>
      <c r="Z601" s="193" t="s">
        <v>515</v>
      </c>
      <c r="AA601" s="193" t="s">
        <v>516</v>
      </c>
      <c r="AB601" s="193">
        <v>13000</v>
      </c>
      <c r="AC601" s="193" t="s">
        <v>1500</v>
      </c>
      <c r="AD601" s="193" t="s">
        <v>136</v>
      </c>
      <c r="AE601" s="193">
        <v>13000</v>
      </c>
      <c r="AF601" s="193" t="s">
        <v>518</v>
      </c>
      <c r="AG601" s="193" t="s">
        <v>519</v>
      </c>
      <c r="AH601" s="193">
        <v>0</v>
      </c>
      <c r="AI601" s="193">
        <v>13000</v>
      </c>
      <c r="AJ601" s="193" t="s">
        <v>2288</v>
      </c>
      <c r="AL601" s="197" t="s">
        <v>2289</v>
      </c>
      <c r="AM601" s="193">
        <v>1</v>
      </c>
      <c r="AN601" s="193">
        <v>0</v>
      </c>
      <c r="AO601" s="193">
        <v>0</v>
      </c>
      <c r="AP601" s="193" t="s">
        <v>1524</v>
      </c>
      <c r="AQ601" s="193" t="s">
        <v>214</v>
      </c>
      <c r="AS601" s="197" t="s">
        <v>518</v>
      </c>
      <c r="AT601" s="197" t="s">
        <v>519</v>
      </c>
      <c r="AV601" s="196">
        <v>0</v>
      </c>
      <c r="AW601" s="196">
        <v>0</v>
      </c>
      <c r="AX601" s="196">
        <v>13000</v>
      </c>
      <c r="AY601" s="550">
        <v>13000</v>
      </c>
      <c r="AZ601" s="196">
        <v>0</v>
      </c>
      <c r="BA601" s="196">
        <v>0</v>
      </c>
      <c r="BB601" s="551">
        <v>0</v>
      </c>
      <c r="BC601" s="551">
        <v>13000</v>
      </c>
      <c r="BD601" s="551">
        <v>0</v>
      </c>
      <c r="BF601" s="550">
        <f t="shared" si="122"/>
        <v>0</v>
      </c>
      <c r="BG601" s="550">
        <f t="shared" si="123"/>
        <v>0</v>
      </c>
      <c r="BH601" s="550">
        <f t="shared" si="124"/>
        <v>13000</v>
      </c>
      <c r="BI601" s="550">
        <f t="shared" si="125"/>
        <v>13000</v>
      </c>
      <c r="BJ601" s="550">
        <f t="shared" si="126"/>
        <v>0</v>
      </c>
      <c r="BK601" s="550">
        <f t="shared" si="127"/>
        <v>0</v>
      </c>
      <c r="BL601" s="550">
        <f t="shared" si="128"/>
        <v>0</v>
      </c>
      <c r="BM601" s="550">
        <f t="shared" si="129"/>
        <v>13000</v>
      </c>
      <c r="BO601" s="194"/>
      <c r="BQ601" s="193">
        <f t="shared" si="130"/>
        <v>0</v>
      </c>
      <c r="BR601" s="193">
        <f t="shared" si="131"/>
        <v>0</v>
      </c>
    </row>
    <row r="602" spans="1:70" ht="13.5" customHeight="1">
      <c r="A602" s="193" t="s">
        <v>378</v>
      </c>
      <c r="B602" s="193" t="s">
        <v>379</v>
      </c>
      <c r="C602" s="193" t="s">
        <v>214</v>
      </c>
      <c r="D602" s="193" t="s">
        <v>1165</v>
      </c>
      <c r="E602" s="193" t="s">
        <v>1166</v>
      </c>
      <c r="F602" s="193" t="s">
        <v>1532</v>
      </c>
      <c r="G602" s="193" t="s">
        <v>1532</v>
      </c>
      <c r="H602" s="193" t="s">
        <v>2245</v>
      </c>
      <c r="I602" s="193" t="s">
        <v>512</v>
      </c>
      <c r="J602" s="193" t="s">
        <v>2275</v>
      </c>
      <c r="K602" s="193" t="s">
        <v>386</v>
      </c>
      <c r="L602" s="193" t="s">
        <v>387</v>
      </c>
      <c r="M602" s="193" t="s">
        <v>378</v>
      </c>
      <c r="N602" s="193" t="s">
        <v>1497</v>
      </c>
      <c r="O602" s="193" t="s">
        <v>129</v>
      </c>
      <c r="P602" s="193" t="s">
        <v>138</v>
      </c>
      <c r="Q602" s="193" t="s">
        <v>137</v>
      </c>
      <c r="R602" s="193" t="s">
        <v>136</v>
      </c>
      <c r="S602" s="193" t="s">
        <v>214</v>
      </c>
      <c r="T602" s="193" t="s">
        <v>389</v>
      </c>
      <c r="U602" s="193" t="s">
        <v>390</v>
      </c>
      <c r="V602" s="193">
        <v>0</v>
      </c>
      <c r="W602" s="193">
        <v>0</v>
      </c>
      <c r="X602" s="193">
        <v>0</v>
      </c>
      <c r="Y602" s="194">
        <v>24200</v>
      </c>
      <c r="Z602" s="193" t="s">
        <v>515</v>
      </c>
      <c r="AA602" s="193" t="s">
        <v>516</v>
      </c>
      <c r="AB602" s="193">
        <v>24200</v>
      </c>
      <c r="AC602" s="193" t="s">
        <v>1500</v>
      </c>
      <c r="AD602" s="193" t="s">
        <v>136</v>
      </c>
      <c r="AE602" s="193">
        <v>24200</v>
      </c>
      <c r="AF602" s="193" t="s">
        <v>518</v>
      </c>
      <c r="AG602" s="193" t="s">
        <v>519</v>
      </c>
      <c r="AH602" s="193">
        <v>0</v>
      </c>
      <c r="AI602" s="193">
        <v>24200</v>
      </c>
      <c r="AJ602" s="193" t="s">
        <v>2276</v>
      </c>
      <c r="AL602" s="197" t="s">
        <v>2277</v>
      </c>
      <c r="AM602" s="193">
        <v>1</v>
      </c>
      <c r="AN602" s="193">
        <v>0</v>
      </c>
      <c r="AO602" s="193">
        <v>0</v>
      </c>
      <c r="AP602" s="193" t="s">
        <v>1524</v>
      </c>
      <c r="AQ602" s="193" t="s">
        <v>214</v>
      </c>
      <c r="AS602" s="197" t="s">
        <v>518</v>
      </c>
      <c r="AT602" s="197" t="s">
        <v>519</v>
      </c>
      <c r="AV602" s="196">
        <v>0</v>
      </c>
      <c r="AW602" s="196">
        <v>0</v>
      </c>
      <c r="AX602" s="196">
        <v>24200</v>
      </c>
      <c r="AY602" s="550">
        <v>24200</v>
      </c>
      <c r="AZ602" s="196">
        <v>0</v>
      </c>
      <c r="BA602" s="196">
        <v>0</v>
      </c>
      <c r="BB602" s="551">
        <v>0</v>
      </c>
      <c r="BC602" s="551">
        <v>24200</v>
      </c>
      <c r="BD602" s="551">
        <v>0</v>
      </c>
      <c r="BF602" s="550">
        <f t="shared" si="122"/>
        <v>0</v>
      </c>
      <c r="BG602" s="550">
        <f t="shared" si="123"/>
        <v>0</v>
      </c>
      <c r="BH602" s="550">
        <f t="shared" si="124"/>
        <v>24200</v>
      </c>
      <c r="BI602" s="550">
        <f t="shared" si="125"/>
        <v>24200</v>
      </c>
      <c r="BJ602" s="550">
        <f t="shared" si="126"/>
        <v>0</v>
      </c>
      <c r="BK602" s="550">
        <f t="shared" si="127"/>
        <v>0</v>
      </c>
      <c r="BL602" s="550">
        <f t="shared" si="128"/>
        <v>0</v>
      </c>
      <c r="BM602" s="550">
        <f t="shared" si="129"/>
        <v>24200</v>
      </c>
      <c r="BO602" s="194"/>
      <c r="BQ602" s="193">
        <f t="shared" si="130"/>
        <v>0</v>
      </c>
      <c r="BR602" s="193">
        <f t="shared" si="131"/>
        <v>0</v>
      </c>
    </row>
    <row r="603" spans="1:70" ht="13.5" customHeight="1">
      <c r="A603" s="193" t="s">
        <v>378</v>
      </c>
      <c r="B603" s="193" t="s">
        <v>379</v>
      </c>
      <c r="C603" s="193" t="s">
        <v>214</v>
      </c>
      <c r="D603" s="193" t="s">
        <v>1165</v>
      </c>
      <c r="E603" s="193" t="s">
        <v>1166</v>
      </c>
      <c r="F603" s="193" t="s">
        <v>1027</v>
      </c>
      <c r="G603" s="193" t="s">
        <v>1027</v>
      </c>
      <c r="H603" s="193" t="s">
        <v>2245</v>
      </c>
      <c r="I603" s="193" t="s">
        <v>512</v>
      </c>
      <c r="J603" s="193" t="s">
        <v>2281</v>
      </c>
      <c r="K603" s="193" t="s">
        <v>386</v>
      </c>
      <c r="L603" s="193" t="s">
        <v>387</v>
      </c>
      <c r="M603" s="193" t="s">
        <v>378</v>
      </c>
      <c r="N603" s="193" t="s">
        <v>1497</v>
      </c>
      <c r="O603" s="193" t="s">
        <v>129</v>
      </c>
      <c r="P603" s="193" t="s">
        <v>138</v>
      </c>
      <c r="Q603" s="193" t="s">
        <v>137</v>
      </c>
      <c r="R603" s="193" t="s">
        <v>136</v>
      </c>
      <c r="S603" s="193" t="s">
        <v>214</v>
      </c>
      <c r="T603" s="193" t="s">
        <v>389</v>
      </c>
      <c r="U603" s="193" t="s">
        <v>390</v>
      </c>
      <c r="V603" s="193">
        <v>0</v>
      </c>
      <c r="W603" s="193">
        <v>0</v>
      </c>
      <c r="X603" s="193">
        <v>0</v>
      </c>
      <c r="Y603" s="194">
        <v>15600</v>
      </c>
      <c r="Z603" s="193" t="s">
        <v>515</v>
      </c>
      <c r="AA603" s="193" t="s">
        <v>516</v>
      </c>
      <c r="AB603" s="193">
        <v>15600</v>
      </c>
      <c r="AC603" s="193" t="s">
        <v>1500</v>
      </c>
      <c r="AD603" s="193" t="s">
        <v>136</v>
      </c>
      <c r="AE603" s="193">
        <v>15600</v>
      </c>
      <c r="AF603" s="193" t="s">
        <v>518</v>
      </c>
      <c r="AG603" s="193" t="s">
        <v>519</v>
      </c>
      <c r="AH603" s="193">
        <v>0</v>
      </c>
      <c r="AI603" s="193">
        <v>15600</v>
      </c>
      <c r="AJ603" s="193" t="s">
        <v>2243</v>
      </c>
      <c r="AL603" s="197" t="s">
        <v>2282</v>
      </c>
      <c r="AM603" s="193">
        <v>1</v>
      </c>
      <c r="AN603" s="193">
        <v>0</v>
      </c>
      <c r="AO603" s="193">
        <v>0</v>
      </c>
      <c r="AP603" s="193" t="s">
        <v>1524</v>
      </c>
      <c r="AQ603" s="193" t="s">
        <v>214</v>
      </c>
      <c r="AS603" s="197" t="s">
        <v>518</v>
      </c>
      <c r="AT603" s="197" t="s">
        <v>519</v>
      </c>
      <c r="AV603" s="196">
        <v>0</v>
      </c>
      <c r="AW603" s="196">
        <v>0</v>
      </c>
      <c r="AX603" s="196">
        <v>15600</v>
      </c>
      <c r="AY603" s="550">
        <v>15600</v>
      </c>
      <c r="AZ603" s="196">
        <v>0</v>
      </c>
      <c r="BA603" s="196">
        <v>0</v>
      </c>
      <c r="BB603" s="551">
        <v>0</v>
      </c>
      <c r="BC603" s="551">
        <v>15600</v>
      </c>
      <c r="BD603" s="551">
        <v>0</v>
      </c>
      <c r="BF603" s="550">
        <f t="shared" si="122"/>
        <v>0</v>
      </c>
      <c r="BG603" s="550">
        <f t="shared" si="123"/>
        <v>0</v>
      </c>
      <c r="BH603" s="550">
        <f t="shared" si="124"/>
        <v>15600</v>
      </c>
      <c r="BI603" s="550">
        <f t="shared" si="125"/>
        <v>15600</v>
      </c>
      <c r="BJ603" s="550">
        <f t="shared" si="126"/>
        <v>0</v>
      </c>
      <c r="BK603" s="550">
        <f t="shared" si="127"/>
        <v>0</v>
      </c>
      <c r="BL603" s="550">
        <f t="shared" si="128"/>
        <v>0</v>
      </c>
      <c r="BM603" s="550">
        <f t="shared" si="129"/>
        <v>15600</v>
      </c>
      <c r="BO603" s="194"/>
      <c r="BQ603" s="193">
        <f t="shared" si="130"/>
        <v>0</v>
      </c>
      <c r="BR603" s="193">
        <f t="shared" si="131"/>
        <v>0</v>
      </c>
    </row>
    <row r="604" spans="1:70" ht="13.5" customHeight="1">
      <c r="A604" s="193" t="s">
        <v>378</v>
      </c>
      <c r="B604" s="193" t="s">
        <v>379</v>
      </c>
      <c r="C604" s="193" t="s">
        <v>214</v>
      </c>
      <c r="D604" s="193" t="s">
        <v>1165</v>
      </c>
      <c r="E604" s="193" t="s">
        <v>1166</v>
      </c>
      <c r="F604" s="193" t="s">
        <v>2283</v>
      </c>
      <c r="G604" s="193" t="s">
        <v>2283</v>
      </c>
      <c r="H604" s="193" t="s">
        <v>2245</v>
      </c>
      <c r="I604" s="193" t="s">
        <v>512</v>
      </c>
      <c r="J604" s="193" t="s">
        <v>2284</v>
      </c>
      <c r="K604" s="193" t="s">
        <v>386</v>
      </c>
      <c r="L604" s="193" t="s">
        <v>387</v>
      </c>
      <c r="M604" s="193" t="s">
        <v>378</v>
      </c>
      <c r="N604" s="193" t="s">
        <v>1497</v>
      </c>
      <c r="O604" s="193" t="s">
        <v>129</v>
      </c>
      <c r="P604" s="193" t="s">
        <v>138</v>
      </c>
      <c r="Q604" s="193" t="s">
        <v>137</v>
      </c>
      <c r="R604" s="193" t="s">
        <v>136</v>
      </c>
      <c r="S604" s="193" t="s">
        <v>214</v>
      </c>
      <c r="T604" s="193" t="s">
        <v>389</v>
      </c>
      <c r="U604" s="193" t="s">
        <v>390</v>
      </c>
      <c r="V604" s="193">
        <v>0</v>
      </c>
      <c r="W604" s="193">
        <v>0</v>
      </c>
      <c r="X604" s="193">
        <v>0</v>
      </c>
      <c r="Y604" s="194">
        <v>12400</v>
      </c>
      <c r="Z604" s="193" t="s">
        <v>515</v>
      </c>
      <c r="AA604" s="193" t="s">
        <v>516</v>
      </c>
      <c r="AB604" s="193">
        <v>12400</v>
      </c>
      <c r="AC604" s="193" t="s">
        <v>1500</v>
      </c>
      <c r="AD604" s="193" t="s">
        <v>136</v>
      </c>
      <c r="AE604" s="193">
        <v>12400</v>
      </c>
      <c r="AF604" s="193" t="s">
        <v>518</v>
      </c>
      <c r="AG604" s="193" t="s">
        <v>519</v>
      </c>
      <c r="AH604" s="193">
        <v>0</v>
      </c>
      <c r="AI604" s="193">
        <v>12400</v>
      </c>
      <c r="AJ604" s="193" t="s">
        <v>2285</v>
      </c>
      <c r="AL604" s="197" t="s">
        <v>2286</v>
      </c>
      <c r="AM604" s="193">
        <v>1</v>
      </c>
      <c r="AN604" s="193">
        <v>0</v>
      </c>
      <c r="AO604" s="193">
        <v>0</v>
      </c>
      <c r="AP604" s="193" t="s">
        <v>1524</v>
      </c>
      <c r="AQ604" s="193" t="s">
        <v>214</v>
      </c>
      <c r="AS604" s="197" t="s">
        <v>518</v>
      </c>
      <c r="AT604" s="197" t="s">
        <v>519</v>
      </c>
      <c r="AV604" s="196">
        <v>0</v>
      </c>
      <c r="AW604" s="196">
        <v>0</v>
      </c>
      <c r="AX604" s="196">
        <v>12400</v>
      </c>
      <c r="AY604" s="550">
        <v>12400</v>
      </c>
      <c r="AZ604" s="196">
        <v>0</v>
      </c>
      <c r="BA604" s="196">
        <v>0</v>
      </c>
      <c r="BB604" s="551">
        <v>0</v>
      </c>
      <c r="BC604" s="551">
        <v>12400</v>
      </c>
      <c r="BD604" s="551">
        <v>0</v>
      </c>
      <c r="BF604" s="550">
        <f t="shared" si="122"/>
        <v>0</v>
      </c>
      <c r="BG604" s="550">
        <f t="shared" si="123"/>
        <v>0</v>
      </c>
      <c r="BH604" s="550">
        <f t="shared" si="124"/>
        <v>12400</v>
      </c>
      <c r="BI604" s="550">
        <f t="shared" si="125"/>
        <v>12400</v>
      </c>
      <c r="BJ604" s="550">
        <f t="shared" si="126"/>
        <v>0</v>
      </c>
      <c r="BK604" s="550">
        <f t="shared" si="127"/>
        <v>0</v>
      </c>
      <c r="BL604" s="550">
        <f t="shared" si="128"/>
        <v>0</v>
      </c>
      <c r="BM604" s="550">
        <f t="shared" si="129"/>
        <v>12400</v>
      </c>
      <c r="BO604" s="194"/>
      <c r="BQ604" s="193">
        <f t="shared" si="130"/>
        <v>0</v>
      </c>
      <c r="BR604" s="193">
        <f t="shared" si="131"/>
        <v>0</v>
      </c>
    </row>
    <row r="605" spans="1:70" ht="13.5" customHeight="1">
      <c r="A605" s="193" t="s">
        <v>378</v>
      </c>
      <c r="B605" s="193" t="s">
        <v>379</v>
      </c>
      <c r="C605" s="193" t="s">
        <v>214</v>
      </c>
      <c r="D605" s="193" t="s">
        <v>1165</v>
      </c>
      <c r="E605" s="193" t="s">
        <v>1166</v>
      </c>
      <c r="F605" s="193" t="s">
        <v>2278</v>
      </c>
      <c r="G605" s="193" t="s">
        <v>2278</v>
      </c>
      <c r="H605" s="193" t="s">
        <v>2245</v>
      </c>
      <c r="I605" s="193" t="s">
        <v>512</v>
      </c>
      <c r="J605" s="193" t="s">
        <v>2279</v>
      </c>
      <c r="K605" s="193" t="s">
        <v>386</v>
      </c>
      <c r="L605" s="193" t="s">
        <v>387</v>
      </c>
      <c r="M605" s="193" t="s">
        <v>378</v>
      </c>
      <c r="N605" s="193" t="s">
        <v>1497</v>
      </c>
      <c r="O605" s="193" t="s">
        <v>129</v>
      </c>
      <c r="P605" s="193" t="s">
        <v>138</v>
      </c>
      <c r="Q605" s="193" t="s">
        <v>137</v>
      </c>
      <c r="R605" s="193" t="s">
        <v>136</v>
      </c>
      <c r="S605" s="193" t="s">
        <v>214</v>
      </c>
      <c r="T605" s="193" t="s">
        <v>389</v>
      </c>
      <c r="U605" s="193" t="s">
        <v>390</v>
      </c>
      <c r="V605" s="193">
        <v>0</v>
      </c>
      <c r="W605" s="193">
        <v>0</v>
      </c>
      <c r="X605" s="193">
        <v>0</v>
      </c>
      <c r="Y605" s="194">
        <v>16000</v>
      </c>
      <c r="Z605" s="193" t="s">
        <v>515</v>
      </c>
      <c r="AA605" s="193" t="s">
        <v>516</v>
      </c>
      <c r="AB605" s="193">
        <v>16000</v>
      </c>
      <c r="AC605" s="193" t="s">
        <v>1500</v>
      </c>
      <c r="AD605" s="193" t="s">
        <v>136</v>
      </c>
      <c r="AE605" s="193">
        <v>16000</v>
      </c>
      <c r="AF605" s="193" t="s">
        <v>518</v>
      </c>
      <c r="AG605" s="193" t="s">
        <v>519</v>
      </c>
      <c r="AH605" s="193">
        <v>0</v>
      </c>
      <c r="AI605" s="193">
        <v>16000</v>
      </c>
      <c r="AJ605" s="193" t="s">
        <v>2243</v>
      </c>
      <c r="AL605" s="197" t="s">
        <v>2280</v>
      </c>
      <c r="AM605" s="193">
        <v>1</v>
      </c>
      <c r="AN605" s="193">
        <v>0</v>
      </c>
      <c r="AO605" s="193">
        <v>0</v>
      </c>
      <c r="AP605" s="193" t="s">
        <v>1524</v>
      </c>
      <c r="AQ605" s="193" t="s">
        <v>214</v>
      </c>
      <c r="AS605" s="197" t="s">
        <v>518</v>
      </c>
      <c r="AT605" s="197" t="s">
        <v>519</v>
      </c>
      <c r="AV605" s="196">
        <v>0</v>
      </c>
      <c r="AW605" s="196">
        <v>0</v>
      </c>
      <c r="AX605" s="196">
        <v>16000</v>
      </c>
      <c r="AY605" s="550">
        <v>16000</v>
      </c>
      <c r="AZ605" s="196">
        <v>0</v>
      </c>
      <c r="BA605" s="196">
        <v>0</v>
      </c>
      <c r="BB605" s="551">
        <v>0</v>
      </c>
      <c r="BC605" s="551">
        <v>16000</v>
      </c>
      <c r="BD605" s="551">
        <v>0</v>
      </c>
      <c r="BF605" s="550">
        <f t="shared" si="122"/>
        <v>0</v>
      </c>
      <c r="BG605" s="550">
        <f t="shared" si="123"/>
        <v>0</v>
      </c>
      <c r="BH605" s="550">
        <f t="shared" si="124"/>
        <v>16000</v>
      </c>
      <c r="BI605" s="550">
        <f t="shared" si="125"/>
        <v>16000</v>
      </c>
      <c r="BJ605" s="550">
        <f t="shared" si="126"/>
        <v>0</v>
      </c>
      <c r="BK605" s="550">
        <f t="shared" si="127"/>
        <v>0</v>
      </c>
      <c r="BL605" s="550">
        <f t="shared" si="128"/>
        <v>0</v>
      </c>
      <c r="BM605" s="550">
        <f t="shared" si="129"/>
        <v>16000</v>
      </c>
      <c r="BO605" s="194"/>
      <c r="BQ605" s="193">
        <f t="shared" si="130"/>
        <v>0</v>
      </c>
      <c r="BR605" s="193">
        <f t="shared" si="131"/>
        <v>0</v>
      </c>
    </row>
    <row r="606" spans="1:70" ht="13.5" customHeight="1">
      <c r="A606" s="193" t="s">
        <v>378</v>
      </c>
      <c r="B606" s="193" t="s">
        <v>379</v>
      </c>
      <c r="C606" s="193" t="s">
        <v>214</v>
      </c>
      <c r="D606" s="193" t="s">
        <v>1165</v>
      </c>
      <c r="E606" s="193" t="s">
        <v>1166</v>
      </c>
      <c r="F606" s="193" t="s">
        <v>1313</v>
      </c>
      <c r="G606" s="193" t="s">
        <v>1313</v>
      </c>
      <c r="H606" s="193" t="s">
        <v>2245</v>
      </c>
      <c r="I606" s="193" t="s">
        <v>512</v>
      </c>
      <c r="J606" s="193" t="s">
        <v>2272</v>
      </c>
      <c r="K606" s="193" t="s">
        <v>386</v>
      </c>
      <c r="L606" s="193" t="s">
        <v>387</v>
      </c>
      <c r="M606" s="193" t="s">
        <v>378</v>
      </c>
      <c r="N606" s="193" t="s">
        <v>1497</v>
      </c>
      <c r="O606" s="193" t="s">
        <v>129</v>
      </c>
      <c r="P606" s="193" t="s">
        <v>138</v>
      </c>
      <c r="Q606" s="193" t="s">
        <v>137</v>
      </c>
      <c r="R606" s="193" t="s">
        <v>136</v>
      </c>
      <c r="S606" s="193" t="s">
        <v>214</v>
      </c>
      <c r="T606" s="193" t="s">
        <v>389</v>
      </c>
      <c r="U606" s="193" t="s">
        <v>390</v>
      </c>
      <c r="V606" s="193">
        <v>0</v>
      </c>
      <c r="W606" s="193">
        <v>0</v>
      </c>
      <c r="X606" s="193">
        <v>0</v>
      </c>
      <c r="Y606" s="194">
        <v>13300</v>
      </c>
      <c r="Z606" s="193" t="s">
        <v>515</v>
      </c>
      <c r="AA606" s="193" t="s">
        <v>516</v>
      </c>
      <c r="AB606" s="193">
        <v>13300</v>
      </c>
      <c r="AC606" s="193" t="s">
        <v>1500</v>
      </c>
      <c r="AD606" s="193" t="s">
        <v>136</v>
      </c>
      <c r="AE606" s="193">
        <v>13300</v>
      </c>
      <c r="AF606" s="193" t="s">
        <v>518</v>
      </c>
      <c r="AG606" s="193" t="s">
        <v>519</v>
      </c>
      <c r="AH606" s="193">
        <v>0</v>
      </c>
      <c r="AI606" s="193">
        <v>13300</v>
      </c>
      <c r="AJ606" s="193" t="s">
        <v>2273</v>
      </c>
      <c r="AL606" s="197" t="s">
        <v>2274</v>
      </c>
      <c r="AM606" s="193">
        <v>1</v>
      </c>
      <c r="AN606" s="193">
        <v>0</v>
      </c>
      <c r="AO606" s="193">
        <v>0</v>
      </c>
      <c r="AP606" s="193" t="s">
        <v>1524</v>
      </c>
      <c r="AQ606" s="193" t="s">
        <v>214</v>
      </c>
      <c r="AS606" s="197" t="s">
        <v>518</v>
      </c>
      <c r="AT606" s="197" t="s">
        <v>519</v>
      </c>
      <c r="AV606" s="196">
        <v>0</v>
      </c>
      <c r="AW606" s="196">
        <v>0</v>
      </c>
      <c r="AX606" s="196">
        <v>13300</v>
      </c>
      <c r="AY606" s="550">
        <v>13300</v>
      </c>
      <c r="AZ606" s="196">
        <v>0</v>
      </c>
      <c r="BA606" s="196">
        <v>0</v>
      </c>
      <c r="BB606" s="551">
        <v>0</v>
      </c>
      <c r="BC606" s="551">
        <v>13300</v>
      </c>
      <c r="BD606" s="551">
        <v>0</v>
      </c>
      <c r="BF606" s="550">
        <f t="shared" si="122"/>
        <v>0</v>
      </c>
      <c r="BG606" s="550">
        <f t="shared" si="123"/>
        <v>0</v>
      </c>
      <c r="BH606" s="550">
        <f t="shared" si="124"/>
        <v>13300</v>
      </c>
      <c r="BI606" s="550">
        <f t="shared" si="125"/>
        <v>13300</v>
      </c>
      <c r="BJ606" s="550">
        <f t="shared" si="126"/>
        <v>0</v>
      </c>
      <c r="BK606" s="550">
        <f t="shared" si="127"/>
        <v>0</v>
      </c>
      <c r="BL606" s="550">
        <f t="shared" si="128"/>
        <v>0</v>
      </c>
      <c r="BM606" s="550">
        <f t="shared" si="129"/>
        <v>13300</v>
      </c>
      <c r="BO606" s="194"/>
      <c r="BQ606" s="193">
        <f t="shared" si="130"/>
        <v>0</v>
      </c>
      <c r="BR606" s="193">
        <f t="shared" si="131"/>
        <v>0</v>
      </c>
    </row>
    <row r="607" spans="1:70" ht="13.5" customHeight="1">
      <c r="A607" s="193" t="s">
        <v>378</v>
      </c>
      <c r="B607" s="193" t="s">
        <v>379</v>
      </c>
      <c r="C607" s="193" t="s">
        <v>214</v>
      </c>
      <c r="D607" s="193" t="s">
        <v>1165</v>
      </c>
      <c r="E607" s="193" t="s">
        <v>1166</v>
      </c>
      <c r="F607" s="193" t="s">
        <v>1579</v>
      </c>
      <c r="G607" s="193" t="s">
        <v>1579</v>
      </c>
      <c r="H607" s="193" t="s">
        <v>2245</v>
      </c>
      <c r="I607" s="193" t="s">
        <v>512</v>
      </c>
      <c r="J607" s="193" t="s">
        <v>2304</v>
      </c>
      <c r="K607" s="193" t="s">
        <v>386</v>
      </c>
      <c r="L607" s="193" t="s">
        <v>387</v>
      </c>
      <c r="M607" s="193" t="s">
        <v>378</v>
      </c>
      <c r="N607" s="193" t="s">
        <v>1497</v>
      </c>
      <c r="O607" s="193" t="s">
        <v>129</v>
      </c>
      <c r="P607" s="193" t="s">
        <v>138</v>
      </c>
      <c r="Q607" s="193" t="s">
        <v>137</v>
      </c>
      <c r="R607" s="193" t="s">
        <v>136</v>
      </c>
      <c r="S607" s="193" t="s">
        <v>214</v>
      </c>
      <c r="T607" s="193" t="s">
        <v>389</v>
      </c>
      <c r="U607" s="193" t="s">
        <v>390</v>
      </c>
      <c r="V607" s="193">
        <v>0</v>
      </c>
      <c r="W607" s="193">
        <v>0</v>
      </c>
      <c r="X607" s="193">
        <v>0</v>
      </c>
      <c r="Y607" s="194">
        <v>12400</v>
      </c>
      <c r="Z607" s="193" t="s">
        <v>515</v>
      </c>
      <c r="AA607" s="193" t="s">
        <v>516</v>
      </c>
      <c r="AB607" s="193">
        <v>12400</v>
      </c>
      <c r="AC607" s="193" t="s">
        <v>1500</v>
      </c>
      <c r="AD607" s="193" t="s">
        <v>136</v>
      </c>
      <c r="AE607" s="193">
        <v>12400</v>
      </c>
      <c r="AF607" s="193" t="s">
        <v>518</v>
      </c>
      <c r="AG607" s="193" t="s">
        <v>519</v>
      </c>
      <c r="AH607" s="193">
        <v>0</v>
      </c>
      <c r="AI607" s="193">
        <v>12400</v>
      </c>
      <c r="AJ607" s="193" t="s">
        <v>2285</v>
      </c>
      <c r="AL607" s="197" t="s">
        <v>2305</v>
      </c>
      <c r="AM607" s="193">
        <v>1</v>
      </c>
      <c r="AN607" s="193">
        <v>0</v>
      </c>
      <c r="AO607" s="193">
        <v>0</v>
      </c>
      <c r="AP607" s="193" t="s">
        <v>1524</v>
      </c>
      <c r="AQ607" s="193" t="s">
        <v>214</v>
      </c>
      <c r="AS607" s="197" t="s">
        <v>518</v>
      </c>
      <c r="AT607" s="197" t="s">
        <v>519</v>
      </c>
      <c r="AV607" s="194">
        <v>0</v>
      </c>
      <c r="AW607" s="194">
        <v>0</v>
      </c>
      <c r="AX607" s="194">
        <v>12400</v>
      </c>
      <c r="AY607" s="549">
        <v>12400</v>
      </c>
      <c r="AZ607" s="194">
        <v>0</v>
      </c>
      <c r="BA607" s="194">
        <v>0</v>
      </c>
      <c r="BB607" s="551">
        <v>0</v>
      </c>
      <c r="BC607" s="551">
        <v>12400</v>
      </c>
      <c r="BD607" s="551">
        <v>0</v>
      </c>
      <c r="BF607" s="550">
        <f t="shared" si="122"/>
        <v>0</v>
      </c>
      <c r="BG607" s="550">
        <f t="shared" si="123"/>
        <v>0</v>
      </c>
      <c r="BH607" s="550">
        <f t="shared" si="124"/>
        <v>12400</v>
      </c>
      <c r="BI607" s="550">
        <f t="shared" si="125"/>
        <v>12400</v>
      </c>
      <c r="BJ607" s="550">
        <f t="shared" si="126"/>
        <v>0</v>
      </c>
      <c r="BK607" s="550">
        <f t="shared" si="127"/>
        <v>0</v>
      </c>
      <c r="BL607" s="550">
        <f t="shared" si="128"/>
        <v>0</v>
      </c>
      <c r="BM607" s="550">
        <f t="shared" si="129"/>
        <v>12400</v>
      </c>
      <c r="BO607" s="194"/>
      <c r="BQ607" s="193">
        <f t="shared" si="130"/>
        <v>0</v>
      </c>
      <c r="BR607" s="193">
        <f t="shared" si="131"/>
        <v>0</v>
      </c>
    </row>
    <row r="608" spans="1:70" ht="13.5" customHeight="1">
      <c r="A608" s="193" t="s">
        <v>378</v>
      </c>
      <c r="B608" s="193" t="s">
        <v>379</v>
      </c>
      <c r="C608" s="193" t="s">
        <v>214</v>
      </c>
      <c r="D608" s="193" t="s">
        <v>1165</v>
      </c>
      <c r="E608" s="193" t="s">
        <v>1166</v>
      </c>
      <c r="F608" s="193" t="s">
        <v>615</v>
      </c>
      <c r="G608" s="193" t="s">
        <v>615</v>
      </c>
      <c r="H608" s="193" t="s">
        <v>2245</v>
      </c>
      <c r="I608" s="193" t="s">
        <v>512</v>
      </c>
      <c r="J608" s="193" t="s">
        <v>2306</v>
      </c>
      <c r="K608" s="193" t="s">
        <v>386</v>
      </c>
      <c r="L608" s="193" t="s">
        <v>387</v>
      </c>
      <c r="M608" s="193" t="s">
        <v>378</v>
      </c>
      <c r="N608" s="193" t="s">
        <v>1497</v>
      </c>
      <c r="O608" s="193" t="s">
        <v>129</v>
      </c>
      <c r="P608" s="193" t="s">
        <v>138</v>
      </c>
      <c r="Q608" s="193" t="s">
        <v>137</v>
      </c>
      <c r="R608" s="193" t="s">
        <v>136</v>
      </c>
      <c r="S608" s="193" t="s">
        <v>214</v>
      </c>
      <c r="T608" s="193" t="s">
        <v>389</v>
      </c>
      <c r="U608" s="193" t="s">
        <v>390</v>
      </c>
      <c r="V608" s="193">
        <v>0</v>
      </c>
      <c r="W608" s="193">
        <v>0</v>
      </c>
      <c r="X608" s="193">
        <v>0</v>
      </c>
      <c r="Y608" s="194">
        <v>33800</v>
      </c>
      <c r="Z608" s="193" t="s">
        <v>515</v>
      </c>
      <c r="AA608" s="193" t="s">
        <v>516</v>
      </c>
      <c r="AB608" s="193">
        <v>33800</v>
      </c>
      <c r="AC608" s="193" t="s">
        <v>1500</v>
      </c>
      <c r="AD608" s="193" t="s">
        <v>136</v>
      </c>
      <c r="AE608" s="193">
        <v>33800</v>
      </c>
      <c r="AF608" s="193" t="s">
        <v>518</v>
      </c>
      <c r="AG608" s="193" t="s">
        <v>519</v>
      </c>
      <c r="AH608" s="193">
        <v>0</v>
      </c>
      <c r="AI608" s="193">
        <v>33800</v>
      </c>
      <c r="AJ608" s="193" t="s">
        <v>1584</v>
      </c>
      <c r="AL608" s="197" t="s">
        <v>2307</v>
      </c>
      <c r="AM608" s="193">
        <v>1</v>
      </c>
      <c r="AN608" s="193">
        <v>0</v>
      </c>
      <c r="AO608" s="193">
        <v>0</v>
      </c>
      <c r="AP608" s="193" t="s">
        <v>1524</v>
      </c>
      <c r="AQ608" s="193" t="s">
        <v>214</v>
      </c>
      <c r="AS608" s="197" t="s">
        <v>518</v>
      </c>
      <c r="AT608" s="197" t="s">
        <v>519</v>
      </c>
      <c r="AV608" s="196">
        <v>0</v>
      </c>
      <c r="AW608" s="196">
        <v>0</v>
      </c>
      <c r="AX608" s="196">
        <v>33800</v>
      </c>
      <c r="AY608" s="550">
        <v>33800</v>
      </c>
      <c r="AZ608" s="196">
        <v>0</v>
      </c>
      <c r="BA608" s="196">
        <v>0</v>
      </c>
      <c r="BB608" s="551">
        <v>0</v>
      </c>
      <c r="BC608" s="551">
        <v>33800</v>
      </c>
      <c r="BD608" s="551">
        <v>0</v>
      </c>
      <c r="BF608" s="550">
        <f t="shared" si="122"/>
        <v>0</v>
      </c>
      <c r="BG608" s="550">
        <f t="shared" si="123"/>
        <v>0</v>
      </c>
      <c r="BH608" s="550">
        <f t="shared" si="124"/>
        <v>33800</v>
      </c>
      <c r="BI608" s="550">
        <f t="shared" si="125"/>
        <v>33800</v>
      </c>
      <c r="BJ608" s="550">
        <f t="shared" si="126"/>
        <v>0</v>
      </c>
      <c r="BK608" s="550">
        <f t="shared" si="127"/>
        <v>0</v>
      </c>
      <c r="BL608" s="550">
        <f t="shared" si="128"/>
        <v>0</v>
      </c>
      <c r="BM608" s="550">
        <f t="shared" si="129"/>
        <v>33800</v>
      </c>
      <c r="BO608" s="194"/>
      <c r="BQ608" s="193">
        <f t="shared" si="130"/>
        <v>0</v>
      </c>
      <c r="BR608" s="193">
        <f t="shared" si="131"/>
        <v>0</v>
      </c>
    </row>
    <row r="609" spans="1:70" ht="13.5" customHeight="1">
      <c r="A609" s="193" t="s">
        <v>378</v>
      </c>
      <c r="B609" s="193" t="s">
        <v>379</v>
      </c>
      <c r="C609" s="193" t="s">
        <v>214</v>
      </c>
      <c r="D609" s="193" t="s">
        <v>1165</v>
      </c>
      <c r="E609" s="193" t="s">
        <v>1166</v>
      </c>
      <c r="F609" s="193" t="s">
        <v>583</v>
      </c>
      <c r="G609" s="193" t="s">
        <v>583</v>
      </c>
      <c r="H609" s="193" t="s">
        <v>2245</v>
      </c>
      <c r="I609" s="193" t="s">
        <v>512</v>
      </c>
      <c r="J609" s="193" t="s">
        <v>2290</v>
      </c>
      <c r="K609" s="193" t="s">
        <v>386</v>
      </c>
      <c r="L609" s="193" t="s">
        <v>387</v>
      </c>
      <c r="M609" s="193" t="s">
        <v>378</v>
      </c>
      <c r="N609" s="193" t="s">
        <v>1497</v>
      </c>
      <c r="O609" s="193" t="s">
        <v>129</v>
      </c>
      <c r="P609" s="193" t="s">
        <v>138</v>
      </c>
      <c r="Q609" s="193" t="s">
        <v>137</v>
      </c>
      <c r="R609" s="193" t="s">
        <v>136</v>
      </c>
      <c r="S609" s="193" t="s">
        <v>214</v>
      </c>
      <c r="T609" s="193" t="s">
        <v>389</v>
      </c>
      <c r="U609" s="193" t="s">
        <v>390</v>
      </c>
      <c r="V609" s="193">
        <v>0</v>
      </c>
      <c r="W609" s="193">
        <v>0</v>
      </c>
      <c r="X609" s="193">
        <v>0</v>
      </c>
      <c r="Y609" s="194">
        <v>16600</v>
      </c>
      <c r="Z609" s="193" t="s">
        <v>515</v>
      </c>
      <c r="AA609" s="193" t="s">
        <v>516</v>
      </c>
      <c r="AB609" s="193">
        <v>16600</v>
      </c>
      <c r="AC609" s="193" t="s">
        <v>1500</v>
      </c>
      <c r="AD609" s="193" t="s">
        <v>136</v>
      </c>
      <c r="AE609" s="193">
        <v>16600</v>
      </c>
      <c r="AF609" s="193" t="s">
        <v>518</v>
      </c>
      <c r="AG609" s="193" t="s">
        <v>519</v>
      </c>
      <c r="AH609" s="193">
        <v>0</v>
      </c>
      <c r="AI609" s="193">
        <v>16600</v>
      </c>
      <c r="AJ609" s="193" t="s">
        <v>2291</v>
      </c>
      <c r="AL609" s="197" t="s">
        <v>2292</v>
      </c>
      <c r="AM609" s="193">
        <v>1</v>
      </c>
      <c r="AN609" s="193">
        <v>0</v>
      </c>
      <c r="AO609" s="193">
        <v>0</v>
      </c>
      <c r="AP609" s="193" t="s">
        <v>1524</v>
      </c>
      <c r="AQ609" s="193" t="s">
        <v>214</v>
      </c>
      <c r="AS609" s="197" t="s">
        <v>518</v>
      </c>
      <c r="AT609" s="197" t="s">
        <v>519</v>
      </c>
      <c r="AV609" s="196">
        <v>0</v>
      </c>
      <c r="AW609" s="196">
        <v>0</v>
      </c>
      <c r="AX609" s="196">
        <v>16600</v>
      </c>
      <c r="AY609" s="550">
        <v>16600</v>
      </c>
      <c r="AZ609" s="196">
        <v>0</v>
      </c>
      <c r="BA609" s="196">
        <v>0</v>
      </c>
      <c r="BB609" s="551">
        <v>0</v>
      </c>
      <c r="BC609" s="551">
        <v>16600</v>
      </c>
      <c r="BD609" s="551">
        <v>0</v>
      </c>
      <c r="BF609" s="550">
        <f t="shared" si="122"/>
        <v>0</v>
      </c>
      <c r="BG609" s="550">
        <f t="shared" si="123"/>
        <v>0</v>
      </c>
      <c r="BH609" s="550">
        <f t="shared" si="124"/>
        <v>16600</v>
      </c>
      <c r="BI609" s="550">
        <f t="shared" si="125"/>
        <v>16600</v>
      </c>
      <c r="BJ609" s="550">
        <f t="shared" si="126"/>
        <v>0</v>
      </c>
      <c r="BK609" s="550">
        <f t="shared" si="127"/>
        <v>0</v>
      </c>
      <c r="BL609" s="550">
        <f t="shared" si="128"/>
        <v>0</v>
      </c>
      <c r="BM609" s="550">
        <f t="shared" si="129"/>
        <v>16600</v>
      </c>
      <c r="BO609" s="194"/>
      <c r="BQ609" s="193">
        <f t="shared" si="130"/>
        <v>0</v>
      </c>
      <c r="BR609" s="193">
        <f t="shared" si="131"/>
        <v>0</v>
      </c>
    </row>
    <row r="610" spans="1:70" ht="13.5" customHeight="1">
      <c r="A610" s="193" t="s">
        <v>378</v>
      </c>
      <c r="B610" s="193" t="s">
        <v>379</v>
      </c>
      <c r="C610" s="193" t="s">
        <v>214</v>
      </c>
      <c r="D610" s="193" t="s">
        <v>1165</v>
      </c>
      <c r="E610" s="193" t="s">
        <v>1166</v>
      </c>
      <c r="F610" s="193" t="s">
        <v>1798</v>
      </c>
      <c r="G610" s="193" t="s">
        <v>1798</v>
      </c>
      <c r="H610" s="193" t="s">
        <v>2245</v>
      </c>
      <c r="I610" s="193" t="s">
        <v>512</v>
      </c>
      <c r="J610" s="193" t="s">
        <v>2295</v>
      </c>
      <c r="K610" s="193" t="s">
        <v>386</v>
      </c>
      <c r="L610" s="193" t="s">
        <v>387</v>
      </c>
      <c r="M610" s="193" t="s">
        <v>378</v>
      </c>
      <c r="N610" s="193" t="s">
        <v>1497</v>
      </c>
      <c r="O610" s="193" t="s">
        <v>129</v>
      </c>
      <c r="P610" s="193" t="s">
        <v>138</v>
      </c>
      <c r="Q610" s="193" t="s">
        <v>137</v>
      </c>
      <c r="R610" s="193" t="s">
        <v>136</v>
      </c>
      <c r="S610" s="193" t="s">
        <v>214</v>
      </c>
      <c r="T610" s="193" t="s">
        <v>389</v>
      </c>
      <c r="U610" s="193" t="s">
        <v>390</v>
      </c>
      <c r="V610" s="193">
        <v>0</v>
      </c>
      <c r="W610" s="193">
        <v>0</v>
      </c>
      <c r="X610" s="193">
        <v>0</v>
      </c>
      <c r="Y610" s="194">
        <v>16600</v>
      </c>
      <c r="Z610" s="193" t="s">
        <v>515</v>
      </c>
      <c r="AA610" s="193" t="s">
        <v>516</v>
      </c>
      <c r="AB610" s="193">
        <v>16600</v>
      </c>
      <c r="AC610" s="193" t="s">
        <v>1500</v>
      </c>
      <c r="AD610" s="193" t="s">
        <v>136</v>
      </c>
      <c r="AE610" s="193">
        <v>16600</v>
      </c>
      <c r="AF610" s="193" t="s">
        <v>518</v>
      </c>
      <c r="AG610" s="193" t="s">
        <v>519</v>
      </c>
      <c r="AH610" s="193">
        <v>0</v>
      </c>
      <c r="AI610" s="193">
        <v>16600</v>
      </c>
      <c r="AJ610" s="193" t="s">
        <v>2296</v>
      </c>
      <c r="AL610" s="197" t="s">
        <v>2297</v>
      </c>
      <c r="AM610" s="193">
        <v>1</v>
      </c>
      <c r="AN610" s="193">
        <v>0</v>
      </c>
      <c r="AO610" s="193">
        <v>0</v>
      </c>
      <c r="AP610" s="193" t="s">
        <v>1524</v>
      </c>
      <c r="AQ610" s="193" t="s">
        <v>214</v>
      </c>
      <c r="AS610" s="197" t="s">
        <v>518</v>
      </c>
      <c r="AT610" s="197" t="s">
        <v>519</v>
      </c>
      <c r="AV610" s="196">
        <v>0</v>
      </c>
      <c r="AW610" s="196">
        <v>0</v>
      </c>
      <c r="AX610" s="196">
        <v>16600</v>
      </c>
      <c r="AY610" s="550">
        <v>16600</v>
      </c>
      <c r="AZ610" s="196">
        <v>0</v>
      </c>
      <c r="BA610" s="196">
        <v>0</v>
      </c>
      <c r="BB610" s="551">
        <v>0</v>
      </c>
      <c r="BC610" s="551">
        <v>16600</v>
      </c>
      <c r="BD610" s="551">
        <v>0</v>
      </c>
      <c r="BF610" s="550">
        <f t="shared" si="122"/>
        <v>0</v>
      </c>
      <c r="BG610" s="550">
        <f t="shared" si="123"/>
        <v>0</v>
      </c>
      <c r="BH610" s="550">
        <f t="shared" si="124"/>
        <v>16600</v>
      </c>
      <c r="BI610" s="550">
        <f t="shared" si="125"/>
        <v>16600</v>
      </c>
      <c r="BJ610" s="550">
        <f t="shared" si="126"/>
        <v>0</v>
      </c>
      <c r="BK610" s="550">
        <f t="shared" si="127"/>
        <v>0</v>
      </c>
      <c r="BL610" s="550">
        <f t="shared" si="128"/>
        <v>0</v>
      </c>
      <c r="BM610" s="550">
        <f t="shared" si="129"/>
        <v>16600</v>
      </c>
      <c r="BO610" s="194"/>
      <c r="BQ610" s="193">
        <f t="shared" si="130"/>
        <v>0</v>
      </c>
      <c r="BR610" s="193">
        <f t="shared" si="131"/>
        <v>0</v>
      </c>
    </row>
    <row r="611" spans="1:70" ht="13.5" customHeight="1">
      <c r="A611" s="193" t="s">
        <v>378</v>
      </c>
      <c r="B611" s="193" t="s">
        <v>379</v>
      </c>
      <c r="C611" s="193" t="s">
        <v>214</v>
      </c>
      <c r="D611" s="193" t="s">
        <v>1165</v>
      </c>
      <c r="E611" s="193" t="s">
        <v>1166</v>
      </c>
      <c r="F611" s="193" t="s">
        <v>2298</v>
      </c>
      <c r="G611" s="193" t="s">
        <v>2298</v>
      </c>
      <c r="H611" s="193" t="s">
        <v>2245</v>
      </c>
      <c r="I611" s="193" t="s">
        <v>512</v>
      </c>
      <c r="J611" s="193" t="s">
        <v>2299</v>
      </c>
      <c r="K611" s="193" t="s">
        <v>386</v>
      </c>
      <c r="L611" s="193" t="s">
        <v>387</v>
      </c>
      <c r="M611" s="193" t="s">
        <v>378</v>
      </c>
      <c r="N611" s="193" t="s">
        <v>1497</v>
      </c>
      <c r="O611" s="193" t="s">
        <v>129</v>
      </c>
      <c r="P611" s="193" t="s">
        <v>138</v>
      </c>
      <c r="Q611" s="193" t="s">
        <v>137</v>
      </c>
      <c r="R611" s="193" t="s">
        <v>136</v>
      </c>
      <c r="S611" s="193" t="s">
        <v>214</v>
      </c>
      <c r="T611" s="193" t="s">
        <v>389</v>
      </c>
      <c r="U611" s="193" t="s">
        <v>390</v>
      </c>
      <c r="V611" s="193">
        <v>0</v>
      </c>
      <c r="W611" s="193">
        <v>0</v>
      </c>
      <c r="X611" s="193">
        <v>0</v>
      </c>
      <c r="Y611" s="194">
        <v>4800</v>
      </c>
      <c r="Z611" s="193" t="s">
        <v>515</v>
      </c>
      <c r="AA611" s="193" t="s">
        <v>516</v>
      </c>
      <c r="AB611" s="193">
        <v>4800</v>
      </c>
      <c r="AC611" s="193" t="s">
        <v>1500</v>
      </c>
      <c r="AD611" s="193" t="s">
        <v>136</v>
      </c>
      <c r="AE611" s="193">
        <v>4800</v>
      </c>
      <c r="AF611" s="193" t="s">
        <v>518</v>
      </c>
      <c r="AG611" s="193" t="s">
        <v>519</v>
      </c>
      <c r="AH611" s="193">
        <v>0</v>
      </c>
      <c r="AI611" s="193">
        <v>4800</v>
      </c>
      <c r="AJ611" s="193" t="s">
        <v>2300</v>
      </c>
      <c r="AL611" s="197" t="s">
        <v>2301</v>
      </c>
      <c r="AM611" s="193">
        <v>1</v>
      </c>
      <c r="AN611" s="193">
        <v>0</v>
      </c>
      <c r="AO611" s="193">
        <v>0</v>
      </c>
      <c r="AP611" s="193" t="s">
        <v>1524</v>
      </c>
      <c r="AQ611" s="193" t="s">
        <v>214</v>
      </c>
      <c r="AS611" s="197" t="s">
        <v>518</v>
      </c>
      <c r="AT611" s="197" t="s">
        <v>519</v>
      </c>
      <c r="AV611" s="196">
        <v>0</v>
      </c>
      <c r="AW611" s="196">
        <v>0</v>
      </c>
      <c r="AX611" s="196">
        <v>4800</v>
      </c>
      <c r="AY611" s="550">
        <v>4800</v>
      </c>
      <c r="AZ611" s="196">
        <v>0</v>
      </c>
      <c r="BA611" s="196">
        <v>0</v>
      </c>
      <c r="BB611" s="551">
        <v>0</v>
      </c>
      <c r="BC611" s="551">
        <v>4800</v>
      </c>
      <c r="BD611" s="551">
        <v>0</v>
      </c>
      <c r="BF611" s="550">
        <f t="shared" si="122"/>
        <v>0</v>
      </c>
      <c r="BG611" s="550">
        <f t="shared" si="123"/>
        <v>0</v>
      </c>
      <c r="BH611" s="550">
        <f t="shared" si="124"/>
        <v>4800</v>
      </c>
      <c r="BI611" s="550">
        <f t="shared" si="125"/>
        <v>4800</v>
      </c>
      <c r="BJ611" s="550">
        <f t="shared" si="126"/>
        <v>0</v>
      </c>
      <c r="BK611" s="550">
        <f t="shared" si="127"/>
        <v>0</v>
      </c>
      <c r="BL611" s="550">
        <f t="shared" si="128"/>
        <v>0</v>
      </c>
      <c r="BM611" s="550">
        <f t="shared" si="129"/>
        <v>4800</v>
      </c>
      <c r="BO611" s="194"/>
      <c r="BQ611" s="193">
        <f t="shared" si="130"/>
        <v>0</v>
      </c>
      <c r="BR611" s="193">
        <f t="shared" si="131"/>
        <v>0</v>
      </c>
    </row>
    <row r="612" spans="1:70" ht="13.5" customHeight="1">
      <c r="A612" s="193" t="s">
        <v>378</v>
      </c>
      <c r="B612" s="193" t="s">
        <v>379</v>
      </c>
      <c r="C612" s="193" t="s">
        <v>214</v>
      </c>
      <c r="D612" s="193" t="s">
        <v>1165</v>
      </c>
      <c r="E612" s="193" t="s">
        <v>1166</v>
      </c>
      <c r="F612" s="193" t="s">
        <v>1266</v>
      </c>
      <c r="G612" s="193" t="s">
        <v>1266</v>
      </c>
      <c r="H612" s="193" t="s">
        <v>2245</v>
      </c>
      <c r="I612" s="193" t="s">
        <v>512</v>
      </c>
      <c r="J612" s="193" t="s">
        <v>2308</v>
      </c>
      <c r="K612" s="193" t="s">
        <v>386</v>
      </c>
      <c r="L612" s="193" t="s">
        <v>387</v>
      </c>
      <c r="M612" s="193" t="s">
        <v>378</v>
      </c>
      <c r="N612" s="193" t="s">
        <v>1497</v>
      </c>
      <c r="O612" s="193" t="s">
        <v>129</v>
      </c>
      <c r="P612" s="193" t="s">
        <v>138</v>
      </c>
      <c r="Q612" s="193" t="s">
        <v>137</v>
      </c>
      <c r="R612" s="193" t="s">
        <v>136</v>
      </c>
      <c r="S612" s="193" t="s">
        <v>214</v>
      </c>
      <c r="T612" s="193" t="s">
        <v>389</v>
      </c>
      <c r="U612" s="193" t="s">
        <v>390</v>
      </c>
      <c r="V612" s="193">
        <v>0</v>
      </c>
      <c r="W612" s="193">
        <v>0</v>
      </c>
      <c r="X612" s="193">
        <v>0</v>
      </c>
      <c r="Y612" s="194">
        <v>11400</v>
      </c>
      <c r="Z612" s="193" t="s">
        <v>515</v>
      </c>
      <c r="AA612" s="193" t="s">
        <v>516</v>
      </c>
      <c r="AB612" s="193">
        <v>11400</v>
      </c>
      <c r="AC612" s="193" t="s">
        <v>1500</v>
      </c>
      <c r="AD612" s="193" t="s">
        <v>136</v>
      </c>
      <c r="AE612" s="193">
        <v>11400</v>
      </c>
      <c r="AF612" s="193" t="s">
        <v>518</v>
      </c>
      <c r="AG612" s="193" t="s">
        <v>519</v>
      </c>
      <c r="AH612" s="193">
        <v>0</v>
      </c>
      <c r="AI612" s="193">
        <v>11400</v>
      </c>
      <c r="AJ612" s="193" t="s">
        <v>2309</v>
      </c>
      <c r="AL612" s="197" t="s">
        <v>2310</v>
      </c>
      <c r="AM612" s="193">
        <v>1</v>
      </c>
      <c r="AN612" s="193">
        <v>0</v>
      </c>
      <c r="AO612" s="193">
        <v>0</v>
      </c>
      <c r="AP612" s="193" t="s">
        <v>1524</v>
      </c>
      <c r="AQ612" s="193" t="s">
        <v>214</v>
      </c>
      <c r="AS612" s="197" t="s">
        <v>518</v>
      </c>
      <c r="AT612" s="197" t="s">
        <v>519</v>
      </c>
      <c r="AV612" s="196">
        <v>0</v>
      </c>
      <c r="AW612" s="196">
        <v>0</v>
      </c>
      <c r="AX612" s="196">
        <v>11400</v>
      </c>
      <c r="AY612" s="550">
        <v>11400</v>
      </c>
      <c r="AZ612" s="196">
        <v>0</v>
      </c>
      <c r="BA612" s="196">
        <v>0</v>
      </c>
      <c r="BB612" s="551">
        <v>0</v>
      </c>
      <c r="BC612" s="551">
        <v>11400</v>
      </c>
      <c r="BD612" s="551">
        <v>0</v>
      </c>
      <c r="BF612" s="550">
        <f t="shared" si="122"/>
        <v>0</v>
      </c>
      <c r="BG612" s="550">
        <f t="shared" si="123"/>
        <v>0</v>
      </c>
      <c r="BH612" s="550">
        <f t="shared" si="124"/>
        <v>11400</v>
      </c>
      <c r="BI612" s="550">
        <f t="shared" si="125"/>
        <v>11400</v>
      </c>
      <c r="BJ612" s="550">
        <f t="shared" si="126"/>
        <v>0</v>
      </c>
      <c r="BK612" s="550">
        <f t="shared" si="127"/>
        <v>0</v>
      </c>
      <c r="BL612" s="550">
        <f t="shared" si="128"/>
        <v>0</v>
      </c>
      <c r="BM612" s="550">
        <f t="shared" si="129"/>
        <v>11400</v>
      </c>
      <c r="BO612" s="194"/>
      <c r="BQ612" s="193">
        <f t="shared" si="130"/>
        <v>0</v>
      </c>
      <c r="BR612" s="193">
        <f t="shared" si="131"/>
        <v>0</v>
      </c>
    </row>
    <row r="613" spans="1:70" ht="13.5" customHeight="1">
      <c r="A613" s="193" t="s">
        <v>378</v>
      </c>
      <c r="B613" s="193" t="s">
        <v>379</v>
      </c>
      <c r="C613" s="193" t="s">
        <v>214</v>
      </c>
      <c r="D613" s="193" t="s">
        <v>1165</v>
      </c>
      <c r="E613" s="193" t="s">
        <v>1166</v>
      </c>
      <c r="F613" s="193" t="s">
        <v>1143</v>
      </c>
      <c r="G613" s="193" t="s">
        <v>1143</v>
      </c>
      <c r="H613" s="193" t="s">
        <v>2245</v>
      </c>
      <c r="I613" s="193" t="s">
        <v>512</v>
      </c>
      <c r="J613" s="193" t="s">
        <v>2302</v>
      </c>
      <c r="K613" s="193" t="s">
        <v>386</v>
      </c>
      <c r="L613" s="193" t="s">
        <v>387</v>
      </c>
      <c r="M613" s="193" t="s">
        <v>378</v>
      </c>
      <c r="N613" s="193" t="s">
        <v>1497</v>
      </c>
      <c r="O613" s="193" t="s">
        <v>129</v>
      </c>
      <c r="P613" s="193" t="s">
        <v>138</v>
      </c>
      <c r="Q613" s="193" t="s">
        <v>137</v>
      </c>
      <c r="R613" s="193" t="s">
        <v>136</v>
      </c>
      <c r="S613" s="193" t="s">
        <v>214</v>
      </c>
      <c r="T613" s="193" t="s">
        <v>389</v>
      </c>
      <c r="U613" s="193" t="s">
        <v>390</v>
      </c>
      <c r="V613" s="193">
        <v>0</v>
      </c>
      <c r="W613" s="193">
        <v>0</v>
      </c>
      <c r="X613" s="193">
        <v>0</v>
      </c>
      <c r="Y613" s="194">
        <v>8900</v>
      </c>
      <c r="Z613" s="193" t="s">
        <v>515</v>
      </c>
      <c r="AA613" s="193" t="s">
        <v>516</v>
      </c>
      <c r="AB613" s="193">
        <v>8900</v>
      </c>
      <c r="AC613" s="193" t="s">
        <v>1500</v>
      </c>
      <c r="AD613" s="193" t="s">
        <v>136</v>
      </c>
      <c r="AE613" s="193">
        <v>8900</v>
      </c>
      <c r="AF613" s="193" t="s">
        <v>518</v>
      </c>
      <c r="AG613" s="193" t="s">
        <v>519</v>
      </c>
      <c r="AH613" s="193">
        <v>0</v>
      </c>
      <c r="AI613" s="193">
        <v>8900</v>
      </c>
      <c r="AJ613" s="193" t="s">
        <v>2270</v>
      </c>
      <c r="AL613" s="197" t="s">
        <v>2303</v>
      </c>
      <c r="AM613" s="193">
        <v>1</v>
      </c>
      <c r="AN613" s="193">
        <v>0</v>
      </c>
      <c r="AO613" s="193">
        <v>0</v>
      </c>
      <c r="AP613" s="193" t="s">
        <v>1524</v>
      </c>
      <c r="AQ613" s="193" t="s">
        <v>214</v>
      </c>
      <c r="AS613" s="197" t="s">
        <v>518</v>
      </c>
      <c r="AT613" s="197" t="s">
        <v>519</v>
      </c>
      <c r="AV613" s="196">
        <v>0</v>
      </c>
      <c r="AW613" s="196">
        <v>0</v>
      </c>
      <c r="AX613" s="196">
        <v>8900</v>
      </c>
      <c r="AY613" s="550">
        <v>8900</v>
      </c>
      <c r="AZ613" s="196">
        <v>0</v>
      </c>
      <c r="BA613" s="196">
        <v>0</v>
      </c>
      <c r="BB613" s="551">
        <v>0</v>
      </c>
      <c r="BC613" s="551">
        <v>8900</v>
      </c>
      <c r="BD613" s="551">
        <v>0</v>
      </c>
      <c r="BF613" s="550">
        <f t="shared" si="122"/>
        <v>0</v>
      </c>
      <c r="BG613" s="550">
        <f t="shared" si="123"/>
        <v>0</v>
      </c>
      <c r="BH613" s="550">
        <f t="shared" si="124"/>
        <v>8900</v>
      </c>
      <c r="BI613" s="550">
        <f t="shared" si="125"/>
        <v>8900</v>
      </c>
      <c r="BJ613" s="550">
        <f t="shared" si="126"/>
        <v>0</v>
      </c>
      <c r="BK613" s="550">
        <f t="shared" si="127"/>
        <v>0</v>
      </c>
      <c r="BL613" s="550">
        <f t="shared" si="128"/>
        <v>0</v>
      </c>
      <c r="BM613" s="550">
        <f t="shared" si="129"/>
        <v>8900</v>
      </c>
      <c r="BO613" s="194"/>
      <c r="BQ613" s="193">
        <f t="shared" si="130"/>
        <v>0</v>
      </c>
      <c r="BR613" s="193">
        <f t="shared" si="131"/>
        <v>0</v>
      </c>
    </row>
    <row r="614" spans="1:70" ht="13.5" customHeight="1">
      <c r="A614" s="193" t="s">
        <v>378</v>
      </c>
      <c r="B614" s="193" t="s">
        <v>379</v>
      </c>
      <c r="C614" s="193" t="s">
        <v>214</v>
      </c>
      <c r="D614" s="193" t="s">
        <v>1165</v>
      </c>
      <c r="E614" s="193" t="s">
        <v>1166</v>
      </c>
      <c r="F614" s="193" t="s">
        <v>1451</v>
      </c>
      <c r="G614" s="193" t="s">
        <v>1451</v>
      </c>
      <c r="H614" s="193" t="s">
        <v>2245</v>
      </c>
      <c r="I614" s="193" t="s">
        <v>512</v>
      </c>
      <c r="J614" s="193" t="s">
        <v>2331</v>
      </c>
      <c r="K614" s="193" t="s">
        <v>386</v>
      </c>
      <c r="L614" s="193" t="s">
        <v>387</v>
      </c>
      <c r="M614" s="193" t="s">
        <v>378</v>
      </c>
      <c r="N614" s="193" t="s">
        <v>1497</v>
      </c>
      <c r="O614" s="193" t="s">
        <v>129</v>
      </c>
      <c r="P614" s="193" t="s">
        <v>138</v>
      </c>
      <c r="Q614" s="193" t="s">
        <v>137</v>
      </c>
      <c r="R614" s="193" t="s">
        <v>136</v>
      </c>
      <c r="S614" s="193" t="s">
        <v>214</v>
      </c>
      <c r="T614" s="193" t="s">
        <v>389</v>
      </c>
      <c r="U614" s="193" t="s">
        <v>390</v>
      </c>
      <c r="V614" s="193">
        <v>0</v>
      </c>
      <c r="W614" s="193">
        <v>0</v>
      </c>
      <c r="X614" s="193">
        <v>0</v>
      </c>
      <c r="Y614" s="194">
        <v>5700</v>
      </c>
      <c r="Z614" s="193" t="s">
        <v>515</v>
      </c>
      <c r="AA614" s="193" t="s">
        <v>516</v>
      </c>
      <c r="AB614" s="193">
        <v>5700</v>
      </c>
      <c r="AC614" s="193" t="s">
        <v>1500</v>
      </c>
      <c r="AD614" s="193" t="s">
        <v>136</v>
      </c>
      <c r="AE614" s="193">
        <v>5700</v>
      </c>
      <c r="AF614" s="193" t="s">
        <v>518</v>
      </c>
      <c r="AG614" s="193" t="s">
        <v>519</v>
      </c>
      <c r="AH614" s="193">
        <v>0</v>
      </c>
      <c r="AI614" s="193">
        <v>5700</v>
      </c>
      <c r="AJ614" s="193" t="s">
        <v>2300</v>
      </c>
      <c r="AL614" s="197" t="s">
        <v>2332</v>
      </c>
      <c r="AM614" s="193">
        <v>1</v>
      </c>
      <c r="AN614" s="193">
        <v>0</v>
      </c>
      <c r="AO614" s="193">
        <v>0</v>
      </c>
      <c r="AP614" s="193" t="s">
        <v>1524</v>
      </c>
      <c r="AQ614" s="193" t="s">
        <v>214</v>
      </c>
      <c r="AS614" s="197" t="s">
        <v>518</v>
      </c>
      <c r="AT614" s="197" t="s">
        <v>519</v>
      </c>
      <c r="AV614" s="196">
        <v>0</v>
      </c>
      <c r="AW614" s="196">
        <v>0</v>
      </c>
      <c r="AX614" s="196">
        <v>5700</v>
      </c>
      <c r="AY614" s="550">
        <v>5700</v>
      </c>
      <c r="AZ614" s="196">
        <v>0</v>
      </c>
      <c r="BA614" s="196">
        <v>0</v>
      </c>
      <c r="BB614" s="551">
        <v>0</v>
      </c>
      <c r="BC614" s="551">
        <v>5700</v>
      </c>
      <c r="BD614" s="551">
        <v>0</v>
      </c>
      <c r="BF614" s="550">
        <f t="shared" si="122"/>
        <v>0</v>
      </c>
      <c r="BG614" s="550">
        <f t="shared" si="123"/>
        <v>0</v>
      </c>
      <c r="BH614" s="550">
        <f t="shared" si="124"/>
        <v>5700</v>
      </c>
      <c r="BI614" s="550">
        <f t="shared" si="125"/>
        <v>5700</v>
      </c>
      <c r="BJ614" s="550">
        <f t="shared" si="126"/>
        <v>0</v>
      </c>
      <c r="BK614" s="550">
        <f t="shared" si="127"/>
        <v>0</v>
      </c>
      <c r="BL614" s="550">
        <f t="shared" si="128"/>
        <v>0</v>
      </c>
      <c r="BM614" s="550">
        <f t="shared" si="129"/>
        <v>5700</v>
      </c>
      <c r="BO614" s="194"/>
      <c r="BQ614" s="193">
        <f t="shared" si="130"/>
        <v>0</v>
      </c>
      <c r="BR614" s="193">
        <f t="shared" si="131"/>
        <v>0</v>
      </c>
    </row>
    <row r="615" spans="1:70" ht="13.5" customHeight="1">
      <c r="A615" s="193" t="s">
        <v>378</v>
      </c>
      <c r="B615" s="193" t="s">
        <v>379</v>
      </c>
      <c r="C615" s="193" t="s">
        <v>214</v>
      </c>
      <c r="D615" s="193" t="s">
        <v>1165</v>
      </c>
      <c r="E615" s="193" t="s">
        <v>1166</v>
      </c>
      <c r="F615" s="193" t="s">
        <v>1609</v>
      </c>
      <c r="G615" s="193" t="s">
        <v>1609</v>
      </c>
      <c r="H615" s="193" t="s">
        <v>2245</v>
      </c>
      <c r="I615" s="193" t="s">
        <v>512</v>
      </c>
      <c r="J615" s="193" t="s">
        <v>2320</v>
      </c>
      <c r="K615" s="193" t="s">
        <v>386</v>
      </c>
      <c r="L615" s="193" t="s">
        <v>387</v>
      </c>
      <c r="M615" s="193" t="s">
        <v>378</v>
      </c>
      <c r="N615" s="193" t="s">
        <v>1497</v>
      </c>
      <c r="O615" s="193" t="s">
        <v>129</v>
      </c>
      <c r="P615" s="193" t="s">
        <v>138</v>
      </c>
      <c r="Q615" s="193" t="s">
        <v>137</v>
      </c>
      <c r="R615" s="193" t="s">
        <v>136</v>
      </c>
      <c r="S615" s="193" t="s">
        <v>214</v>
      </c>
      <c r="T615" s="193" t="s">
        <v>389</v>
      </c>
      <c r="U615" s="193" t="s">
        <v>390</v>
      </c>
      <c r="V615" s="193">
        <v>0</v>
      </c>
      <c r="W615" s="193">
        <v>0</v>
      </c>
      <c r="X615" s="193">
        <v>0</v>
      </c>
      <c r="Y615" s="194">
        <v>20500</v>
      </c>
      <c r="Z615" s="193" t="s">
        <v>515</v>
      </c>
      <c r="AA615" s="193" t="s">
        <v>516</v>
      </c>
      <c r="AB615" s="193">
        <v>20500</v>
      </c>
      <c r="AC615" s="193" t="s">
        <v>1500</v>
      </c>
      <c r="AD615" s="193" t="s">
        <v>136</v>
      </c>
      <c r="AE615" s="193">
        <v>20500</v>
      </c>
      <c r="AF615" s="193" t="s">
        <v>518</v>
      </c>
      <c r="AG615" s="193" t="s">
        <v>519</v>
      </c>
      <c r="AH615" s="193">
        <v>0</v>
      </c>
      <c r="AI615" s="193">
        <v>20500</v>
      </c>
      <c r="AJ615" s="193" t="s">
        <v>2254</v>
      </c>
      <c r="AL615" s="197" t="s">
        <v>2321</v>
      </c>
      <c r="AM615" s="193">
        <v>1</v>
      </c>
      <c r="AN615" s="193">
        <v>0</v>
      </c>
      <c r="AO615" s="193">
        <v>0</v>
      </c>
      <c r="AP615" s="193" t="s">
        <v>1524</v>
      </c>
      <c r="AQ615" s="193" t="s">
        <v>214</v>
      </c>
      <c r="AS615" s="197" t="s">
        <v>518</v>
      </c>
      <c r="AT615" s="197" t="s">
        <v>519</v>
      </c>
      <c r="AV615" s="196">
        <v>0</v>
      </c>
      <c r="AW615" s="196">
        <v>0</v>
      </c>
      <c r="AX615" s="196">
        <v>20500</v>
      </c>
      <c r="AY615" s="550">
        <v>20500</v>
      </c>
      <c r="AZ615" s="196">
        <v>0</v>
      </c>
      <c r="BA615" s="196">
        <v>0</v>
      </c>
      <c r="BB615" s="551">
        <v>0</v>
      </c>
      <c r="BC615" s="551">
        <v>20500</v>
      </c>
      <c r="BD615" s="551">
        <v>0</v>
      </c>
      <c r="BF615" s="550">
        <f t="shared" si="122"/>
        <v>0</v>
      </c>
      <c r="BG615" s="550">
        <f t="shared" si="123"/>
        <v>0</v>
      </c>
      <c r="BH615" s="550">
        <f t="shared" si="124"/>
        <v>20500</v>
      </c>
      <c r="BI615" s="550">
        <f t="shared" si="125"/>
        <v>20500</v>
      </c>
      <c r="BJ615" s="550">
        <f t="shared" si="126"/>
        <v>0</v>
      </c>
      <c r="BK615" s="550">
        <f t="shared" si="127"/>
        <v>0</v>
      </c>
      <c r="BL615" s="550">
        <f t="shared" si="128"/>
        <v>0</v>
      </c>
      <c r="BM615" s="550">
        <f t="shared" si="129"/>
        <v>20500</v>
      </c>
      <c r="BO615" s="194"/>
      <c r="BQ615" s="193">
        <f t="shared" si="130"/>
        <v>0</v>
      </c>
      <c r="BR615" s="193">
        <f t="shared" si="131"/>
        <v>0</v>
      </c>
    </row>
    <row r="616" spans="1:70" ht="13.5" customHeight="1">
      <c r="A616" s="193" t="s">
        <v>378</v>
      </c>
      <c r="B616" s="193" t="s">
        <v>379</v>
      </c>
      <c r="C616" s="193" t="s">
        <v>214</v>
      </c>
      <c r="D616" s="193" t="s">
        <v>1165</v>
      </c>
      <c r="E616" s="193" t="s">
        <v>1166</v>
      </c>
      <c r="F616" s="193" t="s">
        <v>1150</v>
      </c>
      <c r="G616" s="193" t="s">
        <v>1150</v>
      </c>
      <c r="H616" s="193" t="s">
        <v>2245</v>
      </c>
      <c r="I616" s="193" t="s">
        <v>512</v>
      </c>
      <c r="J616" s="193" t="s">
        <v>2326</v>
      </c>
      <c r="K616" s="193" t="s">
        <v>386</v>
      </c>
      <c r="L616" s="193" t="s">
        <v>387</v>
      </c>
      <c r="M616" s="193" t="s">
        <v>378</v>
      </c>
      <c r="N616" s="193" t="s">
        <v>1497</v>
      </c>
      <c r="O616" s="193" t="s">
        <v>129</v>
      </c>
      <c r="P616" s="193" t="s">
        <v>138</v>
      </c>
      <c r="Q616" s="193" t="s">
        <v>137</v>
      </c>
      <c r="R616" s="193" t="s">
        <v>136</v>
      </c>
      <c r="S616" s="193" t="s">
        <v>214</v>
      </c>
      <c r="T616" s="193" t="s">
        <v>389</v>
      </c>
      <c r="U616" s="193" t="s">
        <v>390</v>
      </c>
      <c r="V616" s="193">
        <v>0</v>
      </c>
      <c r="W616" s="193">
        <v>0</v>
      </c>
      <c r="X616" s="193">
        <v>0</v>
      </c>
      <c r="Y616" s="194">
        <v>16800</v>
      </c>
      <c r="Z616" s="193" t="s">
        <v>515</v>
      </c>
      <c r="AA616" s="193" t="s">
        <v>516</v>
      </c>
      <c r="AB616" s="193">
        <v>16800</v>
      </c>
      <c r="AC616" s="193" t="s">
        <v>1500</v>
      </c>
      <c r="AD616" s="193" t="s">
        <v>136</v>
      </c>
      <c r="AE616" s="193">
        <v>16800</v>
      </c>
      <c r="AF616" s="193" t="s">
        <v>518</v>
      </c>
      <c r="AG616" s="193" t="s">
        <v>519</v>
      </c>
      <c r="AH616" s="193">
        <v>0</v>
      </c>
      <c r="AI616" s="193">
        <v>16800</v>
      </c>
      <c r="AJ616" s="193" t="s">
        <v>2243</v>
      </c>
      <c r="AL616" s="197" t="s">
        <v>2327</v>
      </c>
      <c r="AM616" s="193">
        <v>1</v>
      </c>
      <c r="AN616" s="193">
        <v>0</v>
      </c>
      <c r="AO616" s="193">
        <v>0</v>
      </c>
      <c r="AP616" s="193" t="s">
        <v>1524</v>
      </c>
      <c r="AQ616" s="193" t="s">
        <v>214</v>
      </c>
      <c r="AS616" s="197" t="s">
        <v>518</v>
      </c>
      <c r="AT616" s="197" t="s">
        <v>519</v>
      </c>
      <c r="AV616" s="194">
        <v>0</v>
      </c>
      <c r="AW616" s="194">
        <v>0</v>
      </c>
      <c r="AX616" s="194">
        <v>16800</v>
      </c>
      <c r="AY616" s="549">
        <v>16800</v>
      </c>
      <c r="AZ616" s="194">
        <v>0</v>
      </c>
      <c r="BA616" s="194">
        <v>0</v>
      </c>
      <c r="BB616" s="551">
        <v>0</v>
      </c>
      <c r="BC616" s="551">
        <v>16800</v>
      </c>
      <c r="BD616" s="551">
        <v>0</v>
      </c>
      <c r="BF616" s="550">
        <f t="shared" si="122"/>
        <v>0</v>
      </c>
      <c r="BG616" s="550">
        <f t="shared" si="123"/>
        <v>0</v>
      </c>
      <c r="BH616" s="550">
        <f t="shared" si="124"/>
        <v>16800</v>
      </c>
      <c r="BI616" s="550">
        <f t="shared" si="125"/>
        <v>16800</v>
      </c>
      <c r="BJ616" s="550">
        <f t="shared" si="126"/>
        <v>0</v>
      </c>
      <c r="BK616" s="550">
        <f t="shared" si="127"/>
        <v>0</v>
      </c>
      <c r="BL616" s="550">
        <f t="shared" si="128"/>
        <v>0</v>
      </c>
      <c r="BM616" s="550">
        <f t="shared" si="129"/>
        <v>16800</v>
      </c>
      <c r="BO616" s="194"/>
      <c r="BQ616" s="193">
        <f t="shared" si="130"/>
        <v>0</v>
      </c>
      <c r="BR616" s="193">
        <f t="shared" si="131"/>
        <v>0</v>
      </c>
    </row>
    <row r="617" spans="1:70" ht="13.5" customHeight="1">
      <c r="A617" s="193" t="s">
        <v>378</v>
      </c>
      <c r="B617" s="193" t="s">
        <v>379</v>
      </c>
      <c r="C617" s="193" t="s">
        <v>214</v>
      </c>
      <c r="D617" s="193" t="s">
        <v>1165</v>
      </c>
      <c r="E617" s="193" t="s">
        <v>1166</v>
      </c>
      <c r="F617" s="193" t="s">
        <v>427</v>
      </c>
      <c r="G617" s="193" t="s">
        <v>427</v>
      </c>
      <c r="H617" s="193" t="s">
        <v>2245</v>
      </c>
      <c r="I617" s="193" t="s">
        <v>512</v>
      </c>
      <c r="J617" s="193" t="s">
        <v>2322</v>
      </c>
      <c r="K617" s="193" t="s">
        <v>386</v>
      </c>
      <c r="L617" s="193" t="s">
        <v>387</v>
      </c>
      <c r="M617" s="193" t="s">
        <v>378</v>
      </c>
      <c r="N617" s="193" t="s">
        <v>1497</v>
      </c>
      <c r="O617" s="193" t="s">
        <v>129</v>
      </c>
      <c r="P617" s="193" t="s">
        <v>138</v>
      </c>
      <c r="Q617" s="193" t="s">
        <v>137</v>
      </c>
      <c r="R617" s="193" t="s">
        <v>136</v>
      </c>
      <c r="S617" s="193" t="s">
        <v>214</v>
      </c>
      <c r="T617" s="193" t="s">
        <v>389</v>
      </c>
      <c r="U617" s="193" t="s">
        <v>390</v>
      </c>
      <c r="V617" s="193">
        <v>0</v>
      </c>
      <c r="W617" s="193">
        <v>0</v>
      </c>
      <c r="X617" s="193">
        <v>0</v>
      </c>
      <c r="Y617" s="194">
        <v>33000</v>
      </c>
      <c r="Z617" s="193" t="s">
        <v>515</v>
      </c>
      <c r="AA617" s="193" t="s">
        <v>516</v>
      </c>
      <c r="AB617" s="193">
        <v>33000</v>
      </c>
      <c r="AC617" s="193" t="s">
        <v>1500</v>
      </c>
      <c r="AD617" s="193" t="s">
        <v>136</v>
      </c>
      <c r="AE617" s="193">
        <v>33000</v>
      </c>
      <c r="AF617" s="193" t="s">
        <v>518</v>
      </c>
      <c r="AG617" s="193" t="s">
        <v>519</v>
      </c>
      <c r="AH617" s="193">
        <v>0</v>
      </c>
      <c r="AI617" s="193">
        <v>33000</v>
      </c>
      <c r="AJ617" s="193" t="s">
        <v>2263</v>
      </c>
      <c r="AL617" s="197" t="s">
        <v>2323</v>
      </c>
      <c r="AM617" s="193">
        <v>1</v>
      </c>
      <c r="AN617" s="193">
        <v>0</v>
      </c>
      <c r="AO617" s="193">
        <v>0</v>
      </c>
      <c r="AP617" s="193" t="s">
        <v>1524</v>
      </c>
      <c r="AQ617" s="193" t="s">
        <v>214</v>
      </c>
      <c r="AS617" s="197" t="s">
        <v>518</v>
      </c>
      <c r="AT617" s="197" t="s">
        <v>519</v>
      </c>
      <c r="AV617" s="194">
        <v>0</v>
      </c>
      <c r="AW617" s="194">
        <v>0</v>
      </c>
      <c r="AX617" s="194">
        <v>33000</v>
      </c>
      <c r="AY617" s="549">
        <v>33000</v>
      </c>
      <c r="AZ617" s="194">
        <v>0</v>
      </c>
      <c r="BA617" s="194">
        <v>0</v>
      </c>
      <c r="BB617" s="551">
        <v>0</v>
      </c>
      <c r="BC617" s="551">
        <v>33000</v>
      </c>
      <c r="BD617" s="551">
        <v>0</v>
      </c>
      <c r="BF617" s="550">
        <f t="shared" si="122"/>
        <v>0</v>
      </c>
      <c r="BG617" s="550">
        <f t="shared" si="123"/>
        <v>0</v>
      </c>
      <c r="BH617" s="550">
        <f t="shared" si="124"/>
        <v>33000</v>
      </c>
      <c r="BI617" s="550">
        <f t="shared" si="125"/>
        <v>33000</v>
      </c>
      <c r="BJ617" s="550">
        <f t="shared" si="126"/>
        <v>0</v>
      </c>
      <c r="BK617" s="550">
        <f t="shared" si="127"/>
        <v>0</v>
      </c>
      <c r="BL617" s="550">
        <f t="shared" si="128"/>
        <v>0</v>
      </c>
      <c r="BM617" s="550">
        <f t="shared" si="129"/>
        <v>33000</v>
      </c>
      <c r="BO617" s="194"/>
      <c r="BQ617" s="193">
        <f t="shared" si="130"/>
        <v>0</v>
      </c>
      <c r="BR617" s="193">
        <f t="shared" si="131"/>
        <v>0</v>
      </c>
    </row>
    <row r="618" spans="1:70" ht="13.5" customHeight="1">
      <c r="A618" s="193" t="s">
        <v>378</v>
      </c>
      <c r="B618" s="193" t="s">
        <v>379</v>
      </c>
      <c r="C618" s="193" t="s">
        <v>214</v>
      </c>
      <c r="D618" s="193" t="s">
        <v>1165</v>
      </c>
      <c r="E618" s="193" t="s">
        <v>1166</v>
      </c>
      <c r="F618" s="193" t="s">
        <v>911</v>
      </c>
      <c r="G618" s="193" t="s">
        <v>911</v>
      </c>
      <c r="H618" s="193" t="s">
        <v>2245</v>
      </c>
      <c r="I618" s="193" t="s">
        <v>512</v>
      </c>
      <c r="J618" s="193" t="s">
        <v>2324</v>
      </c>
      <c r="K618" s="193" t="s">
        <v>386</v>
      </c>
      <c r="L618" s="193" t="s">
        <v>387</v>
      </c>
      <c r="M618" s="193" t="s">
        <v>378</v>
      </c>
      <c r="N618" s="193" t="s">
        <v>1497</v>
      </c>
      <c r="O618" s="193" t="s">
        <v>129</v>
      </c>
      <c r="P618" s="193" t="s">
        <v>138</v>
      </c>
      <c r="Q618" s="193" t="s">
        <v>137</v>
      </c>
      <c r="R618" s="193" t="s">
        <v>136</v>
      </c>
      <c r="S618" s="193" t="s">
        <v>214</v>
      </c>
      <c r="T618" s="193" t="s">
        <v>389</v>
      </c>
      <c r="U618" s="193" t="s">
        <v>390</v>
      </c>
      <c r="V618" s="193">
        <v>0</v>
      </c>
      <c r="W618" s="193">
        <v>0</v>
      </c>
      <c r="X618" s="193">
        <v>0</v>
      </c>
      <c r="Y618" s="194">
        <v>5300</v>
      </c>
      <c r="Z618" s="193" t="s">
        <v>515</v>
      </c>
      <c r="AA618" s="193" t="s">
        <v>516</v>
      </c>
      <c r="AB618" s="193">
        <v>5300</v>
      </c>
      <c r="AC618" s="193" t="s">
        <v>1500</v>
      </c>
      <c r="AD618" s="193" t="s">
        <v>136</v>
      </c>
      <c r="AE618" s="193">
        <v>5300</v>
      </c>
      <c r="AF618" s="193" t="s">
        <v>518</v>
      </c>
      <c r="AG618" s="193" t="s">
        <v>519</v>
      </c>
      <c r="AH618" s="193">
        <v>0</v>
      </c>
      <c r="AI618" s="193">
        <v>5300</v>
      </c>
      <c r="AJ618" s="193" t="s">
        <v>2266</v>
      </c>
      <c r="AL618" s="197" t="s">
        <v>2325</v>
      </c>
      <c r="AM618" s="193">
        <v>1</v>
      </c>
      <c r="AN618" s="193">
        <v>0</v>
      </c>
      <c r="AO618" s="193">
        <v>0</v>
      </c>
      <c r="AP618" s="193" t="s">
        <v>1524</v>
      </c>
      <c r="AQ618" s="193" t="s">
        <v>214</v>
      </c>
      <c r="AS618" s="197" t="s">
        <v>518</v>
      </c>
      <c r="AT618" s="197" t="s">
        <v>519</v>
      </c>
      <c r="AV618" s="194">
        <v>0</v>
      </c>
      <c r="AW618" s="194">
        <v>0</v>
      </c>
      <c r="AX618" s="194">
        <v>5300</v>
      </c>
      <c r="AY618" s="549">
        <v>5300</v>
      </c>
      <c r="AZ618" s="194">
        <v>0</v>
      </c>
      <c r="BA618" s="194">
        <v>0</v>
      </c>
      <c r="BB618" s="551">
        <v>0</v>
      </c>
      <c r="BC618" s="551">
        <v>5300</v>
      </c>
      <c r="BD618" s="551">
        <v>0</v>
      </c>
      <c r="BF618" s="550">
        <f t="shared" si="122"/>
        <v>0</v>
      </c>
      <c r="BG618" s="550">
        <f t="shared" si="123"/>
        <v>0</v>
      </c>
      <c r="BH618" s="550">
        <f t="shared" si="124"/>
        <v>5300</v>
      </c>
      <c r="BI618" s="550">
        <f t="shared" si="125"/>
        <v>5300</v>
      </c>
      <c r="BJ618" s="550">
        <f t="shared" si="126"/>
        <v>0</v>
      </c>
      <c r="BK618" s="550">
        <f t="shared" si="127"/>
        <v>0</v>
      </c>
      <c r="BL618" s="550">
        <f t="shared" si="128"/>
        <v>0</v>
      </c>
      <c r="BM618" s="550">
        <f t="shared" si="129"/>
        <v>5300</v>
      </c>
      <c r="BO618" s="194"/>
      <c r="BQ618" s="193">
        <f t="shared" si="130"/>
        <v>0</v>
      </c>
      <c r="BR618" s="193">
        <f t="shared" si="131"/>
        <v>0</v>
      </c>
    </row>
    <row r="619" spans="1:70" ht="13.5" customHeight="1">
      <c r="A619" s="193" t="s">
        <v>378</v>
      </c>
      <c r="B619" s="193" t="s">
        <v>379</v>
      </c>
      <c r="C619" s="193" t="s">
        <v>214</v>
      </c>
      <c r="D619" s="193" t="s">
        <v>1165</v>
      </c>
      <c r="E619" s="193" t="s">
        <v>1166</v>
      </c>
      <c r="F619" s="193" t="s">
        <v>1487</v>
      </c>
      <c r="G619" s="193" t="s">
        <v>1487</v>
      </c>
      <c r="H619" s="193" t="s">
        <v>2245</v>
      </c>
      <c r="I619" s="193" t="s">
        <v>512</v>
      </c>
      <c r="J619" s="193" t="s">
        <v>2336</v>
      </c>
      <c r="K619" s="193" t="s">
        <v>386</v>
      </c>
      <c r="L619" s="193" t="s">
        <v>387</v>
      </c>
      <c r="M619" s="193" t="s">
        <v>378</v>
      </c>
      <c r="N619" s="193" t="s">
        <v>1497</v>
      </c>
      <c r="O619" s="193" t="s">
        <v>129</v>
      </c>
      <c r="P619" s="193" t="s">
        <v>138</v>
      </c>
      <c r="Q619" s="193" t="s">
        <v>137</v>
      </c>
      <c r="R619" s="193" t="s">
        <v>136</v>
      </c>
      <c r="S619" s="193" t="s">
        <v>214</v>
      </c>
      <c r="T619" s="193" t="s">
        <v>389</v>
      </c>
      <c r="U619" s="193" t="s">
        <v>390</v>
      </c>
      <c r="V619" s="193">
        <v>0</v>
      </c>
      <c r="W619" s="193">
        <v>0</v>
      </c>
      <c r="X619" s="193">
        <v>0</v>
      </c>
      <c r="Y619" s="194">
        <v>16800</v>
      </c>
      <c r="Z619" s="193" t="s">
        <v>515</v>
      </c>
      <c r="AA619" s="193" t="s">
        <v>516</v>
      </c>
      <c r="AB619" s="193">
        <v>16800</v>
      </c>
      <c r="AC619" s="193" t="s">
        <v>1500</v>
      </c>
      <c r="AD619" s="193" t="s">
        <v>136</v>
      </c>
      <c r="AE619" s="193">
        <v>16800</v>
      </c>
      <c r="AF619" s="193" t="s">
        <v>518</v>
      </c>
      <c r="AG619" s="193" t="s">
        <v>519</v>
      </c>
      <c r="AH619" s="193">
        <v>0</v>
      </c>
      <c r="AI619" s="193">
        <v>16800</v>
      </c>
      <c r="AJ619" s="193" t="s">
        <v>2243</v>
      </c>
      <c r="AL619" s="197" t="s">
        <v>2337</v>
      </c>
      <c r="AM619" s="193">
        <v>1</v>
      </c>
      <c r="AN619" s="193">
        <v>0</v>
      </c>
      <c r="AO619" s="193">
        <v>0</v>
      </c>
      <c r="AP619" s="193" t="s">
        <v>1524</v>
      </c>
      <c r="AQ619" s="193" t="s">
        <v>214</v>
      </c>
      <c r="AS619" s="197" t="s">
        <v>518</v>
      </c>
      <c r="AT619" s="197" t="s">
        <v>519</v>
      </c>
      <c r="AV619" s="194">
        <v>0</v>
      </c>
      <c r="AW619" s="194">
        <v>0</v>
      </c>
      <c r="AX619" s="194">
        <v>16800</v>
      </c>
      <c r="AY619" s="549">
        <v>16800</v>
      </c>
      <c r="AZ619" s="194">
        <v>0</v>
      </c>
      <c r="BA619" s="194">
        <v>0</v>
      </c>
      <c r="BB619" s="551">
        <v>0</v>
      </c>
      <c r="BC619" s="551">
        <v>16800</v>
      </c>
      <c r="BD619" s="551">
        <v>0</v>
      </c>
      <c r="BF619" s="550">
        <f t="shared" si="122"/>
        <v>0</v>
      </c>
      <c r="BG619" s="550">
        <f t="shared" si="123"/>
        <v>0</v>
      </c>
      <c r="BH619" s="550">
        <f t="shared" si="124"/>
        <v>16800</v>
      </c>
      <c r="BI619" s="550">
        <f t="shared" si="125"/>
        <v>16800</v>
      </c>
      <c r="BJ619" s="550">
        <f t="shared" si="126"/>
        <v>0</v>
      </c>
      <c r="BK619" s="550">
        <f t="shared" si="127"/>
        <v>0</v>
      </c>
      <c r="BL619" s="550">
        <f t="shared" si="128"/>
        <v>0</v>
      </c>
      <c r="BM619" s="550">
        <f t="shared" si="129"/>
        <v>16800</v>
      </c>
      <c r="BO619" s="194"/>
      <c r="BQ619" s="193">
        <f t="shared" si="130"/>
        <v>0</v>
      </c>
      <c r="BR619" s="193">
        <f t="shared" si="131"/>
        <v>0</v>
      </c>
    </row>
    <row r="620" spans="1:70" ht="13.5" customHeight="1">
      <c r="A620" s="193" t="s">
        <v>378</v>
      </c>
      <c r="B620" s="193" t="s">
        <v>379</v>
      </c>
      <c r="C620" s="193" t="s">
        <v>214</v>
      </c>
      <c r="D620" s="193" t="s">
        <v>1165</v>
      </c>
      <c r="E620" s="193" t="s">
        <v>1166</v>
      </c>
      <c r="F620" s="193" t="s">
        <v>1174</v>
      </c>
      <c r="G620" s="193" t="s">
        <v>1174</v>
      </c>
      <c r="H620" s="193" t="s">
        <v>2245</v>
      </c>
      <c r="I620" s="193" t="s">
        <v>512</v>
      </c>
      <c r="J620" s="193" t="s">
        <v>2338</v>
      </c>
      <c r="K620" s="193" t="s">
        <v>386</v>
      </c>
      <c r="L620" s="193" t="s">
        <v>387</v>
      </c>
      <c r="M620" s="193" t="s">
        <v>378</v>
      </c>
      <c r="N620" s="193" t="s">
        <v>1497</v>
      </c>
      <c r="O620" s="193" t="s">
        <v>129</v>
      </c>
      <c r="P620" s="193" t="s">
        <v>138</v>
      </c>
      <c r="Q620" s="193" t="s">
        <v>137</v>
      </c>
      <c r="R620" s="193" t="s">
        <v>136</v>
      </c>
      <c r="S620" s="193" t="s">
        <v>214</v>
      </c>
      <c r="T620" s="193" t="s">
        <v>389</v>
      </c>
      <c r="U620" s="193" t="s">
        <v>390</v>
      </c>
      <c r="V620" s="193">
        <v>0</v>
      </c>
      <c r="W620" s="193">
        <v>0</v>
      </c>
      <c r="X620" s="193">
        <v>0</v>
      </c>
      <c r="Y620" s="194">
        <v>12500</v>
      </c>
      <c r="Z620" s="193" t="s">
        <v>515</v>
      </c>
      <c r="AA620" s="193" t="s">
        <v>516</v>
      </c>
      <c r="AB620" s="193">
        <v>12500</v>
      </c>
      <c r="AC620" s="193" t="s">
        <v>1500</v>
      </c>
      <c r="AD620" s="193" t="s">
        <v>136</v>
      </c>
      <c r="AE620" s="193">
        <v>12500</v>
      </c>
      <c r="AF620" s="193" t="s">
        <v>518</v>
      </c>
      <c r="AG620" s="193" t="s">
        <v>519</v>
      </c>
      <c r="AH620" s="193">
        <v>0</v>
      </c>
      <c r="AI620" s="193">
        <v>12500</v>
      </c>
      <c r="AJ620" s="193" t="s">
        <v>2285</v>
      </c>
      <c r="AL620" s="197" t="s">
        <v>2339</v>
      </c>
      <c r="AM620" s="193">
        <v>1</v>
      </c>
      <c r="AN620" s="193">
        <v>0</v>
      </c>
      <c r="AO620" s="193">
        <v>0</v>
      </c>
      <c r="AP620" s="193" t="s">
        <v>1524</v>
      </c>
      <c r="AQ620" s="193" t="s">
        <v>214</v>
      </c>
      <c r="AS620" s="197" t="s">
        <v>518</v>
      </c>
      <c r="AT620" s="197" t="s">
        <v>519</v>
      </c>
      <c r="AV620" s="194">
        <v>0</v>
      </c>
      <c r="AW620" s="194">
        <v>0</v>
      </c>
      <c r="AX620" s="194">
        <v>12500</v>
      </c>
      <c r="AY620" s="549">
        <v>12500</v>
      </c>
      <c r="AZ620" s="194">
        <v>0</v>
      </c>
      <c r="BA620" s="194">
        <v>0</v>
      </c>
      <c r="BB620" s="551">
        <v>0</v>
      </c>
      <c r="BC620" s="551">
        <v>12500</v>
      </c>
      <c r="BD620" s="551">
        <v>0</v>
      </c>
      <c r="BF620" s="550">
        <f t="shared" si="122"/>
        <v>0</v>
      </c>
      <c r="BG620" s="550">
        <f t="shared" si="123"/>
        <v>0</v>
      </c>
      <c r="BH620" s="550">
        <f t="shared" si="124"/>
        <v>12500</v>
      </c>
      <c r="BI620" s="550">
        <f t="shared" si="125"/>
        <v>12500</v>
      </c>
      <c r="BJ620" s="550">
        <f t="shared" si="126"/>
        <v>0</v>
      </c>
      <c r="BK620" s="550">
        <f t="shared" si="127"/>
        <v>0</v>
      </c>
      <c r="BL620" s="550">
        <f t="shared" si="128"/>
        <v>0</v>
      </c>
      <c r="BM620" s="550">
        <f t="shared" si="129"/>
        <v>12500</v>
      </c>
      <c r="BO620" s="194"/>
      <c r="BQ620" s="193">
        <f t="shared" si="130"/>
        <v>0</v>
      </c>
      <c r="BR620" s="193">
        <f t="shared" si="131"/>
        <v>0</v>
      </c>
    </row>
    <row r="621" spans="1:70" ht="13.5" customHeight="1">
      <c r="A621" s="193" t="s">
        <v>378</v>
      </c>
      <c r="B621" s="193" t="s">
        <v>379</v>
      </c>
      <c r="C621" s="193" t="s">
        <v>214</v>
      </c>
      <c r="D621" s="193" t="s">
        <v>1165</v>
      </c>
      <c r="E621" s="193" t="s">
        <v>1166</v>
      </c>
      <c r="F621" s="193" t="s">
        <v>2333</v>
      </c>
      <c r="G621" s="193" t="s">
        <v>2333</v>
      </c>
      <c r="H621" s="193" t="s">
        <v>2245</v>
      </c>
      <c r="I621" s="193" t="s">
        <v>512</v>
      </c>
      <c r="J621" s="193" t="s">
        <v>2334</v>
      </c>
      <c r="K621" s="193" t="s">
        <v>386</v>
      </c>
      <c r="L621" s="193" t="s">
        <v>387</v>
      </c>
      <c r="M621" s="193" t="s">
        <v>378</v>
      </c>
      <c r="N621" s="193" t="s">
        <v>1497</v>
      </c>
      <c r="O621" s="193" t="s">
        <v>129</v>
      </c>
      <c r="P621" s="193" t="s">
        <v>138</v>
      </c>
      <c r="Q621" s="193" t="s">
        <v>137</v>
      </c>
      <c r="R621" s="193" t="s">
        <v>136</v>
      </c>
      <c r="S621" s="193" t="s">
        <v>214</v>
      </c>
      <c r="T621" s="193" t="s">
        <v>389</v>
      </c>
      <c r="U621" s="193" t="s">
        <v>390</v>
      </c>
      <c r="V621" s="193">
        <v>0</v>
      </c>
      <c r="W621" s="193">
        <v>0</v>
      </c>
      <c r="X621" s="193">
        <v>0</v>
      </c>
      <c r="Y621" s="194">
        <v>10900</v>
      </c>
      <c r="Z621" s="193" t="s">
        <v>515</v>
      </c>
      <c r="AA621" s="193" t="s">
        <v>516</v>
      </c>
      <c r="AB621" s="193">
        <v>10900</v>
      </c>
      <c r="AC621" s="193" t="s">
        <v>1500</v>
      </c>
      <c r="AD621" s="193" t="s">
        <v>136</v>
      </c>
      <c r="AE621" s="193">
        <v>10900</v>
      </c>
      <c r="AF621" s="193" t="s">
        <v>518</v>
      </c>
      <c r="AG621" s="193" t="s">
        <v>519</v>
      </c>
      <c r="AH621" s="193">
        <v>0</v>
      </c>
      <c r="AI621" s="193">
        <v>10900</v>
      </c>
      <c r="AJ621" s="193" t="s">
        <v>2288</v>
      </c>
      <c r="AL621" s="197" t="s">
        <v>2335</v>
      </c>
      <c r="AM621" s="193">
        <v>1</v>
      </c>
      <c r="AN621" s="193">
        <v>0</v>
      </c>
      <c r="AO621" s="193">
        <v>0</v>
      </c>
      <c r="AP621" s="193" t="s">
        <v>1524</v>
      </c>
      <c r="AQ621" s="193" t="s">
        <v>214</v>
      </c>
      <c r="AS621" s="197" t="s">
        <v>518</v>
      </c>
      <c r="AT621" s="197" t="s">
        <v>519</v>
      </c>
      <c r="AV621" s="194">
        <v>0</v>
      </c>
      <c r="AW621" s="194">
        <v>0</v>
      </c>
      <c r="AX621" s="194">
        <v>10900</v>
      </c>
      <c r="AY621" s="549">
        <v>10900</v>
      </c>
      <c r="AZ621" s="194">
        <v>0</v>
      </c>
      <c r="BA621" s="194">
        <v>0</v>
      </c>
      <c r="BB621" s="551">
        <v>0</v>
      </c>
      <c r="BC621" s="551">
        <v>10900</v>
      </c>
      <c r="BD621" s="551">
        <v>0</v>
      </c>
      <c r="BF621" s="550">
        <f t="shared" si="122"/>
        <v>0</v>
      </c>
      <c r="BG621" s="550">
        <f t="shared" si="123"/>
        <v>0</v>
      </c>
      <c r="BH621" s="550">
        <f t="shared" si="124"/>
        <v>10900</v>
      </c>
      <c r="BI621" s="550">
        <f t="shared" si="125"/>
        <v>10900</v>
      </c>
      <c r="BJ621" s="550">
        <f t="shared" si="126"/>
        <v>0</v>
      </c>
      <c r="BK621" s="550">
        <f t="shared" si="127"/>
        <v>0</v>
      </c>
      <c r="BL621" s="550">
        <f t="shared" si="128"/>
        <v>0</v>
      </c>
      <c r="BM621" s="550">
        <f t="shared" si="129"/>
        <v>10900</v>
      </c>
      <c r="BO621" s="194"/>
      <c r="BQ621" s="193">
        <f t="shared" si="130"/>
        <v>0</v>
      </c>
      <c r="BR621" s="193">
        <f t="shared" si="131"/>
        <v>0</v>
      </c>
    </row>
    <row r="622" spans="1:70" ht="13.5" customHeight="1">
      <c r="A622" s="193" t="s">
        <v>378</v>
      </c>
      <c r="B622" s="193" t="s">
        <v>379</v>
      </c>
      <c r="C622" s="193" t="s">
        <v>214</v>
      </c>
      <c r="D622" s="193" t="s">
        <v>1165</v>
      </c>
      <c r="E622" s="193" t="s">
        <v>1166</v>
      </c>
      <c r="F622" s="193" t="s">
        <v>2328</v>
      </c>
      <c r="G622" s="193" t="s">
        <v>2328</v>
      </c>
      <c r="H622" s="193" t="s">
        <v>2245</v>
      </c>
      <c r="I622" s="193" t="s">
        <v>512</v>
      </c>
      <c r="J622" s="193" t="s">
        <v>2329</v>
      </c>
      <c r="K622" s="193" t="s">
        <v>386</v>
      </c>
      <c r="L622" s="193" t="s">
        <v>387</v>
      </c>
      <c r="M622" s="193" t="s">
        <v>378</v>
      </c>
      <c r="N622" s="193" t="s">
        <v>1497</v>
      </c>
      <c r="O622" s="193" t="s">
        <v>129</v>
      </c>
      <c r="P622" s="193" t="s">
        <v>138</v>
      </c>
      <c r="Q622" s="193" t="s">
        <v>137</v>
      </c>
      <c r="R622" s="193" t="s">
        <v>136</v>
      </c>
      <c r="S622" s="193" t="s">
        <v>214</v>
      </c>
      <c r="T622" s="193" t="s">
        <v>389</v>
      </c>
      <c r="U622" s="193" t="s">
        <v>390</v>
      </c>
      <c r="V622" s="193">
        <v>0</v>
      </c>
      <c r="W622" s="193">
        <v>0</v>
      </c>
      <c r="X622" s="193">
        <v>0</v>
      </c>
      <c r="Y622" s="194">
        <v>8900</v>
      </c>
      <c r="Z622" s="193" t="s">
        <v>515</v>
      </c>
      <c r="AA622" s="193" t="s">
        <v>516</v>
      </c>
      <c r="AB622" s="193">
        <v>8900</v>
      </c>
      <c r="AC622" s="193" t="s">
        <v>1500</v>
      </c>
      <c r="AD622" s="193" t="s">
        <v>136</v>
      </c>
      <c r="AE622" s="193">
        <v>8900</v>
      </c>
      <c r="AF622" s="193" t="s">
        <v>518</v>
      </c>
      <c r="AG622" s="193" t="s">
        <v>519</v>
      </c>
      <c r="AH622" s="193">
        <v>0</v>
      </c>
      <c r="AI622" s="193">
        <v>8900</v>
      </c>
      <c r="AJ622" s="193" t="s">
        <v>2270</v>
      </c>
      <c r="AL622" s="197" t="s">
        <v>2330</v>
      </c>
      <c r="AM622" s="193">
        <v>1</v>
      </c>
      <c r="AN622" s="193">
        <v>0</v>
      </c>
      <c r="AO622" s="193">
        <v>0</v>
      </c>
      <c r="AP622" s="193" t="s">
        <v>1524</v>
      </c>
      <c r="AQ622" s="193" t="s">
        <v>214</v>
      </c>
      <c r="AS622" s="197" t="s">
        <v>518</v>
      </c>
      <c r="AT622" s="197" t="s">
        <v>519</v>
      </c>
      <c r="AV622" s="194">
        <v>0</v>
      </c>
      <c r="AW622" s="194">
        <v>0</v>
      </c>
      <c r="AX622" s="194">
        <v>8900</v>
      </c>
      <c r="AY622" s="549">
        <v>8900</v>
      </c>
      <c r="AZ622" s="194">
        <v>0</v>
      </c>
      <c r="BA622" s="194">
        <v>0</v>
      </c>
      <c r="BB622" s="551">
        <v>0</v>
      </c>
      <c r="BC622" s="551">
        <v>8900</v>
      </c>
      <c r="BD622" s="551">
        <v>0</v>
      </c>
      <c r="BF622" s="550">
        <f t="shared" si="122"/>
        <v>0</v>
      </c>
      <c r="BG622" s="550">
        <f t="shared" si="123"/>
        <v>0</v>
      </c>
      <c r="BH622" s="550">
        <f t="shared" si="124"/>
        <v>8900</v>
      </c>
      <c r="BI622" s="550">
        <f t="shared" si="125"/>
        <v>8900</v>
      </c>
      <c r="BJ622" s="550">
        <f t="shared" si="126"/>
        <v>0</v>
      </c>
      <c r="BK622" s="550">
        <f t="shared" si="127"/>
        <v>0</v>
      </c>
      <c r="BL622" s="550">
        <f t="shared" si="128"/>
        <v>0</v>
      </c>
      <c r="BM622" s="550">
        <f t="shared" si="129"/>
        <v>8900</v>
      </c>
      <c r="BO622" s="194"/>
      <c r="BQ622" s="193">
        <f t="shared" si="130"/>
        <v>0</v>
      </c>
      <c r="BR622" s="193">
        <f t="shared" si="131"/>
        <v>0</v>
      </c>
    </row>
    <row r="623" spans="1:70" ht="13.5" customHeight="1">
      <c r="A623" s="193" t="s">
        <v>378</v>
      </c>
      <c r="B623" s="193" t="s">
        <v>379</v>
      </c>
      <c r="C623" s="193" t="s">
        <v>214</v>
      </c>
      <c r="D623" s="193" t="s">
        <v>1165</v>
      </c>
      <c r="E623" s="193" t="s">
        <v>1166</v>
      </c>
      <c r="F623" s="193" t="s">
        <v>902</v>
      </c>
      <c r="G623" s="193" t="s">
        <v>902</v>
      </c>
      <c r="H623" s="193" t="s">
        <v>2245</v>
      </c>
      <c r="I623" s="193" t="s">
        <v>512</v>
      </c>
      <c r="J623" s="193" t="s">
        <v>2318</v>
      </c>
      <c r="K623" s="193" t="s">
        <v>386</v>
      </c>
      <c r="L623" s="193" t="s">
        <v>387</v>
      </c>
      <c r="M623" s="193" t="s">
        <v>378</v>
      </c>
      <c r="N623" s="193" t="s">
        <v>1497</v>
      </c>
      <c r="O623" s="193" t="s">
        <v>129</v>
      </c>
      <c r="P623" s="193" t="s">
        <v>138</v>
      </c>
      <c r="Q623" s="193" t="s">
        <v>137</v>
      </c>
      <c r="R623" s="193" t="s">
        <v>136</v>
      </c>
      <c r="S623" s="193" t="s">
        <v>214</v>
      </c>
      <c r="T623" s="193" t="s">
        <v>389</v>
      </c>
      <c r="U623" s="193" t="s">
        <v>390</v>
      </c>
      <c r="V623" s="193">
        <v>0</v>
      </c>
      <c r="W623" s="193">
        <v>0</v>
      </c>
      <c r="X623" s="193">
        <v>0</v>
      </c>
      <c r="Y623" s="194">
        <v>8800</v>
      </c>
      <c r="Z623" s="193" t="s">
        <v>515</v>
      </c>
      <c r="AA623" s="193" t="s">
        <v>516</v>
      </c>
      <c r="AB623" s="193">
        <v>8800</v>
      </c>
      <c r="AC623" s="193" t="s">
        <v>1500</v>
      </c>
      <c r="AD623" s="193" t="s">
        <v>136</v>
      </c>
      <c r="AE623" s="193">
        <v>8800</v>
      </c>
      <c r="AF623" s="193" t="s">
        <v>518</v>
      </c>
      <c r="AG623" s="193" t="s">
        <v>519</v>
      </c>
      <c r="AH623" s="193">
        <v>0</v>
      </c>
      <c r="AI623" s="193">
        <v>8800</v>
      </c>
      <c r="AJ623" s="193" t="s">
        <v>2270</v>
      </c>
      <c r="AL623" s="197" t="s">
        <v>2319</v>
      </c>
      <c r="AM623" s="193">
        <v>1</v>
      </c>
      <c r="AN623" s="193">
        <v>0</v>
      </c>
      <c r="AO623" s="193">
        <v>0</v>
      </c>
      <c r="AP623" s="193" t="s">
        <v>1524</v>
      </c>
      <c r="AQ623" s="193" t="s">
        <v>214</v>
      </c>
      <c r="AS623" s="197" t="s">
        <v>518</v>
      </c>
      <c r="AT623" s="197" t="s">
        <v>519</v>
      </c>
      <c r="AV623" s="194">
        <v>0</v>
      </c>
      <c r="AW623" s="194">
        <v>0</v>
      </c>
      <c r="AX623" s="194">
        <v>8800</v>
      </c>
      <c r="AY623" s="549">
        <v>8800</v>
      </c>
      <c r="AZ623" s="194">
        <v>0</v>
      </c>
      <c r="BA623" s="194">
        <v>0</v>
      </c>
      <c r="BB623" s="551">
        <v>0</v>
      </c>
      <c r="BC623" s="551">
        <v>8800</v>
      </c>
      <c r="BD623" s="551">
        <v>0</v>
      </c>
      <c r="BF623" s="550">
        <f t="shared" si="122"/>
        <v>0</v>
      </c>
      <c r="BG623" s="550">
        <f t="shared" si="123"/>
        <v>0</v>
      </c>
      <c r="BH623" s="550">
        <f t="shared" si="124"/>
        <v>8800</v>
      </c>
      <c r="BI623" s="550">
        <f t="shared" si="125"/>
        <v>8800</v>
      </c>
      <c r="BJ623" s="550">
        <f t="shared" si="126"/>
        <v>0</v>
      </c>
      <c r="BK623" s="550">
        <f t="shared" si="127"/>
        <v>0</v>
      </c>
      <c r="BL623" s="550">
        <f t="shared" si="128"/>
        <v>0</v>
      </c>
      <c r="BM623" s="550">
        <f t="shared" si="129"/>
        <v>8800</v>
      </c>
      <c r="BO623" s="194"/>
      <c r="BQ623" s="193">
        <f t="shared" si="130"/>
        <v>0</v>
      </c>
      <c r="BR623" s="193">
        <f t="shared" si="131"/>
        <v>0</v>
      </c>
    </row>
    <row r="624" spans="1:70" ht="13.5" customHeight="1">
      <c r="A624" s="193" t="s">
        <v>378</v>
      </c>
      <c r="B624" s="193" t="s">
        <v>379</v>
      </c>
      <c r="C624" s="193" t="s">
        <v>214</v>
      </c>
      <c r="D624" s="193" t="s">
        <v>1165</v>
      </c>
      <c r="E624" s="193" t="s">
        <v>1166</v>
      </c>
      <c r="F624" s="193" t="s">
        <v>963</v>
      </c>
      <c r="G624" s="193" t="s">
        <v>963</v>
      </c>
      <c r="H624" s="193" t="s">
        <v>2245</v>
      </c>
      <c r="I624" s="193" t="s">
        <v>512</v>
      </c>
      <c r="J624" s="193" t="s">
        <v>2314</v>
      </c>
      <c r="K624" s="193" t="s">
        <v>386</v>
      </c>
      <c r="L624" s="193" t="s">
        <v>387</v>
      </c>
      <c r="M624" s="193" t="s">
        <v>378</v>
      </c>
      <c r="N624" s="193" t="s">
        <v>1497</v>
      </c>
      <c r="O624" s="193" t="s">
        <v>129</v>
      </c>
      <c r="P624" s="193" t="s">
        <v>138</v>
      </c>
      <c r="Q624" s="193" t="s">
        <v>137</v>
      </c>
      <c r="R624" s="193" t="s">
        <v>136</v>
      </c>
      <c r="S624" s="193" t="s">
        <v>214</v>
      </c>
      <c r="T624" s="193" t="s">
        <v>389</v>
      </c>
      <c r="U624" s="193" t="s">
        <v>390</v>
      </c>
      <c r="V624" s="193">
        <v>0</v>
      </c>
      <c r="W624" s="193">
        <v>0</v>
      </c>
      <c r="X624" s="193">
        <v>0</v>
      </c>
      <c r="Y624" s="194">
        <v>16800</v>
      </c>
      <c r="Z624" s="193" t="s">
        <v>515</v>
      </c>
      <c r="AA624" s="193" t="s">
        <v>516</v>
      </c>
      <c r="AB624" s="193">
        <v>16800</v>
      </c>
      <c r="AC624" s="193" t="s">
        <v>1500</v>
      </c>
      <c r="AD624" s="193" t="s">
        <v>136</v>
      </c>
      <c r="AE624" s="193">
        <v>16800</v>
      </c>
      <c r="AF624" s="193" t="s">
        <v>518</v>
      </c>
      <c r="AG624" s="193" t="s">
        <v>519</v>
      </c>
      <c r="AH624" s="193">
        <v>0</v>
      </c>
      <c r="AI624" s="193">
        <v>16800</v>
      </c>
      <c r="AJ624" s="193" t="s">
        <v>2243</v>
      </c>
      <c r="AL624" s="197" t="s">
        <v>2315</v>
      </c>
      <c r="AM624" s="193">
        <v>1</v>
      </c>
      <c r="AN624" s="193">
        <v>0</v>
      </c>
      <c r="AO624" s="193">
        <v>0</v>
      </c>
      <c r="AP624" s="193" t="s">
        <v>1524</v>
      </c>
      <c r="AQ624" s="193" t="s">
        <v>214</v>
      </c>
      <c r="AS624" s="197" t="s">
        <v>518</v>
      </c>
      <c r="AT624" s="197" t="s">
        <v>519</v>
      </c>
      <c r="AV624" s="194">
        <v>0</v>
      </c>
      <c r="AW624" s="194">
        <v>0</v>
      </c>
      <c r="AX624" s="194">
        <v>16800</v>
      </c>
      <c r="AY624" s="549">
        <v>16800</v>
      </c>
      <c r="AZ624" s="194">
        <v>0</v>
      </c>
      <c r="BA624" s="194">
        <v>0</v>
      </c>
      <c r="BB624" s="551">
        <v>0</v>
      </c>
      <c r="BC624" s="551">
        <v>16800</v>
      </c>
      <c r="BD624" s="551">
        <v>0</v>
      </c>
      <c r="BF624" s="550">
        <f t="shared" si="122"/>
        <v>0</v>
      </c>
      <c r="BG624" s="550">
        <f t="shared" si="123"/>
        <v>0</v>
      </c>
      <c r="BH624" s="550">
        <f t="shared" si="124"/>
        <v>16800</v>
      </c>
      <c r="BI624" s="550">
        <f t="shared" si="125"/>
        <v>16800</v>
      </c>
      <c r="BJ624" s="550">
        <f t="shared" si="126"/>
        <v>0</v>
      </c>
      <c r="BK624" s="550">
        <f t="shared" si="127"/>
        <v>0</v>
      </c>
      <c r="BL624" s="550">
        <f t="shared" si="128"/>
        <v>0</v>
      </c>
      <c r="BM624" s="550">
        <f t="shared" si="129"/>
        <v>16800</v>
      </c>
      <c r="BO624" s="194"/>
      <c r="BQ624" s="193">
        <f t="shared" si="130"/>
        <v>0</v>
      </c>
      <c r="BR624" s="193">
        <f t="shared" si="131"/>
        <v>0</v>
      </c>
    </row>
    <row r="625" spans="1:70" ht="13.5" customHeight="1">
      <c r="A625" s="193" t="s">
        <v>378</v>
      </c>
      <c r="B625" s="193" t="s">
        <v>379</v>
      </c>
      <c r="C625" s="193" t="s">
        <v>214</v>
      </c>
      <c r="D625" s="193" t="s">
        <v>1165</v>
      </c>
      <c r="E625" s="193" t="s">
        <v>1166</v>
      </c>
      <c r="F625" s="193" t="s">
        <v>2311</v>
      </c>
      <c r="G625" s="193" t="s">
        <v>2311</v>
      </c>
      <c r="H625" s="193" t="s">
        <v>2245</v>
      </c>
      <c r="I625" s="193" t="s">
        <v>512</v>
      </c>
      <c r="J625" s="193" t="s">
        <v>2312</v>
      </c>
      <c r="K625" s="193" t="s">
        <v>386</v>
      </c>
      <c r="L625" s="193" t="s">
        <v>387</v>
      </c>
      <c r="M625" s="193" t="s">
        <v>378</v>
      </c>
      <c r="N625" s="193" t="s">
        <v>1497</v>
      </c>
      <c r="O625" s="193" t="s">
        <v>129</v>
      </c>
      <c r="P625" s="193" t="s">
        <v>138</v>
      </c>
      <c r="Q625" s="193" t="s">
        <v>137</v>
      </c>
      <c r="R625" s="193" t="s">
        <v>136</v>
      </c>
      <c r="S625" s="193" t="s">
        <v>214</v>
      </c>
      <c r="T625" s="193" t="s">
        <v>389</v>
      </c>
      <c r="U625" s="193" t="s">
        <v>390</v>
      </c>
      <c r="V625" s="193">
        <v>0</v>
      </c>
      <c r="W625" s="193">
        <v>0</v>
      </c>
      <c r="X625" s="193">
        <v>0</v>
      </c>
      <c r="Y625" s="194">
        <v>16700</v>
      </c>
      <c r="Z625" s="193" t="s">
        <v>515</v>
      </c>
      <c r="AA625" s="193" t="s">
        <v>516</v>
      </c>
      <c r="AB625" s="193">
        <v>16700</v>
      </c>
      <c r="AC625" s="193" t="s">
        <v>1500</v>
      </c>
      <c r="AD625" s="193" t="s">
        <v>136</v>
      </c>
      <c r="AE625" s="193">
        <v>16700</v>
      </c>
      <c r="AF625" s="193" t="s">
        <v>518</v>
      </c>
      <c r="AG625" s="193" t="s">
        <v>519</v>
      </c>
      <c r="AH625" s="193">
        <v>0</v>
      </c>
      <c r="AI625" s="193">
        <v>16700</v>
      </c>
      <c r="AJ625" s="193" t="s">
        <v>2296</v>
      </c>
      <c r="AL625" s="197" t="s">
        <v>2313</v>
      </c>
      <c r="AM625" s="193">
        <v>1</v>
      </c>
      <c r="AN625" s="193">
        <v>0</v>
      </c>
      <c r="AO625" s="193">
        <v>0</v>
      </c>
      <c r="AP625" s="193" t="s">
        <v>1524</v>
      </c>
      <c r="AQ625" s="193" t="s">
        <v>214</v>
      </c>
      <c r="AS625" s="197" t="s">
        <v>518</v>
      </c>
      <c r="AT625" s="197" t="s">
        <v>519</v>
      </c>
      <c r="AV625" s="194">
        <v>0</v>
      </c>
      <c r="AW625" s="194">
        <v>0</v>
      </c>
      <c r="AX625" s="194">
        <v>16700</v>
      </c>
      <c r="AY625" s="549">
        <v>16700</v>
      </c>
      <c r="AZ625" s="194">
        <v>0</v>
      </c>
      <c r="BA625" s="194">
        <v>0</v>
      </c>
      <c r="BB625" s="551">
        <v>0</v>
      </c>
      <c r="BC625" s="551">
        <v>16700</v>
      </c>
      <c r="BD625" s="551">
        <v>0</v>
      </c>
      <c r="BF625" s="550">
        <f t="shared" si="122"/>
        <v>0</v>
      </c>
      <c r="BG625" s="550">
        <f t="shared" si="123"/>
        <v>0</v>
      </c>
      <c r="BH625" s="550">
        <f t="shared" si="124"/>
        <v>16700</v>
      </c>
      <c r="BI625" s="550">
        <f t="shared" si="125"/>
        <v>16700</v>
      </c>
      <c r="BJ625" s="550">
        <f t="shared" si="126"/>
        <v>0</v>
      </c>
      <c r="BK625" s="550">
        <f t="shared" si="127"/>
        <v>0</v>
      </c>
      <c r="BL625" s="550">
        <f t="shared" si="128"/>
        <v>0</v>
      </c>
      <c r="BM625" s="550">
        <f t="shared" si="129"/>
        <v>16700</v>
      </c>
      <c r="BO625" s="194"/>
      <c r="BQ625" s="193">
        <f t="shared" si="130"/>
        <v>0</v>
      </c>
      <c r="BR625" s="193">
        <f t="shared" si="131"/>
        <v>0</v>
      </c>
    </row>
    <row r="626" spans="1:70" ht="13.5" customHeight="1">
      <c r="A626" s="193" t="s">
        <v>378</v>
      </c>
      <c r="B626" s="193" t="s">
        <v>379</v>
      </c>
      <c r="C626" s="193" t="s">
        <v>214</v>
      </c>
      <c r="D626" s="193" t="s">
        <v>1165</v>
      </c>
      <c r="E626" s="193" t="s">
        <v>1166</v>
      </c>
      <c r="F626" s="193" t="s">
        <v>816</v>
      </c>
      <c r="G626" s="193" t="s">
        <v>816</v>
      </c>
      <c r="H626" s="193" t="s">
        <v>2245</v>
      </c>
      <c r="I626" s="193" t="s">
        <v>512</v>
      </c>
      <c r="J626" s="193" t="s">
        <v>2293</v>
      </c>
      <c r="K626" s="193" t="s">
        <v>386</v>
      </c>
      <c r="L626" s="193" t="s">
        <v>387</v>
      </c>
      <c r="M626" s="193" t="s">
        <v>378</v>
      </c>
      <c r="N626" s="193" t="s">
        <v>1497</v>
      </c>
      <c r="O626" s="193" t="s">
        <v>129</v>
      </c>
      <c r="P626" s="193" t="s">
        <v>138</v>
      </c>
      <c r="Q626" s="193" t="s">
        <v>137</v>
      </c>
      <c r="R626" s="193" t="s">
        <v>136</v>
      </c>
      <c r="S626" s="193" t="s">
        <v>214</v>
      </c>
      <c r="T626" s="193" t="s">
        <v>389</v>
      </c>
      <c r="U626" s="193" t="s">
        <v>390</v>
      </c>
      <c r="V626" s="193">
        <v>0</v>
      </c>
      <c r="W626" s="193">
        <v>0</v>
      </c>
      <c r="X626" s="193">
        <v>0</v>
      </c>
      <c r="Y626" s="194">
        <v>16200</v>
      </c>
      <c r="Z626" s="193" t="s">
        <v>515</v>
      </c>
      <c r="AA626" s="193" t="s">
        <v>516</v>
      </c>
      <c r="AB626" s="193">
        <v>16200</v>
      </c>
      <c r="AC626" s="193" t="s">
        <v>1500</v>
      </c>
      <c r="AD626" s="193" t="s">
        <v>136</v>
      </c>
      <c r="AE626" s="193">
        <v>16200</v>
      </c>
      <c r="AF626" s="193" t="s">
        <v>518</v>
      </c>
      <c r="AG626" s="193" t="s">
        <v>519</v>
      </c>
      <c r="AH626" s="193">
        <v>0</v>
      </c>
      <c r="AI626" s="193">
        <v>16200</v>
      </c>
      <c r="AJ626" s="193" t="s">
        <v>1550</v>
      </c>
      <c r="AL626" s="197" t="s">
        <v>2294</v>
      </c>
      <c r="AM626" s="193">
        <v>1</v>
      </c>
      <c r="AN626" s="193">
        <v>0</v>
      </c>
      <c r="AO626" s="193">
        <v>0</v>
      </c>
      <c r="AP626" s="193" t="s">
        <v>1524</v>
      </c>
      <c r="AQ626" s="193" t="s">
        <v>214</v>
      </c>
      <c r="AS626" s="197" t="s">
        <v>518</v>
      </c>
      <c r="AT626" s="197" t="s">
        <v>519</v>
      </c>
      <c r="AV626" s="194">
        <v>0</v>
      </c>
      <c r="AW626" s="194">
        <v>0</v>
      </c>
      <c r="AX626" s="194">
        <v>16200</v>
      </c>
      <c r="AY626" s="549">
        <v>16200</v>
      </c>
      <c r="AZ626" s="194">
        <v>0</v>
      </c>
      <c r="BA626" s="194">
        <v>0</v>
      </c>
      <c r="BB626" s="551">
        <v>0</v>
      </c>
      <c r="BC626" s="551">
        <v>16200</v>
      </c>
      <c r="BD626" s="551">
        <v>0</v>
      </c>
      <c r="BF626" s="550">
        <f t="shared" si="122"/>
        <v>0</v>
      </c>
      <c r="BG626" s="550">
        <f t="shared" si="123"/>
        <v>0</v>
      </c>
      <c r="BH626" s="550">
        <f t="shared" si="124"/>
        <v>16200</v>
      </c>
      <c r="BI626" s="550">
        <f t="shared" si="125"/>
        <v>16200</v>
      </c>
      <c r="BJ626" s="550">
        <f t="shared" si="126"/>
        <v>0</v>
      </c>
      <c r="BK626" s="550">
        <f t="shared" si="127"/>
        <v>0</v>
      </c>
      <c r="BL626" s="550">
        <f t="shared" si="128"/>
        <v>0</v>
      </c>
      <c r="BM626" s="550">
        <f t="shared" si="129"/>
        <v>16200</v>
      </c>
      <c r="BO626" s="194"/>
      <c r="BQ626" s="193">
        <f t="shared" si="130"/>
        <v>0</v>
      </c>
      <c r="BR626" s="193">
        <f t="shared" si="131"/>
        <v>0</v>
      </c>
    </row>
    <row r="627" spans="1:70" ht="13.5" customHeight="1">
      <c r="A627" s="193" t="s">
        <v>2340</v>
      </c>
      <c r="B627" s="193" t="s">
        <v>379</v>
      </c>
      <c r="C627" s="193" t="s">
        <v>214</v>
      </c>
      <c r="D627" s="193" t="s">
        <v>1165</v>
      </c>
      <c r="E627" s="193" t="s">
        <v>1166</v>
      </c>
      <c r="F627" s="193" t="s">
        <v>1416</v>
      </c>
      <c r="G627" s="193" t="s">
        <v>1416</v>
      </c>
      <c r="H627" s="193" t="s">
        <v>2252</v>
      </c>
      <c r="I627" s="193" t="s">
        <v>512</v>
      </c>
      <c r="J627" s="193" t="s">
        <v>2344</v>
      </c>
      <c r="K627" s="193" t="s">
        <v>386</v>
      </c>
      <c r="L627" s="193" t="s">
        <v>387</v>
      </c>
      <c r="M627" s="193" t="s">
        <v>378</v>
      </c>
      <c r="N627" s="193" t="s">
        <v>1497</v>
      </c>
      <c r="O627" s="193" t="s">
        <v>129</v>
      </c>
      <c r="P627" s="193" t="s">
        <v>138</v>
      </c>
      <c r="Q627" s="193" t="s">
        <v>137</v>
      </c>
      <c r="R627" s="193" t="s">
        <v>136</v>
      </c>
      <c r="S627" s="193" t="s">
        <v>214</v>
      </c>
      <c r="T627" s="193" t="s">
        <v>389</v>
      </c>
      <c r="U627" s="193" t="s">
        <v>390</v>
      </c>
      <c r="V627" s="193">
        <v>0</v>
      </c>
      <c r="W627" s="193">
        <v>0</v>
      </c>
      <c r="X627" s="193">
        <v>0</v>
      </c>
      <c r="Y627" s="194">
        <v>3200</v>
      </c>
      <c r="Z627" s="193" t="s">
        <v>515</v>
      </c>
      <c r="AA627" s="193" t="s">
        <v>516</v>
      </c>
      <c r="AB627" s="193">
        <v>3200</v>
      </c>
      <c r="AC627" s="193" t="s">
        <v>1500</v>
      </c>
      <c r="AD627" s="193" t="s">
        <v>136</v>
      </c>
      <c r="AE627" s="193">
        <v>3200</v>
      </c>
      <c r="AF627" s="193" t="s">
        <v>518</v>
      </c>
      <c r="AG627" s="193" t="s">
        <v>519</v>
      </c>
      <c r="AH627" s="193">
        <v>0</v>
      </c>
      <c r="AI627" s="193">
        <v>3200</v>
      </c>
      <c r="AJ627" s="193" t="s">
        <v>2342</v>
      </c>
      <c r="AL627" s="197" t="s">
        <v>2345</v>
      </c>
      <c r="AM627" s="193">
        <v>1</v>
      </c>
      <c r="AN627" s="193">
        <v>0</v>
      </c>
      <c r="AO627" s="193">
        <v>0</v>
      </c>
      <c r="AP627" s="193" t="s">
        <v>1524</v>
      </c>
      <c r="AQ627" s="193" t="s">
        <v>214</v>
      </c>
      <c r="AS627" s="197" t="s">
        <v>518</v>
      </c>
      <c r="AT627" s="197" t="s">
        <v>519</v>
      </c>
      <c r="AV627" s="194">
        <v>0</v>
      </c>
      <c r="AW627" s="194">
        <v>0</v>
      </c>
      <c r="AX627" s="194">
        <v>3200</v>
      </c>
      <c r="AY627" s="549">
        <v>3200</v>
      </c>
      <c r="AZ627" s="194">
        <v>0</v>
      </c>
      <c r="BA627" s="194">
        <v>0</v>
      </c>
      <c r="BB627" s="551">
        <v>0</v>
      </c>
      <c r="BC627" s="551">
        <v>3200</v>
      </c>
      <c r="BD627" s="551">
        <v>0</v>
      </c>
      <c r="BF627" s="550">
        <f t="shared" si="122"/>
        <v>0</v>
      </c>
      <c r="BG627" s="550">
        <f t="shared" si="123"/>
        <v>0</v>
      </c>
      <c r="BH627" s="550">
        <f t="shared" si="124"/>
        <v>3200</v>
      </c>
      <c r="BI627" s="550">
        <f t="shared" si="125"/>
        <v>3200</v>
      </c>
      <c r="BJ627" s="550">
        <f t="shared" si="126"/>
        <v>0</v>
      </c>
      <c r="BK627" s="550">
        <f t="shared" si="127"/>
        <v>0</v>
      </c>
      <c r="BL627" s="550">
        <f t="shared" si="128"/>
        <v>0</v>
      </c>
      <c r="BM627" s="550">
        <f t="shared" si="129"/>
        <v>3200</v>
      </c>
      <c r="BO627" s="194"/>
      <c r="BQ627" s="193">
        <f t="shared" si="130"/>
        <v>0</v>
      </c>
      <c r="BR627" s="193">
        <f t="shared" si="131"/>
        <v>0</v>
      </c>
    </row>
    <row r="628" spans="1:70" ht="13.5" customHeight="1">
      <c r="A628" s="193" t="s">
        <v>2340</v>
      </c>
      <c r="B628" s="193" t="s">
        <v>379</v>
      </c>
      <c r="C628" s="193" t="s">
        <v>214</v>
      </c>
      <c r="D628" s="193" t="s">
        <v>1165</v>
      </c>
      <c r="E628" s="193" t="s">
        <v>1166</v>
      </c>
      <c r="F628" s="193" t="s">
        <v>659</v>
      </c>
      <c r="G628" s="193" t="s">
        <v>659</v>
      </c>
      <c r="H628" s="193" t="s">
        <v>2245</v>
      </c>
      <c r="I628" s="193" t="s">
        <v>512</v>
      </c>
      <c r="J628" s="193" t="s">
        <v>2341</v>
      </c>
      <c r="K628" s="193" t="s">
        <v>386</v>
      </c>
      <c r="L628" s="193" t="s">
        <v>387</v>
      </c>
      <c r="M628" s="193" t="s">
        <v>378</v>
      </c>
      <c r="N628" s="193" t="s">
        <v>1497</v>
      </c>
      <c r="O628" s="193" t="s">
        <v>129</v>
      </c>
      <c r="P628" s="193" t="s">
        <v>138</v>
      </c>
      <c r="Q628" s="193" t="s">
        <v>137</v>
      </c>
      <c r="R628" s="193" t="s">
        <v>136</v>
      </c>
      <c r="S628" s="193" t="s">
        <v>214</v>
      </c>
      <c r="T628" s="193" t="s">
        <v>389</v>
      </c>
      <c r="U628" s="193" t="s">
        <v>390</v>
      </c>
      <c r="V628" s="193">
        <v>0</v>
      </c>
      <c r="W628" s="193">
        <v>0</v>
      </c>
      <c r="X628" s="193">
        <v>0</v>
      </c>
      <c r="Y628" s="194">
        <v>3300</v>
      </c>
      <c r="Z628" s="193" t="s">
        <v>515</v>
      </c>
      <c r="AA628" s="193" t="s">
        <v>516</v>
      </c>
      <c r="AB628" s="193">
        <v>3300</v>
      </c>
      <c r="AC628" s="193" t="s">
        <v>1500</v>
      </c>
      <c r="AD628" s="193" t="s">
        <v>136</v>
      </c>
      <c r="AE628" s="193">
        <v>3300</v>
      </c>
      <c r="AF628" s="193" t="s">
        <v>518</v>
      </c>
      <c r="AG628" s="193" t="s">
        <v>519</v>
      </c>
      <c r="AH628" s="193">
        <v>0</v>
      </c>
      <c r="AI628" s="193">
        <v>3300</v>
      </c>
      <c r="AJ628" s="193" t="s">
        <v>2342</v>
      </c>
      <c r="AL628" s="197" t="s">
        <v>2343</v>
      </c>
      <c r="AM628" s="193">
        <v>1</v>
      </c>
      <c r="AN628" s="193">
        <v>0</v>
      </c>
      <c r="AO628" s="193">
        <v>0</v>
      </c>
      <c r="AP628" s="193" t="s">
        <v>1524</v>
      </c>
      <c r="AQ628" s="193" t="s">
        <v>214</v>
      </c>
      <c r="AS628" s="197" t="s">
        <v>518</v>
      </c>
      <c r="AT628" s="197" t="s">
        <v>519</v>
      </c>
      <c r="AV628" s="194">
        <v>0</v>
      </c>
      <c r="AW628" s="194">
        <v>0</v>
      </c>
      <c r="AX628" s="194">
        <v>3300</v>
      </c>
      <c r="AY628" s="549">
        <v>3300</v>
      </c>
      <c r="AZ628" s="194">
        <v>0</v>
      </c>
      <c r="BA628" s="194">
        <v>0</v>
      </c>
      <c r="BB628" s="551">
        <v>0</v>
      </c>
      <c r="BC628" s="551">
        <v>3300</v>
      </c>
      <c r="BD628" s="551">
        <v>0</v>
      </c>
      <c r="BF628" s="550">
        <f t="shared" si="122"/>
        <v>0</v>
      </c>
      <c r="BG628" s="550">
        <f t="shared" si="123"/>
        <v>0</v>
      </c>
      <c r="BH628" s="550">
        <f t="shared" si="124"/>
        <v>3300</v>
      </c>
      <c r="BI628" s="550">
        <f t="shared" si="125"/>
        <v>3300</v>
      </c>
      <c r="BJ628" s="550">
        <f t="shared" si="126"/>
        <v>0</v>
      </c>
      <c r="BK628" s="550">
        <f t="shared" si="127"/>
        <v>0</v>
      </c>
      <c r="BL628" s="550">
        <f t="shared" si="128"/>
        <v>0</v>
      </c>
      <c r="BM628" s="550">
        <f t="shared" si="129"/>
        <v>3300</v>
      </c>
      <c r="BO628" s="194"/>
      <c r="BQ628" s="193">
        <f t="shared" si="130"/>
        <v>0</v>
      </c>
      <c r="BR628" s="193">
        <f t="shared" si="131"/>
        <v>0</v>
      </c>
    </row>
    <row r="629" spans="1:70" ht="13.5" customHeight="1">
      <c r="A629" s="193" t="s">
        <v>2340</v>
      </c>
      <c r="B629" s="193" t="s">
        <v>379</v>
      </c>
      <c r="C629" s="193" t="s">
        <v>214</v>
      </c>
      <c r="D629" s="193" t="s">
        <v>1165</v>
      </c>
      <c r="E629" s="193" t="s">
        <v>1166</v>
      </c>
      <c r="F629" s="193" t="s">
        <v>1339</v>
      </c>
      <c r="G629" s="193" t="s">
        <v>1339</v>
      </c>
      <c r="H629" s="193" t="s">
        <v>2252</v>
      </c>
      <c r="I629" s="193" t="s">
        <v>512</v>
      </c>
      <c r="J629" s="193" t="s">
        <v>2346</v>
      </c>
      <c r="K629" s="193" t="s">
        <v>386</v>
      </c>
      <c r="L629" s="193" t="s">
        <v>387</v>
      </c>
      <c r="M629" s="193" t="s">
        <v>378</v>
      </c>
      <c r="N629" s="193" t="s">
        <v>1497</v>
      </c>
      <c r="O629" s="193" t="s">
        <v>129</v>
      </c>
      <c r="P629" s="193" t="s">
        <v>138</v>
      </c>
      <c r="Q629" s="193" t="s">
        <v>137</v>
      </c>
      <c r="R629" s="193" t="s">
        <v>136</v>
      </c>
      <c r="S629" s="193" t="s">
        <v>214</v>
      </c>
      <c r="T629" s="193" t="s">
        <v>389</v>
      </c>
      <c r="U629" s="193" t="s">
        <v>390</v>
      </c>
      <c r="V629" s="193">
        <v>0</v>
      </c>
      <c r="W629" s="193">
        <v>0</v>
      </c>
      <c r="X629" s="193">
        <v>0</v>
      </c>
      <c r="Y629" s="194">
        <v>3200</v>
      </c>
      <c r="Z629" s="193" t="s">
        <v>515</v>
      </c>
      <c r="AA629" s="193" t="s">
        <v>516</v>
      </c>
      <c r="AB629" s="193">
        <v>3200</v>
      </c>
      <c r="AC629" s="193" t="s">
        <v>1500</v>
      </c>
      <c r="AD629" s="193" t="s">
        <v>136</v>
      </c>
      <c r="AE629" s="193">
        <v>3200</v>
      </c>
      <c r="AF629" s="193" t="s">
        <v>518</v>
      </c>
      <c r="AG629" s="193" t="s">
        <v>519</v>
      </c>
      <c r="AH629" s="193">
        <v>0</v>
      </c>
      <c r="AI629" s="193">
        <v>3200</v>
      </c>
      <c r="AJ629" s="193" t="s">
        <v>2342</v>
      </c>
      <c r="AL629" s="197" t="s">
        <v>2347</v>
      </c>
      <c r="AM629" s="193">
        <v>1</v>
      </c>
      <c r="AN629" s="193">
        <v>0</v>
      </c>
      <c r="AO629" s="193">
        <v>0</v>
      </c>
      <c r="AP629" s="193" t="s">
        <v>1524</v>
      </c>
      <c r="AQ629" s="193" t="s">
        <v>214</v>
      </c>
      <c r="AS629" s="197" t="s">
        <v>518</v>
      </c>
      <c r="AT629" s="197" t="s">
        <v>519</v>
      </c>
      <c r="AV629" s="194">
        <v>0</v>
      </c>
      <c r="AW629" s="194">
        <v>0</v>
      </c>
      <c r="AX629" s="194">
        <v>3200</v>
      </c>
      <c r="AY629" s="549">
        <v>3200</v>
      </c>
      <c r="AZ629" s="194">
        <v>0</v>
      </c>
      <c r="BA629" s="194">
        <v>0</v>
      </c>
      <c r="BB629" s="551">
        <v>0</v>
      </c>
      <c r="BC629" s="551">
        <v>3200</v>
      </c>
      <c r="BD629" s="551">
        <v>0</v>
      </c>
      <c r="BF629" s="550">
        <f t="shared" si="122"/>
        <v>0</v>
      </c>
      <c r="BG629" s="550">
        <f t="shared" si="123"/>
        <v>0</v>
      </c>
      <c r="BH629" s="550">
        <f t="shared" si="124"/>
        <v>3200</v>
      </c>
      <c r="BI629" s="550">
        <f t="shared" si="125"/>
        <v>3200</v>
      </c>
      <c r="BJ629" s="550">
        <f t="shared" si="126"/>
        <v>0</v>
      </c>
      <c r="BK629" s="550">
        <f t="shared" si="127"/>
        <v>0</v>
      </c>
      <c r="BL629" s="550">
        <f t="shared" si="128"/>
        <v>0</v>
      </c>
      <c r="BM629" s="550">
        <f t="shared" si="129"/>
        <v>3200</v>
      </c>
      <c r="BO629" s="194"/>
      <c r="BQ629" s="193">
        <f t="shared" si="130"/>
        <v>0</v>
      </c>
      <c r="BR629" s="193">
        <f t="shared" si="131"/>
        <v>0</v>
      </c>
    </row>
    <row r="630" spans="1:70" ht="13.5" customHeight="1">
      <c r="A630" s="193" t="s">
        <v>2340</v>
      </c>
      <c r="B630" s="193" t="s">
        <v>379</v>
      </c>
      <c r="C630" s="193" t="s">
        <v>214</v>
      </c>
      <c r="D630" s="193" t="s">
        <v>1165</v>
      </c>
      <c r="E630" s="193" t="s">
        <v>1166</v>
      </c>
      <c r="F630" s="193" t="s">
        <v>411</v>
      </c>
      <c r="G630" s="193" t="s">
        <v>411</v>
      </c>
      <c r="H630" s="193" t="s">
        <v>2245</v>
      </c>
      <c r="I630" s="193" t="s">
        <v>512</v>
      </c>
      <c r="J630" s="193" t="s">
        <v>2348</v>
      </c>
      <c r="K630" s="193" t="s">
        <v>386</v>
      </c>
      <c r="L630" s="193" t="s">
        <v>387</v>
      </c>
      <c r="M630" s="193" t="s">
        <v>378</v>
      </c>
      <c r="N630" s="193" t="s">
        <v>1497</v>
      </c>
      <c r="O630" s="193" t="s">
        <v>129</v>
      </c>
      <c r="P630" s="193" t="s">
        <v>138</v>
      </c>
      <c r="Q630" s="193" t="s">
        <v>137</v>
      </c>
      <c r="R630" s="193" t="s">
        <v>136</v>
      </c>
      <c r="S630" s="193" t="s">
        <v>214</v>
      </c>
      <c r="T630" s="193" t="s">
        <v>389</v>
      </c>
      <c r="U630" s="193" t="s">
        <v>390</v>
      </c>
      <c r="V630" s="193">
        <v>0</v>
      </c>
      <c r="W630" s="193">
        <v>0</v>
      </c>
      <c r="X630" s="193">
        <v>0</v>
      </c>
      <c r="Y630" s="194">
        <v>3900</v>
      </c>
      <c r="Z630" s="193" t="s">
        <v>515</v>
      </c>
      <c r="AA630" s="193" t="s">
        <v>516</v>
      </c>
      <c r="AB630" s="193">
        <v>3900</v>
      </c>
      <c r="AC630" s="193" t="s">
        <v>1500</v>
      </c>
      <c r="AD630" s="193" t="s">
        <v>136</v>
      </c>
      <c r="AE630" s="193">
        <v>3900</v>
      </c>
      <c r="AF630" s="193" t="s">
        <v>518</v>
      </c>
      <c r="AG630" s="193" t="s">
        <v>519</v>
      </c>
      <c r="AH630" s="193">
        <v>0</v>
      </c>
      <c r="AI630" s="193">
        <v>3900</v>
      </c>
      <c r="AJ630" s="193" t="s">
        <v>2342</v>
      </c>
      <c r="AL630" s="197" t="s">
        <v>2349</v>
      </c>
      <c r="AM630" s="193">
        <v>1</v>
      </c>
      <c r="AN630" s="193">
        <v>0</v>
      </c>
      <c r="AO630" s="193">
        <v>0</v>
      </c>
      <c r="AP630" s="193" t="s">
        <v>1524</v>
      </c>
      <c r="AQ630" s="193" t="s">
        <v>214</v>
      </c>
      <c r="AS630" s="197" t="s">
        <v>518</v>
      </c>
      <c r="AT630" s="197" t="s">
        <v>519</v>
      </c>
      <c r="AV630" s="194">
        <v>0</v>
      </c>
      <c r="AW630" s="194">
        <v>0</v>
      </c>
      <c r="AX630" s="194">
        <v>3900</v>
      </c>
      <c r="AY630" s="549">
        <v>3900</v>
      </c>
      <c r="AZ630" s="194">
        <v>0</v>
      </c>
      <c r="BA630" s="194">
        <v>0</v>
      </c>
      <c r="BB630" s="551">
        <v>0</v>
      </c>
      <c r="BC630" s="551">
        <v>3900</v>
      </c>
      <c r="BD630" s="551">
        <v>0</v>
      </c>
      <c r="BF630" s="550">
        <f t="shared" si="122"/>
        <v>0</v>
      </c>
      <c r="BG630" s="550">
        <f t="shared" si="123"/>
        <v>0</v>
      </c>
      <c r="BH630" s="550">
        <f t="shared" si="124"/>
        <v>3900</v>
      </c>
      <c r="BI630" s="550">
        <f t="shared" si="125"/>
        <v>3900</v>
      </c>
      <c r="BJ630" s="550">
        <f t="shared" si="126"/>
        <v>0</v>
      </c>
      <c r="BK630" s="550">
        <f t="shared" si="127"/>
        <v>0</v>
      </c>
      <c r="BL630" s="550">
        <f t="shared" si="128"/>
        <v>0</v>
      </c>
      <c r="BM630" s="550">
        <f t="shared" si="129"/>
        <v>3900</v>
      </c>
      <c r="BO630" s="194"/>
      <c r="BQ630" s="193">
        <f t="shared" si="130"/>
        <v>0</v>
      </c>
      <c r="BR630" s="193">
        <f t="shared" si="131"/>
        <v>0</v>
      </c>
    </row>
    <row r="631" spans="1:70" ht="13.5" customHeight="1">
      <c r="A631" s="193" t="s">
        <v>2340</v>
      </c>
      <c r="B631" s="193" t="s">
        <v>379</v>
      </c>
      <c r="C631" s="193" t="s">
        <v>214</v>
      </c>
      <c r="D631" s="193" t="s">
        <v>1165</v>
      </c>
      <c r="E631" s="193" t="s">
        <v>1166</v>
      </c>
      <c r="F631" s="193" t="s">
        <v>865</v>
      </c>
      <c r="G631" s="193" t="s">
        <v>865</v>
      </c>
      <c r="H631" s="193" t="s">
        <v>2245</v>
      </c>
      <c r="I631" s="193" t="s">
        <v>512</v>
      </c>
      <c r="J631" s="193" t="s">
        <v>2352</v>
      </c>
      <c r="K631" s="193" t="s">
        <v>386</v>
      </c>
      <c r="L631" s="193" t="s">
        <v>387</v>
      </c>
      <c r="M631" s="193" t="s">
        <v>378</v>
      </c>
      <c r="N631" s="193" t="s">
        <v>1497</v>
      </c>
      <c r="O631" s="193" t="s">
        <v>129</v>
      </c>
      <c r="P631" s="193" t="s">
        <v>138</v>
      </c>
      <c r="Q631" s="193" t="s">
        <v>137</v>
      </c>
      <c r="R631" s="193" t="s">
        <v>136</v>
      </c>
      <c r="S631" s="193" t="s">
        <v>214</v>
      </c>
      <c r="T631" s="193" t="s">
        <v>389</v>
      </c>
      <c r="U631" s="193" t="s">
        <v>390</v>
      </c>
      <c r="V631" s="193">
        <v>0</v>
      </c>
      <c r="W631" s="193">
        <v>0</v>
      </c>
      <c r="X631" s="193">
        <v>0</v>
      </c>
      <c r="Y631" s="194">
        <v>4000</v>
      </c>
      <c r="Z631" s="193" t="s">
        <v>515</v>
      </c>
      <c r="AA631" s="193" t="s">
        <v>516</v>
      </c>
      <c r="AB631" s="193">
        <v>4000</v>
      </c>
      <c r="AC631" s="193" t="s">
        <v>1500</v>
      </c>
      <c r="AD631" s="193" t="s">
        <v>136</v>
      </c>
      <c r="AE631" s="193">
        <v>4000</v>
      </c>
      <c r="AF631" s="193" t="s">
        <v>518</v>
      </c>
      <c r="AG631" s="193" t="s">
        <v>519</v>
      </c>
      <c r="AH631" s="193">
        <v>0</v>
      </c>
      <c r="AI631" s="193">
        <v>4000</v>
      </c>
      <c r="AJ631" s="193" t="s">
        <v>2342</v>
      </c>
      <c r="AL631" s="197" t="s">
        <v>2353</v>
      </c>
      <c r="AM631" s="193">
        <v>1</v>
      </c>
      <c r="AN631" s="193">
        <v>0</v>
      </c>
      <c r="AO631" s="193">
        <v>0</v>
      </c>
      <c r="AP631" s="193" t="s">
        <v>1524</v>
      </c>
      <c r="AQ631" s="193" t="s">
        <v>214</v>
      </c>
      <c r="AS631" s="197" t="s">
        <v>518</v>
      </c>
      <c r="AT631" s="197" t="s">
        <v>519</v>
      </c>
      <c r="AV631" s="194">
        <v>0</v>
      </c>
      <c r="AW631" s="194">
        <v>0</v>
      </c>
      <c r="AX631" s="194">
        <v>4000</v>
      </c>
      <c r="AY631" s="549">
        <v>4000</v>
      </c>
      <c r="AZ631" s="194">
        <v>0</v>
      </c>
      <c r="BA631" s="194">
        <v>0</v>
      </c>
      <c r="BB631" s="551">
        <v>0</v>
      </c>
      <c r="BC631" s="551">
        <v>4000</v>
      </c>
      <c r="BD631" s="551">
        <v>0</v>
      </c>
      <c r="BF631" s="550">
        <f t="shared" si="122"/>
        <v>0</v>
      </c>
      <c r="BG631" s="550">
        <f t="shared" si="123"/>
        <v>0</v>
      </c>
      <c r="BH631" s="550">
        <f t="shared" si="124"/>
        <v>4000</v>
      </c>
      <c r="BI631" s="550">
        <f t="shared" si="125"/>
        <v>4000</v>
      </c>
      <c r="BJ631" s="550">
        <f t="shared" si="126"/>
        <v>0</v>
      </c>
      <c r="BK631" s="550">
        <f t="shared" si="127"/>
        <v>0</v>
      </c>
      <c r="BL631" s="550">
        <f t="shared" si="128"/>
        <v>0</v>
      </c>
      <c r="BM631" s="550">
        <f t="shared" si="129"/>
        <v>4000</v>
      </c>
      <c r="BO631" s="194"/>
      <c r="BQ631" s="193">
        <f t="shared" si="130"/>
        <v>0</v>
      </c>
      <c r="BR631" s="193">
        <f t="shared" si="131"/>
        <v>0</v>
      </c>
    </row>
    <row r="632" spans="1:70" ht="13.5" customHeight="1">
      <c r="A632" s="193" t="s">
        <v>2340</v>
      </c>
      <c r="B632" s="193" t="s">
        <v>379</v>
      </c>
      <c r="C632" s="193" t="s">
        <v>214</v>
      </c>
      <c r="D632" s="193" t="s">
        <v>1165</v>
      </c>
      <c r="E632" s="193" t="s">
        <v>1166</v>
      </c>
      <c r="F632" s="193" t="s">
        <v>575</v>
      </c>
      <c r="G632" s="193" t="s">
        <v>575</v>
      </c>
      <c r="H632" s="193" t="s">
        <v>2245</v>
      </c>
      <c r="I632" s="193" t="s">
        <v>512</v>
      </c>
      <c r="J632" s="193" t="s">
        <v>2354</v>
      </c>
      <c r="K632" s="193" t="s">
        <v>386</v>
      </c>
      <c r="L632" s="193" t="s">
        <v>387</v>
      </c>
      <c r="M632" s="193" t="s">
        <v>378</v>
      </c>
      <c r="N632" s="193" t="s">
        <v>1497</v>
      </c>
      <c r="O632" s="193" t="s">
        <v>129</v>
      </c>
      <c r="P632" s="193" t="s">
        <v>138</v>
      </c>
      <c r="Q632" s="193" t="s">
        <v>137</v>
      </c>
      <c r="R632" s="193" t="s">
        <v>136</v>
      </c>
      <c r="S632" s="193" t="s">
        <v>214</v>
      </c>
      <c r="T632" s="193" t="s">
        <v>389</v>
      </c>
      <c r="U632" s="193" t="s">
        <v>390</v>
      </c>
      <c r="V632" s="193">
        <v>0</v>
      </c>
      <c r="W632" s="193">
        <v>0</v>
      </c>
      <c r="X632" s="193">
        <v>0</v>
      </c>
      <c r="Y632" s="194">
        <v>3400</v>
      </c>
      <c r="Z632" s="193" t="s">
        <v>515</v>
      </c>
      <c r="AA632" s="193" t="s">
        <v>516</v>
      </c>
      <c r="AB632" s="193">
        <v>3400</v>
      </c>
      <c r="AC632" s="193" t="s">
        <v>1500</v>
      </c>
      <c r="AD632" s="193" t="s">
        <v>136</v>
      </c>
      <c r="AE632" s="193">
        <v>3400</v>
      </c>
      <c r="AF632" s="193" t="s">
        <v>518</v>
      </c>
      <c r="AG632" s="193" t="s">
        <v>519</v>
      </c>
      <c r="AH632" s="193">
        <v>0</v>
      </c>
      <c r="AI632" s="193">
        <v>3400</v>
      </c>
      <c r="AJ632" s="193" t="s">
        <v>2342</v>
      </c>
      <c r="AL632" s="197" t="s">
        <v>2355</v>
      </c>
      <c r="AM632" s="193">
        <v>1</v>
      </c>
      <c r="AN632" s="193">
        <v>0</v>
      </c>
      <c r="AO632" s="193">
        <v>0</v>
      </c>
      <c r="AP632" s="193" t="s">
        <v>1524</v>
      </c>
      <c r="AQ632" s="193" t="s">
        <v>214</v>
      </c>
      <c r="AS632" s="197" t="s">
        <v>518</v>
      </c>
      <c r="AT632" s="197" t="s">
        <v>519</v>
      </c>
      <c r="AV632" s="194">
        <v>0</v>
      </c>
      <c r="AW632" s="194">
        <v>0</v>
      </c>
      <c r="AX632" s="194">
        <v>3400</v>
      </c>
      <c r="AY632" s="549">
        <v>3400</v>
      </c>
      <c r="AZ632" s="194">
        <v>0</v>
      </c>
      <c r="BA632" s="194">
        <v>0</v>
      </c>
      <c r="BB632" s="551">
        <v>0</v>
      </c>
      <c r="BC632" s="551">
        <v>3400</v>
      </c>
      <c r="BD632" s="551">
        <v>0</v>
      </c>
      <c r="BF632" s="550">
        <f t="shared" si="122"/>
        <v>0</v>
      </c>
      <c r="BG632" s="550">
        <f t="shared" si="123"/>
        <v>0</v>
      </c>
      <c r="BH632" s="550">
        <f t="shared" si="124"/>
        <v>3400</v>
      </c>
      <c r="BI632" s="550">
        <f t="shared" si="125"/>
        <v>3400</v>
      </c>
      <c r="BJ632" s="550">
        <f t="shared" si="126"/>
        <v>0</v>
      </c>
      <c r="BK632" s="550">
        <f t="shared" si="127"/>
        <v>0</v>
      </c>
      <c r="BL632" s="550">
        <f t="shared" si="128"/>
        <v>0</v>
      </c>
      <c r="BM632" s="550">
        <f t="shared" si="129"/>
        <v>3400</v>
      </c>
      <c r="BO632" s="194"/>
      <c r="BQ632" s="193">
        <f t="shared" si="130"/>
        <v>0</v>
      </c>
      <c r="BR632" s="193">
        <f t="shared" si="131"/>
        <v>0</v>
      </c>
    </row>
    <row r="633" spans="1:70" ht="13.5" customHeight="1">
      <c r="A633" s="193" t="s">
        <v>2340</v>
      </c>
      <c r="B633" s="193" t="s">
        <v>379</v>
      </c>
      <c r="C633" s="193" t="s">
        <v>214</v>
      </c>
      <c r="D633" s="193" t="s">
        <v>1165</v>
      </c>
      <c r="E633" s="193" t="s">
        <v>1166</v>
      </c>
      <c r="F633" s="193" t="s">
        <v>927</v>
      </c>
      <c r="G633" s="193" t="s">
        <v>927</v>
      </c>
      <c r="H633" s="193" t="s">
        <v>2245</v>
      </c>
      <c r="I633" s="193" t="s">
        <v>512</v>
      </c>
      <c r="J633" s="193" t="s">
        <v>2356</v>
      </c>
      <c r="K633" s="193" t="s">
        <v>386</v>
      </c>
      <c r="L633" s="193" t="s">
        <v>387</v>
      </c>
      <c r="M633" s="193" t="s">
        <v>378</v>
      </c>
      <c r="N633" s="193" t="s">
        <v>1497</v>
      </c>
      <c r="O633" s="193" t="s">
        <v>129</v>
      </c>
      <c r="P633" s="193" t="s">
        <v>138</v>
      </c>
      <c r="Q633" s="193" t="s">
        <v>137</v>
      </c>
      <c r="R633" s="193" t="s">
        <v>136</v>
      </c>
      <c r="S633" s="193" t="s">
        <v>214</v>
      </c>
      <c r="T633" s="193" t="s">
        <v>389</v>
      </c>
      <c r="U633" s="193" t="s">
        <v>390</v>
      </c>
      <c r="V633" s="193">
        <v>0</v>
      </c>
      <c r="W633" s="193">
        <v>0</v>
      </c>
      <c r="X633" s="193">
        <v>0</v>
      </c>
      <c r="Y633" s="194">
        <v>3700</v>
      </c>
      <c r="Z633" s="193" t="s">
        <v>515</v>
      </c>
      <c r="AA633" s="193" t="s">
        <v>516</v>
      </c>
      <c r="AB633" s="193">
        <v>3700</v>
      </c>
      <c r="AC633" s="193" t="s">
        <v>1500</v>
      </c>
      <c r="AD633" s="193" t="s">
        <v>136</v>
      </c>
      <c r="AE633" s="193">
        <v>3700</v>
      </c>
      <c r="AF633" s="193" t="s">
        <v>518</v>
      </c>
      <c r="AG633" s="193" t="s">
        <v>519</v>
      </c>
      <c r="AH633" s="193">
        <v>0</v>
      </c>
      <c r="AI633" s="193">
        <v>3700</v>
      </c>
      <c r="AJ633" s="193" t="s">
        <v>2342</v>
      </c>
      <c r="AL633" s="197" t="s">
        <v>2357</v>
      </c>
      <c r="AM633" s="193">
        <v>1</v>
      </c>
      <c r="AN633" s="193">
        <v>0</v>
      </c>
      <c r="AO633" s="193">
        <v>0</v>
      </c>
      <c r="AP633" s="193" t="s">
        <v>1524</v>
      </c>
      <c r="AQ633" s="193" t="s">
        <v>214</v>
      </c>
      <c r="AS633" s="197" t="s">
        <v>518</v>
      </c>
      <c r="AT633" s="197" t="s">
        <v>519</v>
      </c>
      <c r="AV633" s="194">
        <v>0</v>
      </c>
      <c r="AW633" s="194">
        <v>0</v>
      </c>
      <c r="AX633" s="194">
        <v>3700</v>
      </c>
      <c r="AY633" s="549">
        <v>3700</v>
      </c>
      <c r="AZ633" s="194">
        <v>0</v>
      </c>
      <c r="BA633" s="194">
        <v>0</v>
      </c>
      <c r="BB633" s="551">
        <v>0</v>
      </c>
      <c r="BC633" s="551">
        <v>3700</v>
      </c>
      <c r="BD633" s="551">
        <v>0</v>
      </c>
      <c r="BF633" s="550">
        <f t="shared" si="122"/>
        <v>0</v>
      </c>
      <c r="BG633" s="550">
        <f t="shared" si="123"/>
        <v>0</v>
      </c>
      <c r="BH633" s="550">
        <f t="shared" si="124"/>
        <v>3700</v>
      </c>
      <c r="BI633" s="550">
        <f t="shared" si="125"/>
        <v>3700</v>
      </c>
      <c r="BJ633" s="550">
        <f t="shared" si="126"/>
        <v>0</v>
      </c>
      <c r="BK633" s="550">
        <f t="shared" si="127"/>
        <v>0</v>
      </c>
      <c r="BL633" s="550">
        <f t="shared" si="128"/>
        <v>0</v>
      </c>
      <c r="BM633" s="550">
        <f t="shared" si="129"/>
        <v>3700</v>
      </c>
      <c r="BO633" s="194"/>
      <c r="BQ633" s="193">
        <f t="shared" si="130"/>
        <v>0</v>
      </c>
      <c r="BR633" s="193">
        <f t="shared" si="131"/>
        <v>0</v>
      </c>
    </row>
    <row r="634" spans="1:70" ht="13.5" customHeight="1">
      <c r="A634" s="193" t="s">
        <v>2340</v>
      </c>
      <c r="B634" s="193" t="s">
        <v>379</v>
      </c>
      <c r="C634" s="193" t="s">
        <v>214</v>
      </c>
      <c r="D634" s="193" t="s">
        <v>1165</v>
      </c>
      <c r="E634" s="193" t="s">
        <v>1166</v>
      </c>
      <c r="F634" s="193" t="s">
        <v>2358</v>
      </c>
      <c r="G634" s="193" t="s">
        <v>2358</v>
      </c>
      <c r="H634" s="193" t="s">
        <v>2245</v>
      </c>
      <c r="I634" s="193" t="s">
        <v>512</v>
      </c>
      <c r="J634" s="193" t="s">
        <v>2359</v>
      </c>
      <c r="K634" s="193" t="s">
        <v>386</v>
      </c>
      <c r="L634" s="193" t="s">
        <v>387</v>
      </c>
      <c r="M634" s="193" t="s">
        <v>378</v>
      </c>
      <c r="N634" s="193" t="s">
        <v>1497</v>
      </c>
      <c r="O634" s="193" t="s">
        <v>129</v>
      </c>
      <c r="P634" s="193" t="s">
        <v>138</v>
      </c>
      <c r="Q634" s="193" t="s">
        <v>137</v>
      </c>
      <c r="R634" s="193" t="s">
        <v>136</v>
      </c>
      <c r="S634" s="193" t="s">
        <v>214</v>
      </c>
      <c r="T634" s="193" t="s">
        <v>389</v>
      </c>
      <c r="U634" s="193" t="s">
        <v>390</v>
      </c>
      <c r="V634" s="193">
        <v>0</v>
      </c>
      <c r="W634" s="193">
        <v>0</v>
      </c>
      <c r="X634" s="193">
        <v>0</v>
      </c>
      <c r="Y634" s="194">
        <v>3500</v>
      </c>
      <c r="Z634" s="193" t="s">
        <v>515</v>
      </c>
      <c r="AA634" s="193" t="s">
        <v>516</v>
      </c>
      <c r="AB634" s="193">
        <v>3500</v>
      </c>
      <c r="AC634" s="193" t="s">
        <v>1500</v>
      </c>
      <c r="AD634" s="193" t="s">
        <v>136</v>
      </c>
      <c r="AE634" s="193">
        <v>3500</v>
      </c>
      <c r="AF634" s="193" t="s">
        <v>518</v>
      </c>
      <c r="AG634" s="193" t="s">
        <v>519</v>
      </c>
      <c r="AH634" s="193">
        <v>0</v>
      </c>
      <c r="AI634" s="193">
        <v>3500</v>
      </c>
      <c r="AJ634" s="193" t="s">
        <v>2342</v>
      </c>
      <c r="AL634" s="197" t="s">
        <v>2360</v>
      </c>
      <c r="AM634" s="193">
        <v>1</v>
      </c>
      <c r="AN634" s="193">
        <v>0</v>
      </c>
      <c r="AO634" s="193">
        <v>0</v>
      </c>
      <c r="AP634" s="193" t="s">
        <v>1524</v>
      </c>
      <c r="AQ634" s="193" t="s">
        <v>214</v>
      </c>
      <c r="AS634" s="197" t="s">
        <v>518</v>
      </c>
      <c r="AT634" s="197" t="s">
        <v>519</v>
      </c>
      <c r="AV634" s="194">
        <v>0</v>
      </c>
      <c r="AW634" s="194">
        <v>0</v>
      </c>
      <c r="AX634" s="194">
        <v>3500</v>
      </c>
      <c r="AY634" s="549">
        <v>3500</v>
      </c>
      <c r="AZ634" s="194">
        <v>0</v>
      </c>
      <c r="BA634" s="194">
        <v>0</v>
      </c>
      <c r="BB634" s="551">
        <v>0</v>
      </c>
      <c r="BC634" s="551">
        <v>3500</v>
      </c>
      <c r="BD634" s="551">
        <v>0</v>
      </c>
      <c r="BF634" s="550">
        <f t="shared" si="122"/>
        <v>0</v>
      </c>
      <c r="BG634" s="550">
        <f t="shared" si="123"/>
        <v>0</v>
      </c>
      <c r="BH634" s="550">
        <f t="shared" si="124"/>
        <v>3500</v>
      </c>
      <c r="BI634" s="550">
        <f t="shared" si="125"/>
        <v>3500</v>
      </c>
      <c r="BJ634" s="550">
        <f t="shared" si="126"/>
        <v>0</v>
      </c>
      <c r="BK634" s="550">
        <f t="shared" si="127"/>
        <v>0</v>
      </c>
      <c r="BL634" s="550">
        <f t="shared" si="128"/>
        <v>0</v>
      </c>
      <c r="BM634" s="550">
        <f t="shared" si="129"/>
        <v>3500</v>
      </c>
      <c r="BO634" s="194"/>
      <c r="BQ634" s="193">
        <f t="shared" si="130"/>
        <v>0</v>
      </c>
      <c r="BR634" s="193">
        <f t="shared" si="131"/>
        <v>0</v>
      </c>
    </row>
    <row r="635" spans="1:70" ht="13.5" customHeight="1">
      <c r="A635" s="193" t="s">
        <v>2340</v>
      </c>
      <c r="B635" s="193" t="s">
        <v>379</v>
      </c>
      <c r="C635" s="193" t="s">
        <v>214</v>
      </c>
      <c r="D635" s="193" t="s">
        <v>1165</v>
      </c>
      <c r="E635" s="193" t="s">
        <v>1166</v>
      </c>
      <c r="F635" s="193" t="s">
        <v>427</v>
      </c>
      <c r="G635" s="193" t="s">
        <v>427</v>
      </c>
      <c r="H635" s="193" t="s">
        <v>2245</v>
      </c>
      <c r="I635" s="193" t="s">
        <v>512</v>
      </c>
      <c r="J635" s="193" t="s">
        <v>2361</v>
      </c>
      <c r="K635" s="193" t="s">
        <v>386</v>
      </c>
      <c r="L635" s="193" t="s">
        <v>387</v>
      </c>
      <c r="M635" s="193" t="s">
        <v>378</v>
      </c>
      <c r="N635" s="193" t="s">
        <v>1497</v>
      </c>
      <c r="O635" s="193" t="s">
        <v>129</v>
      </c>
      <c r="P635" s="193" t="s">
        <v>138</v>
      </c>
      <c r="Q635" s="193" t="s">
        <v>137</v>
      </c>
      <c r="R635" s="193" t="s">
        <v>136</v>
      </c>
      <c r="S635" s="193" t="s">
        <v>214</v>
      </c>
      <c r="T635" s="193" t="s">
        <v>389</v>
      </c>
      <c r="U635" s="193" t="s">
        <v>390</v>
      </c>
      <c r="V635" s="193">
        <v>0</v>
      </c>
      <c r="W635" s="193">
        <v>0</v>
      </c>
      <c r="X635" s="193">
        <v>0</v>
      </c>
      <c r="Y635" s="194">
        <v>3600</v>
      </c>
      <c r="Z635" s="193" t="s">
        <v>515</v>
      </c>
      <c r="AA635" s="193" t="s">
        <v>516</v>
      </c>
      <c r="AB635" s="193">
        <v>3600</v>
      </c>
      <c r="AC635" s="193" t="s">
        <v>1500</v>
      </c>
      <c r="AD635" s="193" t="s">
        <v>136</v>
      </c>
      <c r="AE635" s="193">
        <v>3600</v>
      </c>
      <c r="AF635" s="193" t="s">
        <v>518</v>
      </c>
      <c r="AG635" s="193" t="s">
        <v>519</v>
      </c>
      <c r="AH635" s="193">
        <v>0</v>
      </c>
      <c r="AI635" s="193">
        <v>3600</v>
      </c>
      <c r="AJ635" s="193" t="s">
        <v>2342</v>
      </c>
      <c r="AL635" s="197" t="s">
        <v>2362</v>
      </c>
      <c r="AM635" s="193">
        <v>1</v>
      </c>
      <c r="AN635" s="193">
        <v>0</v>
      </c>
      <c r="AO635" s="193">
        <v>0</v>
      </c>
      <c r="AP635" s="193" t="s">
        <v>1524</v>
      </c>
      <c r="AQ635" s="193" t="s">
        <v>214</v>
      </c>
      <c r="AS635" s="197" t="s">
        <v>518</v>
      </c>
      <c r="AT635" s="197" t="s">
        <v>519</v>
      </c>
      <c r="AV635" s="194">
        <v>0</v>
      </c>
      <c r="AW635" s="194">
        <v>0</v>
      </c>
      <c r="AX635" s="196">
        <v>3600</v>
      </c>
      <c r="AY635" s="550">
        <v>3600</v>
      </c>
      <c r="AZ635" s="196">
        <v>0</v>
      </c>
      <c r="BA635" s="196">
        <v>0</v>
      </c>
      <c r="BB635" s="551">
        <v>0</v>
      </c>
      <c r="BC635" s="551">
        <v>3600</v>
      </c>
      <c r="BD635" s="551">
        <v>0</v>
      </c>
      <c r="BF635" s="550">
        <f t="shared" si="122"/>
        <v>0</v>
      </c>
      <c r="BG635" s="550">
        <f t="shared" si="123"/>
        <v>0</v>
      </c>
      <c r="BH635" s="550">
        <f t="shared" si="124"/>
        <v>3600</v>
      </c>
      <c r="BI635" s="550">
        <f t="shared" si="125"/>
        <v>3600</v>
      </c>
      <c r="BJ635" s="550">
        <f t="shared" si="126"/>
        <v>0</v>
      </c>
      <c r="BK635" s="550">
        <f t="shared" si="127"/>
        <v>0</v>
      </c>
      <c r="BL635" s="550">
        <f t="shared" si="128"/>
        <v>0</v>
      </c>
      <c r="BM635" s="550">
        <f t="shared" si="129"/>
        <v>3600</v>
      </c>
      <c r="BO635" s="194"/>
      <c r="BQ635" s="193">
        <f t="shared" si="130"/>
        <v>0</v>
      </c>
      <c r="BR635" s="193">
        <f t="shared" si="131"/>
        <v>0</v>
      </c>
    </row>
    <row r="636" spans="1:70" ht="13.5" customHeight="1">
      <c r="A636" s="193" t="s">
        <v>2340</v>
      </c>
      <c r="B636" s="193" t="s">
        <v>379</v>
      </c>
      <c r="C636" s="193" t="s">
        <v>214</v>
      </c>
      <c r="D636" s="193" t="s">
        <v>1165</v>
      </c>
      <c r="E636" s="193" t="s">
        <v>1166</v>
      </c>
      <c r="F636" s="193" t="s">
        <v>1186</v>
      </c>
      <c r="G636" s="193" t="s">
        <v>1186</v>
      </c>
      <c r="H636" s="193" t="s">
        <v>2245</v>
      </c>
      <c r="I636" s="193" t="s">
        <v>512</v>
      </c>
      <c r="J636" s="193" t="s">
        <v>2363</v>
      </c>
      <c r="K636" s="193" t="s">
        <v>386</v>
      </c>
      <c r="L636" s="193" t="s">
        <v>387</v>
      </c>
      <c r="M636" s="193" t="s">
        <v>378</v>
      </c>
      <c r="N636" s="193" t="s">
        <v>1497</v>
      </c>
      <c r="O636" s="193" t="s">
        <v>129</v>
      </c>
      <c r="P636" s="193" t="s">
        <v>138</v>
      </c>
      <c r="Q636" s="193" t="s">
        <v>137</v>
      </c>
      <c r="R636" s="193" t="s">
        <v>136</v>
      </c>
      <c r="S636" s="193" t="s">
        <v>214</v>
      </c>
      <c r="T636" s="193" t="s">
        <v>389</v>
      </c>
      <c r="U636" s="193" t="s">
        <v>390</v>
      </c>
      <c r="V636" s="193">
        <v>0</v>
      </c>
      <c r="W636" s="193">
        <v>0</v>
      </c>
      <c r="X636" s="193">
        <v>0</v>
      </c>
      <c r="Y636" s="194">
        <v>3700</v>
      </c>
      <c r="Z636" s="193" t="s">
        <v>515</v>
      </c>
      <c r="AA636" s="193" t="s">
        <v>516</v>
      </c>
      <c r="AB636" s="193">
        <v>3700</v>
      </c>
      <c r="AC636" s="193" t="s">
        <v>1500</v>
      </c>
      <c r="AD636" s="193" t="s">
        <v>136</v>
      </c>
      <c r="AE636" s="193">
        <v>3700</v>
      </c>
      <c r="AF636" s="193" t="s">
        <v>518</v>
      </c>
      <c r="AG636" s="193" t="s">
        <v>519</v>
      </c>
      <c r="AH636" s="193">
        <v>0</v>
      </c>
      <c r="AI636" s="193">
        <v>3700</v>
      </c>
      <c r="AJ636" s="193" t="s">
        <v>2342</v>
      </c>
      <c r="AL636" s="197" t="s">
        <v>2364</v>
      </c>
      <c r="AM636" s="193">
        <v>1</v>
      </c>
      <c r="AN636" s="193">
        <v>0</v>
      </c>
      <c r="AO636" s="193">
        <v>0</v>
      </c>
      <c r="AP636" s="193" t="s">
        <v>1524</v>
      </c>
      <c r="AQ636" s="193" t="s">
        <v>214</v>
      </c>
      <c r="AS636" s="197" t="s">
        <v>518</v>
      </c>
      <c r="AT636" s="197" t="s">
        <v>519</v>
      </c>
      <c r="AV636" s="194">
        <v>0</v>
      </c>
      <c r="AW636" s="194">
        <v>0</v>
      </c>
      <c r="AX636" s="194">
        <v>3700</v>
      </c>
      <c r="AY636" s="549">
        <v>3700</v>
      </c>
      <c r="AZ636" s="194">
        <v>0</v>
      </c>
      <c r="BA636" s="194">
        <v>0</v>
      </c>
      <c r="BB636" s="551">
        <v>0</v>
      </c>
      <c r="BC636" s="551">
        <v>3700</v>
      </c>
      <c r="BD636" s="551">
        <v>0</v>
      </c>
      <c r="BF636" s="550">
        <f t="shared" si="122"/>
        <v>0</v>
      </c>
      <c r="BG636" s="550">
        <f t="shared" si="123"/>
        <v>0</v>
      </c>
      <c r="BH636" s="550">
        <f t="shared" si="124"/>
        <v>3700</v>
      </c>
      <c r="BI636" s="550">
        <f t="shared" si="125"/>
        <v>3700</v>
      </c>
      <c r="BJ636" s="550">
        <f t="shared" si="126"/>
        <v>0</v>
      </c>
      <c r="BK636" s="550">
        <f t="shared" si="127"/>
        <v>0</v>
      </c>
      <c r="BL636" s="550">
        <f t="shared" si="128"/>
        <v>0</v>
      </c>
      <c r="BM636" s="550">
        <f t="shared" si="129"/>
        <v>3700</v>
      </c>
      <c r="BO636" s="194"/>
      <c r="BQ636" s="193">
        <f t="shared" si="130"/>
        <v>0</v>
      </c>
      <c r="BR636" s="193">
        <f t="shared" si="131"/>
        <v>0</v>
      </c>
    </row>
    <row r="637" spans="1:70" ht="13.5" customHeight="1">
      <c r="A637" s="193" t="s">
        <v>2340</v>
      </c>
      <c r="B637" s="193" t="s">
        <v>379</v>
      </c>
      <c r="C637" s="193" t="s">
        <v>214</v>
      </c>
      <c r="D637" s="193" t="s">
        <v>1165</v>
      </c>
      <c r="E637" s="193" t="s">
        <v>1166</v>
      </c>
      <c r="F637" s="193" t="s">
        <v>415</v>
      </c>
      <c r="G637" s="193" t="s">
        <v>415</v>
      </c>
      <c r="H637" s="193" t="s">
        <v>2245</v>
      </c>
      <c r="I637" s="193" t="s">
        <v>512</v>
      </c>
      <c r="J637" s="193" t="s">
        <v>2350</v>
      </c>
      <c r="K637" s="193" t="s">
        <v>386</v>
      </c>
      <c r="L637" s="193" t="s">
        <v>387</v>
      </c>
      <c r="M637" s="193" t="s">
        <v>378</v>
      </c>
      <c r="N637" s="193" t="s">
        <v>1497</v>
      </c>
      <c r="O637" s="193" t="s">
        <v>129</v>
      </c>
      <c r="P637" s="193" t="s">
        <v>138</v>
      </c>
      <c r="Q637" s="193" t="s">
        <v>137</v>
      </c>
      <c r="R637" s="193" t="s">
        <v>136</v>
      </c>
      <c r="S637" s="193" t="s">
        <v>214</v>
      </c>
      <c r="T637" s="193" t="s">
        <v>389</v>
      </c>
      <c r="U637" s="193" t="s">
        <v>390</v>
      </c>
      <c r="V637" s="193">
        <v>0</v>
      </c>
      <c r="W637" s="193">
        <v>0</v>
      </c>
      <c r="X637" s="193">
        <v>0</v>
      </c>
      <c r="Y637" s="194">
        <v>3800</v>
      </c>
      <c r="Z637" s="193" t="s">
        <v>515</v>
      </c>
      <c r="AA637" s="193" t="s">
        <v>516</v>
      </c>
      <c r="AB637" s="193">
        <v>3800</v>
      </c>
      <c r="AC637" s="193" t="s">
        <v>1500</v>
      </c>
      <c r="AD637" s="193" t="s">
        <v>136</v>
      </c>
      <c r="AE637" s="193">
        <v>3800</v>
      </c>
      <c r="AF637" s="193" t="s">
        <v>518</v>
      </c>
      <c r="AG637" s="193" t="s">
        <v>519</v>
      </c>
      <c r="AH637" s="193">
        <v>0</v>
      </c>
      <c r="AI637" s="193">
        <v>3800</v>
      </c>
      <c r="AJ637" s="193" t="s">
        <v>2342</v>
      </c>
      <c r="AL637" s="197" t="s">
        <v>2351</v>
      </c>
      <c r="AM637" s="193">
        <v>1</v>
      </c>
      <c r="AN637" s="193">
        <v>0</v>
      </c>
      <c r="AO637" s="193">
        <v>0</v>
      </c>
      <c r="AP637" s="193" t="s">
        <v>1524</v>
      </c>
      <c r="AQ637" s="193" t="s">
        <v>214</v>
      </c>
      <c r="AS637" s="197" t="s">
        <v>518</v>
      </c>
      <c r="AT637" s="197" t="s">
        <v>519</v>
      </c>
      <c r="AV637" s="194">
        <v>0</v>
      </c>
      <c r="AW637" s="194">
        <v>0</v>
      </c>
      <c r="AX637" s="194">
        <v>3800</v>
      </c>
      <c r="AY637" s="549">
        <v>3800</v>
      </c>
      <c r="AZ637" s="194">
        <v>0</v>
      </c>
      <c r="BA637" s="194">
        <v>0</v>
      </c>
      <c r="BB637" s="551">
        <v>0</v>
      </c>
      <c r="BC637" s="551">
        <v>3800</v>
      </c>
      <c r="BD637" s="551">
        <v>0</v>
      </c>
      <c r="BF637" s="550">
        <f t="shared" si="122"/>
        <v>0</v>
      </c>
      <c r="BG637" s="550">
        <f t="shared" si="123"/>
        <v>0</v>
      </c>
      <c r="BH637" s="550">
        <f t="shared" si="124"/>
        <v>3800</v>
      </c>
      <c r="BI637" s="550">
        <f t="shared" si="125"/>
        <v>3800</v>
      </c>
      <c r="BJ637" s="550">
        <f t="shared" si="126"/>
        <v>0</v>
      </c>
      <c r="BK637" s="550">
        <f t="shared" si="127"/>
        <v>0</v>
      </c>
      <c r="BL637" s="550">
        <f t="shared" si="128"/>
        <v>0</v>
      </c>
      <c r="BM637" s="550">
        <f t="shared" si="129"/>
        <v>3800</v>
      </c>
      <c r="BO637" s="194"/>
      <c r="BQ637" s="193">
        <f t="shared" si="130"/>
        <v>0</v>
      </c>
      <c r="BR637" s="193">
        <f t="shared" si="131"/>
        <v>0</v>
      </c>
    </row>
    <row r="638" spans="1:70" ht="13.5" customHeight="1">
      <c r="A638" s="193" t="s">
        <v>378</v>
      </c>
      <c r="B638" s="193" t="s">
        <v>379</v>
      </c>
      <c r="C638" s="193" t="s">
        <v>214</v>
      </c>
      <c r="D638" s="193" t="s">
        <v>1165</v>
      </c>
      <c r="E638" s="193" t="s">
        <v>1166</v>
      </c>
      <c r="F638" s="193" t="s">
        <v>1282</v>
      </c>
      <c r="G638" s="193" t="s">
        <v>1282</v>
      </c>
      <c r="H638" s="193" t="s">
        <v>2365</v>
      </c>
      <c r="I638" s="193" t="s">
        <v>512</v>
      </c>
      <c r="J638" s="193" t="s">
        <v>2366</v>
      </c>
      <c r="K638" s="193" t="s">
        <v>386</v>
      </c>
      <c r="L638" s="193" t="s">
        <v>387</v>
      </c>
      <c r="M638" s="193" t="s">
        <v>378</v>
      </c>
      <c r="N638" s="193" t="s">
        <v>1497</v>
      </c>
      <c r="O638" s="193" t="s">
        <v>129</v>
      </c>
      <c r="P638" s="193" t="s">
        <v>138</v>
      </c>
      <c r="Q638" s="193" t="s">
        <v>137</v>
      </c>
      <c r="R638" s="193" t="s">
        <v>136</v>
      </c>
      <c r="S638" s="193" t="s">
        <v>214</v>
      </c>
      <c r="T638" s="193" t="s">
        <v>389</v>
      </c>
      <c r="U638" s="193" t="s">
        <v>390</v>
      </c>
      <c r="V638" s="193">
        <v>0</v>
      </c>
      <c r="W638" s="193">
        <v>0</v>
      </c>
      <c r="X638" s="193">
        <v>0</v>
      </c>
      <c r="Y638" s="194">
        <v>4900</v>
      </c>
      <c r="Z638" s="193" t="s">
        <v>515</v>
      </c>
      <c r="AA638" s="193" t="s">
        <v>516</v>
      </c>
      <c r="AB638" s="193">
        <v>4900</v>
      </c>
      <c r="AC638" s="193" t="s">
        <v>1500</v>
      </c>
      <c r="AD638" s="193" t="s">
        <v>136</v>
      </c>
      <c r="AE638" s="193">
        <v>4900</v>
      </c>
      <c r="AF638" s="193" t="s">
        <v>518</v>
      </c>
      <c r="AG638" s="193" t="s">
        <v>519</v>
      </c>
      <c r="AH638" s="193">
        <v>0</v>
      </c>
      <c r="AI638" s="193">
        <v>4900</v>
      </c>
      <c r="AJ638" s="193" t="s">
        <v>2300</v>
      </c>
      <c r="AL638" s="197" t="s">
        <v>2367</v>
      </c>
      <c r="AM638" s="193">
        <v>1</v>
      </c>
      <c r="AN638" s="193">
        <v>0</v>
      </c>
      <c r="AO638" s="193">
        <v>0</v>
      </c>
      <c r="AP638" s="193" t="s">
        <v>1524</v>
      </c>
      <c r="AQ638" s="193" t="s">
        <v>214</v>
      </c>
      <c r="AS638" s="197" t="s">
        <v>518</v>
      </c>
      <c r="AT638" s="197" t="s">
        <v>519</v>
      </c>
      <c r="AV638" s="194">
        <v>0</v>
      </c>
      <c r="AW638" s="194">
        <v>0</v>
      </c>
      <c r="AX638" s="194">
        <v>4900</v>
      </c>
      <c r="AY638" s="549">
        <v>4900</v>
      </c>
      <c r="AZ638" s="194">
        <v>0</v>
      </c>
      <c r="BA638" s="194">
        <v>0</v>
      </c>
      <c r="BB638" s="551">
        <v>0</v>
      </c>
      <c r="BC638" s="551">
        <v>4900</v>
      </c>
      <c r="BD638" s="551">
        <v>0</v>
      </c>
      <c r="BF638" s="550">
        <f t="shared" si="122"/>
        <v>0</v>
      </c>
      <c r="BG638" s="550">
        <f t="shared" si="123"/>
        <v>0</v>
      </c>
      <c r="BH638" s="550">
        <f t="shared" si="124"/>
        <v>4900</v>
      </c>
      <c r="BI638" s="550">
        <f t="shared" si="125"/>
        <v>4900</v>
      </c>
      <c r="BJ638" s="550">
        <f t="shared" si="126"/>
        <v>0</v>
      </c>
      <c r="BK638" s="550">
        <f t="shared" si="127"/>
        <v>0</v>
      </c>
      <c r="BL638" s="550">
        <f t="shared" si="128"/>
        <v>0</v>
      </c>
      <c r="BM638" s="550">
        <f t="shared" si="129"/>
        <v>4900</v>
      </c>
      <c r="BO638" s="194"/>
      <c r="BQ638" s="193">
        <f t="shared" si="130"/>
        <v>0</v>
      </c>
      <c r="BR638" s="193">
        <f t="shared" si="131"/>
        <v>0</v>
      </c>
    </row>
    <row r="639" spans="1:70" ht="13.5" customHeight="1">
      <c r="A639" s="193" t="s">
        <v>378</v>
      </c>
      <c r="B639" s="193" t="s">
        <v>379</v>
      </c>
      <c r="C639" s="193" t="s">
        <v>214</v>
      </c>
      <c r="D639" s="193" t="s">
        <v>1165</v>
      </c>
      <c r="E639" s="193" t="s">
        <v>1166</v>
      </c>
      <c r="F639" s="193" t="s">
        <v>941</v>
      </c>
      <c r="G639" s="193" t="s">
        <v>941</v>
      </c>
      <c r="H639" s="193" t="s">
        <v>2365</v>
      </c>
      <c r="I639" s="193" t="s">
        <v>512</v>
      </c>
      <c r="J639" s="193" t="s">
        <v>2368</v>
      </c>
      <c r="K639" s="193" t="s">
        <v>386</v>
      </c>
      <c r="L639" s="193" t="s">
        <v>387</v>
      </c>
      <c r="M639" s="193" t="s">
        <v>378</v>
      </c>
      <c r="N639" s="193" t="s">
        <v>1497</v>
      </c>
      <c r="O639" s="193" t="s">
        <v>129</v>
      </c>
      <c r="P639" s="193" t="s">
        <v>138</v>
      </c>
      <c r="Q639" s="193" t="s">
        <v>137</v>
      </c>
      <c r="R639" s="193" t="s">
        <v>136</v>
      </c>
      <c r="S639" s="193" t="s">
        <v>214</v>
      </c>
      <c r="T639" s="193" t="s">
        <v>389</v>
      </c>
      <c r="U639" s="193" t="s">
        <v>390</v>
      </c>
      <c r="V639" s="193">
        <v>0</v>
      </c>
      <c r="W639" s="193">
        <v>0</v>
      </c>
      <c r="X639" s="193">
        <v>0</v>
      </c>
      <c r="Y639" s="194">
        <v>8900</v>
      </c>
      <c r="Z639" s="193" t="s">
        <v>515</v>
      </c>
      <c r="AA639" s="193" t="s">
        <v>516</v>
      </c>
      <c r="AB639" s="193">
        <v>8900</v>
      </c>
      <c r="AC639" s="193" t="s">
        <v>1500</v>
      </c>
      <c r="AD639" s="193" t="s">
        <v>136</v>
      </c>
      <c r="AE639" s="193">
        <v>8900</v>
      </c>
      <c r="AF639" s="193" t="s">
        <v>518</v>
      </c>
      <c r="AG639" s="193" t="s">
        <v>519</v>
      </c>
      <c r="AH639" s="193">
        <v>0</v>
      </c>
      <c r="AI639" s="193">
        <v>8900</v>
      </c>
      <c r="AJ639" s="193" t="s">
        <v>2270</v>
      </c>
      <c r="AL639" s="197" t="s">
        <v>2369</v>
      </c>
      <c r="AM639" s="193">
        <v>1</v>
      </c>
      <c r="AN639" s="193">
        <v>0</v>
      </c>
      <c r="AO639" s="193">
        <v>0</v>
      </c>
      <c r="AP639" s="193" t="s">
        <v>1524</v>
      </c>
      <c r="AQ639" s="193" t="s">
        <v>214</v>
      </c>
      <c r="AS639" s="197" t="s">
        <v>518</v>
      </c>
      <c r="AT639" s="197" t="s">
        <v>519</v>
      </c>
      <c r="AV639" s="194">
        <v>0</v>
      </c>
      <c r="AW639" s="194">
        <v>0</v>
      </c>
      <c r="AX639" s="194">
        <v>8900</v>
      </c>
      <c r="AY639" s="549">
        <v>8900</v>
      </c>
      <c r="AZ639" s="194">
        <v>0</v>
      </c>
      <c r="BA639" s="194">
        <v>0</v>
      </c>
      <c r="BB639" s="551">
        <v>0</v>
      </c>
      <c r="BC639" s="551">
        <v>8900</v>
      </c>
      <c r="BD639" s="551">
        <v>0</v>
      </c>
      <c r="BF639" s="550">
        <f t="shared" si="122"/>
        <v>0</v>
      </c>
      <c r="BG639" s="550">
        <f t="shared" si="123"/>
        <v>0</v>
      </c>
      <c r="BH639" s="550">
        <f t="shared" si="124"/>
        <v>8900</v>
      </c>
      <c r="BI639" s="550">
        <f t="shared" si="125"/>
        <v>8900</v>
      </c>
      <c r="BJ639" s="550">
        <f t="shared" si="126"/>
        <v>0</v>
      </c>
      <c r="BK639" s="550">
        <f t="shared" si="127"/>
        <v>0</v>
      </c>
      <c r="BL639" s="550">
        <f t="shared" si="128"/>
        <v>0</v>
      </c>
      <c r="BM639" s="550">
        <f t="shared" si="129"/>
        <v>8900</v>
      </c>
      <c r="BO639" s="194"/>
      <c r="BQ639" s="193">
        <f t="shared" si="130"/>
        <v>0</v>
      </c>
      <c r="BR639" s="193">
        <f t="shared" si="131"/>
        <v>0</v>
      </c>
    </row>
    <row r="640" spans="1:70" ht="13.5" customHeight="1">
      <c r="A640" s="193" t="s">
        <v>378</v>
      </c>
      <c r="B640" s="193" t="s">
        <v>379</v>
      </c>
      <c r="C640" s="193" t="s">
        <v>214</v>
      </c>
      <c r="D640" s="193" t="s">
        <v>1165</v>
      </c>
      <c r="E640" s="193" t="s">
        <v>1166</v>
      </c>
      <c r="F640" s="193" t="s">
        <v>1443</v>
      </c>
      <c r="G640" s="193" t="s">
        <v>1443</v>
      </c>
      <c r="H640" s="193" t="s">
        <v>2365</v>
      </c>
      <c r="I640" s="193" t="s">
        <v>512</v>
      </c>
      <c r="J640" s="193" t="s">
        <v>2370</v>
      </c>
      <c r="K640" s="193" t="s">
        <v>386</v>
      </c>
      <c r="L640" s="193" t="s">
        <v>387</v>
      </c>
      <c r="M640" s="193" t="s">
        <v>378</v>
      </c>
      <c r="N640" s="193" t="s">
        <v>1497</v>
      </c>
      <c r="O640" s="193" t="s">
        <v>129</v>
      </c>
      <c r="P640" s="193" t="s">
        <v>138</v>
      </c>
      <c r="Q640" s="193" t="s">
        <v>137</v>
      </c>
      <c r="R640" s="193" t="s">
        <v>136</v>
      </c>
      <c r="S640" s="193" t="s">
        <v>214</v>
      </c>
      <c r="T640" s="193" t="s">
        <v>389</v>
      </c>
      <c r="U640" s="193" t="s">
        <v>390</v>
      </c>
      <c r="V640" s="193">
        <v>0</v>
      </c>
      <c r="W640" s="193">
        <v>0</v>
      </c>
      <c r="X640" s="193">
        <v>0</v>
      </c>
      <c r="Y640" s="194">
        <v>19000</v>
      </c>
      <c r="Z640" s="193" t="s">
        <v>515</v>
      </c>
      <c r="AA640" s="193" t="s">
        <v>516</v>
      </c>
      <c r="AB640" s="193">
        <v>19000</v>
      </c>
      <c r="AC640" s="193" t="s">
        <v>1500</v>
      </c>
      <c r="AD640" s="193" t="s">
        <v>136</v>
      </c>
      <c r="AE640" s="193">
        <v>19000</v>
      </c>
      <c r="AF640" s="193" t="s">
        <v>518</v>
      </c>
      <c r="AG640" s="193" t="s">
        <v>519</v>
      </c>
      <c r="AH640" s="193">
        <v>0</v>
      </c>
      <c r="AI640" s="193">
        <v>19000</v>
      </c>
      <c r="AJ640" s="193" t="s">
        <v>2260</v>
      </c>
      <c r="AL640" s="197" t="s">
        <v>2371</v>
      </c>
      <c r="AM640" s="193">
        <v>1</v>
      </c>
      <c r="AN640" s="193">
        <v>0</v>
      </c>
      <c r="AO640" s="193">
        <v>0</v>
      </c>
      <c r="AP640" s="193" t="s">
        <v>1524</v>
      </c>
      <c r="AQ640" s="193" t="s">
        <v>214</v>
      </c>
      <c r="AS640" s="197" t="s">
        <v>518</v>
      </c>
      <c r="AT640" s="197" t="s">
        <v>519</v>
      </c>
      <c r="AV640" s="196">
        <v>0</v>
      </c>
      <c r="AW640" s="196">
        <v>0</v>
      </c>
      <c r="AX640" s="196">
        <v>19000</v>
      </c>
      <c r="AY640" s="550">
        <v>19000</v>
      </c>
      <c r="AZ640" s="196">
        <v>0</v>
      </c>
      <c r="BA640" s="196">
        <v>0</v>
      </c>
      <c r="BB640" s="551">
        <v>0</v>
      </c>
      <c r="BC640" s="551">
        <v>19000</v>
      </c>
      <c r="BD640" s="551">
        <v>0</v>
      </c>
      <c r="BF640" s="550">
        <f t="shared" si="122"/>
        <v>0</v>
      </c>
      <c r="BG640" s="550">
        <f t="shared" si="123"/>
        <v>0</v>
      </c>
      <c r="BH640" s="550">
        <f t="shared" si="124"/>
        <v>19000</v>
      </c>
      <c r="BI640" s="550">
        <f t="shared" si="125"/>
        <v>19000</v>
      </c>
      <c r="BJ640" s="550">
        <f t="shared" si="126"/>
        <v>0</v>
      </c>
      <c r="BK640" s="550">
        <f t="shared" si="127"/>
        <v>0</v>
      </c>
      <c r="BL640" s="550">
        <f t="shared" si="128"/>
        <v>0</v>
      </c>
      <c r="BM640" s="550">
        <f t="shared" si="129"/>
        <v>19000</v>
      </c>
      <c r="BO640" s="194"/>
      <c r="BQ640" s="193">
        <f t="shared" si="130"/>
        <v>0</v>
      </c>
      <c r="BR640" s="193">
        <f t="shared" si="131"/>
        <v>0</v>
      </c>
    </row>
    <row r="641" spans="1:70" ht="13.5" customHeight="1">
      <c r="A641" s="193" t="s">
        <v>2340</v>
      </c>
      <c r="B641" s="193" t="s">
        <v>379</v>
      </c>
      <c r="C641" s="193" t="s">
        <v>214</v>
      </c>
      <c r="D641" s="193" t="s">
        <v>1165</v>
      </c>
      <c r="E641" s="193" t="s">
        <v>1166</v>
      </c>
      <c r="F641" s="193" t="s">
        <v>1048</v>
      </c>
      <c r="G641" s="193" t="s">
        <v>1048</v>
      </c>
      <c r="H641" s="193" t="s">
        <v>2365</v>
      </c>
      <c r="I641" s="193" t="s">
        <v>512</v>
      </c>
      <c r="J641" s="193" t="s">
        <v>2372</v>
      </c>
      <c r="K641" s="193" t="s">
        <v>386</v>
      </c>
      <c r="L641" s="193" t="s">
        <v>387</v>
      </c>
      <c r="M641" s="193" t="s">
        <v>378</v>
      </c>
      <c r="N641" s="193" t="s">
        <v>1497</v>
      </c>
      <c r="O641" s="193" t="s">
        <v>129</v>
      </c>
      <c r="P641" s="193" t="s">
        <v>138</v>
      </c>
      <c r="Q641" s="193" t="s">
        <v>137</v>
      </c>
      <c r="R641" s="193" t="s">
        <v>136</v>
      </c>
      <c r="S641" s="193" t="s">
        <v>214</v>
      </c>
      <c r="T641" s="193" t="s">
        <v>389</v>
      </c>
      <c r="U641" s="193" t="s">
        <v>390</v>
      </c>
      <c r="V641" s="193">
        <v>0</v>
      </c>
      <c r="W641" s="193">
        <v>0</v>
      </c>
      <c r="X641" s="193">
        <v>0</v>
      </c>
      <c r="Y641" s="194">
        <v>3300</v>
      </c>
      <c r="Z641" s="193" t="s">
        <v>515</v>
      </c>
      <c r="AA641" s="193" t="s">
        <v>516</v>
      </c>
      <c r="AB641" s="193">
        <v>3300</v>
      </c>
      <c r="AC641" s="193" t="s">
        <v>1500</v>
      </c>
      <c r="AD641" s="193" t="s">
        <v>136</v>
      </c>
      <c r="AE641" s="193">
        <v>3300</v>
      </c>
      <c r="AF641" s="193" t="s">
        <v>518</v>
      </c>
      <c r="AG641" s="193" t="s">
        <v>519</v>
      </c>
      <c r="AH641" s="193">
        <v>0</v>
      </c>
      <c r="AI641" s="193">
        <v>3300</v>
      </c>
      <c r="AJ641" s="193" t="s">
        <v>2342</v>
      </c>
      <c r="AL641" s="197" t="s">
        <v>2373</v>
      </c>
      <c r="AM641" s="193">
        <v>1</v>
      </c>
      <c r="AN641" s="193">
        <v>0</v>
      </c>
      <c r="AO641" s="193">
        <v>0</v>
      </c>
      <c r="AP641" s="193" t="s">
        <v>1524</v>
      </c>
      <c r="AQ641" s="193" t="s">
        <v>214</v>
      </c>
      <c r="AS641" s="197" t="s">
        <v>518</v>
      </c>
      <c r="AT641" s="197" t="s">
        <v>519</v>
      </c>
      <c r="AV641" s="196">
        <v>0</v>
      </c>
      <c r="AW641" s="196">
        <v>0</v>
      </c>
      <c r="AX641" s="196">
        <v>3300</v>
      </c>
      <c r="AY641" s="550">
        <v>3300</v>
      </c>
      <c r="AZ641" s="196">
        <v>0</v>
      </c>
      <c r="BA641" s="196">
        <v>0</v>
      </c>
      <c r="BB641" s="551">
        <v>0</v>
      </c>
      <c r="BC641" s="551">
        <v>3300</v>
      </c>
      <c r="BD641" s="551">
        <v>0</v>
      </c>
      <c r="BF641" s="550">
        <f t="shared" si="122"/>
        <v>0</v>
      </c>
      <c r="BG641" s="550">
        <f t="shared" si="123"/>
        <v>0</v>
      </c>
      <c r="BH641" s="550">
        <f t="shared" si="124"/>
        <v>3300</v>
      </c>
      <c r="BI641" s="550">
        <f t="shared" si="125"/>
        <v>3300</v>
      </c>
      <c r="BJ641" s="550">
        <f t="shared" si="126"/>
        <v>0</v>
      </c>
      <c r="BK641" s="550">
        <f t="shared" si="127"/>
        <v>0</v>
      </c>
      <c r="BL641" s="550">
        <f t="shared" si="128"/>
        <v>0</v>
      </c>
      <c r="BM641" s="550">
        <f t="shared" si="129"/>
        <v>3300</v>
      </c>
      <c r="BO641" s="194"/>
      <c r="BQ641" s="193">
        <f t="shared" si="130"/>
        <v>0</v>
      </c>
      <c r="BR641" s="193">
        <f t="shared" si="131"/>
        <v>0</v>
      </c>
    </row>
    <row r="642" spans="1:70" ht="13.5" customHeight="1">
      <c r="A642" s="193" t="s">
        <v>378</v>
      </c>
      <c r="B642" s="193" t="s">
        <v>379</v>
      </c>
      <c r="C642" s="193" t="s">
        <v>214</v>
      </c>
      <c r="D642" s="193" t="s">
        <v>1098</v>
      </c>
      <c r="E642" s="193" t="s">
        <v>1099</v>
      </c>
      <c r="F642" s="193" t="s">
        <v>898</v>
      </c>
      <c r="G642" s="193" t="s">
        <v>898</v>
      </c>
      <c r="H642" s="193" t="s">
        <v>2374</v>
      </c>
      <c r="I642" s="193" t="s">
        <v>384</v>
      </c>
      <c r="J642" s="193" t="s">
        <v>2375</v>
      </c>
      <c r="K642" s="193" t="s">
        <v>386</v>
      </c>
      <c r="L642" s="193" t="s">
        <v>387</v>
      </c>
      <c r="M642" s="193" t="s">
        <v>378</v>
      </c>
      <c r="N642" s="193" t="s">
        <v>1497</v>
      </c>
      <c r="O642" s="193" t="s">
        <v>129</v>
      </c>
      <c r="P642" s="193" t="s">
        <v>138</v>
      </c>
      <c r="Q642" s="193" t="s">
        <v>137</v>
      </c>
      <c r="R642" s="193" t="s">
        <v>136</v>
      </c>
      <c r="S642" s="193" t="s">
        <v>214</v>
      </c>
      <c r="T642" s="193" t="s">
        <v>389</v>
      </c>
      <c r="U642" s="193" t="s">
        <v>390</v>
      </c>
      <c r="V642" s="193">
        <v>0</v>
      </c>
      <c r="W642" s="193">
        <v>0</v>
      </c>
      <c r="X642" s="193">
        <v>0</v>
      </c>
      <c r="Y642" s="194">
        <v>4356</v>
      </c>
      <c r="Z642" s="193" t="s">
        <v>1498</v>
      </c>
      <c r="AA642" s="193" t="s">
        <v>1499</v>
      </c>
      <c r="AB642" s="193">
        <v>4356</v>
      </c>
      <c r="AC642" s="193" t="s">
        <v>1500</v>
      </c>
      <c r="AD642" s="193" t="s">
        <v>136</v>
      </c>
      <c r="AE642" s="193">
        <v>4356</v>
      </c>
      <c r="AF642" s="193" t="s">
        <v>394</v>
      </c>
      <c r="AG642" s="193" t="s">
        <v>395</v>
      </c>
      <c r="AH642" s="193">
        <v>396</v>
      </c>
      <c r="AI642" s="193">
        <v>3960</v>
      </c>
      <c r="AJ642" s="193" t="s">
        <v>2376</v>
      </c>
      <c r="AL642" s="197" t="s">
        <v>2377</v>
      </c>
      <c r="AM642" s="193">
        <v>1</v>
      </c>
      <c r="AN642" s="193">
        <v>0</v>
      </c>
      <c r="AO642" s="193">
        <v>0</v>
      </c>
      <c r="AP642" s="193">
        <v>0</v>
      </c>
      <c r="AQ642" s="193" t="s">
        <v>214</v>
      </c>
      <c r="AS642" s="197" t="s">
        <v>394</v>
      </c>
      <c r="AT642" s="197" t="s">
        <v>395</v>
      </c>
      <c r="AV642" s="196">
        <v>871</v>
      </c>
      <c r="AW642" s="196">
        <v>0</v>
      </c>
      <c r="AX642" s="196">
        <v>0</v>
      </c>
      <c r="AY642" s="550">
        <v>871</v>
      </c>
      <c r="AZ642" s="196">
        <v>0</v>
      </c>
      <c r="BA642" s="196">
        <v>3485</v>
      </c>
      <c r="BB642" s="551">
        <v>3485</v>
      </c>
      <c r="BC642" s="551">
        <v>4356</v>
      </c>
      <c r="BD642" s="551">
        <v>0</v>
      </c>
      <c r="BF642" s="550">
        <f t="shared" si="122"/>
        <v>792</v>
      </c>
      <c r="BG642" s="550">
        <f t="shared" si="123"/>
        <v>0</v>
      </c>
      <c r="BH642" s="550">
        <f t="shared" si="124"/>
        <v>0</v>
      </c>
      <c r="BI642" s="550">
        <f t="shared" si="125"/>
        <v>792</v>
      </c>
      <c r="BJ642" s="550">
        <f t="shared" si="126"/>
        <v>0</v>
      </c>
      <c r="BK642" s="550">
        <f t="shared" si="127"/>
        <v>3168</v>
      </c>
      <c r="BL642" s="550">
        <f t="shared" si="128"/>
        <v>3168</v>
      </c>
      <c r="BM642" s="550">
        <f t="shared" si="129"/>
        <v>3960</v>
      </c>
      <c r="BO642" s="194"/>
      <c r="BQ642" s="193">
        <f t="shared" si="130"/>
        <v>-0.18181818181813014</v>
      </c>
      <c r="BR642" s="193">
        <f t="shared" si="131"/>
        <v>0.18181818181801646</v>
      </c>
    </row>
    <row r="643" spans="1:70" ht="13.5" customHeight="1">
      <c r="A643" s="193" t="s">
        <v>378</v>
      </c>
      <c r="B643" s="193" t="s">
        <v>379</v>
      </c>
      <c r="C643" s="193" t="s">
        <v>214</v>
      </c>
      <c r="D643" s="193" t="s">
        <v>1098</v>
      </c>
      <c r="E643" s="193" t="s">
        <v>1099</v>
      </c>
      <c r="F643" s="193" t="s">
        <v>1588</v>
      </c>
      <c r="G643" s="193" t="s">
        <v>1588</v>
      </c>
      <c r="H643" s="193" t="s">
        <v>2378</v>
      </c>
      <c r="I643" s="193" t="s">
        <v>384</v>
      </c>
      <c r="J643" s="193" t="s">
        <v>2379</v>
      </c>
      <c r="K643" s="193" t="s">
        <v>386</v>
      </c>
      <c r="L643" s="193" t="s">
        <v>387</v>
      </c>
      <c r="M643" s="193" t="s">
        <v>378</v>
      </c>
      <c r="N643" s="193" t="s">
        <v>1497</v>
      </c>
      <c r="O643" s="193" t="s">
        <v>129</v>
      </c>
      <c r="P643" s="193" t="s">
        <v>138</v>
      </c>
      <c r="Q643" s="193" t="s">
        <v>137</v>
      </c>
      <c r="R643" s="193" t="s">
        <v>136</v>
      </c>
      <c r="S643" s="193" t="s">
        <v>214</v>
      </c>
      <c r="T643" s="193" t="s">
        <v>389</v>
      </c>
      <c r="U643" s="193" t="s">
        <v>390</v>
      </c>
      <c r="V643" s="193">
        <v>0</v>
      </c>
      <c r="W643" s="193">
        <v>0</v>
      </c>
      <c r="X643" s="193">
        <v>0</v>
      </c>
      <c r="Y643" s="194">
        <v>534</v>
      </c>
      <c r="Z643" s="193" t="s">
        <v>1498</v>
      </c>
      <c r="AA643" s="193" t="s">
        <v>1499</v>
      </c>
      <c r="AB643" s="193">
        <v>534</v>
      </c>
      <c r="AC643" s="193" t="s">
        <v>1500</v>
      </c>
      <c r="AD643" s="193" t="s">
        <v>136</v>
      </c>
      <c r="AE643" s="193">
        <v>534</v>
      </c>
      <c r="AF643" s="193" t="s">
        <v>394</v>
      </c>
      <c r="AG643" s="193" t="s">
        <v>395</v>
      </c>
      <c r="AH643" s="193">
        <v>48</v>
      </c>
      <c r="AI643" s="193">
        <v>486</v>
      </c>
      <c r="AJ643" s="193" t="s">
        <v>2376</v>
      </c>
      <c r="AL643" s="197" t="s">
        <v>2380</v>
      </c>
      <c r="AM643" s="193">
        <v>1</v>
      </c>
      <c r="AN643" s="193">
        <v>0</v>
      </c>
      <c r="AO643" s="193">
        <v>0</v>
      </c>
      <c r="AP643" s="193">
        <v>0</v>
      </c>
      <c r="AQ643" s="193" t="s">
        <v>214</v>
      </c>
      <c r="AS643" s="197" t="s">
        <v>394</v>
      </c>
      <c r="AT643" s="197" t="s">
        <v>395</v>
      </c>
      <c r="AV643" s="196">
        <v>107</v>
      </c>
      <c r="AW643" s="196">
        <v>0</v>
      </c>
      <c r="AX643" s="196">
        <v>0</v>
      </c>
      <c r="AY643" s="550">
        <v>107</v>
      </c>
      <c r="AZ643" s="196">
        <v>0</v>
      </c>
      <c r="BA643" s="196">
        <v>427</v>
      </c>
      <c r="BB643" s="551">
        <v>427</v>
      </c>
      <c r="BC643" s="551">
        <v>534</v>
      </c>
      <c r="BD643" s="551">
        <v>0</v>
      </c>
      <c r="BF643" s="550">
        <f t="shared" si="122"/>
        <v>97</v>
      </c>
      <c r="BG643" s="550">
        <f t="shared" si="123"/>
        <v>0</v>
      </c>
      <c r="BH643" s="550">
        <f t="shared" si="124"/>
        <v>0</v>
      </c>
      <c r="BI643" s="550">
        <f t="shared" si="125"/>
        <v>97</v>
      </c>
      <c r="BJ643" s="550">
        <f t="shared" si="126"/>
        <v>0</v>
      </c>
      <c r="BK643" s="550">
        <f t="shared" si="127"/>
        <v>388</v>
      </c>
      <c r="BL643" s="550">
        <f t="shared" si="128"/>
        <v>388</v>
      </c>
      <c r="BM643" s="550">
        <f t="shared" si="129"/>
        <v>485</v>
      </c>
      <c r="BO643" s="194"/>
      <c r="BQ643" s="193">
        <f t="shared" si="130"/>
        <v>0.27272727272726627</v>
      </c>
      <c r="BR643" s="193">
        <f t="shared" si="131"/>
        <v>0.18181818181818699</v>
      </c>
    </row>
    <row r="644" spans="1:70" ht="13.5" customHeight="1">
      <c r="A644" s="193" t="s">
        <v>378</v>
      </c>
      <c r="B644" s="193" t="s">
        <v>379</v>
      </c>
      <c r="C644" s="193" t="s">
        <v>214</v>
      </c>
      <c r="D644" s="193" t="s">
        <v>1098</v>
      </c>
      <c r="E644" s="193" t="s">
        <v>1099</v>
      </c>
      <c r="F644" s="193" t="s">
        <v>2381</v>
      </c>
      <c r="G644" s="193" t="s">
        <v>2381</v>
      </c>
      <c r="H644" s="193" t="s">
        <v>2382</v>
      </c>
      <c r="I644" s="193" t="s">
        <v>384</v>
      </c>
      <c r="J644" s="193" t="s">
        <v>2383</v>
      </c>
      <c r="K644" s="193" t="s">
        <v>386</v>
      </c>
      <c r="L644" s="193" t="s">
        <v>387</v>
      </c>
      <c r="M644" s="193" t="s">
        <v>378</v>
      </c>
      <c r="N644" s="193" t="s">
        <v>1497</v>
      </c>
      <c r="O644" s="193" t="s">
        <v>129</v>
      </c>
      <c r="P644" s="193" t="s">
        <v>138</v>
      </c>
      <c r="Q644" s="193" t="s">
        <v>137</v>
      </c>
      <c r="R644" s="193" t="s">
        <v>136</v>
      </c>
      <c r="S644" s="193" t="s">
        <v>214</v>
      </c>
      <c r="T644" s="193" t="s">
        <v>389</v>
      </c>
      <c r="U644" s="193" t="s">
        <v>390</v>
      </c>
      <c r="V644" s="193">
        <v>0</v>
      </c>
      <c r="W644" s="193">
        <v>0</v>
      </c>
      <c r="X644" s="193">
        <v>0</v>
      </c>
      <c r="Y644" s="194">
        <v>112990</v>
      </c>
      <c r="Z644" s="193" t="s">
        <v>1498</v>
      </c>
      <c r="AA644" s="193" t="s">
        <v>1499</v>
      </c>
      <c r="AB644" s="193">
        <v>112990</v>
      </c>
      <c r="AC644" s="193" t="s">
        <v>1500</v>
      </c>
      <c r="AD644" s="193" t="s">
        <v>136</v>
      </c>
      <c r="AE644" s="193">
        <v>112990</v>
      </c>
      <c r="AF644" s="193" t="s">
        <v>394</v>
      </c>
      <c r="AG644" s="193" t="s">
        <v>395</v>
      </c>
      <c r="AH644" s="193">
        <v>10271</v>
      </c>
      <c r="AI644" s="193">
        <v>102719</v>
      </c>
      <c r="AJ644" s="193" t="s">
        <v>2376</v>
      </c>
      <c r="AL644" s="197" t="s">
        <v>2384</v>
      </c>
      <c r="AM644" s="193">
        <v>1</v>
      </c>
      <c r="AN644" s="193">
        <v>0</v>
      </c>
      <c r="AO644" s="193">
        <v>0</v>
      </c>
      <c r="AP644" s="193">
        <v>0</v>
      </c>
      <c r="AQ644" s="193" t="s">
        <v>214</v>
      </c>
      <c r="AS644" s="197" t="s">
        <v>394</v>
      </c>
      <c r="AT644" s="197" t="s">
        <v>395</v>
      </c>
      <c r="AV644" s="196">
        <v>22598</v>
      </c>
      <c r="AW644" s="196">
        <v>0</v>
      </c>
      <c r="AX644" s="196">
        <v>0</v>
      </c>
      <c r="AY644" s="550">
        <v>22598</v>
      </c>
      <c r="AZ644" s="196">
        <v>0</v>
      </c>
      <c r="BA644" s="196">
        <v>90392</v>
      </c>
      <c r="BB644" s="551">
        <v>90392</v>
      </c>
      <c r="BC644" s="551">
        <v>112990</v>
      </c>
      <c r="BD644" s="551">
        <v>0</v>
      </c>
      <c r="BF644" s="550">
        <f t="shared" si="122"/>
        <v>20544</v>
      </c>
      <c r="BG644" s="550">
        <f t="shared" si="123"/>
        <v>0</v>
      </c>
      <c r="BH644" s="550">
        <f t="shared" si="124"/>
        <v>0</v>
      </c>
      <c r="BI644" s="550">
        <f t="shared" si="125"/>
        <v>20544</v>
      </c>
      <c r="BJ644" s="550">
        <f t="shared" si="126"/>
        <v>0</v>
      </c>
      <c r="BK644" s="574">
        <f>+IFERROR(ROUND(BA644*100/(100+$AT644),0),BA644)-1</f>
        <v>82174</v>
      </c>
      <c r="BL644" s="550">
        <f t="shared" si="128"/>
        <v>82174</v>
      </c>
      <c r="BM644" s="550">
        <f t="shared" si="129"/>
        <v>102718</v>
      </c>
      <c r="BO644" s="194"/>
      <c r="BQ644" s="193">
        <f t="shared" si="130"/>
        <v>-0.36363636363603291</v>
      </c>
      <c r="BR644" s="193">
        <f t="shared" si="131"/>
        <v>0.54545454545586836</v>
      </c>
    </row>
    <row r="645" spans="1:70" ht="13.5" customHeight="1">
      <c r="A645" s="193" t="s">
        <v>378</v>
      </c>
      <c r="B645" s="193" t="s">
        <v>379</v>
      </c>
      <c r="C645" s="193" t="s">
        <v>214</v>
      </c>
      <c r="D645" s="193" t="s">
        <v>1098</v>
      </c>
      <c r="E645" s="193" t="s">
        <v>1099</v>
      </c>
      <c r="F645" s="193" t="s">
        <v>439</v>
      </c>
      <c r="G645" s="193" t="s">
        <v>439</v>
      </c>
      <c r="H645" s="193" t="s">
        <v>2385</v>
      </c>
      <c r="I645" s="193" t="s">
        <v>384</v>
      </c>
      <c r="J645" s="193" t="s">
        <v>2386</v>
      </c>
      <c r="K645" s="193" t="s">
        <v>386</v>
      </c>
      <c r="L645" s="193" t="s">
        <v>387</v>
      </c>
      <c r="M645" s="193" t="s">
        <v>378</v>
      </c>
      <c r="N645" s="193" t="s">
        <v>1497</v>
      </c>
      <c r="O645" s="193" t="s">
        <v>129</v>
      </c>
      <c r="P645" s="193" t="s">
        <v>138</v>
      </c>
      <c r="Q645" s="193" t="s">
        <v>137</v>
      </c>
      <c r="R645" s="193" t="s">
        <v>136</v>
      </c>
      <c r="S645" s="193" t="s">
        <v>214</v>
      </c>
      <c r="T645" s="193" t="s">
        <v>389</v>
      </c>
      <c r="U645" s="193" t="s">
        <v>390</v>
      </c>
      <c r="V645" s="193">
        <v>0</v>
      </c>
      <c r="W645" s="193">
        <v>0</v>
      </c>
      <c r="X645" s="193">
        <v>0</v>
      </c>
      <c r="Y645" s="194">
        <v>2861</v>
      </c>
      <c r="Z645" s="193" t="s">
        <v>1498</v>
      </c>
      <c r="AA645" s="193" t="s">
        <v>1499</v>
      </c>
      <c r="AB645" s="193">
        <v>2861</v>
      </c>
      <c r="AC645" s="193" t="s">
        <v>1500</v>
      </c>
      <c r="AD645" s="193" t="s">
        <v>136</v>
      </c>
      <c r="AE645" s="193">
        <v>2861</v>
      </c>
      <c r="AF645" s="193" t="s">
        <v>394</v>
      </c>
      <c r="AG645" s="193" t="s">
        <v>395</v>
      </c>
      <c r="AH645" s="193">
        <v>260</v>
      </c>
      <c r="AI645" s="193">
        <v>2601</v>
      </c>
      <c r="AJ645" s="193" t="s">
        <v>2387</v>
      </c>
      <c r="AL645" s="197" t="s">
        <v>2388</v>
      </c>
      <c r="AM645" s="193">
        <v>1</v>
      </c>
      <c r="AN645" s="193">
        <v>0</v>
      </c>
      <c r="AO645" s="193">
        <v>0</v>
      </c>
      <c r="AP645" s="193">
        <v>0</v>
      </c>
      <c r="AQ645" s="193" t="s">
        <v>214</v>
      </c>
      <c r="AS645" s="197" t="s">
        <v>394</v>
      </c>
      <c r="AT645" s="197" t="s">
        <v>395</v>
      </c>
      <c r="AV645" s="194">
        <v>572</v>
      </c>
      <c r="AW645" s="194">
        <v>0</v>
      </c>
      <c r="AX645" s="194">
        <v>0</v>
      </c>
      <c r="AY645" s="549">
        <v>572</v>
      </c>
      <c r="AZ645" s="194">
        <v>0</v>
      </c>
      <c r="BA645" s="194">
        <v>2289</v>
      </c>
      <c r="BB645" s="551">
        <v>2289</v>
      </c>
      <c r="BC645" s="551">
        <v>2861</v>
      </c>
      <c r="BD645" s="551">
        <v>0</v>
      </c>
      <c r="BF645" s="550">
        <f t="shared" si="122"/>
        <v>520</v>
      </c>
      <c r="BG645" s="550">
        <f t="shared" si="123"/>
        <v>0</v>
      </c>
      <c r="BH645" s="550">
        <f t="shared" si="124"/>
        <v>0</v>
      </c>
      <c r="BI645" s="550">
        <f t="shared" si="125"/>
        <v>520</v>
      </c>
      <c r="BJ645" s="550">
        <f t="shared" si="126"/>
        <v>0</v>
      </c>
      <c r="BK645" s="550">
        <f t="shared" si="127"/>
        <v>2081</v>
      </c>
      <c r="BL645" s="550">
        <f t="shared" si="128"/>
        <v>2081</v>
      </c>
      <c r="BM645" s="550">
        <f t="shared" si="129"/>
        <v>2601</v>
      </c>
      <c r="BO645" s="194"/>
      <c r="BQ645" s="193">
        <f t="shared" si="130"/>
        <v>0</v>
      </c>
      <c r="BR645" s="193">
        <f t="shared" si="131"/>
        <v>-9.0909090909008228E-2</v>
      </c>
    </row>
    <row r="646" spans="1:70" ht="13.5" customHeight="1">
      <c r="A646" s="193" t="s">
        <v>378</v>
      </c>
      <c r="B646" s="193" t="s">
        <v>379</v>
      </c>
      <c r="C646" s="193" t="s">
        <v>214</v>
      </c>
      <c r="D646" s="193" t="s">
        <v>380</v>
      </c>
      <c r="E646" s="193" t="s">
        <v>381</v>
      </c>
      <c r="F646" s="193" t="s">
        <v>439</v>
      </c>
      <c r="G646" s="193" t="s">
        <v>439</v>
      </c>
      <c r="H646" s="193" t="s">
        <v>2389</v>
      </c>
      <c r="I646" s="193" t="s">
        <v>384</v>
      </c>
      <c r="J646" s="193" t="s">
        <v>2390</v>
      </c>
      <c r="K646" s="193" t="s">
        <v>386</v>
      </c>
      <c r="L646" s="193" t="s">
        <v>387</v>
      </c>
      <c r="M646" s="193" t="s">
        <v>378</v>
      </c>
      <c r="N646" s="193" t="s">
        <v>1497</v>
      </c>
      <c r="O646" s="193" t="s">
        <v>129</v>
      </c>
      <c r="P646" s="193" t="s">
        <v>138</v>
      </c>
      <c r="Q646" s="193" t="s">
        <v>137</v>
      </c>
      <c r="R646" s="193" t="s">
        <v>136</v>
      </c>
      <c r="S646" s="193" t="s">
        <v>214</v>
      </c>
      <c r="T646" s="193" t="s">
        <v>389</v>
      </c>
      <c r="U646" s="193" t="s">
        <v>390</v>
      </c>
      <c r="V646" s="193">
        <v>0</v>
      </c>
      <c r="W646" s="193">
        <v>0</v>
      </c>
      <c r="X646" s="193">
        <v>0</v>
      </c>
      <c r="Y646" s="194">
        <v>6948989</v>
      </c>
      <c r="Z646" s="193" t="s">
        <v>1498</v>
      </c>
      <c r="AA646" s="193" t="s">
        <v>1499</v>
      </c>
      <c r="AB646" s="193">
        <v>6948989</v>
      </c>
      <c r="AC646" s="193" t="s">
        <v>1500</v>
      </c>
      <c r="AD646" s="193" t="s">
        <v>136</v>
      </c>
      <c r="AE646" s="193">
        <v>6948989</v>
      </c>
      <c r="AF646" s="193" t="s">
        <v>518</v>
      </c>
      <c r="AG646" s="193" t="s">
        <v>519</v>
      </c>
      <c r="AH646" s="193">
        <v>0</v>
      </c>
      <c r="AI646" s="193">
        <v>6948989</v>
      </c>
      <c r="AJ646" s="193" t="s">
        <v>2391</v>
      </c>
      <c r="AL646" s="197" t="s">
        <v>2392</v>
      </c>
      <c r="AM646" s="193">
        <v>2</v>
      </c>
      <c r="AN646" s="193">
        <v>17</v>
      </c>
      <c r="AO646" s="193">
        <v>10</v>
      </c>
      <c r="AP646" s="193">
        <v>0</v>
      </c>
      <c r="AQ646" s="193" t="s">
        <v>214</v>
      </c>
      <c r="AS646" s="197">
        <v>17</v>
      </c>
      <c r="AT646" s="197">
        <v>10</v>
      </c>
      <c r="AV646" s="194">
        <v>0</v>
      </c>
      <c r="AW646" s="194">
        <v>0</v>
      </c>
      <c r="AX646" s="194">
        <v>0</v>
      </c>
      <c r="AY646" s="549">
        <v>0</v>
      </c>
      <c r="AZ646" s="194">
        <v>0</v>
      </c>
      <c r="BA646" s="194">
        <v>6948989</v>
      </c>
      <c r="BB646" s="551">
        <v>6948989</v>
      </c>
      <c r="BC646" s="551">
        <v>6948989</v>
      </c>
      <c r="BD646" s="551">
        <v>0</v>
      </c>
      <c r="BF646" s="550">
        <f t="shared" si="122"/>
        <v>0</v>
      </c>
      <c r="BG646" s="550">
        <f t="shared" si="123"/>
        <v>0</v>
      </c>
      <c r="BH646" s="550">
        <f t="shared" si="124"/>
        <v>0</v>
      </c>
      <c r="BI646" s="550">
        <f t="shared" si="125"/>
        <v>0</v>
      </c>
      <c r="BJ646" s="550">
        <f t="shared" si="126"/>
        <v>0</v>
      </c>
      <c r="BK646" s="550">
        <f t="shared" si="127"/>
        <v>6317263</v>
      </c>
      <c r="BL646" s="550">
        <f t="shared" si="128"/>
        <v>6317263</v>
      </c>
      <c r="BM646" s="550">
        <f t="shared" si="129"/>
        <v>6317263</v>
      </c>
      <c r="BO646" s="194"/>
      <c r="BQ646" s="193">
        <f t="shared" si="130"/>
        <v>0</v>
      </c>
      <c r="BR646" s="193">
        <f t="shared" si="131"/>
        <v>-0.27272727247327566</v>
      </c>
    </row>
    <row r="647" spans="1:70" ht="13.5" customHeight="1">
      <c r="A647" s="193" t="s">
        <v>378</v>
      </c>
      <c r="B647" s="193" t="s">
        <v>379</v>
      </c>
      <c r="C647" s="193" t="s">
        <v>214</v>
      </c>
      <c r="D647" s="193" t="s">
        <v>380</v>
      </c>
      <c r="E647" s="193" t="s">
        <v>381</v>
      </c>
      <c r="F647" s="193" t="s">
        <v>439</v>
      </c>
      <c r="G647" s="193" t="s">
        <v>439</v>
      </c>
      <c r="H647" s="193" t="s">
        <v>2393</v>
      </c>
      <c r="I647" s="193" t="s">
        <v>384</v>
      </c>
      <c r="J647" s="193" t="s">
        <v>2394</v>
      </c>
      <c r="K647" s="193" t="s">
        <v>386</v>
      </c>
      <c r="L647" s="193" t="s">
        <v>387</v>
      </c>
      <c r="M647" s="193" t="s">
        <v>378</v>
      </c>
      <c r="N647" s="193" t="s">
        <v>1497</v>
      </c>
      <c r="O647" s="193" t="s">
        <v>129</v>
      </c>
      <c r="P647" s="193" t="s">
        <v>138</v>
      </c>
      <c r="Q647" s="193" t="s">
        <v>137</v>
      </c>
      <c r="R647" s="193" t="s">
        <v>136</v>
      </c>
      <c r="S647" s="193" t="s">
        <v>214</v>
      </c>
      <c r="T647" s="193" t="s">
        <v>389</v>
      </c>
      <c r="U647" s="193" t="s">
        <v>390</v>
      </c>
      <c r="V647" s="193">
        <v>0</v>
      </c>
      <c r="W647" s="193">
        <v>0</v>
      </c>
      <c r="X647" s="193">
        <v>0</v>
      </c>
      <c r="Y647" s="194">
        <v>941480</v>
      </c>
      <c r="Z647" s="193" t="s">
        <v>1498</v>
      </c>
      <c r="AA647" s="193" t="s">
        <v>1499</v>
      </c>
      <c r="AB647" s="193">
        <v>941480</v>
      </c>
      <c r="AC647" s="193" t="s">
        <v>1500</v>
      </c>
      <c r="AD647" s="193" t="s">
        <v>136</v>
      </c>
      <c r="AE647" s="193">
        <v>941480</v>
      </c>
      <c r="AF647" s="193" t="s">
        <v>518</v>
      </c>
      <c r="AG647" s="193" t="s">
        <v>519</v>
      </c>
      <c r="AH647" s="193">
        <v>0</v>
      </c>
      <c r="AI647" s="193">
        <v>941480</v>
      </c>
      <c r="AJ647" s="193" t="s">
        <v>2395</v>
      </c>
      <c r="AL647" s="197" t="s">
        <v>2396</v>
      </c>
      <c r="AM647" s="193">
        <v>2</v>
      </c>
      <c r="AN647" s="193">
        <v>17</v>
      </c>
      <c r="AO647" s="193">
        <v>10</v>
      </c>
      <c r="AP647" s="193">
        <v>0</v>
      </c>
      <c r="AQ647" s="193" t="s">
        <v>214</v>
      </c>
      <c r="AS647" s="197">
        <v>17</v>
      </c>
      <c r="AT647" s="197">
        <v>10</v>
      </c>
      <c r="AV647" s="194">
        <v>0</v>
      </c>
      <c r="AW647" s="194">
        <v>0</v>
      </c>
      <c r="AX647" s="194">
        <v>0</v>
      </c>
      <c r="AY647" s="549">
        <v>0</v>
      </c>
      <c r="AZ647" s="194">
        <v>0</v>
      </c>
      <c r="BA647" s="194">
        <v>941480</v>
      </c>
      <c r="BB647" s="551">
        <v>941480</v>
      </c>
      <c r="BC647" s="551">
        <v>941480</v>
      </c>
      <c r="BD647" s="551">
        <v>0</v>
      </c>
      <c r="BF647" s="550">
        <f t="shared" ref="BF647:BF710" si="132">+IFERROR(ROUND(AV647*100/(100+$AT647),0),AV647)</f>
        <v>0</v>
      </c>
      <c r="BG647" s="550">
        <f t="shared" ref="BG647:BG710" si="133">+IFERROR(ROUND(AW647*100/(100+$AT647),0),AW647)</f>
        <v>0</v>
      </c>
      <c r="BH647" s="550">
        <f t="shared" ref="BH647:BH710" si="134">+IFERROR(ROUND(AX647*100/(100+$AT647),0),AX647)</f>
        <v>0</v>
      </c>
      <c r="BI647" s="550">
        <f t="shared" ref="BI647:BI710" si="135">SUM(BF647:BH647)</f>
        <v>0</v>
      </c>
      <c r="BJ647" s="550">
        <f t="shared" ref="BJ647:BJ710" si="136">+IFERROR(ROUND(AZ647*100/(100+$AT647),0),AZ647)</f>
        <v>0</v>
      </c>
      <c r="BK647" s="550">
        <f t="shared" ref="BK647:BK710" si="137">+IFERROR(ROUND(BA647*100/(100+$AT647),0),BA647)</f>
        <v>855891</v>
      </c>
      <c r="BL647" s="550">
        <f t="shared" ref="BL647:BL710" si="138">SUM(BJ647:BK647)</f>
        <v>855891</v>
      </c>
      <c r="BM647" s="550">
        <f t="shared" ref="BM647:BM710" si="139">+BI647+BL647</f>
        <v>855891</v>
      </c>
      <c r="BO647" s="194"/>
      <c r="BQ647" s="193">
        <f t="shared" ref="BQ647:BQ710" si="140">AY647*100/(100+$AT647)-BI647</f>
        <v>0</v>
      </c>
      <c r="BR647" s="193">
        <f t="shared" ref="BR647:BR710" si="141">BB647*100/(100+$AT647)-BL647</f>
        <v>-9.0909090940840542E-2</v>
      </c>
    </row>
    <row r="648" spans="1:70" ht="13.5" customHeight="1">
      <c r="A648" s="193" t="s">
        <v>378</v>
      </c>
      <c r="B648" s="193" t="s">
        <v>379</v>
      </c>
      <c r="C648" s="193" t="s">
        <v>214</v>
      </c>
      <c r="D648" s="193" t="s">
        <v>380</v>
      </c>
      <c r="E648" s="193" t="s">
        <v>381</v>
      </c>
      <c r="F648" s="193" t="s">
        <v>439</v>
      </c>
      <c r="G648" s="193" t="s">
        <v>439</v>
      </c>
      <c r="H648" s="193" t="s">
        <v>2397</v>
      </c>
      <c r="I648" s="193" t="s">
        <v>384</v>
      </c>
      <c r="J648" s="193" t="s">
        <v>2398</v>
      </c>
      <c r="K648" s="193" t="s">
        <v>386</v>
      </c>
      <c r="L648" s="193" t="s">
        <v>387</v>
      </c>
      <c r="M648" s="193" t="s">
        <v>378</v>
      </c>
      <c r="N648" s="193" t="s">
        <v>1497</v>
      </c>
      <c r="O648" s="193" t="s">
        <v>129</v>
      </c>
      <c r="P648" s="193" t="s">
        <v>138</v>
      </c>
      <c r="Q648" s="193" t="s">
        <v>137</v>
      </c>
      <c r="R648" s="193" t="s">
        <v>136</v>
      </c>
      <c r="S648" s="193" t="s">
        <v>214</v>
      </c>
      <c r="T648" s="193" t="s">
        <v>389</v>
      </c>
      <c r="U648" s="193" t="s">
        <v>390</v>
      </c>
      <c r="V648" s="193">
        <v>0</v>
      </c>
      <c r="W648" s="193">
        <v>0</v>
      </c>
      <c r="X648" s="193">
        <v>0</v>
      </c>
      <c r="Y648" s="194">
        <v>6202</v>
      </c>
      <c r="Z648" s="193" t="s">
        <v>1498</v>
      </c>
      <c r="AA648" s="193" t="s">
        <v>1499</v>
      </c>
      <c r="AB648" s="193">
        <v>6202</v>
      </c>
      <c r="AC648" s="193" t="s">
        <v>1500</v>
      </c>
      <c r="AD648" s="193" t="s">
        <v>136</v>
      </c>
      <c r="AE648" s="193">
        <v>6202</v>
      </c>
      <c r="AF648" s="193" t="s">
        <v>518</v>
      </c>
      <c r="AG648" s="193" t="s">
        <v>519</v>
      </c>
      <c r="AH648" s="193">
        <v>0</v>
      </c>
      <c r="AI648" s="193">
        <v>6202</v>
      </c>
      <c r="AJ648" s="193" t="s">
        <v>442</v>
      </c>
      <c r="AL648" s="197" t="s">
        <v>2399</v>
      </c>
      <c r="AM648" s="193">
        <v>2</v>
      </c>
      <c r="AN648" s="193">
        <v>17</v>
      </c>
      <c r="AO648" s="193">
        <v>10</v>
      </c>
      <c r="AP648" s="193">
        <v>0</v>
      </c>
      <c r="AQ648" s="193" t="s">
        <v>214</v>
      </c>
      <c r="AS648" s="197">
        <v>17</v>
      </c>
      <c r="AT648" s="197">
        <v>10</v>
      </c>
      <c r="AV648" s="194">
        <v>0</v>
      </c>
      <c r="AW648" s="194">
        <v>0</v>
      </c>
      <c r="AX648" s="194">
        <v>0</v>
      </c>
      <c r="AY648" s="549">
        <v>0</v>
      </c>
      <c r="AZ648" s="194">
        <v>0</v>
      </c>
      <c r="BA648" s="194">
        <v>6202</v>
      </c>
      <c r="BB648" s="551">
        <v>6202</v>
      </c>
      <c r="BC648" s="551">
        <v>6202</v>
      </c>
      <c r="BD648" s="551">
        <v>0</v>
      </c>
      <c r="BF648" s="550">
        <f t="shared" si="132"/>
        <v>0</v>
      </c>
      <c r="BG648" s="550">
        <f t="shared" si="133"/>
        <v>0</v>
      </c>
      <c r="BH648" s="550">
        <f t="shared" si="134"/>
        <v>0</v>
      </c>
      <c r="BI648" s="550">
        <f t="shared" si="135"/>
        <v>0</v>
      </c>
      <c r="BJ648" s="550">
        <f t="shared" si="136"/>
        <v>0</v>
      </c>
      <c r="BK648" s="550">
        <f t="shared" si="137"/>
        <v>5638</v>
      </c>
      <c r="BL648" s="550">
        <f t="shared" si="138"/>
        <v>5638</v>
      </c>
      <c r="BM648" s="550">
        <f t="shared" si="139"/>
        <v>5638</v>
      </c>
      <c r="BO648" s="194"/>
      <c r="BQ648" s="193">
        <f t="shared" si="140"/>
        <v>0</v>
      </c>
      <c r="BR648" s="193">
        <f t="shared" si="141"/>
        <v>0.18181818181801646</v>
      </c>
    </row>
    <row r="649" spans="1:70" ht="13.5" customHeight="1">
      <c r="A649" s="193" t="s">
        <v>378</v>
      </c>
      <c r="B649" s="193" t="s">
        <v>379</v>
      </c>
      <c r="C649" s="193" t="s">
        <v>214</v>
      </c>
      <c r="D649" s="193" t="s">
        <v>495</v>
      </c>
      <c r="E649" s="193" t="s">
        <v>496</v>
      </c>
      <c r="F649" s="193" t="s">
        <v>1685</v>
      </c>
      <c r="G649" s="193" t="s">
        <v>1685</v>
      </c>
      <c r="H649" s="193" t="s">
        <v>2400</v>
      </c>
      <c r="I649" s="193" t="s">
        <v>384</v>
      </c>
      <c r="J649" s="193" t="s">
        <v>2401</v>
      </c>
      <c r="K649" s="193" t="s">
        <v>386</v>
      </c>
      <c r="L649" s="193" t="s">
        <v>387</v>
      </c>
      <c r="M649" s="193" t="s">
        <v>378</v>
      </c>
      <c r="N649" s="193" t="s">
        <v>1497</v>
      </c>
      <c r="O649" s="193" t="s">
        <v>129</v>
      </c>
      <c r="P649" s="193" t="s">
        <v>138</v>
      </c>
      <c r="Q649" s="193" t="s">
        <v>137</v>
      </c>
      <c r="R649" s="193" t="s">
        <v>136</v>
      </c>
      <c r="S649" s="193" t="s">
        <v>214</v>
      </c>
      <c r="T649" s="193" t="s">
        <v>389</v>
      </c>
      <c r="U649" s="193" t="s">
        <v>390</v>
      </c>
      <c r="V649" s="193">
        <v>0</v>
      </c>
      <c r="W649" s="193">
        <v>0</v>
      </c>
      <c r="X649" s="193">
        <v>0</v>
      </c>
      <c r="Y649" s="194">
        <v>474</v>
      </c>
      <c r="Z649" s="193" t="s">
        <v>1498</v>
      </c>
      <c r="AA649" s="193" t="s">
        <v>1499</v>
      </c>
      <c r="AB649" s="193">
        <v>474</v>
      </c>
      <c r="AC649" s="193" t="s">
        <v>1500</v>
      </c>
      <c r="AD649" s="193" t="s">
        <v>136</v>
      </c>
      <c r="AE649" s="193">
        <v>474</v>
      </c>
      <c r="AF649" s="193" t="s">
        <v>518</v>
      </c>
      <c r="AG649" s="193" t="s">
        <v>519</v>
      </c>
      <c r="AH649" s="193">
        <v>0</v>
      </c>
      <c r="AI649" s="193">
        <v>474</v>
      </c>
      <c r="AJ649" s="193" t="s">
        <v>1796</v>
      </c>
      <c r="AL649" s="197" t="s">
        <v>2402</v>
      </c>
      <c r="AM649" s="193">
        <v>1</v>
      </c>
      <c r="AN649" s="193">
        <v>0</v>
      </c>
      <c r="AO649" s="193">
        <v>0</v>
      </c>
      <c r="AP649" s="193">
        <v>0</v>
      </c>
      <c r="AQ649" s="193" t="s">
        <v>214</v>
      </c>
      <c r="AS649" s="197" t="s">
        <v>518</v>
      </c>
      <c r="AT649" s="197" t="s">
        <v>519</v>
      </c>
      <c r="AV649" s="194">
        <v>474</v>
      </c>
      <c r="AW649" s="194">
        <v>0</v>
      </c>
      <c r="AX649" s="194">
        <v>0</v>
      </c>
      <c r="AY649" s="549">
        <v>474</v>
      </c>
      <c r="AZ649" s="194">
        <v>0</v>
      </c>
      <c r="BA649" s="194">
        <v>0</v>
      </c>
      <c r="BB649" s="551">
        <v>0</v>
      </c>
      <c r="BC649" s="551">
        <v>474</v>
      </c>
      <c r="BD649" s="551">
        <v>0</v>
      </c>
      <c r="BF649" s="550">
        <f t="shared" si="132"/>
        <v>474</v>
      </c>
      <c r="BG649" s="550">
        <f t="shared" si="133"/>
        <v>0</v>
      </c>
      <c r="BH649" s="550">
        <f t="shared" si="134"/>
        <v>0</v>
      </c>
      <c r="BI649" s="550">
        <f t="shared" si="135"/>
        <v>474</v>
      </c>
      <c r="BJ649" s="550">
        <f t="shared" si="136"/>
        <v>0</v>
      </c>
      <c r="BK649" s="550">
        <f t="shared" si="137"/>
        <v>0</v>
      </c>
      <c r="BL649" s="550">
        <f t="shared" si="138"/>
        <v>0</v>
      </c>
      <c r="BM649" s="550">
        <f t="shared" si="139"/>
        <v>474</v>
      </c>
      <c r="BO649" s="194"/>
      <c r="BQ649" s="193">
        <f t="shared" si="140"/>
        <v>0</v>
      </c>
      <c r="BR649" s="193">
        <f t="shared" si="141"/>
        <v>0</v>
      </c>
    </row>
    <row r="650" spans="1:70" ht="13.5" customHeight="1">
      <c r="A650" s="193" t="s">
        <v>378</v>
      </c>
      <c r="B650" s="193" t="s">
        <v>379</v>
      </c>
      <c r="C650" s="193" t="s">
        <v>214</v>
      </c>
      <c r="D650" s="193" t="s">
        <v>495</v>
      </c>
      <c r="E650" s="193" t="s">
        <v>496</v>
      </c>
      <c r="F650" s="193" t="s">
        <v>1685</v>
      </c>
      <c r="G650" s="193" t="s">
        <v>1685</v>
      </c>
      <c r="H650" s="193" t="s">
        <v>2400</v>
      </c>
      <c r="I650" s="193" t="s">
        <v>384</v>
      </c>
      <c r="J650" s="193" t="s">
        <v>2403</v>
      </c>
      <c r="K650" s="193" t="s">
        <v>386</v>
      </c>
      <c r="L650" s="193" t="s">
        <v>387</v>
      </c>
      <c r="M650" s="193" t="s">
        <v>378</v>
      </c>
      <c r="N650" s="193" t="s">
        <v>1497</v>
      </c>
      <c r="O650" s="193" t="s">
        <v>129</v>
      </c>
      <c r="P650" s="193" t="s">
        <v>138</v>
      </c>
      <c r="Q650" s="193" t="s">
        <v>137</v>
      </c>
      <c r="R650" s="193" t="s">
        <v>136</v>
      </c>
      <c r="S650" s="193" t="s">
        <v>214</v>
      </c>
      <c r="T650" s="193" t="s">
        <v>389</v>
      </c>
      <c r="U650" s="193" t="s">
        <v>390</v>
      </c>
      <c r="V650" s="193">
        <v>0</v>
      </c>
      <c r="W650" s="193">
        <v>0</v>
      </c>
      <c r="X650" s="193">
        <v>0</v>
      </c>
      <c r="Y650" s="194">
        <v>470</v>
      </c>
      <c r="Z650" s="193" t="s">
        <v>1498</v>
      </c>
      <c r="AA650" s="193" t="s">
        <v>1499</v>
      </c>
      <c r="AB650" s="193">
        <v>470</v>
      </c>
      <c r="AC650" s="193" t="s">
        <v>1500</v>
      </c>
      <c r="AD650" s="193" t="s">
        <v>136</v>
      </c>
      <c r="AE650" s="193">
        <v>470</v>
      </c>
      <c r="AF650" s="193" t="s">
        <v>518</v>
      </c>
      <c r="AG650" s="193" t="s">
        <v>519</v>
      </c>
      <c r="AH650" s="193">
        <v>0</v>
      </c>
      <c r="AI650" s="193">
        <v>470</v>
      </c>
      <c r="AJ650" s="193" t="s">
        <v>1834</v>
      </c>
      <c r="AL650" s="197" t="s">
        <v>2404</v>
      </c>
      <c r="AM650" s="193">
        <v>1</v>
      </c>
      <c r="AN650" s="193">
        <v>0</v>
      </c>
      <c r="AO650" s="193">
        <v>0</v>
      </c>
      <c r="AP650" s="193">
        <v>0</v>
      </c>
      <c r="AQ650" s="193" t="s">
        <v>214</v>
      </c>
      <c r="AS650" s="197" t="s">
        <v>518</v>
      </c>
      <c r="AT650" s="197" t="s">
        <v>519</v>
      </c>
      <c r="AV650" s="194">
        <v>470</v>
      </c>
      <c r="AW650" s="194">
        <v>0</v>
      </c>
      <c r="AX650" s="194">
        <v>0</v>
      </c>
      <c r="AY650" s="549">
        <v>470</v>
      </c>
      <c r="AZ650" s="194">
        <v>0</v>
      </c>
      <c r="BA650" s="194">
        <v>0</v>
      </c>
      <c r="BB650" s="551">
        <v>0</v>
      </c>
      <c r="BC650" s="551">
        <v>470</v>
      </c>
      <c r="BD650" s="551">
        <v>0</v>
      </c>
      <c r="BF650" s="550">
        <f t="shared" si="132"/>
        <v>470</v>
      </c>
      <c r="BG650" s="550">
        <f t="shared" si="133"/>
        <v>0</v>
      </c>
      <c r="BH650" s="550">
        <f t="shared" si="134"/>
        <v>0</v>
      </c>
      <c r="BI650" s="550">
        <f t="shared" si="135"/>
        <v>470</v>
      </c>
      <c r="BJ650" s="550">
        <f t="shared" si="136"/>
        <v>0</v>
      </c>
      <c r="BK650" s="550">
        <f t="shared" si="137"/>
        <v>0</v>
      </c>
      <c r="BL650" s="550">
        <f t="shared" si="138"/>
        <v>0</v>
      </c>
      <c r="BM650" s="550">
        <f t="shared" si="139"/>
        <v>470</v>
      </c>
      <c r="BO650" s="194"/>
      <c r="BQ650" s="193">
        <f t="shared" si="140"/>
        <v>0</v>
      </c>
      <c r="BR650" s="193">
        <f t="shared" si="141"/>
        <v>0</v>
      </c>
    </row>
    <row r="651" spans="1:70" ht="13.5" customHeight="1">
      <c r="A651" s="193" t="s">
        <v>378</v>
      </c>
      <c r="B651" s="193" t="s">
        <v>379</v>
      </c>
      <c r="C651" s="193" t="s">
        <v>214</v>
      </c>
      <c r="D651" s="193" t="s">
        <v>495</v>
      </c>
      <c r="E651" s="193" t="s">
        <v>496</v>
      </c>
      <c r="F651" s="193" t="s">
        <v>1685</v>
      </c>
      <c r="G651" s="193" t="s">
        <v>1685</v>
      </c>
      <c r="H651" s="193" t="s">
        <v>2405</v>
      </c>
      <c r="I651" s="193" t="s">
        <v>384</v>
      </c>
      <c r="J651" s="193" t="s">
        <v>2406</v>
      </c>
      <c r="K651" s="193" t="s">
        <v>386</v>
      </c>
      <c r="L651" s="193" t="s">
        <v>387</v>
      </c>
      <c r="M651" s="193" t="s">
        <v>378</v>
      </c>
      <c r="N651" s="193" t="s">
        <v>1497</v>
      </c>
      <c r="O651" s="193" t="s">
        <v>129</v>
      </c>
      <c r="P651" s="193" t="s">
        <v>138</v>
      </c>
      <c r="Q651" s="193" t="s">
        <v>137</v>
      </c>
      <c r="R651" s="193" t="s">
        <v>136</v>
      </c>
      <c r="S651" s="193" t="s">
        <v>214</v>
      </c>
      <c r="T651" s="193" t="s">
        <v>389</v>
      </c>
      <c r="U651" s="193" t="s">
        <v>390</v>
      </c>
      <c r="V651" s="193">
        <v>0</v>
      </c>
      <c r="W651" s="193">
        <v>0</v>
      </c>
      <c r="X651" s="193">
        <v>0</v>
      </c>
      <c r="Y651" s="194">
        <v>9272</v>
      </c>
      <c r="Z651" s="193" t="s">
        <v>1498</v>
      </c>
      <c r="AA651" s="193" t="s">
        <v>1499</v>
      </c>
      <c r="AB651" s="193">
        <v>9272</v>
      </c>
      <c r="AC651" s="193" t="s">
        <v>1500</v>
      </c>
      <c r="AD651" s="193" t="s">
        <v>136</v>
      </c>
      <c r="AE651" s="193">
        <v>9272</v>
      </c>
      <c r="AF651" s="193" t="s">
        <v>518</v>
      </c>
      <c r="AG651" s="193" t="s">
        <v>519</v>
      </c>
      <c r="AH651" s="193">
        <v>0</v>
      </c>
      <c r="AI651" s="193">
        <v>9272</v>
      </c>
      <c r="AJ651" s="193" t="s">
        <v>2407</v>
      </c>
      <c r="AL651" s="197" t="s">
        <v>2408</v>
      </c>
      <c r="AM651" s="193">
        <v>1</v>
      </c>
      <c r="AN651" s="193">
        <v>0</v>
      </c>
      <c r="AO651" s="193">
        <v>0</v>
      </c>
      <c r="AP651" s="193">
        <v>0</v>
      </c>
      <c r="AQ651" s="193" t="s">
        <v>214</v>
      </c>
      <c r="AS651" s="197" t="s">
        <v>518</v>
      </c>
      <c r="AT651" s="197" t="s">
        <v>519</v>
      </c>
      <c r="AV651" s="194">
        <v>9272</v>
      </c>
      <c r="AW651" s="194">
        <v>0</v>
      </c>
      <c r="AX651" s="194">
        <v>0</v>
      </c>
      <c r="AY651" s="549">
        <v>9272</v>
      </c>
      <c r="AZ651" s="194">
        <v>0</v>
      </c>
      <c r="BA651" s="194">
        <v>0</v>
      </c>
      <c r="BB651" s="551">
        <v>0</v>
      </c>
      <c r="BC651" s="551">
        <v>9272</v>
      </c>
      <c r="BD651" s="551">
        <v>0</v>
      </c>
      <c r="BF651" s="550">
        <f t="shared" si="132"/>
        <v>9272</v>
      </c>
      <c r="BG651" s="550">
        <f t="shared" si="133"/>
        <v>0</v>
      </c>
      <c r="BH651" s="550">
        <f t="shared" si="134"/>
        <v>0</v>
      </c>
      <c r="BI651" s="550">
        <f t="shared" si="135"/>
        <v>9272</v>
      </c>
      <c r="BJ651" s="550">
        <f t="shared" si="136"/>
        <v>0</v>
      </c>
      <c r="BK651" s="550">
        <f t="shared" si="137"/>
        <v>0</v>
      </c>
      <c r="BL651" s="550">
        <f t="shared" si="138"/>
        <v>0</v>
      </c>
      <c r="BM651" s="550">
        <f t="shared" si="139"/>
        <v>9272</v>
      </c>
      <c r="BO651" s="194"/>
      <c r="BQ651" s="193">
        <f t="shared" si="140"/>
        <v>0</v>
      </c>
      <c r="BR651" s="193">
        <f t="shared" si="141"/>
        <v>0</v>
      </c>
    </row>
    <row r="652" spans="1:70" ht="13.5" customHeight="1">
      <c r="A652" s="193" t="s">
        <v>378</v>
      </c>
      <c r="B652" s="193" t="s">
        <v>379</v>
      </c>
      <c r="C652" s="193" t="s">
        <v>214</v>
      </c>
      <c r="D652" s="193" t="s">
        <v>495</v>
      </c>
      <c r="E652" s="193" t="s">
        <v>496</v>
      </c>
      <c r="F652" s="193" t="s">
        <v>2409</v>
      </c>
      <c r="G652" s="193" t="s">
        <v>2409</v>
      </c>
      <c r="H652" s="193" t="s">
        <v>2410</v>
      </c>
      <c r="I652" s="193" t="s">
        <v>384</v>
      </c>
      <c r="J652" s="193" t="s">
        <v>2411</v>
      </c>
      <c r="K652" s="193" t="s">
        <v>386</v>
      </c>
      <c r="L652" s="193" t="s">
        <v>387</v>
      </c>
      <c r="M652" s="193" t="s">
        <v>378</v>
      </c>
      <c r="N652" s="193" t="s">
        <v>1497</v>
      </c>
      <c r="O652" s="193" t="s">
        <v>129</v>
      </c>
      <c r="P652" s="193" t="s">
        <v>138</v>
      </c>
      <c r="Q652" s="193" t="s">
        <v>137</v>
      </c>
      <c r="R652" s="193" t="s">
        <v>136</v>
      </c>
      <c r="S652" s="193" t="s">
        <v>214</v>
      </c>
      <c r="T652" s="193" t="s">
        <v>389</v>
      </c>
      <c r="U652" s="193" t="s">
        <v>390</v>
      </c>
      <c r="V652" s="193">
        <v>0</v>
      </c>
      <c r="W652" s="193">
        <v>0</v>
      </c>
      <c r="X652" s="193">
        <v>0</v>
      </c>
      <c r="Y652" s="194">
        <v>390</v>
      </c>
      <c r="Z652" s="193" t="s">
        <v>1498</v>
      </c>
      <c r="AA652" s="193" t="s">
        <v>1499</v>
      </c>
      <c r="AB652" s="193">
        <v>390</v>
      </c>
      <c r="AC652" s="193" t="s">
        <v>1500</v>
      </c>
      <c r="AD652" s="193" t="s">
        <v>136</v>
      </c>
      <c r="AE652" s="193">
        <v>390</v>
      </c>
      <c r="AF652" s="193" t="s">
        <v>518</v>
      </c>
      <c r="AG652" s="193" t="s">
        <v>519</v>
      </c>
      <c r="AH652" s="193">
        <v>0</v>
      </c>
      <c r="AI652" s="193">
        <v>390</v>
      </c>
      <c r="AJ652" s="193" t="s">
        <v>1737</v>
      </c>
      <c r="AL652" s="197" t="s">
        <v>2412</v>
      </c>
      <c r="AM652" s="193">
        <v>1</v>
      </c>
      <c r="AN652" s="193">
        <v>0</v>
      </c>
      <c r="AO652" s="193">
        <v>0</v>
      </c>
      <c r="AP652" s="193">
        <v>0</v>
      </c>
      <c r="AQ652" s="193" t="s">
        <v>214</v>
      </c>
      <c r="AS652" s="197" t="s">
        <v>518</v>
      </c>
      <c r="AT652" s="197" t="s">
        <v>519</v>
      </c>
      <c r="AV652" s="194">
        <v>390</v>
      </c>
      <c r="AW652" s="194">
        <v>0</v>
      </c>
      <c r="AX652" s="194">
        <v>0</v>
      </c>
      <c r="AY652" s="549">
        <v>390</v>
      </c>
      <c r="AZ652" s="194">
        <v>0</v>
      </c>
      <c r="BA652" s="194">
        <v>0</v>
      </c>
      <c r="BB652" s="551">
        <v>0</v>
      </c>
      <c r="BC652" s="551">
        <v>390</v>
      </c>
      <c r="BD652" s="551">
        <v>0</v>
      </c>
      <c r="BF652" s="550">
        <f t="shared" si="132"/>
        <v>390</v>
      </c>
      <c r="BG652" s="550">
        <f t="shared" si="133"/>
        <v>0</v>
      </c>
      <c r="BH652" s="550">
        <f t="shared" si="134"/>
        <v>0</v>
      </c>
      <c r="BI652" s="550">
        <f t="shared" si="135"/>
        <v>390</v>
      </c>
      <c r="BJ652" s="550">
        <f t="shared" si="136"/>
        <v>0</v>
      </c>
      <c r="BK652" s="550">
        <f t="shared" si="137"/>
        <v>0</v>
      </c>
      <c r="BL652" s="550">
        <f t="shared" si="138"/>
        <v>0</v>
      </c>
      <c r="BM652" s="550">
        <f t="shared" si="139"/>
        <v>390</v>
      </c>
      <c r="BO652" s="194"/>
      <c r="BQ652" s="193">
        <f t="shared" si="140"/>
        <v>0</v>
      </c>
      <c r="BR652" s="193">
        <f t="shared" si="141"/>
        <v>0</v>
      </c>
    </row>
    <row r="653" spans="1:70" ht="13.5" customHeight="1">
      <c r="A653" s="193" t="s">
        <v>378</v>
      </c>
      <c r="B653" s="193" t="s">
        <v>379</v>
      </c>
      <c r="C653" s="193" t="s">
        <v>214</v>
      </c>
      <c r="D653" s="193" t="s">
        <v>495</v>
      </c>
      <c r="E653" s="193" t="s">
        <v>496</v>
      </c>
      <c r="F653" s="193" t="s">
        <v>2409</v>
      </c>
      <c r="G653" s="193" t="s">
        <v>2409</v>
      </c>
      <c r="H653" s="193" t="s">
        <v>2413</v>
      </c>
      <c r="I653" s="193" t="s">
        <v>384</v>
      </c>
      <c r="J653" s="193" t="s">
        <v>2414</v>
      </c>
      <c r="K653" s="193" t="s">
        <v>386</v>
      </c>
      <c r="L653" s="193" t="s">
        <v>387</v>
      </c>
      <c r="M653" s="193" t="s">
        <v>378</v>
      </c>
      <c r="N653" s="193" t="s">
        <v>1497</v>
      </c>
      <c r="O653" s="193" t="s">
        <v>129</v>
      </c>
      <c r="P653" s="193" t="s">
        <v>138</v>
      </c>
      <c r="Q653" s="193" t="s">
        <v>137</v>
      </c>
      <c r="R653" s="193" t="s">
        <v>136</v>
      </c>
      <c r="S653" s="193" t="s">
        <v>214</v>
      </c>
      <c r="T653" s="193" t="s">
        <v>389</v>
      </c>
      <c r="U653" s="193" t="s">
        <v>390</v>
      </c>
      <c r="V653" s="193">
        <v>0</v>
      </c>
      <c r="W653" s="193">
        <v>0</v>
      </c>
      <c r="X653" s="193">
        <v>0</v>
      </c>
      <c r="Y653" s="194">
        <v>390</v>
      </c>
      <c r="Z653" s="193" t="s">
        <v>1498</v>
      </c>
      <c r="AA653" s="193" t="s">
        <v>1499</v>
      </c>
      <c r="AB653" s="193">
        <v>390</v>
      </c>
      <c r="AC653" s="193" t="s">
        <v>1500</v>
      </c>
      <c r="AD653" s="193" t="s">
        <v>136</v>
      </c>
      <c r="AE653" s="193">
        <v>390</v>
      </c>
      <c r="AF653" s="193" t="s">
        <v>518</v>
      </c>
      <c r="AG653" s="193" t="s">
        <v>519</v>
      </c>
      <c r="AH653" s="193">
        <v>0</v>
      </c>
      <c r="AI653" s="193">
        <v>390</v>
      </c>
      <c r="AJ653" s="193" t="s">
        <v>1737</v>
      </c>
      <c r="AL653" s="197" t="s">
        <v>2415</v>
      </c>
      <c r="AM653" s="193">
        <v>1</v>
      </c>
      <c r="AN653" s="193">
        <v>0</v>
      </c>
      <c r="AO653" s="193">
        <v>0</v>
      </c>
      <c r="AP653" s="193">
        <v>0</v>
      </c>
      <c r="AQ653" s="193" t="s">
        <v>214</v>
      </c>
      <c r="AS653" s="197" t="s">
        <v>518</v>
      </c>
      <c r="AT653" s="197" t="s">
        <v>519</v>
      </c>
      <c r="AV653" s="194">
        <v>390</v>
      </c>
      <c r="AW653" s="194">
        <v>0</v>
      </c>
      <c r="AX653" s="194">
        <v>0</v>
      </c>
      <c r="AY653" s="549">
        <v>390</v>
      </c>
      <c r="AZ653" s="194">
        <v>0</v>
      </c>
      <c r="BA653" s="194">
        <v>0</v>
      </c>
      <c r="BB653" s="551">
        <v>0</v>
      </c>
      <c r="BC653" s="551">
        <v>390</v>
      </c>
      <c r="BD653" s="551">
        <v>0</v>
      </c>
      <c r="BF653" s="550">
        <f t="shared" si="132"/>
        <v>390</v>
      </c>
      <c r="BG653" s="550">
        <f t="shared" si="133"/>
        <v>0</v>
      </c>
      <c r="BH653" s="550">
        <f t="shared" si="134"/>
        <v>0</v>
      </c>
      <c r="BI653" s="550">
        <f t="shared" si="135"/>
        <v>390</v>
      </c>
      <c r="BJ653" s="550">
        <f t="shared" si="136"/>
        <v>0</v>
      </c>
      <c r="BK653" s="550">
        <f t="shared" si="137"/>
        <v>0</v>
      </c>
      <c r="BL653" s="550">
        <f t="shared" si="138"/>
        <v>0</v>
      </c>
      <c r="BM653" s="550">
        <f t="shared" si="139"/>
        <v>390</v>
      </c>
      <c r="BO653" s="194"/>
      <c r="BQ653" s="193">
        <f t="shared" si="140"/>
        <v>0</v>
      </c>
      <c r="BR653" s="193">
        <f t="shared" si="141"/>
        <v>0</v>
      </c>
    </row>
    <row r="654" spans="1:70" ht="13.5" customHeight="1">
      <c r="A654" s="193" t="s">
        <v>378</v>
      </c>
      <c r="B654" s="193" t="s">
        <v>379</v>
      </c>
      <c r="C654" s="193" t="s">
        <v>214</v>
      </c>
      <c r="D654" s="193" t="s">
        <v>495</v>
      </c>
      <c r="E654" s="193" t="s">
        <v>496</v>
      </c>
      <c r="F654" s="193" t="s">
        <v>1685</v>
      </c>
      <c r="G654" s="193" t="s">
        <v>1685</v>
      </c>
      <c r="H654" s="193" t="s">
        <v>2416</v>
      </c>
      <c r="I654" s="193" t="s">
        <v>384</v>
      </c>
      <c r="J654" s="193" t="s">
        <v>2417</v>
      </c>
      <c r="K654" s="193" t="s">
        <v>386</v>
      </c>
      <c r="L654" s="193" t="s">
        <v>387</v>
      </c>
      <c r="M654" s="193" t="s">
        <v>378</v>
      </c>
      <c r="N654" s="193" t="s">
        <v>1497</v>
      </c>
      <c r="O654" s="193" t="s">
        <v>129</v>
      </c>
      <c r="P654" s="193" t="s">
        <v>138</v>
      </c>
      <c r="Q654" s="193" t="s">
        <v>137</v>
      </c>
      <c r="R654" s="193" t="s">
        <v>136</v>
      </c>
      <c r="S654" s="193" t="s">
        <v>214</v>
      </c>
      <c r="T654" s="193" t="s">
        <v>389</v>
      </c>
      <c r="U654" s="193" t="s">
        <v>390</v>
      </c>
      <c r="V654" s="193">
        <v>0</v>
      </c>
      <c r="W654" s="193">
        <v>0</v>
      </c>
      <c r="X654" s="193">
        <v>0</v>
      </c>
      <c r="Y654" s="194">
        <v>5184</v>
      </c>
      <c r="Z654" s="193" t="s">
        <v>1498</v>
      </c>
      <c r="AA654" s="193" t="s">
        <v>1499</v>
      </c>
      <c r="AB654" s="193">
        <v>5184</v>
      </c>
      <c r="AC654" s="193" t="s">
        <v>1500</v>
      </c>
      <c r="AD654" s="193" t="s">
        <v>136</v>
      </c>
      <c r="AE654" s="193">
        <v>5184</v>
      </c>
      <c r="AF654" s="193" t="s">
        <v>518</v>
      </c>
      <c r="AG654" s="193" t="s">
        <v>519</v>
      </c>
      <c r="AH654" s="193">
        <v>0</v>
      </c>
      <c r="AI654" s="193">
        <v>5184</v>
      </c>
      <c r="AJ654" s="193" t="s">
        <v>1737</v>
      </c>
      <c r="AL654" s="197" t="s">
        <v>2418</v>
      </c>
      <c r="AM654" s="193">
        <v>1</v>
      </c>
      <c r="AN654" s="193">
        <v>0</v>
      </c>
      <c r="AO654" s="193">
        <v>0</v>
      </c>
      <c r="AP654" s="193">
        <v>0</v>
      </c>
      <c r="AQ654" s="193" t="s">
        <v>214</v>
      </c>
      <c r="AS654" s="197" t="s">
        <v>518</v>
      </c>
      <c r="AT654" s="197" t="s">
        <v>519</v>
      </c>
      <c r="AV654" s="194">
        <v>5184</v>
      </c>
      <c r="AW654" s="194">
        <v>0</v>
      </c>
      <c r="AX654" s="194">
        <v>0</v>
      </c>
      <c r="AY654" s="549">
        <v>5184</v>
      </c>
      <c r="AZ654" s="194">
        <v>0</v>
      </c>
      <c r="BA654" s="194">
        <v>0</v>
      </c>
      <c r="BB654" s="551">
        <v>0</v>
      </c>
      <c r="BC654" s="551">
        <v>5184</v>
      </c>
      <c r="BD654" s="551">
        <v>0</v>
      </c>
      <c r="BF654" s="550">
        <f t="shared" si="132"/>
        <v>5184</v>
      </c>
      <c r="BG654" s="550">
        <f t="shared" si="133"/>
        <v>0</v>
      </c>
      <c r="BH654" s="550">
        <f t="shared" si="134"/>
        <v>0</v>
      </c>
      <c r="BI654" s="550">
        <f t="shared" si="135"/>
        <v>5184</v>
      </c>
      <c r="BJ654" s="550">
        <f t="shared" si="136"/>
        <v>0</v>
      </c>
      <c r="BK654" s="550">
        <f t="shared" si="137"/>
        <v>0</v>
      </c>
      <c r="BL654" s="550">
        <f t="shared" si="138"/>
        <v>0</v>
      </c>
      <c r="BM654" s="550">
        <f t="shared" si="139"/>
        <v>5184</v>
      </c>
      <c r="BO654" s="194"/>
      <c r="BQ654" s="193">
        <f t="shared" si="140"/>
        <v>0</v>
      </c>
      <c r="BR654" s="193">
        <f t="shared" si="141"/>
        <v>0</v>
      </c>
    </row>
    <row r="655" spans="1:70" ht="13.5" customHeight="1">
      <c r="A655" s="193" t="s">
        <v>378</v>
      </c>
      <c r="B655" s="193" t="s">
        <v>379</v>
      </c>
      <c r="C655" s="193" t="s">
        <v>214</v>
      </c>
      <c r="D655" s="193" t="s">
        <v>495</v>
      </c>
      <c r="E655" s="193" t="s">
        <v>496</v>
      </c>
      <c r="F655" s="193" t="s">
        <v>1685</v>
      </c>
      <c r="G655" s="193" t="s">
        <v>1685</v>
      </c>
      <c r="H655" s="193" t="s">
        <v>2419</v>
      </c>
      <c r="I655" s="193" t="s">
        <v>384</v>
      </c>
      <c r="J655" s="193" t="s">
        <v>2420</v>
      </c>
      <c r="K655" s="193" t="s">
        <v>386</v>
      </c>
      <c r="L655" s="193" t="s">
        <v>387</v>
      </c>
      <c r="M655" s="193" t="s">
        <v>378</v>
      </c>
      <c r="N655" s="193" t="s">
        <v>1497</v>
      </c>
      <c r="O655" s="193" t="s">
        <v>129</v>
      </c>
      <c r="P655" s="193" t="s">
        <v>138</v>
      </c>
      <c r="Q655" s="193" t="s">
        <v>137</v>
      </c>
      <c r="R655" s="193" t="s">
        <v>136</v>
      </c>
      <c r="S655" s="193" t="s">
        <v>214</v>
      </c>
      <c r="T655" s="193" t="s">
        <v>389</v>
      </c>
      <c r="U655" s="193" t="s">
        <v>390</v>
      </c>
      <c r="V655" s="193">
        <v>0</v>
      </c>
      <c r="W655" s="193">
        <v>0</v>
      </c>
      <c r="X655" s="193">
        <v>0</v>
      </c>
      <c r="Y655" s="194">
        <v>4668</v>
      </c>
      <c r="Z655" s="193" t="s">
        <v>1498</v>
      </c>
      <c r="AA655" s="193" t="s">
        <v>1499</v>
      </c>
      <c r="AB655" s="193">
        <v>4668</v>
      </c>
      <c r="AC655" s="193" t="s">
        <v>1500</v>
      </c>
      <c r="AD655" s="193" t="s">
        <v>136</v>
      </c>
      <c r="AE655" s="193">
        <v>4668</v>
      </c>
      <c r="AF655" s="193" t="s">
        <v>518</v>
      </c>
      <c r="AG655" s="193" t="s">
        <v>519</v>
      </c>
      <c r="AH655" s="193">
        <v>0</v>
      </c>
      <c r="AI655" s="193">
        <v>4668</v>
      </c>
      <c r="AJ655" s="193" t="s">
        <v>2421</v>
      </c>
      <c r="AL655" s="197" t="s">
        <v>2422</v>
      </c>
      <c r="AM655" s="193">
        <v>1</v>
      </c>
      <c r="AN655" s="193">
        <v>0</v>
      </c>
      <c r="AO655" s="193">
        <v>0</v>
      </c>
      <c r="AP655" s="193">
        <v>0</v>
      </c>
      <c r="AQ655" s="193" t="s">
        <v>214</v>
      </c>
      <c r="AS655" s="197" t="s">
        <v>518</v>
      </c>
      <c r="AT655" s="197" t="s">
        <v>519</v>
      </c>
      <c r="AV655" s="194">
        <v>4668</v>
      </c>
      <c r="AW655" s="194">
        <v>0</v>
      </c>
      <c r="AX655" s="194">
        <v>0</v>
      </c>
      <c r="AY655" s="549">
        <v>4668</v>
      </c>
      <c r="AZ655" s="194">
        <v>0</v>
      </c>
      <c r="BA655" s="194">
        <v>0</v>
      </c>
      <c r="BB655" s="551">
        <v>0</v>
      </c>
      <c r="BC655" s="551">
        <v>4668</v>
      </c>
      <c r="BD655" s="551">
        <v>0</v>
      </c>
      <c r="BF655" s="550">
        <f t="shared" si="132"/>
        <v>4668</v>
      </c>
      <c r="BG655" s="550">
        <f t="shared" si="133"/>
        <v>0</v>
      </c>
      <c r="BH655" s="550">
        <f t="shared" si="134"/>
        <v>0</v>
      </c>
      <c r="BI655" s="550">
        <f t="shared" si="135"/>
        <v>4668</v>
      </c>
      <c r="BJ655" s="550">
        <f t="shared" si="136"/>
        <v>0</v>
      </c>
      <c r="BK655" s="550">
        <f t="shared" si="137"/>
        <v>0</v>
      </c>
      <c r="BL655" s="550">
        <f t="shared" si="138"/>
        <v>0</v>
      </c>
      <c r="BM655" s="550">
        <f t="shared" si="139"/>
        <v>4668</v>
      </c>
      <c r="BO655" s="194"/>
      <c r="BQ655" s="193">
        <f t="shared" si="140"/>
        <v>0</v>
      </c>
      <c r="BR655" s="193">
        <f t="shared" si="141"/>
        <v>0</v>
      </c>
    </row>
    <row r="656" spans="1:70" ht="13.5" customHeight="1">
      <c r="A656" s="193" t="s">
        <v>378</v>
      </c>
      <c r="B656" s="193" t="s">
        <v>379</v>
      </c>
      <c r="C656" s="193" t="s">
        <v>214</v>
      </c>
      <c r="D656" s="193" t="s">
        <v>1165</v>
      </c>
      <c r="E656" s="193" t="s">
        <v>1166</v>
      </c>
      <c r="F656" s="193" t="s">
        <v>398</v>
      </c>
      <c r="G656" s="193" t="s">
        <v>398</v>
      </c>
      <c r="H656" s="193" t="s">
        <v>2423</v>
      </c>
      <c r="I656" s="193" t="s">
        <v>384</v>
      </c>
      <c r="J656" s="193" t="s">
        <v>2424</v>
      </c>
      <c r="K656" s="193" t="s">
        <v>386</v>
      </c>
      <c r="L656" s="193" t="s">
        <v>387</v>
      </c>
      <c r="M656" s="193" t="s">
        <v>378</v>
      </c>
      <c r="N656" s="193" t="s">
        <v>1497</v>
      </c>
      <c r="O656" s="193" t="s">
        <v>129</v>
      </c>
      <c r="P656" s="193" t="s">
        <v>138</v>
      </c>
      <c r="Q656" s="193" t="s">
        <v>137</v>
      </c>
      <c r="R656" s="193" t="s">
        <v>136</v>
      </c>
      <c r="S656" s="193" t="s">
        <v>214</v>
      </c>
      <c r="T656" s="193" t="s">
        <v>389</v>
      </c>
      <c r="U656" s="193" t="s">
        <v>390</v>
      </c>
      <c r="V656" s="193">
        <v>0</v>
      </c>
      <c r="W656" s="193">
        <v>0</v>
      </c>
      <c r="X656" s="193">
        <v>0</v>
      </c>
      <c r="Y656" s="194">
        <v>1836</v>
      </c>
      <c r="Z656" s="193" t="s">
        <v>1498</v>
      </c>
      <c r="AA656" s="193" t="s">
        <v>1499</v>
      </c>
      <c r="AB656" s="193">
        <v>1836</v>
      </c>
      <c r="AC656" s="193" t="s">
        <v>1500</v>
      </c>
      <c r="AD656" s="193" t="s">
        <v>136</v>
      </c>
      <c r="AE656" s="193">
        <v>1836</v>
      </c>
      <c r="AF656" s="193" t="s">
        <v>394</v>
      </c>
      <c r="AG656" s="193" t="s">
        <v>395</v>
      </c>
      <c r="AH656" s="193">
        <v>166</v>
      </c>
      <c r="AI656" s="193">
        <v>1670</v>
      </c>
      <c r="AJ656" s="193" t="s">
        <v>2425</v>
      </c>
      <c r="AL656" s="197" t="s">
        <v>2426</v>
      </c>
      <c r="AM656" s="193">
        <v>1</v>
      </c>
      <c r="AN656" s="193">
        <v>0</v>
      </c>
      <c r="AO656" s="193">
        <v>0</v>
      </c>
      <c r="AP656" s="193">
        <v>0</v>
      </c>
      <c r="AQ656" s="193" t="s">
        <v>214</v>
      </c>
      <c r="AS656" s="197" t="s">
        <v>394</v>
      </c>
      <c r="AT656" s="197" t="s">
        <v>395</v>
      </c>
      <c r="AV656" s="194">
        <v>918</v>
      </c>
      <c r="AW656" s="194">
        <v>0</v>
      </c>
      <c r="AX656" s="194">
        <v>0</v>
      </c>
      <c r="AY656" s="549">
        <v>918</v>
      </c>
      <c r="AZ656" s="194">
        <v>0</v>
      </c>
      <c r="BA656" s="194">
        <v>918</v>
      </c>
      <c r="BB656" s="551">
        <v>918</v>
      </c>
      <c r="BC656" s="551">
        <v>1836</v>
      </c>
      <c r="BD656" s="551">
        <v>0</v>
      </c>
      <c r="BF656" s="574">
        <f>+IFERROR(ROUND(AV656*100/(100+$AT656),0),AV656)-1</f>
        <v>834</v>
      </c>
      <c r="BG656" s="550">
        <f t="shared" si="133"/>
        <v>0</v>
      </c>
      <c r="BH656" s="550">
        <f t="shared" si="134"/>
        <v>0</v>
      </c>
      <c r="BI656" s="550">
        <f t="shared" si="135"/>
        <v>834</v>
      </c>
      <c r="BJ656" s="550">
        <f t="shared" si="136"/>
        <v>0</v>
      </c>
      <c r="BK656" s="550">
        <f t="shared" si="137"/>
        <v>835</v>
      </c>
      <c r="BL656" s="550">
        <f t="shared" si="138"/>
        <v>835</v>
      </c>
      <c r="BM656" s="550">
        <f t="shared" si="139"/>
        <v>1669</v>
      </c>
      <c r="BO656" s="194"/>
      <c r="BQ656" s="193">
        <f t="shared" si="140"/>
        <v>0.54545454545450411</v>
      </c>
      <c r="BR656" s="193">
        <f t="shared" si="141"/>
        <v>-0.45454545454549589</v>
      </c>
    </row>
    <row r="657" spans="1:70" ht="13.5" customHeight="1">
      <c r="A657" s="193" t="s">
        <v>378</v>
      </c>
      <c r="B657" s="193" t="s">
        <v>379</v>
      </c>
      <c r="C657" s="193" t="s">
        <v>214</v>
      </c>
      <c r="D657" s="193" t="s">
        <v>1165</v>
      </c>
      <c r="E657" s="193" t="s">
        <v>1166</v>
      </c>
      <c r="F657" s="193" t="s">
        <v>431</v>
      </c>
      <c r="G657" s="193" t="s">
        <v>431</v>
      </c>
      <c r="H657" s="193" t="s">
        <v>2427</v>
      </c>
      <c r="I657" s="193" t="s">
        <v>384</v>
      </c>
      <c r="J657" s="193" t="s">
        <v>2428</v>
      </c>
      <c r="K657" s="193" t="s">
        <v>386</v>
      </c>
      <c r="L657" s="193" t="s">
        <v>387</v>
      </c>
      <c r="M657" s="193" t="s">
        <v>378</v>
      </c>
      <c r="N657" s="193" t="s">
        <v>1497</v>
      </c>
      <c r="O657" s="193" t="s">
        <v>129</v>
      </c>
      <c r="P657" s="193" t="s">
        <v>138</v>
      </c>
      <c r="Q657" s="193" t="s">
        <v>137</v>
      </c>
      <c r="R657" s="193" t="s">
        <v>136</v>
      </c>
      <c r="S657" s="193" t="s">
        <v>214</v>
      </c>
      <c r="T657" s="193" t="s">
        <v>389</v>
      </c>
      <c r="U657" s="193" t="s">
        <v>390</v>
      </c>
      <c r="V657" s="193">
        <v>0</v>
      </c>
      <c r="W657" s="193">
        <v>0</v>
      </c>
      <c r="X657" s="193">
        <v>0</v>
      </c>
      <c r="Y657" s="194">
        <v>1836</v>
      </c>
      <c r="Z657" s="193" t="s">
        <v>1498</v>
      </c>
      <c r="AA657" s="193" t="s">
        <v>1499</v>
      </c>
      <c r="AB657" s="193">
        <v>1836</v>
      </c>
      <c r="AC657" s="193" t="s">
        <v>1500</v>
      </c>
      <c r="AD657" s="193" t="s">
        <v>136</v>
      </c>
      <c r="AE657" s="193">
        <v>1836</v>
      </c>
      <c r="AF657" s="193" t="s">
        <v>394</v>
      </c>
      <c r="AG657" s="193" t="s">
        <v>395</v>
      </c>
      <c r="AH657" s="193">
        <v>166</v>
      </c>
      <c r="AI657" s="193">
        <v>1670</v>
      </c>
      <c r="AJ657" s="193" t="s">
        <v>2425</v>
      </c>
      <c r="AL657" s="197" t="s">
        <v>2429</v>
      </c>
      <c r="AM657" s="193">
        <v>1</v>
      </c>
      <c r="AN657" s="193">
        <v>0</v>
      </c>
      <c r="AO657" s="193">
        <v>0</v>
      </c>
      <c r="AP657" s="193">
        <v>0</v>
      </c>
      <c r="AQ657" s="193" t="s">
        <v>214</v>
      </c>
      <c r="AS657" s="197" t="s">
        <v>394</v>
      </c>
      <c r="AT657" s="197" t="s">
        <v>395</v>
      </c>
      <c r="AV657" s="194">
        <v>918</v>
      </c>
      <c r="AW657" s="194">
        <v>0</v>
      </c>
      <c r="AX657" s="194">
        <v>0</v>
      </c>
      <c r="AY657" s="549">
        <v>918</v>
      </c>
      <c r="AZ657" s="194">
        <v>0</v>
      </c>
      <c r="BA657" s="194">
        <v>918</v>
      </c>
      <c r="BB657" s="551">
        <v>918</v>
      </c>
      <c r="BC657" s="551">
        <v>1836</v>
      </c>
      <c r="BD657" s="551">
        <v>0</v>
      </c>
      <c r="BF657" s="550">
        <f t="shared" si="132"/>
        <v>835</v>
      </c>
      <c r="BG657" s="550">
        <f t="shared" si="133"/>
        <v>0</v>
      </c>
      <c r="BH657" s="550">
        <f t="shared" si="134"/>
        <v>0</v>
      </c>
      <c r="BI657" s="550">
        <f t="shared" si="135"/>
        <v>835</v>
      </c>
      <c r="BJ657" s="550">
        <f t="shared" si="136"/>
        <v>0</v>
      </c>
      <c r="BK657" s="550">
        <f t="shared" si="137"/>
        <v>835</v>
      </c>
      <c r="BL657" s="550">
        <f t="shared" si="138"/>
        <v>835</v>
      </c>
      <c r="BM657" s="550">
        <f t="shared" si="139"/>
        <v>1670</v>
      </c>
      <c r="BO657" s="194"/>
      <c r="BQ657" s="193">
        <f t="shared" si="140"/>
        <v>-0.45454545454549589</v>
      </c>
      <c r="BR657" s="193">
        <f t="shared" si="141"/>
        <v>-0.45454545454549589</v>
      </c>
    </row>
    <row r="658" spans="1:70" ht="13.5" customHeight="1">
      <c r="A658" s="193" t="s">
        <v>378</v>
      </c>
      <c r="B658" s="193" t="s">
        <v>379</v>
      </c>
      <c r="C658" s="193" t="s">
        <v>214</v>
      </c>
      <c r="D658" s="193" t="s">
        <v>1165</v>
      </c>
      <c r="E658" s="193" t="s">
        <v>1166</v>
      </c>
      <c r="F658" s="193" t="s">
        <v>439</v>
      </c>
      <c r="G658" s="193" t="s">
        <v>439</v>
      </c>
      <c r="H658" s="193" t="s">
        <v>2430</v>
      </c>
      <c r="I658" s="193" t="s">
        <v>384</v>
      </c>
      <c r="J658" s="193" t="s">
        <v>2431</v>
      </c>
      <c r="K658" s="193" t="s">
        <v>386</v>
      </c>
      <c r="L658" s="193" t="s">
        <v>387</v>
      </c>
      <c r="M658" s="193" t="s">
        <v>378</v>
      </c>
      <c r="N658" s="193" t="s">
        <v>1497</v>
      </c>
      <c r="O658" s="193" t="s">
        <v>129</v>
      </c>
      <c r="P658" s="193" t="s">
        <v>138</v>
      </c>
      <c r="Q658" s="193" t="s">
        <v>137</v>
      </c>
      <c r="R658" s="193" t="s">
        <v>136</v>
      </c>
      <c r="S658" s="193" t="s">
        <v>214</v>
      </c>
      <c r="T658" s="193" t="s">
        <v>389</v>
      </c>
      <c r="U658" s="193" t="s">
        <v>390</v>
      </c>
      <c r="V658" s="193">
        <v>0</v>
      </c>
      <c r="W658" s="193">
        <v>0</v>
      </c>
      <c r="X658" s="193">
        <v>0</v>
      </c>
      <c r="Y658" s="194">
        <v>1836</v>
      </c>
      <c r="Z658" s="193" t="s">
        <v>1498</v>
      </c>
      <c r="AA658" s="193" t="s">
        <v>1499</v>
      </c>
      <c r="AB658" s="193">
        <v>1836</v>
      </c>
      <c r="AC658" s="193" t="s">
        <v>1500</v>
      </c>
      <c r="AD658" s="193" t="s">
        <v>136</v>
      </c>
      <c r="AE658" s="193">
        <v>1836</v>
      </c>
      <c r="AF658" s="193" t="s">
        <v>394</v>
      </c>
      <c r="AG658" s="193" t="s">
        <v>395</v>
      </c>
      <c r="AH658" s="193">
        <v>166</v>
      </c>
      <c r="AI658" s="193">
        <v>1670</v>
      </c>
      <c r="AJ658" s="193" t="s">
        <v>2425</v>
      </c>
      <c r="AL658" s="197" t="s">
        <v>2432</v>
      </c>
      <c r="AM658" s="193">
        <v>1</v>
      </c>
      <c r="AN658" s="193">
        <v>0</v>
      </c>
      <c r="AO658" s="193">
        <v>0</v>
      </c>
      <c r="AP658" s="193">
        <v>0</v>
      </c>
      <c r="AQ658" s="193" t="s">
        <v>214</v>
      </c>
      <c r="AS658" s="197" t="s">
        <v>394</v>
      </c>
      <c r="AT658" s="197" t="s">
        <v>395</v>
      </c>
      <c r="AV658" s="194">
        <v>918</v>
      </c>
      <c r="AW658" s="194">
        <v>0</v>
      </c>
      <c r="AX658" s="194">
        <v>0</v>
      </c>
      <c r="AY658" s="549">
        <v>918</v>
      </c>
      <c r="AZ658" s="194">
        <v>0</v>
      </c>
      <c r="BA658" s="194">
        <v>918</v>
      </c>
      <c r="BB658" s="551">
        <v>918</v>
      </c>
      <c r="BC658" s="551">
        <v>1836</v>
      </c>
      <c r="BD658" s="551">
        <v>0</v>
      </c>
      <c r="BF658" s="550">
        <f t="shared" si="132"/>
        <v>835</v>
      </c>
      <c r="BG658" s="550">
        <f t="shared" si="133"/>
        <v>0</v>
      </c>
      <c r="BH658" s="550">
        <f t="shared" si="134"/>
        <v>0</v>
      </c>
      <c r="BI658" s="550">
        <f t="shared" si="135"/>
        <v>835</v>
      </c>
      <c r="BJ658" s="550">
        <f t="shared" si="136"/>
        <v>0</v>
      </c>
      <c r="BK658" s="550">
        <f t="shared" si="137"/>
        <v>835</v>
      </c>
      <c r="BL658" s="550">
        <f t="shared" si="138"/>
        <v>835</v>
      </c>
      <c r="BM658" s="550">
        <f t="shared" si="139"/>
        <v>1670</v>
      </c>
      <c r="BO658" s="194"/>
      <c r="BQ658" s="193">
        <f t="shared" si="140"/>
        <v>-0.45454545454549589</v>
      </c>
      <c r="BR658" s="193">
        <f t="shared" si="141"/>
        <v>-0.45454545454549589</v>
      </c>
    </row>
    <row r="659" spans="1:70" ht="13.5" customHeight="1">
      <c r="A659" s="193" t="s">
        <v>378</v>
      </c>
      <c r="B659" s="193" t="s">
        <v>379</v>
      </c>
      <c r="C659" s="193" t="s">
        <v>214</v>
      </c>
      <c r="D659" s="193" t="s">
        <v>1165</v>
      </c>
      <c r="E659" s="193" t="s">
        <v>1166</v>
      </c>
      <c r="F659" s="193" t="s">
        <v>2433</v>
      </c>
      <c r="G659" s="193" t="s">
        <v>2433</v>
      </c>
      <c r="H659" s="193" t="s">
        <v>2434</v>
      </c>
      <c r="I659" s="193" t="s">
        <v>384</v>
      </c>
      <c r="J659" s="193" t="s">
        <v>2435</v>
      </c>
      <c r="K659" s="193" t="s">
        <v>386</v>
      </c>
      <c r="L659" s="193" t="s">
        <v>387</v>
      </c>
      <c r="M659" s="193" t="s">
        <v>378</v>
      </c>
      <c r="N659" s="193" t="s">
        <v>1497</v>
      </c>
      <c r="O659" s="193" t="s">
        <v>129</v>
      </c>
      <c r="P659" s="193" t="s">
        <v>138</v>
      </c>
      <c r="Q659" s="193" t="s">
        <v>137</v>
      </c>
      <c r="R659" s="193" t="s">
        <v>136</v>
      </c>
      <c r="S659" s="193" t="s">
        <v>214</v>
      </c>
      <c r="T659" s="193" t="s">
        <v>389</v>
      </c>
      <c r="U659" s="193" t="s">
        <v>390</v>
      </c>
      <c r="V659" s="193">
        <v>0</v>
      </c>
      <c r="W659" s="193">
        <v>0</v>
      </c>
      <c r="X659" s="193">
        <v>0</v>
      </c>
      <c r="Y659" s="194">
        <v>1836</v>
      </c>
      <c r="Z659" s="193" t="s">
        <v>1498</v>
      </c>
      <c r="AA659" s="193" t="s">
        <v>1499</v>
      </c>
      <c r="AB659" s="193">
        <v>1836</v>
      </c>
      <c r="AC659" s="193" t="s">
        <v>1500</v>
      </c>
      <c r="AD659" s="193" t="s">
        <v>136</v>
      </c>
      <c r="AE659" s="193">
        <v>1836</v>
      </c>
      <c r="AF659" s="193" t="s">
        <v>394</v>
      </c>
      <c r="AG659" s="193" t="s">
        <v>395</v>
      </c>
      <c r="AH659" s="193">
        <v>166</v>
      </c>
      <c r="AI659" s="193">
        <v>1670</v>
      </c>
      <c r="AJ659" s="193" t="s">
        <v>2425</v>
      </c>
      <c r="AL659" s="197" t="s">
        <v>2436</v>
      </c>
      <c r="AM659" s="193">
        <v>1</v>
      </c>
      <c r="AN659" s="193">
        <v>0</v>
      </c>
      <c r="AO659" s="193">
        <v>0</v>
      </c>
      <c r="AP659" s="193">
        <v>0</v>
      </c>
      <c r="AQ659" s="193" t="s">
        <v>214</v>
      </c>
      <c r="AS659" s="197" t="s">
        <v>394</v>
      </c>
      <c r="AT659" s="197" t="s">
        <v>395</v>
      </c>
      <c r="AV659" s="194">
        <v>918</v>
      </c>
      <c r="AW659" s="194">
        <v>0</v>
      </c>
      <c r="AX659" s="194">
        <v>0</v>
      </c>
      <c r="AY659" s="549">
        <v>918</v>
      </c>
      <c r="AZ659" s="194">
        <v>0</v>
      </c>
      <c r="BA659" s="194">
        <v>918</v>
      </c>
      <c r="BB659" s="551">
        <v>918</v>
      </c>
      <c r="BC659" s="551">
        <v>1836</v>
      </c>
      <c r="BD659" s="551">
        <v>0</v>
      </c>
      <c r="BF659" s="550">
        <f t="shared" si="132"/>
        <v>835</v>
      </c>
      <c r="BG659" s="550">
        <f t="shared" si="133"/>
        <v>0</v>
      </c>
      <c r="BH659" s="550">
        <f t="shared" si="134"/>
        <v>0</v>
      </c>
      <c r="BI659" s="550">
        <f t="shared" si="135"/>
        <v>835</v>
      </c>
      <c r="BJ659" s="550">
        <f t="shared" si="136"/>
        <v>0</v>
      </c>
      <c r="BK659" s="550">
        <f t="shared" si="137"/>
        <v>835</v>
      </c>
      <c r="BL659" s="550">
        <f t="shared" si="138"/>
        <v>835</v>
      </c>
      <c r="BM659" s="550">
        <f t="shared" si="139"/>
        <v>1670</v>
      </c>
      <c r="BO659" s="194"/>
      <c r="BQ659" s="193">
        <f t="shared" si="140"/>
        <v>-0.45454545454549589</v>
      </c>
      <c r="BR659" s="193">
        <f t="shared" si="141"/>
        <v>-0.45454545454549589</v>
      </c>
    </row>
    <row r="660" spans="1:70" ht="13.5" customHeight="1">
      <c r="A660" s="193" t="s">
        <v>378</v>
      </c>
      <c r="B660" s="193" t="s">
        <v>379</v>
      </c>
      <c r="C660" s="193" t="s">
        <v>214</v>
      </c>
      <c r="D660" s="193" t="s">
        <v>1165</v>
      </c>
      <c r="E660" s="193" t="s">
        <v>1166</v>
      </c>
      <c r="F660" s="193" t="s">
        <v>1182</v>
      </c>
      <c r="G660" s="193" t="s">
        <v>1182</v>
      </c>
      <c r="H660" s="193" t="s">
        <v>2437</v>
      </c>
      <c r="I660" s="193" t="s">
        <v>384</v>
      </c>
      <c r="J660" s="193" t="s">
        <v>2438</v>
      </c>
      <c r="K660" s="193" t="s">
        <v>386</v>
      </c>
      <c r="L660" s="193" t="s">
        <v>387</v>
      </c>
      <c r="M660" s="193" t="s">
        <v>378</v>
      </c>
      <c r="N660" s="193" t="s">
        <v>1497</v>
      </c>
      <c r="O660" s="193" t="s">
        <v>129</v>
      </c>
      <c r="P660" s="193" t="s">
        <v>138</v>
      </c>
      <c r="Q660" s="193" t="s">
        <v>137</v>
      </c>
      <c r="R660" s="193" t="s">
        <v>136</v>
      </c>
      <c r="S660" s="193" t="s">
        <v>214</v>
      </c>
      <c r="T660" s="193" t="s">
        <v>389</v>
      </c>
      <c r="U660" s="193" t="s">
        <v>390</v>
      </c>
      <c r="V660" s="193">
        <v>0</v>
      </c>
      <c r="W660" s="193">
        <v>0</v>
      </c>
      <c r="X660" s="193">
        <v>0</v>
      </c>
      <c r="Y660" s="194">
        <v>1836</v>
      </c>
      <c r="Z660" s="193" t="s">
        <v>1498</v>
      </c>
      <c r="AA660" s="193" t="s">
        <v>1499</v>
      </c>
      <c r="AB660" s="193">
        <v>1836</v>
      </c>
      <c r="AC660" s="193" t="s">
        <v>1500</v>
      </c>
      <c r="AD660" s="193" t="s">
        <v>136</v>
      </c>
      <c r="AE660" s="193">
        <v>1836</v>
      </c>
      <c r="AF660" s="193" t="s">
        <v>394</v>
      </c>
      <c r="AG660" s="193" t="s">
        <v>395</v>
      </c>
      <c r="AH660" s="193">
        <v>166</v>
      </c>
      <c r="AI660" s="193">
        <v>1670</v>
      </c>
      <c r="AJ660" s="193" t="s">
        <v>2425</v>
      </c>
      <c r="AL660" s="197" t="s">
        <v>2439</v>
      </c>
      <c r="AM660" s="193">
        <v>1</v>
      </c>
      <c r="AN660" s="193">
        <v>0</v>
      </c>
      <c r="AO660" s="193">
        <v>0</v>
      </c>
      <c r="AP660" s="193">
        <v>0</v>
      </c>
      <c r="AQ660" s="193" t="s">
        <v>214</v>
      </c>
      <c r="AS660" s="197" t="s">
        <v>394</v>
      </c>
      <c r="AT660" s="197" t="s">
        <v>395</v>
      </c>
      <c r="AV660" s="194">
        <v>918</v>
      </c>
      <c r="AW660" s="194">
        <v>0</v>
      </c>
      <c r="AX660" s="194">
        <v>0</v>
      </c>
      <c r="AY660" s="549">
        <v>918</v>
      </c>
      <c r="AZ660" s="194">
        <v>0</v>
      </c>
      <c r="BA660" s="194">
        <v>918</v>
      </c>
      <c r="BB660" s="551">
        <v>918</v>
      </c>
      <c r="BC660" s="551">
        <v>1836</v>
      </c>
      <c r="BD660" s="551">
        <v>0</v>
      </c>
      <c r="BF660" s="550">
        <f t="shared" si="132"/>
        <v>835</v>
      </c>
      <c r="BG660" s="550">
        <f t="shared" si="133"/>
        <v>0</v>
      </c>
      <c r="BH660" s="550">
        <f t="shared" si="134"/>
        <v>0</v>
      </c>
      <c r="BI660" s="550">
        <f t="shared" si="135"/>
        <v>835</v>
      </c>
      <c r="BJ660" s="550">
        <f t="shared" si="136"/>
        <v>0</v>
      </c>
      <c r="BK660" s="550">
        <f t="shared" si="137"/>
        <v>835</v>
      </c>
      <c r="BL660" s="550">
        <f t="shared" si="138"/>
        <v>835</v>
      </c>
      <c r="BM660" s="550">
        <f t="shared" si="139"/>
        <v>1670</v>
      </c>
      <c r="BO660" s="194"/>
      <c r="BQ660" s="193">
        <f t="shared" si="140"/>
        <v>-0.45454545454549589</v>
      </c>
      <c r="BR660" s="193">
        <f t="shared" si="141"/>
        <v>-0.45454545454549589</v>
      </c>
    </row>
    <row r="661" spans="1:70" ht="13.5" customHeight="1">
      <c r="A661" s="193" t="s">
        <v>378</v>
      </c>
      <c r="B661" s="193" t="s">
        <v>379</v>
      </c>
      <c r="C661" s="193" t="s">
        <v>214</v>
      </c>
      <c r="D661" s="193" t="s">
        <v>1165</v>
      </c>
      <c r="E661" s="193" t="s">
        <v>1166</v>
      </c>
      <c r="F661" s="193" t="s">
        <v>898</v>
      </c>
      <c r="G661" s="193" t="s">
        <v>898</v>
      </c>
      <c r="H661" s="193" t="s">
        <v>2440</v>
      </c>
      <c r="I661" s="193" t="s">
        <v>384</v>
      </c>
      <c r="J661" s="193" t="s">
        <v>2441</v>
      </c>
      <c r="K661" s="193" t="s">
        <v>386</v>
      </c>
      <c r="L661" s="193" t="s">
        <v>387</v>
      </c>
      <c r="M661" s="193" t="s">
        <v>378</v>
      </c>
      <c r="N661" s="193" t="s">
        <v>1497</v>
      </c>
      <c r="O661" s="193" t="s">
        <v>129</v>
      </c>
      <c r="P661" s="193" t="s">
        <v>138</v>
      </c>
      <c r="Q661" s="193" t="s">
        <v>137</v>
      </c>
      <c r="R661" s="193" t="s">
        <v>136</v>
      </c>
      <c r="S661" s="193" t="s">
        <v>214</v>
      </c>
      <c r="T661" s="193" t="s">
        <v>389</v>
      </c>
      <c r="U661" s="193" t="s">
        <v>390</v>
      </c>
      <c r="V661" s="193">
        <v>0</v>
      </c>
      <c r="W661" s="193">
        <v>0</v>
      </c>
      <c r="X661" s="193">
        <v>0</v>
      </c>
      <c r="Y661" s="194">
        <v>1836</v>
      </c>
      <c r="Z661" s="193" t="s">
        <v>1498</v>
      </c>
      <c r="AA661" s="193" t="s">
        <v>1499</v>
      </c>
      <c r="AB661" s="193">
        <v>1836</v>
      </c>
      <c r="AC661" s="193" t="s">
        <v>1500</v>
      </c>
      <c r="AD661" s="193" t="s">
        <v>136</v>
      </c>
      <c r="AE661" s="193">
        <v>1836</v>
      </c>
      <c r="AF661" s="193" t="s">
        <v>394</v>
      </c>
      <c r="AG661" s="193" t="s">
        <v>395</v>
      </c>
      <c r="AH661" s="193">
        <v>166</v>
      </c>
      <c r="AI661" s="193">
        <v>1670</v>
      </c>
      <c r="AJ661" s="193" t="s">
        <v>2425</v>
      </c>
      <c r="AL661" s="197" t="s">
        <v>2442</v>
      </c>
      <c r="AM661" s="193">
        <v>1</v>
      </c>
      <c r="AN661" s="193">
        <v>0</v>
      </c>
      <c r="AO661" s="193">
        <v>0</v>
      </c>
      <c r="AP661" s="193">
        <v>0</v>
      </c>
      <c r="AQ661" s="193" t="s">
        <v>214</v>
      </c>
      <c r="AS661" s="197" t="s">
        <v>394</v>
      </c>
      <c r="AT661" s="197" t="s">
        <v>395</v>
      </c>
      <c r="AV661" s="194">
        <v>918</v>
      </c>
      <c r="AW661" s="194">
        <v>0</v>
      </c>
      <c r="AX661" s="194">
        <v>0</v>
      </c>
      <c r="AY661" s="549">
        <v>918</v>
      </c>
      <c r="AZ661" s="194">
        <v>0</v>
      </c>
      <c r="BA661" s="194">
        <v>918</v>
      </c>
      <c r="BB661" s="551">
        <v>918</v>
      </c>
      <c r="BC661" s="551">
        <v>1836</v>
      </c>
      <c r="BD661" s="551">
        <v>0</v>
      </c>
      <c r="BF661" s="550">
        <f t="shared" si="132"/>
        <v>835</v>
      </c>
      <c r="BG661" s="550">
        <f t="shared" si="133"/>
        <v>0</v>
      </c>
      <c r="BH661" s="550">
        <f t="shared" si="134"/>
        <v>0</v>
      </c>
      <c r="BI661" s="550">
        <f t="shared" si="135"/>
        <v>835</v>
      </c>
      <c r="BJ661" s="550">
        <f t="shared" si="136"/>
        <v>0</v>
      </c>
      <c r="BK661" s="550">
        <f t="shared" si="137"/>
        <v>835</v>
      </c>
      <c r="BL661" s="550">
        <f t="shared" si="138"/>
        <v>835</v>
      </c>
      <c r="BM661" s="550">
        <f t="shared" si="139"/>
        <v>1670</v>
      </c>
      <c r="BO661" s="194"/>
      <c r="BQ661" s="193">
        <f t="shared" si="140"/>
        <v>-0.45454545454549589</v>
      </c>
      <c r="BR661" s="193">
        <f t="shared" si="141"/>
        <v>-0.45454545454549589</v>
      </c>
    </row>
    <row r="662" spans="1:70" ht="13.5" customHeight="1">
      <c r="A662" s="193" t="s">
        <v>378</v>
      </c>
      <c r="B662" s="193" t="s">
        <v>379</v>
      </c>
      <c r="C662" s="193" t="s">
        <v>214</v>
      </c>
      <c r="D662" s="193" t="s">
        <v>1631</v>
      </c>
      <c r="E662" s="193" t="s">
        <v>1632</v>
      </c>
      <c r="F662" s="193" t="s">
        <v>398</v>
      </c>
      <c r="G662" s="193" t="s">
        <v>398</v>
      </c>
      <c r="H662" s="193" t="s">
        <v>2443</v>
      </c>
      <c r="I662" s="193" t="s">
        <v>384</v>
      </c>
      <c r="J662" s="193" t="s">
        <v>2444</v>
      </c>
      <c r="K662" s="193" t="s">
        <v>386</v>
      </c>
      <c r="L662" s="193" t="s">
        <v>387</v>
      </c>
      <c r="M662" s="193" t="s">
        <v>378</v>
      </c>
      <c r="N662" s="193" t="s">
        <v>1497</v>
      </c>
      <c r="O662" s="193" t="s">
        <v>129</v>
      </c>
      <c r="P662" s="193" t="s">
        <v>138</v>
      </c>
      <c r="Q662" s="193" t="s">
        <v>137</v>
      </c>
      <c r="R662" s="193" t="s">
        <v>136</v>
      </c>
      <c r="S662" s="193" t="s">
        <v>214</v>
      </c>
      <c r="T662" s="193" t="s">
        <v>389</v>
      </c>
      <c r="U662" s="193" t="s">
        <v>390</v>
      </c>
      <c r="V662" s="193">
        <v>0</v>
      </c>
      <c r="W662" s="193">
        <v>0</v>
      </c>
      <c r="X662" s="193">
        <v>0</v>
      </c>
      <c r="Y662" s="555">
        <v>24798</v>
      </c>
      <c r="Z662" s="193" t="s">
        <v>1498</v>
      </c>
      <c r="AA662" s="193" t="s">
        <v>1499</v>
      </c>
      <c r="AB662" s="193">
        <v>24798</v>
      </c>
      <c r="AC662" s="193" t="s">
        <v>1500</v>
      </c>
      <c r="AD662" s="193" t="s">
        <v>136</v>
      </c>
      <c r="AE662" s="193">
        <v>24798</v>
      </c>
      <c r="AF662" s="193" t="s">
        <v>505</v>
      </c>
      <c r="AG662" s="193" t="s">
        <v>395</v>
      </c>
      <c r="AH662" s="193">
        <v>2254</v>
      </c>
      <c r="AI662" s="193">
        <v>22544</v>
      </c>
      <c r="AJ662" s="193" t="s">
        <v>2425</v>
      </c>
      <c r="AL662" s="197" t="s">
        <v>2445</v>
      </c>
      <c r="AM662" s="193">
        <v>2</v>
      </c>
      <c r="AN662" s="193">
        <v>17</v>
      </c>
      <c r="AO662" s="193">
        <v>10</v>
      </c>
      <c r="AP662" s="193">
        <v>0</v>
      </c>
      <c r="AQ662" s="193" t="s">
        <v>214</v>
      </c>
      <c r="AS662" s="197">
        <v>17</v>
      </c>
      <c r="AT662" s="197">
        <v>10</v>
      </c>
      <c r="AV662" s="194">
        <v>4464</v>
      </c>
      <c r="AW662" s="194">
        <v>0</v>
      </c>
      <c r="AX662" s="194">
        <v>0</v>
      </c>
      <c r="AY662" s="549">
        <v>4464</v>
      </c>
      <c r="AZ662" s="194">
        <v>0</v>
      </c>
      <c r="BA662" s="194">
        <v>20334</v>
      </c>
      <c r="BB662" s="551">
        <v>20334</v>
      </c>
      <c r="BC662" s="551">
        <v>24798</v>
      </c>
      <c r="BD662" s="551">
        <v>0</v>
      </c>
      <c r="BF662" s="550">
        <f t="shared" si="132"/>
        <v>4058</v>
      </c>
      <c r="BG662" s="550">
        <f t="shared" si="133"/>
        <v>0</v>
      </c>
      <c r="BH662" s="550">
        <f t="shared" si="134"/>
        <v>0</v>
      </c>
      <c r="BI662" s="550">
        <f t="shared" si="135"/>
        <v>4058</v>
      </c>
      <c r="BJ662" s="550">
        <f t="shared" si="136"/>
        <v>0</v>
      </c>
      <c r="BK662" s="550">
        <f t="shared" si="137"/>
        <v>18485</v>
      </c>
      <c r="BL662" s="550">
        <f t="shared" si="138"/>
        <v>18485</v>
      </c>
      <c r="BM662" s="550">
        <f t="shared" si="139"/>
        <v>22543</v>
      </c>
      <c r="BO662" s="194"/>
      <c r="BQ662" s="193">
        <f t="shared" si="140"/>
        <v>0.18181818181801646</v>
      </c>
      <c r="BR662" s="193">
        <f t="shared" si="141"/>
        <v>0.45454545454413164</v>
      </c>
    </row>
    <row r="663" spans="1:70" ht="13.5" customHeight="1">
      <c r="A663" s="193" t="s">
        <v>378</v>
      </c>
      <c r="B663" s="193" t="s">
        <v>379</v>
      </c>
      <c r="C663" s="193" t="s">
        <v>214</v>
      </c>
      <c r="D663" s="193" t="s">
        <v>1631</v>
      </c>
      <c r="E663" s="193" t="s">
        <v>1632</v>
      </c>
      <c r="F663" s="193" t="s">
        <v>431</v>
      </c>
      <c r="G663" s="193" t="s">
        <v>431</v>
      </c>
      <c r="H663" s="193" t="s">
        <v>2446</v>
      </c>
      <c r="I663" s="193" t="s">
        <v>384</v>
      </c>
      <c r="J663" s="193" t="s">
        <v>2447</v>
      </c>
      <c r="K663" s="193" t="s">
        <v>386</v>
      </c>
      <c r="L663" s="193" t="s">
        <v>387</v>
      </c>
      <c r="M663" s="193" t="s">
        <v>378</v>
      </c>
      <c r="N663" s="193" t="s">
        <v>1497</v>
      </c>
      <c r="O663" s="193" t="s">
        <v>129</v>
      </c>
      <c r="P663" s="193" t="s">
        <v>138</v>
      </c>
      <c r="Q663" s="193" t="s">
        <v>137</v>
      </c>
      <c r="R663" s="193" t="s">
        <v>136</v>
      </c>
      <c r="S663" s="193" t="s">
        <v>214</v>
      </c>
      <c r="T663" s="193" t="s">
        <v>389</v>
      </c>
      <c r="U663" s="193" t="s">
        <v>390</v>
      </c>
      <c r="V663" s="193">
        <v>0</v>
      </c>
      <c r="W663" s="193">
        <v>0</v>
      </c>
      <c r="X663" s="193">
        <v>0</v>
      </c>
      <c r="Y663" s="194">
        <v>31551</v>
      </c>
      <c r="Z663" s="193" t="s">
        <v>1498</v>
      </c>
      <c r="AA663" s="193" t="s">
        <v>1499</v>
      </c>
      <c r="AB663" s="193">
        <v>31551</v>
      </c>
      <c r="AC663" s="193" t="s">
        <v>1500</v>
      </c>
      <c r="AD663" s="193" t="s">
        <v>136</v>
      </c>
      <c r="AE663" s="193">
        <v>31551</v>
      </c>
      <c r="AF663" s="193" t="s">
        <v>505</v>
      </c>
      <c r="AG663" s="193" t="s">
        <v>395</v>
      </c>
      <c r="AH663" s="193">
        <v>2868</v>
      </c>
      <c r="AI663" s="193">
        <v>28683</v>
      </c>
      <c r="AJ663" s="193" t="s">
        <v>2425</v>
      </c>
      <c r="AL663" s="197" t="s">
        <v>2448</v>
      </c>
      <c r="AM663" s="193">
        <v>2</v>
      </c>
      <c r="AN663" s="193">
        <v>17</v>
      </c>
      <c r="AO663" s="193">
        <v>10</v>
      </c>
      <c r="AP663" s="193">
        <v>0</v>
      </c>
      <c r="AQ663" s="193" t="s">
        <v>214</v>
      </c>
      <c r="AS663" s="197">
        <v>17</v>
      </c>
      <c r="AT663" s="197">
        <v>10</v>
      </c>
      <c r="AV663" s="196">
        <v>5679</v>
      </c>
      <c r="AW663" s="196">
        <v>0</v>
      </c>
      <c r="AX663" s="196">
        <v>0</v>
      </c>
      <c r="AY663" s="550">
        <v>5679</v>
      </c>
      <c r="AZ663" s="196">
        <v>0</v>
      </c>
      <c r="BA663" s="196">
        <v>25872</v>
      </c>
      <c r="BB663" s="551">
        <v>25872</v>
      </c>
      <c r="BC663" s="551">
        <v>31551</v>
      </c>
      <c r="BD663" s="551">
        <v>0</v>
      </c>
      <c r="BF663" s="550">
        <f t="shared" si="132"/>
        <v>5163</v>
      </c>
      <c r="BG663" s="550">
        <f t="shared" si="133"/>
        <v>0</v>
      </c>
      <c r="BH663" s="550">
        <f t="shared" si="134"/>
        <v>0</v>
      </c>
      <c r="BI663" s="550">
        <f t="shared" si="135"/>
        <v>5163</v>
      </c>
      <c r="BJ663" s="550">
        <f t="shared" si="136"/>
        <v>0</v>
      </c>
      <c r="BK663" s="550">
        <f t="shared" si="137"/>
        <v>23520</v>
      </c>
      <c r="BL663" s="550">
        <f t="shared" si="138"/>
        <v>23520</v>
      </c>
      <c r="BM663" s="550">
        <f t="shared" si="139"/>
        <v>28683</v>
      </c>
      <c r="BO663" s="194"/>
      <c r="BQ663" s="193">
        <f t="shared" si="140"/>
        <v>-0.27272727272702468</v>
      </c>
      <c r="BR663" s="193">
        <f t="shared" si="141"/>
        <v>0</v>
      </c>
    </row>
    <row r="664" spans="1:70" ht="13.5" customHeight="1">
      <c r="A664" s="193" t="s">
        <v>378</v>
      </c>
      <c r="B664" s="193" t="s">
        <v>379</v>
      </c>
      <c r="C664" s="193" t="s">
        <v>214</v>
      </c>
      <c r="D664" s="193" t="s">
        <v>1631</v>
      </c>
      <c r="E664" s="193" t="s">
        <v>1632</v>
      </c>
      <c r="F664" s="193" t="s">
        <v>439</v>
      </c>
      <c r="G664" s="193" t="s">
        <v>439</v>
      </c>
      <c r="H664" s="193" t="s">
        <v>2449</v>
      </c>
      <c r="I664" s="193" t="s">
        <v>384</v>
      </c>
      <c r="J664" s="193" t="s">
        <v>2450</v>
      </c>
      <c r="K664" s="193" t="s">
        <v>386</v>
      </c>
      <c r="L664" s="193" t="s">
        <v>387</v>
      </c>
      <c r="M664" s="193" t="s">
        <v>378</v>
      </c>
      <c r="N664" s="193" t="s">
        <v>1497</v>
      </c>
      <c r="O664" s="193" t="s">
        <v>129</v>
      </c>
      <c r="P664" s="193" t="s">
        <v>138</v>
      </c>
      <c r="Q664" s="193" t="s">
        <v>137</v>
      </c>
      <c r="R664" s="193" t="s">
        <v>136</v>
      </c>
      <c r="S664" s="193" t="s">
        <v>214</v>
      </c>
      <c r="T664" s="193" t="s">
        <v>389</v>
      </c>
      <c r="U664" s="193" t="s">
        <v>390</v>
      </c>
      <c r="V664" s="193">
        <v>0</v>
      </c>
      <c r="W664" s="193">
        <v>0</v>
      </c>
      <c r="X664" s="193">
        <v>0</v>
      </c>
      <c r="Y664" s="194">
        <v>30832</v>
      </c>
      <c r="Z664" s="193" t="s">
        <v>1498</v>
      </c>
      <c r="AA664" s="193" t="s">
        <v>1499</v>
      </c>
      <c r="AB664" s="193">
        <v>30832</v>
      </c>
      <c r="AC664" s="193" t="s">
        <v>1500</v>
      </c>
      <c r="AD664" s="193" t="s">
        <v>136</v>
      </c>
      <c r="AE664" s="193">
        <v>30832</v>
      </c>
      <c r="AF664" s="193" t="s">
        <v>394</v>
      </c>
      <c r="AG664" s="193" t="s">
        <v>395</v>
      </c>
      <c r="AH664" s="193">
        <v>2802</v>
      </c>
      <c r="AI664" s="193">
        <v>28030</v>
      </c>
      <c r="AJ664" s="193" t="s">
        <v>2425</v>
      </c>
      <c r="AL664" s="197" t="s">
        <v>2451</v>
      </c>
      <c r="AM664" s="193">
        <v>1</v>
      </c>
      <c r="AN664" s="193">
        <v>0</v>
      </c>
      <c r="AO664" s="193">
        <v>0</v>
      </c>
      <c r="AP664" s="193">
        <v>0</v>
      </c>
      <c r="AQ664" s="193" t="s">
        <v>214</v>
      </c>
      <c r="AS664" s="197" t="s">
        <v>394</v>
      </c>
      <c r="AT664" s="197" t="s">
        <v>395</v>
      </c>
      <c r="AV664" s="196">
        <v>5550</v>
      </c>
      <c r="AW664" s="196">
        <v>0</v>
      </c>
      <c r="AX664" s="196">
        <v>0</v>
      </c>
      <c r="AY664" s="550">
        <v>5550</v>
      </c>
      <c r="AZ664" s="196">
        <v>0</v>
      </c>
      <c r="BA664" s="196">
        <v>25282</v>
      </c>
      <c r="BB664" s="551">
        <v>25282</v>
      </c>
      <c r="BC664" s="551">
        <v>30832</v>
      </c>
      <c r="BD664" s="551">
        <v>0</v>
      </c>
      <c r="BF664" s="550">
        <f t="shared" si="132"/>
        <v>5045</v>
      </c>
      <c r="BG664" s="550">
        <f t="shared" si="133"/>
        <v>0</v>
      </c>
      <c r="BH664" s="550">
        <f t="shared" si="134"/>
        <v>0</v>
      </c>
      <c r="BI664" s="550">
        <f t="shared" si="135"/>
        <v>5045</v>
      </c>
      <c r="BJ664" s="550">
        <f t="shared" si="136"/>
        <v>0</v>
      </c>
      <c r="BK664" s="550">
        <f t="shared" si="137"/>
        <v>22984</v>
      </c>
      <c r="BL664" s="550">
        <f t="shared" si="138"/>
        <v>22984</v>
      </c>
      <c r="BM664" s="550">
        <f t="shared" si="139"/>
        <v>28029</v>
      </c>
      <c r="BO664" s="194"/>
      <c r="BQ664" s="193">
        <f t="shared" si="140"/>
        <v>0.45454545454504114</v>
      </c>
      <c r="BR664" s="193">
        <f t="shared" si="141"/>
        <v>-0.36363636363603291</v>
      </c>
    </row>
    <row r="665" spans="1:70" ht="13.5" customHeight="1">
      <c r="A665" s="193" t="s">
        <v>378</v>
      </c>
      <c r="B665" s="193" t="s">
        <v>379</v>
      </c>
      <c r="C665" s="193" t="s">
        <v>214</v>
      </c>
      <c r="D665" s="193" t="s">
        <v>1631</v>
      </c>
      <c r="E665" s="193" t="s">
        <v>1632</v>
      </c>
      <c r="F665" s="193" t="s">
        <v>411</v>
      </c>
      <c r="G665" s="193" t="s">
        <v>411</v>
      </c>
      <c r="H665" s="193" t="s">
        <v>2452</v>
      </c>
      <c r="I665" s="193" t="s">
        <v>384</v>
      </c>
      <c r="J665" s="193" t="s">
        <v>2453</v>
      </c>
      <c r="K665" s="193" t="s">
        <v>386</v>
      </c>
      <c r="L665" s="193" t="s">
        <v>387</v>
      </c>
      <c r="M665" s="193" t="s">
        <v>378</v>
      </c>
      <c r="N665" s="193" t="s">
        <v>1497</v>
      </c>
      <c r="O665" s="193" t="s">
        <v>129</v>
      </c>
      <c r="P665" s="193" t="s">
        <v>138</v>
      </c>
      <c r="Q665" s="193" t="s">
        <v>137</v>
      </c>
      <c r="R665" s="193" t="s">
        <v>136</v>
      </c>
      <c r="S665" s="193" t="s">
        <v>214</v>
      </c>
      <c r="T665" s="193" t="s">
        <v>389</v>
      </c>
      <c r="U665" s="193" t="s">
        <v>390</v>
      </c>
      <c r="V665" s="193">
        <v>0</v>
      </c>
      <c r="W665" s="193">
        <v>0</v>
      </c>
      <c r="X665" s="193">
        <v>0</v>
      </c>
      <c r="Y665" s="194">
        <v>28572</v>
      </c>
      <c r="Z665" s="193" t="s">
        <v>1498</v>
      </c>
      <c r="AA665" s="193" t="s">
        <v>1499</v>
      </c>
      <c r="AB665" s="193">
        <v>28572</v>
      </c>
      <c r="AC665" s="193" t="s">
        <v>1500</v>
      </c>
      <c r="AD665" s="193" t="s">
        <v>136</v>
      </c>
      <c r="AE665" s="193">
        <v>28572</v>
      </c>
      <c r="AF665" s="193" t="s">
        <v>505</v>
      </c>
      <c r="AG665" s="193" t="s">
        <v>395</v>
      </c>
      <c r="AH665" s="193">
        <v>2597</v>
      </c>
      <c r="AI665" s="193">
        <v>25975</v>
      </c>
      <c r="AJ665" s="193" t="s">
        <v>2425</v>
      </c>
      <c r="AL665" s="197" t="s">
        <v>2454</v>
      </c>
      <c r="AM665" s="193">
        <v>2</v>
      </c>
      <c r="AN665" s="193">
        <v>17</v>
      </c>
      <c r="AO665" s="193">
        <v>10</v>
      </c>
      <c r="AP665" s="193">
        <v>0</v>
      </c>
      <c r="AQ665" s="193" t="s">
        <v>214</v>
      </c>
      <c r="AS665" s="197">
        <v>17</v>
      </c>
      <c r="AT665" s="197">
        <v>10</v>
      </c>
      <c r="AV665" s="196">
        <v>5143</v>
      </c>
      <c r="AW665" s="196">
        <v>0</v>
      </c>
      <c r="AX665" s="196">
        <v>0</v>
      </c>
      <c r="AY665" s="550">
        <v>5143</v>
      </c>
      <c r="AZ665" s="196">
        <v>0</v>
      </c>
      <c r="BA665" s="196">
        <v>23429</v>
      </c>
      <c r="BB665" s="551">
        <v>23429</v>
      </c>
      <c r="BC665" s="551">
        <v>28572</v>
      </c>
      <c r="BD665" s="551">
        <v>0</v>
      </c>
      <c r="BF665" s="550">
        <f t="shared" si="132"/>
        <v>4675</v>
      </c>
      <c r="BG665" s="550">
        <f t="shared" si="133"/>
        <v>0</v>
      </c>
      <c r="BH665" s="550">
        <f t="shared" si="134"/>
        <v>0</v>
      </c>
      <c r="BI665" s="550">
        <f t="shared" si="135"/>
        <v>4675</v>
      </c>
      <c r="BJ665" s="550">
        <f t="shared" si="136"/>
        <v>0</v>
      </c>
      <c r="BK665" s="550">
        <f t="shared" si="137"/>
        <v>21299</v>
      </c>
      <c r="BL665" s="550">
        <f t="shared" si="138"/>
        <v>21299</v>
      </c>
      <c r="BM665" s="550">
        <f t="shared" si="139"/>
        <v>25974</v>
      </c>
      <c r="BO665" s="194"/>
      <c r="BQ665" s="193">
        <f t="shared" si="140"/>
        <v>0.45454545454504114</v>
      </c>
      <c r="BR665" s="193">
        <f t="shared" si="141"/>
        <v>9.0909090908098733E-2</v>
      </c>
    </row>
    <row r="666" spans="1:70" ht="13.5" customHeight="1">
      <c r="A666" s="193" t="s">
        <v>378</v>
      </c>
      <c r="B666" s="193" t="s">
        <v>379</v>
      </c>
      <c r="C666" s="193" t="s">
        <v>214</v>
      </c>
      <c r="D666" s="193" t="s">
        <v>1631</v>
      </c>
      <c r="E666" s="193" t="s">
        <v>1632</v>
      </c>
      <c r="F666" s="193" t="s">
        <v>1182</v>
      </c>
      <c r="G666" s="193" t="s">
        <v>1182</v>
      </c>
      <c r="H666" s="193" t="s">
        <v>2455</v>
      </c>
      <c r="I666" s="193" t="s">
        <v>384</v>
      </c>
      <c r="J666" s="193" t="s">
        <v>2456</v>
      </c>
      <c r="K666" s="193" t="s">
        <v>386</v>
      </c>
      <c r="L666" s="193" t="s">
        <v>387</v>
      </c>
      <c r="M666" s="193" t="s">
        <v>378</v>
      </c>
      <c r="N666" s="193" t="s">
        <v>1497</v>
      </c>
      <c r="O666" s="193" t="s">
        <v>129</v>
      </c>
      <c r="P666" s="193" t="s">
        <v>138</v>
      </c>
      <c r="Q666" s="193" t="s">
        <v>137</v>
      </c>
      <c r="R666" s="193" t="s">
        <v>136</v>
      </c>
      <c r="S666" s="193" t="s">
        <v>214</v>
      </c>
      <c r="T666" s="193" t="s">
        <v>389</v>
      </c>
      <c r="U666" s="193" t="s">
        <v>390</v>
      </c>
      <c r="V666" s="193">
        <v>0</v>
      </c>
      <c r="W666" s="193">
        <v>0</v>
      </c>
      <c r="X666" s="193">
        <v>0</v>
      </c>
      <c r="Y666" s="194">
        <v>37257</v>
      </c>
      <c r="Z666" s="193" t="s">
        <v>1498</v>
      </c>
      <c r="AA666" s="193" t="s">
        <v>1499</v>
      </c>
      <c r="AB666" s="193">
        <v>37257</v>
      </c>
      <c r="AC666" s="193" t="s">
        <v>1500</v>
      </c>
      <c r="AD666" s="193" t="s">
        <v>136</v>
      </c>
      <c r="AE666" s="193">
        <v>37257</v>
      </c>
      <c r="AF666" s="193" t="s">
        <v>505</v>
      </c>
      <c r="AG666" s="193" t="s">
        <v>395</v>
      </c>
      <c r="AH666" s="193">
        <v>3387</v>
      </c>
      <c r="AI666" s="193">
        <v>33870</v>
      </c>
      <c r="AJ666" s="193" t="s">
        <v>2425</v>
      </c>
      <c r="AL666" s="197" t="s">
        <v>2457</v>
      </c>
      <c r="AM666" s="193">
        <v>2</v>
      </c>
      <c r="AN666" s="193">
        <v>17</v>
      </c>
      <c r="AO666" s="193">
        <v>10</v>
      </c>
      <c r="AP666" s="193">
        <v>0</v>
      </c>
      <c r="AQ666" s="193" t="s">
        <v>214</v>
      </c>
      <c r="AS666" s="197">
        <v>17</v>
      </c>
      <c r="AT666" s="197">
        <v>10</v>
      </c>
      <c r="AV666" s="196">
        <v>6706</v>
      </c>
      <c r="AW666" s="196">
        <v>0</v>
      </c>
      <c r="AX666" s="196">
        <v>0</v>
      </c>
      <c r="AY666" s="550">
        <v>6706</v>
      </c>
      <c r="AZ666" s="196">
        <v>0</v>
      </c>
      <c r="BA666" s="196">
        <v>30551</v>
      </c>
      <c r="BB666" s="551">
        <v>30551</v>
      </c>
      <c r="BC666" s="551">
        <v>37257</v>
      </c>
      <c r="BD666" s="551">
        <v>0</v>
      </c>
      <c r="BF666" s="550">
        <f t="shared" si="132"/>
        <v>6096</v>
      </c>
      <c r="BG666" s="550">
        <f t="shared" si="133"/>
        <v>0</v>
      </c>
      <c r="BH666" s="550">
        <f t="shared" si="134"/>
        <v>0</v>
      </c>
      <c r="BI666" s="550">
        <f t="shared" si="135"/>
        <v>6096</v>
      </c>
      <c r="BJ666" s="550">
        <f t="shared" si="136"/>
        <v>0</v>
      </c>
      <c r="BK666" s="550">
        <f t="shared" si="137"/>
        <v>27774</v>
      </c>
      <c r="BL666" s="550">
        <f t="shared" si="138"/>
        <v>27774</v>
      </c>
      <c r="BM666" s="550">
        <f t="shared" si="139"/>
        <v>33870</v>
      </c>
      <c r="BO666" s="194"/>
      <c r="BQ666" s="193">
        <f t="shared" si="140"/>
        <v>0.36363636363603291</v>
      </c>
      <c r="BR666" s="193">
        <f t="shared" si="141"/>
        <v>-0.36363636363603291</v>
      </c>
    </row>
    <row r="667" spans="1:70" ht="13.5" customHeight="1">
      <c r="A667" s="193" t="s">
        <v>378</v>
      </c>
      <c r="B667" s="193" t="s">
        <v>379</v>
      </c>
      <c r="C667" s="193" t="s">
        <v>214</v>
      </c>
      <c r="D667" s="193" t="s">
        <v>1631</v>
      </c>
      <c r="E667" s="193" t="s">
        <v>1632</v>
      </c>
      <c r="F667" s="193" t="s">
        <v>898</v>
      </c>
      <c r="G667" s="193" t="s">
        <v>898</v>
      </c>
      <c r="H667" s="193" t="s">
        <v>2458</v>
      </c>
      <c r="I667" s="193" t="s">
        <v>384</v>
      </c>
      <c r="J667" s="193" t="s">
        <v>2459</v>
      </c>
      <c r="K667" s="193" t="s">
        <v>386</v>
      </c>
      <c r="L667" s="193" t="s">
        <v>387</v>
      </c>
      <c r="M667" s="193" t="s">
        <v>378</v>
      </c>
      <c r="N667" s="193" t="s">
        <v>1497</v>
      </c>
      <c r="O667" s="193" t="s">
        <v>129</v>
      </c>
      <c r="P667" s="193" t="s">
        <v>138</v>
      </c>
      <c r="Q667" s="193" t="s">
        <v>137</v>
      </c>
      <c r="R667" s="193" t="s">
        <v>136</v>
      </c>
      <c r="S667" s="193" t="s">
        <v>214</v>
      </c>
      <c r="T667" s="193" t="s">
        <v>389</v>
      </c>
      <c r="U667" s="193" t="s">
        <v>390</v>
      </c>
      <c r="V667" s="193">
        <v>0</v>
      </c>
      <c r="W667" s="193">
        <v>0</v>
      </c>
      <c r="X667" s="193">
        <v>0</v>
      </c>
      <c r="Y667" s="194">
        <v>41167</v>
      </c>
      <c r="Z667" s="193" t="s">
        <v>1498</v>
      </c>
      <c r="AA667" s="193" t="s">
        <v>1499</v>
      </c>
      <c r="AB667" s="193">
        <v>41167</v>
      </c>
      <c r="AC667" s="193" t="s">
        <v>1500</v>
      </c>
      <c r="AD667" s="193" t="s">
        <v>136</v>
      </c>
      <c r="AE667" s="193">
        <v>41167</v>
      </c>
      <c r="AF667" s="193" t="s">
        <v>505</v>
      </c>
      <c r="AG667" s="193" t="s">
        <v>395</v>
      </c>
      <c r="AH667" s="193">
        <v>3742</v>
      </c>
      <c r="AI667" s="193">
        <v>37425</v>
      </c>
      <c r="AJ667" s="193" t="s">
        <v>2425</v>
      </c>
      <c r="AL667" s="197" t="s">
        <v>2460</v>
      </c>
      <c r="AM667" s="193">
        <v>2</v>
      </c>
      <c r="AN667" s="193">
        <v>17</v>
      </c>
      <c r="AO667" s="193">
        <v>10</v>
      </c>
      <c r="AP667" s="193">
        <v>0</v>
      </c>
      <c r="AQ667" s="193" t="s">
        <v>214</v>
      </c>
      <c r="AS667" s="197">
        <v>17</v>
      </c>
      <c r="AT667" s="197">
        <v>10</v>
      </c>
      <c r="AV667" s="196">
        <v>7410</v>
      </c>
      <c r="AW667" s="196">
        <v>0</v>
      </c>
      <c r="AX667" s="196">
        <v>0</v>
      </c>
      <c r="AY667" s="550">
        <v>7410</v>
      </c>
      <c r="AZ667" s="196">
        <v>0</v>
      </c>
      <c r="BA667" s="196">
        <v>33757</v>
      </c>
      <c r="BB667" s="551">
        <v>33757</v>
      </c>
      <c r="BC667" s="551">
        <v>41167</v>
      </c>
      <c r="BD667" s="551">
        <v>0</v>
      </c>
      <c r="BF667" s="550">
        <f t="shared" si="132"/>
        <v>6736</v>
      </c>
      <c r="BG667" s="550">
        <f t="shared" si="133"/>
        <v>0</v>
      </c>
      <c r="BH667" s="550">
        <f t="shared" si="134"/>
        <v>0</v>
      </c>
      <c r="BI667" s="550">
        <f t="shared" si="135"/>
        <v>6736</v>
      </c>
      <c r="BJ667" s="550">
        <f t="shared" si="136"/>
        <v>0</v>
      </c>
      <c r="BK667" s="550">
        <f t="shared" si="137"/>
        <v>30688</v>
      </c>
      <c r="BL667" s="550">
        <f t="shared" si="138"/>
        <v>30688</v>
      </c>
      <c r="BM667" s="550">
        <f t="shared" si="139"/>
        <v>37424</v>
      </c>
      <c r="BO667" s="194"/>
      <c r="BQ667" s="193">
        <f t="shared" si="140"/>
        <v>0.36363636363603291</v>
      </c>
      <c r="BR667" s="193">
        <f t="shared" si="141"/>
        <v>0.18181818181983544</v>
      </c>
    </row>
    <row r="668" spans="1:70" ht="13.5" customHeight="1">
      <c r="A668" s="193" t="s">
        <v>378</v>
      </c>
      <c r="B668" s="193" t="s">
        <v>379</v>
      </c>
      <c r="C668" s="193" t="s">
        <v>214</v>
      </c>
      <c r="D668" s="193" t="s">
        <v>1441</v>
      </c>
      <c r="E668" s="193" t="s">
        <v>1442</v>
      </c>
      <c r="F668" s="193" t="s">
        <v>1013</v>
      </c>
      <c r="G668" s="193" t="s">
        <v>1013</v>
      </c>
      <c r="H668" s="193" t="s">
        <v>2461</v>
      </c>
      <c r="I668" s="193" t="s">
        <v>512</v>
      </c>
      <c r="J668" s="193" t="s">
        <v>2462</v>
      </c>
      <c r="K668" s="193" t="s">
        <v>386</v>
      </c>
      <c r="L668" s="193" t="s">
        <v>387</v>
      </c>
      <c r="M668" s="193" t="s">
        <v>378</v>
      </c>
      <c r="N668" s="193" t="s">
        <v>1497</v>
      </c>
      <c r="O668" s="193" t="s">
        <v>129</v>
      </c>
      <c r="P668" s="193" t="s">
        <v>138</v>
      </c>
      <c r="Q668" s="193" t="s">
        <v>137</v>
      </c>
      <c r="R668" s="193" t="s">
        <v>136</v>
      </c>
      <c r="S668" s="193" t="s">
        <v>214</v>
      </c>
      <c r="T668" s="193" t="s">
        <v>389</v>
      </c>
      <c r="U668" s="193" t="s">
        <v>390</v>
      </c>
      <c r="V668" s="193">
        <v>0</v>
      </c>
      <c r="W668" s="193">
        <v>0</v>
      </c>
      <c r="X668" s="193">
        <v>0</v>
      </c>
      <c r="Y668" s="194">
        <v>3996</v>
      </c>
      <c r="Z668" s="193" t="s">
        <v>515</v>
      </c>
      <c r="AA668" s="193" t="s">
        <v>516</v>
      </c>
      <c r="AB668" s="193">
        <v>3996</v>
      </c>
      <c r="AC668" s="193" t="s">
        <v>1500</v>
      </c>
      <c r="AD668" s="193" t="s">
        <v>136</v>
      </c>
      <c r="AE668" s="193">
        <v>3996</v>
      </c>
      <c r="AF668" s="193" t="s">
        <v>505</v>
      </c>
      <c r="AG668" s="193" t="s">
        <v>395</v>
      </c>
      <c r="AH668" s="193">
        <v>363</v>
      </c>
      <c r="AI668" s="193">
        <v>3633</v>
      </c>
      <c r="AJ668" s="193" t="s">
        <v>2463</v>
      </c>
      <c r="AL668" s="197" t="s">
        <v>2464</v>
      </c>
      <c r="AM668" s="193">
        <v>2</v>
      </c>
      <c r="AN668" s="193">
        <v>17</v>
      </c>
      <c r="AO668" s="193">
        <v>10</v>
      </c>
      <c r="AP668" s="193" t="s">
        <v>2465</v>
      </c>
      <c r="AQ668" s="193" t="s">
        <v>214</v>
      </c>
      <c r="AS668" s="197">
        <v>17</v>
      </c>
      <c r="AT668" s="197">
        <v>10</v>
      </c>
      <c r="AV668" s="194">
        <v>3996</v>
      </c>
      <c r="AW668" s="194">
        <v>0</v>
      </c>
      <c r="AX668" s="194">
        <v>0</v>
      </c>
      <c r="AY668" s="549">
        <v>3996</v>
      </c>
      <c r="AZ668" s="194">
        <v>0</v>
      </c>
      <c r="BA668" s="194">
        <v>0</v>
      </c>
      <c r="BB668" s="551">
        <v>0</v>
      </c>
      <c r="BC668" s="551">
        <v>3996</v>
      </c>
      <c r="BD668" s="551">
        <v>0</v>
      </c>
      <c r="BF668" s="550">
        <f t="shared" si="132"/>
        <v>3633</v>
      </c>
      <c r="BG668" s="550">
        <f t="shared" si="133"/>
        <v>0</v>
      </c>
      <c r="BH668" s="550">
        <f t="shared" si="134"/>
        <v>0</v>
      </c>
      <c r="BI668" s="550">
        <f t="shared" si="135"/>
        <v>3633</v>
      </c>
      <c r="BJ668" s="550">
        <f t="shared" si="136"/>
        <v>0</v>
      </c>
      <c r="BK668" s="550">
        <f t="shared" si="137"/>
        <v>0</v>
      </c>
      <c r="BL668" s="550">
        <f t="shared" si="138"/>
        <v>0</v>
      </c>
      <c r="BM668" s="550">
        <f t="shared" si="139"/>
        <v>3633</v>
      </c>
      <c r="BO668" s="194"/>
      <c r="BQ668" s="193">
        <f t="shared" si="140"/>
        <v>-0.27272727272747943</v>
      </c>
      <c r="BR668" s="193">
        <f t="shared" si="141"/>
        <v>0</v>
      </c>
    </row>
    <row r="669" spans="1:70" ht="13.5" customHeight="1">
      <c r="A669" s="193" t="s">
        <v>378</v>
      </c>
      <c r="B669" s="193" t="s">
        <v>379</v>
      </c>
      <c r="C669" s="193" t="s">
        <v>214</v>
      </c>
      <c r="D669" s="193" t="s">
        <v>1441</v>
      </c>
      <c r="E669" s="193" t="s">
        <v>1442</v>
      </c>
      <c r="F669" s="193" t="s">
        <v>682</v>
      </c>
      <c r="G669" s="193" t="s">
        <v>682</v>
      </c>
      <c r="H669" s="193" t="s">
        <v>2461</v>
      </c>
      <c r="I669" s="193" t="s">
        <v>512</v>
      </c>
      <c r="J669" s="193" t="s">
        <v>2469</v>
      </c>
      <c r="K669" s="193" t="s">
        <v>386</v>
      </c>
      <c r="L669" s="193" t="s">
        <v>387</v>
      </c>
      <c r="M669" s="193" t="s">
        <v>378</v>
      </c>
      <c r="N669" s="193" t="s">
        <v>1497</v>
      </c>
      <c r="O669" s="193" t="s">
        <v>129</v>
      </c>
      <c r="P669" s="193" t="s">
        <v>138</v>
      </c>
      <c r="Q669" s="193" t="s">
        <v>137</v>
      </c>
      <c r="R669" s="193" t="s">
        <v>136</v>
      </c>
      <c r="S669" s="193" t="s">
        <v>214</v>
      </c>
      <c r="T669" s="193" t="s">
        <v>389</v>
      </c>
      <c r="U669" s="193" t="s">
        <v>390</v>
      </c>
      <c r="V669" s="193">
        <v>0</v>
      </c>
      <c r="W669" s="193">
        <v>0</v>
      </c>
      <c r="X669" s="193">
        <v>0</v>
      </c>
      <c r="Y669" s="555">
        <v>135884</v>
      </c>
      <c r="Z669" s="193" t="s">
        <v>515</v>
      </c>
      <c r="AA669" s="193" t="s">
        <v>516</v>
      </c>
      <c r="AB669" s="193">
        <v>135884</v>
      </c>
      <c r="AC669" s="193" t="s">
        <v>1500</v>
      </c>
      <c r="AD669" s="193" t="s">
        <v>136</v>
      </c>
      <c r="AE669" s="193">
        <v>135884</v>
      </c>
      <c r="AF669" s="193" t="s">
        <v>505</v>
      </c>
      <c r="AG669" s="193" t="s">
        <v>395</v>
      </c>
      <c r="AH669" s="193">
        <v>12353</v>
      </c>
      <c r="AI669" s="193">
        <v>123531</v>
      </c>
      <c r="AJ669" s="193" t="s">
        <v>2470</v>
      </c>
      <c r="AL669" s="197" t="s">
        <v>2471</v>
      </c>
      <c r="AM669" s="193">
        <v>2</v>
      </c>
      <c r="AN669" s="193">
        <v>17</v>
      </c>
      <c r="AO669" s="193">
        <v>10</v>
      </c>
      <c r="AP669" s="193" t="s">
        <v>2465</v>
      </c>
      <c r="AQ669" s="193" t="s">
        <v>214</v>
      </c>
      <c r="AS669" s="197">
        <v>17</v>
      </c>
      <c r="AT669" s="197">
        <v>10</v>
      </c>
      <c r="AV669" s="194">
        <v>135884</v>
      </c>
      <c r="AW669" s="194">
        <v>0</v>
      </c>
      <c r="AX669" s="194">
        <v>0</v>
      </c>
      <c r="AY669" s="549">
        <v>135884</v>
      </c>
      <c r="AZ669" s="194">
        <v>0</v>
      </c>
      <c r="BA669" s="194">
        <v>0</v>
      </c>
      <c r="BB669" s="551">
        <v>0</v>
      </c>
      <c r="BC669" s="551">
        <v>135884</v>
      </c>
      <c r="BD669" s="551">
        <v>0</v>
      </c>
      <c r="BF669" s="550">
        <f t="shared" si="132"/>
        <v>123531</v>
      </c>
      <c r="BG669" s="550">
        <f t="shared" si="133"/>
        <v>0</v>
      </c>
      <c r="BH669" s="550">
        <f t="shared" si="134"/>
        <v>0</v>
      </c>
      <c r="BI669" s="550">
        <f t="shared" si="135"/>
        <v>123531</v>
      </c>
      <c r="BJ669" s="550">
        <f t="shared" si="136"/>
        <v>0</v>
      </c>
      <c r="BK669" s="550">
        <f t="shared" si="137"/>
        <v>0</v>
      </c>
      <c r="BL669" s="550">
        <f t="shared" si="138"/>
        <v>0</v>
      </c>
      <c r="BM669" s="550">
        <f t="shared" si="139"/>
        <v>123531</v>
      </c>
      <c r="BO669" s="194"/>
      <c r="BQ669" s="193">
        <f t="shared" si="140"/>
        <v>-9.0909090911736712E-2</v>
      </c>
      <c r="BR669" s="193">
        <f t="shared" si="141"/>
        <v>0</v>
      </c>
    </row>
    <row r="670" spans="1:70" ht="13.5" customHeight="1">
      <c r="A670" s="193" t="s">
        <v>378</v>
      </c>
      <c r="B670" s="193" t="s">
        <v>379</v>
      </c>
      <c r="C670" s="193" t="s">
        <v>214</v>
      </c>
      <c r="D670" s="193" t="s">
        <v>1441</v>
      </c>
      <c r="E670" s="193" t="s">
        <v>1442</v>
      </c>
      <c r="F670" s="193" t="s">
        <v>669</v>
      </c>
      <c r="G670" s="193" t="s">
        <v>669</v>
      </c>
      <c r="H670" s="193" t="s">
        <v>2466</v>
      </c>
      <c r="I670" s="193" t="s">
        <v>512</v>
      </c>
      <c r="J670" s="193" t="s">
        <v>2467</v>
      </c>
      <c r="K670" s="193" t="s">
        <v>386</v>
      </c>
      <c r="L670" s="193" t="s">
        <v>387</v>
      </c>
      <c r="M670" s="193" t="s">
        <v>378</v>
      </c>
      <c r="N670" s="193" t="s">
        <v>1497</v>
      </c>
      <c r="O670" s="193" t="s">
        <v>129</v>
      </c>
      <c r="P670" s="193" t="s">
        <v>138</v>
      </c>
      <c r="Q670" s="193" t="s">
        <v>137</v>
      </c>
      <c r="R670" s="193" t="s">
        <v>136</v>
      </c>
      <c r="S670" s="193" t="s">
        <v>214</v>
      </c>
      <c r="T670" s="193" t="s">
        <v>389</v>
      </c>
      <c r="U670" s="193" t="s">
        <v>390</v>
      </c>
      <c r="V670" s="193">
        <v>0</v>
      </c>
      <c r="W670" s="193">
        <v>0</v>
      </c>
      <c r="X670" s="193">
        <v>0</v>
      </c>
      <c r="Y670" s="194">
        <v>7993</v>
      </c>
      <c r="Z670" s="193" t="s">
        <v>515</v>
      </c>
      <c r="AA670" s="193" t="s">
        <v>516</v>
      </c>
      <c r="AB670" s="193">
        <v>7993</v>
      </c>
      <c r="AC670" s="193" t="s">
        <v>1500</v>
      </c>
      <c r="AD670" s="193" t="s">
        <v>136</v>
      </c>
      <c r="AE670" s="193">
        <v>7993</v>
      </c>
      <c r="AF670" s="193" t="s">
        <v>394</v>
      </c>
      <c r="AG670" s="193" t="s">
        <v>395</v>
      </c>
      <c r="AH670" s="193">
        <v>726</v>
      </c>
      <c r="AI670" s="193">
        <v>7267</v>
      </c>
      <c r="AJ670" s="193" t="s">
        <v>2463</v>
      </c>
      <c r="AL670" s="197" t="s">
        <v>2468</v>
      </c>
      <c r="AM670" s="193">
        <v>1</v>
      </c>
      <c r="AN670" s="193">
        <v>0</v>
      </c>
      <c r="AO670" s="193">
        <v>0</v>
      </c>
      <c r="AP670" s="193" t="s">
        <v>2465</v>
      </c>
      <c r="AQ670" s="193" t="s">
        <v>214</v>
      </c>
      <c r="AS670" s="197" t="s">
        <v>394</v>
      </c>
      <c r="AT670" s="197" t="s">
        <v>395</v>
      </c>
      <c r="AV670" s="196">
        <v>7993</v>
      </c>
      <c r="AW670" s="196">
        <v>0</v>
      </c>
      <c r="AX670" s="196">
        <v>0</v>
      </c>
      <c r="AY670" s="550">
        <v>7993</v>
      </c>
      <c r="AZ670" s="196">
        <v>0</v>
      </c>
      <c r="BA670" s="196">
        <v>0</v>
      </c>
      <c r="BB670" s="551">
        <v>0</v>
      </c>
      <c r="BC670" s="551">
        <v>7993</v>
      </c>
      <c r="BD670" s="551">
        <v>0</v>
      </c>
      <c r="BF670" s="550">
        <f t="shared" si="132"/>
        <v>7266</v>
      </c>
      <c r="BG670" s="550">
        <f t="shared" si="133"/>
        <v>0</v>
      </c>
      <c r="BH670" s="550">
        <f t="shared" si="134"/>
        <v>0</v>
      </c>
      <c r="BI670" s="550">
        <f t="shared" si="135"/>
        <v>7266</v>
      </c>
      <c r="BJ670" s="550">
        <f t="shared" si="136"/>
        <v>0</v>
      </c>
      <c r="BK670" s="550">
        <f t="shared" si="137"/>
        <v>0</v>
      </c>
      <c r="BL670" s="550">
        <f t="shared" si="138"/>
        <v>0</v>
      </c>
      <c r="BM670" s="550">
        <f t="shared" si="139"/>
        <v>7266</v>
      </c>
      <c r="BO670" s="194"/>
      <c r="BQ670" s="193">
        <f t="shared" si="140"/>
        <v>0.36363636363603291</v>
      </c>
      <c r="BR670" s="193">
        <f t="shared" si="141"/>
        <v>0</v>
      </c>
    </row>
    <row r="671" spans="1:70" ht="13.5" customHeight="1">
      <c r="A671" s="193" t="s">
        <v>378</v>
      </c>
      <c r="B671" s="193" t="s">
        <v>379</v>
      </c>
      <c r="C671" s="193" t="s">
        <v>214</v>
      </c>
      <c r="D671" s="193" t="s">
        <v>1441</v>
      </c>
      <c r="E671" s="193" t="s">
        <v>1442</v>
      </c>
      <c r="F671" s="193" t="s">
        <v>755</v>
      </c>
      <c r="G671" s="193" t="s">
        <v>755</v>
      </c>
      <c r="H671" s="193" t="s">
        <v>2461</v>
      </c>
      <c r="I671" s="193" t="s">
        <v>512</v>
      </c>
      <c r="J671" s="193" t="s">
        <v>2477</v>
      </c>
      <c r="K671" s="193" t="s">
        <v>386</v>
      </c>
      <c r="L671" s="193" t="s">
        <v>387</v>
      </c>
      <c r="M671" s="193" t="s">
        <v>378</v>
      </c>
      <c r="N671" s="193" t="s">
        <v>1497</v>
      </c>
      <c r="O671" s="193" t="s">
        <v>129</v>
      </c>
      <c r="P671" s="193" t="s">
        <v>138</v>
      </c>
      <c r="Q671" s="193" t="s">
        <v>137</v>
      </c>
      <c r="R671" s="193" t="s">
        <v>136</v>
      </c>
      <c r="S671" s="193" t="s">
        <v>214</v>
      </c>
      <c r="T671" s="193" t="s">
        <v>389</v>
      </c>
      <c r="U671" s="193" t="s">
        <v>390</v>
      </c>
      <c r="V671" s="193">
        <v>0</v>
      </c>
      <c r="W671" s="193">
        <v>0</v>
      </c>
      <c r="X671" s="193">
        <v>0</v>
      </c>
      <c r="Y671" s="194">
        <v>39965</v>
      </c>
      <c r="Z671" s="193" t="s">
        <v>515</v>
      </c>
      <c r="AA671" s="193" t="s">
        <v>516</v>
      </c>
      <c r="AB671" s="193">
        <v>39965</v>
      </c>
      <c r="AC671" s="193" t="s">
        <v>1500</v>
      </c>
      <c r="AD671" s="193" t="s">
        <v>136</v>
      </c>
      <c r="AE671" s="193">
        <v>39965</v>
      </c>
      <c r="AF671" s="193" t="s">
        <v>505</v>
      </c>
      <c r="AG671" s="193" t="s">
        <v>395</v>
      </c>
      <c r="AH671" s="193">
        <v>3633</v>
      </c>
      <c r="AI671" s="193">
        <v>36332</v>
      </c>
      <c r="AJ671" s="193" t="s">
        <v>2463</v>
      </c>
      <c r="AL671" s="197" t="s">
        <v>2478</v>
      </c>
      <c r="AM671" s="193">
        <v>2</v>
      </c>
      <c r="AN671" s="193">
        <v>17</v>
      </c>
      <c r="AO671" s="193">
        <v>10</v>
      </c>
      <c r="AP671" s="193" t="s">
        <v>2465</v>
      </c>
      <c r="AQ671" s="193" t="s">
        <v>214</v>
      </c>
      <c r="AS671" s="197">
        <v>17</v>
      </c>
      <c r="AT671" s="197">
        <v>10</v>
      </c>
      <c r="AV671" s="196">
        <v>39965</v>
      </c>
      <c r="AW671" s="196">
        <v>0</v>
      </c>
      <c r="AX671" s="196">
        <v>0</v>
      </c>
      <c r="AY671" s="550">
        <v>39965</v>
      </c>
      <c r="AZ671" s="196">
        <v>0</v>
      </c>
      <c r="BA671" s="196">
        <v>0</v>
      </c>
      <c r="BB671" s="551">
        <v>0</v>
      </c>
      <c r="BC671" s="551">
        <v>39965</v>
      </c>
      <c r="BD671" s="551">
        <v>0</v>
      </c>
      <c r="BF671" s="550">
        <f t="shared" si="132"/>
        <v>36332</v>
      </c>
      <c r="BG671" s="550">
        <f t="shared" si="133"/>
        <v>0</v>
      </c>
      <c r="BH671" s="550">
        <f t="shared" si="134"/>
        <v>0</v>
      </c>
      <c r="BI671" s="550">
        <f t="shared" si="135"/>
        <v>36332</v>
      </c>
      <c r="BJ671" s="550">
        <f t="shared" si="136"/>
        <v>0</v>
      </c>
      <c r="BK671" s="550">
        <f t="shared" si="137"/>
        <v>0</v>
      </c>
      <c r="BL671" s="550">
        <f t="shared" si="138"/>
        <v>0</v>
      </c>
      <c r="BM671" s="550">
        <f t="shared" si="139"/>
        <v>36332</v>
      </c>
      <c r="BO671" s="194"/>
      <c r="BQ671" s="193">
        <f t="shared" si="140"/>
        <v>-0.18181818181619747</v>
      </c>
      <c r="BR671" s="193">
        <f t="shared" si="141"/>
        <v>0</v>
      </c>
    </row>
    <row r="672" spans="1:70" ht="13.5" customHeight="1">
      <c r="A672" s="193" t="s">
        <v>378</v>
      </c>
      <c r="B672" s="193" t="s">
        <v>379</v>
      </c>
      <c r="C672" s="193" t="s">
        <v>214</v>
      </c>
      <c r="D672" s="193" t="s">
        <v>1441</v>
      </c>
      <c r="E672" s="193" t="s">
        <v>1442</v>
      </c>
      <c r="F672" s="193" t="s">
        <v>1532</v>
      </c>
      <c r="G672" s="193" t="s">
        <v>1532</v>
      </c>
      <c r="H672" s="193" t="s">
        <v>2461</v>
      </c>
      <c r="I672" s="193" t="s">
        <v>512</v>
      </c>
      <c r="J672" s="193" t="s">
        <v>2472</v>
      </c>
      <c r="K672" s="193" t="s">
        <v>386</v>
      </c>
      <c r="L672" s="193" t="s">
        <v>387</v>
      </c>
      <c r="M672" s="193" t="s">
        <v>378</v>
      </c>
      <c r="N672" s="193" t="s">
        <v>1497</v>
      </c>
      <c r="O672" s="193" t="s">
        <v>129</v>
      </c>
      <c r="P672" s="193" t="s">
        <v>138</v>
      </c>
      <c r="Q672" s="193" t="s">
        <v>137</v>
      </c>
      <c r="R672" s="193" t="s">
        <v>136</v>
      </c>
      <c r="S672" s="193" t="s">
        <v>214</v>
      </c>
      <c r="T672" s="193" t="s">
        <v>389</v>
      </c>
      <c r="U672" s="193" t="s">
        <v>390</v>
      </c>
      <c r="V672" s="193">
        <v>0</v>
      </c>
      <c r="W672" s="193">
        <v>0</v>
      </c>
      <c r="X672" s="193">
        <v>0</v>
      </c>
      <c r="Y672" s="194">
        <v>871984</v>
      </c>
      <c r="Z672" s="193" t="s">
        <v>515</v>
      </c>
      <c r="AA672" s="193" t="s">
        <v>516</v>
      </c>
      <c r="AB672" s="193">
        <v>871984</v>
      </c>
      <c r="AC672" s="193" t="s">
        <v>1500</v>
      </c>
      <c r="AD672" s="193" t="s">
        <v>136</v>
      </c>
      <c r="AE672" s="193">
        <v>871984</v>
      </c>
      <c r="AF672" s="193" t="s">
        <v>518</v>
      </c>
      <c r="AG672" s="193" t="s">
        <v>519</v>
      </c>
      <c r="AH672" s="193">
        <v>0</v>
      </c>
      <c r="AI672" s="193">
        <v>871984</v>
      </c>
      <c r="AJ672" s="193" t="s">
        <v>2470</v>
      </c>
      <c r="AL672" s="197" t="s">
        <v>2473</v>
      </c>
      <c r="AM672" s="193">
        <v>1</v>
      </c>
      <c r="AN672" s="193">
        <v>0</v>
      </c>
      <c r="AO672" s="193">
        <v>0</v>
      </c>
      <c r="AP672" s="193" t="s">
        <v>2474</v>
      </c>
      <c r="AQ672" s="193" t="s">
        <v>214</v>
      </c>
      <c r="AS672" s="197" t="s">
        <v>518</v>
      </c>
      <c r="AT672" s="197" t="s">
        <v>519</v>
      </c>
      <c r="AV672" s="196">
        <v>871984</v>
      </c>
      <c r="AW672" s="196">
        <v>0</v>
      </c>
      <c r="AX672" s="196">
        <v>0</v>
      </c>
      <c r="AY672" s="550">
        <v>871984</v>
      </c>
      <c r="AZ672" s="196">
        <v>0</v>
      </c>
      <c r="BA672" s="196">
        <v>0</v>
      </c>
      <c r="BB672" s="551">
        <v>0</v>
      </c>
      <c r="BC672" s="551">
        <v>871984</v>
      </c>
      <c r="BD672" s="551">
        <v>0</v>
      </c>
      <c r="BF672" s="550">
        <f t="shared" si="132"/>
        <v>871984</v>
      </c>
      <c r="BG672" s="550">
        <f t="shared" si="133"/>
        <v>0</v>
      </c>
      <c r="BH672" s="550">
        <f t="shared" si="134"/>
        <v>0</v>
      </c>
      <c r="BI672" s="550">
        <f t="shared" si="135"/>
        <v>871984</v>
      </c>
      <c r="BJ672" s="550">
        <f t="shared" si="136"/>
        <v>0</v>
      </c>
      <c r="BK672" s="550">
        <f t="shared" si="137"/>
        <v>0</v>
      </c>
      <c r="BL672" s="550">
        <f t="shared" si="138"/>
        <v>0</v>
      </c>
      <c r="BM672" s="550">
        <f t="shared" si="139"/>
        <v>871984</v>
      </c>
      <c r="BO672" s="194"/>
      <c r="BQ672" s="193">
        <f t="shared" si="140"/>
        <v>0</v>
      </c>
      <c r="BR672" s="193">
        <f t="shared" si="141"/>
        <v>0</v>
      </c>
    </row>
    <row r="673" spans="1:70" ht="13.5" customHeight="1">
      <c r="A673" s="193" t="s">
        <v>378</v>
      </c>
      <c r="B673" s="193" t="s">
        <v>379</v>
      </c>
      <c r="C673" s="193" t="s">
        <v>214</v>
      </c>
      <c r="D673" s="193" t="s">
        <v>1441</v>
      </c>
      <c r="E673" s="193" t="s">
        <v>1442</v>
      </c>
      <c r="F673" s="193" t="s">
        <v>1532</v>
      </c>
      <c r="G673" s="193" t="s">
        <v>1532</v>
      </c>
      <c r="H673" s="193" t="s">
        <v>2461</v>
      </c>
      <c r="I673" s="193" t="s">
        <v>512</v>
      </c>
      <c r="J673" s="193" t="s">
        <v>2475</v>
      </c>
      <c r="K673" s="193" t="s">
        <v>386</v>
      </c>
      <c r="L673" s="193" t="s">
        <v>387</v>
      </c>
      <c r="M673" s="193" t="s">
        <v>378</v>
      </c>
      <c r="N673" s="193" t="s">
        <v>1497</v>
      </c>
      <c r="O673" s="193" t="s">
        <v>129</v>
      </c>
      <c r="P673" s="193" t="s">
        <v>138</v>
      </c>
      <c r="Q673" s="193" t="s">
        <v>137</v>
      </c>
      <c r="R673" s="193" t="s">
        <v>136</v>
      </c>
      <c r="S673" s="193" t="s">
        <v>214</v>
      </c>
      <c r="T673" s="193" t="s">
        <v>389</v>
      </c>
      <c r="U673" s="193" t="s">
        <v>390</v>
      </c>
      <c r="V673" s="193">
        <v>0</v>
      </c>
      <c r="W673" s="193">
        <v>0</v>
      </c>
      <c r="X673" s="193">
        <v>0</v>
      </c>
      <c r="Y673" s="194">
        <v>35969</v>
      </c>
      <c r="Z673" s="193" t="s">
        <v>515</v>
      </c>
      <c r="AA673" s="193" t="s">
        <v>516</v>
      </c>
      <c r="AB673" s="193">
        <v>35969</v>
      </c>
      <c r="AC673" s="193" t="s">
        <v>1500</v>
      </c>
      <c r="AD673" s="193" t="s">
        <v>136</v>
      </c>
      <c r="AE673" s="193">
        <v>35969</v>
      </c>
      <c r="AF673" s="193" t="s">
        <v>505</v>
      </c>
      <c r="AG673" s="193" t="s">
        <v>395</v>
      </c>
      <c r="AH673" s="193">
        <v>3269</v>
      </c>
      <c r="AI673" s="193">
        <v>32700</v>
      </c>
      <c r="AJ673" s="193" t="s">
        <v>2463</v>
      </c>
      <c r="AL673" s="197" t="s">
        <v>2476</v>
      </c>
      <c r="AM673" s="193">
        <v>2</v>
      </c>
      <c r="AN673" s="193">
        <v>17</v>
      </c>
      <c r="AO673" s="193">
        <v>10</v>
      </c>
      <c r="AP673" s="193" t="s">
        <v>2465</v>
      </c>
      <c r="AQ673" s="193" t="s">
        <v>214</v>
      </c>
      <c r="AS673" s="197">
        <v>17</v>
      </c>
      <c r="AT673" s="197">
        <v>10</v>
      </c>
      <c r="AV673" s="196">
        <v>35969</v>
      </c>
      <c r="AW673" s="196">
        <v>0</v>
      </c>
      <c r="AX673" s="196">
        <v>0</v>
      </c>
      <c r="AY673" s="550">
        <v>35969</v>
      </c>
      <c r="AZ673" s="196">
        <v>0</v>
      </c>
      <c r="BA673" s="196">
        <v>0</v>
      </c>
      <c r="BB673" s="551">
        <v>0</v>
      </c>
      <c r="BC673" s="551">
        <v>35969</v>
      </c>
      <c r="BD673" s="551">
        <v>0</v>
      </c>
      <c r="BF673" s="550">
        <f t="shared" si="132"/>
        <v>32699</v>
      </c>
      <c r="BG673" s="550">
        <f t="shared" si="133"/>
        <v>0</v>
      </c>
      <c r="BH673" s="550">
        <f t="shared" si="134"/>
        <v>0</v>
      </c>
      <c r="BI673" s="550">
        <f t="shared" si="135"/>
        <v>32699</v>
      </c>
      <c r="BJ673" s="550">
        <f t="shared" si="136"/>
        <v>0</v>
      </c>
      <c r="BK673" s="550">
        <f t="shared" si="137"/>
        <v>0</v>
      </c>
      <c r="BL673" s="550">
        <f t="shared" si="138"/>
        <v>0</v>
      </c>
      <c r="BM673" s="550">
        <f t="shared" si="139"/>
        <v>32699</v>
      </c>
      <c r="BO673" s="194"/>
      <c r="BQ673" s="193">
        <f t="shared" si="140"/>
        <v>9.0909090908098733E-2</v>
      </c>
      <c r="BR673" s="193">
        <f t="shared" si="141"/>
        <v>0</v>
      </c>
    </row>
    <row r="674" spans="1:70" ht="13.5" customHeight="1">
      <c r="A674" s="193" t="s">
        <v>378</v>
      </c>
      <c r="B674" s="193" t="s">
        <v>379</v>
      </c>
      <c r="C674" s="193" t="s">
        <v>214</v>
      </c>
      <c r="D674" s="193" t="s">
        <v>1441</v>
      </c>
      <c r="E674" s="193" t="s">
        <v>1442</v>
      </c>
      <c r="F674" s="193" t="s">
        <v>607</v>
      </c>
      <c r="G674" s="193" t="s">
        <v>607</v>
      </c>
      <c r="H674" s="193" t="s">
        <v>2461</v>
      </c>
      <c r="I674" s="193" t="s">
        <v>512</v>
      </c>
      <c r="J674" s="193" t="s">
        <v>2479</v>
      </c>
      <c r="K674" s="193" t="s">
        <v>386</v>
      </c>
      <c r="L674" s="193" t="s">
        <v>387</v>
      </c>
      <c r="M674" s="193" t="s">
        <v>378</v>
      </c>
      <c r="N674" s="193" t="s">
        <v>1497</v>
      </c>
      <c r="O674" s="193" t="s">
        <v>129</v>
      </c>
      <c r="P674" s="193" t="s">
        <v>138</v>
      </c>
      <c r="Q674" s="193" t="s">
        <v>137</v>
      </c>
      <c r="R674" s="193" t="s">
        <v>136</v>
      </c>
      <c r="S674" s="193" t="s">
        <v>214</v>
      </c>
      <c r="T674" s="193" t="s">
        <v>389</v>
      </c>
      <c r="U674" s="193" t="s">
        <v>390</v>
      </c>
      <c r="V674" s="193">
        <v>0</v>
      </c>
      <c r="W674" s="193">
        <v>0</v>
      </c>
      <c r="X674" s="193">
        <v>0</v>
      </c>
      <c r="Y674" s="194">
        <v>217996</v>
      </c>
      <c r="Z674" s="193" t="s">
        <v>515</v>
      </c>
      <c r="AA674" s="193" t="s">
        <v>516</v>
      </c>
      <c r="AB674" s="193">
        <v>217996</v>
      </c>
      <c r="AC674" s="193" t="s">
        <v>1500</v>
      </c>
      <c r="AD674" s="193" t="s">
        <v>136</v>
      </c>
      <c r="AE674" s="193">
        <v>217996</v>
      </c>
      <c r="AF674" s="193" t="s">
        <v>1657</v>
      </c>
      <c r="AG674" s="193" t="s">
        <v>519</v>
      </c>
      <c r="AH674" s="193">
        <v>0</v>
      </c>
      <c r="AI674" s="193">
        <v>217996</v>
      </c>
      <c r="AJ674" s="193" t="s">
        <v>2480</v>
      </c>
      <c r="AL674" s="197" t="s">
        <v>2481</v>
      </c>
      <c r="AM674" s="193">
        <v>2</v>
      </c>
      <c r="AN674" s="193">
        <v>21</v>
      </c>
      <c r="AO674" s="193">
        <v>0</v>
      </c>
      <c r="AP674" s="193" t="s">
        <v>2474</v>
      </c>
      <c r="AQ674" s="193" t="s">
        <v>214</v>
      </c>
      <c r="AS674" s="197">
        <v>21</v>
      </c>
      <c r="AT674" s="197">
        <v>0</v>
      </c>
      <c r="AV674" s="196">
        <v>217996</v>
      </c>
      <c r="AW674" s="196">
        <v>0</v>
      </c>
      <c r="AX674" s="196">
        <v>0</v>
      </c>
      <c r="AY674" s="550">
        <v>217996</v>
      </c>
      <c r="AZ674" s="196">
        <v>0</v>
      </c>
      <c r="BA674" s="196">
        <v>0</v>
      </c>
      <c r="BB674" s="551">
        <v>0</v>
      </c>
      <c r="BC674" s="551">
        <v>217996</v>
      </c>
      <c r="BD674" s="551">
        <v>0</v>
      </c>
      <c r="BF674" s="550">
        <f t="shared" si="132"/>
        <v>217996</v>
      </c>
      <c r="BG674" s="550">
        <f t="shared" si="133"/>
        <v>0</v>
      </c>
      <c r="BH674" s="550">
        <f t="shared" si="134"/>
        <v>0</v>
      </c>
      <c r="BI674" s="550">
        <f t="shared" si="135"/>
        <v>217996</v>
      </c>
      <c r="BJ674" s="550">
        <f t="shared" si="136"/>
        <v>0</v>
      </c>
      <c r="BK674" s="550">
        <f t="shared" si="137"/>
        <v>0</v>
      </c>
      <c r="BL674" s="550">
        <f t="shared" si="138"/>
        <v>0</v>
      </c>
      <c r="BM674" s="550">
        <f t="shared" si="139"/>
        <v>217996</v>
      </c>
      <c r="BO674" s="194"/>
      <c r="BQ674" s="193">
        <f t="shared" si="140"/>
        <v>0</v>
      </c>
      <c r="BR674" s="193">
        <f t="shared" si="141"/>
        <v>0</v>
      </c>
    </row>
    <row r="675" spans="1:70" ht="13.5" customHeight="1">
      <c r="A675" s="193" t="s">
        <v>378</v>
      </c>
      <c r="B675" s="193" t="s">
        <v>379</v>
      </c>
      <c r="C675" s="193" t="s">
        <v>214</v>
      </c>
      <c r="D675" s="193" t="s">
        <v>1441</v>
      </c>
      <c r="E675" s="193" t="s">
        <v>1442</v>
      </c>
      <c r="F675" s="193" t="s">
        <v>841</v>
      </c>
      <c r="G675" s="193" t="s">
        <v>841</v>
      </c>
      <c r="H675" s="193" t="s">
        <v>2461</v>
      </c>
      <c r="I675" s="193" t="s">
        <v>512</v>
      </c>
      <c r="J675" s="193" t="s">
        <v>2488</v>
      </c>
      <c r="K675" s="193" t="s">
        <v>386</v>
      </c>
      <c r="L675" s="193" t="s">
        <v>387</v>
      </c>
      <c r="M675" s="193" t="s">
        <v>378</v>
      </c>
      <c r="N675" s="193" t="s">
        <v>1497</v>
      </c>
      <c r="O675" s="193" t="s">
        <v>129</v>
      </c>
      <c r="P675" s="193" t="s">
        <v>138</v>
      </c>
      <c r="Q675" s="193" t="s">
        <v>137</v>
      </c>
      <c r="R675" s="193" t="s">
        <v>136</v>
      </c>
      <c r="S675" s="193" t="s">
        <v>214</v>
      </c>
      <c r="T675" s="193" t="s">
        <v>389</v>
      </c>
      <c r="U675" s="193" t="s">
        <v>390</v>
      </c>
      <c r="V675" s="193">
        <v>0</v>
      </c>
      <c r="W675" s="193">
        <v>0</v>
      </c>
      <c r="X675" s="193">
        <v>0</v>
      </c>
      <c r="Y675" s="194">
        <v>23979</v>
      </c>
      <c r="Z675" s="193" t="s">
        <v>515</v>
      </c>
      <c r="AA675" s="193" t="s">
        <v>516</v>
      </c>
      <c r="AB675" s="193">
        <v>23979</v>
      </c>
      <c r="AC675" s="193" t="s">
        <v>1500</v>
      </c>
      <c r="AD675" s="193" t="s">
        <v>136</v>
      </c>
      <c r="AE675" s="193">
        <v>23979</v>
      </c>
      <c r="AF675" s="193" t="s">
        <v>505</v>
      </c>
      <c r="AG675" s="193" t="s">
        <v>395</v>
      </c>
      <c r="AH675" s="193">
        <v>2179</v>
      </c>
      <c r="AI675" s="193">
        <v>21800</v>
      </c>
      <c r="AJ675" s="193" t="s">
        <v>2463</v>
      </c>
      <c r="AL675" s="197" t="s">
        <v>2489</v>
      </c>
      <c r="AM675" s="193">
        <v>2</v>
      </c>
      <c r="AN675" s="193">
        <v>17</v>
      </c>
      <c r="AO675" s="193">
        <v>10</v>
      </c>
      <c r="AP675" s="193" t="s">
        <v>2465</v>
      </c>
      <c r="AQ675" s="193" t="s">
        <v>214</v>
      </c>
      <c r="AS675" s="197">
        <v>17</v>
      </c>
      <c r="AT675" s="197">
        <v>10</v>
      </c>
      <c r="AV675" s="194">
        <v>23979</v>
      </c>
      <c r="AW675" s="194">
        <v>0</v>
      </c>
      <c r="AX675" s="194">
        <v>0</v>
      </c>
      <c r="AY675" s="549">
        <v>23979</v>
      </c>
      <c r="AZ675" s="194">
        <v>0</v>
      </c>
      <c r="BA675" s="194">
        <v>0</v>
      </c>
      <c r="BB675" s="551">
        <v>0</v>
      </c>
      <c r="BC675" s="551">
        <v>23979</v>
      </c>
      <c r="BD675" s="551">
        <v>0</v>
      </c>
      <c r="BF675" s="550">
        <f t="shared" si="132"/>
        <v>21799</v>
      </c>
      <c r="BG675" s="550">
        <f t="shared" si="133"/>
        <v>0</v>
      </c>
      <c r="BH675" s="550">
        <f t="shared" si="134"/>
        <v>0</v>
      </c>
      <c r="BI675" s="550">
        <f t="shared" si="135"/>
        <v>21799</v>
      </c>
      <c r="BJ675" s="550">
        <f t="shared" si="136"/>
        <v>0</v>
      </c>
      <c r="BK675" s="550">
        <f t="shared" si="137"/>
        <v>0</v>
      </c>
      <c r="BL675" s="550">
        <f t="shared" si="138"/>
        <v>0</v>
      </c>
      <c r="BM675" s="550">
        <f t="shared" si="139"/>
        <v>21799</v>
      </c>
      <c r="BO675" s="194"/>
      <c r="BQ675" s="193">
        <f t="shared" si="140"/>
        <v>9.0909090908098733E-2</v>
      </c>
      <c r="BR675" s="193">
        <f t="shared" si="141"/>
        <v>0</v>
      </c>
    </row>
    <row r="676" spans="1:70" ht="13.5" customHeight="1">
      <c r="A676" s="193" t="s">
        <v>378</v>
      </c>
      <c r="B676" s="193" t="s">
        <v>379</v>
      </c>
      <c r="C676" s="193" t="s">
        <v>214</v>
      </c>
      <c r="D676" s="193" t="s">
        <v>1441</v>
      </c>
      <c r="E676" s="193" t="s">
        <v>1442</v>
      </c>
      <c r="F676" s="193" t="s">
        <v>2089</v>
      </c>
      <c r="G676" s="193" t="s">
        <v>2089</v>
      </c>
      <c r="H676" s="193" t="s">
        <v>2461</v>
      </c>
      <c r="I676" s="193" t="s">
        <v>512</v>
      </c>
      <c r="J676" s="193" t="s">
        <v>2482</v>
      </c>
      <c r="K676" s="193" t="s">
        <v>386</v>
      </c>
      <c r="L676" s="193" t="s">
        <v>387</v>
      </c>
      <c r="M676" s="193" t="s">
        <v>378</v>
      </c>
      <c r="N676" s="193" t="s">
        <v>1497</v>
      </c>
      <c r="O676" s="193" t="s">
        <v>129</v>
      </c>
      <c r="P676" s="193" t="s">
        <v>138</v>
      </c>
      <c r="Q676" s="193" t="s">
        <v>137</v>
      </c>
      <c r="R676" s="193" t="s">
        <v>136</v>
      </c>
      <c r="S676" s="193" t="s">
        <v>214</v>
      </c>
      <c r="T676" s="193" t="s">
        <v>389</v>
      </c>
      <c r="U676" s="193" t="s">
        <v>390</v>
      </c>
      <c r="V676" s="193">
        <v>0</v>
      </c>
      <c r="W676" s="193">
        <v>0</v>
      </c>
      <c r="X676" s="193">
        <v>0</v>
      </c>
      <c r="Y676" s="194">
        <v>428664</v>
      </c>
      <c r="Z676" s="193" t="s">
        <v>515</v>
      </c>
      <c r="AA676" s="193" t="s">
        <v>516</v>
      </c>
      <c r="AB676" s="193">
        <v>428664</v>
      </c>
      <c r="AC676" s="193" t="s">
        <v>1500</v>
      </c>
      <c r="AD676" s="193" t="s">
        <v>136</v>
      </c>
      <c r="AE676" s="193">
        <v>428664</v>
      </c>
      <c r="AF676" s="193" t="s">
        <v>518</v>
      </c>
      <c r="AG676" s="193" t="s">
        <v>519</v>
      </c>
      <c r="AH676" s="193">
        <v>0</v>
      </c>
      <c r="AI676" s="193">
        <v>428664</v>
      </c>
      <c r="AJ676" s="193" t="s">
        <v>2483</v>
      </c>
      <c r="AL676" s="197" t="s">
        <v>2484</v>
      </c>
      <c r="AM676" s="193">
        <v>1</v>
      </c>
      <c r="AN676" s="193">
        <v>0</v>
      </c>
      <c r="AO676" s="193">
        <v>0</v>
      </c>
      <c r="AP676" s="193" t="s">
        <v>2474</v>
      </c>
      <c r="AQ676" s="193" t="s">
        <v>214</v>
      </c>
      <c r="AS676" s="197" t="s">
        <v>518</v>
      </c>
      <c r="AT676" s="197" t="s">
        <v>519</v>
      </c>
      <c r="AV676" s="194">
        <v>428664</v>
      </c>
      <c r="AW676" s="194">
        <v>0</v>
      </c>
      <c r="AX676" s="194">
        <v>0</v>
      </c>
      <c r="AY676" s="549">
        <v>428664</v>
      </c>
      <c r="AZ676" s="194">
        <v>0</v>
      </c>
      <c r="BA676" s="194">
        <v>0</v>
      </c>
      <c r="BB676" s="551">
        <v>0</v>
      </c>
      <c r="BC676" s="551">
        <v>428664</v>
      </c>
      <c r="BD676" s="551">
        <v>0</v>
      </c>
      <c r="BF676" s="550">
        <f t="shared" si="132"/>
        <v>428664</v>
      </c>
      <c r="BG676" s="550">
        <f t="shared" si="133"/>
        <v>0</v>
      </c>
      <c r="BH676" s="550">
        <f t="shared" si="134"/>
        <v>0</v>
      </c>
      <c r="BI676" s="550">
        <f t="shared" si="135"/>
        <v>428664</v>
      </c>
      <c r="BJ676" s="550">
        <f t="shared" si="136"/>
        <v>0</v>
      </c>
      <c r="BK676" s="550">
        <f t="shared" si="137"/>
        <v>0</v>
      </c>
      <c r="BL676" s="550">
        <f t="shared" si="138"/>
        <v>0</v>
      </c>
      <c r="BM676" s="550">
        <f t="shared" si="139"/>
        <v>428664</v>
      </c>
      <c r="BO676" s="194"/>
      <c r="BQ676" s="193">
        <f t="shared" si="140"/>
        <v>0</v>
      </c>
      <c r="BR676" s="193">
        <f t="shared" si="141"/>
        <v>0</v>
      </c>
    </row>
    <row r="677" spans="1:70" ht="13.5" customHeight="1">
      <c r="A677" s="193" t="s">
        <v>378</v>
      </c>
      <c r="B677" s="193" t="s">
        <v>379</v>
      </c>
      <c r="C677" s="193" t="s">
        <v>214</v>
      </c>
      <c r="D677" s="193" t="s">
        <v>1441</v>
      </c>
      <c r="E677" s="193" t="s">
        <v>1442</v>
      </c>
      <c r="F677" s="193" t="s">
        <v>2089</v>
      </c>
      <c r="G677" s="193" t="s">
        <v>2089</v>
      </c>
      <c r="H677" s="193" t="s">
        <v>2461</v>
      </c>
      <c r="I677" s="193" t="s">
        <v>512</v>
      </c>
      <c r="J677" s="193" t="s">
        <v>2485</v>
      </c>
      <c r="K677" s="193" t="s">
        <v>386</v>
      </c>
      <c r="L677" s="193" t="s">
        <v>387</v>
      </c>
      <c r="M677" s="193" t="s">
        <v>378</v>
      </c>
      <c r="N677" s="193" t="s">
        <v>1497</v>
      </c>
      <c r="O677" s="193" t="s">
        <v>129</v>
      </c>
      <c r="P677" s="193" t="s">
        <v>138</v>
      </c>
      <c r="Q677" s="193" t="s">
        <v>137</v>
      </c>
      <c r="R677" s="193" t="s">
        <v>136</v>
      </c>
      <c r="S677" s="193" t="s">
        <v>214</v>
      </c>
      <c r="T677" s="193" t="s">
        <v>389</v>
      </c>
      <c r="U677" s="193" t="s">
        <v>390</v>
      </c>
      <c r="V677" s="193">
        <v>0</v>
      </c>
      <c r="W677" s="193">
        <v>0</v>
      </c>
      <c r="X677" s="193">
        <v>0</v>
      </c>
      <c r="Y677" s="194">
        <v>186213</v>
      </c>
      <c r="Z677" s="193" t="s">
        <v>515</v>
      </c>
      <c r="AA677" s="193" t="s">
        <v>516</v>
      </c>
      <c r="AB677" s="193">
        <v>186213</v>
      </c>
      <c r="AC677" s="193" t="s">
        <v>1500</v>
      </c>
      <c r="AD677" s="193" t="s">
        <v>136</v>
      </c>
      <c r="AE677" s="193">
        <v>186213</v>
      </c>
      <c r="AF677" s="193" t="s">
        <v>505</v>
      </c>
      <c r="AG677" s="193" t="s">
        <v>2486</v>
      </c>
      <c r="AH677" s="193">
        <v>13793</v>
      </c>
      <c r="AI677" s="193">
        <v>172420</v>
      </c>
      <c r="AJ677" s="193" t="s">
        <v>2483</v>
      </c>
      <c r="AL677" s="197" t="s">
        <v>2487</v>
      </c>
      <c r="AM677" s="193">
        <v>2</v>
      </c>
      <c r="AN677" s="193">
        <v>17</v>
      </c>
      <c r="AO677" s="193">
        <v>10</v>
      </c>
      <c r="AP677" s="193" t="s">
        <v>2465</v>
      </c>
      <c r="AQ677" s="193" t="s">
        <v>214</v>
      </c>
      <c r="AS677" s="197">
        <v>17</v>
      </c>
      <c r="AT677" s="197">
        <v>10</v>
      </c>
      <c r="AV677" s="194">
        <v>186213</v>
      </c>
      <c r="AW677" s="194">
        <v>0</v>
      </c>
      <c r="AX677" s="194">
        <v>0</v>
      </c>
      <c r="AY677" s="549">
        <v>186213</v>
      </c>
      <c r="AZ677" s="194">
        <v>0</v>
      </c>
      <c r="BA677" s="194">
        <v>0</v>
      </c>
      <c r="BB677" s="551">
        <v>0</v>
      </c>
      <c r="BC677" s="551">
        <v>186213</v>
      </c>
      <c r="BD677" s="551">
        <v>0</v>
      </c>
      <c r="BF677" s="574">
        <f>+IFERROR(ROUND(AV677*100/(100+$AT677),0),AV677)-1</f>
        <v>169284</v>
      </c>
      <c r="BG677" s="550">
        <f t="shared" si="133"/>
        <v>0</v>
      </c>
      <c r="BH677" s="550">
        <f t="shared" si="134"/>
        <v>0</v>
      </c>
      <c r="BI677" s="550">
        <f t="shared" si="135"/>
        <v>169284</v>
      </c>
      <c r="BJ677" s="550">
        <f t="shared" si="136"/>
        <v>0</v>
      </c>
      <c r="BK677" s="550">
        <f t="shared" si="137"/>
        <v>0</v>
      </c>
      <c r="BL677" s="550">
        <f t="shared" si="138"/>
        <v>0</v>
      </c>
      <c r="BM677" s="550">
        <f t="shared" si="139"/>
        <v>169284</v>
      </c>
      <c r="BO677" s="194"/>
      <c r="BQ677" s="193">
        <f t="shared" si="140"/>
        <v>0.54545454544131644</v>
      </c>
      <c r="BR677" s="193">
        <f t="shared" si="141"/>
        <v>0</v>
      </c>
    </row>
    <row r="678" spans="1:70" ht="13.5" customHeight="1">
      <c r="A678" s="193" t="s">
        <v>378</v>
      </c>
      <c r="B678" s="193" t="s">
        <v>379</v>
      </c>
      <c r="C678" s="193" t="s">
        <v>214</v>
      </c>
      <c r="D678" s="193" t="s">
        <v>1441</v>
      </c>
      <c r="E678" s="193" t="s">
        <v>1442</v>
      </c>
      <c r="F678" s="193" t="s">
        <v>1160</v>
      </c>
      <c r="G678" s="193" t="s">
        <v>1160</v>
      </c>
      <c r="H678" s="193" t="s">
        <v>2461</v>
      </c>
      <c r="I678" s="193" t="s">
        <v>512</v>
      </c>
      <c r="J678" s="193" t="s">
        <v>2506</v>
      </c>
      <c r="K678" s="193" t="s">
        <v>386</v>
      </c>
      <c r="L678" s="193" t="s">
        <v>387</v>
      </c>
      <c r="M678" s="193" t="s">
        <v>378</v>
      </c>
      <c r="N678" s="193" t="s">
        <v>1497</v>
      </c>
      <c r="O678" s="193" t="s">
        <v>129</v>
      </c>
      <c r="P678" s="193" t="s">
        <v>138</v>
      </c>
      <c r="Q678" s="193" t="s">
        <v>137</v>
      </c>
      <c r="R678" s="193" t="s">
        <v>136</v>
      </c>
      <c r="S678" s="193" t="s">
        <v>214</v>
      </c>
      <c r="T678" s="193" t="s">
        <v>389</v>
      </c>
      <c r="U678" s="193" t="s">
        <v>390</v>
      </c>
      <c r="V678" s="193">
        <v>0</v>
      </c>
      <c r="W678" s="193">
        <v>0</v>
      </c>
      <c r="X678" s="193">
        <v>0</v>
      </c>
      <c r="Y678" s="194">
        <v>35969</v>
      </c>
      <c r="Z678" s="193" t="s">
        <v>515</v>
      </c>
      <c r="AA678" s="193" t="s">
        <v>516</v>
      </c>
      <c r="AB678" s="193">
        <v>35969</v>
      </c>
      <c r="AC678" s="193" t="s">
        <v>1500</v>
      </c>
      <c r="AD678" s="193" t="s">
        <v>136</v>
      </c>
      <c r="AE678" s="193">
        <v>35969</v>
      </c>
      <c r="AF678" s="193" t="s">
        <v>505</v>
      </c>
      <c r="AG678" s="193" t="s">
        <v>395</v>
      </c>
      <c r="AH678" s="193">
        <v>3269</v>
      </c>
      <c r="AI678" s="193">
        <v>32700</v>
      </c>
      <c r="AJ678" s="193" t="s">
        <v>2463</v>
      </c>
      <c r="AL678" s="197" t="s">
        <v>2507</v>
      </c>
      <c r="AM678" s="193">
        <v>2</v>
      </c>
      <c r="AN678" s="193">
        <v>17</v>
      </c>
      <c r="AO678" s="193">
        <v>10</v>
      </c>
      <c r="AP678" s="193" t="s">
        <v>2465</v>
      </c>
      <c r="AQ678" s="193" t="s">
        <v>214</v>
      </c>
      <c r="AS678" s="197">
        <v>17</v>
      </c>
      <c r="AT678" s="197">
        <v>10</v>
      </c>
      <c r="AV678" s="196">
        <v>35969</v>
      </c>
      <c r="AW678" s="196">
        <v>0</v>
      </c>
      <c r="AX678" s="196">
        <v>0</v>
      </c>
      <c r="AY678" s="550">
        <v>35969</v>
      </c>
      <c r="AZ678" s="196">
        <v>0</v>
      </c>
      <c r="BA678" s="196">
        <v>0</v>
      </c>
      <c r="BB678" s="551">
        <v>0</v>
      </c>
      <c r="BC678" s="551">
        <v>35969</v>
      </c>
      <c r="BD678" s="551">
        <v>0</v>
      </c>
      <c r="BF678" s="550">
        <f t="shared" si="132"/>
        <v>32699</v>
      </c>
      <c r="BG678" s="550">
        <f t="shared" si="133"/>
        <v>0</v>
      </c>
      <c r="BH678" s="550">
        <f t="shared" si="134"/>
        <v>0</v>
      </c>
      <c r="BI678" s="550">
        <f t="shared" si="135"/>
        <v>32699</v>
      </c>
      <c r="BJ678" s="550">
        <f t="shared" si="136"/>
        <v>0</v>
      </c>
      <c r="BK678" s="550">
        <f t="shared" si="137"/>
        <v>0</v>
      </c>
      <c r="BL678" s="550">
        <f t="shared" si="138"/>
        <v>0</v>
      </c>
      <c r="BM678" s="550">
        <f t="shared" si="139"/>
        <v>32699</v>
      </c>
      <c r="BO678" s="194"/>
      <c r="BQ678" s="193">
        <f t="shared" si="140"/>
        <v>9.0909090908098733E-2</v>
      </c>
      <c r="BR678" s="193">
        <f t="shared" si="141"/>
        <v>0</v>
      </c>
    </row>
    <row r="679" spans="1:70" ht="13.5" customHeight="1">
      <c r="A679" s="193" t="s">
        <v>378</v>
      </c>
      <c r="B679" s="193" t="s">
        <v>379</v>
      </c>
      <c r="C679" s="193" t="s">
        <v>214</v>
      </c>
      <c r="D679" s="193" t="s">
        <v>1441</v>
      </c>
      <c r="E679" s="193" t="s">
        <v>1442</v>
      </c>
      <c r="F679" s="193" t="s">
        <v>1236</v>
      </c>
      <c r="G679" s="193" t="s">
        <v>1236</v>
      </c>
      <c r="H679" s="193" t="s">
        <v>2461</v>
      </c>
      <c r="I679" s="193" t="s">
        <v>512</v>
      </c>
      <c r="J679" s="193" t="s">
        <v>2502</v>
      </c>
      <c r="K679" s="193" t="s">
        <v>386</v>
      </c>
      <c r="L679" s="193" t="s">
        <v>387</v>
      </c>
      <c r="M679" s="193" t="s">
        <v>378</v>
      </c>
      <c r="N679" s="193" t="s">
        <v>1497</v>
      </c>
      <c r="O679" s="193" t="s">
        <v>129</v>
      </c>
      <c r="P679" s="193" t="s">
        <v>138</v>
      </c>
      <c r="Q679" s="193" t="s">
        <v>137</v>
      </c>
      <c r="R679" s="193" t="s">
        <v>136</v>
      </c>
      <c r="S679" s="193" t="s">
        <v>214</v>
      </c>
      <c r="T679" s="193" t="s">
        <v>389</v>
      </c>
      <c r="U679" s="193" t="s">
        <v>390</v>
      </c>
      <c r="V679" s="193">
        <v>0</v>
      </c>
      <c r="W679" s="193">
        <v>0</v>
      </c>
      <c r="X679" s="193">
        <v>0</v>
      </c>
      <c r="Y679" s="194">
        <v>11989</v>
      </c>
      <c r="Z679" s="193" t="s">
        <v>515</v>
      </c>
      <c r="AA679" s="193" t="s">
        <v>516</v>
      </c>
      <c r="AB679" s="193">
        <v>11989</v>
      </c>
      <c r="AC679" s="193" t="s">
        <v>1500</v>
      </c>
      <c r="AD679" s="193" t="s">
        <v>136</v>
      </c>
      <c r="AE679" s="193">
        <v>11989</v>
      </c>
      <c r="AF679" s="193" t="s">
        <v>505</v>
      </c>
      <c r="AG679" s="193" t="s">
        <v>395</v>
      </c>
      <c r="AH679" s="193">
        <v>1089</v>
      </c>
      <c r="AI679" s="193">
        <v>10900</v>
      </c>
      <c r="AJ679" s="193" t="s">
        <v>2463</v>
      </c>
      <c r="AL679" s="197" t="s">
        <v>2503</v>
      </c>
      <c r="AM679" s="193">
        <v>2</v>
      </c>
      <c r="AN679" s="193">
        <v>17</v>
      </c>
      <c r="AO679" s="193">
        <v>10</v>
      </c>
      <c r="AP679" s="193" t="s">
        <v>2465</v>
      </c>
      <c r="AQ679" s="193" t="s">
        <v>214</v>
      </c>
      <c r="AS679" s="197">
        <v>17</v>
      </c>
      <c r="AT679" s="197">
        <v>10</v>
      </c>
      <c r="AV679" s="196">
        <v>11989</v>
      </c>
      <c r="AW679" s="196">
        <v>0</v>
      </c>
      <c r="AX679" s="196">
        <v>0</v>
      </c>
      <c r="AY679" s="550">
        <v>11989</v>
      </c>
      <c r="AZ679" s="196">
        <v>0</v>
      </c>
      <c r="BA679" s="196">
        <v>0</v>
      </c>
      <c r="BB679" s="551">
        <v>0</v>
      </c>
      <c r="BC679" s="551">
        <v>11989</v>
      </c>
      <c r="BD679" s="551">
        <v>0</v>
      </c>
      <c r="BF679" s="550">
        <f t="shared" si="132"/>
        <v>10899</v>
      </c>
      <c r="BG679" s="550">
        <f t="shared" si="133"/>
        <v>0</v>
      </c>
      <c r="BH679" s="550">
        <f t="shared" si="134"/>
        <v>0</v>
      </c>
      <c r="BI679" s="550">
        <f t="shared" si="135"/>
        <v>10899</v>
      </c>
      <c r="BJ679" s="550">
        <f t="shared" si="136"/>
        <v>0</v>
      </c>
      <c r="BK679" s="550">
        <f t="shared" si="137"/>
        <v>0</v>
      </c>
      <c r="BL679" s="550">
        <f t="shared" si="138"/>
        <v>0</v>
      </c>
      <c r="BM679" s="550">
        <f t="shared" si="139"/>
        <v>10899</v>
      </c>
      <c r="BO679" s="194"/>
      <c r="BQ679" s="193">
        <f t="shared" si="140"/>
        <v>9.0909090909917722E-2</v>
      </c>
      <c r="BR679" s="193">
        <f t="shared" si="141"/>
        <v>0</v>
      </c>
    </row>
    <row r="680" spans="1:70" ht="13.5" customHeight="1">
      <c r="A680" s="193" t="s">
        <v>378</v>
      </c>
      <c r="B680" s="193" t="s">
        <v>379</v>
      </c>
      <c r="C680" s="193" t="s">
        <v>214</v>
      </c>
      <c r="D680" s="193" t="s">
        <v>1441</v>
      </c>
      <c r="E680" s="193" t="s">
        <v>1442</v>
      </c>
      <c r="F680" s="193" t="s">
        <v>419</v>
      </c>
      <c r="G680" s="193" t="s">
        <v>419</v>
      </c>
      <c r="H680" s="193" t="s">
        <v>2461</v>
      </c>
      <c r="I680" s="193" t="s">
        <v>512</v>
      </c>
      <c r="J680" s="193" t="s">
        <v>2508</v>
      </c>
      <c r="K680" s="193" t="s">
        <v>386</v>
      </c>
      <c r="L680" s="193" t="s">
        <v>387</v>
      </c>
      <c r="M680" s="193" t="s">
        <v>378</v>
      </c>
      <c r="N680" s="193" t="s">
        <v>1497</v>
      </c>
      <c r="O680" s="193" t="s">
        <v>129</v>
      </c>
      <c r="P680" s="193" t="s">
        <v>138</v>
      </c>
      <c r="Q680" s="193" t="s">
        <v>137</v>
      </c>
      <c r="R680" s="193" t="s">
        <v>136</v>
      </c>
      <c r="S680" s="193" t="s">
        <v>214</v>
      </c>
      <c r="T680" s="193" t="s">
        <v>389</v>
      </c>
      <c r="U680" s="193" t="s">
        <v>390</v>
      </c>
      <c r="V680" s="193">
        <v>0</v>
      </c>
      <c r="W680" s="193">
        <v>0</v>
      </c>
      <c r="X680" s="193">
        <v>0</v>
      </c>
      <c r="Y680" s="194">
        <v>46553</v>
      </c>
      <c r="Z680" s="193" t="s">
        <v>515</v>
      </c>
      <c r="AA680" s="193" t="s">
        <v>516</v>
      </c>
      <c r="AB680" s="193">
        <v>46553</v>
      </c>
      <c r="AC680" s="193" t="s">
        <v>1500</v>
      </c>
      <c r="AD680" s="193" t="s">
        <v>136</v>
      </c>
      <c r="AE680" s="193">
        <v>46553</v>
      </c>
      <c r="AF680" s="193" t="s">
        <v>505</v>
      </c>
      <c r="AG680" s="193" t="s">
        <v>395</v>
      </c>
      <c r="AH680" s="193">
        <v>4232</v>
      </c>
      <c r="AI680" s="193">
        <v>42321</v>
      </c>
      <c r="AJ680" s="193" t="s">
        <v>2509</v>
      </c>
      <c r="AL680" s="197" t="s">
        <v>2510</v>
      </c>
      <c r="AM680" s="193">
        <v>2</v>
      </c>
      <c r="AN680" s="193">
        <v>17</v>
      </c>
      <c r="AO680" s="193">
        <v>10</v>
      </c>
      <c r="AP680" s="193" t="s">
        <v>2465</v>
      </c>
      <c r="AQ680" s="193" t="s">
        <v>214</v>
      </c>
      <c r="AS680" s="197">
        <v>17</v>
      </c>
      <c r="AT680" s="197">
        <v>10</v>
      </c>
      <c r="AV680" s="196">
        <v>46553</v>
      </c>
      <c r="AW680" s="196">
        <v>0</v>
      </c>
      <c r="AX680" s="196">
        <v>0</v>
      </c>
      <c r="AY680" s="550">
        <v>46553</v>
      </c>
      <c r="AZ680" s="196">
        <v>0</v>
      </c>
      <c r="BA680" s="196">
        <v>0</v>
      </c>
      <c r="BB680" s="551">
        <v>0</v>
      </c>
      <c r="BC680" s="551">
        <v>46553</v>
      </c>
      <c r="BD680" s="551">
        <v>0</v>
      </c>
      <c r="BF680" s="550">
        <f t="shared" si="132"/>
        <v>42321</v>
      </c>
      <c r="BG680" s="550">
        <f t="shared" si="133"/>
        <v>0</v>
      </c>
      <c r="BH680" s="550">
        <f t="shared" si="134"/>
        <v>0</v>
      </c>
      <c r="BI680" s="550">
        <f t="shared" si="135"/>
        <v>42321</v>
      </c>
      <c r="BJ680" s="550">
        <f t="shared" si="136"/>
        <v>0</v>
      </c>
      <c r="BK680" s="550">
        <f t="shared" si="137"/>
        <v>0</v>
      </c>
      <c r="BL680" s="550">
        <f t="shared" si="138"/>
        <v>0</v>
      </c>
      <c r="BM680" s="550">
        <f t="shared" si="139"/>
        <v>42321</v>
      </c>
      <c r="BO680" s="194"/>
      <c r="BQ680" s="193">
        <f t="shared" si="140"/>
        <v>-9.0909090911736712E-2</v>
      </c>
      <c r="BR680" s="193">
        <f t="shared" si="141"/>
        <v>0</v>
      </c>
    </row>
    <row r="681" spans="1:70" ht="13.5" customHeight="1">
      <c r="A681" s="193" t="s">
        <v>378</v>
      </c>
      <c r="B681" s="193" t="s">
        <v>379</v>
      </c>
      <c r="C681" s="193" t="s">
        <v>214</v>
      </c>
      <c r="D681" s="193" t="s">
        <v>1441</v>
      </c>
      <c r="E681" s="193" t="s">
        <v>1442</v>
      </c>
      <c r="F681" s="193" t="s">
        <v>2333</v>
      </c>
      <c r="G681" s="193" t="s">
        <v>2333</v>
      </c>
      <c r="H681" s="193" t="s">
        <v>2461</v>
      </c>
      <c r="I681" s="193" t="s">
        <v>512</v>
      </c>
      <c r="J681" s="193" t="s">
        <v>2511</v>
      </c>
      <c r="K681" s="193" t="s">
        <v>386</v>
      </c>
      <c r="L681" s="193" t="s">
        <v>387</v>
      </c>
      <c r="M681" s="193" t="s">
        <v>378</v>
      </c>
      <c r="N681" s="193" t="s">
        <v>1497</v>
      </c>
      <c r="O681" s="193" t="s">
        <v>129</v>
      </c>
      <c r="P681" s="193" t="s">
        <v>138</v>
      </c>
      <c r="Q681" s="193" t="s">
        <v>137</v>
      </c>
      <c r="R681" s="193" t="s">
        <v>136</v>
      </c>
      <c r="S681" s="193" t="s">
        <v>214</v>
      </c>
      <c r="T681" s="193" t="s">
        <v>389</v>
      </c>
      <c r="U681" s="193" t="s">
        <v>390</v>
      </c>
      <c r="V681" s="193">
        <v>0</v>
      </c>
      <c r="W681" s="193">
        <v>0</v>
      </c>
      <c r="X681" s="193">
        <v>0</v>
      </c>
      <c r="Y681" s="194">
        <v>39965</v>
      </c>
      <c r="Z681" s="193" t="s">
        <v>515</v>
      </c>
      <c r="AA681" s="193" t="s">
        <v>516</v>
      </c>
      <c r="AB681" s="193">
        <v>39965</v>
      </c>
      <c r="AC681" s="193" t="s">
        <v>1500</v>
      </c>
      <c r="AD681" s="193" t="s">
        <v>136</v>
      </c>
      <c r="AE681" s="193">
        <v>39965</v>
      </c>
      <c r="AF681" s="193" t="s">
        <v>505</v>
      </c>
      <c r="AG681" s="193" t="s">
        <v>395</v>
      </c>
      <c r="AH681" s="193">
        <v>3633</v>
      </c>
      <c r="AI681" s="193">
        <v>36332</v>
      </c>
      <c r="AJ681" s="193" t="s">
        <v>2463</v>
      </c>
      <c r="AL681" s="197" t="s">
        <v>2512</v>
      </c>
      <c r="AM681" s="193">
        <v>2</v>
      </c>
      <c r="AN681" s="193">
        <v>17</v>
      </c>
      <c r="AO681" s="193">
        <v>10</v>
      </c>
      <c r="AP681" s="193" t="s">
        <v>2465</v>
      </c>
      <c r="AQ681" s="193" t="s">
        <v>214</v>
      </c>
      <c r="AS681" s="197">
        <v>17</v>
      </c>
      <c r="AT681" s="197">
        <v>10</v>
      </c>
      <c r="AV681" s="196">
        <v>39965</v>
      </c>
      <c r="AW681" s="196">
        <v>0</v>
      </c>
      <c r="AX681" s="196">
        <v>0</v>
      </c>
      <c r="AY681" s="550">
        <v>39965</v>
      </c>
      <c r="AZ681" s="196">
        <v>0</v>
      </c>
      <c r="BA681" s="196">
        <v>0</v>
      </c>
      <c r="BB681" s="551">
        <v>0</v>
      </c>
      <c r="BC681" s="551">
        <v>39965</v>
      </c>
      <c r="BD681" s="551">
        <v>0</v>
      </c>
      <c r="BF681" s="550">
        <f t="shared" si="132"/>
        <v>36332</v>
      </c>
      <c r="BG681" s="550">
        <f t="shared" si="133"/>
        <v>0</v>
      </c>
      <c r="BH681" s="550">
        <f t="shared" si="134"/>
        <v>0</v>
      </c>
      <c r="BI681" s="550">
        <f t="shared" si="135"/>
        <v>36332</v>
      </c>
      <c r="BJ681" s="550">
        <f t="shared" si="136"/>
        <v>0</v>
      </c>
      <c r="BK681" s="550">
        <f t="shared" si="137"/>
        <v>0</v>
      </c>
      <c r="BL681" s="550">
        <f t="shared" si="138"/>
        <v>0</v>
      </c>
      <c r="BM681" s="550">
        <f t="shared" si="139"/>
        <v>36332</v>
      </c>
      <c r="BO681" s="194"/>
      <c r="BQ681" s="193">
        <f t="shared" si="140"/>
        <v>-0.18181818181619747</v>
      </c>
      <c r="BR681" s="193">
        <f t="shared" si="141"/>
        <v>0</v>
      </c>
    </row>
    <row r="682" spans="1:70" ht="13.5" customHeight="1">
      <c r="A682" s="193" t="s">
        <v>378</v>
      </c>
      <c r="B682" s="193" t="s">
        <v>379</v>
      </c>
      <c r="C682" s="193" t="s">
        <v>214</v>
      </c>
      <c r="D682" s="193" t="s">
        <v>1441</v>
      </c>
      <c r="E682" s="193" t="s">
        <v>1442</v>
      </c>
      <c r="F682" s="193" t="s">
        <v>1220</v>
      </c>
      <c r="G682" s="193" t="s">
        <v>1220</v>
      </c>
      <c r="H682" s="193" t="s">
        <v>2461</v>
      </c>
      <c r="I682" s="193" t="s">
        <v>512</v>
      </c>
      <c r="J682" s="193" t="s">
        <v>2504</v>
      </c>
      <c r="K682" s="193" t="s">
        <v>386</v>
      </c>
      <c r="L682" s="193" t="s">
        <v>387</v>
      </c>
      <c r="M682" s="193" t="s">
        <v>378</v>
      </c>
      <c r="N682" s="193" t="s">
        <v>1497</v>
      </c>
      <c r="O682" s="193" t="s">
        <v>129</v>
      </c>
      <c r="P682" s="193" t="s">
        <v>138</v>
      </c>
      <c r="Q682" s="193" t="s">
        <v>137</v>
      </c>
      <c r="R682" s="193" t="s">
        <v>136</v>
      </c>
      <c r="S682" s="193" t="s">
        <v>214</v>
      </c>
      <c r="T682" s="193" t="s">
        <v>389</v>
      </c>
      <c r="U682" s="193" t="s">
        <v>390</v>
      </c>
      <c r="V682" s="193">
        <v>0</v>
      </c>
      <c r="W682" s="193">
        <v>0</v>
      </c>
      <c r="X682" s="193">
        <v>0</v>
      </c>
      <c r="Y682" s="194">
        <v>653988</v>
      </c>
      <c r="Z682" s="193" t="s">
        <v>515</v>
      </c>
      <c r="AA682" s="193" t="s">
        <v>516</v>
      </c>
      <c r="AB682" s="193">
        <v>653988</v>
      </c>
      <c r="AC682" s="193" t="s">
        <v>1500</v>
      </c>
      <c r="AD682" s="193" t="s">
        <v>136</v>
      </c>
      <c r="AE682" s="193">
        <v>653988</v>
      </c>
      <c r="AF682" s="193" t="s">
        <v>518</v>
      </c>
      <c r="AG682" s="193" t="s">
        <v>519</v>
      </c>
      <c r="AH682" s="193">
        <v>0</v>
      </c>
      <c r="AI682" s="193">
        <v>653988</v>
      </c>
      <c r="AJ682" s="193" t="s">
        <v>2470</v>
      </c>
      <c r="AL682" s="197" t="s">
        <v>2505</v>
      </c>
      <c r="AM682" s="193">
        <v>1</v>
      </c>
      <c r="AN682" s="193">
        <v>0</v>
      </c>
      <c r="AO682" s="193">
        <v>0</v>
      </c>
      <c r="AP682" s="193" t="s">
        <v>2474</v>
      </c>
      <c r="AQ682" s="193" t="s">
        <v>214</v>
      </c>
      <c r="AS682" s="197" t="s">
        <v>518</v>
      </c>
      <c r="AT682" s="197" t="s">
        <v>519</v>
      </c>
      <c r="AV682" s="196">
        <v>653988</v>
      </c>
      <c r="AW682" s="196">
        <v>0</v>
      </c>
      <c r="AX682" s="196">
        <v>0</v>
      </c>
      <c r="AY682" s="550">
        <v>653988</v>
      </c>
      <c r="AZ682" s="196">
        <v>0</v>
      </c>
      <c r="BA682" s="196">
        <v>0</v>
      </c>
      <c r="BB682" s="551">
        <v>0</v>
      </c>
      <c r="BC682" s="551">
        <v>653988</v>
      </c>
      <c r="BD682" s="551">
        <v>0</v>
      </c>
      <c r="BF682" s="550">
        <f t="shared" si="132"/>
        <v>653988</v>
      </c>
      <c r="BG682" s="550">
        <f t="shared" si="133"/>
        <v>0</v>
      </c>
      <c r="BH682" s="550">
        <f t="shared" si="134"/>
        <v>0</v>
      </c>
      <c r="BI682" s="550">
        <f t="shared" si="135"/>
        <v>653988</v>
      </c>
      <c r="BJ682" s="550">
        <f t="shared" si="136"/>
        <v>0</v>
      </c>
      <c r="BK682" s="550">
        <f t="shared" si="137"/>
        <v>0</v>
      </c>
      <c r="BL682" s="550">
        <f t="shared" si="138"/>
        <v>0</v>
      </c>
      <c r="BM682" s="550">
        <f t="shared" si="139"/>
        <v>653988</v>
      </c>
      <c r="BO682" s="194"/>
      <c r="BQ682" s="193">
        <f t="shared" si="140"/>
        <v>0</v>
      </c>
      <c r="BR682" s="193">
        <f t="shared" si="141"/>
        <v>0</v>
      </c>
    </row>
    <row r="683" spans="1:70" ht="13.5" customHeight="1">
      <c r="A683" s="193" t="s">
        <v>378</v>
      </c>
      <c r="B683" s="193" t="s">
        <v>379</v>
      </c>
      <c r="C683" s="193" t="s">
        <v>214</v>
      </c>
      <c r="D683" s="193" t="s">
        <v>1441</v>
      </c>
      <c r="E683" s="193" t="s">
        <v>1442</v>
      </c>
      <c r="F683" s="193" t="s">
        <v>2493</v>
      </c>
      <c r="G683" s="193" t="s">
        <v>2493</v>
      </c>
      <c r="H683" s="193" t="s">
        <v>2461</v>
      </c>
      <c r="I683" s="193" t="s">
        <v>512</v>
      </c>
      <c r="J683" s="193" t="s">
        <v>2494</v>
      </c>
      <c r="K683" s="193" t="s">
        <v>386</v>
      </c>
      <c r="L683" s="193" t="s">
        <v>387</v>
      </c>
      <c r="M683" s="193" t="s">
        <v>378</v>
      </c>
      <c r="N683" s="193" t="s">
        <v>1497</v>
      </c>
      <c r="O683" s="193" t="s">
        <v>129</v>
      </c>
      <c r="P683" s="193" t="s">
        <v>138</v>
      </c>
      <c r="Q683" s="193" t="s">
        <v>137</v>
      </c>
      <c r="R683" s="193" t="s">
        <v>136</v>
      </c>
      <c r="S683" s="193" t="s">
        <v>214</v>
      </c>
      <c r="T683" s="193" t="s">
        <v>389</v>
      </c>
      <c r="U683" s="193" t="s">
        <v>390</v>
      </c>
      <c r="V683" s="193">
        <v>0</v>
      </c>
      <c r="W683" s="193">
        <v>0</v>
      </c>
      <c r="X683" s="193">
        <v>0</v>
      </c>
      <c r="Y683" s="194">
        <v>3996</v>
      </c>
      <c r="Z683" s="193" t="s">
        <v>515</v>
      </c>
      <c r="AA683" s="193" t="s">
        <v>516</v>
      </c>
      <c r="AB683" s="193">
        <v>3996</v>
      </c>
      <c r="AC683" s="193" t="s">
        <v>1500</v>
      </c>
      <c r="AD683" s="193" t="s">
        <v>136</v>
      </c>
      <c r="AE683" s="193">
        <v>3996</v>
      </c>
      <c r="AF683" s="193" t="s">
        <v>505</v>
      </c>
      <c r="AG683" s="193" t="s">
        <v>395</v>
      </c>
      <c r="AH683" s="193">
        <v>363</v>
      </c>
      <c r="AI683" s="193">
        <v>3633</v>
      </c>
      <c r="AJ683" s="193" t="s">
        <v>2463</v>
      </c>
      <c r="AL683" s="197" t="s">
        <v>2495</v>
      </c>
      <c r="AM683" s="193">
        <v>2</v>
      </c>
      <c r="AN683" s="193">
        <v>17</v>
      </c>
      <c r="AO683" s="193">
        <v>10</v>
      </c>
      <c r="AP683" s="193" t="s">
        <v>2465</v>
      </c>
      <c r="AQ683" s="193" t="s">
        <v>214</v>
      </c>
      <c r="AS683" s="197">
        <v>17</v>
      </c>
      <c r="AT683" s="197">
        <v>10</v>
      </c>
      <c r="AV683" s="196">
        <v>3996</v>
      </c>
      <c r="AW683" s="196">
        <v>0</v>
      </c>
      <c r="AX683" s="196">
        <v>0</v>
      </c>
      <c r="AY683" s="550">
        <v>3996</v>
      </c>
      <c r="AZ683" s="196">
        <v>0</v>
      </c>
      <c r="BA683" s="196">
        <v>0</v>
      </c>
      <c r="BB683" s="551">
        <v>0</v>
      </c>
      <c r="BC683" s="551">
        <v>3996</v>
      </c>
      <c r="BD683" s="551">
        <v>0</v>
      </c>
      <c r="BF683" s="550">
        <f t="shared" si="132"/>
        <v>3633</v>
      </c>
      <c r="BG683" s="550">
        <f t="shared" si="133"/>
        <v>0</v>
      </c>
      <c r="BH683" s="550">
        <f t="shared" si="134"/>
        <v>0</v>
      </c>
      <c r="BI683" s="550">
        <f t="shared" si="135"/>
        <v>3633</v>
      </c>
      <c r="BJ683" s="550">
        <f t="shared" si="136"/>
        <v>0</v>
      </c>
      <c r="BK683" s="550">
        <f t="shared" si="137"/>
        <v>0</v>
      </c>
      <c r="BL683" s="550">
        <f t="shared" si="138"/>
        <v>0</v>
      </c>
      <c r="BM683" s="550">
        <f t="shared" si="139"/>
        <v>3633</v>
      </c>
      <c r="BO683" s="194"/>
      <c r="BQ683" s="193">
        <f t="shared" si="140"/>
        <v>-0.27272727272747943</v>
      </c>
      <c r="BR683" s="193">
        <f t="shared" si="141"/>
        <v>0</v>
      </c>
    </row>
    <row r="684" spans="1:70" ht="13.5" customHeight="1">
      <c r="A684" s="193" t="s">
        <v>378</v>
      </c>
      <c r="B684" s="193" t="s">
        <v>379</v>
      </c>
      <c r="C684" s="193" t="s">
        <v>214</v>
      </c>
      <c r="D684" s="193" t="s">
        <v>1441</v>
      </c>
      <c r="E684" s="193" t="s">
        <v>1442</v>
      </c>
      <c r="F684" s="193" t="s">
        <v>2490</v>
      </c>
      <c r="G684" s="193" t="s">
        <v>2490</v>
      </c>
      <c r="H684" s="193" t="s">
        <v>2461</v>
      </c>
      <c r="I684" s="193" t="s">
        <v>512</v>
      </c>
      <c r="J684" s="193" t="s">
        <v>2491</v>
      </c>
      <c r="K684" s="193" t="s">
        <v>386</v>
      </c>
      <c r="L684" s="193" t="s">
        <v>387</v>
      </c>
      <c r="M684" s="193" t="s">
        <v>378</v>
      </c>
      <c r="N684" s="193" t="s">
        <v>1497</v>
      </c>
      <c r="O684" s="193" t="s">
        <v>129</v>
      </c>
      <c r="P684" s="193" t="s">
        <v>138</v>
      </c>
      <c r="Q684" s="193" t="s">
        <v>137</v>
      </c>
      <c r="R684" s="193" t="s">
        <v>136</v>
      </c>
      <c r="S684" s="193" t="s">
        <v>214</v>
      </c>
      <c r="T684" s="193" t="s">
        <v>389</v>
      </c>
      <c r="U684" s="193" t="s">
        <v>390</v>
      </c>
      <c r="V684" s="193">
        <v>0</v>
      </c>
      <c r="W684" s="193">
        <v>0</v>
      </c>
      <c r="X684" s="193">
        <v>0</v>
      </c>
      <c r="Y684" s="194">
        <v>7993</v>
      </c>
      <c r="Z684" s="193" t="s">
        <v>515</v>
      </c>
      <c r="AA684" s="193" t="s">
        <v>516</v>
      </c>
      <c r="AB684" s="193">
        <v>7993</v>
      </c>
      <c r="AC684" s="193" t="s">
        <v>1500</v>
      </c>
      <c r="AD684" s="193" t="s">
        <v>136</v>
      </c>
      <c r="AE684" s="193">
        <v>7993</v>
      </c>
      <c r="AF684" s="193" t="s">
        <v>505</v>
      </c>
      <c r="AG684" s="193" t="s">
        <v>395</v>
      </c>
      <c r="AH684" s="193">
        <v>726</v>
      </c>
      <c r="AI684" s="193">
        <v>7267</v>
      </c>
      <c r="AJ684" s="193" t="s">
        <v>2463</v>
      </c>
      <c r="AL684" s="197" t="s">
        <v>2492</v>
      </c>
      <c r="AM684" s="193">
        <v>2</v>
      </c>
      <c r="AN684" s="193">
        <v>17</v>
      </c>
      <c r="AO684" s="193">
        <v>10</v>
      </c>
      <c r="AP684" s="193" t="s">
        <v>2465</v>
      </c>
      <c r="AQ684" s="193" t="s">
        <v>214</v>
      </c>
      <c r="AS684" s="197">
        <v>17</v>
      </c>
      <c r="AT684" s="197">
        <v>10</v>
      </c>
      <c r="AV684" s="194">
        <v>7993</v>
      </c>
      <c r="AW684" s="194">
        <v>0</v>
      </c>
      <c r="AX684" s="194">
        <v>0</v>
      </c>
      <c r="AY684" s="549">
        <v>7993</v>
      </c>
      <c r="AZ684" s="194">
        <v>0</v>
      </c>
      <c r="BA684" s="194">
        <v>0</v>
      </c>
      <c r="BB684" s="551">
        <v>0</v>
      </c>
      <c r="BC684" s="551">
        <v>7993</v>
      </c>
      <c r="BD684" s="551">
        <v>0</v>
      </c>
      <c r="BF684" s="550">
        <f t="shared" si="132"/>
        <v>7266</v>
      </c>
      <c r="BG684" s="550">
        <f t="shared" si="133"/>
        <v>0</v>
      </c>
      <c r="BH684" s="550">
        <f t="shared" si="134"/>
        <v>0</v>
      </c>
      <c r="BI684" s="550">
        <f t="shared" si="135"/>
        <v>7266</v>
      </c>
      <c r="BJ684" s="550">
        <f t="shared" si="136"/>
        <v>0</v>
      </c>
      <c r="BK684" s="550">
        <f t="shared" si="137"/>
        <v>0</v>
      </c>
      <c r="BL684" s="550">
        <f t="shared" si="138"/>
        <v>0</v>
      </c>
      <c r="BM684" s="550">
        <f t="shared" si="139"/>
        <v>7266</v>
      </c>
      <c r="BO684" s="194"/>
      <c r="BQ684" s="193">
        <f t="shared" si="140"/>
        <v>0.36363636363603291</v>
      </c>
      <c r="BR684" s="193">
        <f t="shared" si="141"/>
        <v>0</v>
      </c>
    </row>
    <row r="685" spans="1:70" ht="13.5" customHeight="1">
      <c r="A685" s="193" t="s">
        <v>378</v>
      </c>
      <c r="B685" s="193" t="s">
        <v>379</v>
      </c>
      <c r="C685" s="193" t="s">
        <v>214</v>
      </c>
      <c r="D685" s="193" t="s">
        <v>1441</v>
      </c>
      <c r="E685" s="193" t="s">
        <v>1442</v>
      </c>
      <c r="F685" s="193" t="s">
        <v>1244</v>
      </c>
      <c r="G685" s="193" t="s">
        <v>1244</v>
      </c>
      <c r="H685" s="193" t="s">
        <v>2461</v>
      </c>
      <c r="I685" s="193" t="s">
        <v>512</v>
      </c>
      <c r="J685" s="193" t="s">
        <v>2496</v>
      </c>
      <c r="K685" s="193" t="s">
        <v>386</v>
      </c>
      <c r="L685" s="193" t="s">
        <v>387</v>
      </c>
      <c r="M685" s="193" t="s">
        <v>378</v>
      </c>
      <c r="N685" s="193" t="s">
        <v>1497</v>
      </c>
      <c r="O685" s="193" t="s">
        <v>129</v>
      </c>
      <c r="P685" s="193" t="s">
        <v>138</v>
      </c>
      <c r="Q685" s="193" t="s">
        <v>137</v>
      </c>
      <c r="R685" s="193" t="s">
        <v>136</v>
      </c>
      <c r="S685" s="193" t="s">
        <v>214</v>
      </c>
      <c r="T685" s="193" t="s">
        <v>389</v>
      </c>
      <c r="U685" s="193" t="s">
        <v>390</v>
      </c>
      <c r="V685" s="193">
        <v>0</v>
      </c>
      <c r="W685" s="193">
        <v>0</v>
      </c>
      <c r="X685" s="193">
        <v>0</v>
      </c>
      <c r="Y685" s="194">
        <v>11989</v>
      </c>
      <c r="Z685" s="193" t="s">
        <v>515</v>
      </c>
      <c r="AA685" s="193" t="s">
        <v>516</v>
      </c>
      <c r="AB685" s="193">
        <v>11989</v>
      </c>
      <c r="AC685" s="193" t="s">
        <v>1500</v>
      </c>
      <c r="AD685" s="193" t="s">
        <v>136</v>
      </c>
      <c r="AE685" s="193">
        <v>11989</v>
      </c>
      <c r="AF685" s="193" t="s">
        <v>394</v>
      </c>
      <c r="AG685" s="193" t="s">
        <v>395</v>
      </c>
      <c r="AH685" s="193">
        <v>1089</v>
      </c>
      <c r="AI685" s="193">
        <v>10900</v>
      </c>
      <c r="AJ685" s="193" t="s">
        <v>2497</v>
      </c>
      <c r="AL685" s="197" t="s">
        <v>2498</v>
      </c>
      <c r="AM685" s="193">
        <v>1</v>
      </c>
      <c r="AN685" s="193">
        <v>0</v>
      </c>
      <c r="AO685" s="193">
        <v>0</v>
      </c>
      <c r="AP685" s="193" t="s">
        <v>2465</v>
      </c>
      <c r="AQ685" s="193" t="s">
        <v>214</v>
      </c>
      <c r="AS685" s="197" t="s">
        <v>394</v>
      </c>
      <c r="AT685" s="197" t="s">
        <v>395</v>
      </c>
      <c r="AV685" s="194">
        <v>11989</v>
      </c>
      <c r="AW685" s="194">
        <v>0</v>
      </c>
      <c r="AX685" s="194">
        <v>0</v>
      </c>
      <c r="AY685" s="549">
        <v>11989</v>
      </c>
      <c r="AZ685" s="194">
        <v>0</v>
      </c>
      <c r="BA685" s="194">
        <v>0</v>
      </c>
      <c r="BB685" s="551">
        <v>0</v>
      </c>
      <c r="BC685" s="551">
        <v>11989</v>
      </c>
      <c r="BD685" s="551">
        <v>0</v>
      </c>
      <c r="BF685" s="550">
        <f t="shared" si="132"/>
        <v>10899</v>
      </c>
      <c r="BG685" s="550">
        <f t="shared" si="133"/>
        <v>0</v>
      </c>
      <c r="BH685" s="550">
        <f t="shared" si="134"/>
        <v>0</v>
      </c>
      <c r="BI685" s="550">
        <f t="shared" si="135"/>
        <v>10899</v>
      </c>
      <c r="BJ685" s="550">
        <f t="shared" si="136"/>
        <v>0</v>
      </c>
      <c r="BK685" s="550">
        <f t="shared" si="137"/>
        <v>0</v>
      </c>
      <c r="BL685" s="550">
        <f t="shared" si="138"/>
        <v>0</v>
      </c>
      <c r="BM685" s="550">
        <f t="shared" si="139"/>
        <v>10899</v>
      </c>
      <c r="BO685" s="194"/>
      <c r="BQ685" s="193">
        <f t="shared" si="140"/>
        <v>9.0909090909917722E-2</v>
      </c>
      <c r="BR685" s="193">
        <f t="shared" si="141"/>
        <v>0</v>
      </c>
    </row>
    <row r="686" spans="1:70" ht="13.5" customHeight="1">
      <c r="A686" s="193" t="s">
        <v>378</v>
      </c>
      <c r="B686" s="193" t="s">
        <v>379</v>
      </c>
      <c r="C686" s="193" t="s">
        <v>214</v>
      </c>
      <c r="D686" s="193" t="s">
        <v>1441</v>
      </c>
      <c r="E686" s="193" t="s">
        <v>1442</v>
      </c>
      <c r="F686" s="193" t="s">
        <v>927</v>
      </c>
      <c r="G686" s="193" t="s">
        <v>927</v>
      </c>
      <c r="H686" s="193" t="s">
        <v>2461</v>
      </c>
      <c r="I686" s="193" t="s">
        <v>512</v>
      </c>
      <c r="J686" s="193" t="s">
        <v>2499</v>
      </c>
      <c r="K686" s="193" t="s">
        <v>386</v>
      </c>
      <c r="L686" s="193" t="s">
        <v>387</v>
      </c>
      <c r="M686" s="193" t="s">
        <v>378</v>
      </c>
      <c r="N686" s="193" t="s">
        <v>1497</v>
      </c>
      <c r="O686" s="193" t="s">
        <v>129</v>
      </c>
      <c r="P686" s="193" t="s">
        <v>138</v>
      </c>
      <c r="Q686" s="193" t="s">
        <v>137</v>
      </c>
      <c r="R686" s="193" t="s">
        <v>136</v>
      </c>
      <c r="S686" s="193" t="s">
        <v>214</v>
      </c>
      <c r="T686" s="193" t="s">
        <v>389</v>
      </c>
      <c r="U686" s="193" t="s">
        <v>390</v>
      </c>
      <c r="V686" s="193">
        <v>0</v>
      </c>
      <c r="W686" s="193">
        <v>0</v>
      </c>
      <c r="X686" s="193">
        <v>0</v>
      </c>
      <c r="Y686" s="194">
        <v>77988</v>
      </c>
      <c r="Z686" s="193" t="s">
        <v>515</v>
      </c>
      <c r="AA686" s="193" t="s">
        <v>516</v>
      </c>
      <c r="AB686" s="193">
        <v>77988</v>
      </c>
      <c r="AC686" s="193" t="s">
        <v>1500</v>
      </c>
      <c r="AD686" s="193" t="s">
        <v>136</v>
      </c>
      <c r="AE686" s="193">
        <v>77988</v>
      </c>
      <c r="AF686" s="193" t="s">
        <v>505</v>
      </c>
      <c r="AG686" s="193" t="s">
        <v>395</v>
      </c>
      <c r="AH686" s="193">
        <v>7089</v>
      </c>
      <c r="AI686" s="193">
        <v>70899</v>
      </c>
      <c r="AJ686" s="193" t="s">
        <v>2500</v>
      </c>
      <c r="AL686" s="197" t="s">
        <v>2501</v>
      </c>
      <c r="AM686" s="193">
        <v>2</v>
      </c>
      <c r="AN686" s="193">
        <v>17</v>
      </c>
      <c r="AO686" s="193">
        <v>10</v>
      </c>
      <c r="AP686" s="193" t="s">
        <v>2465</v>
      </c>
      <c r="AQ686" s="193" t="s">
        <v>214</v>
      </c>
      <c r="AS686" s="197">
        <v>17</v>
      </c>
      <c r="AT686" s="197">
        <v>10</v>
      </c>
      <c r="AV686" s="194">
        <v>77988</v>
      </c>
      <c r="AW686" s="194">
        <v>0</v>
      </c>
      <c r="AX686" s="194">
        <v>0</v>
      </c>
      <c r="AY686" s="549">
        <v>77988</v>
      </c>
      <c r="AZ686" s="194">
        <v>0</v>
      </c>
      <c r="BA686" s="194">
        <v>0</v>
      </c>
      <c r="BB686" s="551">
        <v>0</v>
      </c>
      <c r="BC686" s="551">
        <v>77988</v>
      </c>
      <c r="BD686" s="551">
        <v>0</v>
      </c>
      <c r="BF686" s="550">
        <f t="shared" si="132"/>
        <v>70898</v>
      </c>
      <c r="BG686" s="550">
        <f t="shared" si="133"/>
        <v>0</v>
      </c>
      <c r="BH686" s="550">
        <f t="shared" si="134"/>
        <v>0</v>
      </c>
      <c r="BI686" s="550">
        <f t="shared" si="135"/>
        <v>70898</v>
      </c>
      <c r="BJ686" s="550">
        <f t="shared" si="136"/>
        <v>0</v>
      </c>
      <c r="BK686" s="550">
        <f t="shared" si="137"/>
        <v>0</v>
      </c>
      <c r="BL686" s="550">
        <f t="shared" si="138"/>
        <v>0</v>
      </c>
      <c r="BM686" s="550">
        <f t="shared" si="139"/>
        <v>70898</v>
      </c>
      <c r="BO686" s="194"/>
      <c r="BQ686" s="193">
        <f t="shared" si="140"/>
        <v>0.18181818182347342</v>
      </c>
      <c r="BR686" s="193">
        <f t="shared" si="141"/>
        <v>0</v>
      </c>
    </row>
    <row r="687" spans="1:70" ht="13.5" customHeight="1">
      <c r="A687" s="193" t="s">
        <v>378</v>
      </c>
      <c r="B687" s="193" t="s">
        <v>379</v>
      </c>
      <c r="C687" s="193" t="s">
        <v>214</v>
      </c>
      <c r="D687" s="193" t="s">
        <v>1441</v>
      </c>
      <c r="E687" s="193" t="s">
        <v>1442</v>
      </c>
      <c r="F687" s="193" t="s">
        <v>1685</v>
      </c>
      <c r="G687" s="193" t="s">
        <v>1685</v>
      </c>
      <c r="H687" s="193" t="s">
        <v>2513</v>
      </c>
      <c r="I687" s="193" t="s">
        <v>1508</v>
      </c>
      <c r="J687" s="193" t="s">
        <v>2514</v>
      </c>
      <c r="K687" s="193" t="s">
        <v>386</v>
      </c>
      <c r="L687" s="193" t="s">
        <v>387</v>
      </c>
      <c r="M687" s="193" t="s">
        <v>378</v>
      </c>
      <c r="N687" s="193" t="s">
        <v>1497</v>
      </c>
      <c r="O687" s="193" t="s">
        <v>129</v>
      </c>
      <c r="P687" s="193" t="s">
        <v>138</v>
      </c>
      <c r="Q687" s="193" t="s">
        <v>137</v>
      </c>
      <c r="R687" s="193" t="s">
        <v>136</v>
      </c>
      <c r="S687" s="193" t="s">
        <v>214</v>
      </c>
      <c r="T687" s="193" t="s">
        <v>389</v>
      </c>
      <c r="U687" s="193" t="s">
        <v>390</v>
      </c>
      <c r="V687" s="193">
        <v>0</v>
      </c>
      <c r="W687" s="193">
        <v>0</v>
      </c>
      <c r="X687" s="193">
        <v>0</v>
      </c>
      <c r="Y687" s="194">
        <v>39965</v>
      </c>
      <c r="Z687" s="193" t="s">
        <v>1510</v>
      </c>
      <c r="AA687" s="193" t="s">
        <v>1511</v>
      </c>
      <c r="AB687" s="193">
        <v>39965</v>
      </c>
      <c r="AC687" s="193" t="s">
        <v>1500</v>
      </c>
      <c r="AD687" s="193" t="s">
        <v>136</v>
      </c>
      <c r="AE687" s="193">
        <v>39965</v>
      </c>
      <c r="AF687" s="193" t="s">
        <v>505</v>
      </c>
      <c r="AG687" s="193" t="s">
        <v>395</v>
      </c>
      <c r="AH687" s="193">
        <v>3633</v>
      </c>
      <c r="AI687" s="193">
        <v>36332</v>
      </c>
      <c r="AJ687" s="193" t="s">
        <v>214</v>
      </c>
      <c r="AL687" s="197" t="s">
        <v>2515</v>
      </c>
      <c r="AM687" s="193">
        <v>2</v>
      </c>
      <c r="AN687" s="193">
        <v>17</v>
      </c>
      <c r="AO687" s="193">
        <v>10</v>
      </c>
      <c r="AP687" s="193" t="s">
        <v>2465</v>
      </c>
      <c r="AQ687" s="193" t="s">
        <v>214</v>
      </c>
      <c r="AS687" s="197">
        <v>17</v>
      </c>
      <c r="AT687" s="197">
        <v>10</v>
      </c>
      <c r="AV687" s="194">
        <v>39965</v>
      </c>
      <c r="AW687" s="194">
        <v>0</v>
      </c>
      <c r="AX687" s="194">
        <v>0</v>
      </c>
      <c r="AY687" s="549">
        <v>39965</v>
      </c>
      <c r="AZ687" s="194">
        <v>0</v>
      </c>
      <c r="BA687" s="194">
        <v>0</v>
      </c>
      <c r="BB687" s="551">
        <v>0</v>
      </c>
      <c r="BC687" s="551">
        <v>39965</v>
      </c>
      <c r="BD687" s="551">
        <v>0</v>
      </c>
      <c r="BF687" s="550">
        <f t="shared" si="132"/>
        <v>36332</v>
      </c>
      <c r="BG687" s="550">
        <f t="shared" si="133"/>
        <v>0</v>
      </c>
      <c r="BH687" s="550">
        <f t="shared" si="134"/>
        <v>0</v>
      </c>
      <c r="BI687" s="550">
        <f t="shared" si="135"/>
        <v>36332</v>
      </c>
      <c r="BJ687" s="550">
        <f t="shared" si="136"/>
        <v>0</v>
      </c>
      <c r="BK687" s="550">
        <f t="shared" si="137"/>
        <v>0</v>
      </c>
      <c r="BL687" s="550">
        <f t="shared" si="138"/>
        <v>0</v>
      </c>
      <c r="BM687" s="550">
        <f t="shared" si="139"/>
        <v>36332</v>
      </c>
      <c r="BO687" s="194"/>
      <c r="BQ687" s="193">
        <f t="shared" si="140"/>
        <v>-0.18181818181619747</v>
      </c>
      <c r="BR687" s="193">
        <f t="shared" si="141"/>
        <v>0</v>
      </c>
    </row>
    <row r="688" spans="1:70" ht="13.5" customHeight="1">
      <c r="A688" s="193" t="s">
        <v>378</v>
      </c>
      <c r="B688" s="193" t="s">
        <v>379</v>
      </c>
      <c r="C688" s="193" t="s">
        <v>214</v>
      </c>
      <c r="D688" s="193" t="s">
        <v>1441</v>
      </c>
      <c r="E688" s="193" t="s">
        <v>1442</v>
      </c>
      <c r="F688" s="193" t="s">
        <v>1685</v>
      </c>
      <c r="G688" s="193" t="s">
        <v>1685</v>
      </c>
      <c r="H688" s="193" t="s">
        <v>2513</v>
      </c>
      <c r="I688" s="193" t="s">
        <v>1508</v>
      </c>
      <c r="J688" s="193" t="s">
        <v>2516</v>
      </c>
      <c r="K688" s="193" t="s">
        <v>386</v>
      </c>
      <c r="L688" s="193" t="s">
        <v>387</v>
      </c>
      <c r="M688" s="193" t="s">
        <v>378</v>
      </c>
      <c r="N688" s="193" t="s">
        <v>1497</v>
      </c>
      <c r="O688" s="193" t="s">
        <v>129</v>
      </c>
      <c r="P688" s="193" t="s">
        <v>138</v>
      </c>
      <c r="Q688" s="193" t="s">
        <v>137</v>
      </c>
      <c r="R688" s="193" t="s">
        <v>136</v>
      </c>
      <c r="S688" s="193" t="s">
        <v>214</v>
      </c>
      <c r="T688" s="193" t="s">
        <v>389</v>
      </c>
      <c r="U688" s="193" t="s">
        <v>390</v>
      </c>
      <c r="V688" s="193">
        <v>0</v>
      </c>
      <c r="W688" s="193">
        <v>0</v>
      </c>
      <c r="X688" s="193">
        <v>0</v>
      </c>
      <c r="Y688" s="194">
        <v>217996</v>
      </c>
      <c r="Z688" s="193" t="s">
        <v>1510</v>
      </c>
      <c r="AA688" s="193" t="s">
        <v>1511</v>
      </c>
      <c r="AB688" s="193">
        <v>217996</v>
      </c>
      <c r="AC688" s="193" t="s">
        <v>1500</v>
      </c>
      <c r="AD688" s="193" t="s">
        <v>136</v>
      </c>
      <c r="AE688" s="193">
        <v>217996</v>
      </c>
      <c r="AF688" s="193" t="s">
        <v>518</v>
      </c>
      <c r="AG688" s="193" t="s">
        <v>519</v>
      </c>
      <c r="AH688" s="193">
        <v>0</v>
      </c>
      <c r="AI688" s="193">
        <v>217996</v>
      </c>
      <c r="AJ688" s="193" t="s">
        <v>214</v>
      </c>
      <c r="AL688" s="197" t="s">
        <v>2517</v>
      </c>
      <c r="AM688" s="193">
        <v>1</v>
      </c>
      <c r="AN688" s="193">
        <v>0</v>
      </c>
      <c r="AO688" s="193">
        <v>0</v>
      </c>
      <c r="AP688" s="193" t="s">
        <v>2474</v>
      </c>
      <c r="AQ688" s="193" t="s">
        <v>214</v>
      </c>
      <c r="AS688" s="197" t="s">
        <v>518</v>
      </c>
      <c r="AT688" s="197" t="s">
        <v>519</v>
      </c>
      <c r="AV688" s="194">
        <v>217996</v>
      </c>
      <c r="AW688" s="194">
        <v>0</v>
      </c>
      <c r="AX688" s="194">
        <v>0</v>
      </c>
      <c r="AY688" s="549">
        <v>217996</v>
      </c>
      <c r="AZ688" s="194">
        <v>0</v>
      </c>
      <c r="BA688" s="194">
        <v>0</v>
      </c>
      <c r="BB688" s="551">
        <v>0</v>
      </c>
      <c r="BC688" s="551">
        <v>217996</v>
      </c>
      <c r="BD688" s="551">
        <v>0</v>
      </c>
      <c r="BF688" s="550">
        <f t="shared" si="132"/>
        <v>217996</v>
      </c>
      <c r="BG688" s="550">
        <f t="shared" si="133"/>
        <v>0</v>
      </c>
      <c r="BH688" s="550">
        <f t="shared" si="134"/>
        <v>0</v>
      </c>
      <c r="BI688" s="550">
        <f t="shared" si="135"/>
        <v>217996</v>
      </c>
      <c r="BJ688" s="550">
        <f t="shared" si="136"/>
        <v>0</v>
      </c>
      <c r="BK688" s="550">
        <f t="shared" si="137"/>
        <v>0</v>
      </c>
      <c r="BL688" s="550">
        <f t="shared" si="138"/>
        <v>0</v>
      </c>
      <c r="BM688" s="550">
        <f t="shared" si="139"/>
        <v>217996</v>
      </c>
      <c r="BO688" s="194"/>
      <c r="BQ688" s="193">
        <f t="shared" si="140"/>
        <v>0</v>
      </c>
      <c r="BR688" s="193">
        <f t="shared" si="141"/>
        <v>0</v>
      </c>
    </row>
    <row r="689" spans="1:70" ht="13.5" customHeight="1">
      <c r="A689" s="193" t="s">
        <v>378</v>
      </c>
      <c r="B689" s="193" t="s">
        <v>379</v>
      </c>
      <c r="C689" s="193" t="s">
        <v>214</v>
      </c>
      <c r="D689" s="193" t="s">
        <v>2518</v>
      </c>
      <c r="E689" s="193" t="s">
        <v>2519</v>
      </c>
      <c r="F689" s="193" t="s">
        <v>845</v>
      </c>
      <c r="G689" s="193" t="s">
        <v>845</v>
      </c>
      <c r="H689" s="193" t="s">
        <v>2520</v>
      </c>
      <c r="I689" s="193" t="s">
        <v>384</v>
      </c>
      <c r="J689" s="193" t="s">
        <v>2521</v>
      </c>
      <c r="K689" s="193" t="s">
        <v>386</v>
      </c>
      <c r="L689" s="193" t="s">
        <v>387</v>
      </c>
      <c r="M689" s="193" t="s">
        <v>378</v>
      </c>
      <c r="N689" s="193" t="s">
        <v>1497</v>
      </c>
      <c r="O689" s="193" t="s">
        <v>129</v>
      </c>
      <c r="P689" s="193" t="s">
        <v>138</v>
      </c>
      <c r="Q689" s="193" t="s">
        <v>137</v>
      </c>
      <c r="R689" s="193" t="s">
        <v>136</v>
      </c>
      <c r="S689" s="193" t="s">
        <v>214</v>
      </c>
      <c r="T689" s="193" t="s">
        <v>389</v>
      </c>
      <c r="U689" s="193" t="s">
        <v>390</v>
      </c>
      <c r="V689" s="193">
        <v>0</v>
      </c>
      <c r="W689" s="193">
        <v>0</v>
      </c>
      <c r="X689" s="193">
        <v>0</v>
      </c>
      <c r="Y689" s="194">
        <v>528455</v>
      </c>
      <c r="Z689" s="193" t="s">
        <v>1498</v>
      </c>
      <c r="AA689" s="193" t="s">
        <v>1499</v>
      </c>
      <c r="AB689" s="193">
        <v>528455</v>
      </c>
      <c r="AC689" s="193" t="s">
        <v>1500</v>
      </c>
      <c r="AD689" s="193" t="s">
        <v>136</v>
      </c>
      <c r="AE689" s="193">
        <v>528455</v>
      </c>
      <c r="AF689" s="193" t="s">
        <v>1657</v>
      </c>
      <c r="AG689" s="193" t="s">
        <v>519</v>
      </c>
      <c r="AH689" s="193">
        <v>0</v>
      </c>
      <c r="AI689" s="193">
        <v>528455</v>
      </c>
      <c r="AJ689" s="193" t="s">
        <v>2522</v>
      </c>
      <c r="AL689" s="197" t="s">
        <v>2523</v>
      </c>
      <c r="AM689" s="193">
        <v>2</v>
      </c>
      <c r="AN689" s="193">
        <v>31</v>
      </c>
      <c r="AO689" s="193">
        <v>0</v>
      </c>
      <c r="AP689" s="193" t="s">
        <v>1672</v>
      </c>
      <c r="AQ689" s="193" t="s">
        <v>214</v>
      </c>
      <c r="AS689" s="197">
        <v>31</v>
      </c>
      <c r="AT689" s="197">
        <v>0</v>
      </c>
      <c r="AV689" s="194">
        <v>243089</v>
      </c>
      <c r="AW689" s="194">
        <v>0</v>
      </c>
      <c r="AX689" s="194">
        <v>0</v>
      </c>
      <c r="AY689" s="549">
        <v>243089</v>
      </c>
      <c r="AZ689" s="194">
        <v>0</v>
      </c>
      <c r="BA689" s="194">
        <v>285366</v>
      </c>
      <c r="BB689" s="551">
        <v>285366</v>
      </c>
      <c r="BC689" s="551">
        <v>528455</v>
      </c>
      <c r="BD689" s="551">
        <v>0</v>
      </c>
      <c r="BF689" s="550">
        <f t="shared" si="132"/>
        <v>243089</v>
      </c>
      <c r="BG689" s="550">
        <f t="shared" si="133"/>
        <v>0</v>
      </c>
      <c r="BH689" s="550">
        <f t="shared" si="134"/>
        <v>0</v>
      </c>
      <c r="BI689" s="550">
        <f t="shared" si="135"/>
        <v>243089</v>
      </c>
      <c r="BJ689" s="550">
        <f t="shared" si="136"/>
        <v>0</v>
      </c>
      <c r="BK689" s="550">
        <f t="shared" si="137"/>
        <v>285366</v>
      </c>
      <c r="BL689" s="550">
        <f t="shared" si="138"/>
        <v>285366</v>
      </c>
      <c r="BM689" s="550">
        <f t="shared" si="139"/>
        <v>528455</v>
      </c>
      <c r="BO689" s="194"/>
      <c r="BQ689" s="193">
        <f t="shared" si="140"/>
        <v>0</v>
      </c>
      <c r="BR689" s="193">
        <f t="shared" si="141"/>
        <v>0</v>
      </c>
    </row>
    <row r="690" spans="1:70" ht="13.5" customHeight="1">
      <c r="A690" s="193" t="s">
        <v>378</v>
      </c>
      <c r="B690" s="193" t="s">
        <v>379</v>
      </c>
      <c r="C690" s="193" t="s">
        <v>214</v>
      </c>
      <c r="D690" s="193" t="s">
        <v>542</v>
      </c>
      <c r="E690" s="193" t="s">
        <v>543</v>
      </c>
      <c r="F690" s="193" t="s">
        <v>559</v>
      </c>
      <c r="G690" s="193" t="s">
        <v>559</v>
      </c>
      <c r="H690" s="193" t="s">
        <v>2520</v>
      </c>
      <c r="I690" s="193" t="s">
        <v>384</v>
      </c>
      <c r="J690" s="193" t="s">
        <v>2524</v>
      </c>
      <c r="K690" s="193" t="s">
        <v>386</v>
      </c>
      <c r="L690" s="193" t="s">
        <v>387</v>
      </c>
      <c r="M690" s="193" t="s">
        <v>378</v>
      </c>
      <c r="N690" s="193" t="s">
        <v>1497</v>
      </c>
      <c r="O690" s="193" t="s">
        <v>129</v>
      </c>
      <c r="P690" s="193" t="s">
        <v>138</v>
      </c>
      <c r="Q690" s="193" t="s">
        <v>137</v>
      </c>
      <c r="R690" s="193" t="s">
        <v>136</v>
      </c>
      <c r="S690" s="193" t="s">
        <v>214</v>
      </c>
      <c r="T690" s="193" t="s">
        <v>389</v>
      </c>
      <c r="U690" s="193" t="s">
        <v>390</v>
      </c>
      <c r="V690" s="193">
        <v>0</v>
      </c>
      <c r="W690" s="193">
        <v>0</v>
      </c>
      <c r="X690" s="193">
        <v>0</v>
      </c>
      <c r="Y690" s="194">
        <v>595113</v>
      </c>
      <c r="Z690" s="193" t="s">
        <v>1498</v>
      </c>
      <c r="AA690" s="193" t="s">
        <v>1499</v>
      </c>
      <c r="AB690" s="193">
        <v>595113</v>
      </c>
      <c r="AC690" s="193" t="s">
        <v>1500</v>
      </c>
      <c r="AD690" s="193" t="s">
        <v>136</v>
      </c>
      <c r="AE690" s="193">
        <v>595113</v>
      </c>
      <c r="AF690" s="193" t="s">
        <v>518</v>
      </c>
      <c r="AG690" s="193" t="s">
        <v>519</v>
      </c>
      <c r="AH690" s="193">
        <v>0</v>
      </c>
      <c r="AI690" s="193">
        <v>595113</v>
      </c>
      <c r="AJ690" s="193" t="s">
        <v>2522</v>
      </c>
      <c r="AL690" s="197" t="s">
        <v>2525</v>
      </c>
      <c r="AM690" s="193">
        <v>2</v>
      </c>
      <c r="AN690" s="193">
        <v>31</v>
      </c>
      <c r="AO690" s="193">
        <v>0</v>
      </c>
      <c r="AP690" s="193" t="s">
        <v>1672</v>
      </c>
      <c r="AQ690" s="193" t="s">
        <v>214</v>
      </c>
      <c r="AS690" s="197">
        <v>31</v>
      </c>
      <c r="AT690" s="197">
        <v>0</v>
      </c>
      <c r="AV690" s="194">
        <v>273752</v>
      </c>
      <c r="AW690" s="194">
        <v>0</v>
      </c>
      <c r="AX690" s="194">
        <v>0</v>
      </c>
      <c r="AY690" s="549">
        <v>273752</v>
      </c>
      <c r="AZ690" s="194">
        <v>0</v>
      </c>
      <c r="BA690" s="194">
        <v>321361</v>
      </c>
      <c r="BB690" s="551">
        <v>321361</v>
      </c>
      <c r="BC690" s="551">
        <v>595113</v>
      </c>
      <c r="BD690" s="551">
        <v>0</v>
      </c>
      <c r="BF690" s="550">
        <f t="shared" si="132"/>
        <v>273752</v>
      </c>
      <c r="BG690" s="550">
        <f t="shared" si="133"/>
        <v>0</v>
      </c>
      <c r="BH690" s="550">
        <f t="shared" si="134"/>
        <v>0</v>
      </c>
      <c r="BI690" s="550">
        <f t="shared" si="135"/>
        <v>273752</v>
      </c>
      <c r="BJ690" s="550">
        <f t="shared" si="136"/>
        <v>0</v>
      </c>
      <c r="BK690" s="550">
        <f t="shared" si="137"/>
        <v>321361</v>
      </c>
      <c r="BL690" s="550">
        <f t="shared" si="138"/>
        <v>321361</v>
      </c>
      <c r="BM690" s="550">
        <f t="shared" si="139"/>
        <v>595113</v>
      </c>
      <c r="BO690" s="194"/>
      <c r="BQ690" s="193">
        <f t="shared" si="140"/>
        <v>0</v>
      </c>
      <c r="BR690" s="193">
        <f t="shared" si="141"/>
        <v>0</v>
      </c>
    </row>
    <row r="691" spans="1:70" ht="13.5" customHeight="1">
      <c r="A691" s="193" t="s">
        <v>378</v>
      </c>
      <c r="B691" s="193" t="s">
        <v>379</v>
      </c>
      <c r="C691" s="193" t="s">
        <v>214</v>
      </c>
      <c r="D691" s="193" t="s">
        <v>1441</v>
      </c>
      <c r="E691" s="193" t="s">
        <v>1442</v>
      </c>
      <c r="F691" s="193" t="s">
        <v>601</v>
      </c>
      <c r="G691" s="193" t="s">
        <v>601</v>
      </c>
      <c r="H691" s="193" t="s">
        <v>2526</v>
      </c>
      <c r="I691" s="193" t="s">
        <v>512</v>
      </c>
      <c r="J691" s="193" t="s">
        <v>2527</v>
      </c>
      <c r="K691" s="193" t="s">
        <v>386</v>
      </c>
      <c r="L691" s="193" t="s">
        <v>387</v>
      </c>
      <c r="M691" s="193" t="s">
        <v>378</v>
      </c>
      <c r="N691" s="193" t="s">
        <v>1497</v>
      </c>
      <c r="O691" s="193" t="s">
        <v>129</v>
      </c>
      <c r="P691" s="193" t="s">
        <v>138</v>
      </c>
      <c r="Q691" s="193" t="s">
        <v>137</v>
      </c>
      <c r="R691" s="193" t="s">
        <v>136</v>
      </c>
      <c r="S691" s="193" t="s">
        <v>214</v>
      </c>
      <c r="T691" s="193" t="s">
        <v>389</v>
      </c>
      <c r="U691" s="193" t="s">
        <v>390</v>
      </c>
      <c r="V691" s="193">
        <v>0</v>
      </c>
      <c r="W691" s="193">
        <v>0</v>
      </c>
      <c r="X691" s="193">
        <v>0</v>
      </c>
      <c r="Y691" s="194">
        <v>865</v>
      </c>
      <c r="Z691" s="193" t="s">
        <v>515</v>
      </c>
      <c r="AA691" s="193" t="s">
        <v>516</v>
      </c>
      <c r="AB691" s="193">
        <v>865</v>
      </c>
      <c r="AC691" s="193" t="s">
        <v>1500</v>
      </c>
      <c r="AD691" s="193" t="s">
        <v>136</v>
      </c>
      <c r="AE691" s="193">
        <v>865</v>
      </c>
      <c r="AF691" s="193" t="s">
        <v>518</v>
      </c>
      <c r="AG691" s="193" t="s">
        <v>519</v>
      </c>
      <c r="AH691" s="193">
        <v>0</v>
      </c>
      <c r="AI691" s="193">
        <v>865</v>
      </c>
      <c r="AJ691" s="193" t="s">
        <v>721</v>
      </c>
      <c r="AL691" s="197" t="s">
        <v>2528</v>
      </c>
      <c r="AM691" s="193">
        <v>1</v>
      </c>
      <c r="AN691" s="193">
        <v>0</v>
      </c>
      <c r="AO691" s="193">
        <v>0</v>
      </c>
      <c r="AP691" s="193" t="s">
        <v>2529</v>
      </c>
      <c r="AQ691" s="193" t="s">
        <v>214</v>
      </c>
      <c r="AS691" s="197" t="s">
        <v>518</v>
      </c>
      <c r="AT691" s="197" t="s">
        <v>519</v>
      </c>
      <c r="AV691" s="194">
        <v>432</v>
      </c>
      <c r="AW691" s="194">
        <v>0</v>
      </c>
      <c r="AX691" s="194">
        <v>0</v>
      </c>
      <c r="AY691" s="549">
        <v>432</v>
      </c>
      <c r="AZ691" s="194">
        <v>0</v>
      </c>
      <c r="BA691" s="194">
        <v>433</v>
      </c>
      <c r="BB691" s="551">
        <v>433</v>
      </c>
      <c r="BC691" s="551">
        <v>865</v>
      </c>
      <c r="BD691" s="551">
        <v>0</v>
      </c>
      <c r="BF691" s="550">
        <f t="shared" si="132"/>
        <v>432</v>
      </c>
      <c r="BG691" s="550">
        <f t="shared" si="133"/>
        <v>0</v>
      </c>
      <c r="BH691" s="550">
        <f t="shared" si="134"/>
        <v>0</v>
      </c>
      <c r="BI691" s="550">
        <f t="shared" si="135"/>
        <v>432</v>
      </c>
      <c r="BJ691" s="550">
        <f t="shared" si="136"/>
        <v>0</v>
      </c>
      <c r="BK691" s="550">
        <f t="shared" si="137"/>
        <v>433</v>
      </c>
      <c r="BL691" s="550">
        <f t="shared" si="138"/>
        <v>433</v>
      </c>
      <c r="BM691" s="550">
        <f t="shared" si="139"/>
        <v>865</v>
      </c>
      <c r="BO691" s="194"/>
      <c r="BQ691" s="193">
        <f t="shared" si="140"/>
        <v>0</v>
      </c>
      <c r="BR691" s="193">
        <f t="shared" si="141"/>
        <v>0</v>
      </c>
    </row>
    <row r="692" spans="1:70" ht="13.5" customHeight="1">
      <c r="A692" s="193" t="s">
        <v>378</v>
      </c>
      <c r="B692" s="193" t="s">
        <v>379</v>
      </c>
      <c r="C692" s="193" t="s">
        <v>214</v>
      </c>
      <c r="D692" s="193" t="s">
        <v>1441</v>
      </c>
      <c r="E692" s="193" t="s">
        <v>1442</v>
      </c>
      <c r="F692" s="193" t="s">
        <v>1282</v>
      </c>
      <c r="G692" s="193" t="s">
        <v>1282</v>
      </c>
      <c r="H692" s="193" t="s">
        <v>2530</v>
      </c>
      <c r="I692" s="193" t="s">
        <v>512</v>
      </c>
      <c r="J692" s="193" t="s">
        <v>2531</v>
      </c>
      <c r="K692" s="193" t="s">
        <v>386</v>
      </c>
      <c r="L692" s="193" t="s">
        <v>387</v>
      </c>
      <c r="M692" s="193" t="s">
        <v>378</v>
      </c>
      <c r="N692" s="193" t="s">
        <v>1497</v>
      </c>
      <c r="O692" s="193" t="s">
        <v>129</v>
      </c>
      <c r="P692" s="193" t="s">
        <v>138</v>
      </c>
      <c r="Q692" s="193" t="s">
        <v>137</v>
      </c>
      <c r="R692" s="193" t="s">
        <v>136</v>
      </c>
      <c r="S692" s="193" t="s">
        <v>214</v>
      </c>
      <c r="T692" s="193" t="s">
        <v>389</v>
      </c>
      <c r="U692" s="193" t="s">
        <v>390</v>
      </c>
      <c r="V692" s="193">
        <v>0</v>
      </c>
      <c r="W692" s="193">
        <v>0</v>
      </c>
      <c r="X692" s="193">
        <v>0</v>
      </c>
      <c r="Y692" s="194">
        <v>156</v>
      </c>
      <c r="Z692" s="193" t="s">
        <v>515</v>
      </c>
      <c r="AA692" s="193" t="s">
        <v>516</v>
      </c>
      <c r="AB692" s="193">
        <v>156</v>
      </c>
      <c r="AC692" s="193" t="s">
        <v>1500</v>
      </c>
      <c r="AD692" s="193" t="s">
        <v>136</v>
      </c>
      <c r="AE692" s="193">
        <v>156</v>
      </c>
      <c r="AF692" s="193" t="s">
        <v>518</v>
      </c>
      <c r="AG692" s="193" t="s">
        <v>519</v>
      </c>
      <c r="AH692" s="193">
        <v>0</v>
      </c>
      <c r="AI692" s="193">
        <v>156</v>
      </c>
      <c r="AJ692" s="193" t="s">
        <v>721</v>
      </c>
      <c r="AL692" s="197" t="s">
        <v>2532</v>
      </c>
      <c r="AM692" s="193">
        <v>1</v>
      </c>
      <c r="AN692" s="193">
        <v>0</v>
      </c>
      <c r="AO692" s="193">
        <v>0</v>
      </c>
      <c r="AP692" s="193" t="s">
        <v>2533</v>
      </c>
      <c r="AQ692" s="193" t="s">
        <v>214</v>
      </c>
      <c r="AS692" s="197" t="s">
        <v>518</v>
      </c>
      <c r="AT692" s="197" t="s">
        <v>519</v>
      </c>
      <c r="AV692" s="194">
        <v>78</v>
      </c>
      <c r="AW692" s="194">
        <v>0</v>
      </c>
      <c r="AX692" s="194">
        <v>0</v>
      </c>
      <c r="AY692" s="549">
        <v>78</v>
      </c>
      <c r="AZ692" s="194">
        <v>0</v>
      </c>
      <c r="BA692" s="194">
        <v>78</v>
      </c>
      <c r="BB692" s="551">
        <v>78</v>
      </c>
      <c r="BC692" s="551">
        <v>156</v>
      </c>
      <c r="BD692" s="551">
        <v>0</v>
      </c>
      <c r="BF692" s="550">
        <f t="shared" si="132"/>
        <v>78</v>
      </c>
      <c r="BG692" s="550">
        <f t="shared" si="133"/>
        <v>0</v>
      </c>
      <c r="BH692" s="550">
        <f t="shared" si="134"/>
        <v>0</v>
      </c>
      <c r="BI692" s="550">
        <f t="shared" si="135"/>
        <v>78</v>
      </c>
      <c r="BJ692" s="550">
        <f t="shared" si="136"/>
        <v>0</v>
      </c>
      <c r="BK692" s="550">
        <f t="shared" si="137"/>
        <v>78</v>
      </c>
      <c r="BL692" s="550">
        <f t="shared" si="138"/>
        <v>78</v>
      </c>
      <c r="BM692" s="550">
        <f t="shared" si="139"/>
        <v>156</v>
      </c>
      <c r="BO692" s="194"/>
      <c r="BQ692" s="193">
        <f t="shared" si="140"/>
        <v>0</v>
      </c>
      <c r="BR692" s="193">
        <f t="shared" si="141"/>
        <v>0</v>
      </c>
    </row>
    <row r="693" spans="1:70" ht="13.5" customHeight="1">
      <c r="A693" s="193" t="s">
        <v>378</v>
      </c>
      <c r="B693" s="193" t="s">
        <v>379</v>
      </c>
      <c r="C693" s="193" t="s">
        <v>214</v>
      </c>
      <c r="D693" s="193" t="s">
        <v>508</v>
      </c>
      <c r="E693" s="193" t="s">
        <v>509</v>
      </c>
      <c r="F693" s="193" t="s">
        <v>2534</v>
      </c>
      <c r="G693" s="193" t="s">
        <v>2534</v>
      </c>
      <c r="H693" s="193" t="s">
        <v>2535</v>
      </c>
      <c r="I693" s="193" t="s">
        <v>384</v>
      </c>
      <c r="J693" s="193" t="s">
        <v>2536</v>
      </c>
      <c r="K693" s="193" t="s">
        <v>386</v>
      </c>
      <c r="L693" s="193" t="s">
        <v>387</v>
      </c>
      <c r="M693" s="193" t="s">
        <v>378</v>
      </c>
      <c r="N693" s="193" t="s">
        <v>1497</v>
      </c>
      <c r="O693" s="193" t="s">
        <v>129</v>
      </c>
      <c r="P693" s="193" t="s">
        <v>138</v>
      </c>
      <c r="Q693" s="193" t="s">
        <v>137</v>
      </c>
      <c r="R693" s="193" t="s">
        <v>136</v>
      </c>
      <c r="S693" s="193" t="s">
        <v>214</v>
      </c>
      <c r="T693" s="193" t="s">
        <v>389</v>
      </c>
      <c r="U693" s="193" t="s">
        <v>390</v>
      </c>
      <c r="V693" s="193">
        <v>0</v>
      </c>
      <c r="W693" s="193">
        <v>0</v>
      </c>
      <c r="X693" s="193">
        <v>0</v>
      </c>
      <c r="Y693" s="194">
        <v>8640</v>
      </c>
      <c r="Z693" s="193" t="s">
        <v>1498</v>
      </c>
      <c r="AA693" s="193" t="s">
        <v>1499</v>
      </c>
      <c r="AB693" s="193">
        <v>8640</v>
      </c>
      <c r="AC693" s="193" t="s">
        <v>1500</v>
      </c>
      <c r="AD693" s="193" t="s">
        <v>136</v>
      </c>
      <c r="AE693" s="193">
        <v>8640</v>
      </c>
      <c r="AF693" s="193" t="s">
        <v>518</v>
      </c>
      <c r="AG693" s="193" t="s">
        <v>519</v>
      </c>
      <c r="AH693" s="193">
        <v>0</v>
      </c>
      <c r="AI693" s="193">
        <v>8640</v>
      </c>
      <c r="AJ693" s="193" t="s">
        <v>2537</v>
      </c>
      <c r="AL693" s="197" t="s">
        <v>2538</v>
      </c>
      <c r="AM693" s="193">
        <v>1</v>
      </c>
      <c r="AN693" s="193">
        <v>0</v>
      </c>
      <c r="AO693" s="193">
        <v>0</v>
      </c>
      <c r="AP693" s="193">
        <v>0</v>
      </c>
      <c r="AQ693" s="193" t="s">
        <v>214</v>
      </c>
      <c r="AS693" s="197" t="s">
        <v>518</v>
      </c>
      <c r="AT693" s="197" t="s">
        <v>519</v>
      </c>
      <c r="AV693" s="194">
        <v>8640</v>
      </c>
      <c r="AW693" s="194">
        <v>0</v>
      </c>
      <c r="AX693" s="194">
        <v>0</v>
      </c>
      <c r="AY693" s="549">
        <v>8640</v>
      </c>
      <c r="AZ693" s="194">
        <v>0</v>
      </c>
      <c r="BA693" s="194">
        <v>0</v>
      </c>
      <c r="BB693" s="551">
        <v>0</v>
      </c>
      <c r="BC693" s="551">
        <v>8640</v>
      </c>
      <c r="BD693" s="551">
        <v>0</v>
      </c>
      <c r="BF693" s="550">
        <f t="shared" si="132"/>
        <v>8640</v>
      </c>
      <c r="BG693" s="550">
        <f t="shared" si="133"/>
        <v>0</v>
      </c>
      <c r="BH693" s="550">
        <f t="shared" si="134"/>
        <v>0</v>
      </c>
      <c r="BI693" s="550">
        <f t="shared" si="135"/>
        <v>8640</v>
      </c>
      <c r="BJ693" s="550">
        <f t="shared" si="136"/>
        <v>0</v>
      </c>
      <c r="BK693" s="550">
        <f t="shared" si="137"/>
        <v>0</v>
      </c>
      <c r="BL693" s="550">
        <f t="shared" si="138"/>
        <v>0</v>
      </c>
      <c r="BM693" s="550">
        <f t="shared" si="139"/>
        <v>8640</v>
      </c>
      <c r="BO693" s="194"/>
      <c r="BQ693" s="193">
        <f t="shared" si="140"/>
        <v>0</v>
      </c>
      <c r="BR693" s="193">
        <f t="shared" si="141"/>
        <v>0</v>
      </c>
    </row>
    <row r="694" spans="1:70" ht="13.5" customHeight="1">
      <c r="A694" s="193" t="s">
        <v>378</v>
      </c>
      <c r="B694" s="193" t="s">
        <v>379</v>
      </c>
      <c r="C694" s="193" t="s">
        <v>214</v>
      </c>
      <c r="D694" s="193" t="s">
        <v>508</v>
      </c>
      <c r="E694" s="193" t="s">
        <v>509</v>
      </c>
      <c r="F694" s="193" t="s">
        <v>1266</v>
      </c>
      <c r="G694" s="193" t="s">
        <v>1266</v>
      </c>
      <c r="H694" s="193" t="s">
        <v>2539</v>
      </c>
      <c r="I694" s="193" t="s">
        <v>384</v>
      </c>
      <c r="J694" s="193" t="s">
        <v>2540</v>
      </c>
      <c r="K694" s="193" t="s">
        <v>386</v>
      </c>
      <c r="L694" s="193" t="s">
        <v>387</v>
      </c>
      <c r="M694" s="193" t="s">
        <v>378</v>
      </c>
      <c r="N694" s="193" t="s">
        <v>1497</v>
      </c>
      <c r="O694" s="193" t="s">
        <v>129</v>
      </c>
      <c r="P694" s="193" t="s">
        <v>138</v>
      </c>
      <c r="Q694" s="193" t="s">
        <v>137</v>
      </c>
      <c r="R694" s="193" t="s">
        <v>136</v>
      </c>
      <c r="S694" s="193" t="s">
        <v>214</v>
      </c>
      <c r="T694" s="193" t="s">
        <v>389</v>
      </c>
      <c r="U694" s="193" t="s">
        <v>390</v>
      </c>
      <c r="V694" s="193">
        <v>0</v>
      </c>
      <c r="W694" s="193">
        <v>0</v>
      </c>
      <c r="X694" s="193">
        <v>0</v>
      </c>
      <c r="Y694" s="194">
        <v>1122</v>
      </c>
      <c r="Z694" s="193" t="s">
        <v>1498</v>
      </c>
      <c r="AA694" s="193" t="s">
        <v>1499</v>
      </c>
      <c r="AB694" s="193">
        <v>1122</v>
      </c>
      <c r="AC694" s="193" t="s">
        <v>1500</v>
      </c>
      <c r="AD694" s="193" t="s">
        <v>136</v>
      </c>
      <c r="AE694" s="193">
        <v>1122</v>
      </c>
      <c r="AF694" s="193" t="s">
        <v>394</v>
      </c>
      <c r="AG694" s="193" t="s">
        <v>395</v>
      </c>
      <c r="AH694" s="193">
        <v>102</v>
      </c>
      <c r="AI694" s="193">
        <v>1020</v>
      </c>
      <c r="AJ694" s="193" t="s">
        <v>2541</v>
      </c>
      <c r="AL694" s="197" t="s">
        <v>2542</v>
      </c>
      <c r="AM694" s="193">
        <v>1</v>
      </c>
      <c r="AN694" s="193">
        <v>0</v>
      </c>
      <c r="AO694" s="193">
        <v>0</v>
      </c>
      <c r="AP694" s="193">
        <v>0</v>
      </c>
      <c r="AQ694" s="193" t="s">
        <v>214</v>
      </c>
      <c r="AS694" s="197" t="s">
        <v>394</v>
      </c>
      <c r="AT694" s="197" t="s">
        <v>395</v>
      </c>
      <c r="AV694" s="194">
        <v>1122</v>
      </c>
      <c r="AW694" s="194">
        <v>0</v>
      </c>
      <c r="AX694" s="194">
        <v>0</v>
      </c>
      <c r="AY694" s="549">
        <v>1122</v>
      </c>
      <c r="AZ694" s="194">
        <v>0</v>
      </c>
      <c r="BA694" s="194">
        <v>0</v>
      </c>
      <c r="BB694" s="551">
        <v>0</v>
      </c>
      <c r="BC694" s="551">
        <v>1122</v>
      </c>
      <c r="BD694" s="551">
        <v>0</v>
      </c>
      <c r="BF694" s="550">
        <f t="shared" si="132"/>
        <v>1020</v>
      </c>
      <c r="BG694" s="550">
        <f t="shared" si="133"/>
        <v>0</v>
      </c>
      <c r="BH694" s="550">
        <f t="shared" si="134"/>
        <v>0</v>
      </c>
      <c r="BI694" s="550">
        <f t="shared" si="135"/>
        <v>1020</v>
      </c>
      <c r="BJ694" s="550">
        <f t="shared" si="136"/>
        <v>0</v>
      </c>
      <c r="BK694" s="550">
        <f t="shared" si="137"/>
        <v>0</v>
      </c>
      <c r="BL694" s="550">
        <f t="shared" si="138"/>
        <v>0</v>
      </c>
      <c r="BM694" s="550">
        <f t="shared" si="139"/>
        <v>1020</v>
      </c>
      <c r="BO694" s="194"/>
      <c r="BQ694" s="193">
        <f t="shared" si="140"/>
        <v>0</v>
      </c>
      <c r="BR694" s="193">
        <f t="shared" si="141"/>
        <v>0</v>
      </c>
    </row>
    <row r="695" spans="1:70" ht="13.5" customHeight="1">
      <c r="A695" s="193" t="s">
        <v>378</v>
      </c>
      <c r="B695" s="193" t="s">
        <v>379</v>
      </c>
      <c r="C695" s="193" t="s">
        <v>214</v>
      </c>
      <c r="D695" s="193" t="s">
        <v>508</v>
      </c>
      <c r="E695" s="193" t="s">
        <v>509</v>
      </c>
      <c r="F695" s="193" t="s">
        <v>1104</v>
      </c>
      <c r="G695" s="193" t="s">
        <v>1104</v>
      </c>
      <c r="H695" s="193" t="s">
        <v>2543</v>
      </c>
      <c r="I695" s="193" t="s">
        <v>384</v>
      </c>
      <c r="J695" s="193" t="s">
        <v>2544</v>
      </c>
      <c r="K695" s="193" t="s">
        <v>386</v>
      </c>
      <c r="L695" s="193" t="s">
        <v>387</v>
      </c>
      <c r="M695" s="193" t="s">
        <v>378</v>
      </c>
      <c r="N695" s="193" t="s">
        <v>1497</v>
      </c>
      <c r="O695" s="193" t="s">
        <v>129</v>
      </c>
      <c r="P695" s="193" t="s">
        <v>138</v>
      </c>
      <c r="Q695" s="193" t="s">
        <v>137</v>
      </c>
      <c r="R695" s="193" t="s">
        <v>136</v>
      </c>
      <c r="S695" s="193" t="s">
        <v>214</v>
      </c>
      <c r="T695" s="193" t="s">
        <v>389</v>
      </c>
      <c r="U695" s="193" t="s">
        <v>390</v>
      </c>
      <c r="V695" s="193">
        <v>0</v>
      </c>
      <c r="W695" s="193">
        <v>0</v>
      </c>
      <c r="X695" s="193">
        <v>0</v>
      </c>
      <c r="Y695" s="194">
        <v>106960</v>
      </c>
      <c r="Z695" s="193" t="s">
        <v>1498</v>
      </c>
      <c r="AA695" s="193" t="s">
        <v>1499</v>
      </c>
      <c r="AB695" s="193">
        <v>106960</v>
      </c>
      <c r="AC695" s="193" t="s">
        <v>1500</v>
      </c>
      <c r="AD695" s="193" t="s">
        <v>136</v>
      </c>
      <c r="AE695" s="193">
        <v>106960</v>
      </c>
      <c r="AF695" s="193" t="s">
        <v>518</v>
      </c>
      <c r="AG695" s="193" t="s">
        <v>519</v>
      </c>
      <c r="AH695" s="193">
        <v>0</v>
      </c>
      <c r="AI695" s="193">
        <v>106960</v>
      </c>
      <c r="AJ695" s="193" t="s">
        <v>2545</v>
      </c>
      <c r="AL695" s="197" t="s">
        <v>2546</v>
      </c>
      <c r="AM695" s="193">
        <v>1</v>
      </c>
      <c r="AN695" s="193">
        <v>0</v>
      </c>
      <c r="AO695" s="193">
        <v>0</v>
      </c>
      <c r="AP695" s="193">
        <v>0</v>
      </c>
      <c r="AQ695" s="193" t="s">
        <v>214</v>
      </c>
      <c r="AS695" s="197" t="s">
        <v>518</v>
      </c>
      <c r="AT695" s="197" t="s">
        <v>519</v>
      </c>
      <c r="AV695" s="194">
        <v>106960</v>
      </c>
      <c r="AW695" s="194">
        <v>0</v>
      </c>
      <c r="AX695" s="194">
        <v>0</v>
      </c>
      <c r="AY695" s="549">
        <v>106960</v>
      </c>
      <c r="AZ695" s="194">
        <v>0</v>
      </c>
      <c r="BA695" s="194">
        <v>0</v>
      </c>
      <c r="BB695" s="551">
        <v>0</v>
      </c>
      <c r="BC695" s="551">
        <v>106960</v>
      </c>
      <c r="BD695" s="551">
        <v>0</v>
      </c>
      <c r="BF695" s="550">
        <f t="shared" si="132"/>
        <v>106960</v>
      </c>
      <c r="BG695" s="550">
        <f t="shared" si="133"/>
        <v>0</v>
      </c>
      <c r="BH695" s="550">
        <f t="shared" si="134"/>
        <v>0</v>
      </c>
      <c r="BI695" s="550">
        <f t="shared" si="135"/>
        <v>106960</v>
      </c>
      <c r="BJ695" s="550">
        <f t="shared" si="136"/>
        <v>0</v>
      </c>
      <c r="BK695" s="550">
        <f t="shared" si="137"/>
        <v>0</v>
      </c>
      <c r="BL695" s="550">
        <f t="shared" si="138"/>
        <v>0</v>
      </c>
      <c r="BM695" s="550">
        <f t="shared" si="139"/>
        <v>106960</v>
      </c>
      <c r="BO695" s="194"/>
      <c r="BQ695" s="193">
        <f t="shared" si="140"/>
        <v>0</v>
      </c>
      <c r="BR695" s="193">
        <f t="shared" si="141"/>
        <v>0</v>
      </c>
    </row>
    <row r="696" spans="1:70" ht="13.5" customHeight="1">
      <c r="A696" s="193" t="s">
        <v>378</v>
      </c>
      <c r="B696" s="193" t="s">
        <v>379</v>
      </c>
      <c r="C696" s="193" t="s">
        <v>214</v>
      </c>
      <c r="D696" s="193" t="s">
        <v>508</v>
      </c>
      <c r="E696" s="193" t="s">
        <v>509</v>
      </c>
      <c r="F696" s="193" t="s">
        <v>2547</v>
      </c>
      <c r="G696" s="193" t="s">
        <v>2547</v>
      </c>
      <c r="H696" s="193" t="s">
        <v>2548</v>
      </c>
      <c r="I696" s="193" t="s">
        <v>384</v>
      </c>
      <c r="J696" s="193" t="s">
        <v>2549</v>
      </c>
      <c r="K696" s="193" t="s">
        <v>386</v>
      </c>
      <c r="L696" s="193" t="s">
        <v>387</v>
      </c>
      <c r="M696" s="193" t="s">
        <v>378</v>
      </c>
      <c r="N696" s="193" t="s">
        <v>1497</v>
      </c>
      <c r="O696" s="193" t="s">
        <v>129</v>
      </c>
      <c r="P696" s="193" t="s">
        <v>138</v>
      </c>
      <c r="Q696" s="193" t="s">
        <v>137</v>
      </c>
      <c r="R696" s="193" t="s">
        <v>136</v>
      </c>
      <c r="S696" s="193" t="s">
        <v>214</v>
      </c>
      <c r="T696" s="193" t="s">
        <v>389</v>
      </c>
      <c r="U696" s="193" t="s">
        <v>390</v>
      </c>
      <c r="V696" s="193">
        <v>0</v>
      </c>
      <c r="W696" s="193">
        <v>0</v>
      </c>
      <c r="X696" s="193">
        <v>0</v>
      </c>
      <c r="Y696" s="194">
        <v>2880</v>
      </c>
      <c r="Z696" s="193" t="s">
        <v>1498</v>
      </c>
      <c r="AA696" s="193" t="s">
        <v>1499</v>
      </c>
      <c r="AB696" s="193">
        <v>2880</v>
      </c>
      <c r="AC696" s="193" t="s">
        <v>1500</v>
      </c>
      <c r="AD696" s="193" t="s">
        <v>136</v>
      </c>
      <c r="AE696" s="193">
        <v>2880</v>
      </c>
      <c r="AF696" s="193" t="s">
        <v>518</v>
      </c>
      <c r="AG696" s="193" t="s">
        <v>519</v>
      </c>
      <c r="AH696" s="193">
        <v>0</v>
      </c>
      <c r="AI696" s="193">
        <v>2880</v>
      </c>
      <c r="AJ696" s="193" t="s">
        <v>2537</v>
      </c>
      <c r="AL696" s="197" t="s">
        <v>2550</v>
      </c>
      <c r="AM696" s="193">
        <v>1</v>
      </c>
      <c r="AN696" s="193">
        <v>0</v>
      </c>
      <c r="AO696" s="193">
        <v>0</v>
      </c>
      <c r="AP696" s="193">
        <v>0</v>
      </c>
      <c r="AQ696" s="193" t="s">
        <v>214</v>
      </c>
      <c r="AS696" s="197" t="s">
        <v>518</v>
      </c>
      <c r="AT696" s="197" t="s">
        <v>519</v>
      </c>
      <c r="AV696" s="194">
        <v>2880</v>
      </c>
      <c r="AW696" s="194">
        <v>0</v>
      </c>
      <c r="AX696" s="194">
        <v>0</v>
      </c>
      <c r="AY696" s="549">
        <v>2880</v>
      </c>
      <c r="AZ696" s="194">
        <v>0</v>
      </c>
      <c r="BA696" s="194">
        <v>0</v>
      </c>
      <c r="BB696" s="551">
        <v>0</v>
      </c>
      <c r="BC696" s="551">
        <v>2880</v>
      </c>
      <c r="BD696" s="551">
        <v>0</v>
      </c>
      <c r="BF696" s="550">
        <f t="shared" si="132"/>
        <v>2880</v>
      </c>
      <c r="BG696" s="550">
        <f t="shared" si="133"/>
        <v>0</v>
      </c>
      <c r="BH696" s="550">
        <f t="shared" si="134"/>
        <v>0</v>
      </c>
      <c r="BI696" s="550">
        <f t="shared" si="135"/>
        <v>2880</v>
      </c>
      <c r="BJ696" s="550">
        <f t="shared" si="136"/>
        <v>0</v>
      </c>
      <c r="BK696" s="550">
        <f t="shared" si="137"/>
        <v>0</v>
      </c>
      <c r="BL696" s="550">
        <f t="shared" si="138"/>
        <v>0</v>
      </c>
      <c r="BM696" s="550">
        <f t="shared" si="139"/>
        <v>2880</v>
      </c>
      <c r="BO696" s="194"/>
      <c r="BQ696" s="193">
        <f t="shared" si="140"/>
        <v>0</v>
      </c>
      <c r="BR696" s="193">
        <f t="shared" si="141"/>
        <v>0</v>
      </c>
    </row>
    <row r="697" spans="1:70" ht="13.5" customHeight="1">
      <c r="A697" s="193" t="s">
        <v>378</v>
      </c>
      <c r="B697" s="193" t="s">
        <v>379</v>
      </c>
      <c r="C697" s="193" t="s">
        <v>214</v>
      </c>
      <c r="D697" s="193" t="s">
        <v>508</v>
      </c>
      <c r="E697" s="193" t="s">
        <v>509</v>
      </c>
      <c r="F697" s="193" t="s">
        <v>952</v>
      </c>
      <c r="G697" s="193" t="s">
        <v>952</v>
      </c>
      <c r="H697" s="193" t="s">
        <v>2551</v>
      </c>
      <c r="I697" s="193" t="s">
        <v>384</v>
      </c>
      <c r="J697" s="193" t="s">
        <v>2552</v>
      </c>
      <c r="K697" s="193" t="s">
        <v>386</v>
      </c>
      <c r="L697" s="193" t="s">
        <v>387</v>
      </c>
      <c r="M697" s="193" t="s">
        <v>378</v>
      </c>
      <c r="N697" s="193" t="s">
        <v>1497</v>
      </c>
      <c r="O697" s="193" t="s">
        <v>129</v>
      </c>
      <c r="P697" s="193" t="s">
        <v>138</v>
      </c>
      <c r="Q697" s="193" t="s">
        <v>137</v>
      </c>
      <c r="R697" s="193" t="s">
        <v>136</v>
      </c>
      <c r="S697" s="193" t="s">
        <v>214</v>
      </c>
      <c r="T697" s="193" t="s">
        <v>389</v>
      </c>
      <c r="U697" s="193" t="s">
        <v>390</v>
      </c>
      <c r="V697" s="193">
        <v>0</v>
      </c>
      <c r="W697" s="193">
        <v>0</v>
      </c>
      <c r="X697" s="193">
        <v>0</v>
      </c>
      <c r="Y697" s="194">
        <v>286</v>
      </c>
      <c r="Z697" s="193" t="s">
        <v>1498</v>
      </c>
      <c r="AA697" s="193" t="s">
        <v>1499</v>
      </c>
      <c r="AB697" s="193">
        <v>286</v>
      </c>
      <c r="AC697" s="193" t="s">
        <v>1500</v>
      </c>
      <c r="AD697" s="193" t="s">
        <v>136</v>
      </c>
      <c r="AE697" s="193">
        <v>286</v>
      </c>
      <c r="AF697" s="193" t="s">
        <v>518</v>
      </c>
      <c r="AG697" s="193" t="s">
        <v>519</v>
      </c>
      <c r="AH697" s="193">
        <v>0</v>
      </c>
      <c r="AI697" s="193">
        <v>286</v>
      </c>
      <c r="AJ697" s="193" t="s">
        <v>2553</v>
      </c>
      <c r="AL697" s="197" t="s">
        <v>2554</v>
      </c>
      <c r="AM697" s="193">
        <v>1</v>
      </c>
      <c r="AN697" s="193">
        <v>0</v>
      </c>
      <c r="AO697" s="193">
        <v>0</v>
      </c>
      <c r="AP697" s="193">
        <v>0</v>
      </c>
      <c r="AQ697" s="193" t="s">
        <v>214</v>
      </c>
      <c r="AS697" s="197" t="s">
        <v>518</v>
      </c>
      <c r="AT697" s="197" t="s">
        <v>519</v>
      </c>
      <c r="AV697" s="194">
        <v>286</v>
      </c>
      <c r="AW697" s="194">
        <v>0</v>
      </c>
      <c r="AX697" s="194">
        <v>0</v>
      </c>
      <c r="AY697" s="549">
        <v>286</v>
      </c>
      <c r="AZ697" s="194">
        <v>0</v>
      </c>
      <c r="BA697" s="194">
        <v>0</v>
      </c>
      <c r="BB697" s="551">
        <v>0</v>
      </c>
      <c r="BC697" s="551">
        <v>286</v>
      </c>
      <c r="BD697" s="551">
        <v>0</v>
      </c>
      <c r="BF697" s="550">
        <f t="shared" si="132"/>
        <v>286</v>
      </c>
      <c r="BG697" s="550">
        <f t="shared" si="133"/>
        <v>0</v>
      </c>
      <c r="BH697" s="550">
        <f t="shared" si="134"/>
        <v>0</v>
      </c>
      <c r="BI697" s="550">
        <f t="shared" si="135"/>
        <v>286</v>
      </c>
      <c r="BJ697" s="550">
        <f t="shared" si="136"/>
        <v>0</v>
      </c>
      <c r="BK697" s="550">
        <f t="shared" si="137"/>
        <v>0</v>
      </c>
      <c r="BL697" s="550">
        <f t="shared" si="138"/>
        <v>0</v>
      </c>
      <c r="BM697" s="550">
        <f t="shared" si="139"/>
        <v>286</v>
      </c>
      <c r="BO697" s="194"/>
      <c r="BQ697" s="193">
        <f t="shared" si="140"/>
        <v>0</v>
      </c>
      <c r="BR697" s="193">
        <f t="shared" si="141"/>
        <v>0</v>
      </c>
    </row>
    <row r="698" spans="1:70" ht="13.5" customHeight="1">
      <c r="A698" s="193" t="s">
        <v>378</v>
      </c>
      <c r="B698" s="193" t="s">
        <v>379</v>
      </c>
      <c r="C698" s="193" t="s">
        <v>214</v>
      </c>
      <c r="D698" s="193" t="s">
        <v>508</v>
      </c>
      <c r="E698" s="193" t="s">
        <v>509</v>
      </c>
      <c r="F698" s="193" t="s">
        <v>402</v>
      </c>
      <c r="G698" s="193" t="s">
        <v>402</v>
      </c>
      <c r="H698" s="193" t="s">
        <v>2555</v>
      </c>
      <c r="I698" s="193" t="s">
        <v>384</v>
      </c>
      <c r="J698" s="193" t="s">
        <v>2556</v>
      </c>
      <c r="K698" s="193" t="s">
        <v>386</v>
      </c>
      <c r="L698" s="193" t="s">
        <v>387</v>
      </c>
      <c r="M698" s="193" t="s">
        <v>378</v>
      </c>
      <c r="N698" s="193" t="s">
        <v>1497</v>
      </c>
      <c r="O698" s="193" t="s">
        <v>129</v>
      </c>
      <c r="P698" s="193" t="s">
        <v>138</v>
      </c>
      <c r="Q698" s="193" t="s">
        <v>137</v>
      </c>
      <c r="R698" s="193" t="s">
        <v>136</v>
      </c>
      <c r="S698" s="193" t="s">
        <v>214</v>
      </c>
      <c r="T698" s="193" t="s">
        <v>389</v>
      </c>
      <c r="U698" s="193" t="s">
        <v>390</v>
      </c>
      <c r="V698" s="193">
        <v>0</v>
      </c>
      <c r="W698" s="193">
        <v>0</v>
      </c>
      <c r="X698" s="193">
        <v>0</v>
      </c>
      <c r="Y698" s="194">
        <v>12519</v>
      </c>
      <c r="Z698" s="193" t="s">
        <v>1498</v>
      </c>
      <c r="AA698" s="193" t="s">
        <v>1499</v>
      </c>
      <c r="AB698" s="193">
        <v>12519</v>
      </c>
      <c r="AC698" s="193" t="s">
        <v>1500</v>
      </c>
      <c r="AD698" s="193" t="s">
        <v>136</v>
      </c>
      <c r="AE698" s="193">
        <v>12519</v>
      </c>
      <c r="AF698" s="193" t="s">
        <v>518</v>
      </c>
      <c r="AG698" s="193" t="s">
        <v>519</v>
      </c>
      <c r="AH698" s="193">
        <v>0</v>
      </c>
      <c r="AI698" s="193">
        <v>12519</v>
      </c>
      <c r="AJ698" s="193" t="s">
        <v>2557</v>
      </c>
      <c r="AL698" s="197" t="s">
        <v>2558</v>
      </c>
      <c r="AM698" s="193">
        <v>1</v>
      </c>
      <c r="AN698" s="193">
        <v>0</v>
      </c>
      <c r="AO698" s="193">
        <v>0</v>
      </c>
      <c r="AP698" s="193">
        <v>0</v>
      </c>
      <c r="AQ698" s="193" t="s">
        <v>214</v>
      </c>
      <c r="AS698" s="197" t="s">
        <v>518</v>
      </c>
      <c r="AT698" s="197" t="s">
        <v>519</v>
      </c>
      <c r="AV698" s="194">
        <v>12519</v>
      </c>
      <c r="AW698" s="194">
        <v>0</v>
      </c>
      <c r="AX698" s="194">
        <v>0</v>
      </c>
      <c r="AY698" s="549">
        <v>12519</v>
      </c>
      <c r="AZ698" s="194">
        <v>0</v>
      </c>
      <c r="BA698" s="194">
        <v>0</v>
      </c>
      <c r="BB698" s="551">
        <v>0</v>
      </c>
      <c r="BC698" s="551">
        <v>12519</v>
      </c>
      <c r="BD698" s="551">
        <v>0</v>
      </c>
      <c r="BF698" s="550">
        <f t="shared" si="132"/>
        <v>12519</v>
      </c>
      <c r="BG698" s="550">
        <f t="shared" si="133"/>
        <v>0</v>
      </c>
      <c r="BH698" s="550">
        <f t="shared" si="134"/>
        <v>0</v>
      </c>
      <c r="BI698" s="550">
        <f t="shared" si="135"/>
        <v>12519</v>
      </c>
      <c r="BJ698" s="550">
        <f t="shared" si="136"/>
        <v>0</v>
      </c>
      <c r="BK698" s="550">
        <f t="shared" si="137"/>
        <v>0</v>
      </c>
      <c r="BL698" s="550">
        <f t="shared" si="138"/>
        <v>0</v>
      </c>
      <c r="BM698" s="550">
        <f t="shared" si="139"/>
        <v>12519</v>
      </c>
      <c r="BO698" s="194"/>
      <c r="BQ698" s="193">
        <f t="shared" si="140"/>
        <v>0</v>
      </c>
      <c r="BR698" s="193">
        <f t="shared" si="141"/>
        <v>0</v>
      </c>
    </row>
    <row r="699" spans="1:70" ht="13.5" customHeight="1">
      <c r="A699" s="193" t="s">
        <v>378</v>
      </c>
      <c r="B699" s="193" t="s">
        <v>379</v>
      </c>
      <c r="C699" s="193" t="s">
        <v>214</v>
      </c>
      <c r="D699" s="193" t="s">
        <v>2518</v>
      </c>
      <c r="E699" s="193" t="s">
        <v>2519</v>
      </c>
      <c r="F699" s="193" t="s">
        <v>1685</v>
      </c>
      <c r="G699" s="193" t="s">
        <v>1685</v>
      </c>
      <c r="H699" s="193" t="s">
        <v>2559</v>
      </c>
      <c r="I699" s="193" t="s">
        <v>384</v>
      </c>
      <c r="J699" s="193" t="s">
        <v>2560</v>
      </c>
      <c r="K699" s="193" t="s">
        <v>386</v>
      </c>
      <c r="L699" s="193" t="s">
        <v>387</v>
      </c>
      <c r="M699" s="193" t="s">
        <v>378</v>
      </c>
      <c r="N699" s="193" t="s">
        <v>1497</v>
      </c>
      <c r="O699" s="193" t="s">
        <v>129</v>
      </c>
      <c r="P699" s="193" t="s">
        <v>138</v>
      </c>
      <c r="Q699" s="193" t="s">
        <v>137</v>
      </c>
      <c r="R699" s="193" t="s">
        <v>136</v>
      </c>
      <c r="S699" s="193" t="s">
        <v>214</v>
      </c>
      <c r="T699" s="193" t="s">
        <v>389</v>
      </c>
      <c r="U699" s="193" t="s">
        <v>390</v>
      </c>
      <c r="V699" s="193">
        <v>0</v>
      </c>
      <c r="W699" s="193">
        <v>0</v>
      </c>
      <c r="X699" s="193">
        <v>0</v>
      </c>
      <c r="Y699" s="194">
        <v>2223</v>
      </c>
      <c r="Z699" s="193" t="s">
        <v>1498</v>
      </c>
      <c r="AA699" s="193" t="s">
        <v>1499</v>
      </c>
      <c r="AB699" s="193">
        <v>2223</v>
      </c>
      <c r="AC699" s="193" t="s">
        <v>1500</v>
      </c>
      <c r="AD699" s="193" t="s">
        <v>136</v>
      </c>
      <c r="AE699" s="193">
        <v>2223</v>
      </c>
      <c r="AF699" s="193" t="s">
        <v>518</v>
      </c>
      <c r="AG699" s="193" t="s">
        <v>519</v>
      </c>
      <c r="AH699" s="193">
        <v>0</v>
      </c>
      <c r="AI699" s="193">
        <v>2223</v>
      </c>
      <c r="AJ699" s="193" t="s">
        <v>1796</v>
      </c>
      <c r="AL699" s="197" t="s">
        <v>2561</v>
      </c>
      <c r="AM699" s="193">
        <v>1</v>
      </c>
      <c r="AN699" s="193">
        <v>0</v>
      </c>
      <c r="AO699" s="193">
        <v>0</v>
      </c>
      <c r="AP699" s="193">
        <v>0</v>
      </c>
      <c r="AQ699" s="193" t="s">
        <v>214</v>
      </c>
      <c r="AS699" s="197" t="s">
        <v>518</v>
      </c>
      <c r="AT699" s="197" t="s">
        <v>519</v>
      </c>
      <c r="AV699" s="194">
        <v>2223</v>
      </c>
      <c r="AW699" s="194">
        <v>0</v>
      </c>
      <c r="AX699" s="194">
        <v>0</v>
      </c>
      <c r="AY699" s="549">
        <v>2223</v>
      </c>
      <c r="AZ699" s="194">
        <v>0</v>
      </c>
      <c r="BA699" s="194">
        <v>0</v>
      </c>
      <c r="BB699" s="551">
        <v>0</v>
      </c>
      <c r="BC699" s="551">
        <v>2223</v>
      </c>
      <c r="BD699" s="551">
        <v>0</v>
      </c>
      <c r="BF699" s="550">
        <f t="shared" si="132"/>
        <v>2223</v>
      </c>
      <c r="BG699" s="550">
        <f t="shared" si="133"/>
        <v>0</v>
      </c>
      <c r="BH699" s="550">
        <f t="shared" si="134"/>
        <v>0</v>
      </c>
      <c r="BI699" s="550">
        <f t="shared" si="135"/>
        <v>2223</v>
      </c>
      <c r="BJ699" s="550">
        <f t="shared" si="136"/>
        <v>0</v>
      </c>
      <c r="BK699" s="550">
        <f t="shared" si="137"/>
        <v>0</v>
      </c>
      <c r="BL699" s="550">
        <f t="shared" si="138"/>
        <v>0</v>
      </c>
      <c r="BM699" s="550">
        <f t="shared" si="139"/>
        <v>2223</v>
      </c>
      <c r="BO699" s="194"/>
      <c r="BQ699" s="193">
        <f t="shared" si="140"/>
        <v>0</v>
      </c>
      <c r="BR699" s="193">
        <f t="shared" si="141"/>
        <v>0</v>
      </c>
    </row>
    <row r="700" spans="1:70" ht="13.5" customHeight="1">
      <c r="A700" s="193" t="s">
        <v>378</v>
      </c>
      <c r="B700" s="193" t="s">
        <v>379</v>
      </c>
      <c r="C700" s="193" t="s">
        <v>214</v>
      </c>
      <c r="D700" s="193" t="s">
        <v>2518</v>
      </c>
      <c r="E700" s="193" t="s">
        <v>2519</v>
      </c>
      <c r="F700" s="193" t="s">
        <v>1685</v>
      </c>
      <c r="G700" s="193" t="s">
        <v>1685</v>
      </c>
      <c r="H700" s="193" t="s">
        <v>2559</v>
      </c>
      <c r="I700" s="193" t="s">
        <v>384</v>
      </c>
      <c r="J700" s="193" t="s">
        <v>2562</v>
      </c>
      <c r="K700" s="193" t="s">
        <v>386</v>
      </c>
      <c r="L700" s="193" t="s">
        <v>387</v>
      </c>
      <c r="M700" s="193" t="s">
        <v>378</v>
      </c>
      <c r="N700" s="193" t="s">
        <v>1497</v>
      </c>
      <c r="O700" s="193" t="s">
        <v>129</v>
      </c>
      <c r="P700" s="193" t="s">
        <v>138</v>
      </c>
      <c r="Q700" s="193" t="s">
        <v>137</v>
      </c>
      <c r="R700" s="193" t="s">
        <v>136</v>
      </c>
      <c r="S700" s="193" t="s">
        <v>214</v>
      </c>
      <c r="T700" s="193" t="s">
        <v>389</v>
      </c>
      <c r="U700" s="193" t="s">
        <v>390</v>
      </c>
      <c r="V700" s="193">
        <v>0</v>
      </c>
      <c r="W700" s="193">
        <v>0</v>
      </c>
      <c r="X700" s="193">
        <v>0</v>
      </c>
      <c r="Y700" s="194">
        <v>26593</v>
      </c>
      <c r="Z700" s="193" t="s">
        <v>1498</v>
      </c>
      <c r="AA700" s="193" t="s">
        <v>1499</v>
      </c>
      <c r="AB700" s="193">
        <v>26593</v>
      </c>
      <c r="AC700" s="193" t="s">
        <v>1500</v>
      </c>
      <c r="AD700" s="193" t="s">
        <v>136</v>
      </c>
      <c r="AE700" s="193">
        <v>26593</v>
      </c>
      <c r="AF700" s="193" t="s">
        <v>518</v>
      </c>
      <c r="AG700" s="193" t="s">
        <v>519</v>
      </c>
      <c r="AH700" s="193">
        <v>0</v>
      </c>
      <c r="AI700" s="193">
        <v>26593</v>
      </c>
      <c r="AJ700" s="193" t="s">
        <v>1811</v>
      </c>
      <c r="AL700" s="197" t="s">
        <v>2563</v>
      </c>
      <c r="AM700" s="193">
        <v>1</v>
      </c>
      <c r="AN700" s="193">
        <v>0</v>
      </c>
      <c r="AO700" s="193">
        <v>0</v>
      </c>
      <c r="AP700" s="193">
        <v>0</v>
      </c>
      <c r="AQ700" s="193" t="s">
        <v>214</v>
      </c>
      <c r="AS700" s="197" t="s">
        <v>518</v>
      </c>
      <c r="AT700" s="197" t="s">
        <v>519</v>
      </c>
      <c r="AV700" s="194">
        <v>26593</v>
      </c>
      <c r="AW700" s="194">
        <v>0</v>
      </c>
      <c r="AX700" s="194">
        <v>0</v>
      </c>
      <c r="AY700" s="549">
        <v>26593</v>
      </c>
      <c r="AZ700" s="194">
        <v>0</v>
      </c>
      <c r="BA700" s="194">
        <v>0</v>
      </c>
      <c r="BB700" s="551">
        <v>0</v>
      </c>
      <c r="BC700" s="551">
        <v>26593</v>
      </c>
      <c r="BD700" s="551">
        <v>0</v>
      </c>
      <c r="BF700" s="550">
        <f t="shared" si="132"/>
        <v>26593</v>
      </c>
      <c r="BG700" s="550">
        <f t="shared" si="133"/>
        <v>0</v>
      </c>
      <c r="BH700" s="550">
        <f t="shared" si="134"/>
        <v>0</v>
      </c>
      <c r="BI700" s="550">
        <f t="shared" si="135"/>
        <v>26593</v>
      </c>
      <c r="BJ700" s="550">
        <f t="shared" si="136"/>
        <v>0</v>
      </c>
      <c r="BK700" s="550">
        <f t="shared" si="137"/>
        <v>0</v>
      </c>
      <c r="BL700" s="550">
        <f t="shared" si="138"/>
        <v>0</v>
      </c>
      <c r="BM700" s="550">
        <f t="shared" si="139"/>
        <v>26593</v>
      </c>
      <c r="BO700" s="194"/>
      <c r="BQ700" s="193">
        <f t="shared" si="140"/>
        <v>0</v>
      </c>
      <c r="BR700" s="193">
        <f t="shared" si="141"/>
        <v>0</v>
      </c>
    </row>
    <row r="701" spans="1:70" ht="13.5" customHeight="1">
      <c r="A701" s="193" t="s">
        <v>378</v>
      </c>
      <c r="B701" s="193" t="s">
        <v>379</v>
      </c>
      <c r="C701" s="193" t="s">
        <v>214</v>
      </c>
      <c r="D701" s="193" t="s">
        <v>2518</v>
      </c>
      <c r="E701" s="193" t="s">
        <v>2519</v>
      </c>
      <c r="F701" s="193" t="s">
        <v>1685</v>
      </c>
      <c r="G701" s="193" t="s">
        <v>1685</v>
      </c>
      <c r="H701" s="193" t="s">
        <v>2559</v>
      </c>
      <c r="I701" s="193" t="s">
        <v>384</v>
      </c>
      <c r="J701" s="193" t="s">
        <v>2564</v>
      </c>
      <c r="K701" s="193" t="s">
        <v>386</v>
      </c>
      <c r="L701" s="193" t="s">
        <v>387</v>
      </c>
      <c r="M701" s="193" t="s">
        <v>378</v>
      </c>
      <c r="N701" s="193" t="s">
        <v>1497</v>
      </c>
      <c r="O701" s="193" t="s">
        <v>129</v>
      </c>
      <c r="P701" s="193" t="s">
        <v>138</v>
      </c>
      <c r="Q701" s="193" t="s">
        <v>137</v>
      </c>
      <c r="R701" s="193" t="s">
        <v>136</v>
      </c>
      <c r="S701" s="193" t="s">
        <v>214</v>
      </c>
      <c r="T701" s="193" t="s">
        <v>389</v>
      </c>
      <c r="U701" s="193" t="s">
        <v>390</v>
      </c>
      <c r="V701" s="193">
        <v>0</v>
      </c>
      <c r="W701" s="193">
        <v>0</v>
      </c>
      <c r="X701" s="193">
        <v>0</v>
      </c>
      <c r="Y701" s="194">
        <v>2401984</v>
      </c>
      <c r="Z701" s="193" t="s">
        <v>1498</v>
      </c>
      <c r="AA701" s="193" t="s">
        <v>1499</v>
      </c>
      <c r="AB701" s="193">
        <v>2401984</v>
      </c>
      <c r="AC701" s="193" t="s">
        <v>1500</v>
      </c>
      <c r="AD701" s="193" t="s">
        <v>136</v>
      </c>
      <c r="AE701" s="193">
        <v>2401984</v>
      </c>
      <c r="AF701" s="193" t="s">
        <v>518</v>
      </c>
      <c r="AG701" s="193" t="s">
        <v>519</v>
      </c>
      <c r="AH701" s="193">
        <v>0</v>
      </c>
      <c r="AI701" s="193">
        <v>2401984</v>
      </c>
      <c r="AJ701" s="193" t="s">
        <v>2565</v>
      </c>
      <c r="AL701" s="197" t="s">
        <v>2566</v>
      </c>
      <c r="AM701" s="193">
        <v>1</v>
      </c>
      <c r="AN701" s="193">
        <v>0</v>
      </c>
      <c r="AO701" s="193">
        <v>0</v>
      </c>
      <c r="AP701" s="193">
        <v>0</v>
      </c>
      <c r="AQ701" s="193" t="s">
        <v>214</v>
      </c>
      <c r="AS701" s="197" t="s">
        <v>518</v>
      </c>
      <c r="AT701" s="197" t="s">
        <v>519</v>
      </c>
      <c r="AV701" s="194">
        <v>2401984</v>
      </c>
      <c r="AW701" s="194">
        <v>0</v>
      </c>
      <c r="AX701" s="194">
        <v>0</v>
      </c>
      <c r="AY701" s="549">
        <v>2401984</v>
      </c>
      <c r="AZ701" s="194">
        <v>0</v>
      </c>
      <c r="BA701" s="194">
        <v>0</v>
      </c>
      <c r="BB701" s="551">
        <v>0</v>
      </c>
      <c r="BC701" s="551">
        <v>2401984</v>
      </c>
      <c r="BD701" s="551">
        <v>0</v>
      </c>
      <c r="BF701" s="550">
        <f t="shared" si="132"/>
        <v>2401984</v>
      </c>
      <c r="BG701" s="550">
        <f t="shared" si="133"/>
        <v>0</v>
      </c>
      <c r="BH701" s="550">
        <f t="shared" si="134"/>
        <v>0</v>
      </c>
      <c r="BI701" s="550">
        <f t="shared" si="135"/>
        <v>2401984</v>
      </c>
      <c r="BJ701" s="550">
        <f t="shared" si="136"/>
        <v>0</v>
      </c>
      <c r="BK701" s="550">
        <f t="shared" si="137"/>
        <v>0</v>
      </c>
      <c r="BL701" s="550">
        <f t="shared" si="138"/>
        <v>0</v>
      </c>
      <c r="BM701" s="550">
        <f t="shared" si="139"/>
        <v>2401984</v>
      </c>
      <c r="BO701" s="194"/>
      <c r="BQ701" s="193">
        <f t="shared" si="140"/>
        <v>0</v>
      </c>
      <c r="BR701" s="193">
        <f t="shared" si="141"/>
        <v>0</v>
      </c>
    </row>
    <row r="702" spans="1:70" ht="13.5" customHeight="1">
      <c r="A702" s="193" t="s">
        <v>378</v>
      </c>
      <c r="B702" s="193" t="s">
        <v>379</v>
      </c>
      <c r="C702" s="193" t="s">
        <v>214</v>
      </c>
      <c r="D702" s="193" t="s">
        <v>2518</v>
      </c>
      <c r="E702" s="193" t="s">
        <v>2519</v>
      </c>
      <c r="F702" s="193" t="s">
        <v>1685</v>
      </c>
      <c r="G702" s="193" t="s">
        <v>1685</v>
      </c>
      <c r="H702" s="193" t="s">
        <v>2559</v>
      </c>
      <c r="I702" s="193" t="s">
        <v>384</v>
      </c>
      <c r="J702" s="193" t="s">
        <v>2567</v>
      </c>
      <c r="K702" s="193" t="s">
        <v>386</v>
      </c>
      <c r="L702" s="193" t="s">
        <v>387</v>
      </c>
      <c r="M702" s="193" t="s">
        <v>378</v>
      </c>
      <c r="N702" s="193" t="s">
        <v>1497</v>
      </c>
      <c r="O702" s="193" t="s">
        <v>129</v>
      </c>
      <c r="P702" s="193" t="s">
        <v>138</v>
      </c>
      <c r="Q702" s="193" t="s">
        <v>137</v>
      </c>
      <c r="R702" s="193" t="s">
        <v>136</v>
      </c>
      <c r="S702" s="193" t="s">
        <v>214</v>
      </c>
      <c r="T702" s="193" t="s">
        <v>389</v>
      </c>
      <c r="U702" s="193" t="s">
        <v>390</v>
      </c>
      <c r="V702" s="193">
        <v>0</v>
      </c>
      <c r="W702" s="193">
        <v>0</v>
      </c>
      <c r="X702" s="193">
        <v>0</v>
      </c>
      <c r="Y702" s="194">
        <v>421</v>
      </c>
      <c r="Z702" s="193" t="s">
        <v>1498</v>
      </c>
      <c r="AA702" s="193" t="s">
        <v>1499</v>
      </c>
      <c r="AB702" s="193">
        <v>421</v>
      </c>
      <c r="AC702" s="193" t="s">
        <v>1500</v>
      </c>
      <c r="AD702" s="193" t="s">
        <v>136</v>
      </c>
      <c r="AE702" s="193">
        <v>421</v>
      </c>
      <c r="AF702" s="193" t="s">
        <v>518</v>
      </c>
      <c r="AG702" s="193" t="s">
        <v>519</v>
      </c>
      <c r="AH702" s="193">
        <v>0</v>
      </c>
      <c r="AI702" s="193">
        <v>421</v>
      </c>
      <c r="AJ702" s="193" t="s">
        <v>1724</v>
      </c>
      <c r="AL702" s="197" t="s">
        <v>2568</v>
      </c>
      <c r="AM702" s="193">
        <v>1</v>
      </c>
      <c r="AN702" s="193">
        <v>0</v>
      </c>
      <c r="AO702" s="193">
        <v>0</v>
      </c>
      <c r="AP702" s="193">
        <v>0</v>
      </c>
      <c r="AQ702" s="193" t="s">
        <v>214</v>
      </c>
      <c r="AS702" s="197" t="s">
        <v>518</v>
      </c>
      <c r="AT702" s="197" t="s">
        <v>519</v>
      </c>
      <c r="AV702" s="194">
        <v>421</v>
      </c>
      <c r="AW702" s="194">
        <v>0</v>
      </c>
      <c r="AX702" s="194">
        <v>0</v>
      </c>
      <c r="AY702" s="549">
        <v>421</v>
      </c>
      <c r="AZ702" s="194">
        <v>0</v>
      </c>
      <c r="BA702" s="194">
        <v>0</v>
      </c>
      <c r="BB702" s="551">
        <v>0</v>
      </c>
      <c r="BC702" s="551">
        <v>421</v>
      </c>
      <c r="BD702" s="551">
        <v>0</v>
      </c>
      <c r="BF702" s="550">
        <f t="shared" si="132"/>
        <v>421</v>
      </c>
      <c r="BG702" s="550">
        <f t="shared" si="133"/>
        <v>0</v>
      </c>
      <c r="BH702" s="550">
        <f t="shared" si="134"/>
        <v>0</v>
      </c>
      <c r="BI702" s="550">
        <f t="shared" si="135"/>
        <v>421</v>
      </c>
      <c r="BJ702" s="550">
        <f t="shared" si="136"/>
        <v>0</v>
      </c>
      <c r="BK702" s="550">
        <f t="shared" si="137"/>
        <v>0</v>
      </c>
      <c r="BL702" s="550">
        <f t="shared" si="138"/>
        <v>0</v>
      </c>
      <c r="BM702" s="550">
        <f t="shared" si="139"/>
        <v>421</v>
      </c>
      <c r="BO702" s="194"/>
      <c r="BQ702" s="193">
        <f t="shared" si="140"/>
        <v>0</v>
      </c>
      <c r="BR702" s="193">
        <f t="shared" si="141"/>
        <v>0</v>
      </c>
    </row>
    <row r="703" spans="1:70" ht="13.5" customHeight="1">
      <c r="A703" s="193" t="s">
        <v>378</v>
      </c>
      <c r="B703" s="193" t="s">
        <v>379</v>
      </c>
      <c r="C703" s="193" t="s">
        <v>214</v>
      </c>
      <c r="D703" s="193" t="s">
        <v>2518</v>
      </c>
      <c r="E703" s="193" t="s">
        <v>2519</v>
      </c>
      <c r="F703" s="193" t="s">
        <v>1685</v>
      </c>
      <c r="G703" s="193" t="s">
        <v>1685</v>
      </c>
      <c r="H703" s="193" t="s">
        <v>2559</v>
      </c>
      <c r="I703" s="193" t="s">
        <v>384</v>
      </c>
      <c r="J703" s="193" t="s">
        <v>2569</v>
      </c>
      <c r="K703" s="193" t="s">
        <v>386</v>
      </c>
      <c r="L703" s="193" t="s">
        <v>387</v>
      </c>
      <c r="M703" s="193" t="s">
        <v>378</v>
      </c>
      <c r="N703" s="193" t="s">
        <v>1497</v>
      </c>
      <c r="O703" s="193" t="s">
        <v>129</v>
      </c>
      <c r="P703" s="193" t="s">
        <v>138</v>
      </c>
      <c r="Q703" s="193" t="s">
        <v>137</v>
      </c>
      <c r="R703" s="193" t="s">
        <v>136</v>
      </c>
      <c r="S703" s="193" t="s">
        <v>214</v>
      </c>
      <c r="T703" s="193" t="s">
        <v>389</v>
      </c>
      <c r="U703" s="193" t="s">
        <v>390</v>
      </c>
      <c r="V703" s="193">
        <v>0</v>
      </c>
      <c r="W703" s="193">
        <v>0</v>
      </c>
      <c r="X703" s="193">
        <v>0</v>
      </c>
      <c r="Y703" s="194">
        <v>4400</v>
      </c>
      <c r="Z703" s="193" t="s">
        <v>1498</v>
      </c>
      <c r="AA703" s="193" t="s">
        <v>1499</v>
      </c>
      <c r="AB703" s="193">
        <v>4400</v>
      </c>
      <c r="AC703" s="193" t="s">
        <v>1500</v>
      </c>
      <c r="AD703" s="193" t="s">
        <v>136</v>
      </c>
      <c r="AE703" s="193">
        <v>4400</v>
      </c>
      <c r="AF703" s="193" t="s">
        <v>518</v>
      </c>
      <c r="AG703" s="193" t="s">
        <v>519</v>
      </c>
      <c r="AH703" s="193">
        <v>0</v>
      </c>
      <c r="AI703" s="193">
        <v>4400</v>
      </c>
      <c r="AJ703" s="193" t="s">
        <v>1737</v>
      </c>
      <c r="AL703" s="197" t="s">
        <v>2570</v>
      </c>
      <c r="AM703" s="193">
        <v>1</v>
      </c>
      <c r="AN703" s="193">
        <v>0</v>
      </c>
      <c r="AO703" s="193">
        <v>0</v>
      </c>
      <c r="AP703" s="193">
        <v>0</v>
      </c>
      <c r="AQ703" s="193" t="s">
        <v>214</v>
      </c>
      <c r="AS703" s="197" t="s">
        <v>518</v>
      </c>
      <c r="AT703" s="197" t="s">
        <v>519</v>
      </c>
      <c r="AV703" s="194">
        <v>4400</v>
      </c>
      <c r="AW703" s="194">
        <v>0</v>
      </c>
      <c r="AX703" s="194">
        <v>0</v>
      </c>
      <c r="AY703" s="549">
        <v>4400</v>
      </c>
      <c r="AZ703" s="194">
        <v>0</v>
      </c>
      <c r="BA703" s="194">
        <v>0</v>
      </c>
      <c r="BB703" s="551">
        <v>0</v>
      </c>
      <c r="BC703" s="551">
        <v>4400</v>
      </c>
      <c r="BD703" s="551">
        <v>0</v>
      </c>
      <c r="BF703" s="550">
        <f t="shared" si="132"/>
        <v>4400</v>
      </c>
      <c r="BG703" s="550">
        <f t="shared" si="133"/>
        <v>0</v>
      </c>
      <c r="BH703" s="550">
        <f t="shared" si="134"/>
        <v>0</v>
      </c>
      <c r="BI703" s="550">
        <f t="shared" si="135"/>
        <v>4400</v>
      </c>
      <c r="BJ703" s="550">
        <f t="shared" si="136"/>
        <v>0</v>
      </c>
      <c r="BK703" s="550">
        <f t="shared" si="137"/>
        <v>0</v>
      </c>
      <c r="BL703" s="550">
        <f t="shared" si="138"/>
        <v>0</v>
      </c>
      <c r="BM703" s="550">
        <f t="shared" si="139"/>
        <v>4400</v>
      </c>
      <c r="BO703" s="194"/>
      <c r="BQ703" s="193">
        <f t="shared" si="140"/>
        <v>0</v>
      </c>
      <c r="BR703" s="193">
        <f t="shared" si="141"/>
        <v>0</v>
      </c>
    </row>
    <row r="704" spans="1:70" ht="13.5" customHeight="1">
      <c r="A704" s="193" t="s">
        <v>378</v>
      </c>
      <c r="B704" s="193" t="s">
        <v>379</v>
      </c>
      <c r="C704" s="193" t="s">
        <v>214</v>
      </c>
      <c r="D704" s="193" t="s">
        <v>2518</v>
      </c>
      <c r="E704" s="193" t="s">
        <v>2519</v>
      </c>
      <c r="F704" s="193" t="s">
        <v>1685</v>
      </c>
      <c r="G704" s="193" t="s">
        <v>1685</v>
      </c>
      <c r="H704" s="193" t="s">
        <v>2559</v>
      </c>
      <c r="I704" s="193" t="s">
        <v>384</v>
      </c>
      <c r="J704" s="193" t="s">
        <v>2571</v>
      </c>
      <c r="K704" s="193" t="s">
        <v>386</v>
      </c>
      <c r="L704" s="193" t="s">
        <v>387</v>
      </c>
      <c r="M704" s="193" t="s">
        <v>378</v>
      </c>
      <c r="N704" s="193" t="s">
        <v>1497</v>
      </c>
      <c r="O704" s="193" t="s">
        <v>129</v>
      </c>
      <c r="P704" s="193" t="s">
        <v>138</v>
      </c>
      <c r="Q704" s="193" t="s">
        <v>137</v>
      </c>
      <c r="R704" s="193" t="s">
        <v>136</v>
      </c>
      <c r="S704" s="193" t="s">
        <v>214</v>
      </c>
      <c r="T704" s="193" t="s">
        <v>389</v>
      </c>
      <c r="U704" s="193" t="s">
        <v>390</v>
      </c>
      <c r="V704" s="193">
        <v>0</v>
      </c>
      <c r="W704" s="193">
        <v>0</v>
      </c>
      <c r="X704" s="193">
        <v>0</v>
      </c>
      <c r="Y704" s="194">
        <v>2200</v>
      </c>
      <c r="Z704" s="193" t="s">
        <v>1498</v>
      </c>
      <c r="AA704" s="193" t="s">
        <v>1499</v>
      </c>
      <c r="AB704" s="193">
        <v>2200</v>
      </c>
      <c r="AC704" s="193" t="s">
        <v>1500</v>
      </c>
      <c r="AD704" s="193" t="s">
        <v>136</v>
      </c>
      <c r="AE704" s="193">
        <v>2200</v>
      </c>
      <c r="AF704" s="193" t="s">
        <v>518</v>
      </c>
      <c r="AG704" s="193" t="s">
        <v>519</v>
      </c>
      <c r="AH704" s="193">
        <v>0</v>
      </c>
      <c r="AI704" s="193">
        <v>2200</v>
      </c>
      <c r="AJ704" s="193" t="s">
        <v>1737</v>
      </c>
      <c r="AL704" s="197" t="s">
        <v>2572</v>
      </c>
      <c r="AM704" s="193">
        <v>1</v>
      </c>
      <c r="AN704" s="193">
        <v>0</v>
      </c>
      <c r="AO704" s="193">
        <v>0</v>
      </c>
      <c r="AP704" s="193">
        <v>0</v>
      </c>
      <c r="AQ704" s="193" t="s">
        <v>214</v>
      </c>
      <c r="AS704" s="197" t="s">
        <v>518</v>
      </c>
      <c r="AT704" s="197" t="s">
        <v>519</v>
      </c>
      <c r="AV704" s="194">
        <v>2200</v>
      </c>
      <c r="AW704" s="194">
        <v>0</v>
      </c>
      <c r="AX704" s="194">
        <v>0</v>
      </c>
      <c r="AY704" s="549">
        <v>2200</v>
      </c>
      <c r="AZ704" s="194">
        <v>0</v>
      </c>
      <c r="BA704" s="194">
        <v>0</v>
      </c>
      <c r="BB704" s="551">
        <v>0</v>
      </c>
      <c r="BC704" s="551">
        <v>2200</v>
      </c>
      <c r="BD704" s="551">
        <v>0</v>
      </c>
      <c r="BF704" s="550">
        <f t="shared" si="132"/>
        <v>2200</v>
      </c>
      <c r="BG704" s="550">
        <f t="shared" si="133"/>
        <v>0</v>
      </c>
      <c r="BH704" s="550">
        <f t="shared" si="134"/>
        <v>0</v>
      </c>
      <c r="BI704" s="550">
        <f t="shared" si="135"/>
        <v>2200</v>
      </c>
      <c r="BJ704" s="550">
        <f t="shared" si="136"/>
        <v>0</v>
      </c>
      <c r="BK704" s="550">
        <f t="shared" si="137"/>
        <v>0</v>
      </c>
      <c r="BL704" s="550">
        <f t="shared" si="138"/>
        <v>0</v>
      </c>
      <c r="BM704" s="550">
        <f t="shared" si="139"/>
        <v>2200</v>
      </c>
      <c r="BO704" s="194"/>
      <c r="BQ704" s="193">
        <f t="shared" si="140"/>
        <v>0</v>
      </c>
      <c r="BR704" s="193">
        <f t="shared" si="141"/>
        <v>0</v>
      </c>
    </row>
    <row r="705" spans="1:70" ht="13.5" customHeight="1">
      <c r="A705" s="193" t="s">
        <v>378</v>
      </c>
      <c r="B705" s="193" t="s">
        <v>379</v>
      </c>
      <c r="C705" s="193" t="s">
        <v>214</v>
      </c>
      <c r="D705" s="193" t="s">
        <v>1098</v>
      </c>
      <c r="E705" s="193" t="s">
        <v>1099</v>
      </c>
      <c r="F705" s="193" t="s">
        <v>2089</v>
      </c>
      <c r="G705" s="193" t="s">
        <v>2089</v>
      </c>
      <c r="H705" s="193" t="s">
        <v>2573</v>
      </c>
      <c r="I705" s="193" t="s">
        <v>384</v>
      </c>
      <c r="J705" s="193" t="s">
        <v>2574</v>
      </c>
      <c r="K705" s="193" t="s">
        <v>386</v>
      </c>
      <c r="L705" s="193" t="s">
        <v>387</v>
      </c>
      <c r="M705" s="193" t="s">
        <v>378</v>
      </c>
      <c r="N705" s="193" t="s">
        <v>1497</v>
      </c>
      <c r="O705" s="193" t="s">
        <v>129</v>
      </c>
      <c r="P705" s="193" t="s">
        <v>138</v>
      </c>
      <c r="Q705" s="193" t="s">
        <v>137</v>
      </c>
      <c r="R705" s="193" t="s">
        <v>136</v>
      </c>
      <c r="S705" s="193" t="s">
        <v>214</v>
      </c>
      <c r="T705" s="193" t="s">
        <v>389</v>
      </c>
      <c r="U705" s="193" t="s">
        <v>390</v>
      </c>
      <c r="V705" s="193">
        <v>0</v>
      </c>
      <c r="W705" s="193">
        <v>0</v>
      </c>
      <c r="X705" s="193">
        <v>0</v>
      </c>
      <c r="Y705" s="194">
        <v>180</v>
      </c>
      <c r="Z705" s="193" t="s">
        <v>1498</v>
      </c>
      <c r="AA705" s="193" t="s">
        <v>1499</v>
      </c>
      <c r="AB705" s="193">
        <v>180</v>
      </c>
      <c r="AC705" s="193" t="s">
        <v>1500</v>
      </c>
      <c r="AD705" s="193" t="s">
        <v>136</v>
      </c>
      <c r="AE705" s="193">
        <v>180</v>
      </c>
      <c r="AF705" s="193" t="s">
        <v>518</v>
      </c>
      <c r="AG705" s="193" t="s">
        <v>519</v>
      </c>
      <c r="AH705" s="193">
        <v>0</v>
      </c>
      <c r="AI705" s="193">
        <v>180</v>
      </c>
      <c r="AJ705" s="193" t="s">
        <v>2575</v>
      </c>
      <c r="AL705" s="197" t="s">
        <v>2576</v>
      </c>
      <c r="AM705" s="193">
        <v>1</v>
      </c>
      <c r="AN705" s="193">
        <v>0</v>
      </c>
      <c r="AO705" s="193">
        <v>0</v>
      </c>
      <c r="AP705" s="193">
        <v>0</v>
      </c>
      <c r="AQ705" s="193" t="s">
        <v>214</v>
      </c>
      <c r="AS705" s="197" t="s">
        <v>518</v>
      </c>
      <c r="AT705" s="197" t="s">
        <v>519</v>
      </c>
      <c r="AV705" s="194">
        <v>36</v>
      </c>
      <c r="AW705" s="194">
        <v>0</v>
      </c>
      <c r="AX705" s="194">
        <v>0</v>
      </c>
      <c r="AY705" s="549">
        <v>36</v>
      </c>
      <c r="AZ705" s="194">
        <v>0</v>
      </c>
      <c r="BA705" s="194">
        <v>144</v>
      </c>
      <c r="BB705" s="551">
        <v>144</v>
      </c>
      <c r="BC705" s="551">
        <v>180</v>
      </c>
      <c r="BD705" s="551">
        <v>0</v>
      </c>
      <c r="BF705" s="550">
        <f t="shared" si="132"/>
        <v>36</v>
      </c>
      <c r="BG705" s="550">
        <f t="shared" si="133"/>
        <v>0</v>
      </c>
      <c r="BH705" s="550">
        <f t="shared" si="134"/>
        <v>0</v>
      </c>
      <c r="BI705" s="550">
        <f t="shared" si="135"/>
        <v>36</v>
      </c>
      <c r="BJ705" s="550">
        <f t="shared" si="136"/>
        <v>0</v>
      </c>
      <c r="BK705" s="550">
        <f t="shared" si="137"/>
        <v>144</v>
      </c>
      <c r="BL705" s="550">
        <f t="shared" si="138"/>
        <v>144</v>
      </c>
      <c r="BM705" s="550">
        <f t="shared" si="139"/>
        <v>180</v>
      </c>
      <c r="BO705" s="194"/>
      <c r="BQ705" s="193">
        <f t="shared" si="140"/>
        <v>0</v>
      </c>
      <c r="BR705" s="193">
        <f t="shared" si="141"/>
        <v>0</v>
      </c>
    </row>
    <row r="706" spans="1:70" ht="13.5" customHeight="1">
      <c r="A706" s="193" t="s">
        <v>378</v>
      </c>
      <c r="B706" s="193" t="s">
        <v>379</v>
      </c>
      <c r="C706" s="193" t="s">
        <v>214</v>
      </c>
      <c r="D706" s="193" t="s">
        <v>1098</v>
      </c>
      <c r="E706" s="193" t="s">
        <v>1099</v>
      </c>
      <c r="F706" s="193" t="s">
        <v>2089</v>
      </c>
      <c r="G706" s="193" t="s">
        <v>2089</v>
      </c>
      <c r="H706" s="193" t="s">
        <v>2577</v>
      </c>
      <c r="I706" s="193" t="s">
        <v>384</v>
      </c>
      <c r="J706" s="193" t="s">
        <v>2578</v>
      </c>
      <c r="K706" s="193" t="s">
        <v>386</v>
      </c>
      <c r="L706" s="193" t="s">
        <v>387</v>
      </c>
      <c r="M706" s="193" t="s">
        <v>378</v>
      </c>
      <c r="N706" s="193" t="s">
        <v>1497</v>
      </c>
      <c r="O706" s="193" t="s">
        <v>129</v>
      </c>
      <c r="P706" s="193" t="s">
        <v>138</v>
      </c>
      <c r="Q706" s="193" t="s">
        <v>137</v>
      </c>
      <c r="R706" s="193" t="s">
        <v>136</v>
      </c>
      <c r="S706" s="193" t="s">
        <v>214</v>
      </c>
      <c r="T706" s="193" t="s">
        <v>389</v>
      </c>
      <c r="U706" s="193" t="s">
        <v>390</v>
      </c>
      <c r="V706" s="193">
        <v>0</v>
      </c>
      <c r="W706" s="193">
        <v>0</v>
      </c>
      <c r="X706" s="193">
        <v>0</v>
      </c>
      <c r="Y706" s="194">
        <v>4400</v>
      </c>
      <c r="Z706" s="193" t="s">
        <v>1498</v>
      </c>
      <c r="AA706" s="193" t="s">
        <v>1499</v>
      </c>
      <c r="AB706" s="193">
        <v>4400</v>
      </c>
      <c r="AC706" s="193" t="s">
        <v>1500</v>
      </c>
      <c r="AD706" s="193" t="s">
        <v>136</v>
      </c>
      <c r="AE706" s="193">
        <v>4400</v>
      </c>
      <c r="AF706" s="193" t="s">
        <v>518</v>
      </c>
      <c r="AG706" s="193" t="s">
        <v>519</v>
      </c>
      <c r="AH706" s="193">
        <v>0</v>
      </c>
      <c r="AI706" s="193">
        <v>4400</v>
      </c>
      <c r="AJ706" s="193" t="s">
        <v>2579</v>
      </c>
      <c r="AL706" s="197" t="s">
        <v>2580</v>
      </c>
      <c r="AM706" s="193">
        <v>1</v>
      </c>
      <c r="AN706" s="193">
        <v>0</v>
      </c>
      <c r="AO706" s="193">
        <v>0</v>
      </c>
      <c r="AP706" s="193">
        <v>0</v>
      </c>
      <c r="AQ706" s="193" t="s">
        <v>214</v>
      </c>
      <c r="AS706" s="197" t="s">
        <v>518</v>
      </c>
      <c r="AT706" s="197" t="s">
        <v>519</v>
      </c>
      <c r="AV706" s="194">
        <v>880</v>
      </c>
      <c r="AW706" s="194">
        <v>0</v>
      </c>
      <c r="AX706" s="194">
        <v>0</v>
      </c>
      <c r="AY706" s="549">
        <v>880</v>
      </c>
      <c r="AZ706" s="194">
        <v>0</v>
      </c>
      <c r="BA706" s="194">
        <v>3520</v>
      </c>
      <c r="BB706" s="551">
        <v>3520</v>
      </c>
      <c r="BC706" s="551">
        <v>4400</v>
      </c>
      <c r="BD706" s="551">
        <v>0</v>
      </c>
      <c r="BF706" s="550">
        <f t="shared" si="132"/>
        <v>880</v>
      </c>
      <c r="BG706" s="550">
        <f t="shared" si="133"/>
        <v>0</v>
      </c>
      <c r="BH706" s="550">
        <f t="shared" si="134"/>
        <v>0</v>
      </c>
      <c r="BI706" s="550">
        <f t="shared" si="135"/>
        <v>880</v>
      </c>
      <c r="BJ706" s="550">
        <f t="shared" si="136"/>
        <v>0</v>
      </c>
      <c r="BK706" s="550">
        <f t="shared" si="137"/>
        <v>3520</v>
      </c>
      <c r="BL706" s="550">
        <f t="shared" si="138"/>
        <v>3520</v>
      </c>
      <c r="BM706" s="550">
        <f t="shared" si="139"/>
        <v>4400</v>
      </c>
      <c r="BO706" s="194"/>
      <c r="BQ706" s="193">
        <f t="shared" si="140"/>
        <v>0</v>
      </c>
      <c r="BR706" s="193">
        <f t="shared" si="141"/>
        <v>0</v>
      </c>
    </row>
    <row r="707" spans="1:70" ht="13.5" customHeight="1">
      <c r="A707" s="193" t="s">
        <v>378</v>
      </c>
      <c r="B707" s="193" t="s">
        <v>379</v>
      </c>
      <c r="C707" s="193" t="s">
        <v>214</v>
      </c>
      <c r="D707" s="193" t="s">
        <v>1098</v>
      </c>
      <c r="E707" s="193" t="s">
        <v>1099</v>
      </c>
      <c r="F707" s="193" t="s">
        <v>1685</v>
      </c>
      <c r="G707" s="193" t="s">
        <v>1685</v>
      </c>
      <c r="H707" s="193" t="s">
        <v>2581</v>
      </c>
      <c r="I707" s="193" t="s">
        <v>384</v>
      </c>
      <c r="J707" s="193" t="s">
        <v>2582</v>
      </c>
      <c r="K707" s="193" t="s">
        <v>386</v>
      </c>
      <c r="L707" s="193" t="s">
        <v>387</v>
      </c>
      <c r="M707" s="193" t="s">
        <v>378</v>
      </c>
      <c r="N707" s="193" t="s">
        <v>1497</v>
      </c>
      <c r="O707" s="193" t="s">
        <v>129</v>
      </c>
      <c r="P707" s="193" t="s">
        <v>138</v>
      </c>
      <c r="Q707" s="193" t="s">
        <v>137</v>
      </c>
      <c r="R707" s="193" t="s">
        <v>136</v>
      </c>
      <c r="S707" s="193" t="s">
        <v>214</v>
      </c>
      <c r="T707" s="193" t="s">
        <v>389</v>
      </c>
      <c r="U707" s="193" t="s">
        <v>390</v>
      </c>
      <c r="V707" s="193">
        <v>0</v>
      </c>
      <c r="W707" s="193">
        <v>0</v>
      </c>
      <c r="X707" s="193">
        <v>0</v>
      </c>
      <c r="Y707" s="194">
        <v>2</v>
      </c>
      <c r="Z707" s="193" t="s">
        <v>1498</v>
      </c>
      <c r="AA707" s="193" t="s">
        <v>1499</v>
      </c>
      <c r="AB707" s="193">
        <v>2</v>
      </c>
      <c r="AC707" s="193" t="s">
        <v>1500</v>
      </c>
      <c r="AD707" s="193" t="s">
        <v>136</v>
      </c>
      <c r="AE707" s="193">
        <v>2</v>
      </c>
      <c r="AF707" s="193" t="s">
        <v>518</v>
      </c>
      <c r="AG707" s="193" t="s">
        <v>519</v>
      </c>
      <c r="AH707" s="193">
        <v>0</v>
      </c>
      <c r="AI707" s="193">
        <v>2</v>
      </c>
      <c r="AJ707" s="193" t="s">
        <v>2579</v>
      </c>
      <c r="AL707" s="197" t="s">
        <v>2583</v>
      </c>
      <c r="AM707" s="193">
        <v>1</v>
      </c>
      <c r="AN707" s="193">
        <v>0</v>
      </c>
      <c r="AO707" s="193">
        <v>0</v>
      </c>
      <c r="AP707" s="193">
        <v>0</v>
      </c>
      <c r="AQ707" s="193" t="s">
        <v>214</v>
      </c>
      <c r="AS707" s="197" t="s">
        <v>518</v>
      </c>
      <c r="AT707" s="197" t="s">
        <v>519</v>
      </c>
      <c r="AV707" s="194">
        <v>0</v>
      </c>
      <c r="AW707" s="194">
        <v>0</v>
      </c>
      <c r="AX707" s="194">
        <v>0</v>
      </c>
      <c r="AY707" s="549">
        <v>0</v>
      </c>
      <c r="AZ707" s="194">
        <v>0</v>
      </c>
      <c r="BA707" s="194">
        <v>2</v>
      </c>
      <c r="BB707" s="551">
        <v>2</v>
      </c>
      <c r="BC707" s="551">
        <v>2</v>
      </c>
      <c r="BD707" s="551">
        <v>0</v>
      </c>
      <c r="BF707" s="550">
        <f t="shared" si="132"/>
        <v>0</v>
      </c>
      <c r="BG707" s="550">
        <f t="shared" si="133"/>
        <v>0</v>
      </c>
      <c r="BH707" s="550">
        <f t="shared" si="134"/>
        <v>0</v>
      </c>
      <c r="BI707" s="550">
        <f t="shared" si="135"/>
        <v>0</v>
      </c>
      <c r="BJ707" s="550">
        <f t="shared" si="136"/>
        <v>0</v>
      </c>
      <c r="BK707" s="550">
        <f t="shared" si="137"/>
        <v>2</v>
      </c>
      <c r="BL707" s="550">
        <f t="shared" si="138"/>
        <v>2</v>
      </c>
      <c r="BM707" s="550">
        <f t="shared" si="139"/>
        <v>2</v>
      </c>
      <c r="BO707" s="194"/>
      <c r="BQ707" s="193">
        <f t="shared" si="140"/>
        <v>0</v>
      </c>
      <c r="BR707" s="193">
        <f t="shared" si="141"/>
        <v>0</v>
      </c>
    </row>
    <row r="708" spans="1:70" ht="13.5" customHeight="1">
      <c r="A708" s="193" t="s">
        <v>378</v>
      </c>
      <c r="B708" s="193" t="s">
        <v>379</v>
      </c>
      <c r="C708" s="193" t="s">
        <v>214</v>
      </c>
      <c r="D708" s="193" t="s">
        <v>490</v>
      </c>
      <c r="E708" s="193" t="s">
        <v>491</v>
      </c>
      <c r="F708" s="193" t="s">
        <v>933</v>
      </c>
      <c r="G708" s="193" t="s">
        <v>933</v>
      </c>
      <c r="H708" s="193" t="s">
        <v>2584</v>
      </c>
      <c r="I708" s="193" t="s">
        <v>384</v>
      </c>
      <c r="J708" s="193" t="s">
        <v>2585</v>
      </c>
      <c r="K708" s="193" t="s">
        <v>386</v>
      </c>
      <c r="L708" s="193" t="s">
        <v>387</v>
      </c>
      <c r="M708" s="193" t="s">
        <v>378</v>
      </c>
      <c r="N708" s="193" t="s">
        <v>1497</v>
      </c>
      <c r="O708" s="193" t="s">
        <v>129</v>
      </c>
      <c r="P708" s="193" t="s">
        <v>138</v>
      </c>
      <c r="Q708" s="193" t="s">
        <v>137</v>
      </c>
      <c r="R708" s="193" t="s">
        <v>136</v>
      </c>
      <c r="S708" s="193" t="s">
        <v>214</v>
      </c>
      <c r="T708" s="193" t="s">
        <v>389</v>
      </c>
      <c r="U708" s="193" t="s">
        <v>390</v>
      </c>
      <c r="V708" s="193">
        <v>0</v>
      </c>
      <c r="W708" s="193">
        <v>0</v>
      </c>
      <c r="X708" s="193">
        <v>0</v>
      </c>
      <c r="Y708" s="194">
        <v>80</v>
      </c>
      <c r="Z708" s="193" t="s">
        <v>1498</v>
      </c>
      <c r="AA708" s="193" t="s">
        <v>1499</v>
      </c>
      <c r="AB708" s="193">
        <v>80</v>
      </c>
      <c r="AC708" s="193" t="s">
        <v>1500</v>
      </c>
      <c r="AD708" s="193" t="s">
        <v>136</v>
      </c>
      <c r="AE708" s="193">
        <v>80</v>
      </c>
      <c r="AF708" s="193" t="s">
        <v>518</v>
      </c>
      <c r="AG708" s="193" t="s">
        <v>519</v>
      </c>
      <c r="AH708" s="193">
        <v>0</v>
      </c>
      <c r="AI708" s="193">
        <v>80</v>
      </c>
      <c r="AJ708" s="193" t="s">
        <v>1724</v>
      </c>
      <c r="AL708" s="197" t="s">
        <v>2586</v>
      </c>
      <c r="AM708" s="193">
        <v>1</v>
      </c>
      <c r="AN708" s="193">
        <v>0</v>
      </c>
      <c r="AO708" s="193">
        <v>0</v>
      </c>
      <c r="AP708" s="193">
        <v>0</v>
      </c>
      <c r="AQ708" s="193" t="s">
        <v>214</v>
      </c>
      <c r="AS708" s="197" t="s">
        <v>518</v>
      </c>
      <c r="AT708" s="197" t="s">
        <v>519</v>
      </c>
      <c r="AV708" s="194">
        <v>80</v>
      </c>
      <c r="AW708" s="194">
        <v>0</v>
      </c>
      <c r="AX708" s="194">
        <v>0</v>
      </c>
      <c r="AY708" s="549">
        <v>80</v>
      </c>
      <c r="AZ708" s="194">
        <v>0</v>
      </c>
      <c r="BA708" s="194">
        <v>0</v>
      </c>
      <c r="BB708" s="551">
        <v>0</v>
      </c>
      <c r="BC708" s="551">
        <v>80</v>
      </c>
      <c r="BD708" s="551">
        <v>0</v>
      </c>
      <c r="BF708" s="550">
        <f t="shared" si="132"/>
        <v>80</v>
      </c>
      <c r="BG708" s="550">
        <f t="shared" si="133"/>
        <v>0</v>
      </c>
      <c r="BH708" s="550">
        <f t="shared" si="134"/>
        <v>0</v>
      </c>
      <c r="BI708" s="550">
        <f t="shared" si="135"/>
        <v>80</v>
      </c>
      <c r="BJ708" s="550">
        <f t="shared" si="136"/>
        <v>0</v>
      </c>
      <c r="BK708" s="550">
        <f t="shared" si="137"/>
        <v>0</v>
      </c>
      <c r="BL708" s="550">
        <f t="shared" si="138"/>
        <v>0</v>
      </c>
      <c r="BM708" s="550">
        <f t="shared" si="139"/>
        <v>80</v>
      </c>
      <c r="BO708" s="194"/>
      <c r="BQ708" s="193">
        <f t="shared" si="140"/>
        <v>0</v>
      </c>
      <c r="BR708" s="193">
        <f t="shared" si="141"/>
        <v>0</v>
      </c>
    </row>
    <row r="709" spans="1:70" ht="13.5" customHeight="1">
      <c r="A709" s="193" t="s">
        <v>378</v>
      </c>
      <c r="B709" s="193" t="s">
        <v>379</v>
      </c>
      <c r="C709" s="193" t="s">
        <v>214</v>
      </c>
      <c r="D709" s="193" t="s">
        <v>490</v>
      </c>
      <c r="E709" s="193" t="s">
        <v>491</v>
      </c>
      <c r="F709" s="193" t="s">
        <v>933</v>
      </c>
      <c r="G709" s="193" t="s">
        <v>933</v>
      </c>
      <c r="H709" s="193" t="s">
        <v>2587</v>
      </c>
      <c r="I709" s="193" t="s">
        <v>384</v>
      </c>
      <c r="J709" s="193" t="s">
        <v>2588</v>
      </c>
      <c r="K709" s="193" t="s">
        <v>386</v>
      </c>
      <c r="L709" s="193" t="s">
        <v>387</v>
      </c>
      <c r="M709" s="193" t="s">
        <v>378</v>
      </c>
      <c r="N709" s="193" t="s">
        <v>1497</v>
      </c>
      <c r="O709" s="193" t="s">
        <v>129</v>
      </c>
      <c r="P709" s="193" t="s">
        <v>138</v>
      </c>
      <c r="Q709" s="193" t="s">
        <v>137</v>
      </c>
      <c r="R709" s="193" t="s">
        <v>136</v>
      </c>
      <c r="S709" s="193" t="s">
        <v>214</v>
      </c>
      <c r="T709" s="193" t="s">
        <v>389</v>
      </c>
      <c r="U709" s="193" t="s">
        <v>390</v>
      </c>
      <c r="V709" s="193">
        <v>0</v>
      </c>
      <c r="W709" s="193">
        <v>0</v>
      </c>
      <c r="X709" s="193">
        <v>0</v>
      </c>
      <c r="Y709" s="194">
        <v>10927</v>
      </c>
      <c r="Z709" s="193" t="s">
        <v>1498</v>
      </c>
      <c r="AA709" s="193" t="s">
        <v>1499</v>
      </c>
      <c r="AB709" s="193">
        <v>10927</v>
      </c>
      <c r="AC709" s="193" t="s">
        <v>1500</v>
      </c>
      <c r="AD709" s="193" t="s">
        <v>136</v>
      </c>
      <c r="AE709" s="193">
        <v>10927</v>
      </c>
      <c r="AF709" s="193" t="s">
        <v>518</v>
      </c>
      <c r="AG709" s="193" t="s">
        <v>519</v>
      </c>
      <c r="AH709" s="193">
        <v>0</v>
      </c>
      <c r="AI709" s="193">
        <v>10927</v>
      </c>
      <c r="AJ709" s="193" t="s">
        <v>1811</v>
      </c>
      <c r="AL709" s="197" t="s">
        <v>2589</v>
      </c>
      <c r="AM709" s="193">
        <v>1</v>
      </c>
      <c r="AN709" s="193">
        <v>0</v>
      </c>
      <c r="AO709" s="193">
        <v>0</v>
      </c>
      <c r="AP709" s="193">
        <v>0</v>
      </c>
      <c r="AQ709" s="193" t="s">
        <v>214</v>
      </c>
      <c r="AS709" s="197" t="s">
        <v>518</v>
      </c>
      <c r="AT709" s="197" t="s">
        <v>519</v>
      </c>
      <c r="AV709" s="194">
        <v>10927</v>
      </c>
      <c r="AW709" s="194">
        <v>0</v>
      </c>
      <c r="AX709" s="194">
        <v>0</v>
      </c>
      <c r="AY709" s="549">
        <v>10927</v>
      </c>
      <c r="AZ709" s="194">
        <v>0</v>
      </c>
      <c r="BA709" s="194">
        <v>0</v>
      </c>
      <c r="BB709" s="551">
        <v>0</v>
      </c>
      <c r="BC709" s="551">
        <v>10927</v>
      </c>
      <c r="BD709" s="551">
        <v>0</v>
      </c>
      <c r="BF709" s="550">
        <f t="shared" si="132"/>
        <v>10927</v>
      </c>
      <c r="BG709" s="550">
        <f t="shared" si="133"/>
        <v>0</v>
      </c>
      <c r="BH709" s="550">
        <f t="shared" si="134"/>
        <v>0</v>
      </c>
      <c r="BI709" s="550">
        <f t="shared" si="135"/>
        <v>10927</v>
      </c>
      <c r="BJ709" s="550">
        <f t="shared" si="136"/>
        <v>0</v>
      </c>
      <c r="BK709" s="550">
        <f t="shared" si="137"/>
        <v>0</v>
      </c>
      <c r="BL709" s="550">
        <f t="shared" si="138"/>
        <v>0</v>
      </c>
      <c r="BM709" s="550">
        <f t="shared" si="139"/>
        <v>10927</v>
      </c>
      <c r="BO709" s="194"/>
      <c r="BQ709" s="193">
        <f t="shared" si="140"/>
        <v>0</v>
      </c>
      <c r="BR709" s="193">
        <f t="shared" si="141"/>
        <v>0</v>
      </c>
    </row>
    <row r="710" spans="1:70" ht="13.5" customHeight="1">
      <c r="A710" s="193" t="s">
        <v>378</v>
      </c>
      <c r="B710" s="193" t="s">
        <v>379</v>
      </c>
      <c r="C710" s="193" t="s">
        <v>214</v>
      </c>
      <c r="D710" s="193" t="s">
        <v>490</v>
      </c>
      <c r="E710" s="193" t="s">
        <v>491</v>
      </c>
      <c r="F710" s="193" t="s">
        <v>933</v>
      </c>
      <c r="G710" s="193" t="s">
        <v>933</v>
      </c>
      <c r="H710" s="193" t="s">
        <v>2590</v>
      </c>
      <c r="I710" s="193" t="s">
        <v>384</v>
      </c>
      <c r="J710" s="193" t="s">
        <v>2591</v>
      </c>
      <c r="K710" s="193" t="s">
        <v>386</v>
      </c>
      <c r="L710" s="193" t="s">
        <v>387</v>
      </c>
      <c r="M710" s="193" t="s">
        <v>378</v>
      </c>
      <c r="N710" s="193" t="s">
        <v>1497</v>
      </c>
      <c r="O710" s="193" t="s">
        <v>129</v>
      </c>
      <c r="P710" s="193" t="s">
        <v>138</v>
      </c>
      <c r="Q710" s="193" t="s">
        <v>137</v>
      </c>
      <c r="R710" s="193" t="s">
        <v>136</v>
      </c>
      <c r="S710" s="193" t="s">
        <v>214</v>
      </c>
      <c r="T710" s="193" t="s">
        <v>389</v>
      </c>
      <c r="U710" s="193" t="s">
        <v>390</v>
      </c>
      <c r="V710" s="193">
        <v>0</v>
      </c>
      <c r="W710" s="193">
        <v>0</v>
      </c>
      <c r="X710" s="193">
        <v>0</v>
      </c>
      <c r="Y710" s="194">
        <v>2722</v>
      </c>
      <c r="Z710" s="193" t="s">
        <v>1498</v>
      </c>
      <c r="AA710" s="193" t="s">
        <v>1499</v>
      </c>
      <c r="AB710" s="193">
        <v>2722</v>
      </c>
      <c r="AC710" s="193" t="s">
        <v>1500</v>
      </c>
      <c r="AD710" s="193" t="s">
        <v>136</v>
      </c>
      <c r="AE710" s="193">
        <v>2722</v>
      </c>
      <c r="AF710" s="193" t="s">
        <v>518</v>
      </c>
      <c r="AG710" s="193" t="s">
        <v>519</v>
      </c>
      <c r="AH710" s="193">
        <v>0</v>
      </c>
      <c r="AI710" s="193">
        <v>2722</v>
      </c>
      <c r="AJ710" s="193" t="s">
        <v>2592</v>
      </c>
      <c r="AL710" s="197" t="s">
        <v>2593</v>
      </c>
      <c r="AM710" s="193">
        <v>1</v>
      </c>
      <c r="AN710" s="193">
        <v>0</v>
      </c>
      <c r="AO710" s="193">
        <v>0</v>
      </c>
      <c r="AP710" s="193">
        <v>0</v>
      </c>
      <c r="AQ710" s="193" t="s">
        <v>214</v>
      </c>
      <c r="AS710" s="197" t="s">
        <v>518</v>
      </c>
      <c r="AT710" s="197" t="s">
        <v>519</v>
      </c>
      <c r="AV710" s="194">
        <v>2722</v>
      </c>
      <c r="AW710" s="194">
        <v>0</v>
      </c>
      <c r="AX710" s="194">
        <v>0</v>
      </c>
      <c r="AY710" s="549">
        <v>2722</v>
      </c>
      <c r="AZ710" s="194">
        <v>0</v>
      </c>
      <c r="BA710" s="194">
        <v>0</v>
      </c>
      <c r="BB710" s="551">
        <v>0</v>
      </c>
      <c r="BC710" s="551">
        <v>2722</v>
      </c>
      <c r="BD710" s="551">
        <v>0</v>
      </c>
      <c r="BF710" s="550">
        <f t="shared" si="132"/>
        <v>2722</v>
      </c>
      <c r="BG710" s="550">
        <f t="shared" si="133"/>
        <v>0</v>
      </c>
      <c r="BH710" s="550">
        <f t="shared" si="134"/>
        <v>0</v>
      </c>
      <c r="BI710" s="550">
        <f t="shared" si="135"/>
        <v>2722</v>
      </c>
      <c r="BJ710" s="550">
        <f t="shared" si="136"/>
        <v>0</v>
      </c>
      <c r="BK710" s="550">
        <f t="shared" si="137"/>
        <v>0</v>
      </c>
      <c r="BL710" s="550">
        <f t="shared" si="138"/>
        <v>0</v>
      </c>
      <c r="BM710" s="550">
        <f t="shared" si="139"/>
        <v>2722</v>
      </c>
      <c r="BO710" s="194"/>
      <c r="BQ710" s="193">
        <f t="shared" si="140"/>
        <v>0</v>
      </c>
      <c r="BR710" s="193">
        <f t="shared" si="141"/>
        <v>0</v>
      </c>
    </row>
    <row r="711" spans="1:70" ht="13.5" customHeight="1">
      <c r="A711" s="193" t="s">
        <v>378</v>
      </c>
      <c r="B711" s="193" t="s">
        <v>379</v>
      </c>
      <c r="C711" s="193" t="s">
        <v>214</v>
      </c>
      <c r="D711" s="193" t="s">
        <v>490</v>
      </c>
      <c r="E711" s="193" t="s">
        <v>491</v>
      </c>
      <c r="F711" s="193" t="s">
        <v>601</v>
      </c>
      <c r="G711" s="193" t="s">
        <v>601</v>
      </c>
      <c r="H711" s="193" t="s">
        <v>2594</v>
      </c>
      <c r="I711" s="193" t="s">
        <v>384</v>
      </c>
      <c r="J711" s="193" t="s">
        <v>2595</v>
      </c>
      <c r="K711" s="193" t="s">
        <v>386</v>
      </c>
      <c r="L711" s="193" t="s">
        <v>387</v>
      </c>
      <c r="M711" s="193" t="s">
        <v>378</v>
      </c>
      <c r="N711" s="193" t="s">
        <v>1497</v>
      </c>
      <c r="O711" s="193" t="s">
        <v>129</v>
      </c>
      <c r="P711" s="193" t="s">
        <v>138</v>
      </c>
      <c r="Q711" s="193" t="s">
        <v>137</v>
      </c>
      <c r="R711" s="193" t="s">
        <v>136</v>
      </c>
      <c r="S711" s="193" t="s">
        <v>214</v>
      </c>
      <c r="T711" s="193" t="s">
        <v>389</v>
      </c>
      <c r="U711" s="193" t="s">
        <v>390</v>
      </c>
      <c r="V711" s="193">
        <v>0</v>
      </c>
      <c r="W711" s="193">
        <v>0</v>
      </c>
      <c r="X711" s="193">
        <v>0</v>
      </c>
      <c r="Y711" s="194">
        <v>500</v>
      </c>
      <c r="Z711" s="193" t="s">
        <v>1498</v>
      </c>
      <c r="AA711" s="193" t="s">
        <v>1499</v>
      </c>
      <c r="AB711" s="193">
        <v>500</v>
      </c>
      <c r="AC711" s="193" t="s">
        <v>1500</v>
      </c>
      <c r="AD711" s="193" t="s">
        <v>136</v>
      </c>
      <c r="AE711" s="193">
        <v>500</v>
      </c>
      <c r="AF711" s="193" t="s">
        <v>518</v>
      </c>
      <c r="AG711" s="193" t="s">
        <v>519</v>
      </c>
      <c r="AH711" s="193">
        <v>0</v>
      </c>
      <c r="AI711" s="193">
        <v>500</v>
      </c>
      <c r="AJ711" s="193" t="s">
        <v>1724</v>
      </c>
      <c r="AL711" s="197" t="s">
        <v>2596</v>
      </c>
      <c r="AM711" s="193">
        <v>1</v>
      </c>
      <c r="AN711" s="193">
        <v>0</v>
      </c>
      <c r="AO711" s="193">
        <v>0</v>
      </c>
      <c r="AP711" s="193">
        <v>0</v>
      </c>
      <c r="AQ711" s="193" t="s">
        <v>214</v>
      </c>
      <c r="AS711" s="197" t="s">
        <v>518</v>
      </c>
      <c r="AT711" s="197" t="s">
        <v>519</v>
      </c>
      <c r="AV711" s="194">
        <v>500</v>
      </c>
      <c r="AW711" s="194">
        <v>0</v>
      </c>
      <c r="AX711" s="194">
        <v>0</v>
      </c>
      <c r="AY711" s="549">
        <v>500</v>
      </c>
      <c r="AZ711" s="194">
        <v>0</v>
      </c>
      <c r="BA711" s="194">
        <v>0</v>
      </c>
      <c r="BB711" s="551">
        <v>0</v>
      </c>
      <c r="BC711" s="551">
        <v>500</v>
      </c>
      <c r="BD711" s="551">
        <v>0</v>
      </c>
      <c r="BF711" s="550">
        <f t="shared" ref="BF711:BF774" si="142">+IFERROR(ROUND(AV711*100/(100+$AT711),0),AV711)</f>
        <v>500</v>
      </c>
      <c r="BG711" s="550">
        <f t="shared" ref="BG711:BG774" si="143">+IFERROR(ROUND(AW711*100/(100+$AT711),0),AW711)</f>
        <v>0</v>
      </c>
      <c r="BH711" s="550">
        <f t="shared" ref="BH711:BH774" si="144">+IFERROR(ROUND(AX711*100/(100+$AT711),0),AX711)</f>
        <v>0</v>
      </c>
      <c r="BI711" s="550">
        <f t="shared" ref="BI711:BI774" si="145">SUM(BF711:BH711)</f>
        <v>500</v>
      </c>
      <c r="BJ711" s="550">
        <f t="shared" ref="BJ711:BJ774" si="146">+IFERROR(ROUND(AZ711*100/(100+$AT711),0),AZ711)</f>
        <v>0</v>
      </c>
      <c r="BK711" s="550">
        <f t="shared" ref="BK711:BK774" si="147">+IFERROR(ROUND(BA711*100/(100+$AT711),0),BA711)</f>
        <v>0</v>
      </c>
      <c r="BL711" s="550">
        <f t="shared" ref="BL711:BL774" si="148">SUM(BJ711:BK711)</f>
        <v>0</v>
      </c>
      <c r="BM711" s="550">
        <f t="shared" ref="BM711:BM774" si="149">+BI711+BL711</f>
        <v>500</v>
      </c>
      <c r="BO711" s="194"/>
      <c r="BQ711" s="193">
        <f t="shared" ref="BQ711:BQ774" si="150">AY711*100/(100+$AT711)-BI711</f>
        <v>0</v>
      </c>
      <c r="BR711" s="193">
        <f t="shared" ref="BR711:BR774" si="151">BB711*100/(100+$AT711)-BL711</f>
        <v>0</v>
      </c>
    </row>
    <row r="712" spans="1:70" ht="13.5" customHeight="1">
      <c r="A712" s="193" t="s">
        <v>378</v>
      </c>
      <c r="B712" s="193" t="s">
        <v>379</v>
      </c>
      <c r="C712" s="193" t="s">
        <v>214</v>
      </c>
      <c r="D712" s="193" t="s">
        <v>490</v>
      </c>
      <c r="E712" s="193" t="s">
        <v>491</v>
      </c>
      <c r="F712" s="193" t="s">
        <v>601</v>
      </c>
      <c r="G712" s="193" t="s">
        <v>601</v>
      </c>
      <c r="H712" s="193" t="s">
        <v>2597</v>
      </c>
      <c r="I712" s="193" t="s">
        <v>384</v>
      </c>
      <c r="J712" s="193" t="s">
        <v>2598</v>
      </c>
      <c r="K712" s="193" t="s">
        <v>386</v>
      </c>
      <c r="L712" s="193" t="s">
        <v>387</v>
      </c>
      <c r="M712" s="193" t="s">
        <v>378</v>
      </c>
      <c r="N712" s="193" t="s">
        <v>1497</v>
      </c>
      <c r="O712" s="193" t="s">
        <v>129</v>
      </c>
      <c r="P712" s="193" t="s">
        <v>138</v>
      </c>
      <c r="Q712" s="193" t="s">
        <v>137</v>
      </c>
      <c r="R712" s="193" t="s">
        <v>136</v>
      </c>
      <c r="S712" s="193" t="s">
        <v>214</v>
      </c>
      <c r="T712" s="193" t="s">
        <v>389</v>
      </c>
      <c r="U712" s="193" t="s">
        <v>390</v>
      </c>
      <c r="V712" s="193">
        <v>0</v>
      </c>
      <c r="W712" s="193">
        <v>0</v>
      </c>
      <c r="X712" s="193">
        <v>0</v>
      </c>
      <c r="Y712" s="194">
        <v>1640</v>
      </c>
      <c r="Z712" s="193" t="s">
        <v>1498</v>
      </c>
      <c r="AA712" s="193" t="s">
        <v>1499</v>
      </c>
      <c r="AB712" s="193">
        <v>1640</v>
      </c>
      <c r="AC712" s="193" t="s">
        <v>1500</v>
      </c>
      <c r="AD712" s="193" t="s">
        <v>136</v>
      </c>
      <c r="AE712" s="193">
        <v>1640</v>
      </c>
      <c r="AF712" s="193" t="s">
        <v>518</v>
      </c>
      <c r="AG712" s="193" t="s">
        <v>519</v>
      </c>
      <c r="AH712" s="193">
        <v>0</v>
      </c>
      <c r="AI712" s="193">
        <v>1640</v>
      </c>
      <c r="AJ712" s="193" t="s">
        <v>2592</v>
      </c>
      <c r="AL712" s="197" t="s">
        <v>2599</v>
      </c>
      <c r="AM712" s="193">
        <v>1</v>
      </c>
      <c r="AN712" s="193">
        <v>0</v>
      </c>
      <c r="AO712" s="193">
        <v>0</v>
      </c>
      <c r="AP712" s="193">
        <v>0</v>
      </c>
      <c r="AQ712" s="193" t="s">
        <v>214</v>
      </c>
      <c r="AS712" s="197" t="s">
        <v>518</v>
      </c>
      <c r="AT712" s="197" t="s">
        <v>519</v>
      </c>
      <c r="AV712" s="194">
        <v>1640</v>
      </c>
      <c r="AW712" s="194">
        <v>0</v>
      </c>
      <c r="AX712" s="194">
        <v>0</v>
      </c>
      <c r="AY712" s="549">
        <v>1640</v>
      </c>
      <c r="AZ712" s="194">
        <v>0</v>
      </c>
      <c r="BA712" s="194">
        <v>0</v>
      </c>
      <c r="BB712" s="551">
        <v>0</v>
      </c>
      <c r="BC712" s="551">
        <v>1640</v>
      </c>
      <c r="BD712" s="551">
        <v>0</v>
      </c>
      <c r="BF712" s="550">
        <f t="shared" si="142"/>
        <v>1640</v>
      </c>
      <c r="BG712" s="550">
        <f t="shared" si="143"/>
        <v>0</v>
      </c>
      <c r="BH712" s="550">
        <f t="shared" si="144"/>
        <v>0</v>
      </c>
      <c r="BI712" s="550">
        <f t="shared" si="145"/>
        <v>1640</v>
      </c>
      <c r="BJ712" s="550">
        <f t="shared" si="146"/>
        <v>0</v>
      </c>
      <c r="BK712" s="550">
        <f t="shared" si="147"/>
        <v>0</v>
      </c>
      <c r="BL712" s="550">
        <f t="shared" si="148"/>
        <v>0</v>
      </c>
      <c r="BM712" s="550">
        <f t="shared" si="149"/>
        <v>1640</v>
      </c>
      <c r="BO712" s="194"/>
      <c r="BQ712" s="193">
        <f t="shared" si="150"/>
        <v>0</v>
      </c>
      <c r="BR712" s="193">
        <f t="shared" si="151"/>
        <v>0</v>
      </c>
    </row>
    <row r="713" spans="1:70" ht="13.5" customHeight="1">
      <c r="A713" s="193" t="s">
        <v>378</v>
      </c>
      <c r="B713" s="193" t="s">
        <v>379</v>
      </c>
      <c r="C713" s="193" t="s">
        <v>214</v>
      </c>
      <c r="D713" s="193" t="s">
        <v>1631</v>
      </c>
      <c r="E713" s="193" t="s">
        <v>1632</v>
      </c>
      <c r="F713" s="193" t="s">
        <v>749</v>
      </c>
      <c r="G713" s="193" t="s">
        <v>749</v>
      </c>
      <c r="H713" s="193" t="s">
        <v>2600</v>
      </c>
      <c r="I713" s="193" t="s">
        <v>384</v>
      </c>
      <c r="J713" s="193" t="s">
        <v>2601</v>
      </c>
      <c r="K713" s="193" t="s">
        <v>386</v>
      </c>
      <c r="L713" s="193" t="s">
        <v>387</v>
      </c>
      <c r="M713" s="193" t="s">
        <v>378</v>
      </c>
      <c r="N713" s="193" t="s">
        <v>1497</v>
      </c>
      <c r="O713" s="193" t="s">
        <v>129</v>
      </c>
      <c r="P713" s="193" t="s">
        <v>138</v>
      </c>
      <c r="Q713" s="193" t="s">
        <v>137</v>
      </c>
      <c r="R713" s="193" t="s">
        <v>136</v>
      </c>
      <c r="S713" s="193" t="s">
        <v>214</v>
      </c>
      <c r="T713" s="193" t="s">
        <v>389</v>
      </c>
      <c r="U713" s="193" t="s">
        <v>390</v>
      </c>
      <c r="V713" s="193">
        <v>0</v>
      </c>
      <c r="W713" s="193">
        <v>0</v>
      </c>
      <c r="X713" s="193">
        <v>0</v>
      </c>
      <c r="Y713" s="194">
        <v>2868</v>
      </c>
      <c r="Z713" s="193" t="s">
        <v>1498</v>
      </c>
      <c r="AA713" s="193" t="s">
        <v>1499</v>
      </c>
      <c r="AB713" s="193">
        <v>2868</v>
      </c>
      <c r="AC713" s="193" t="s">
        <v>1500</v>
      </c>
      <c r="AD713" s="193" t="s">
        <v>136</v>
      </c>
      <c r="AE713" s="193">
        <v>2868</v>
      </c>
      <c r="AF713" s="193" t="s">
        <v>518</v>
      </c>
      <c r="AG713" s="193" t="s">
        <v>519</v>
      </c>
      <c r="AH713" s="193">
        <v>0</v>
      </c>
      <c r="AI713" s="193">
        <v>2868</v>
      </c>
      <c r="AJ713" s="193" t="s">
        <v>2592</v>
      </c>
      <c r="AL713" s="197" t="s">
        <v>2602</v>
      </c>
      <c r="AM713" s="193">
        <v>1</v>
      </c>
      <c r="AN713" s="193">
        <v>0</v>
      </c>
      <c r="AO713" s="193">
        <v>0</v>
      </c>
      <c r="AP713" s="193">
        <v>0</v>
      </c>
      <c r="AQ713" s="193" t="s">
        <v>214</v>
      </c>
      <c r="AS713" s="197" t="s">
        <v>518</v>
      </c>
      <c r="AT713" s="197" t="s">
        <v>519</v>
      </c>
      <c r="AV713" s="194">
        <v>574</v>
      </c>
      <c r="AW713" s="194">
        <v>0</v>
      </c>
      <c r="AX713" s="194">
        <v>0</v>
      </c>
      <c r="AY713" s="549">
        <v>574</v>
      </c>
      <c r="AZ713" s="194">
        <v>0</v>
      </c>
      <c r="BA713" s="194">
        <v>2294</v>
      </c>
      <c r="BB713" s="551">
        <v>2294</v>
      </c>
      <c r="BC713" s="551">
        <v>2868</v>
      </c>
      <c r="BD713" s="551">
        <v>0</v>
      </c>
      <c r="BF713" s="550">
        <f t="shared" si="142"/>
        <v>574</v>
      </c>
      <c r="BG713" s="550">
        <f t="shared" si="143"/>
        <v>0</v>
      </c>
      <c r="BH713" s="550">
        <f t="shared" si="144"/>
        <v>0</v>
      </c>
      <c r="BI713" s="550">
        <f t="shared" si="145"/>
        <v>574</v>
      </c>
      <c r="BJ713" s="550">
        <f t="shared" si="146"/>
        <v>0</v>
      </c>
      <c r="BK713" s="550">
        <f t="shared" si="147"/>
        <v>2294</v>
      </c>
      <c r="BL713" s="550">
        <f t="shared" si="148"/>
        <v>2294</v>
      </c>
      <c r="BM713" s="550">
        <f t="shared" si="149"/>
        <v>2868</v>
      </c>
      <c r="BO713" s="194"/>
      <c r="BQ713" s="193">
        <f t="shared" si="150"/>
        <v>0</v>
      </c>
      <c r="BR713" s="193">
        <f t="shared" si="151"/>
        <v>0</v>
      </c>
    </row>
    <row r="714" spans="1:70" ht="13.5" customHeight="1">
      <c r="A714" s="193" t="s">
        <v>378</v>
      </c>
      <c r="B714" s="193" t="s">
        <v>379</v>
      </c>
      <c r="C714" s="193" t="s">
        <v>214</v>
      </c>
      <c r="D714" s="193" t="s">
        <v>542</v>
      </c>
      <c r="E714" s="193" t="s">
        <v>543</v>
      </c>
      <c r="F714" s="193" t="s">
        <v>1313</v>
      </c>
      <c r="G714" s="193" t="s">
        <v>1313</v>
      </c>
      <c r="H714" s="193" t="s">
        <v>2603</v>
      </c>
      <c r="I714" s="193" t="s">
        <v>384</v>
      </c>
      <c r="J714" s="193" t="s">
        <v>2604</v>
      </c>
      <c r="K714" s="193" t="s">
        <v>386</v>
      </c>
      <c r="L714" s="193" t="s">
        <v>387</v>
      </c>
      <c r="M714" s="193" t="s">
        <v>378</v>
      </c>
      <c r="N714" s="193" t="s">
        <v>1497</v>
      </c>
      <c r="O714" s="193" t="s">
        <v>129</v>
      </c>
      <c r="P714" s="193" t="s">
        <v>138</v>
      </c>
      <c r="Q714" s="193" t="s">
        <v>137</v>
      </c>
      <c r="R714" s="193" t="s">
        <v>136</v>
      </c>
      <c r="S714" s="193" t="s">
        <v>214</v>
      </c>
      <c r="T714" s="193" t="s">
        <v>389</v>
      </c>
      <c r="U714" s="193" t="s">
        <v>390</v>
      </c>
      <c r="V714" s="193">
        <v>0</v>
      </c>
      <c r="W714" s="193">
        <v>0</v>
      </c>
      <c r="X714" s="193">
        <v>0</v>
      </c>
      <c r="Y714" s="194">
        <v>41932</v>
      </c>
      <c r="Z714" s="193" t="s">
        <v>1498</v>
      </c>
      <c r="AA714" s="193" t="s">
        <v>1499</v>
      </c>
      <c r="AB714" s="193">
        <v>41932</v>
      </c>
      <c r="AC714" s="193" t="s">
        <v>1500</v>
      </c>
      <c r="AD714" s="193" t="s">
        <v>136</v>
      </c>
      <c r="AE714" s="193">
        <v>41932</v>
      </c>
      <c r="AF714" s="193" t="s">
        <v>1657</v>
      </c>
      <c r="AG714" s="193" t="s">
        <v>519</v>
      </c>
      <c r="AH714" s="193">
        <v>0</v>
      </c>
      <c r="AI714" s="193">
        <v>41932</v>
      </c>
      <c r="AJ714" s="193" t="s">
        <v>1724</v>
      </c>
      <c r="AL714" s="197" t="s">
        <v>2605</v>
      </c>
      <c r="AM714" s="193">
        <v>2</v>
      </c>
      <c r="AN714" s="193">
        <v>21</v>
      </c>
      <c r="AO714" s="193">
        <v>0</v>
      </c>
      <c r="AP714" s="193">
        <v>0</v>
      </c>
      <c r="AQ714" s="193" t="s">
        <v>214</v>
      </c>
      <c r="AS714" s="197">
        <v>21</v>
      </c>
      <c r="AT714" s="197">
        <v>0</v>
      </c>
      <c r="AV714" s="194">
        <v>41932</v>
      </c>
      <c r="AW714" s="194">
        <v>0</v>
      </c>
      <c r="AX714" s="194">
        <v>0</v>
      </c>
      <c r="AY714" s="549">
        <v>41932</v>
      </c>
      <c r="AZ714" s="194">
        <v>0</v>
      </c>
      <c r="BA714" s="194">
        <v>0</v>
      </c>
      <c r="BB714" s="551">
        <v>0</v>
      </c>
      <c r="BC714" s="551">
        <v>41932</v>
      </c>
      <c r="BD714" s="551">
        <v>0</v>
      </c>
      <c r="BF714" s="550">
        <f t="shared" si="142"/>
        <v>41932</v>
      </c>
      <c r="BG714" s="550">
        <f t="shared" si="143"/>
        <v>0</v>
      </c>
      <c r="BH714" s="550">
        <f t="shared" si="144"/>
        <v>0</v>
      </c>
      <c r="BI714" s="550">
        <f t="shared" si="145"/>
        <v>41932</v>
      </c>
      <c r="BJ714" s="550">
        <f t="shared" si="146"/>
        <v>0</v>
      </c>
      <c r="BK714" s="550">
        <f t="shared" si="147"/>
        <v>0</v>
      </c>
      <c r="BL714" s="550">
        <f t="shared" si="148"/>
        <v>0</v>
      </c>
      <c r="BM714" s="550">
        <f t="shared" si="149"/>
        <v>41932</v>
      </c>
      <c r="BO714" s="194"/>
      <c r="BQ714" s="193">
        <f t="shared" si="150"/>
        <v>0</v>
      </c>
      <c r="BR714" s="193">
        <f t="shared" si="151"/>
        <v>0</v>
      </c>
    </row>
    <row r="715" spans="1:70" ht="13.5" customHeight="1">
      <c r="A715" s="193" t="s">
        <v>378</v>
      </c>
      <c r="B715" s="193" t="s">
        <v>379</v>
      </c>
      <c r="C715" s="193" t="s">
        <v>214</v>
      </c>
      <c r="D715" s="193" t="s">
        <v>542</v>
      </c>
      <c r="E715" s="193" t="s">
        <v>543</v>
      </c>
      <c r="F715" s="193" t="s">
        <v>1313</v>
      </c>
      <c r="G715" s="193" t="s">
        <v>1313</v>
      </c>
      <c r="H715" s="193" t="s">
        <v>2606</v>
      </c>
      <c r="I715" s="193" t="s">
        <v>384</v>
      </c>
      <c r="J715" s="193" t="s">
        <v>2607</v>
      </c>
      <c r="K715" s="193" t="s">
        <v>386</v>
      </c>
      <c r="L715" s="193" t="s">
        <v>387</v>
      </c>
      <c r="M715" s="193" t="s">
        <v>378</v>
      </c>
      <c r="N715" s="193" t="s">
        <v>1497</v>
      </c>
      <c r="O715" s="193" t="s">
        <v>129</v>
      </c>
      <c r="P715" s="193" t="s">
        <v>138</v>
      </c>
      <c r="Q715" s="193" t="s">
        <v>137</v>
      </c>
      <c r="R715" s="193" t="s">
        <v>136</v>
      </c>
      <c r="S715" s="193" t="s">
        <v>214</v>
      </c>
      <c r="T715" s="193" t="s">
        <v>389</v>
      </c>
      <c r="U715" s="193" t="s">
        <v>390</v>
      </c>
      <c r="V715" s="193">
        <v>0</v>
      </c>
      <c r="W715" s="193">
        <v>0</v>
      </c>
      <c r="X715" s="193">
        <v>0</v>
      </c>
      <c r="Y715" s="194">
        <v>5912</v>
      </c>
      <c r="Z715" s="193" t="s">
        <v>1498</v>
      </c>
      <c r="AA715" s="193" t="s">
        <v>1499</v>
      </c>
      <c r="AB715" s="193">
        <v>5912</v>
      </c>
      <c r="AC715" s="193" t="s">
        <v>1500</v>
      </c>
      <c r="AD715" s="193" t="s">
        <v>136</v>
      </c>
      <c r="AE715" s="193">
        <v>5912</v>
      </c>
      <c r="AF715" s="193" t="s">
        <v>1657</v>
      </c>
      <c r="AG715" s="193" t="s">
        <v>519</v>
      </c>
      <c r="AH715" s="193">
        <v>0</v>
      </c>
      <c r="AI715" s="193">
        <v>5912</v>
      </c>
      <c r="AJ715" s="193" t="s">
        <v>2608</v>
      </c>
      <c r="AL715" s="197" t="s">
        <v>2609</v>
      </c>
      <c r="AM715" s="193">
        <v>2</v>
      </c>
      <c r="AN715" s="193">
        <v>21</v>
      </c>
      <c r="AO715" s="193">
        <v>0</v>
      </c>
      <c r="AP715" s="193">
        <v>0</v>
      </c>
      <c r="AQ715" s="193" t="s">
        <v>214</v>
      </c>
      <c r="AS715" s="197">
        <v>21</v>
      </c>
      <c r="AT715" s="197">
        <v>0</v>
      </c>
      <c r="AV715" s="194">
        <v>5912</v>
      </c>
      <c r="AW715" s="194">
        <v>0</v>
      </c>
      <c r="AX715" s="194">
        <v>0</v>
      </c>
      <c r="AY715" s="549">
        <v>5912</v>
      </c>
      <c r="AZ715" s="194">
        <v>0</v>
      </c>
      <c r="BA715" s="194">
        <v>0</v>
      </c>
      <c r="BB715" s="551">
        <v>0</v>
      </c>
      <c r="BC715" s="551">
        <v>5912</v>
      </c>
      <c r="BD715" s="551">
        <v>0</v>
      </c>
      <c r="BF715" s="550">
        <f t="shared" si="142"/>
        <v>5912</v>
      </c>
      <c r="BG715" s="550">
        <f t="shared" si="143"/>
        <v>0</v>
      </c>
      <c r="BH715" s="550">
        <f t="shared" si="144"/>
        <v>0</v>
      </c>
      <c r="BI715" s="550">
        <f t="shared" si="145"/>
        <v>5912</v>
      </c>
      <c r="BJ715" s="550">
        <f t="shared" si="146"/>
        <v>0</v>
      </c>
      <c r="BK715" s="550">
        <f t="shared" si="147"/>
        <v>0</v>
      </c>
      <c r="BL715" s="550">
        <f t="shared" si="148"/>
        <v>0</v>
      </c>
      <c r="BM715" s="550">
        <f t="shared" si="149"/>
        <v>5912</v>
      </c>
      <c r="BO715" s="194"/>
      <c r="BQ715" s="193">
        <f t="shared" si="150"/>
        <v>0</v>
      </c>
      <c r="BR715" s="193">
        <f t="shared" si="151"/>
        <v>0</v>
      </c>
    </row>
    <row r="716" spans="1:70" ht="13.5" customHeight="1">
      <c r="A716" s="193" t="s">
        <v>378</v>
      </c>
      <c r="B716" s="193" t="s">
        <v>379</v>
      </c>
      <c r="C716" s="193" t="s">
        <v>214</v>
      </c>
      <c r="D716" s="193" t="s">
        <v>542</v>
      </c>
      <c r="E716" s="193" t="s">
        <v>543</v>
      </c>
      <c r="F716" s="193" t="s">
        <v>1313</v>
      </c>
      <c r="G716" s="193" t="s">
        <v>1313</v>
      </c>
      <c r="H716" s="193" t="s">
        <v>2610</v>
      </c>
      <c r="I716" s="193" t="s">
        <v>384</v>
      </c>
      <c r="J716" s="193" t="s">
        <v>2611</v>
      </c>
      <c r="K716" s="193" t="s">
        <v>386</v>
      </c>
      <c r="L716" s="193" t="s">
        <v>387</v>
      </c>
      <c r="M716" s="193" t="s">
        <v>378</v>
      </c>
      <c r="N716" s="193" t="s">
        <v>1497</v>
      </c>
      <c r="O716" s="193" t="s">
        <v>129</v>
      </c>
      <c r="P716" s="193" t="s">
        <v>138</v>
      </c>
      <c r="Q716" s="193" t="s">
        <v>137</v>
      </c>
      <c r="R716" s="193" t="s">
        <v>136</v>
      </c>
      <c r="S716" s="193" t="s">
        <v>214</v>
      </c>
      <c r="T716" s="193" t="s">
        <v>389</v>
      </c>
      <c r="U716" s="193" t="s">
        <v>390</v>
      </c>
      <c r="V716" s="193">
        <v>0</v>
      </c>
      <c r="W716" s="193">
        <v>0</v>
      </c>
      <c r="X716" s="193">
        <v>0</v>
      </c>
      <c r="Y716" s="194">
        <v>239</v>
      </c>
      <c r="Z716" s="193" t="s">
        <v>1498</v>
      </c>
      <c r="AA716" s="193" t="s">
        <v>1499</v>
      </c>
      <c r="AB716" s="193">
        <v>239</v>
      </c>
      <c r="AC716" s="193" t="s">
        <v>1500</v>
      </c>
      <c r="AD716" s="193" t="s">
        <v>136</v>
      </c>
      <c r="AE716" s="193">
        <v>239</v>
      </c>
      <c r="AF716" s="193" t="s">
        <v>1657</v>
      </c>
      <c r="AG716" s="193" t="s">
        <v>519</v>
      </c>
      <c r="AH716" s="193">
        <v>0</v>
      </c>
      <c r="AI716" s="193">
        <v>239</v>
      </c>
      <c r="AJ716" s="193" t="s">
        <v>1724</v>
      </c>
      <c r="AL716" s="197" t="s">
        <v>2612</v>
      </c>
      <c r="AM716" s="193">
        <v>2</v>
      </c>
      <c r="AN716" s="193">
        <v>21</v>
      </c>
      <c r="AO716" s="193">
        <v>0</v>
      </c>
      <c r="AP716" s="193">
        <v>0</v>
      </c>
      <c r="AQ716" s="193" t="s">
        <v>214</v>
      </c>
      <c r="AS716" s="197">
        <v>21</v>
      </c>
      <c r="AT716" s="197">
        <v>0</v>
      </c>
      <c r="AV716" s="194">
        <v>239</v>
      </c>
      <c r="AW716" s="194">
        <v>0</v>
      </c>
      <c r="AX716" s="194">
        <v>0</v>
      </c>
      <c r="AY716" s="549">
        <v>239</v>
      </c>
      <c r="AZ716" s="194">
        <v>0</v>
      </c>
      <c r="BA716" s="194">
        <v>0</v>
      </c>
      <c r="BB716" s="551">
        <v>0</v>
      </c>
      <c r="BC716" s="551">
        <v>239</v>
      </c>
      <c r="BD716" s="551">
        <v>0</v>
      </c>
      <c r="BF716" s="550">
        <f t="shared" si="142"/>
        <v>239</v>
      </c>
      <c r="BG716" s="550">
        <f t="shared" si="143"/>
        <v>0</v>
      </c>
      <c r="BH716" s="550">
        <f t="shared" si="144"/>
        <v>0</v>
      </c>
      <c r="BI716" s="550">
        <f t="shared" si="145"/>
        <v>239</v>
      </c>
      <c r="BJ716" s="550">
        <f t="shared" si="146"/>
        <v>0</v>
      </c>
      <c r="BK716" s="550">
        <f t="shared" si="147"/>
        <v>0</v>
      </c>
      <c r="BL716" s="550">
        <f t="shared" si="148"/>
        <v>0</v>
      </c>
      <c r="BM716" s="550">
        <f t="shared" si="149"/>
        <v>239</v>
      </c>
      <c r="BO716" s="194"/>
      <c r="BQ716" s="193">
        <f t="shared" si="150"/>
        <v>0</v>
      </c>
      <c r="BR716" s="193">
        <f t="shared" si="151"/>
        <v>0</v>
      </c>
    </row>
    <row r="717" spans="1:70" ht="13.5" customHeight="1">
      <c r="A717" s="193" t="s">
        <v>378</v>
      </c>
      <c r="B717" s="193" t="s">
        <v>379</v>
      </c>
      <c r="C717" s="193" t="s">
        <v>214</v>
      </c>
      <c r="D717" s="193" t="s">
        <v>542</v>
      </c>
      <c r="E717" s="193" t="s">
        <v>543</v>
      </c>
      <c r="F717" s="193" t="s">
        <v>1313</v>
      </c>
      <c r="G717" s="193" t="s">
        <v>1313</v>
      </c>
      <c r="H717" s="193" t="s">
        <v>2613</v>
      </c>
      <c r="I717" s="193" t="s">
        <v>384</v>
      </c>
      <c r="J717" s="193" t="s">
        <v>2614</v>
      </c>
      <c r="K717" s="193" t="s">
        <v>386</v>
      </c>
      <c r="L717" s="193" t="s">
        <v>387</v>
      </c>
      <c r="M717" s="193" t="s">
        <v>378</v>
      </c>
      <c r="N717" s="193" t="s">
        <v>1497</v>
      </c>
      <c r="O717" s="193" t="s">
        <v>129</v>
      </c>
      <c r="P717" s="193" t="s">
        <v>138</v>
      </c>
      <c r="Q717" s="193" t="s">
        <v>137</v>
      </c>
      <c r="R717" s="193" t="s">
        <v>136</v>
      </c>
      <c r="S717" s="193" t="s">
        <v>214</v>
      </c>
      <c r="T717" s="193" t="s">
        <v>389</v>
      </c>
      <c r="U717" s="193" t="s">
        <v>390</v>
      </c>
      <c r="V717" s="193">
        <v>0</v>
      </c>
      <c r="W717" s="193">
        <v>0</v>
      </c>
      <c r="X717" s="193">
        <v>0</v>
      </c>
      <c r="Y717" s="194">
        <v>4770</v>
      </c>
      <c r="Z717" s="193" t="s">
        <v>1498</v>
      </c>
      <c r="AA717" s="193" t="s">
        <v>1499</v>
      </c>
      <c r="AB717" s="193">
        <v>4770</v>
      </c>
      <c r="AC717" s="193" t="s">
        <v>1500</v>
      </c>
      <c r="AD717" s="193" t="s">
        <v>136</v>
      </c>
      <c r="AE717" s="193">
        <v>4770</v>
      </c>
      <c r="AF717" s="193" t="s">
        <v>1657</v>
      </c>
      <c r="AG717" s="193" t="s">
        <v>519</v>
      </c>
      <c r="AH717" s="193">
        <v>0</v>
      </c>
      <c r="AI717" s="193">
        <v>4770</v>
      </c>
      <c r="AJ717" s="193" t="s">
        <v>1737</v>
      </c>
      <c r="AL717" s="197" t="s">
        <v>2615</v>
      </c>
      <c r="AM717" s="193">
        <v>2</v>
      </c>
      <c r="AN717" s="193">
        <v>21</v>
      </c>
      <c r="AO717" s="193">
        <v>0</v>
      </c>
      <c r="AP717" s="193">
        <v>0</v>
      </c>
      <c r="AQ717" s="193" t="s">
        <v>214</v>
      </c>
      <c r="AS717" s="197">
        <v>21</v>
      </c>
      <c r="AT717" s="197">
        <v>0</v>
      </c>
      <c r="AV717" s="194">
        <v>4770</v>
      </c>
      <c r="AW717" s="194">
        <v>0</v>
      </c>
      <c r="AX717" s="194">
        <v>0</v>
      </c>
      <c r="AY717" s="549">
        <v>4770</v>
      </c>
      <c r="AZ717" s="194">
        <v>0</v>
      </c>
      <c r="BA717" s="194">
        <v>0</v>
      </c>
      <c r="BB717" s="551">
        <v>0</v>
      </c>
      <c r="BC717" s="551">
        <v>4770</v>
      </c>
      <c r="BD717" s="551">
        <v>0</v>
      </c>
      <c r="BF717" s="550">
        <f t="shared" si="142"/>
        <v>4770</v>
      </c>
      <c r="BG717" s="550">
        <f t="shared" si="143"/>
        <v>0</v>
      </c>
      <c r="BH717" s="550">
        <f t="shared" si="144"/>
        <v>0</v>
      </c>
      <c r="BI717" s="550">
        <f t="shared" si="145"/>
        <v>4770</v>
      </c>
      <c r="BJ717" s="550">
        <f t="shared" si="146"/>
        <v>0</v>
      </c>
      <c r="BK717" s="550">
        <f t="shared" si="147"/>
        <v>0</v>
      </c>
      <c r="BL717" s="550">
        <f t="shared" si="148"/>
        <v>0</v>
      </c>
      <c r="BM717" s="550">
        <f t="shared" si="149"/>
        <v>4770</v>
      </c>
      <c r="BO717" s="194"/>
      <c r="BQ717" s="193">
        <f t="shared" si="150"/>
        <v>0</v>
      </c>
      <c r="BR717" s="193">
        <f t="shared" si="151"/>
        <v>0</v>
      </c>
    </row>
    <row r="718" spans="1:70" ht="13.5" customHeight="1">
      <c r="A718" s="193" t="s">
        <v>378</v>
      </c>
      <c r="B718" s="193" t="s">
        <v>379</v>
      </c>
      <c r="C718" s="193" t="s">
        <v>214</v>
      </c>
      <c r="D718" s="193" t="s">
        <v>542</v>
      </c>
      <c r="E718" s="193" t="s">
        <v>543</v>
      </c>
      <c r="F718" s="193" t="s">
        <v>1313</v>
      </c>
      <c r="G718" s="193" t="s">
        <v>1313</v>
      </c>
      <c r="H718" s="193" t="s">
        <v>2616</v>
      </c>
      <c r="I718" s="193" t="s">
        <v>384</v>
      </c>
      <c r="J718" s="193" t="s">
        <v>2617</v>
      </c>
      <c r="K718" s="193" t="s">
        <v>386</v>
      </c>
      <c r="L718" s="193" t="s">
        <v>387</v>
      </c>
      <c r="M718" s="193" t="s">
        <v>378</v>
      </c>
      <c r="N718" s="193" t="s">
        <v>1497</v>
      </c>
      <c r="O718" s="193" t="s">
        <v>129</v>
      </c>
      <c r="P718" s="193" t="s">
        <v>138</v>
      </c>
      <c r="Q718" s="193" t="s">
        <v>137</v>
      </c>
      <c r="R718" s="193" t="s">
        <v>136</v>
      </c>
      <c r="S718" s="193" t="s">
        <v>214</v>
      </c>
      <c r="T718" s="193" t="s">
        <v>389</v>
      </c>
      <c r="U718" s="193" t="s">
        <v>390</v>
      </c>
      <c r="V718" s="193">
        <v>0</v>
      </c>
      <c r="W718" s="193">
        <v>0</v>
      </c>
      <c r="X718" s="193">
        <v>0</v>
      </c>
      <c r="Y718" s="194">
        <v>286</v>
      </c>
      <c r="Z718" s="193" t="s">
        <v>1498</v>
      </c>
      <c r="AA718" s="193" t="s">
        <v>1499</v>
      </c>
      <c r="AB718" s="193">
        <v>286</v>
      </c>
      <c r="AC718" s="193" t="s">
        <v>1500</v>
      </c>
      <c r="AD718" s="193" t="s">
        <v>136</v>
      </c>
      <c r="AE718" s="193">
        <v>286</v>
      </c>
      <c r="AF718" s="193" t="s">
        <v>1657</v>
      </c>
      <c r="AG718" s="193" t="s">
        <v>519</v>
      </c>
      <c r="AH718" s="193">
        <v>0</v>
      </c>
      <c r="AI718" s="193">
        <v>286</v>
      </c>
      <c r="AJ718" s="193" t="s">
        <v>1737</v>
      </c>
      <c r="AL718" s="197" t="s">
        <v>2618</v>
      </c>
      <c r="AM718" s="193">
        <v>2</v>
      </c>
      <c r="AN718" s="193">
        <v>21</v>
      </c>
      <c r="AO718" s="193">
        <v>0</v>
      </c>
      <c r="AP718" s="193">
        <v>0</v>
      </c>
      <c r="AQ718" s="193" t="s">
        <v>214</v>
      </c>
      <c r="AS718" s="197">
        <v>21</v>
      </c>
      <c r="AT718" s="197">
        <v>0</v>
      </c>
      <c r="AV718" s="194">
        <v>286</v>
      </c>
      <c r="AW718" s="194">
        <v>0</v>
      </c>
      <c r="AX718" s="194">
        <v>0</v>
      </c>
      <c r="AY718" s="549">
        <v>286</v>
      </c>
      <c r="AZ718" s="194">
        <v>0</v>
      </c>
      <c r="BA718" s="194">
        <v>0</v>
      </c>
      <c r="BB718" s="551">
        <v>0</v>
      </c>
      <c r="BC718" s="551">
        <v>286</v>
      </c>
      <c r="BD718" s="551">
        <v>0</v>
      </c>
      <c r="BF718" s="550">
        <f t="shared" si="142"/>
        <v>286</v>
      </c>
      <c r="BG718" s="550">
        <f t="shared" si="143"/>
        <v>0</v>
      </c>
      <c r="BH718" s="550">
        <f t="shared" si="144"/>
        <v>0</v>
      </c>
      <c r="BI718" s="550">
        <f t="shared" si="145"/>
        <v>286</v>
      </c>
      <c r="BJ718" s="550">
        <f t="shared" si="146"/>
        <v>0</v>
      </c>
      <c r="BK718" s="550">
        <f t="shared" si="147"/>
        <v>0</v>
      </c>
      <c r="BL718" s="550">
        <f t="shared" si="148"/>
        <v>0</v>
      </c>
      <c r="BM718" s="550">
        <f t="shared" si="149"/>
        <v>286</v>
      </c>
      <c r="BO718" s="194"/>
      <c r="BQ718" s="193">
        <f t="shared" si="150"/>
        <v>0</v>
      </c>
      <c r="BR718" s="193">
        <f t="shared" si="151"/>
        <v>0</v>
      </c>
    </row>
    <row r="719" spans="1:70" ht="13.5" customHeight="1">
      <c r="A719" s="193" t="s">
        <v>378</v>
      </c>
      <c r="B719" s="193" t="s">
        <v>379</v>
      </c>
      <c r="C719" s="193" t="s">
        <v>214</v>
      </c>
      <c r="D719" s="193" t="s">
        <v>542</v>
      </c>
      <c r="E719" s="193" t="s">
        <v>543</v>
      </c>
      <c r="F719" s="193" t="s">
        <v>1313</v>
      </c>
      <c r="G719" s="193" t="s">
        <v>1313</v>
      </c>
      <c r="H719" s="193" t="s">
        <v>2619</v>
      </c>
      <c r="I719" s="193" t="s">
        <v>384</v>
      </c>
      <c r="J719" s="193" t="s">
        <v>2620</v>
      </c>
      <c r="K719" s="193" t="s">
        <v>386</v>
      </c>
      <c r="L719" s="193" t="s">
        <v>387</v>
      </c>
      <c r="M719" s="193" t="s">
        <v>378</v>
      </c>
      <c r="N719" s="193" t="s">
        <v>1497</v>
      </c>
      <c r="O719" s="193" t="s">
        <v>129</v>
      </c>
      <c r="P719" s="193" t="s">
        <v>138</v>
      </c>
      <c r="Q719" s="193" t="s">
        <v>137</v>
      </c>
      <c r="R719" s="193" t="s">
        <v>136</v>
      </c>
      <c r="S719" s="193" t="s">
        <v>214</v>
      </c>
      <c r="T719" s="193" t="s">
        <v>389</v>
      </c>
      <c r="U719" s="193" t="s">
        <v>390</v>
      </c>
      <c r="V719" s="193">
        <v>0</v>
      </c>
      <c r="W719" s="193">
        <v>0</v>
      </c>
      <c r="X719" s="193">
        <v>0</v>
      </c>
      <c r="Y719" s="194">
        <v>257</v>
      </c>
      <c r="Z719" s="193" t="s">
        <v>1498</v>
      </c>
      <c r="AA719" s="193" t="s">
        <v>1499</v>
      </c>
      <c r="AB719" s="193">
        <v>257</v>
      </c>
      <c r="AC719" s="193" t="s">
        <v>1500</v>
      </c>
      <c r="AD719" s="193" t="s">
        <v>136</v>
      </c>
      <c r="AE719" s="193">
        <v>257</v>
      </c>
      <c r="AF719" s="193" t="s">
        <v>1657</v>
      </c>
      <c r="AG719" s="193" t="s">
        <v>519</v>
      </c>
      <c r="AH719" s="193">
        <v>0</v>
      </c>
      <c r="AI719" s="193">
        <v>257</v>
      </c>
      <c r="AJ719" s="193" t="s">
        <v>1737</v>
      </c>
      <c r="AL719" s="197" t="s">
        <v>2621</v>
      </c>
      <c r="AM719" s="193">
        <v>2</v>
      </c>
      <c r="AN719" s="193">
        <v>21</v>
      </c>
      <c r="AO719" s="193">
        <v>0</v>
      </c>
      <c r="AP719" s="193">
        <v>0</v>
      </c>
      <c r="AQ719" s="193" t="s">
        <v>214</v>
      </c>
      <c r="AS719" s="197">
        <v>21</v>
      </c>
      <c r="AT719" s="197">
        <v>0</v>
      </c>
      <c r="AV719" s="194">
        <v>257</v>
      </c>
      <c r="AW719" s="194">
        <v>0</v>
      </c>
      <c r="AX719" s="194">
        <v>0</v>
      </c>
      <c r="AY719" s="549">
        <v>257</v>
      </c>
      <c r="AZ719" s="194">
        <v>0</v>
      </c>
      <c r="BA719" s="194">
        <v>0</v>
      </c>
      <c r="BB719" s="551">
        <v>0</v>
      </c>
      <c r="BC719" s="551">
        <v>257</v>
      </c>
      <c r="BD719" s="551">
        <v>0</v>
      </c>
      <c r="BF719" s="550">
        <f t="shared" si="142"/>
        <v>257</v>
      </c>
      <c r="BG719" s="550">
        <f t="shared" si="143"/>
        <v>0</v>
      </c>
      <c r="BH719" s="550">
        <f t="shared" si="144"/>
        <v>0</v>
      </c>
      <c r="BI719" s="550">
        <f t="shared" si="145"/>
        <v>257</v>
      </c>
      <c r="BJ719" s="550">
        <f t="shared" si="146"/>
        <v>0</v>
      </c>
      <c r="BK719" s="550">
        <f t="shared" si="147"/>
        <v>0</v>
      </c>
      <c r="BL719" s="550">
        <f t="shared" si="148"/>
        <v>0</v>
      </c>
      <c r="BM719" s="550">
        <f t="shared" si="149"/>
        <v>257</v>
      </c>
      <c r="BO719" s="194"/>
      <c r="BQ719" s="193">
        <f t="shared" si="150"/>
        <v>0</v>
      </c>
      <c r="BR719" s="193">
        <f t="shared" si="151"/>
        <v>0</v>
      </c>
    </row>
    <row r="720" spans="1:70" ht="13.5" customHeight="1">
      <c r="A720" s="193" t="s">
        <v>378</v>
      </c>
      <c r="B720" s="193" t="s">
        <v>379</v>
      </c>
      <c r="C720" s="193" t="s">
        <v>214</v>
      </c>
      <c r="D720" s="193" t="s">
        <v>542</v>
      </c>
      <c r="E720" s="193" t="s">
        <v>543</v>
      </c>
      <c r="F720" s="193" t="s">
        <v>1313</v>
      </c>
      <c r="G720" s="193" t="s">
        <v>1313</v>
      </c>
      <c r="H720" s="193" t="s">
        <v>2622</v>
      </c>
      <c r="I720" s="193" t="s">
        <v>384</v>
      </c>
      <c r="J720" s="193" t="s">
        <v>2623</v>
      </c>
      <c r="K720" s="193" t="s">
        <v>386</v>
      </c>
      <c r="L720" s="193" t="s">
        <v>387</v>
      </c>
      <c r="M720" s="193" t="s">
        <v>378</v>
      </c>
      <c r="N720" s="193" t="s">
        <v>1497</v>
      </c>
      <c r="O720" s="193" t="s">
        <v>129</v>
      </c>
      <c r="P720" s="193" t="s">
        <v>138</v>
      </c>
      <c r="Q720" s="193" t="s">
        <v>137</v>
      </c>
      <c r="R720" s="193" t="s">
        <v>136</v>
      </c>
      <c r="S720" s="193" t="s">
        <v>214</v>
      </c>
      <c r="T720" s="193" t="s">
        <v>389</v>
      </c>
      <c r="U720" s="193" t="s">
        <v>390</v>
      </c>
      <c r="V720" s="193">
        <v>0</v>
      </c>
      <c r="W720" s="193">
        <v>0</v>
      </c>
      <c r="X720" s="193">
        <v>0</v>
      </c>
      <c r="Y720" s="194">
        <v>144184</v>
      </c>
      <c r="Z720" s="193" t="s">
        <v>1498</v>
      </c>
      <c r="AA720" s="193" t="s">
        <v>1499</v>
      </c>
      <c r="AB720" s="193">
        <v>144184</v>
      </c>
      <c r="AC720" s="193" t="s">
        <v>1500</v>
      </c>
      <c r="AD720" s="193" t="s">
        <v>136</v>
      </c>
      <c r="AE720" s="193">
        <v>144184</v>
      </c>
      <c r="AF720" s="193" t="s">
        <v>1657</v>
      </c>
      <c r="AG720" s="193" t="s">
        <v>519</v>
      </c>
      <c r="AH720" s="193">
        <v>0</v>
      </c>
      <c r="AI720" s="193">
        <v>144184</v>
      </c>
      <c r="AJ720" s="193" t="s">
        <v>1846</v>
      </c>
      <c r="AL720" s="197" t="s">
        <v>2624</v>
      </c>
      <c r="AM720" s="193">
        <v>2</v>
      </c>
      <c r="AN720" s="193">
        <v>21</v>
      </c>
      <c r="AO720" s="193">
        <v>0</v>
      </c>
      <c r="AP720" s="193">
        <v>0</v>
      </c>
      <c r="AQ720" s="193" t="s">
        <v>214</v>
      </c>
      <c r="AS720" s="197">
        <v>21</v>
      </c>
      <c r="AT720" s="197">
        <v>0</v>
      </c>
      <c r="AV720" s="194">
        <v>144184</v>
      </c>
      <c r="AW720" s="194">
        <v>0</v>
      </c>
      <c r="AX720" s="194">
        <v>0</v>
      </c>
      <c r="AY720" s="549">
        <v>144184</v>
      </c>
      <c r="AZ720" s="194">
        <v>0</v>
      </c>
      <c r="BA720" s="194">
        <v>0</v>
      </c>
      <c r="BB720" s="551">
        <v>0</v>
      </c>
      <c r="BC720" s="551">
        <v>144184</v>
      </c>
      <c r="BD720" s="551">
        <v>0</v>
      </c>
      <c r="BF720" s="550">
        <f t="shared" si="142"/>
        <v>144184</v>
      </c>
      <c r="BG720" s="550">
        <f t="shared" si="143"/>
        <v>0</v>
      </c>
      <c r="BH720" s="550">
        <f t="shared" si="144"/>
        <v>0</v>
      </c>
      <c r="BI720" s="550">
        <f t="shared" si="145"/>
        <v>144184</v>
      </c>
      <c r="BJ720" s="550">
        <f t="shared" si="146"/>
        <v>0</v>
      </c>
      <c r="BK720" s="550">
        <f t="shared" si="147"/>
        <v>0</v>
      </c>
      <c r="BL720" s="550">
        <f t="shared" si="148"/>
        <v>0</v>
      </c>
      <c r="BM720" s="550">
        <f t="shared" si="149"/>
        <v>144184</v>
      </c>
      <c r="BO720" s="194"/>
      <c r="BQ720" s="193">
        <f t="shared" si="150"/>
        <v>0</v>
      </c>
      <c r="BR720" s="193">
        <f t="shared" si="151"/>
        <v>0</v>
      </c>
    </row>
    <row r="721" spans="1:70" ht="13.5" customHeight="1">
      <c r="A721" s="193" t="s">
        <v>378</v>
      </c>
      <c r="B721" s="193" t="s">
        <v>379</v>
      </c>
      <c r="C721" s="193" t="s">
        <v>214</v>
      </c>
      <c r="D721" s="193" t="s">
        <v>542</v>
      </c>
      <c r="E721" s="193" t="s">
        <v>543</v>
      </c>
      <c r="F721" s="193" t="s">
        <v>1313</v>
      </c>
      <c r="G721" s="193" t="s">
        <v>1313</v>
      </c>
      <c r="H721" s="193" t="s">
        <v>2625</v>
      </c>
      <c r="I721" s="193" t="s">
        <v>384</v>
      </c>
      <c r="J721" s="193" t="s">
        <v>2626</v>
      </c>
      <c r="K721" s="193" t="s">
        <v>386</v>
      </c>
      <c r="L721" s="193" t="s">
        <v>387</v>
      </c>
      <c r="M721" s="193" t="s">
        <v>378</v>
      </c>
      <c r="N721" s="193" t="s">
        <v>1497</v>
      </c>
      <c r="O721" s="193" t="s">
        <v>129</v>
      </c>
      <c r="P721" s="193" t="s">
        <v>138</v>
      </c>
      <c r="Q721" s="193" t="s">
        <v>137</v>
      </c>
      <c r="R721" s="193" t="s">
        <v>136</v>
      </c>
      <c r="S721" s="193" t="s">
        <v>214</v>
      </c>
      <c r="T721" s="193" t="s">
        <v>389</v>
      </c>
      <c r="U721" s="193" t="s">
        <v>390</v>
      </c>
      <c r="V721" s="193">
        <v>0</v>
      </c>
      <c r="W721" s="193">
        <v>0</v>
      </c>
      <c r="X721" s="193">
        <v>0</v>
      </c>
      <c r="Y721" s="194">
        <v>5160</v>
      </c>
      <c r="Z721" s="193" t="s">
        <v>1498</v>
      </c>
      <c r="AA721" s="193" t="s">
        <v>1499</v>
      </c>
      <c r="AB721" s="193">
        <v>5160</v>
      </c>
      <c r="AC721" s="193" t="s">
        <v>1500</v>
      </c>
      <c r="AD721" s="193" t="s">
        <v>136</v>
      </c>
      <c r="AE721" s="193">
        <v>5160</v>
      </c>
      <c r="AF721" s="193" t="s">
        <v>1657</v>
      </c>
      <c r="AG721" s="193" t="s">
        <v>519</v>
      </c>
      <c r="AH721" s="193">
        <v>0</v>
      </c>
      <c r="AI721" s="193">
        <v>5160</v>
      </c>
      <c r="AJ721" s="193" t="s">
        <v>2627</v>
      </c>
      <c r="AL721" s="197" t="s">
        <v>2628</v>
      </c>
      <c r="AM721" s="193">
        <v>2</v>
      </c>
      <c r="AN721" s="193">
        <v>21</v>
      </c>
      <c r="AO721" s="193">
        <v>0</v>
      </c>
      <c r="AP721" s="193">
        <v>0</v>
      </c>
      <c r="AQ721" s="193" t="s">
        <v>214</v>
      </c>
      <c r="AS721" s="197">
        <v>21</v>
      </c>
      <c r="AT721" s="197">
        <v>0</v>
      </c>
      <c r="AV721" s="194">
        <v>5160</v>
      </c>
      <c r="AW721" s="194">
        <v>0</v>
      </c>
      <c r="AX721" s="194">
        <v>0</v>
      </c>
      <c r="AY721" s="549">
        <v>5160</v>
      </c>
      <c r="AZ721" s="194">
        <v>0</v>
      </c>
      <c r="BA721" s="194">
        <v>0</v>
      </c>
      <c r="BB721" s="551">
        <v>0</v>
      </c>
      <c r="BC721" s="551">
        <v>5160</v>
      </c>
      <c r="BD721" s="551">
        <v>0</v>
      </c>
      <c r="BF721" s="550">
        <f t="shared" si="142"/>
        <v>5160</v>
      </c>
      <c r="BG721" s="550">
        <f t="shared" si="143"/>
        <v>0</v>
      </c>
      <c r="BH721" s="550">
        <f t="shared" si="144"/>
        <v>0</v>
      </c>
      <c r="BI721" s="550">
        <f t="shared" si="145"/>
        <v>5160</v>
      </c>
      <c r="BJ721" s="550">
        <f t="shared" si="146"/>
        <v>0</v>
      </c>
      <c r="BK721" s="550">
        <f t="shared" si="147"/>
        <v>0</v>
      </c>
      <c r="BL721" s="550">
        <f t="shared" si="148"/>
        <v>0</v>
      </c>
      <c r="BM721" s="550">
        <f t="shared" si="149"/>
        <v>5160</v>
      </c>
      <c r="BO721" s="194"/>
      <c r="BQ721" s="193">
        <f t="shared" si="150"/>
        <v>0</v>
      </c>
      <c r="BR721" s="193">
        <f t="shared" si="151"/>
        <v>0</v>
      </c>
    </row>
    <row r="722" spans="1:70" ht="13.5" customHeight="1">
      <c r="A722" s="193" t="s">
        <v>378</v>
      </c>
      <c r="B722" s="193" t="s">
        <v>379</v>
      </c>
      <c r="C722" s="193" t="s">
        <v>214</v>
      </c>
      <c r="D722" s="193" t="s">
        <v>542</v>
      </c>
      <c r="E722" s="193" t="s">
        <v>543</v>
      </c>
      <c r="F722" s="193" t="s">
        <v>1313</v>
      </c>
      <c r="G722" s="193" t="s">
        <v>1313</v>
      </c>
      <c r="H722" s="193" t="s">
        <v>2629</v>
      </c>
      <c r="I722" s="193" t="s">
        <v>384</v>
      </c>
      <c r="J722" s="193" t="s">
        <v>2630</v>
      </c>
      <c r="K722" s="193" t="s">
        <v>386</v>
      </c>
      <c r="L722" s="193" t="s">
        <v>387</v>
      </c>
      <c r="M722" s="193" t="s">
        <v>378</v>
      </c>
      <c r="N722" s="193" t="s">
        <v>1497</v>
      </c>
      <c r="O722" s="193" t="s">
        <v>129</v>
      </c>
      <c r="P722" s="193" t="s">
        <v>138</v>
      </c>
      <c r="Q722" s="193" t="s">
        <v>137</v>
      </c>
      <c r="R722" s="193" t="s">
        <v>136</v>
      </c>
      <c r="S722" s="193" t="s">
        <v>214</v>
      </c>
      <c r="T722" s="193" t="s">
        <v>389</v>
      </c>
      <c r="U722" s="193" t="s">
        <v>390</v>
      </c>
      <c r="V722" s="193">
        <v>0</v>
      </c>
      <c r="W722" s="193">
        <v>0</v>
      </c>
      <c r="X722" s="193">
        <v>0</v>
      </c>
      <c r="Y722" s="194">
        <v>9516</v>
      </c>
      <c r="Z722" s="193" t="s">
        <v>1498</v>
      </c>
      <c r="AA722" s="193" t="s">
        <v>1499</v>
      </c>
      <c r="AB722" s="193">
        <v>9516</v>
      </c>
      <c r="AC722" s="193" t="s">
        <v>1500</v>
      </c>
      <c r="AD722" s="193" t="s">
        <v>136</v>
      </c>
      <c r="AE722" s="193">
        <v>9516</v>
      </c>
      <c r="AF722" s="193" t="s">
        <v>1657</v>
      </c>
      <c r="AG722" s="193" t="s">
        <v>519</v>
      </c>
      <c r="AH722" s="193">
        <v>0</v>
      </c>
      <c r="AI722" s="193">
        <v>9516</v>
      </c>
      <c r="AJ722" s="193" t="s">
        <v>2631</v>
      </c>
      <c r="AL722" s="197" t="s">
        <v>2632</v>
      </c>
      <c r="AM722" s="193">
        <v>2</v>
      </c>
      <c r="AN722" s="193">
        <v>21</v>
      </c>
      <c r="AO722" s="193">
        <v>0</v>
      </c>
      <c r="AP722" s="193">
        <v>0</v>
      </c>
      <c r="AQ722" s="193" t="s">
        <v>214</v>
      </c>
      <c r="AS722" s="197">
        <v>21</v>
      </c>
      <c r="AT722" s="197">
        <v>0</v>
      </c>
      <c r="AV722" s="194">
        <v>9516</v>
      </c>
      <c r="AW722" s="194">
        <v>0</v>
      </c>
      <c r="AX722" s="194">
        <v>0</v>
      </c>
      <c r="AY722" s="549">
        <v>9516</v>
      </c>
      <c r="AZ722" s="194">
        <v>0</v>
      </c>
      <c r="BA722" s="194">
        <v>0</v>
      </c>
      <c r="BB722" s="551">
        <v>0</v>
      </c>
      <c r="BC722" s="551">
        <v>9516</v>
      </c>
      <c r="BD722" s="551">
        <v>0</v>
      </c>
      <c r="BF722" s="550">
        <f t="shared" si="142"/>
        <v>9516</v>
      </c>
      <c r="BG722" s="550">
        <f t="shared" si="143"/>
        <v>0</v>
      </c>
      <c r="BH722" s="550">
        <f t="shared" si="144"/>
        <v>0</v>
      </c>
      <c r="BI722" s="550">
        <f t="shared" si="145"/>
        <v>9516</v>
      </c>
      <c r="BJ722" s="550">
        <f t="shared" si="146"/>
        <v>0</v>
      </c>
      <c r="BK722" s="550">
        <f t="shared" si="147"/>
        <v>0</v>
      </c>
      <c r="BL722" s="550">
        <f t="shared" si="148"/>
        <v>0</v>
      </c>
      <c r="BM722" s="550">
        <f t="shared" si="149"/>
        <v>9516</v>
      </c>
      <c r="BO722" s="194"/>
      <c r="BQ722" s="193">
        <f t="shared" si="150"/>
        <v>0</v>
      </c>
      <c r="BR722" s="193">
        <f t="shared" si="151"/>
        <v>0</v>
      </c>
    </row>
    <row r="723" spans="1:70" ht="13.5" customHeight="1">
      <c r="A723" s="193" t="s">
        <v>378</v>
      </c>
      <c r="B723" s="193" t="s">
        <v>379</v>
      </c>
      <c r="C723" s="193" t="s">
        <v>214</v>
      </c>
      <c r="D723" s="193" t="s">
        <v>542</v>
      </c>
      <c r="E723" s="193" t="s">
        <v>543</v>
      </c>
      <c r="F723" s="193" t="s">
        <v>1313</v>
      </c>
      <c r="G723" s="193" t="s">
        <v>1313</v>
      </c>
      <c r="H723" s="193" t="s">
        <v>2633</v>
      </c>
      <c r="I723" s="193" t="s">
        <v>384</v>
      </c>
      <c r="J723" s="193" t="s">
        <v>2634</v>
      </c>
      <c r="K723" s="193" t="s">
        <v>386</v>
      </c>
      <c r="L723" s="193" t="s">
        <v>387</v>
      </c>
      <c r="M723" s="193" t="s">
        <v>378</v>
      </c>
      <c r="N723" s="193" t="s">
        <v>1497</v>
      </c>
      <c r="O723" s="193" t="s">
        <v>129</v>
      </c>
      <c r="P723" s="193" t="s">
        <v>138</v>
      </c>
      <c r="Q723" s="193" t="s">
        <v>137</v>
      </c>
      <c r="R723" s="193" t="s">
        <v>136</v>
      </c>
      <c r="S723" s="193" t="s">
        <v>214</v>
      </c>
      <c r="T723" s="193" t="s">
        <v>389</v>
      </c>
      <c r="U723" s="193" t="s">
        <v>390</v>
      </c>
      <c r="V723" s="193">
        <v>0</v>
      </c>
      <c r="W723" s="193">
        <v>0</v>
      </c>
      <c r="X723" s="193">
        <v>0</v>
      </c>
      <c r="Y723" s="194">
        <v>3057</v>
      </c>
      <c r="Z723" s="193" t="s">
        <v>1498</v>
      </c>
      <c r="AA723" s="193" t="s">
        <v>1499</v>
      </c>
      <c r="AB723" s="193">
        <v>3057</v>
      </c>
      <c r="AC723" s="193" t="s">
        <v>1500</v>
      </c>
      <c r="AD723" s="193" t="s">
        <v>136</v>
      </c>
      <c r="AE723" s="193">
        <v>3057</v>
      </c>
      <c r="AF723" s="193" t="s">
        <v>1657</v>
      </c>
      <c r="AG723" s="193" t="s">
        <v>519</v>
      </c>
      <c r="AH723" s="193">
        <v>0</v>
      </c>
      <c r="AI723" s="193">
        <v>3057</v>
      </c>
      <c r="AJ723" s="193" t="s">
        <v>2635</v>
      </c>
      <c r="AL723" s="197" t="s">
        <v>2636</v>
      </c>
      <c r="AM723" s="193">
        <v>2</v>
      </c>
      <c r="AN723" s="193">
        <v>21</v>
      </c>
      <c r="AO723" s="193">
        <v>0</v>
      </c>
      <c r="AP723" s="193">
        <v>0</v>
      </c>
      <c r="AQ723" s="193" t="s">
        <v>214</v>
      </c>
      <c r="AS723" s="197">
        <v>21</v>
      </c>
      <c r="AT723" s="197">
        <v>0</v>
      </c>
      <c r="AV723" s="194">
        <v>3057</v>
      </c>
      <c r="AW723" s="194">
        <v>0</v>
      </c>
      <c r="AX723" s="194">
        <v>0</v>
      </c>
      <c r="AY723" s="549">
        <v>3057</v>
      </c>
      <c r="AZ723" s="194">
        <v>0</v>
      </c>
      <c r="BA723" s="194">
        <v>0</v>
      </c>
      <c r="BB723" s="551">
        <v>0</v>
      </c>
      <c r="BC723" s="551">
        <v>3057</v>
      </c>
      <c r="BD723" s="551">
        <v>0</v>
      </c>
      <c r="BF723" s="550">
        <f t="shared" si="142"/>
        <v>3057</v>
      </c>
      <c r="BG723" s="550">
        <f t="shared" si="143"/>
        <v>0</v>
      </c>
      <c r="BH723" s="550">
        <f t="shared" si="144"/>
        <v>0</v>
      </c>
      <c r="BI723" s="550">
        <f t="shared" si="145"/>
        <v>3057</v>
      </c>
      <c r="BJ723" s="550">
        <f t="shared" si="146"/>
        <v>0</v>
      </c>
      <c r="BK723" s="550">
        <f t="shared" si="147"/>
        <v>0</v>
      </c>
      <c r="BL723" s="550">
        <f t="shared" si="148"/>
        <v>0</v>
      </c>
      <c r="BM723" s="550">
        <f t="shared" si="149"/>
        <v>3057</v>
      </c>
      <c r="BO723" s="194"/>
      <c r="BQ723" s="193">
        <f t="shared" si="150"/>
        <v>0</v>
      </c>
      <c r="BR723" s="193">
        <f t="shared" si="151"/>
        <v>0</v>
      </c>
    </row>
    <row r="724" spans="1:70" ht="13.5" customHeight="1">
      <c r="A724" s="193" t="s">
        <v>378</v>
      </c>
      <c r="B724" s="193" t="s">
        <v>379</v>
      </c>
      <c r="C724" s="193" t="s">
        <v>214</v>
      </c>
      <c r="D724" s="193" t="s">
        <v>542</v>
      </c>
      <c r="E724" s="193" t="s">
        <v>543</v>
      </c>
      <c r="F724" s="193" t="s">
        <v>1313</v>
      </c>
      <c r="G724" s="193" t="s">
        <v>1313</v>
      </c>
      <c r="H724" s="193" t="s">
        <v>2637</v>
      </c>
      <c r="I724" s="193" t="s">
        <v>384</v>
      </c>
      <c r="J724" s="193" t="s">
        <v>2638</v>
      </c>
      <c r="K724" s="193" t="s">
        <v>386</v>
      </c>
      <c r="L724" s="193" t="s">
        <v>387</v>
      </c>
      <c r="M724" s="193" t="s">
        <v>378</v>
      </c>
      <c r="N724" s="193" t="s">
        <v>1497</v>
      </c>
      <c r="O724" s="193" t="s">
        <v>129</v>
      </c>
      <c r="P724" s="193" t="s">
        <v>138</v>
      </c>
      <c r="Q724" s="193" t="s">
        <v>137</v>
      </c>
      <c r="R724" s="193" t="s">
        <v>136</v>
      </c>
      <c r="S724" s="193" t="s">
        <v>214</v>
      </c>
      <c r="T724" s="193" t="s">
        <v>389</v>
      </c>
      <c r="U724" s="193" t="s">
        <v>390</v>
      </c>
      <c r="V724" s="193">
        <v>0</v>
      </c>
      <c r="W724" s="193">
        <v>0</v>
      </c>
      <c r="X724" s="193">
        <v>0</v>
      </c>
      <c r="Y724" s="194">
        <v>91293</v>
      </c>
      <c r="Z724" s="193" t="s">
        <v>1498</v>
      </c>
      <c r="AA724" s="193" t="s">
        <v>1499</v>
      </c>
      <c r="AB724" s="193">
        <v>91293</v>
      </c>
      <c r="AC724" s="193" t="s">
        <v>1500</v>
      </c>
      <c r="AD724" s="193" t="s">
        <v>136</v>
      </c>
      <c r="AE724" s="193">
        <v>91293</v>
      </c>
      <c r="AF724" s="193" t="s">
        <v>1657</v>
      </c>
      <c r="AG724" s="193" t="s">
        <v>519</v>
      </c>
      <c r="AH724" s="193">
        <v>0</v>
      </c>
      <c r="AI724" s="193">
        <v>91293</v>
      </c>
      <c r="AJ724" s="193" t="s">
        <v>1811</v>
      </c>
      <c r="AL724" s="197" t="s">
        <v>2639</v>
      </c>
      <c r="AM724" s="193">
        <v>2</v>
      </c>
      <c r="AN724" s="193">
        <v>21</v>
      </c>
      <c r="AO724" s="193">
        <v>0</v>
      </c>
      <c r="AP724" s="193">
        <v>0</v>
      </c>
      <c r="AQ724" s="193" t="s">
        <v>214</v>
      </c>
      <c r="AS724" s="197">
        <v>21</v>
      </c>
      <c r="AT724" s="197">
        <v>0</v>
      </c>
      <c r="AV724" s="194">
        <v>91293</v>
      </c>
      <c r="AW724" s="194">
        <v>0</v>
      </c>
      <c r="AX724" s="194">
        <v>0</v>
      </c>
      <c r="AY724" s="549">
        <v>91293</v>
      </c>
      <c r="AZ724" s="194">
        <v>0</v>
      </c>
      <c r="BA724" s="194">
        <v>0</v>
      </c>
      <c r="BB724" s="551">
        <v>0</v>
      </c>
      <c r="BC724" s="551">
        <v>91293</v>
      </c>
      <c r="BD724" s="551">
        <v>0</v>
      </c>
      <c r="BF724" s="550">
        <f t="shared" si="142"/>
        <v>91293</v>
      </c>
      <c r="BG724" s="550">
        <f t="shared" si="143"/>
        <v>0</v>
      </c>
      <c r="BH724" s="550">
        <f t="shared" si="144"/>
        <v>0</v>
      </c>
      <c r="BI724" s="550">
        <f t="shared" si="145"/>
        <v>91293</v>
      </c>
      <c r="BJ724" s="550">
        <f t="shared" si="146"/>
        <v>0</v>
      </c>
      <c r="BK724" s="550">
        <f t="shared" si="147"/>
        <v>0</v>
      </c>
      <c r="BL724" s="550">
        <f t="shared" si="148"/>
        <v>0</v>
      </c>
      <c r="BM724" s="550">
        <f t="shared" si="149"/>
        <v>91293</v>
      </c>
      <c r="BO724" s="194"/>
      <c r="BQ724" s="193">
        <f t="shared" si="150"/>
        <v>0</v>
      </c>
      <c r="BR724" s="193">
        <f t="shared" si="151"/>
        <v>0</v>
      </c>
    </row>
    <row r="725" spans="1:70" ht="13.5" customHeight="1">
      <c r="A725" s="193" t="s">
        <v>378</v>
      </c>
      <c r="B725" s="193" t="s">
        <v>379</v>
      </c>
      <c r="C725" s="193" t="s">
        <v>214</v>
      </c>
      <c r="D725" s="193" t="s">
        <v>542</v>
      </c>
      <c r="E725" s="193" t="s">
        <v>543</v>
      </c>
      <c r="F725" s="193" t="s">
        <v>1313</v>
      </c>
      <c r="G725" s="193" t="s">
        <v>1313</v>
      </c>
      <c r="H725" s="193" t="s">
        <v>2640</v>
      </c>
      <c r="I725" s="193" t="s">
        <v>384</v>
      </c>
      <c r="J725" s="193" t="s">
        <v>2641</v>
      </c>
      <c r="K725" s="193" t="s">
        <v>386</v>
      </c>
      <c r="L725" s="193" t="s">
        <v>387</v>
      </c>
      <c r="M725" s="193" t="s">
        <v>378</v>
      </c>
      <c r="N725" s="193" t="s">
        <v>1497</v>
      </c>
      <c r="O725" s="193" t="s">
        <v>129</v>
      </c>
      <c r="P725" s="193" t="s">
        <v>138</v>
      </c>
      <c r="Q725" s="193" t="s">
        <v>137</v>
      </c>
      <c r="R725" s="193" t="s">
        <v>136</v>
      </c>
      <c r="S725" s="193" t="s">
        <v>214</v>
      </c>
      <c r="T725" s="193" t="s">
        <v>389</v>
      </c>
      <c r="U725" s="193" t="s">
        <v>390</v>
      </c>
      <c r="V725" s="193">
        <v>0</v>
      </c>
      <c r="W725" s="193">
        <v>0</v>
      </c>
      <c r="X725" s="193">
        <v>0</v>
      </c>
      <c r="Y725" s="194">
        <v>416</v>
      </c>
      <c r="Z725" s="193" t="s">
        <v>1498</v>
      </c>
      <c r="AA725" s="193" t="s">
        <v>1499</v>
      </c>
      <c r="AB725" s="193">
        <v>416</v>
      </c>
      <c r="AC725" s="193" t="s">
        <v>1500</v>
      </c>
      <c r="AD725" s="193" t="s">
        <v>136</v>
      </c>
      <c r="AE725" s="193">
        <v>416</v>
      </c>
      <c r="AF725" s="193" t="s">
        <v>1657</v>
      </c>
      <c r="AG725" s="193" t="s">
        <v>519</v>
      </c>
      <c r="AH725" s="193">
        <v>0</v>
      </c>
      <c r="AI725" s="193">
        <v>416</v>
      </c>
      <c r="AJ725" s="193" t="s">
        <v>2642</v>
      </c>
      <c r="AL725" s="197" t="s">
        <v>2643</v>
      </c>
      <c r="AM725" s="193">
        <v>2</v>
      </c>
      <c r="AN725" s="193">
        <v>21</v>
      </c>
      <c r="AO725" s="193">
        <v>0</v>
      </c>
      <c r="AP725" s="193">
        <v>0</v>
      </c>
      <c r="AQ725" s="193" t="s">
        <v>214</v>
      </c>
      <c r="AS725" s="197">
        <v>21</v>
      </c>
      <c r="AT725" s="197">
        <v>0</v>
      </c>
      <c r="AV725" s="194">
        <v>416</v>
      </c>
      <c r="AW725" s="194">
        <v>0</v>
      </c>
      <c r="AX725" s="194">
        <v>0</v>
      </c>
      <c r="AY725" s="549">
        <v>416</v>
      </c>
      <c r="AZ725" s="194">
        <v>0</v>
      </c>
      <c r="BA725" s="194">
        <v>0</v>
      </c>
      <c r="BB725" s="551">
        <v>0</v>
      </c>
      <c r="BC725" s="551">
        <v>416</v>
      </c>
      <c r="BD725" s="551">
        <v>0</v>
      </c>
      <c r="BF725" s="550">
        <f t="shared" si="142"/>
        <v>416</v>
      </c>
      <c r="BG725" s="550">
        <f t="shared" si="143"/>
        <v>0</v>
      </c>
      <c r="BH725" s="550">
        <f t="shared" si="144"/>
        <v>0</v>
      </c>
      <c r="BI725" s="550">
        <f t="shared" si="145"/>
        <v>416</v>
      </c>
      <c r="BJ725" s="550">
        <f t="shared" si="146"/>
        <v>0</v>
      </c>
      <c r="BK725" s="550">
        <f t="shared" si="147"/>
        <v>0</v>
      </c>
      <c r="BL725" s="550">
        <f t="shared" si="148"/>
        <v>0</v>
      </c>
      <c r="BM725" s="550">
        <f t="shared" si="149"/>
        <v>416</v>
      </c>
      <c r="BO725" s="194"/>
      <c r="BQ725" s="193">
        <f t="shared" si="150"/>
        <v>0</v>
      </c>
      <c r="BR725" s="193">
        <f t="shared" si="151"/>
        <v>0</v>
      </c>
    </row>
    <row r="726" spans="1:70" ht="13.5" customHeight="1">
      <c r="A726" s="193" t="s">
        <v>378</v>
      </c>
      <c r="B726" s="193" t="s">
        <v>379</v>
      </c>
      <c r="C726" s="193" t="s">
        <v>214</v>
      </c>
      <c r="D726" s="193" t="s">
        <v>542</v>
      </c>
      <c r="E726" s="193" t="s">
        <v>543</v>
      </c>
      <c r="F726" s="193" t="s">
        <v>1320</v>
      </c>
      <c r="G726" s="193" t="s">
        <v>1320</v>
      </c>
      <c r="H726" s="193" t="s">
        <v>2644</v>
      </c>
      <c r="I726" s="193" t="s">
        <v>384</v>
      </c>
      <c r="J726" s="193" t="s">
        <v>2645</v>
      </c>
      <c r="K726" s="193" t="s">
        <v>386</v>
      </c>
      <c r="L726" s="193" t="s">
        <v>387</v>
      </c>
      <c r="M726" s="193" t="s">
        <v>378</v>
      </c>
      <c r="N726" s="193" t="s">
        <v>1497</v>
      </c>
      <c r="O726" s="193" t="s">
        <v>129</v>
      </c>
      <c r="P726" s="193" t="s">
        <v>138</v>
      </c>
      <c r="Q726" s="193" t="s">
        <v>137</v>
      </c>
      <c r="R726" s="193" t="s">
        <v>136</v>
      </c>
      <c r="S726" s="193" t="s">
        <v>214</v>
      </c>
      <c r="T726" s="193" t="s">
        <v>389</v>
      </c>
      <c r="U726" s="193" t="s">
        <v>390</v>
      </c>
      <c r="V726" s="193">
        <v>0</v>
      </c>
      <c r="W726" s="193">
        <v>0</v>
      </c>
      <c r="X726" s="193">
        <v>0</v>
      </c>
      <c r="Y726" s="194">
        <v>88</v>
      </c>
      <c r="Z726" s="193" t="s">
        <v>1498</v>
      </c>
      <c r="AA726" s="193" t="s">
        <v>1499</v>
      </c>
      <c r="AB726" s="193">
        <v>88</v>
      </c>
      <c r="AC726" s="193" t="s">
        <v>1500</v>
      </c>
      <c r="AD726" s="193" t="s">
        <v>136</v>
      </c>
      <c r="AE726" s="193">
        <v>88</v>
      </c>
      <c r="AF726" s="193" t="s">
        <v>1657</v>
      </c>
      <c r="AG726" s="193" t="s">
        <v>519</v>
      </c>
      <c r="AH726" s="193">
        <v>0</v>
      </c>
      <c r="AI726" s="193">
        <v>88</v>
      </c>
      <c r="AJ726" s="193" t="s">
        <v>2627</v>
      </c>
      <c r="AL726" s="197" t="s">
        <v>2646</v>
      </c>
      <c r="AM726" s="193">
        <v>2</v>
      </c>
      <c r="AN726" s="193">
        <v>21</v>
      </c>
      <c r="AO726" s="193">
        <v>0</v>
      </c>
      <c r="AP726" s="193">
        <v>0</v>
      </c>
      <c r="AQ726" s="193" t="s">
        <v>214</v>
      </c>
      <c r="AS726" s="197">
        <v>21</v>
      </c>
      <c r="AT726" s="197">
        <v>0</v>
      </c>
      <c r="AV726" s="194">
        <v>88</v>
      </c>
      <c r="AW726" s="194">
        <v>0</v>
      </c>
      <c r="AX726" s="194">
        <v>0</v>
      </c>
      <c r="AY726" s="549">
        <v>88</v>
      </c>
      <c r="AZ726" s="194">
        <v>0</v>
      </c>
      <c r="BA726" s="194">
        <v>0</v>
      </c>
      <c r="BB726" s="551">
        <v>0</v>
      </c>
      <c r="BC726" s="551">
        <v>88</v>
      </c>
      <c r="BD726" s="551">
        <v>0</v>
      </c>
      <c r="BF726" s="550">
        <f t="shared" si="142"/>
        <v>88</v>
      </c>
      <c r="BG726" s="550">
        <f t="shared" si="143"/>
        <v>0</v>
      </c>
      <c r="BH726" s="550">
        <f t="shared" si="144"/>
        <v>0</v>
      </c>
      <c r="BI726" s="550">
        <f t="shared" si="145"/>
        <v>88</v>
      </c>
      <c r="BJ726" s="550">
        <f t="shared" si="146"/>
        <v>0</v>
      </c>
      <c r="BK726" s="550">
        <f t="shared" si="147"/>
        <v>0</v>
      </c>
      <c r="BL726" s="550">
        <f t="shared" si="148"/>
        <v>0</v>
      </c>
      <c r="BM726" s="550">
        <f t="shared" si="149"/>
        <v>88</v>
      </c>
      <c r="BO726" s="194"/>
      <c r="BQ726" s="193">
        <f t="shared" si="150"/>
        <v>0</v>
      </c>
      <c r="BR726" s="193">
        <f t="shared" si="151"/>
        <v>0</v>
      </c>
    </row>
    <row r="727" spans="1:70" ht="13.5" customHeight="1">
      <c r="A727" s="193" t="s">
        <v>378</v>
      </c>
      <c r="B727" s="193" t="s">
        <v>379</v>
      </c>
      <c r="C727" s="193" t="s">
        <v>214</v>
      </c>
      <c r="D727" s="193" t="s">
        <v>380</v>
      </c>
      <c r="E727" s="193" t="s">
        <v>381</v>
      </c>
      <c r="F727" s="193" t="s">
        <v>583</v>
      </c>
      <c r="G727" s="193" t="s">
        <v>583</v>
      </c>
      <c r="H727" s="193" t="s">
        <v>2647</v>
      </c>
      <c r="I727" s="193" t="s">
        <v>384</v>
      </c>
      <c r="J727" s="193" t="s">
        <v>2648</v>
      </c>
      <c r="K727" s="193" t="s">
        <v>386</v>
      </c>
      <c r="L727" s="193" t="s">
        <v>387</v>
      </c>
      <c r="M727" s="193" t="s">
        <v>378</v>
      </c>
      <c r="N727" s="193" t="s">
        <v>1497</v>
      </c>
      <c r="O727" s="193" t="s">
        <v>129</v>
      </c>
      <c r="P727" s="193" t="s">
        <v>138</v>
      </c>
      <c r="Q727" s="193" t="s">
        <v>137</v>
      </c>
      <c r="R727" s="193" t="s">
        <v>136</v>
      </c>
      <c r="S727" s="193" t="s">
        <v>214</v>
      </c>
      <c r="T727" s="193" t="s">
        <v>389</v>
      </c>
      <c r="U727" s="193" t="s">
        <v>390</v>
      </c>
      <c r="V727" s="193">
        <v>0</v>
      </c>
      <c r="W727" s="193">
        <v>0</v>
      </c>
      <c r="X727" s="193">
        <v>0</v>
      </c>
      <c r="Y727" s="194">
        <v>481794</v>
      </c>
      <c r="Z727" s="193" t="s">
        <v>1498</v>
      </c>
      <c r="AA727" s="193" t="s">
        <v>1499</v>
      </c>
      <c r="AB727" s="193">
        <v>481794</v>
      </c>
      <c r="AC727" s="193" t="s">
        <v>1500</v>
      </c>
      <c r="AD727" s="193" t="s">
        <v>136</v>
      </c>
      <c r="AE727" s="193">
        <v>481794</v>
      </c>
      <c r="AF727" s="193" t="s">
        <v>518</v>
      </c>
      <c r="AG727" s="193" t="s">
        <v>519</v>
      </c>
      <c r="AH727" s="193">
        <v>0</v>
      </c>
      <c r="AI727" s="193">
        <v>481794</v>
      </c>
      <c r="AJ727" s="193" t="s">
        <v>2649</v>
      </c>
      <c r="AL727" s="197" t="s">
        <v>2650</v>
      </c>
      <c r="AM727" s="193">
        <v>1</v>
      </c>
      <c r="AN727" s="193">
        <v>0</v>
      </c>
      <c r="AO727" s="193">
        <v>0</v>
      </c>
      <c r="AP727" s="193">
        <v>0</v>
      </c>
      <c r="AQ727" s="193" t="s">
        <v>214</v>
      </c>
      <c r="AS727" s="197" t="s">
        <v>518</v>
      </c>
      <c r="AT727" s="197" t="s">
        <v>519</v>
      </c>
      <c r="AV727" s="194">
        <v>0</v>
      </c>
      <c r="AW727" s="194">
        <v>0</v>
      </c>
      <c r="AX727" s="194">
        <v>0</v>
      </c>
      <c r="AY727" s="549">
        <v>0</v>
      </c>
      <c r="AZ727" s="194">
        <v>0</v>
      </c>
      <c r="BA727" s="194">
        <v>481794</v>
      </c>
      <c r="BB727" s="551">
        <v>481794</v>
      </c>
      <c r="BC727" s="551">
        <v>481794</v>
      </c>
      <c r="BD727" s="551">
        <v>0</v>
      </c>
      <c r="BF727" s="550">
        <f t="shared" si="142"/>
        <v>0</v>
      </c>
      <c r="BG727" s="550">
        <f t="shared" si="143"/>
        <v>0</v>
      </c>
      <c r="BH727" s="550">
        <f t="shared" si="144"/>
        <v>0</v>
      </c>
      <c r="BI727" s="550">
        <f t="shared" si="145"/>
        <v>0</v>
      </c>
      <c r="BJ727" s="550">
        <f t="shared" si="146"/>
        <v>0</v>
      </c>
      <c r="BK727" s="550">
        <f t="shared" si="147"/>
        <v>481794</v>
      </c>
      <c r="BL727" s="550">
        <f t="shared" si="148"/>
        <v>481794</v>
      </c>
      <c r="BM727" s="550">
        <f t="shared" si="149"/>
        <v>481794</v>
      </c>
      <c r="BO727" s="194"/>
      <c r="BQ727" s="193">
        <f t="shared" si="150"/>
        <v>0</v>
      </c>
      <c r="BR727" s="193">
        <f t="shared" si="151"/>
        <v>0</v>
      </c>
    </row>
    <row r="728" spans="1:70" ht="13.5" customHeight="1">
      <c r="A728" s="193" t="s">
        <v>378</v>
      </c>
      <c r="B728" s="193" t="s">
        <v>379</v>
      </c>
      <c r="C728" s="193" t="s">
        <v>214</v>
      </c>
      <c r="D728" s="193" t="s">
        <v>1729</v>
      </c>
      <c r="E728" s="193" t="s">
        <v>1730</v>
      </c>
      <c r="F728" s="193" t="s">
        <v>1685</v>
      </c>
      <c r="G728" s="193" t="s">
        <v>1685</v>
      </c>
      <c r="H728" s="193" t="s">
        <v>2651</v>
      </c>
      <c r="I728" s="193" t="s">
        <v>1508</v>
      </c>
      <c r="J728" s="193" t="s">
        <v>2652</v>
      </c>
      <c r="K728" s="193" t="s">
        <v>386</v>
      </c>
      <c r="L728" s="193" t="s">
        <v>387</v>
      </c>
      <c r="M728" s="193" t="s">
        <v>378</v>
      </c>
      <c r="N728" s="193" t="s">
        <v>1497</v>
      </c>
      <c r="O728" s="193" t="s">
        <v>129</v>
      </c>
      <c r="P728" s="193" t="s">
        <v>138</v>
      </c>
      <c r="Q728" s="193" t="s">
        <v>137</v>
      </c>
      <c r="R728" s="193" t="s">
        <v>136</v>
      </c>
      <c r="S728" s="193" t="s">
        <v>214</v>
      </c>
      <c r="T728" s="193" t="s">
        <v>389</v>
      </c>
      <c r="U728" s="193" t="s">
        <v>390</v>
      </c>
      <c r="V728" s="193">
        <v>0</v>
      </c>
      <c r="W728" s="193">
        <v>0</v>
      </c>
      <c r="X728" s="193">
        <v>0</v>
      </c>
      <c r="Y728" s="194">
        <v>15000</v>
      </c>
      <c r="Z728" s="193" t="s">
        <v>1498</v>
      </c>
      <c r="AA728" s="193" t="s">
        <v>1499</v>
      </c>
      <c r="AB728" s="193">
        <v>15000</v>
      </c>
      <c r="AC728" s="193" t="s">
        <v>1500</v>
      </c>
      <c r="AD728" s="193" t="s">
        <v>136</v>
      </c>
      <c r="AE728" s="193">
        <v>15000</v>
      </c>
      <c r="AF728" s="193" t="s">
        <v>518</v>
      </c>
      <c r="AG728" s="193" t="s">
        <v>519</v>
      </c>
      <c r="AH728" s="193">
        <v>0</v>
      </c>
      <c r="AI728" s="193">
        <v>15000</v>
      </c>
      <c r="AJ728" s="193" t="s">
        <v>214</v>
      </c>
      <c r="AL728" s="197" t="s">
        <v>2653</v>
      </c>
      <c r="AM728" s="193">
        <v>1</v>
      </c>
      <c r="AN728" s="193">
        <v>0</v>
      </c>
      <c r="AO728" s="193">
        <v>0</v>
      </c>
      <c r="AP728" s="193" t="s">
        <v>2654</v>
      </c>
      <c r="AQ728" s="193" t="s">
        <v>214</v>
      </c>
      <c r="AS728" s="197" t="s">
        <v>518</v>
      </c>
      <c r="AT728" s="197" t="s">
        <v>519</v>
      </c>
      <c r="AV728" s="194">
        <v>4500</v>
      </c>
      <c r="AW728" s="194">
        <v>0</v>
      </c>
      <c r="AX728" s="194">
        <v>0</v>
      </c>
      <c r="AY728" s="549">
        <v>4500</v>
      </c>
      <c r="AZ728" s="194">
        <v>0</v>
      </c>
      <c r="BA728" s="194">
        <v>10500</v>
      </c>
      <c r="BB728" s="551">
        <v>10500</v>
      </c>
      <c r="BC728" s="551">
        <v>15000</v>
      </c>
      <c r="BD728" s="551">
        <v>0</v>
      </c>
      <c r="BF728" s="550">
        <f t="shared" si="142"/>
        <v>4500</v>
      </c>
      <c r="BG728" s="550">
        <f t="shared" si="143"/>
        <v>0</v>
      </c>
      <c r="BH728" s="550">
        <f t="shared" si="144"/>
        <v>0</v>
      </c>
      <c r="BI728" s="550">
        <f t="shared" si="145"/>
        <v>4500</v>
      </c>
      <c r="BJ728" s="550">
        <f t="shared" si="146"/>
        <v>0</v>
      </c>
      <c r="BK728" s="550">
        <f t="shared" si="147"/>
        <v>10500</v>
      </c>
      <c r="BL728" s="550">
        <f t="shared" si="148"/>
        <v>10500</v>
      </c>
      <c r="BM728" s="550">
        <f t="shared" si="149"/>
        <v>15000</v>
      </c>
      <c r="BO728" s="194"/>
      <c r="BQ728" s="193">
        <f t="shared" si="150"/>
        <v>0</v>
      </c>
      <c r="BR728" s="193">
        <f t="shared" si="151"/>
        <v>0</v>
      </c>
    </row>
    <row r="729" spans="1:70" ht="13.5" customHeight="1">
      <c r="A729" s="193" t="s">
        <v>378</v>
      </c>
      <c r="B729" s="193" t="s">
        <v>379</v>
      </c>
      <c r="C729" s="193" t="s">
        <v>214</v>
      </c>
      <c r="D729" s="193" t="s">
        <v>1729</v>
      </c>
      <c r="E729" s="193" t="s">
        <v>1730</v>
      </c>
      <c r="F729" s="193" t="s">
        <v>1685</v>
      </c>
      <c r="G729" s="193" t="s">
        <v>1685</v>
      </c>
      <c r="H729" s="193" t="s">
        <v>2655</v>
      </c>
      <c r="I729" s="193" t="s">
        <v>1508</v>
      </c>
      <c r="J729" s="193" t="s">
        <v>2656</v>
      </c>
      <c r="K729" s="193" t="s">
        <v>386</v>
      </c>
      <c r="L729" s="193" t="s">
        <v>387</v>
      </c>
      <c r="M729" s="193" t="s">
        <v>378</v>
      </c>
      <c r="N729" s="193" t="s">
        <v>1497</v>
      </c>
      <c r="O729" s="193" t="s">
        <v>129</v>
      </c>
      <c r="P729" s="193" t="s">
        <v>138</v>
      </c>
      <c r="Q729" s="193" t="s">
        <v>137</v>
      </c>
      <c r="R729" s="193" t="s">
        <v>136</v>
      </c>
      <c r="S729" s="193" t="s">
        <v>214</v>
      </c>
      <c r="T729" s="193" t="s">
        <v>389</v>
      </c>
      <c r="U729" s="193" t="s">
        <v>390</v>
      </c>
      <c r="V729" s="193">
        <v>0</v>
      </c>
      <c r="W729" s="193">
        <v>0</v>
      </c>
      <c r="X729" s="193">
        <v>0</v>
      </c>
      <c r="Y729" s="194">
        <v>25000</v>
      </c>
      <c r="Z729" s="193" t="s">
        <v>1510</v>
      </c>
      <c r="AA729" s="193" t="s">
        <v>1511</v>
      </c>
      <c r="AB729" s="193">
        <v>25000</v>
      </c>
      <c r="AC729" s="193" t="s">
        <v>1500</v>
      </c>
      <c r="AD729" s="193" t="s">
        <v>136</v>
      </c>
      <c r="AE729" s="193">
        <v>25000</v>
      </c>
      <c r="AF729" s="193" t="s">
        <v>518</v>
      </c>
      <c r="AG729" s="193" t="s">
        <v>519</v>
      </c>
      <c r="AH729" s="193">
        <v>0</v>
      </c>
      <c r="AI729" s="193">
        <v>25000</v>
      </c>
      <c r="AJ729" s="193" t="s">
        <v>214</v>
      </c>
      <c r="AL729" s="197" t="s">
        <v>2657</v>
      </c>
      <c r="AM729" s="193">
        <v>1</v>
      </c>
      <c r="AN729" s="193">
        <v>0</v>
      </c>
      <c r="AO729" s="193">
        <v>0</v>
      </c>
      <c r="AP729" s="193" t="s">
        <v>2654</v>
      </c>
      <c r="AQ729" s="193" t="s">
        <v>214</v>
      </c>
      <c r="AS729" s="197" t="s">
        <v>518</v>
      </c>
      <c r="AT729" s="197" t="s">
        <v>519</v>
      </c>
      <c r="AV729" s="194">
        <v>7500</v>
      </c>
      <c r="AW729" s="194">
        <v>0</v>
      </c>
      <c r="AX729" s="194">
        <v>0</v>
      </c>
      <c r="AY729" s="549">
        <v>7500</v>
      </c>
      <c r="AZ729" s="194">
        <v>0</v>
      </c>
      <c r="BA729" s="194">
        <v>17500</v>
      </c>
      <c r="BB729" s="551">
        <v>17500</v>
      </c>
      <c r="BC729" s="551">
        <v>25000</v>
      </c>
      <c r="BD729" s="551">
        <v>0</v>
      </c>
      <c r="BF729" s="550">
        <f t="shared" si="142"/>
        <v>7500</v>
      </c>
      <c r="BG729" s="550">
        <f t="shared" si="143"/>
        <v>0</v>
      </c>
      <c r="BH729" s="550">
        <f t="shared" si="144"/>
        <v>0</v>
      </c>
      <c r="BI729" s="550">
        <f t="shared" si="145"/>
        <v>7500</v>
      </c>
      <c r="BJ729" s="550">
        <f t="shared" si="146"/>
        <v>0</v>
      </c>
      <c r="BK729" s="550">
        <f t="shared" si="147"/>
        <v>17500</v>
      </c>
      <c r="BL729" s="550">
        <f t="shared" si="148"/>
        <v>17500</v>
      </c>
      <c r="BM729" s="550">
        <f t="shared" si="149"/>
        <v>25000</v>
      </c>
      <c r="BO729" s="194"/>
      <c r="BQ729" s="193">
        <f t="shared" si="150"/>
        <v>0</v>
      </c>
      <c r="BR729" s="193">
        <f t="shared" si="151"/>
        <v>0</v>
      </c>
    </row>
    <row r="730" spans="1:70" ht="13.5" customHeight="1">
      <c r="A730" s="193" t="s">
        <v>378</v>
      </c>
      <c r="B730" s="193" t="s">
        <v>379</v>
      </c>
      <c r="C730" s="193" t="s">
        <v>214</v>
      </c>
      <c r="D730" s="193" t="s">
        <v>1631</v>
      </c>
      <c r="E730" s="193" t="s">
        <v>1632</v>
      </c>
      <c r="F730" s="193" t="s">
        <v>1685</v>
      </c>
      <c r="G730" s="193" t="s">
        <v>1685</v>
      </c>
      <c r="H730" s="193" t="s">
        <v>2658</v>
      </c>
      <c r="I730" s="193" t="s">
        <v>1508</v>
      </c>
      <c r="J730" s="193" t="s">
        <v>2659</v>
      </c>
      <c r="K730" s="193" t="s">
        <v>386</v>
      </c>
      <c r="L730" s="193" t="s">
        <v>387</v>
      </c>
      <c r="M730" s="193" t="s">
        <v>378</v>
      </c>
      <c r="N730" s="193" t="s">
        <v>1497</v>
      </c>
      <c r="O730" s="193" t="s">
        <v>129</v>
      </c>
      <c r="P730" s="193" t="s">
        <v>138</v>
      </c>
      <c r="Q730" s="193" t="s">
        <v>137</v>
      </c>
      <c r="R730" s="193" t="s">
        <v>136</v>
      </c>
      <c r="S730" s="193" t="s">
        <v>214</v>
      </c>
      <c r="T730" s="193" t="s">
        <v>389</v>
      </c>
      <c r="U730" s="193" t="s">
        <v>390</v>
      </c>
      <c r="V730" s="193">
        <v>0</v>
      </c>
      <c r="W730" s="193">
        <v>0</v>
      </c>
      <c r="X730" s="193">
        <v>0</v>
      </c>
      <c r="Y730" s="194">
        <v>25000</v>
      </c>
      <c r="Z730" s="193" t="s">
        <v>1510</v>
      </c>
      <c r="AA730" s="193" t="s">
        <v>1511</v>
      </c>
      <c r="AB730" s="193">
        <v>25000</v>
      </c>
      <c r="AC730" s="193" t="s">
        <v>1500</v>
      </c>
      <c r="AD730" s="193" t="s">
        <v>136</v>
      </c>
      <c r="AE730" s="193">
        <v>25000</v>
      </c>
      <c r="AF730" s="193" t="s">
        <v>394</v>
      </c>
      <c r="AG730" s="193" t="s">
        <v>395</v>
      </c>
      <c r="AH730" s="193">
        <v>2272</v>
      </c>
      <c r="AI730" s="193">
        <v>22728</v>
      </c>
      <c r="AJ730" s="193" t="s">
        <v>214</v>
      </c>
      <c r="AL730" s="197" t="s">
        <v>2660</v>
      </c>
      <c r="AM730" s="193">
        <v>1</v>
      </c>
      <c r="AN730" s="193">
        <v>0</v>
      </c>
      <c r="AO730" s="193">
        <v>0</v>
      </c>
      <c r="AP730" s="193" t="s">
        <v>2661</v>
      </c>
      <c r="AQ730" s="193" t="s">
        <v>214</v>
      </c>
      <c r="AS730" s="197" t="s">
        <v>394</v>
      </c>
      <c r="AT730" s="197" t="s">
        <v>395</v>
      </c>
      <c r="AV730" s="194">
        <v>5000</v>
      </c>
      <c r="AW730" s="194">
        <v>0</v>
      </c>
      <c r="AX730" s="194">
        <v>0</v>
      </c>
      <c r="AY730" s="549">
        <v>5000</v>
      </c>
      <c r="AZ730" s="194">
        <v>0</v>
      </c>
      <c r="BA730" s="194">
        <v>20000</v>
      </c>
      <c r="BB730" s="551">
        <v>20000</v>
      </c>
      <c r="BC730" s="551">
        <v>25000</v>
      </c>
      <c r="BD730" s="551">
        <v>0</v>
      </c>
      <c r="BF730" s="550">
        <f t="shared" si="142"/>
        <v>4545</v>
      </c>
      <c r="BG730" s="550">
        <f t="shared" si="143"/>
        <v>0</v>
      </c>
      <c r="BH730" s="550">
        <f t="shared" si="144"/>
        <v>0</v>
      </c>
      <c r="BI730" s="550">
        <f t="shared" si="145"/>
        <v>4545</v>
      </c>
      <c r="BJ730" s="550">
        <f t="shared" si="146"/>
        <v>0</v>
      </c>
      <c r="BK730" s="550">
        <f t="shared" si="147"/>
        <v>18182</v>
      </c>
      <c r="BL730" s="550">
        <f t="shared" si="148"/>
        <v>18182</v>
      </c>
      <c r="BM730" s="550">
        <f t="shared" si="149"/>
        <v>22727</v>
      </c>
      <c r="BO730" s="194"/>
      <c r="BQ730" s="193">
        <f t="shared" si="150"/>
        <v>0.45454545454504114</v>
      </c>
      <c r="BR730" s="193">
        <f t="shared" si="151"/>
        <v>-0.18181818181983544</v>
      </c>
    </row>
    <row r="731" spans="1:70" ht="13.5" customHeight="1">
      <c r="A731" s="193" t="s">
        <v>378</v>
      </c>
      <c r="B731" s="193" t="s">
        <v>379</v>
      </c>
      <c r="C731" s="193" t="s">
        <v>214</v>
      </c>
      <c r="D731" s="193" t="s">
        <v>1631</v>
      </c>
      <c r="E731" s="193" t="s">
        <v>1632</v>
      </c>
      <c r="F731" s="193" t="s">
        <v>1685</v>
      </c>
      <c r="G731" s="193" t="s">
        <v>1685</v>
      </c>
      <c r="H731" s="193" t="s">
        <v>2658</v>
      </c>
      <c r="I731" s="193" t="s">
        <v>1508</v>
      </c>
      <c r="J731" s="193" t="s">
        <v>2662</v>
      </c>
      <c r="K731" s="193" t="s">
        <v>386</v>
      </c>
      <c r="L731" s="193" t="s">
        <v>387</v>
      </c>
      <c r="M731" s="193" t="s">
        <v>378</v>
      </c>
      <c r="N731" s="193" t="s">
        <v>1497</v>
      </c>
      <c r="O731" s="193" t="s">
        <v>129</v>
      </c>
      <c r="P731" s="193" t="s">
        <v>138</v>
      </c>
      <c r="Q731" s="193" t="s">
        <v>137</v>
      </c>
      <c r="R731" s="193" t="s">
        <v>136</v>
      </c>
      <c r="S731" s="193" t="s">
        <v>214</v>
      </c>
      <c r="T731" s="193" t="s">
        <v>389</v>
      </c>
      <c r="U731" s="193" t="s">
        <v>390</v>
      </c>
      <c r="V731" s="193">
        <v>0</v>
      </c>
      <c r="W731" s="193">
        <v>0</v>
      </c>
      <c r="X731" s="193">
        <v>0</v>
      </c>
      <c r="Y731" s="555">
        <v>30000</v>
      </c>
      <c r="Z731" s="193" t="s">
        <v>1510</v>
      </c>
      <c r="AA731" s="193" t="s">
        <v>1511</v>
      </c>
      <c r="AB731" s="193">
        <v>30000</v>
      </c>
      <c r="AC731" s="193" t="s">
        <v>1500</v>
      </c>
      <c r="AD731" s="193" t="s">
        <v>136</v>
      </c>
      <c r="AE731" s="193">
        <v>30000</v>
      </c>
      <c r="AF731" s="193" t="s">
        <v>394</v>
      </c>
      <c r="AG731" s="193" t="s">
        <v>395</v>
      </c>
      <c r="AH731" s="193">
        <v>2727</v>
      </c>
      <c r="AI731" s="193">
        <v>27273</v>
      </c>
      <c r="AJ731" s="193" t="s">
        <v>214</v>
      </c>
      <c r="AL731" s="197" t="s">
        <v>2663</v>
      </c>
      <c r="AM731" s="193">
        <v>1</v>
      </c>
      <c r="AN731" s="193">
        <v>0</v>
      </c>
      <c r="AO731" s="193">
        <v>0</v>
      </c>
      <c r="AP731" s="193" t="s">
        <v>2661</v>
      </c>
      <c r="AQ731" s="193" t="s">
        <v>214</v>
      </c>
      <c r="AS731" s="197" t="s">
        <v>394</v>
      </c>
      <c r="AT731" s="197" t="s">
        <v>395</v>
      </c>
      <c r="AV731" s="194">
        <v>6000</v>
      </c>
      <c r="AW731" s="194">
        <v>0</v>
      </c>
      <c r="AX731" s="194">
        <v>0</v>
      </c>
      <c r="AY731" s="549">
        <v>6000</v>
      </c>
      <c r="AZ731" s="194">
        <v>0</v>
      </c>
      <c r="BA731" s="194">
        <v>24000</v>
      </c>
      <c r="BB731" s="551">
        <v>24000</v>
      </c>
      <c r="BC731" s="551">
        <v>30000</v>
      </c>
      <c r="BD731" s="551">
        <v>0</v>
      </c>
      <c r="BF731" s="550">
        <f t="shared" si="142"/>
        <v>5455</v>
      </c>
      <c r="BG731" s="550">
        <f t="shared" si="143"/>
        <v>0</v>
      </c>
      <c r="BH731" s="550">
        <f t="shared" si="144"/>
        <v>0</v>
      </c>
      <c r="BI731" s="550">
        <f t="shared" si="145"/>
        <v>5455</v>
      </c>
      <c r="BJ731" s="550">
        <f t="shared" si="146"/>
        <v>0</v>
      </c>
      <c r="BK731" s="550">
        <f t="shared" si="147"/>
        <v>21818</v>
      </c>
      <c r="BL731" s="550">
        <f t="shared" si="148"/>
        <v>21818</v>
      </c>
      <c r="BM731" s="550">
        <f t="shared" si="149"/>
        <v>27273</v>
      </c>
      <c r="BO731" s="194"/>
      <c r="BQ731" s="193">
        <f t="shared" si="150"/>
        <v>-0.45454545454504114</v>
      </c>
      <c r="BR731" s="193">
        <f t="shared" si="151"/>
        <v>0.18181818181983544</v>
      </c>
    </row>
    <row r="732" spans="1:70" ht="13.5" customHeight="1">
      <c r="A732" s="193" t="s">
        <v>378</v>
      </c>
      <c r="B732" s="193" t="s">
        <v>379</v>
      </c>
      <c r="C732" s="193" t="s">
        <v>214</v>
      </c>
      <c r="D732" s="193" t="s">
        <v>1631</v>
      </c>
      <c r="E732" s="193" t="s">
        <v>1632</v>
      </c>
      <c r="F732" s="193" t="s">
        <v>1685</v>
      </c>
      <c r="G732" s="193" t="s">
        <v>1685</v>
      </c>
      <c r="H732" s="193" t="s">
        <v>2658</v>
      </c>
      <c r="I732" s="193" t="s">
        <v>1508</v>
      </c>
      <c r="J732" s="193" t="s">
        <v>2664</v>
      </c>
      <c r="K732" s="193" t="s">
        <v>386</v>
      </c>
      <c r="L732" s="193" t="s">
        <v>387</v>
      </c>
      <c r="M732" s="193" t="s">
        <v>378</v>
      </c>
      <c r="N732" s="193" t="s">
        <v>1497</v>
      </c>
      <c r="O732" s="193" t="s">
        <v>129</v>
      </c>
      <c r="P732" s="193" t="s">
        <v>138</v>
      </c>
      <c r="Q732" s="193" t="s">
        <v>137</v>
      </c>
      <c r="R732" s="193" t="s">
        <v>136</v>
      </c>
      <c r="S732" s="193" t="s">
        <v>214</v>
      </c>
      <c r="T732" s="193" t="s">
        <v>389</v>
      </c>
      <c r="U732" s="193" t="s">
        <v>390</v>
      </c>
      <c r="V732" s="193">
        <v>0</v>
      </c>
      <c r="W732" s="193">
        <v>0</v>
      </c>
      <c r="X732" s="193">
        <v>0</v>
      </c>
      <c r="Y732" s="194">
        <v>25000</v>
      </c>
      <c r="Z732" s="193" t="s">
        <v>1498</v>
      </c>
      <c r="AA732" s="193" t="s">
        <v>1499</v>
      </c>
      <c r="AB732" s="193">
        <v>25000</v>
      </c>
      <c r="AC732" s="193" t="s">
        <v>1500</v>
      </c>
      <c r="AD732" s="193" t="s">
        <v>136</v>
      </c>
      <c r="AE732" s="193">
        <v>25000</v>
      </c>
      <c r="AF732" s="193" t="s">
        <v>394</v>
      </c>
      <c r="AG732" s="193" t="s">
        <v>395</v>
      </c>
      <c r="AH732" s="193">
        <v>2272</v>
      </c>
      <c r="AI732" s="193">
        <v>22728</v>
      </c>
      <c r="AJ732" s="193" t="s">
        <v>214</v>
      </c>
      <c r="AL732" s="197" t="s">
        <v>2665</v>
      </c>
      <c r="AM732" s="193">
        <v>1</v>
      </c>
      <c r="AN732" s="193">
        <v>0</v>
      </c>
      <c r="AO732" s="193">
        <v>0</v>
      </c>
      <c r="AP732" s="193" t="s">
        <v>2661</v>
      </c>
      <c r="AQ732" s="193" t="s">
        <v>214</v>
      </c>
      <c r="AS732" s="197" t="s">
        <v>394</v>
      </c>
      <c r="AT732" s="197" t="s">
        <v>395</v>
      </c>
      <c r="AV732" s="194">
        <v>5000</v>
      </c>
      <c r="AW732" s="194">
        <v>0</v>
      </c>
      <c r="AX732" s="194">
        <v>0</v>
      </c>
      <c r="AY732" s="549">
        <v>5000</v>
      </c>
      <c r="AZ732" s="194">
        <v>0</v>
      </c>
      <c r="BA732" s="194">
        <v>20000</v>
      </c>
      <c r="BB732" s="551">
        <v>20000</v>
      </c>
      <c r="BC732" s="551">
        <v>25000</v>
      </c>
      <c r="BD732" s="551">
        <v>0</v>
      </c>
      <c r="BF732" s="550">
        <f t="shared" si="142"/>
        <v>4545</v>
      </c>
      <c r="BG732" s="550">
        <f t="shared" si="143"/>
        <v>0</v>
      </c>
      <c r="BH732" s="550">
        <f t="shared" si="144"/>
        <v>0</v>
      </c>
      <c r="BI732" s="550">
        <f t="shared" si="145"/>
        <v>4545</v>
      </c>
      <c r="BJ732" s="550">
        <f t="shared" si="146"/>
        <v>0</v>
      </c>
      <c r="BK732" s="550">
        <f t="shared" si="147"/>
        <v>18182</v>
      </c>
      <c r="BL732" s="550">
        <f t="shared" si="148"/>
        <v>18182</v>
      </c>
      <c r="BM732" s="550">
        <f t="shared" si="149"/>
        <v>22727</v>
      </c>
      <c r="BO732" s="194"/>
      <c r="BQ732" s="193">
        <f t="shared" si="150"/>
        <v>0.45454545454504114</v>
      </c>
      <c r="BR732" s="193">
        <f t="shared" si="151"/>
        <v>-0.18181818181983544</v>
      </c>
    </row>
    <row r="733" spans="1:70" ht="13.5" customHeight="1">
      <c r="A733" s="193" t="s">
        <v>378</v>
      </c>
      <c r="B733" s="193" t="s">
        <v>379</v>
      </c>
      <c r="C733" s="193" t="s">
        <v>214</v>
      </c>
      <c r="D733" s="193" t="s">
        <v>1098</v>
      </c>
      <c r="E733" s="193" t="s">
        <v>1099</v>
      </c>
      <c r="F733" s="193" t="s">
        <v>1685</v>
      </c>
      <c r="G733" s="193" t="s">
        <v>1685</v>
      </c>
      <c r="H733" s="193" t="s">
        <v>2666</v>
      </c>
      <c r="I733" s="193" t="s">
        <v>1508</v>
      </c>
      <c r="J733" s="193" t="s">
        <v>2667</v>
      </c>
      <c r="K733" s="193" t="s">
        <v>386</v>
      </c>
      <c r="L733" s="193" t="s">
        <v>387</v>
      </c>
      <c r="M733" s="193" t="s">
        <v>378</v>
      </c>
      <c r="N733" s="193" t="s">
        <v>1497</v>
      </c>
      <c r="O733" s="193" t="s">
        <v>129</v>
      </c>
      <c r="P733" s="193" t="s">
        <v>138</v>
      </c>
      <c r="Q733" s="193" t="s">
        <v>137</v>
      </c>
      <c r="R733" s="193" t="s">
        <v>136</v>
      </c>
      <c r="S733" s="193" t="s">
        <v>214</v>
      </c>
      <c r="T733" s="193" t="s">
        <v>389</v>
      </c>
      <c r="U733" s="193" t="s">
        <v>390</v>
      </c>
      <c r="V733" s="193">
        <v>0</v>
      </c>
      <c r="W733" s="193">
        <v>0</v>
      </c>
      <c r="X733" s="193">
        <v>0</v>
      </c>
      <c r="Y733" s="194">
        <v>121000</v>
      </c>
      <c r="Z733" s="193" t="s">
        <v>1510</v>
      </c>
      <c r="AA733" s="193" t="s">
        <v>1511</v>
      </c>
      <c r="AB733" s="193">
        <v>121000</v>
      </c>
      <c r="AC733" s="193" t="s">
        <v>1500</v>
      </c>
      <c r="AD733" s="193" t="s">
        <v>136</v>
      </c>
      <c r="AE733" s="193">
        <v>121000</v>
      </c>
      <c r="AF733" s="193" t="s">
        <v>394</v>
      </c>
      <c r="AG733" s="193" t="s">
        <v>395</v>
      </c>
      <c r="AH733" s="193">
        <v>11000</v>
      </c>
      <c r="AI733" s="193">
        <v>110000</v>
      </c>
      <c r="AJ733" s="193" t="s">
        <v>214</v>
      </c>
      <c r="AL733" s="197" t="s">
        <v>2668</v>
      </c>
      <c r="AM733" s="193">
        <v>1</v>
      </c>
      <c r="AN733" s="193">
        <v>0</v>
      </c>
      <c r="AO733" s="193">
        <v>0</v>
      </c>
      <c r="AP733" s="193" t="s">
        <v>2661</v>
      </c>
      <c r="AQ733" s="193" t="s">
        <v>214</v>
      </c>
      <c r="AS733" s="197" t="s">
        <v>394</v>
      </c>
      <c r="AT733" s="197" t="s">
        <v>395</v>
      </c>
      <c r="AV733" s="194">
        <v>24200</v>
      </c>
      <c r="AW733" s="194">
        <v>0</v>
      </c>
      <c r="AX733" s="194">
        <v>0</v>
      </c>
      <c r="AY733" s="549">
        <v>24200</v>
      </c>
      <c r="AZ733" s="194">
        <v>0</v>
      </c>
      <c r="BA733" s="194">
        <v>96800</v>
      </c>
      <c r="BB733" s="551">
        <v>96800</v>
      </c>
      <c r="BC733" s="551">
        <v>121000</v>
      </c>
      <c r="BD733" s="551">
        <v>0</v>
      </c>
      <c r="BF733" s="550">
        <f t="shared" si="142"/>
        <v>22000</v>
      </c>
      <c r="BG733" s="550">
        <f t="shared" si="143"/>
        <v>0</v>
      </c>
      <c r="BH733" s="550">
        <f t="shared" si="144"/>
        <v>0</v>
      </c>
      <c r="BI733" s="550">
        <f t="shared" si="145"/>
        <v>22000</v>
      </c>
      <c r="BJ733" s="550">
        <f t="shared" si="146"/>
        <v>0</v>
      </c>
      <c r="BK733" s="550">
        <f t="shared" si="147"/>
        <v>88000</v>
      </c>
      <c r="BL733" s="550">
        <f t="shared" si="148"/>
        <v>88000</v>
      </c>
      <c r="BM733" s="550">
        <f t="shared" si="149"/>
        <v>110000</v>
      </c>
      <c r="BO733" s="194"/>
      <c r="BQ733" s="193">
        <f t="shared" si="150"/>
        <v>0</v>
      </c>
      <c r="BR733" s="193">
        <f t="shared" si="151"/>
        <v>0</v>
      </c>
    </row>
    <row r="734" spans="1:70" ht="13.5" customHeight="1">
      <c r="A734" s="193" t="s">
        <v>378</v>
      </c>
      <c r="B734" s="193" t="s">
        <v>379</v>
      </c>
      <c r="C734" s="193" t="s">
        <v>214</v>
      </c>
      <c r="D734" s="193" t="s">
        <v>1098</v>
      </c>
      <c r="E734" s="193" t="s">
        <v>1099</v>
      </c>
      <c r="F734" s="193" t="s">
        <v>1685</v>
      </c>
      <c r="G734" s="193" t="s">
        <v>1685</v>
      </c>
      <c r="H734" s="193" t="s">
        <v>2666</v>
      </c>
      <c r="I734" s="193" t="s">
        <v>1508</v>
      </c>
      <c r="J734" s="193" t="s">
        <v>2669</v>
      </c>
      <c r="K734" s="193" t="s">
        <v>386</v>
      </c>
      <c r="L734" s="193" t="s">
        <v>387</v>
      </c>
      <c r="M734" s="193" t="s">
        <v>378</v>
      </c>
      <c r="N734" s="193" t="s">
        <v>1497</v>
      </c>
      <c r="O734" s="193" t="s">
        <v>129</v>
      </c>
      <c r="P734" s="193" t="s">
        <v>138</v>
      </c>
      <c r="Q734" s="193" t="s">
        <v>137</v>
      </c>
      <c r="R734" s="193" t="s">
        <v>136</v>
      </c>
      <c r="S734" s="193" t="s">
        <v>214</v>
      </c>
      <c r="T734" s="193" t="s">
        <v>389</v>
      </c>
      <c r="U734" s="193" t="s">
        <v>390</v>
      </c>
      <c r="V734" s="193">
        <v>0</v>
      </c>
      <c r="W734" s="193">
        <v>0</v>
      </c>
      <c r="X734" s="193">
        <v>0</v>
      </c>
      <c r="Y734" s="194">
        <v>235000</v>
      </c>
      <c r="Z734" s="193" t="s">
        <v>1498</v>
      </c>
      <c r="AA734" s="193" t="s">
        <v>1499</v>
      </c>
      <c r="AB734" s="193">
        <v>235000</v>
      </c>
      <c r="AC734" s="193" t="s">
        <v>1500</v>
      </c>
      <c r="AD734" s="193" t="s">
        <v>136</v>
      </c>
      <c r="AE734" s="193">
        <v>235000</v>
      </c>
      <c r="AF734" s="193" t="s">
        <v>394</v>
      </c>
      <c r="AG734" s="193" t="s">
        <v>395</v>
      </c>
      <c r="AH734" s="193">
        <v>21363</v>
      </c>
      <c r="AI734" s="193">
        <v>213637</v>
      </c>
      <c r="AJ734" s="193" t="s">
        <v>214</v>
      </c>
      <c r="AL734" s="197" t="s">
        <v>2670</v>
      </c>
      <c r="AM734" s="193">
        <v>1</v>
      </c>
      <c r="AN734" s="193">
        <v>0</v>
      </c>
      <c r="AO734" s="193">
        <v>0</v>
      </c>
      <c r="AP734" s="193" t="s">
        <v>2661</v>
      </c>
      <c r="AQ734" s="193" t="s">
        <v>214</v>
      </c>
      <c r="AS734" s="197" t="s">
        <v>394</v>
      </c>
      <c r="AT734" s="197" t="s">
        <v>395</v>
      </c>
      <c r="AV734" s="194">
        <v>47000</v>
      </c>
      <c r="AW734" s="194">
        <v>0</v>
      </c>
      <c r="AX734" s="194">
        <v>0</v>
      </c>
      <c r="AY734" s="549">
        <v>47000</v>
      </c>
      <c r="AZ734" s="194">
        <v>0</v>
      </c>
      <c r="BA734" s="194">
        <v>188000</v>
      </c>
      <c r="BB734" s="551">
        <v>188000</v>
      </c>
      <c r="BC734" s="551">
        <v>235000</v>
      </c>
      <c r="BD734" s="551">
        <v>0</v>
      </c>
      <c r="BF734" s="550">
        <f t="shared" si="142"/>
        <v>42727</v>
      </c>
      <c r="BG734" s="550">
        <f t="shared" si="143"/>
        <v>0</v>
      </c>
      <c r="BH734" s="550">
        <f t="shared" si="144"/>
        <v>0</v>
      </c>
      <c r="BI734" s="550">
        <f t="shared" si="145"/>
        <v>42727</v>
      </c>
      <c r="BJ734" s="550">
        <f t="shared" si="146"/>
        <v>0</v>
      </c>
      <c r="BK734" s="550">
        <f t="shared" si="147"/>
        <v>170909</v>
      </c>
      <c r="BL734" s="550">
        <f t="shared" si="148"/>
        <v>170909</v>
      </c>
      <c r="BM734" s="550">
        <f t="shared" si="149"/>
        <v>213636</v>
      </c>
      <c r="BO734" s="194"/>
      <c r="BQ734" s="193">
        <f t="shared" si="150"/>
        <v>0.27272727272793418</v>
      </c>
      <c r="BR734" s="193">
        <f t="shared" si="151"/>
        <v>9.0909090911736712E-2</v>
      </c>
    </row>
    <row r="735" spans="1:70" ht="13.5" customHeight="1">
      <c r="A735" s="193" t="s">
        <v>378</v>
      </c>
      <c r="B735" s="193" t="s">
        <v>379</v>
      </c>
      <c r="C735" s="193" t="s">
        <v>214</v>
      </c>
      <c r="D735" s="193" t="s">
        <v>380</v>
      </c>
      <c r="E735" s="193" t="s">
        <v>381</v>
      </c>
      <c r="F735" s="193" t="s">
        <v>583</v>
      </c>
      <c r="G735" s="193" t="s">
        <v>583</v>
      </c>
      <c r="H735" s="193" t="s">
        <v>2671</v>
      </c>
      <c r="I735" s="193" t="s">
        <v>384</v>
      </c>
      <c r="J735" s="193" t="s">
        <v>2672</v>
      </c>
      <c r="K735" s="193" t="s">
        <v>386</v>
      </c>
      <c r="L735" s="193" t="s">
        <v>387</v>
      </c>
      <c r="M735" s="193" t="s">
        <v>378</v>
      </c>
      <c r="N735" s="193" t="s">
        <v>1497</v>
      </c>
      <c r="O735" s="193" t="s">
        <v>129</v>
      </c>
      <c r="P735" s="193" t="s">
        <v>138</v>
      </c>
      <c r="Q735" s="193" t="s">
        <v>137</v>
      </c>
      <c r="R735" s="193" t="s">
        <v>136</v>
      </c>
      <c r="S735" s="193" t="s">
        <v>214</v>
      </c>
      <c r="T735" s="193" t="s">
        <v>389</v>
      </c>
      <c r="U735" s="193" t="s">
        <v>390</v>
      </c>
      <c r="V735" s="193">
        <v>0</v>
      </c>
      <c r="W735" s="193">
        <v>0</v>
      </c>
      <c r="X735" s="193">
        <v>0</v>
      </c>
      <c r="Y735" s="194">
        <v>1430</v>
      </c>
      <c r="Z735" s="193" t="s">
        <v>1498</v>
      </c>
      <c r="AA735" s="193" t="s">
        <v>1499</v>
      </c>
      <c r="AB735" s="193">
        <v>1430</v>
      </c>
      <c r="AC735" s="193" t="s">
        <v>1500</v>
      </c>
      <c r="AD735" s="193" t="s">
        <v>136</v>
      </c>
      <c r="AE735" s="193">
        <v>1430</v>
      </c>
      <c r="AF735" s="193" t="s">
        <v>518</v>
      </c>
      <c r="AG735" s="193" t="s">
        <v>519</v>
      </c>
      <c r="AH735" s="193">
        <v>0</v>
      </c>
      <c r="AI735" s="193">
        <v>1430</v>
      </c>
      <c r="AJ735" s="193" t="s">
        <v>2673</v>
      </c>
      <c r="AL735" s="197" t="s">
        <v>2674</v>
      </c>
      <c r="AM735" s="193">
        <v>1</v>
      </c>
      <c r="AN735" s="193">
        <v>0</v>
      </c>
      <c r="AO735" s="193">
        <v>0</v>
      </c>
      <c r="AP735" s="193">
        <v>0</v>
      </c>
      <c r="AQ735" s="193" t="s">
        <v>214</v>
      </c>
      <c r="AS735" s="197" t="s">
        <v>518</v>
      </c>
      <c r="AT735" s="197" t="s">
        <v>519</v>
      </c>
      <c r="AV735" s="194">
        <v>0</v>
      </c>
      <c r="AW735" s="194">
        <v>0</v>
      </c>
      <c r="AX735" s="194">
        <v>0</v>
      </c>
      <c r="AY735" s="549">
        <v>0</v>
      </c>
      <c r="AZ735" s="194">
        <v>0</v>
      </c>
      <c r="BA735" s="194">
        <v>1430</v>
      </c>
      <c r="BB735" s="551">
        <v>1430</v>
      </c>
      <c r="BC735" s="551">
        <v>1430</v>
      </c>
      <c r="BD735" s="551">
        <v>0</v>
      </c>
      <c r="BF735" s="550">
        <f t="shared" si="142"/>
        <v>0</v>
      </c>
      <c r="BG735" s="550">
        <f t="shared" si="143"/>
        <v>0</v>
      </c>
      <c r="BH735" s="550">
        <f t="shared" si="144"/>
        <v>0</v>
      </c>
      <c r="BI735" s="550">
        <f t="shared" si="145"/>
        <v>0</v>
      </c>
      <c r="BJ735" s="550">
        <f t="shared" si="146"/>
        <v>0</v>
      </c>
      <c r="BK735" s="550">
        <f t="shared" si="147"/>
        <v>1430</v>
      </c>
      <c r="BL735" s="550">
        <f t="shared" si="148"/>
        <v>1430</v>
      </c>
      <c r="BM735" s="550">
        <f t="shared" si="149"/>
        <v>1430</v>
      </c>
      <c r="BO735" s="194"/>
      <c r="BQ735" s="193">
        <f t="shared" si="150"/>
        <v>0</v>
      </c>
      <c r="BR735" s="193">
        <f t="shared" si="151"/>
        <v>0</v>
      </c>
    </row>
    <row r="736" spans="1:70" ht="13.5" customHeight="1">
      <c r="A736" s="193" t="s">
        <v>378</v>
      </c>
      <c r="B736" s="193" t="s">
        <v>379</v>
      </c>
      <c r="C736" s="193" t="s">
        <v>214</v>
      </c>
      <c r="D736" s="193" t="s">
        <v>542</v>
      </c>
      <c r="E736" s="193" t="s">
        <v>543</v>
      </c>
      <c r="F736" s="193" t="s">
        <v>1313</v>
      </c>
      <c r="G736" s="193" t="s">
        <v>1313</v>
      </c>
      <c r="H736" s="193" t="s">
        <v>2675</v>
      </c>
      <c r="I736" s="193" t="s">
        <v>384</v>
      </c>
      <c r="J736" s="193" t="s">
        <v>2676</v>
      </c>
      <c r="K736" s="193" t="s">
        <v>386</v>
      </c>
      <c r="L736" s="193" t="s">
        <v>387</v>
      </c>
      <c r="M736" s="193" t="s">
        <v>378</v>
      </c>
      <c r="N736" s="193" t="s">
        <v>1497</v>
      </c>
      <c r="O736" s="193" t="s">
        <v>129</v>
      </c>
      <c r="P736" s="193" t="s">
        <v>138</v>
      </c>
      <c r="Q736" s="193" t="s">
        <v>137</v>
      </c>
      <c r="R736" s="193" t="s">
        <v>136</v>
      </c>
      <c r="S736" s="193" t="s">
        <v>214</v>
      </c>
      <c r="T736" s="193" t="s">
        <v>389</v>
      </c>
      <c r="U736" s="193" t="s">
        <v>390</v>
      </c>
      <c r="V736" s="193">
        <v>0</v>
      </c>
      <c r="W736" s="193">
        <v>0</v>
      </c>
      <c r="X736" s="193">
        <v>0</v>
      </c>
      <c r="Y736" s="194">
        <v>1539</v>
      </c>
      <c r="Z736" s="193" t="s">
        <v>1498</v>
      </c>
      <c r="AA736" s="193" t="s">
        <v>1499</v>
      </c>
      <c r="AB736" s="193">
        <v>1539</v>
      </c>
      <c r="AC736" s="193" t="s">
        <v>1500</v>
      </c>
      <c r="AD736" s="193" t="s">
        <v>136</v>
      </c>
      <c r="AE736" s="193">
        <v>1539</v>
      </c>
      <c r="AF736" s="193" t="s">
        <v>1657</v>
      </c>
      <c r="AG736" s="193" t="s">
        <v>519</v>
      </c>
      <c r="AH736" s="193">
        <v>0</v>
      </c>
      <c r="AI736" s="193">
        <v>1539</v>
      </c>
      <c r="AJ736" s="193" t="s">
        <v>2677</v>
      </c>
      <c r="AL736" s="197" t="s">
        <v>2678</v>
      </c>
      <c r="AM736" s="193">
        <v>2</v>
      </c>
      <c r="AN736" s="193">
        <v>21</v>
      </c>
      <c r="AO736" s="193">
        <v>0</v>
      </c>
      <c r="AP736" s="193">
        <v>0</v>
      </c>
      <c r="AQ736" s="193" t="s">
        <v>214</v>
      </c>
      <c r="AS736" s="197">
        <v>21</v>
      </c>
      <c r="AT736" s="197">
        <v>0</v>
      </c>
      <c r="AV736" s="194">
        <v>1539</v>
      </c>
      <c r="AW736" s="194">
        <v>0</v>
      </c>
      <c r="AX736" s="194">
        <v>0</v>
      </c>
      <c r="AY736" s="549">
        <v>1539</v>
      </c>
      <c r="AZ736" s="194">
        <v>0</v>
      </c>
      <c r="BA736" s="194">
        <v>0</v>
      </c>
      <c r="BB736" s="551">
        <v>0</v>
      </c>
      <c r="BC736" s="551">
        <v>1539</v>
      </c>
      <c r="BD736" s="551">
        <v>0</v>
      </c>
      <c r="BF736" s="550">
        <f t="shared" si="142"/>
        <v>1539</v>
      </c>
      <c r="BG736" s="550">
        <f t="shared" si="143"/>
        <v>0</v>
      </c>
      <c r="BH736" s="550">
        <f t="shared" si="144"/>
        <v>0</v>
      </c>
      <c r="BI736" s="550">
        <f t="shared" si="145"/>
        <v>1539</v>
      </c>
      <c r="BJ736" s="550">
        <f t="shared" si="146"/>
        <v>0</v>
      </c>
      <c r="BK736" s="550">
        <f t="shared" si="147"/>
        <v>0</v>
      </c>
      <c r="BL736" s="550">
        <f t="shared" si="148"/>
        <v>0</v>
      </c>
      <c r="BM736" s="550">
        <f t="shared" si="149"/>
        <v>1539</v>
      </c>
      <c r="BO736" s="194"/>
      <c r="BQ736" s="193">
        <f t="shared" si="150"/>
        <v>0</v>
      </c>
      <c r="BR736" s="193">
        <f t="shared" si="151"/>
        <v>0</v>
      </c>
    </row>
    <row r="737" spans="1:70" ht="13.5" customHeight="1">
      <c r="A737" s="193" t="s">
        <v>378</v>
      </c>
      <c r="B737" s="193" t="s">
        <v>379</v>
      </c>
      <c r="C737" s="193" t="s">
        <v>214</v>
      </c>
      <c r="D737" s="193" t="s">
        <v>542</v>
      </c>
      <c r="E737" s="193" t="s">
        <v>543</v>
      </c>
      <c r="F737" s="193" t="s">
        <v>1313</v>
      </c>
      <c r="G737" s="193" t="s">
        <v>1313</v>
      </c>
      <c r="H737" s="193" t="s">
        <v>2679</v>
      </c>
      <c r="I737" s="193" t="s">
        <v>384</v>
      </c>
      <c r="J737" s="193" t="s">
        <v>2680</v>
      </c>
      <c r="K737" s="193" t="s">
        <v>386</v>
      </c>
      <c r="L737" s="193" t="s">
        <v>387</v>
      </c>
      <c r="M737" s="193" t="s">
        <v>378</v>
      </c>
      <c r="N737" s="193" t="s">
        <v>1497</v>
      </c>
      <c r="O737" s="193" t="s">
        <v>129</v>
      </c>
      <c r="P737" s="193" t="s">
        <v>138</v>
      </c>
      <c r="Q737" s="193" t="s">
        <v>137</v>
      </c>
      <c r="R737" s="193" t="s">
        <v>136</v>
      </c>
      <c r="S737" s="193" t="s">
        <v>214</v>
      </c>
      <c r="T737" s="193" t="s">
        <v>389</v>
      </c>
      <c r="U737" s="193" t="s">
        <v>390</v>
      </c>
      <c r="V737" s="193">
        <v>0</v>
      </c>
      <c r="W737" s="193">
        <v>0</v>
      </c>
      <c r="X737" s="193">
        <v>0</v>
      </c>
      <c r="Y737" s="194">
        <v>2200</v>
      </c>
      <c r="Z737" s="193" t="s">
        <v>1498</v>
      </c>
      <c r="AA737" s="193" t="s">
        <v>1499</v>
      </c>
      <c r="AB737" s="193">
        <v>2200</v>
      </c>
      <c r="AC737" s="193" t="s">
        <v>1500</v>
      </c>
      <c r="AD737" s="193" t="s">
        <v>136</v>
      </c>
      <c r="AE737" s="193">
        <v>2200</v>
      </c>
      <c r="AF737" s="193" t="s">
        <v>1657</v>
      </c>
      <c r="AG737" s="193" t="s">
        <v>519</v>
      </c>
      <c r="AH737" s="193">
        <v>0</v>
      </c>
      <c r="AI737" s="193">
        <v>2200</v>
      </c>
      <c r="AJ737" s="193" t="s">
        <v>2677</v>
      </c>
      <c r="AL737" s="197" t="s">
        <v>2681</v>
      </c>
      <c r="AM737" s="193">
        <v>2</v>
      </c>
      <c r="AN737" s="193">
        <v>21</v>
      </c>
      <c r="AO737" s="193">
        <v>0</v>
      </c>
      <c r="AP737" s="193">
        <v>0</v>
      </c>
      <c r="AQ737" s="193" t="s">
        <v>214</v>
      </c>
      <c r="AS737" s="197">
        <v>21</v>
      </c>
      <c r="AT737" s="197">
        <v>0</v>
      </c>
      <c r="AV737" s="194">
        <v>2200</v>
      </c>
      <c r="AW737" s="194">
        <v>0</v>
      </c>
      <c r="AX737" s="194">
        <v>0</v>
      </c>
      <c r="AY737" s="549">
        <v>2200</v>
      </c>
      <c r="AZ737" s="194">
        <v>0</v>
      </c>
      <c r="BA737" s="194">
        <v>0</v>
      </c>
      <c r="BB737" s="551">
        <v>0</v>
      </c>
      <c r="BC737" s="551">
        <v>2200</v>
      </c>
      <c r="BD737" s="551">
        <v>0</v>
      </c>
      <c r="BF737" s="550">
        <f t="shared" si="142"/>
        <v>2200</v>
      </c>
      <c r="BG737" s="550">
        <f t="shared" si="143"/>
        <v>0</v>
      </c>
      <c r="BH737" s="550">
        <f t="shared" si="144"/>
        <v>0</v>
      </c>
      <c r="BI737" s="550">
        <f t="shared" si="145"/>
        <v>2200</v>
      </c>
      <c r="BJ737" s="550">
        <f t="shared" si="146"/>
        <v>0</v>
      </c>
      <c r="BK737" s="550">
        <f t="shared" si="147"/>
        <v>0</v>
      </c>
      <c r="BL737" s="550">
        <f t="shared" si="148"/>
        <v>0</v>
      </c>
      <c r="BM737" s="550">
        <f t="shared" si="149"/>
        <v>2200</v>
      </c>
      <c r="BO737" s="194"/>
      <c r="BQ737" s="193">
        <f t="shared" si="150"/>
        <v>0</v>
      </c>
      <c r="BR737" s="193">
        <f t="shared" si="151"/>
        <v>0</v>
      </c>
    </row>
    <row r="738" spans="1:70" ht="13.5" customHeight="1">
      <c r="A738" s="193" t="s">
        <v>378</v>
      </c>
      <c r="B738" s="193" t="s">
        <v>379</v>
      </c>
      <c r="C738" s="193" t="s">
        <v>214</v>
      </c>
      <c r="D738" s="193" t="s">
        <v>667</v>
      </c>
      <c r="E738" s="193" t="s">
        <v>668</v>
      </c>
      <c r="F738" s="193" t="s">
        <v>1525</v>
      </c>
      <c r="G738" s="193" t="s">
        <v>1525</v>
      </c>
      <c r="H738" s="193" t="s">
        <v>2682</v>
      </c>
      <c r="I738" s="193" t="s">
        <v>384</v>
      </c>
      <c r="J738" s="193" t="s">
        <v>2683</v>
      </c>
      <c r="K738" s="193" t="s">
        <v>386</v>
      </c>
      <c r="L738" s="193" t="s">
        <v>387</v>
      </c>
      <c r="M738" s="193" t="s">
        <v>378</v>
      </c>
      <c r="N738" s="193" t="s">
        <v>1497</v>
      </c>
      <c r="O738" s="193" t="s">
        <v>129</v>
      </c>
      <c r="P738" s="193" t="s">
        <v>138</v>
      </c>
      <c r="Q738" s="193" t="s">
        <v>137</v>
      </c>
      <c r="R738" s="193" t="s">
        <v>136</v>
      </c>
      <c r="S738" s="193" t="s">
        <v>214</v>
      </c>
      <c r="T738" s="193" t="s">
        <v>389</v>
      </c>
      <c r="U738" s="193" t="s">
        <v>390</v>
      </c>
      <c r="V738" s="193">
        <v>0</v>
      </c>
      <c r="W738" s="193">
        <v>0</v>
      </c>
      <c r="X738" s="193">
        <v>0</v>
      </c>
      <c r="Y738" s="194">
        <v>4160</v>
      </c>
      <c r="Z738" s="193" t="s">
        <v>1498</v>
      </c>
      <c r="AA738" s="193" t="s">
        <v>1499</v>
      </c>
      <c r="AB738" s="193">
        <v>4160</v>
      </c>
      <c r="AC738" s="193" t="s">
        <v>1500</v>
      </c>
      <c r="AD738" s="193" t="s">
        <v>136</v>
      </c>
      <c r="AE738" s="193">
        <v>4160</v>
      </c>
      <c r="AF738" s="193" t="s">
        <v>518</v>
      </c>
      <c r="AG738" s="193" t="s">
        <v>519</v>
      </c>
      <c r="AH738" s="193">
        <v>0</v>
      </c>
      <c r="AI738" s="193">
        <v>4160</v>
      </c>
      <c r="AJ738" s="193" t="s">
        <v>2684</v>
      </c>
      <c r="AL738" s="197" t="s">
        <v>2685</v>
      </c>
      <c r="AM738" s="193">
        <v>1</v>
      </c>
      <c r="AN738" s="193">
        <v>0</v>
      </c>
      <c r="AO738" s="193">
        <v>0</v>
      </c>
      <c r="AP738" s="193">
        <v>0</v>
      </c>
      <c r="AQ738" s="193" t="s">
        <v>214</v>
      </c>
      <c r="AS738" s="197" t="s">
        <v>518</v>
      </c>
      <c r="AT738" s="197" t="s">
        <v>519</v>
      </c>
      <c r="AV738" s="194">
        <v>4160</v>
      </c>
      <c r="AW738" s="194">
        <v>0</v>
      </c>
      <c r="AX738" s="194">
        <v>0</v>
      </c>
      <c r="AY738" s="549">
        <v>4160</v>
      </c>
      <c r="AZ738" s="194">
        <v>0</v>
      </c>
      <c r="BA738" s="194">
        <v>0</v>
      </c>
      <c r="BB738" s="551">
        <v>0</v>
      </c>
      <c r="BC738" s="551">
        <v>4160</v>
      </c>
      <c r="BD738" s="551">
        <v>0</v>
      </c>
      <c r="BF738" s="550">
        <f t="shared" si="142"/>
        <v>4160</v>
      </c>
      <c r="BG738" s="550">
        <f t="shared" si="143"/>
        <v>0</v>
      </c>
      <c r="BH738" s="550">
        <f t="shared" si="144"/>
        <v>0</v>
      </c>
      <c r="BI738" s="550">
        <f t="shared" si="145"/>
        <v>4160</v>
      </c>
      <c r="BJ738" s="550">
        <f t="shared" si="146"/>
        <v>0</v>
      </c>
      <c r="BK738" s="550">
        <f t="shared" si="147"/>
        <v>0</v>
      </c>
      <c r="BL738" s="550">
        <f t="shared" si="148"/>
        <v>0</v>
      </c>
      <c r="BM738" s="550">
        <f t="shared" si="149"/>
        <v>4160</v>
      </c>
      <c r="BO738" s="194"/>
      <c r="BQ738" s="193">
        <f t="shared" si="150"/>
        <v>0</v>
      </c>
      <c r="BR738" s="193">
        <f t="shared" si="151"/>
        <v>0</v>
      </c>
    </row>
    <row r="739" spans="1:70" ht="13.5" customHeight="1">
      <c r="A739" s="193" t="s">
        <v>378</v>
      </c>
      <c r="B739" s="193" t="s">
        <v>379</v>
      </c>
      <c r="C739" s="193" t="s">
        <v>214</v>
      </c>
      <c r="D739" s="193" t="s">
        <v>667</v>
      </c>
      <c r="E739" s="193" t="s">
        <v>668</v>
      </c>
      <c r="F739" s="193" t="s">
        <v>1525</v>
      </c>
      <c r="G739" s="193" t="s">
        <v>1525</v>
      </c>
      <c r="H739" s="193" t="s">
        <v>2686</v>
      </c>
      <c r="I739" s="193" t="s">
        <v>384</v>
      </c>
      <c r="J739" s="193" t="s">
        <v>2687</v>
      </c>
      <c r="K739" s="193" t="s">
        <v>386</v>
      </c>
      <c r="L739" s="193" t="s">
        <v>387</v>
      </c>
      <c r="M739" s="193" t="s">
        <v>378</v>
      </c>
      <c r="N739" s="193" t="s">
        <v>1497</v>
      </c>
      <c r="O739" s="193" t="s">
        <v>129</v>
      </c>
      <c r="P739" s="193" t="s">
        <v>138</v>
      </c>
      <c r="Q739" s="193" t="s">
        <v>137</v>
      </c>
      <c r="R739" s="193" t="s">
        <v>136</v>
      </c>
      <c r="S739" s="193" t="s">
        <v>214</v>
      </c>
      <c r="T739" s="193" t="s">
        <v>389</v>
      </c>
      <c r="U739" s="193" t="s">
        <v>390</v>
      </c>
      <c r="V739" s="193">
        <v>0</v>
      </c>
      <c r="W739" s="193">
        <v>0</v>
      </c>
      <c r="X739" s="193">
        <v>0</v>
      </c>
      <c r="Y739" s="194">
        <v>11900</v>
      </c>
      <c r="Z739" s="193" t="s">
        <v>1498</v>
      </c>
      <c r="AA739" s="193" t="s">
        <v>1499</v>
      </c>
      <c r="AB739" s="193">
        <v>11900</v>
      </c>
      <c r="AC739" s="193" t="s">
        <v>1500</v>
      </c>
      <c r="AD739" s="193" t="s">
        <v>136</v>
      </c>
      <c r="AE739" s="193">
        <v>11900</v>
      </c>
      <c r="AF739" s="193" t="s">
        <v>518</v>
      </c>
      <c r="AG739" s="193" t="s">
        <v>519</v>
      </c>
      <c r="AH739" s="193">
        <v>0</v>
      </c>
      <c r="AI739" s="193">
        <v>11900</v>
      </c>
      <c r="AJ739" s="193" t="s">
        <v>2688</v>
      </c>
      <c r="AL739" s="197" t="s">
        <v>2689</v>
      </c>
      <c r="AM739" s="193">
        <v>1</v>
      </c>
      <c r="AN739" s="193">
        <v>0</v>
      </c>
      <c r="AO739" s="193">
        <v>0</v>
      </c>
      <c r="AP739" s="193">
        <v>0</v>
      </c>
      <c r="AQ739" s="193" t="s">
        <v>214</v>
      </c>
      <c r="AS739" s="197" t="s">
        <v>518</v>
      </c>
      <c r="AT739" s="197" t="s">
        <v>519</v>
      </c>
      <c r="AV739" s="194">
        <v>11900</v>
      </c>
      <c r="AW739" s="194">
        <v>0</v>
      </c>
      <c r="AX739" s="194">
        <v>0</v>
      </c>
      <c r="AY739" s="549">
        <v>11900</v>
      </c>
      <c r="AZ739" s="194">
        <v>0</v>
      </c>
      <c r="BA739" s="194">
        <v>0</v>
      </c>
      <c r="BB739" s="551">
        <v>0</v>
      </c>
      <c r="BC739" s="551">
        <v>11900</v>
      </c>
      <c r="BD739" s="551">
        <v>0</v>
      </c>
      <c r="BF739" s="550">
        <f t="shared" si="142"/>
        <v>11900</v>
      </c>
      <c r="BG739" s="550">
        <f t="shared" si="143"/>
        <v>0</v>
      </c>
      <c r="BH739" s="550">
        <f t="shared" si="144"/>
        <v>0</v>
      </c>
      <c r="BI739" s="550">
        <f t="shared" si="145"/>
        <v>11900</v>
      </c>
      <c r="BJ739" s="550">
        <f t="shared" si="146"/>
        <v>0</v>
      </c>
      <c r="BK739" s="550">
        <f t="shared" si="147"/>
        <v>0</v>
      </c>
      <c r="BL739" s="550">
        <f t="shared" si="148"/>
        <v>0</v>
      </c>
      <c r="BM739" s="550">
        <f t="shared" si="149"/>
        <v>11900</v>
      </c>
      <c r="BO739" s="194"/>
      <c r="BQ739" s="193">
        <f t="shared" si="150"/>
        <v>0</v>
      </c>
      <c r="BR739" s="193">
        <f t="shared" si="151"/>
        <v>0</v>
      </c>
    </row>
    <row r="740" spans="1:70" ht="13.5" customHeight="1">
      <c r="A740" s="193" t="s">
        <v>378</v>
      </c>
      <c r="B740" s="193" t="s">
        <v>379</v>
      </c>
      <c r="C740" s="193" t="s">
        <v>214</v>
      </c>
      <c r="D740" s="193" t="s">
        <v>667</v>
      </c>
      <c r="E740" s="193" t="s">
        <v>668</v>
      </c>
      <c r="F740" s="193" t="s">
        <v>1525</v>
      </c>
      <c r="G740" s="193" t="s">
        <v>1525</v>
      </c>
      <c r="H740" s="193" t="s">
        <v>2690</v>
      </c>
      <c r="I740" s="193" t="s">
        <v>384</v>
      </c>
      <c r="J740" s="193" t="s">
        <v>2691</v>
      </c>
      <c r="K740" s="193" t="s">
        <v>386</v>
      </c>
      <c r="L740" s="193" t="s">
        <v>387</v>
      </c>
      <c r="M740" s="193" t="s">
        <v>378</v>
      </c>
      <c r="N740" s="193" t="s">
        <v>1497</v>
      </c>
      <c r="O740" s="193" t="s">
        <v>129</v>
      </c>
      <c r="P740" s="193" t="s">
        <v>138</v>
      </c>
      <c r="Q740" s="193" t="s">
        <v>137</v>
      </c>
      <c r="R740" s="193" t="s">
        <v>136</v>
      </c>
      <c r="S740" s="193" t="s">
        <v>214</v>
      </c>
      <c r="T740" s="193" t="s">
        <v>389</v>
      </c>
      <c r="U740" s="193" t="s">
        <v>390</v>
      </c>
      <c r="V740" s="193">
        <v>0</v>
      </c>
      <c r="W740" s="193">
        <v>0</v>
      </c>
      <c r="X740" s="193">
        <v>0</v>
      </c>
      <c r="Y740" s="194">
        <v>21620</v>
      </c>
      <c r="Z740" s="193" t="s">
        <v>1498</v>
      </c>
      <c r="AA740" s="193" t="s">
        <v>1499</v>
      </c>
      <c r="AB740" s="193">
        <v>21620</v>
      </c>
      <c r="AC740" s="193" t="s">
        <v>1500</v>
      </c>
      <c r="AD740" s="193" t="s">
        <v>136</v>
      </c>
      <c r="AE740" s="193">
        <v>21620</v>
      </c>
      <c r="AF740" s="193" t="s">
        <v>518</v>
      </c>
      <c r="AG740" s="193" t="s">
        <v>519</v>
      </c>
      <c r="AH740" s="193">
        <v>0</v>
      </c>
      <c r="AI740" s="193">
        <v>21620</v>
      </c>
      <c r="AJ740" s="193" t="s">
        <v>2692</v>
      </c>
      <c r="AL740" s="197" t="s">
        <v>2693</v>
      </c>
      <c r="AM740" s="193">
        <v>1</v>
      </c>
      <c r="AN740" s="193">
        <v>0</v>
      </c>
      <c r="AO740" s="193">
        <v>0</v>
      </c>
      <c r="AP740" s="193">
        <v>0</v>
      </c>
      <c r="AQ740" s="193" t="s">
        <v>214</v>
      </c>
      <c r="AS740" s="197" t="s">
        <v>518</v>
      </c>
      <c r="AT740" s="197" t="s">
        <v>519</v>
      </c>
      <c r="AV740" s="194">
        <v>21620</v>
      </c>
      <c r="AW740" s="194">
        <v>0</v>
      </c>
      <c r="AX740" s="194">
        <v>0</v>
      </c>
      <c r="AY740" s="549">
        <v>21620</v>
      </c>
      <c r="AZ740" s="194">
        <v>0</v>
      </c>
      <c r="BA740" s="194">
        <v>0</v>
      </c>
      <c r="BB740" s="551">
        <v>0</v>
      </c>
      <c r="BC740" s="551">
        <v>21620</v>
      </c>
      <c r="BD740" s="551">
        <v>0</v>
      </c>
      <c r="BF740" s="550">
        <f t="shared" si="142"/>
        <v>21620</v>
      </c>
      <c r="BG740" s="550">
        <f t="shared" si="143"/>
        <v>0</v>
      </c>
      <c r="BH740" s="550">
        <f t="shared" si="144"/>
        <v>0</v>
      </c>
      <c r="BI740" s="550">
        <f t="shared" si="145"/>
        <v>21620</v>
      </c>
      <c r="BJ740" s="550">
        <f t="shared" si="146"/>
        <v>0</v>
      </c>
      <c r="BK740" s="550">
        <f t="shared" si="147"/>
        <v>0</v>
      </c>
      <c r="BL740" s="550">
        <f t="shared" si="148"/>
        <v>0</v>
      </c>
      <c r="BM740" s="550">
        <f t="shared" si="149"/>
        <v>21620</v>
      </c>
      <c r="BO740" s="194"/>
      <c r="BQ740" s="193">
        <f t="shared" si="150"/>
        <v>0</v>
      </c>
      <c r="BR740" s="193">
        <f t="shared" si="151"/>
        <v>0</v>
      </c>
    </row>
    <row r="741" spans="1:70" ht="13.5" customHeight="1">
      <c r="A741" s="193" t="s">
        <v>378</v>
      </c>
      <c r="B741" s="193" t="s">
        <v>379</v>
      </c>
      <c r="C741" s="193" t="s">
        <v>214</v>
      </c>
      <c r="D741" s="193" t="s">
        <v>667</v>
      </c>
      <c r="E741" s="193" t="s">
        <v>668</v>
      </c>
      <c r="F741" s="193" t="s">
        <v>1525</v>
      </c>
      <c r="G741" s="193" t="s">
        <v>1525</v>
      </c>
      <c r="H741" s="193" t="s">
        <v>2694</v>
      </c>
      <c r="I741" s="193" t="s">
        <v>384</v>
      </c>
      <c r="J741" s="193" t="s">
        <v>2695</v>
      </c>
      <c r="K741" s="193" t="s">
        <v>386</v>
      </c>
      <c r="L741" s="193" t="s">
        <v>387</v>
      </c>
      <c r="M741" s="193" t="s">
        <v>378</v>
      </c>
      <c r="N741" s="193" t="s">
        <v>1497</v>
      </c>
      <c r="O741" s="193" t="s">
        <v>129</v>
      </c>
      <c r="P741" s="193" t="s">
        <v>138</v>
      </c>
      <c r="Q741" s="193" t="s">
        <v>137</v>
      </c>
      <c r="R741" s="193" t="s">
        <v>136</v>
      </c>
      <c r="S741" s="193" t="s">
        <v>214</v>
      </c>
      <c r="T741" s="193" t="s">
        <v>389</v>
      </c>
      <c r="U741" s="193" t="s">
        <v>390</v>
      </c>
      <c r="V741" s="193">
        <v>0</v>
      </c>
      <c r="W741" s="193">
        <v>0</v>
      </c>
      <c r="X741" s="193">
        <v>0</v>
      </c>
      <c r="Y741" s="194">
        <v>19</v>
      </c>
      <c r="Z741" s="193" t="s">
        <v>1498</v>
      </c>
      <c r="AA741" s="193" t="s">
        <v>1499</v>
      </c>
      <c r="AB741" s="193">
        <v>19</v>
      </c>
      <c r="AC741" s="193" t="s">
        <v>1500</v>
      </c>
      <c r="AD741" s="193" t="s">
        <v>136</v>
      </c>
      <c r="AE741" s="193">
        <v>19</v>
      </c>
      <c r="AF741" s="193" t="s">
        <v>518</v>
      </c>
      <c r="AG741" s="193" t="s">
        <v>519</v>
      </c>
      <c r="AH741" s="193">
        <v>0</v>
      </c>
      <c r="AI741" s="193">
        <v>19</v>
      </c>
      <c r="AJ741" s="193" t="s">
        <v>2696</v>
      </c>
      <c r="AL741" s="197" t="s">
        <v>2697</v>
      </c>
      <c r="AM741" s="193">
        <v>1</v>
      </c>
      <c r="AN741" s="193">
        <v>0</v>
      </c>
      <c r="AO741" s="193">
        <v>0</v>
      </c>
      <c r="AP741" s="193">
        <v>0</v>
      </c>
      <c r="AQ741" s="193" t="s">
        <v>214</v>
      </c>
      <c r="AS741" s="197" t="s">
        <v>518</v>
      </c>
      <c r="AT741" s="197" t="s">
        <v>519</v>
      </c>
      <c r="AV741" s="194">
        <v>19</v>
      </c>
      <c r="AW741" s="194">
        <v>0</v>
      </c>
      <c r="AX741" s="194">
        <v>0</v>
      </c>
      <c r="AY741" s="549">
        <v>19</v>
      </c>
      <c r="AZ741" s="194">
        <v>0</v>
      </c>
      <c r="BA741" s="194">
        <v>0</v>
      </c>
      <c r="BB741" s="551">
        <v>0</v>
      </c>
      <c r="BC741" s="551">
        <v>19</v>
      </c>
      <c r="BD741" s="551">
        <v>0</v>
      </c>
      <c r="BF741" s="550">
        <f t="shared" si="142"/>
        <v>19</v>
      </c>
      <c r="BG741" s="550">
        <f t="shared" si="143"/>
        <v>0</v>
      </c>
      <c r="BH741" s="550">
        <f t="shared" si="144"/>
        <v>0</v>
      </c>
      <c r="BI741" s="550">
        <f t="shared" si="145"/>
        <v>19</v>
      </c>
      <c r="BJ741" s="550">
        <f t="shared" si="146"/>
        <v>0</v>
      </c>
      <c r="BK741" s="550">
        <f t="shared" si="147"/>
        <v>0</v>
      </c>
      <c r="BL741" s="550">
        <f t="shared" si="148"/>
        <v>0</v>
      </c>
      <c r="BM741" s="550">
        <f t="shared" si="149"/>
        <v>19</v>
      </c>
      <c r="BO741" s="194"/>
      <c r="BQ741" s="193">
        <f t="shared" si="150"/>
        <v>0</v>
      </c>
      <c r="BR741" s="193">
        <f t="shared" si="151"/>
        <v>0</v>
      </c>
    </row>
    <row r="742" spans="1:70" ht="13.5" customHeight="1">
      <c r="A742" s="193" t="s">
        <v>378</v>
      </c>
      <c r="B742" s="193" t="s">
        <v>379</v>
      </c>
      <c r="C742" s="193" t="s">
        <v>214</v>
      </c>
      <c r="D742" s="193" t="s">
        <v>667</v>
      </c>
      <c r="E742" s="193" t="s">
        <v>668</v>
      </c>
      <c r="F742" s="193" t="s">
        <v>1525</v>
      </c>
      <c r="G742" s="193" t="s">
        <v>1525</v>
      </c>
      <c r="H742" s="193" t="s">
        <v>2698</v>
      </c>
      <c r="I742" s="193" t="s">
        <v>384</v>
      </c>
      <c r="J742" s="193" t="s">
        <v>2699</v>
      </c>
      <c r="K742" s="193" t="s">
        <v>386</v>
      </c>
      <c r="L742" s="193" t="s">
        <v>387</v>
      </c>
      <c r="M742" s="193" t="s">
        <v>378</v>
      </c>
      <c r="N742" s="193" t="s">
        <v>1497</v>
      </c>
      <c r="O742" s="193" t="s">
        <v>129</v>
      </c>
      <c r="P742" s="193" t="s">
        <v>138</v>
      </c>
      <c r="Q742" s="193" t="s">
        <v>137</v>
      </c>
      <c r="R742" s="193" t="s">
        <v>136</v>
      </c>
      <c r="S742" s="193" t="s">
        <v>214</v>
      </c>
      <c r="T742" s="193" t="s">
        <v>389</v>
      </c>
      <c r="U742" s="193" t="s">
        <v>390</v>
      </c>
      <c r="V742" s="193">
        <v>0</v>
      </c>
      <c r="W742" s="193">
        <v>0</v>
      </c>
      <c r="X742" s="193">
        <v>0</v>
      </c>
      <c r="Y742" s="194">
        <v>6700</v>
      </c>
      <c r="Z742" s="193" t="s">
        <v>1498</v>
      </c>
      <c r="AA742" s="193" t="s">
        <v>1499</v>
      </c>
      <c r="AB742" s="193">
        <v>6700</v>
      </c>
      <c r="AC742" s="193" t="s">
        <v>1500</v>
      </c>
      <c r="AD742" s="193" t="s">
        <v>136</v>
      </c>
      <c r="AE742" s="193">
        <v>6700</v>
      </c>
      <c r="AF742" s="193" t="s">
        <v>518</v>
      </c>
      <c r="AG742" s="193" t="s">
        <v>519</v>
      </c>
      <c r="AH742" s="193">
        <v>0</v>
      </c>
      <c r="AI742" s="193">
        <v>6700</v>
      </c>
      <c r="AJ742" s="193" t="s">
        <v>2700</v>
      </c>
      <c r="AL742" s="197" t="s">
        <v>2701</v>
      </c>
      <c r="AM742" s="193">
        <v>1</v>
      </c>
      <c r="AN742" s="193">
        <v>0</v>
      </c>
      <c r="AO742" s="193">
        <v>0</v>
      </c>
      <c r="AP742" s="193">
        <v>0</v>
      </c>
      <c r="AQ742" s="193" t="s">
        <v>214</v>
      </c>
      <c r="AS742" s="197" t="s">
        <v>518</v>
      </c>
      <c r="AT742" s="197" t="s">
        <v>519</v>
      </c>
      <c r="AV742" s="194">
        <v>6700</v>
      </c>
      <c r="AW742" s="194">
        <v>0</v>
      </c>
      <c r="AX742" s="194">
        <v>0</v>
      </c>
      <c r="AY742" s="549">
        <v>6700</v>
      </c>
      <c r="AZ742" s="194">
        <v>0</v>
      </c>
      <c r="BA742" s="194">
        <v>0</v>
      </c>
      <c r="BB742" s="551">
        <v>0</v>
      </c>
      <c r="BC742" s="551">
        <v>6700</v>
      </c>
      <c r="BD742" s="551">
        <v>0</v>
      </c>
      <c r="BF742" s="550">
        <f t="shared" si="142"/>
        <v>6700</v>
      </c>
      <c r="BG742" s="550">
        <f t="shared" si="143"/>
        <v>0</v>
      </c>
      <c r="BH742" s="550">
        <f t="shared" si="144"/>
        <v>0</v>
      </c>
      <c r="BI742" s="550">
        <f t="shared" si="145"/>
        <v>6700</v>
      </c>
      <c r="BJ742" s="550">
        <f t="shared" si="146"/>
        <v>0</v>
      </c>
      <c r="BK742" s="550">
        <f t="shared" si="147"/>
        <v>0</v>
      </c>
      <c r="BL742" s="550">
        <f t="shared" si="148"/>
        <v>0</v>
      </c>
      <c r="BM742" s="550">
        <f t="shared" si="149"/>
        <v>6700</v>
      </c>
      <c r="BO742" s="194"/>
      <c r="BQ742" s="193">
        <f t="shared" si="150"/>
        <v>0</v>
      </c>
      <c r="BR742" s="193">
        <f t="shared" si="151"/>
        <v>0</v>
      </c>
    </row>
    <row r="743" spans="1:70" ht="13.5" customHeight="1">
      <c r="A743" s="193" t="s">
        <v>378</v>
      </c>
      <c r="B743" s="193" t="s">
        <v>379</v>
      </c>
      <c r="C743" s="193" t="s">
        <v>214</v>
      </c>
      <c r="D743" s="193" t="s">
        <v>667</v>
      </c>
      <c r="E743" s="193" t="s">
        <v>668</v>
      </c>
      <c r="F743" s="193" t="s">
        <v>1525</v>
      </c>
      <c r="G743" s="193" t="s">
        <v>1525</v>
      </c>
      <c r="H743" s="193" t="s">
        <v>2702</v>
      </c>
      <c r="I743" s="193" t="s">
        <v>384</v>
      </c>
      <c r="J743" s="193" t="s">
        <v>2703</v>
      </c>
      <c r="K743" s="193" t="s">
        <v>386</v>
      </c>
      <c r="L743" s="193" t="s">
        <v>387</v>
      </c>
      <c r="M743" s="193" t="s">
        <v>378</v>
      </c>
      <c r="N743" s="193" t="s">
        <v>1497</v>
      </c>
      <c r="O743" s="193" t="s">
        <v>129</v>
      </c>
      <c r="P743" s="193" t="s">
        <v>138</v>
      </c>
      <c r="Q743" s="193" t="s">
        <v>137</v>
      </c>
      <c r="R743" s="193" t="s">
        <v>136</v>
      </c>
      <c r="S743" s="193" t="s">
        <v>214</v>
      </c>
      <c r="T743" s="193" t="s">
        <v>389</v>
      </c>
      <c r="U743" s="193" t="s">
        <v>390</v>
      </c>
      <c r="V743" s="193">
        <v>0</v>
      </c>
      <c r="W743" s="193">
        <v>0</v>
      </c>
      <c r="X743" s="193">
        <v>0</v>
      </c>
      <c r="Y743" s="194">
        <v>39</v>
      </c>
      <c r="Z743" s="193" t="s">
        <v>1498</v>
      </c>
      <c r="AA743" s="193" t="s">
        <v>1499</v>
      </c>
      <c r="AB743" s="193">
        <v>39</v>
      </c>
      <c r="AC743" s="193" t="s">
        <v>1500</v>
      </c>
      <c r="AD743" s="193" t="s">
        <v>136</v>
      </c>
      <c r="AE743" s="193">
        <v>39</v>
      </c>
      <c r="AF743" s="193" t="s">
        <v>518</v>
      </c>
      <c r="AG743" s="193" t="s">
        <v>519</v>
      </c>
      <c r="AH743" s="193">
        <v>0</v>
      </c>
      <c r="AI743" s="193">
        <v>39</v>
      </c>
      <c r="AJ743" s="193" t="s">
        <v>2704</v>
      </c>
      <c r="AL743" s="197" t="s">
        <v>2705</v>
      </c>
      <c r="AM743" s="193">
        <v>1</v>
      </c>
      <c r="AN743" s="193">
        <v>0</v>
      </c>
      <c r="AO743" s="193">
        <v>0</v>
      </c>
      <c r="AP743" s="193">
        <v>0</v>
      </c>
      <c r="AQ743" s="193" t="s">
        <v>214</v>
      </c>
      <c r="AS743" s="197" t="s">
        <v>518</v>
      </c>
      <c r="AT743" s="197" t="s">
        <v>519</v>
      </c>
      <c r="AV743" s="194">
        <v>39</v>
      </c>
      <c r="AW743" s="194">
        <v>0</v>
      </c>
      <c r="AX743" s="194">
        <v>0</v>
      </c>
      <c r="AY743" s="549">
        <v>39</v>
      </c>
      <c r="AZ743" s="194">
        <v>0</v>
      </c>
      <c r="BA743" s="194">
        <v>0</v>
      </c>
      <c r="BB743" s="551">
        <v>0</v>
      </c>
      <c r="BC743" s="551">
        <v>39</v>
      </c>
      <c r="BD743" s="551">
        <v>0</v>
      </c>
      <c r="BF743" s="550">
        <f t="shared" si="142"/>
        <v>39</v>
      </c>
      <c r="BG743" s="550">
        <f t="shared" si="143"/>
        <v>0</v>
      </c>
      <c r="BH743" s="550">
        <f t="shared" si="144"/>
        <v>0</v>
      </c>
      <c r="BI743" s="550">
        <f t="shared" si="145"/>
        <v>39</v>
      </c>
      <c r="BJ743" s="550">
        <f t="shared" si="146"/>
        <v>0</v>
      </c>
      <c r="BK743" s="550">
        <f t="shared" si="147"/>
        <v>0</v>
      </c>
      <c r="BL743" s="550">
        <f t="shared" si="148"/>
        <v>0</v>
      </c>
      <c r="BM743" s="550">
        <f t="shared" si="149"/>
        <v>39</v>
      </c>
      <c r="BO743" s="194"/>
      <c r="BQ743" s="193">
        <f t="shared" si="150"/>
        <v>0</v>
      </c>
      <c r="BR743" s="193">
        <f t="shared" si="151"/>
        <v>0</v>
      </c>
    </row>
    <row r="744" spans="1:70" ht="13.5" customHeight="1">
      <c r="A744" s="193" t="s">
        <v>378</v>
      </c>
      <c r="B744" s="193" t="s">
        <v>379</v>
      </c>
      <c r="C744" s="193" t="s">
        <v>214</v>
      </c>
      <c r="D744" s="193" t="s">
        <v>667</v>
      </c>
      <c r="E744" s="193" t="s">
        <v>668</v>
      </c>
      <c r="F744" s="193" t="s">
        <v>1525</v>
      </c>
      <c r="G744" s="193" t="s">
        <v>1525</v>
      </c>
      <c r="H744" s="193" t="s">
        <v>2706</v>
      </c>
      <c r="I744" s="193" t="s">
        <v>384</v>
      </c>
      <c r="J744" s="193" t="s">
        <v>2707</v>
      </c>
      <c r="K744" s="193" t="s">
        <v>386</v>
      </c>
      <c r="L744" s="193" t="s">
        <v>387</v>
      </c>
      <c r="M744" s="193" t="s">
        <v>378</v>
      </c>
      <c r="N744" s="193" t="s">
        <v>1497</v>
      </c>
      <c r="O744" s="193" t="s">
        <v>129</v>
      </c>
      <c r="P744" s="193" t="s">
        <v>138</v>
      </c>
      <c r="Q744" s="193" t="s">
        <v>137</v>
      </c>
      <c r="R744" s="193" t="s">
        <v>136</v>
      </c>
      <c r="S744" s="193" t="s">
        <v>214</v>
      </c>
      <c r="T744" s="193" t="s">
        <v>389</v>
      </c>
      <c r="U744" s="193" t="s">
        <v>390</v>
      </c>
      <c r="V744" s="193">
        <v>0</v>
      </c>
      <c r="W744" s="193">
        <v>0</v>
      </c>
      <c r="X744" s="193">
        <v>0</v>
      </c>
      <c r="Y744" s="194">
        <v>16800</v>
      </c>
      <c r="Z744" s="193" t="s">
        <v>1498</v>
      </c>
      <c r="AA744" s="193" t="s">
        <v>1499</v>
      </c>
      <c r="AB744" s="193">
        <v>16800</v>
      </c>
      <c r="AC744" s="193" t="s">
        <v>1500</v>
      </c>
      <c r="AD744" s="193" t="s">
        <v>136</v>
      </c>
      <c r="AE744" s="193">
        <v>16800</v>
      </c>
      <c r="AF744" s="193" t="s">
        <v>518</v>
      </c>
      <c r="AG744" s="193" t="s">
        <v>519</v>
      </c>
      <c r="AH744" s="193">
        <v>0</v>
      </c>
      <c r="AI744" s="193">
        <v>16800</v>
      </c>
      <c r="AJ744" s="193" t="s">
        <v>2708</v>
      </c>
      <c r="AL744" s="197" t="s">
        <v>2709</v>
      </c>
      <c r="AM744" s="193">
        <v>1</v>
      </c>
      <c r="AN744" s="193">
        <v>0</v>
      </c>
      <c r="AO744" s="193">
        <v>0</v>
      </c>
      <c r="AP744" s="193">
        <v>0</v>
      </c>
      <c r="AQ744" s="193" t="s">
        <v>214</v>
      </c>
      <c r="AS744" s="197" t="s">
        <v>518</v>
      </c>
      <c r="AT744" s="197" t="s">
        <v>519</v>
      </c>
      <c r="AV744" s="194">
        <v>16800</v>
      </c>
      <c r="AW744" s="194">
        <v>0</v>
      </c>
      <c r="AX744" s="194">
        <v>0</v>
      </c>
      <c r="AY744" s="549">
        <v>16800</v>
      </c>
      <c r="AZ744" s="194">
        <v>0</v>
      </c>
      <c r="BA744" s="194">
        <v>0</v>
      </c>
      <c r="BB744" s="551">
        <v>0</v>
      </c>
      <c r="BC744" s="551">
        <v>16800</v>
      </c>
      <c r="BD744" s="551">
        <v>0</v>
      </c>
      <c r="BF744" s="550">
        <f t="shared" si="142"/>
        <v>16800</v>
      </c>
      <c r="BG744" s="550">
        <f t="shared" si="143"/>
        <v>0</v>
      </c>
      <c r="BH744" s="550">
        <f t="shared" si="144"/>
        <v>0</v>
      </c>
      <c r="BI744" s="550">
        <f t="shared" si="145"/>
        <v>16800</v>
      </c>
      <c r="BJ744" s="550">
        <f t="shared" si="146"/>
        <v>0</v>
      </c>
      <c r="BK744" s="550">
        <f t="shared" si="147"/>
        <v>0</v>
      </c>
      <c r="BL744" s="550">
        <f t="shared" si="148"/>
        <v>0</v>
      </c>
      <c r="BM744" s="550">
        <f t="shared" si="149"/>
        <v>16800</v>
      </c>
      <c r="BO744" s="194"/>
      <c r="BQ744" s="193">
        <f t="shared" si="150"/>
        <v>0</v>
      </c>
      <c r="BR744" s="193">
        <f t="shared" si="151"/>
        <v>0</v>
      </c>
    </row>
    <row r="745" spans="1:70" ht="13.5" customHeight="1">
      <c r="A745" s="193" t="s">
        <v>378</v>
      </c>
      <c r="B745" s="193" t="s">
        <v>379</v>
      </c>
      <c r="C745" s="193" t="s">
        <v>214</v>
      </c>
      <c r="D745" s="193" t="s">
        <v>667</v>
      </c>
      <c r="E745" s="193" t="s">
        <v>668</v>
      </c>
      <c r="F745" s="193" t="s">
        <v>1525</v>
      </c>
      <c r="G745" s="193" t="s">
        <v>1525</v>
      </c>
      <c r="H745" s="193" t="s">
        <v>2710</v>
      </c>
      <c r="I745" s="193" t="s">
        <v>384</v>
      </c>
      <c r="J745" s="193" t="s">
        <v>2711</v>
      </c>
      <c r="K745" s="193" t="s">
        <v>386</v>
      </c>
      <c r="L745" s="193" t="s">
        <v>387</v>
      </c>
      <c r="M745" s="193" t="s">
        <v>378</v>
      </c>
      <c r="N745" s="193" t="s">
        <v>1497</v>
      </c>
      <c r="O745" s="193" t="s">
        <v>129</v>
      </c>
      <c r="P745" s="193" t="s">
        <v>138</v>
      </c>
      <c r="Q745" s="193" t="s">
        <v>137</v>
      </c>
      <c r="R745" s="193" t="s">
        <v>136</v>
      </c>
      <c r="S745" s="193" t="s">
        <v>214</v>
      </c>
      <c r="T745" s="193" t="s">
        <v>389</v>
      </c>
      <c r="U745" s="193" t="s">
        <v>390</v>
      </c>
      <c r="V745" s="193">
        <v>0</v>
      </c>
      <c r="W745" s="193">
        <v>0</v>
      </c>
      <c r="X745" s="193">
        <v>0</v>
      </c>
      <c r="Y745" s="194">
        <v>6000</v>
      </c>
      <c r="Z745" s="193" t="s">
        <v>1498</v>
      </c>
      <c r="AA745" s="193" t="s">
        <v>1499</v>
      </c>
      <c r="AB745" s="193">
        <v>6000</v>
      </c>
      <c r="AC745" s="193" t="s">
        <v>1500</v>
      </c>
      <c r="AD745" s="193" t="s">
        <v>136</v>
      </c>
      <c r="AE745" s="193">
        <v>6000</v>
      </c>
      <c r="AF745" s="193" t="s">
        <v>518</v>
      </c>
      <c r="AG745" s="193" t="s">
        <v>519</v>
      </c>
      <c r="AH745" s="193">
        <v>0</v>
      </c>
      <c r="AI745" s="193">
        <v>6000</v>
      </c>
      <c r="AJ745" s="193" t="s">
        <v>2712</v>
      </c>
      <c r="AL745" s="197" t="s">
        <v>2713</v>
      </c>
      <c r="AM745" s="193">
        <v>1</v>
      </c>
      <c r="AN745" s="193">
        <v>0</v>
      </c>
      <c r="AO745" s="193">
        <v>0</v>
      </c>
      <c r="AP745" s="193">
        <v>0</v>
      </c>
      <c r="AQ745" s="193" t="s">
        <v>214</v>
      </c>
      <c r="AS745" s="197" t="s">
        <v>518</v>
      </c>
      <c r="AT745" s="197" t="s">
        <v>519</v>
      </c>
      <c r="AV745" s="194">
        <v>6000</v>
      </c>
      <c r="AW745" s="194">
        <v>0</v>
      </c>
      <c r="AX745" s="194">
        <v>0</v>
      </c>
      <c r="AY745" s="549">
        <v>6000</v>
      </c>
      <c r="AZ745" s="194">
        <v>0</v>
      </c>
      <c r="BA745" s="194">
        <v>0</v>
      </c>
      <c r="BB745" s="551">
        <v>0</v>
      </c>
      <c r="BC745" s="551">
        <v>6000</v>
      </c>
      <c r="BD745" s="551">
        <v>0</v>
      </c>
      <c r="BF745" s="550">
        <f t="shared" si="142"/>
        <v>6000</v>
      </c>
      <c r="BG745" s="550">
        <f t="shared" si="143"/>
        <v>0</v>
      </c>
      <c r="BH745" s="550">
        <f t="shared" si="144"/>
        <v>0</v>
      </c>
      <c r="BI745" s="550">
        <f t="shared" si="145"/>
        <v>6000</v>
      </c>
      <c r="BJ745" s="550">
        <f t="shared" si="146"/>
        <v>0</v>
      </c>
      <c r="BK745" s="550">
        <f t="shared" si="147"/>
        <v>0</v>
      </c>
      <c r="BL745" s="550">
        <f t="shared" si="148"/>
        <v>0</v>
      </c>
      <c r="BM745" s="550">
        <f t="shared" si="149"/>
        <v>6000</v>
      </c>
      <c r="BO745" s="194"/>
      <c r="BQ745" s="193">
        <f t="shared" si="150"/>
        <v>0</v>
      </c>
      <c r="BR745" s="193">
        <f t="shared" si="151"/>
        <v>0</v>
      </c>
    </row>
    <row r="746" spans="1:70" ht="13.5" customHeight="1">
      <c r="A746" s="193" t="s">
        <v>378</v>
      </c>
      <c r="B746" s="193" t="s">
        <v>379</v>
      </c>
      <c r="C746" s="193" t="s">
        <v>214</v>
      </c>
      <c r="D746" s="193" t="s">
        <v>667</v>
      </c>
      <c r="E746" s="193" t="s">
        <v>668</v>
      </c>
      <c r="F746" s="193" t="s">
        <v>1525</v>
      </c>
      <c r="G746" s="193" t="s">
        <v>1525</v>
      </c>
      <c r="H746" s="193" t="s">
        <v>2714</v>
      </c>
      <c r="I746" s="193" t="s">
        <v>384</v>
      </c>
      <c r="J746" s="193" t="s">
        <v>2715</v>
      </c>
      <c r="K746" s="193" t="s">
        <v>386</v>
      </c>
      <c r="L746" s="193" t="s">
        <v>387</v>
      </c>
      <c r="M746" s="193" t="s">
        <v>378</v>
      </c>
      <c r="N746" s="193" t="s">
        <v>1497</v>
      </c>
      <c r="O746" s="193" t="s">
        <v>129</v>
      </c>
      <c r="P746" s="193" t="s">
        <v>138</v>
      </c>
      <c r="Q746" s="193" t="s">
        <v>137</v>
      </c>
      <c r="R746" s="193" t="s">
        <v>136</v>
      </c>
      <c r="S746" s="193" t="s">
        <v>214</v>
      </c>
      <c r="T746" s="193" t="s">
        <v>389</v>
      </c>
      <c r="U746" s="193" t="s">
        <v>390</v>
      </c>
      <c r="V746" s="193">
        <v>0</v>
      </c>
      <c r="W746" s="193">
        <v>0</v>
      </c>
      <c r="X746" s="193">
        <v>0</v>
      </c>
      <c r="Y746" s="194">
        <v>19400</v>
      </c>
      <c r="Z746" s="193" t="s">
        <v>1498</v>
      </c>
      <c r="AA746" s="193" t="s">
        <v>1499</v>
      </c>
      <c r="AB746" s="193">
        <v>19400</v>
      </c>
      <c r="AC746" s="193" t="s">
        <v>1500</v>
      </c>
      <c r="AD746" s="193" t="s">
        <v>136</v>
      </c>
      <c r="AE746" s="193">
        <v>19400</v>
      </c>
      <c r="AF746" s="193" t="s">
        <v>518</v>
      </c>
      <c r="AG746" s="193" t="s">
        <v>519</v>
      </c>
      <c r="AH746" s="193">
        <v>0</v>
      </c>
      <c r="AI746" s="193">
        <v>19400</v>
      </c>
      <c r="AJ746" s="193" t="s">
        <v>2716</v>
      </c>
      <c r="AL746" s="197" t="s">
        <v>2717</v>
      </c>
      <c r="AM746" s="193">
        <v>1</v>
      </c>
      <c r="AN746" s="193">
        <v>0</v>
      </c>
      <c r="AO746" s="193">
        <v>0</v>
      </c>
      <c r="AP746" s="193">
        <v>0</v>
      </c>
      <c r="AQ746" s="193" t="s">
        <v>214</v>
      </c>
      <c r="AS746" s="197" t="s">
        <v>518</v>
      </c>
      <c r="AT746" s="197" t="s">
        <v>519</v>
      </c>
      <c r="AV746" s="194">
        <v>19400</v>
      </c>
      <c r="AW746" s="194">
        <v>0</v>
      </c>
      <c r="AX746" s="194">
        <v>0</v>
      </c>
      <c r="AY746" s="549">
        <v>19400</v>
      </c>
      <c r="AZ746" s="194">
        <v>0</v>
      </c>
      <c r="BA746" s="194">
        <v>0</v>
      </c>
      <c r="BB746" s="551">
        <v>0</v>
      </c>
      <c r="BC746" s="551">
        <v>19400</v>
      </c>
      <c r="BD746" s="551">
        <v>0</v>
      </c>
      <c r="BF746" s="550">
        <f t="shared" si="142"/>
        <v>19400</v>
      </c>
      <c r="BG746" s="550">
        <f t="shared" si="143"/>
        <v>0</v>
      </c>
      <c r="BH746" s="550">
        <f t="shared" si="144"/>
        <v>0</v>
      </c>
      <c r="BI746" s="550">
        <f t="shared" si="145"/>
        <v>19400</v>
      </c>
      <c r="BJ746" s="550">
        <f t="shared" si="146"/>
        <v>0</v>
      </c>
      <c r="BK746" s="550">
        <f t="shared" si="147"/>
        <v>0</v>
      </c>
      <c r="BL746" s="550">
        <f t="shared" si="148"/>
        <v>0</v>
      </c>
      <c r="BM746" s="550">
        <f t="shared" si="149"/>
        <v>19400</v>
      </c>
      <c r="BO746" s="194"/>
      <c r="BQ746" s="193">
        <f t="shared" si="150"/>
        <v>0</v>
      </c>
      <c r="BR746" s="193">
        <f t="shared" si="151"/>
        <v>0</v>
      </c>
    </row>
    <row r="747" spans="1:70" ht="13.5" customHeight="1">
      <c r="A747" s="193" t="s">
        <v>378</v>
      </c>
      <c r="B747" s="193" t="s">
        <v>379</v>
      </c>
      <c r="C747" s="193" t="s">
        <v>214</v>
      </c>
      <c r="D747" s="193" t="s">
        <v>667</v>
      </c>
      <c r="E747" s="193" t="s">
        <v>668</v>
      </c>
      <c r="F747" s="193" t="s">
        <v>1525</v>
      </c>
      <c r="G747" s="193" t="s">
        <v>1525</v>
      </c>
      <c r="H747" s="193" t="s">
        <v>2718</v>
      </c>
      <c r="I747" s="193" t="s">
        <v>384</v>
      </c>
      <c r="J747" s="193" t="s">
        <v>2719</v>
      </c>
      <c r="K747" s="193" t="s">
        <v>386</v>
      </c>
      <c r="L747" s="193" t="s">
        <v>387</v>
      </c>
      <c r="M747" s="193" t="s">
        <v>378</v>
      </c>
      <c r="N747" s="193" t="s">
        <v>1497</v>
      </c>
      <c r="O747" s="193" t="s">
        <v>129</v>
      </c>
      <c r="P747" s="193" t="s">
        <v>138</v>
      </c>
      <c r="Q747" s="193" t="s">
        <v>137</v>
      </c>
      <c r="R747" s="193" t="s">
        <v>136</v>
      </c>
      <c r="S747" s="193" t="s">
        <v>214</v>
      </c>
      <c r="T747" s="193" t="s">
        <v>389</v>
      </c>
      <c r="U747" s="193" t="s">
        <v>390</v>
      </c>
      <c r="V747" s="193">
        <v>0</v>
      </c>
      <c r="W747" s="193">
        <v>0</v>
      </c>
      <c r="X747" s="193">
        <v>0</v>
      </c>
      <c r="Y747" s="194">
        <v>51</v>
      </c>
      <c r="Z747" s="193" t="s">
        <v>1498</v>
      </c>
      <c r="AA747" s="193" t="s">
        <v>1499</v>
      </c>
      <c r="AB747" s="193">
        <v>51</v>
      </c>
      <c r="AC747" s="193" t="s">
        <v>1500</v>
      </c>
      <c r="AD747" s="193" t="s">
        <v>136</v>
      </c>
      <c r="AE747" s="193">
        <v>51</v>
      </c>
      <c r="AF747" s="193" t="s">
        <v>518</v>
      </c>
      <c r="AG747" s="193" t="s">
        <v>519</v>
      </c>
      <c r="AH747" s="193">
        <v>0</v>
      </c>
      <c r="AI747" s="193">
        <v>51</v>
      </c>
      <c r="AJ747" s="193" t="s">
        <v>2716</v>
      </c>
      <c r="AL747" s="197" t="s">
        <v>2720</v>
      </c>
      <c r="AM747" s="193">
        <v>1</v>
      </c>
      <c r="AN747" s="193">
        <v>0</v>
      </c>
      <c r="AO747" s="193">
        <v>0</v>
      </c>
      <c r="AP747" s="193">
        <v>0</v>
      </c>
      <c r="AQ747" s="193" t="s">
        <v>214</v>
      </c>
      <c r="AS747" s="197" t="s">
        <v>518</v>
      </c>
      <c r="AT747" s="197" t="s">
        <v>519</v>
      </c>
      <c r="AV747" s="194">
        <v>51</v>
      </c>
      <c r="AW747" s="194">
        <v>0</v>
      </c>
      <c r="AX747" s="194">
        <v>0</v>
      </c>
      <c r="AY747" s="549">
        <v>51</v>
      </c>
      <c r="AZ747" s="194">
        <v>0</v>
      </c>
      <c r="BA747" s="194">
        <v>0</v>
      </c>
      <c r="BB747" s="551">
        <v>0</v>
      </c>
      <c r="BC747" s="551">
        <v>51</v>
      </c>
      <c r="BD747" s="551">
        <v>0</v>
      </c>
      <c r="BF747" s="550">
        <f t="shared" si="142"/>
        <v>51</v>
      </c>
      <c r="BG747" s="550">
        <f t="shared" si="143"/>
        <v>0</v>
      </c>
      <c r="BH747" s="550">
        <f t="shared" si="144"/>
        <v>0</v>
      </c>
      <c r="BI747" s="550">
        <f t="shared" si="145"/>
        <v>51</v>
      </c>
      <c r="BJ747" s="550">
        <f t="shared" si="146"/>
        <v>0</v>
      </c>
      <c r="BK747" s="550">
        <f t="shared" si="147"/>
        <v>0</v>
      </c>
      <c r="BL747" s="550">
        <f t="shared" si="148"/>
        <v>0</v>
      </c>
      <c r="BM747" s="550">
        <f t="shared" si="149"/>
        <v>51</v>
      </c>
      <c r="BO747" s="194"/>
      <c r="BQ747" s="193">
        <f t="shared" si="150"/>
        <v>0</v>
      </c>
      <c r="BR747" s="193">
        <f t="shared" si="151"/>
        <v>0</v>
      </c>
    </row>
    <row r="748" spans="1:70" ht="13.5" customHeight="1">
      <c r="A748" s="193" t="s">
        <v>378</v>
      </c>
      <c r="B748" s="193" t="s">
        <v>379</v>
      </c>
      <c r="C748" s="193" t="s">
        <v>214</v>
      </c>
      <c r="D748" s="193" t="s">
        <v>667</v>
      </c>
      <c r="E748" s="193" t="s">
        <v>668</v>
      </c>
      <c r="F748" s="193" t="s">
        <v>1525</v>
      </c>
      <c r="G748" s="193" t="s">
        <v>1525</v>
      </c>
      <c r="H748" s="193" t="s">
        <v>2721</v>
      </c>
      <c r="I748" s="193" t="s">
        <v>384</v>
      </c>
      <c r="J748" s="193" t="s">
        <v>2722</v>
      </c>
      <c r="K748" s="193" t="s">
        <v>386</v>
      </c>
      <c r="L748" s="193" t="s">
        <v>387</v>
      </c>
      <c r="M748" s="193" t="s">
        <v>378</v>
      </c>
      <c r="N748" s="193" t="s">
        <v>1497</v>
      </c>
      <c r="O748" s="193" t="s">
        <v>129</v>
      </c>
      <c r="P748" s="193" t="s">
        <v>138</v>
      </c>
      <c r="Q748" s="193" t="s">
        <v>137</v>
      </c>
      <c r="R748" s="193" t="s">
        <v>136</v>
      </c>
      <c r="S748" s="193" t="s">
        <v>214</v>
      </c>
      <c r="T748" s="193" t="s">
        <v>389</v>
      </c>
      <c r="U748" s="193" t="s">
        <v>390</v>
      </c>
      <c r="V748" s="193">
        <v>0</v>
      </c>
      <c r="W748" s="193">
        <v>0</v>
      </c>
      <c r="X748" s="193">
        <v>0</v>
      </c>
      <c r="Y748" s="194">
        <v>14700</v>
      </c>
      <c r="Z748" s="193" t="s">
        <v>1498</v>
      </c>
      <c r="AA748" s="193" t="s">
        <v>1499</v>
      </c>
      <c r="AB748" s="193">
        <v>14700</v>
      </c>
      <c r="AC748" s="193" t="s">
        <v>1500</v>
      </c>
      <c r="AD748" s="193" t="s">
        <v>136</v>
      </c>
      <c r="AE748" s="193">
        <v>14700</v>
      </c>
      <c r="AF748" s="193" t="s">
        <v>518</v>
      </c>
      <c r="AG748" s="193" t="s">
        <v>519</v>
      </c>
      <c r="AH748" s="193">
        <v>0</v>
      </c>
      <c r="AI748" s="193">
        <v>14700</v>
      </c>
      <c r="AJ748" s="193" t="s">
        <v>2723</v>
      </c>
      <c r="AL748" s="197" t="s">
        <v>2724</v>
      </c>
      <c r="AM748" s="193">
        <v>1</v>
      </c>
      <c r="AN748" s="193">
        <v>0</v>
      </c>
      <c r="AO748" s="193">
        <v>0</v>
      </c>
      <c r="AP748" s="193">
        <v>0</v>
      </c>
      <c r="AQ748" s="193" t="s">
        <v>214</v>
      </c>
      <c r="AS748" s="197" t="s">
        <v>518</v>
      </c>
      <c r="AT748" s="197" t="s">
        <v>519</v>
      </c>
      <c r="AV748" s="194">
        <v>14700</v>
      </c>
      <c r="AW748" s="194">
        <v>0</v>
      </c>
      <c r="AX748" s="194">
        <v>0</v>
      </c>
      <c r="AY748" s="549">
        <v>14700</v>
      </c>
      <c r="AZ748" s="194">
        <v>0</v>
      </c>
      <c r="BA748" s="194">
        <v>0</v>
      </c>
      <c r="BB748" s="551">
        <v>0</v>
      </c>
      <c r="BC748" s="551">
        <v>14700</v>
      </c>
      <c r="BD748" s="551">
        <v>0</v>
      </c>
      <c r="BF748" s="550">
        <f t="shared" si="142"/>
        <v>14700</v>
      </c>
      <c r="BG748" s="550">
        <f t="shared" si="143"/>
        <v>0</v>
      </c>
      <c r="BH748" s="550">
        <f t="shared" si="144"/>
        <v>0</v>
      </c>
      <c r="BI748" s="550">
        <f t="shared" si="145"/>
        <v>14700</v>
      </c>
      <c r="BJ748" s="550">
        <f t="shared" si="146"/>
        <v>0</v>
      </c>
      <c r="BK748" s="550">
        <f t="shared" si="147"/>
        <v>0</v>
      </c>
      <c r="BL748" s="550">
        <f t="shared" si="148"/>
        <v>0</v>
      </c>
      <c r="BM748" s="550">
        <f t="shared" si="149"/>
        <v>14700</v>
      </c>
      <c r="BO748" s="194"/>
      <c r="BQ748" s="193">
        <f t="shared" si="150"/>
        <v>0</v>
      </c>
      <c r="BR748" s="193">
        <f t="shared" si="151"/>
        <v>0</v>
      </c>
    </row>
    <row r="749" spans="1:70" ht="13.5" customHeight="1">
      <c r="A749" s="193" t="s">
        <v>378</v>
      </c>
      <c r="B749" s="193" t="s">
        <v>379</v>
      </c>
      <c r="C749" s="193" t="s">
        <v>214</v>
      </c>
      <c r="D749" s="193" t="s">
        <v>667</v>
      </c>
      <c r="E749" s="193" t="s">
        <v>668</v>
      </c>
      <c r="F749" s="193" t="s">
        <v>1525</v>
      </c>
      <c r="G749" s="193" t="s">
        <v>1525</v>
      </c>
      <c r="H749" s="193" t="s">
        <v>2725</v>
      </c>
      <c r="I749" s="193" t="s">
        <v>384</v>
      </c>
      <c r="J749" s="193" t="s">
        <v>2726</v>
      </c>
      <c r="K749" s="193" t="s">
        <v>386</v>
      </c>
      <c r="L749" s="193" t="s">
        <v>387</v>
      </c>
      <c r="M749" s="193" t="s">
        <v>378</v>
      </c>
      <c r="N749" s="193" t="s">
        <v>1497</v>
      </c>
      <c r="O749" s="193" t="s">
        <v>129</v>
      </c>
      <c r="P749" s="193" t="s">
        <v>138</v>
      </c>
      <c r="Q749" s="193" t="s">
        <v>137</v>
      </c>
      <c r="R749" s="193" t="s">
        <v>136</v>
      </c>
      <c r="S749" s="193" t="s">
        <v>214</v>
      </c>
      <c r="T749" s="193" t="s">
        <v>389</v>
      </c>
      <c r="U749" s="193" t="s">
        <v>390</v>
      </c>
      <c r="V749" s="193">
        <v>0</v>
      </c>
      <c r="W749" s="193">
        <v>0</v>
      </c>
      <c r="X749" s="193">
        <v>0</v>
      </c>
      <c r="Y749" s="194">
        <v>11760</v>
      </c>
      <c r="Z749" s="193" t="s">
        <v>1498</v>
      </c>
      <c r="AA749" s="193" t="s">
        <v>1499</v>
      </c>
      <c r="AB749" s="193">
        <v>11760</v>
      </c>
      <c r="AC749" s="193" t="s">
        <v>1500</v>
      </c>
      <c r="AD749" s="193" t="s">
        <v>136</v>
      </c>
      <c r="AE749" s="193">
        <v>11760</v>
      </c>
      <c r="AF749" s="193" t="s">
        <v>518</v>
      </c>
      <c r="AG749" s="193" t="s">
        <v>519</v>
      </c>
      <c r="AH749" s="193">
        <v>0</v>
      </c>
      <c r="AI749" s="193">
        <v>11760</v>
      </c>
      <c r="AJ749" s="193" t="s">
        <v>2727</v>
      </c>
      <c r="AL749" s="197" t="s">
        <v>2728</v>
      </c>
      <c r="AM749" s="193">
        <v>1</v>
      </c>
      <c r="AN749" s="193">
        <v>0</v>
      </c>
      <c r="AO749" s="193">
        <v>0</v>
      </c>
      <c r="AP749" s="193">
        <v>0</v>
      </c>
      <c r="AQ749" s="193" t="s">
        <v>214</v>
      </c>
      <c r="AS749" s="197" t="s">
        <v>518</v>
      </c>
      <c r="AT749" s="197" t="s">
        <v>519</v>
      </c>
      <c r="AV749" s="194">
        <v>11760</v>
      </c>
      <c r="AW749" s="194">
        <v>0</v>
      </c>
      <c r="AX749" s="194">
        <v>0</v>
      </c>
      <c r="AY749" s="549">
        <v>11760</v>
      </c>
      <c r="AZ749" s="194">
        <v>0</v>
      </c>
      <c r="BA749" s="194">
        <v>0</v>
      </c>
      <c r="BB749" s="551">
        <v>0</v>
      </c>
      <c r="BC749" s="551">
        <v>11760</v>
      </c>
      <c r="BD749" s="551">
        <v>0</v>
      </c>
      <c r="BF749" s="550">
        <f t="shared" si="142"/>
        <v>11760</v>
      </c>
      <c r="BG749" s="550">
        <f t="shared" si="143"/>
        <v>0</v>
      </c>
      <c r="BH749" s="550">
        <f t="shared" si="144"/>
        <v>0</v>
      </c>
      <c r="BI749" s="550">
        <f t="shared" si="145"/>
        <v>11760</v>
      </c>
      <c r="BJ749" s="550">
        <f t="shared" si="146"/>
        <v>0</v>
      </c>
      <c r="BK749" s="550">
        <f t="shared" si="147"/>
        <v>0</v>
      </c>
      <c r="BL749" s="550">
        <f t="shared" si="148"/>
        <v>0</v>
      </c>
      <c r="BM749" s="550">
        <f t="shared" si="149"/>
        <v>11760</v>
      </c>
      <c r="BO749" s="194"/>
      <c r="BQ749" s="193">
        <f t="shared" si="150"/>
        <v>0</v>
      </c>
      <c r="BR749" s="193">
        <f t="shared" si="151"/>
        <v>0</v>
      </c>
    </row>
    <row r="750" spans="1:70" ht="13.5" customHeight="1">
      <c r="A750" s="193" t="s">
        <v>378</v>
      </c>
      <c r="B750" s="193" t="s">
        <v>379</v>
      </c>
      <c r="C750" s="193" t="s">
        <v>214</v>
      </c>
      <c r="D750" s="193" t="s">
        <v>667</v>
      </c>
      <c r="E750" s="193" t="s">
        <v>668</v>
      </c>
      <c r="F750" s="193" t="s">
        <v>1525</v>
      </c>
      <c r="G750" s="193" t="s">
        <v>1525</v>
      </c>
      <c r="H750" s="193" t="s">
        <v>2729</v>
      </c>
      <c r="I750" s="193" t="s">
        <v>384</v>
      </c>
      <c r="J750" s="193" t="s">
        <v>2730</v>
      </c>
      <c r="K750" s="193" t="s">
        <v>386</v>
      </c>
      <c r="L750" s="193" t="s">
        <v>387</v>
      </c>
      <c r="M750" s="193" t="s">
        <v>378</v>
      </c>
      <c r="N750" s="193" t="s">
        <v>1497</v>
      </c>
      <c r="O750" s="193" t="s">
        <v>129</v>
      </c>
      <c r="P750" s="193" t="s">
        <v>138</v>
      </c>
      <c r="Q750" s="193" t="s">
        <v>137</v>
      </c>
      <c r="R750" s="193" t="s">
        <v>136</v>
      </c>
      <c r="S750" s="193" t="s">
        <v>214</v>
      </c>
      <c r="T750" s="193" t="s">
        <v>389</v>
      </c>
      <c r="U750" s="193" t="s">
        <v>390</v>
      </c>
      <c r="V750" s="193">
        <v>0</v>
      </c>
      <c r="W750" s="193">
        <v>0</v>
      </c>
      <c r="X750" s="193">
        <v>0</v>
      </c>
      <c r="Y750" s="194">
        <v>20000</v>
      </c>
      <c r="Z750" s="193" t="s">
        <v>1498</v>
      </c>
      <c r="AA750" s="193" t="s">
        <v>1499</v>
      </c>
      <c r="AB750" s="193">
        <v>20000</v>
      </c>
      <c r="AC750" s="193" t="s">
        <v>1500</v>
      </c>
      <c r="AD750" s="193" t="s">
        <v>136</v>
      </c>
      <c r="AE750" s="193">
        <v>20000</v>
      </c>
      <c r="AF750" s="193" t="s">
        <v>518</v>
      </c>
      <c r="AG750" s="193" t="s">
        <v>519</v>
      </c>
      <c r="AH750" s="193">
        <v>0</v>
      </c>
      <c r="AI750" s="193">
        <v>20000</v>
      </c>
      <c r="AJ750" s="193" t="s">
        <v>2731</v>
      </c>
      <c r="AL750" s="197" t="s">
        <v>2732</v>
      </c>
      <c r="AM750" s="193">
        <v>1</v>
      </c>
      <c r="AN750" s="193">
        <v>0</v>
      </c>
      <c r="AO750" s="193">
        <v>0</v>
      </c>
      <c r="AP750" s="193">
        <v>0</v>
      </c>
      <c r="AQ750" s="193" t="s">
        <v>214</v>
      </c>
      <c r="AS750" s="197" t="s">
        <v>518</v>
      </c>
      <c r="AT750" s="197" t="s">
        <v>519</v>
      </c>
      <c r="AV750" s="194">
        <v>20000</v>
      </c>
      <c r="AW750" s="194">
        <v>0</v>
      </c>
      <c r="AX750" s="194">
        <v>0</v>
      </c>
      <c r="AY750" s="549">
        <v>20000</v>
      </c>
      <c r="AZ750" s="194">
        <v>0</v>
      </c>
      <c r="BA750" s="194">
        <v>0</v>
      </c>
      <c r="BB750" s="551">
        <v>0</v>
      </c>
      <c r="BC750" s="551">
        <v>20000</v>
      </c>
      <c r="BD750" s="551">
        <v>0</v>
      </c>
      <c r="BF750" s="550">
        <f t="shared" si="142"/>
        <v>20000</v>
      </c>
      <c r="BG750" s="550">
        <f t="shared" si="143"/>
        <v>0</v>
      </c>
      <c r="BH750" s="550">
        <f t="shared" si="144"/>
        <v>0</v>
      </c>
      <c r="BI750" s="550">
        <f t="shared" si="145"/>
        <v>20000</v>
      </c>
      <c r="BJ750" s="550">
        <f t="shared" si="146"/>
        <v>0</v>
      </c>
      <c r="BK750" s="550">
        <f t="shared" si="147"/>
        <v>0</v>
      </c>
      <c r="BL750" s="550">
        <f t="shared" si="148"/>
        <v>0</v>
      </c>
      <c r="BM750" s="550">
        <f t="shared" si="149"/>
        <v>20000</v>
      </c>
      <c r="BO750" s="194"/>
      <c r="BQ750" s="193">
        <f t="shared" si="150"/>
        <v>0</v>
      </c>
      <c r="BR750" s="193">
        <f t="shared" si="151"/>
        <v>0</v>
      </c>
    </row>
    <row r="751" spans="1:70" ht="13.5" customHeight="1">
      <c r="A751" s="193" t="s">
        <v>378</v>
      </c>
      <c r="B751" s="193" t="s">
        <v>379</v>
      </c>
      <c r="C751" s="193" t="s">
        <v>214</v>
      </c>
      <c r="D751" s="193" t="s">
        <v>667</v>
      </c>
      <c r="E751" s="193" t="s">
        <v>668</v>
      </c>
      <c r="F751" s="193" t="s">
        <v>1525</v>
      </c>
      <c r="G751" s="193" t="s">
        <v>1525</v>
      </c>
      <c r="H751" s="193" t="s">
        <v>2733</v>
      </c>
      <c r="I751" s="193" t="s">
        <v>384</v>
      </c>
      <c r="J751" s="193" t="s">
        <v>2734</v>
      </c>
      <c r="K751" s="193" t="s">
        <v>386</v>
      </c>
      <c r="L751" s="193" t="s">
        <v>387</v>
      </c>
      <c r="M751" s="193" t="s">
        <v>378</v>
      </c>
      <c r="N751" s="193" t="s">
        <v>1497</v>
      </c>
      <c r="O751" s="193" t="s">
        <v>129</v>
      </c>
      <c r="P751" s="193" t="s">
        <v>138</v>
      </c>
      <c r="Q751" s="193" t="s">
        <v>137</v>
      </c>
      <c r="R751" s="193" t="s">
        <v>136</v>
      </c>
      <c r="S751" s="193" t="s">
        <v>214</v>
      </c>
      <c r="T751" s="193" t="s">
        <v>389</v>
      </c>
      <c r="U751" s="193" t="s">
        <v>390</v>
      </c>
      <c r="V751" s="193">
        <v>0</v>
      </c>
      <c r="W751" s="193">
        <v>0</v>
      </c>
      <c r="X751" s="193">
        <v>0</v>
      </c>
      <c r="Y751" s="194">
        <v>20040</v>
      </c>
      <c r="Z751" s="193" t="s">
        <v>1498</v>
      </c>
      <c r="AA751" s="193" t="s">
        <v>1499</v>
      </c>
      <c r="AB751" s="193">
        <v>20040</v>
      </c>
      <c r="AC751" s="193" t="s">
        <v>1500</v>
      </c>
      <c r="AD751" s="193" t="s">
        <v>136</v>
      </c>
      <c r="AE751" s="193">
        <v>20040</v>
      </c>
      <c r="AF751" s="193" t="s">
        <v>518</v>
      </c>
      <c r="AG751" s="193" t="s">
        <v>519</v>
      </c>
      <c r="AH751" s="193">
        <v>0</v>
      </c>
      <c r="AI751" s="193">
        <v>20040</v>
      </c>
      <c r="AJ751" s="193" t="s">
        <v>2735</v>
      </c>
      <c r="AL751" s="197" t="s">
        <v>2736</v>
      </c>
      <c r="AM751" s="193">
        <v>1</v>
      </c>
      <c r="AN751" s="193">
        <v>0</v>
      </c>
      <c r="AO751" s="193">
        <v>0</v>
      </c>
      <c r="AP751" s="193">
        <v>0</v>
      </c>
      <c r="AQ751" s="193" t="s">
        <v>214</v>
      </c>
      <c r="AS751" s="197" t="s">
        <v>518</v>
      </c>
      <c r="AT751" s="197" t="s">
        <v>519</v>
      </c>
      <c r="AV751" s="194">
        <v>20040</v>
      </c>
      <c r="AW751" s="194">
        <v>0</v>
      </c>
      <c r="AX751" s="194">
        <v>0</v>
      </c>
      <c r="AY751" s="549">
        <v>20040</v>
      </c>
      <c r="AZ751" s="194">
        <v>0</v>
      </c>
      <c r="BA751" s="194">
        <v>0</v>
      </c>
      <c r="BB751" s="551">
        <v>0</v>
      </c>
      <c r="BC751" s="551">
        <v>20040</v>
      </c>
      <c r="BD751" s="551">
        <v>0</v>
      </c>
      <c r="BF751" s="550">
        <f t="shared" si="142"/>
        <v>20040</v>
      </c>
      <c r="BG751" s="550">
        <f t="shared" si="143"/>
        <v>0</v>
      </c>
      <c r="BH751" s="550">
        <f t="shared" si="144"/>
        <v>0</v>
      </c>
      <c r="BI751" s="550">
        <f t="shared" si="145"/>
        <v>20040</v>
      </c>
      <c r="BJ751" s="550">
        <f t="shared" si="146"/>
        <v>0</v>
      </c>
      <c r="BK751" s="550">
        <f t="shared" si="147"/>
        <v>0</v>
      </c>
      <c r="BL751" s="550">
        <f t="shared" si="148"/>
        <v>0</v>
      </c>
      <c r="BM751" s="550">
        <f t="shared" si="149"/>
        <v>20040</v>
      </c>
      <c r="BO751" s="194"/>
      <c r="BQ751" s="193">
        <f t="shared" si="150"/>
        <v>0</v>
      </c>
      <c r="BR751" s="193">
        <f t="shared" si="151"/>
        <v>0</v>
      </c>
    </row>
    <row r="752" spans="1:70" ht="13.5" customHeight="1">
      <c r="A752" s="193" t="s">
        <v>378</v>
      </c>
      <c r="B752" s="193" t="s">
        <v>379</v>
      </c>
      <c r="C752" s="193" t="s">
        <v>214</v>
      </c>
      <c r="D752" s="193" t="s">
        <v>667</v>
      </c>
      <c r="E752" s="193" t="s">
        <v>668</v>
      </c>
      <c r="F752" s="193" t="s">
        <v>1525</v>
      </c>
      <c r="G752" s="193" t="s">
        <v>1525</v>
      </c>
      <c r="H752" s="193" t="s">
        <v>2737</v>
      </c>
      <c r="I752" s="193" t="s">
        <v>384</v>
      </c>
      <c r="J752" s="193" t="s">
        <v>2738</v>
      </c>
      <c r="K752" s="193" t="s">
        <v>386</v>
      </c>
      <c r="L752" s="193" t="s">
        <v>387</v>
      </c>
      <c r="M752" s="193" t="s">
        <v>378</v>
      </c>
      <c r="N752" s="193" t="s">
        <v>1497</v>
      </c>
      <c r="O752" s="193" t="s">
        <v>129</v>
      </c>
      <c r="P752" s="193" t="s">
        <v>138</v>
      </c>
      <c r="Q752" s="193" t="s">
        <v>137</v>
      </c>
      <c r="R752" s="193" t="s">
        <v>136</v>
      </c>
      <c r="S752" s="193" t="s">
        <v>214</v>
      </c>
      <c r="T752" s="193" t="s">
        <v>389</v>
      </c>
      <c r="U752" s="193" t="s">
        <v>390</v>
      </c>
      <c r="V752" s="193">
        <v>0</v>
      </c>
      <c r="W752" s="193">
        <v>0</v>
      </c>
      <c r="X752" s="193">
        <v>0</v>
      </c>
      <c r="Y752" s="194">
        <v>98620</v>
      </c>
      <c r="Z752" s="193" t="s">
        <v>1498</v>
      </c>
      <c r="AA752" s="193" t="s">
        <v>1499</v>
      </c>
      <c r="AB752" s="193">
        <v>98620</v>
      </c>
      <c r="AC752" s="193" t="s">
        <v>1500</v>
      </c>
      <c r="AD752" s="193" t="s">
        <v>136</v>
      </c>
      <c r="AE752" s="193">
        <v>98620</v>
      </c>
      <c r="AF752" s="193" t="s">
        <v>518</v>
      </c>
      <c r="AG752" s="193" t="s">
        <v>519</v>
      </c>
      <c r="AH752" s="193">
        <v>0</v>
      </c>
      <c r="AI752" s="193">
        <v>98620</v>
      </c>
      <c r="AJ752" s="193" t="s">
        <v>2739</v>
      </c>
      <c r="AL752" s="197" t="s">
        <v>2740</v>
      </c>
      <c r="AM752" s="193">
        <v>1</v>
      </c>
      <c r="AN752" s="193">
        <v>0</v>
      </c>
      <c r="AO752" s="193">
        <v>0</v>
      </c>
      <c r="AP752" s="193">
        <v>0</v>
      </c>
      <c r="AQ752" s="193" t="s">
        <v>214</v>
      </c>
      <c r="AS752" s="197" t="s">
        <v>518</v>
      </c>
      <c r="AT752" s="197" t="s">
        <v>519</v>
      </c>
      <c r="AV752" s="194">
        <v>98620</v>
      </c>
      <c r="AW752" s="194">
        <v>0</v>
      </c>
      <c r="AX752" s="194">
        <v>0</v>
      </c>
      <c r="AY752" s="549">
        <v>98620</v>
      </c>
      <c r="AZ752" s="194">
        <v>0</v>
      </c>
      <c r="BA752" s="194">
        <v>0</v>
      </c>
      <c r="BB752" s="551">
        <v>0</v>
      </c>
      <c r="BC752" s="551">
        <v>98620</v>
      </c>
      <c r="BD752" s="551">
        <v>0</v>
      </c>
      <c r="BF752" s="550">
        <f t="shared" si="142"/>
        <v>98620</v>
      </c>
      <c r="BG752" s="550">
        <f t="shared" si="143"/>
        <v>0</v>
      </c>
      <c r="BH752" s="550">
        <f t="shared" si="144"/>
        <v>0</v>
      </c>
      <c r="BI752" s="550">
        <f t="shared" si="145"/>
        <v>98620</v>
      </c>
      <c r="BJ752" s="550">
        <f t="shared" si="146"/>
        <v>0</v>
      </c>
      <c r="BK752" s="550">
        <f t="shared" si="147"/>
        <v>0</v>
      </c>
      <c r="BL752" s="550">
        <f t="shared" si="148"/>
        <v>0</v>
      </c>
      <c r="BM752" s="550">
        <f t="shared" si="149"/>
        <v>98620</v>
      </c>
      <c r="BO752" s="194"/>
      <c r="BQ752" s="193">
        <f t="shared" si="150"/>
        <v>0</v>
      </c>
      <c r="BR752" s="193">
        <f t="shared" si="151"/>
        <v>0</v>
      </c>
    </row>
    <row r="753" spans="1:70" ht="13.5" customHeight="1">
      <c r="A753" s="193" t="s">
        <v>378</v>
      </c>
      <c r="B753" s="193" t="s">
        <v>379</v>
      </c>
      <c r="C753" s="193" t="s">
        <v>214</v>
      </c>
      <c r="D753" s="193" t="s">
        <v>667</v>
      </c>
      <c r="E753" s="193" t="s">
        <v>668</v>
      </c>
      <c r="F753" s="193" t="s">
        <v>1525</v>
      </c>
      <c r="G753" s="193" t="s">
        <v>1525</v>
      </c>
      <c r="H753" s="193" t="s">
        <v>2741</v>
      </c>
      <c r="I753" s="193" t="s">
        <v>384</v>
      </c>
      <c r="J753" s="193" t="s">
        <v>2742</v>
      </c>
      <c r="K753" s="193" t="s">
        <v>386</v>
      </c>
      <c r="L753" s="193" t="s">
        <v>387</v>
      </c>
      <c r="M753" s="193" t="s">
        <v>378</v>
      </c>
      <c r="N753" s="193" t="s">
        <v>1497</v>
      </c>
      <c r="O753" s="193" t="s">
        <v>129</v>
      </c>
      <c r="P753" s="193" t="s">
        <v>138</v>
      </c>
      <c r="Q753" s="193" t="s">
        <v>137</v>
      </c>
      <c r="R753" s="193" t="s">
        <v>136</v>
      </c>
      <c r="S753" s="193" t="s">
        <v>214</v>
      </c>
      <c r="T753" s="193" t="s">
        <v>389</v>
      </c>
      <c r="U753" s="193" t="s">
        <v>390</v>
      </c>
      <c r="V753" s="193">
        <v>0</v>
      </c>
      <c r="W753" s="193">
        <v>0</v>
      </c>
      <c r="X753" s="193">
        <v>0</v>
      </c>
      <c r="Y753" s="194">
        <v>3</v>
      </c>
      <c r="Z753" s="193" t="s">
        <v>1498</v>
      </c>
      <c r="AA753" s="193" t="s">
        <v>1499</v>
      </c>
      <c r="AB753" s="193">
        <v>3</v>
      </c>
      <c r="AC753" s="193" t="s">
        <v>1500</v>
      </c>
      <c r="AD753" s="193" t="s">
        <v>136</v>
      </c>
      <c r="AE753" s="193">
        <v>3</v>
      </c>
      <c r="AF753" s="193" t="s">
        <v>518</v>
      </c>
      <c r="AG753" s="193" t="s">
        <v>519</v>
      </c>
      <c r="AH753" s="193">
        <v>0</v>
      </c>
      <c r="AI753" s="193">
        <v>3</v>
      </c>
      <c r="AJ753" s="193" t="s">
        <v>2712</v>
      </c>
      <c r="AL753" s="197" t="s">
        <v>2743</v>
      </c>
      <c r="AM753" s="193">
        <v>1</v>
      </c>
      <c r="AN753" s="193">
        <v>0</v>
      </c>
      <c r="AO753" s="193">
        <v>0</v>
      </c>
      <c r="AP753" s="193">
        <v>0</v>
      </c>
      <c r="AQ753" s="193" t="s">
        <v>214</v>
      </c>
      <c r="AS753" s="197" t="s">
        <v>518</v>
      </c>
      <c r="AT753" s="197" t="s">
        <v>519</v>
      </c>
      <c r="AV753" s="194">
        <v>3</v>
      </c>
      <c r="AW753" s="194">
        <v>0</v>
      </c>
      <c r="AX753" s="194">
        <v>0</v>
      </c>
      <c r="AY753" s="549">
        <v>3</v>
      </c>
      <c r="AZ753" s="194">
        <v>0</v>
      </c>
      <c r="BA753" s="194">
        <v>0</v>
      </c>
      <c r="BB753" s="551">
        <v>0</v>
      </c>
      <c r="BC753" s="551">
        <v>3</v>
      </c>
      <c r="BD753" s="551">
        <v>0</v>
      </c>
      <c r="BF753" s="550">
        <f t="shared" si="142"/>
        <v>3</v>
      </c>
      <c r="BG753" s="550">
        <f t="shared" si="143"/>
        <v>0</v>
      </c>
      <c r="BH753" s="550">
        <f t="shared" si="144"/>
        <v>0</v>
      </c>
      <c r="BI753" s="550">
        <f t="shared" si="145"/>
        <v>3</v>
      </c>
      <c r="BJ753" s="550">
        <f t="shared" si="146"/>
        <v>0</v>
      </c>
      <c r="BK753" s="550">
        <f t="shared" si="147"/>
        <v>0</v>
      </c>
      <c r="BL753" s="550">
        <f t="shared" si="148"/>
        <v>0</v>
      </c>
      <c r="BM753" s="550">
        <f t="shared" si="149"/>
        <v>3</v>
      </c>
      <c r="BO753" s="194"/>
      <c r="BQ753" s="193">
        <f t="shared" si="150"/>
        <v>0</v>
      </c>
      <c r="BR753" s="193">
        <f t="shared" si="151"/>
        <v>0</v>
      </c>
    </row>
    <row r="754" spans="1:70" ht="13.5" customHeight="1">
      <c r="A754" s="193" t="s">
        <v>378</v>
      </c>
      <c r="B754" s="193" t="s">
        <v>379</v>
      </c>
      <c r="C754" s="193" t="s">
        <v>214</v>
      </c>
      <c r="D754" s="193" t="s">
        <v>380</v>
      </c>
      <c r="E754" s="193" t="s">
        <v>381</v>
      </c>
      <c r="F754" s="193" t="s">
        <v>583</v>
      </c>
      <c r="G754" s="193" t="s">
        <v>583</v>
      </c>
      <c r="H754" s="193" t="s">
        <v>2744</v>
      </c>
      <c r="I754" s="193" t="s">
        <v>384</v>
      </c>
      <c r="J754" s="193" t="s">
        <v>2745</v>
      </c>
      <c r="K754" s="193" t="s">
        <v>386</v>
      </c>
      <c r="L754" s="193" t="s">
        <v>387</v>
      </c>
      <c r="M754" s="193" t="s">
        <v>378</v>
      </c>
      <c r="N754" s="193" t="s">
        <v>1497</v>
      </c>
      <c r="O754" s="193" t="s">
        <v>129</v>
      </c>
      <c r="P754" s="193" t="s">
        <v>138</v>
      </c>
      <c r="Q754" s="193" t="s">
        <v>137</v>
      </c>
      <c r="R754" s="193" t="s">
        <v>136</v>
      </c>
      <c r="S754" s="193" t="s">
        <v>214</v>
      </c>
      <c r="T754" s="193" t="s">
        <v>389</v>
      </c>
      <c r="U754" s="193" t="s">
        <v>390</v>
      </c>
      <c r="V754" s="193">
        <v>0</v>
      </c>
      <c r="W754" s="193">
        <v>0</v>
      </c>
      <c r="X754" s="193">
        <v>0</v>
      </c>
      <c r="Y754" s="194">
        <v>742668</v>
      </c>
      <c r="Z754" s="193" t="s">
        <v>1498</v>
      </c>
      <c r="AA754" s="193" t="s">
        <v>1499</v>
      </c>
      <c r="AB754" s="193">
        <v>742668</v>
      </c>
      <c r="AC754" s="193" t="s">
        <v>1500</v>
      </c>
      <c r="AD754" s="193" t="s">
        <v>136</v>
      </c>
      <c r="AE754" s="193">
        <v>742668</v>
      </c>
      <c r="AF754" s="193" t="s">
        <v>518</v>
      </c>
      <c r="AG754" s="193" t="s">
        <v>519</v>
      </c>
      <c r="AH754" s="193">
        <v>0</v>
      </c>
      <c r="AI754" s="193">
        <v>742668</v>
      </c>
      <c r="AJ754" s="193" t="s">
        <v>409</v>
      </c>
      <c r="AL754" s="197" t="s">
        <v>2746</v>
      </c>
      <c r="AM754" s="193">
        <v>1</v>
      </c>
      <c r="AN754" s="193">
        <v>0</v>
      </c>
      <c r="AO754" s="193">
        <v>0</v>
      </c>
      <c r="AP754" s="193">
        <v>0</v>
      </c>
      <c r="AQ754" s="193" t="s">
        <v>214</v>
      </c>
      <c r="AS754" s="197" t="s">
        <v>518</v>
      </c>
      <c r="AT754" s="197" t="s">
        <v>519</v>
      </c>
      <c r="AV754" s="194">
        <v>0</v>
      </c>
      <c r="AW754" s="194">
        <v>0</v>
      </c>
      <c r="AX754" s="194">
        <v>0</v>
      </c>
      <c r="AY754" s="549">
        <v>0</v>
      </c>
      <c r="AZ754" s="194">
        <v>0</v>
      </c>
      <c r="BA754" s="194">
        <v>742668</v>
      </c>
      <c r="BB754" s="551">
        <v>742668</v>
      </c>
      <c r="BC754" s="551">
        <v>742668</v>
      </c>
      <c r="BD754" s="551">
        <v>0</v>
      </c>
      <c r="BF754" s="550">
        <f t="shared" si="142"/>
        <v>0</v>
      </c>
      <c r="BG754" s="550">
        <f t="shared" si="143"/>
        <v>0</v>
      </c>
      <c r="BH754" s="550">
        <f t="shared" si="144"/>
        <v>0</v>
      </c>
      <c r="BI754" s="550">
        <f t="shared" si="145"/>
        <v>0</v>
      </c>
      <c r="BJ754" s="550">
        <f t="shared" si="146"/>
        <v>0</v>
      </c>
      <c r="BK754" s="550">
        <f t="shared" si="147"/>
        <v>742668</v>
      </c>
      <c r="BL754" s="550">
        <f t="shared" si="148"/>
        <v>742668</v>
      </c>
      <c r="BM754" s="550">
        <f t="shared" si="149"/>
        <v>742668</v>
      </c>
      <c r="BO754" s="194"/>
      <c r="BQ754" s="193">
        <f t="shared" si="150"/>
        <v>0</v>
      </c>
      <c r="BR754" s="193">
        <f t="shared" si="151"/>
        <v>0</v>
      </c>
    </row>
    <row r="755" spans="1:70" ht="13.5" customHeight="1">
      <c r="A755" s="193" t="s">
        <v>378</v>
      </c>
      <c r="B755" s="193" t="s">
        <v>379</v>
      </c>
      <c r="C755" s="193" t="s">
        <v>214</v>
      </c>
      <c r="D755" s="193" t="s">
        <v>380</v>
      </c>
      <c r="E755" s="193" t="s">
        <v>381</v>
      </c>
      <c r="F755" s="193" t="s">
        <v>2747</v>
      </c>
      <c r="G755" s="193" t="s">
        <v>2747</v>
      </c>
      <c r="H755" s="193" t="s">
        <v>2748</v>
      </c>
      <c r="I755" s="193" t="s">
        <v>384</v>
      </c>
      <c r="J755" s="193" t="s">
        <v>2749</v>
      </c>
      <c r="K755" s="193" t="s">
        <v>386</v>
      </c>
      <c r="L755" s="193" t="s">
        <v>387</v>
      </c>
      <c r="M755" s="193" t="s">
        <v>378</v>
      </c>
      <c r="N755" s="193" t="s">
        <v>1497</v>
      </c>
      <c r="O755" s="193" t="s">
        <v>129</v>
      </c>
      <c r="P755" s="193" t="s">
        <v>138</v>
      </c>
      <c r="Q755" s="193" t="s">
        <v>137</v>
      </c>
      <c r="R755" s="193" t="s">
        <v>136</v>
      </c>
      <c r="S755" s="193" t="s">
        <v>214</v>
      </c>
      <c r="T755" s="193" t="s">
        <v>389</v>
      </c>
      <c r="U755" s="193" t="s">
        <v>390</v>
      </c>
      <c r="V755" s="193">
        <v>0</v>
      </c>
      <c r="W755" s="193">
        <v>0</v>
      </c>
      <c r="X755" s="193">
        <v>0</v>
      </c>
      <c r="Y755" s="194">
        <v>310884</v>
      </c>
      <c r="Z755" s="193" t="s">
        <v>1498</v>
      </c>
      <c r="AA755" s="193" t="s">
        <v>1499</v>
      </c>
      <c r="AB755" s="193">
        <v>310884</v>
      </c>
      <c r="AC755" s="193" t="s">
        <v>1500</v>
      </c>
      <c r="AD755" s="193" t="s">
        <v>136</v>
      </c>
      <c r="AE755" s="193">
        <v>310884</v>
      </c>
      <c r="AF755" s="193" t="s">
        <v>518</v>
      </c>
      <c r="AG755" s="193" t="s">
        <v>519</v>
      </c>
      <c r="AH755" s="193">
        <v>0</v>
      </c>
      <c r="AI755" s="193">
        <v>310884</v>
      </c>
      <c r="AJ755" s="193" t="s">
        <v>396</v>
      </c>
      <c r="AL755" s="197" t="s">
        <v>2750</v>
      </c>
      <c r="AM755" s="193">
        <v>1</v>
      </c>
      <c r="AN755" s="193">
        <v>0</v>
      </c>
      <c r="AO755" s="193">
        <v>0</v>
      </c>
      <c r="AP755" s="193">
        <v>0</v>
      </c>
      <c r="AQ755" s="193" t="s">
        <v>214</v>
      </c>
      <c r="AS755" s="197" t="s">
        <v>518</v>
      </c>
      <c r="AT755" s="197" t="s">
        <v>519</v>
      </c>
      <c r="AV755" s="194">
        <v>0</v>
      </c>
      <c r="AW755" s="194">
        <v>0</v>
      </c>
      <c r="AX755" s="194">
        <v>0</v>
      </c>
      <c r="AY755" s="549">
        <v>0</v>
      </c>
      <c r="AZ755" s="194">
        <v>0</v>
      </c>
      <c r="BA755" s="194">
        <v>310884</v>
      </c>
      <c r="BB755" s="551">
        <v>310884</v>
      </c>
      <c r="BC755" s="551">
        <v>310884</v>
      </c>
      <c r="BD755" s="551">
        <v>0</v>
      </c>
      <c r="BF755" s="550">
        <f t="shared" si="142"/>
        <v>0</v>
      </c>
      <c r="BG755" s="550">
        <f t="shared" si="143"/>
        <v>0</v>
      </c>
      <c r="BH755" s="550">
        <f t="shared" si="144"/>
        <v>0</v>
      </c>
      <c r="BI755" s="550">
        <f t="shared" si="145"/>
        <v>0</v>
      </c>
      <c r="BJ755" s="550">
        <f t="shared" si="146"/>
        <v>0</v>
      </c>
      <c r="BK755" s="550">
        <f t="shared" si="147"/>
        <v>310884</v>
      </c>
      <c r="BL755" s="550">
        <f t="shared" si="148"/>
        <v>310884</v>
      </c>
      <c r="BM755" s="550">
        <f t="shared" si="149"/>
        <v>310884</v>
      </c>
      <c r="BO755" s="194"/>
      <c r="BQ755" s="193">
        <f t="shared" si="150"/>
        <v>0</v>
      </c>
      <c r="BR755" s="193">
        <f t="shared" si="151"/>
        <v>0</v>
      </c>
    </row>
    <row r="756" spans="1:70" ht="13.5" customHeight="1">
      <c r="A756" s="193" t="s">
        <v>378</v>
      </c>
      <c r="B756" s="193" t="s">
        <v>379</v>
      </c>
      <c r="C756" s="193" t="s">
        <v>214</v>
      </c>
      <c r="D756" s="193" t="s">
        <v>380</v>
      </c>
      <c r="E756" s="193" t="s">
        <v>381</v>
      </c>
      <c r="F756" s="193" t="s">
        <v>2747</v>
      </c>
      <c r="G756" s="193" t="s">
        <v>2747</v>
      </c>
      <c r="H756" s="193" t="s">
        <v>2751</v>
      </c>
      <c r="I756" s="193" t="s">
        <v>384</v>
      </c>
      <c r="J756" s="193" t="s">
        <v>2752</v>
      </c>
      <c r="K756" s="193" t="s">
        <v>386</v>
      </c>
      <c r="L756" s="193" t="s">
        <v>387</v>
      </c>
      <c r="M756" s="193" t="s">
        <v>378</v>
      </c>
      <c r="N756" s="193" t="s">
        <v>1497</v>
      </c>
      <c r="O756" s="193" t="s">
        <v>129</v>
      </c>
      <c r="P756" s="193" t="s">
        <v>138</v>
      </c>
      <c r="Q756" s="193" t="s">
        <v>137</v>
      </c>
      <c r="R756" s="193" t="s">
        <v>136</v>
      </c>
      <c r="S756" s="193" t="s">
        <v>214</v>
      </c>
      <c r="T756" s="193" t="s">
        <v>389</v>
      </c>
      <c r="U756" s="193" t="s">
        <v>390</v>
      </c>
      <c r="V756" s="193">
        <v>0</v>
      </c>
      <c r="W756" s="193">
        <v>0</v>
      </c>
      <c r="X756" s="193">
        <v>0</v>
      </c>
      <c r="Y756" s="194">
        <v>890</v>
      </c>
      <c r="Z756" s="193" t="s">
        <v>1498</v>
      </c>
      <c r="AA756" s="193" t="s">
        <v>1499</v>
      </c>
      <c r="AB756" s="193">
        <v>890</v>
      </c>
      <c r="AC756" s="193" t="s">
        <v>1500</v>
      </c>
      <c r="AD756" s="193" t="s">
        <v>136</v>
      </c>
      <c r="AE756" s="193">
        <v>890</v>
      </c>
      <c r="AF756" s="193" t="s">
        <v>518</v>
      </c>
      <c r="AG756" s="193" t="s">
        <v>519</v>
      </c>
      <c r="AH756" s="193">
        <v>0</v>
      </c>
      <c r="AI756" s="193">
        <v>890</v>
      </c>
      <c r="AJ756" s="193" t="s">
        <v>396</v>
      </c>
      <c r="AL756" s="197" t="s">
        <v>2753</v>
      </c>
      <c r="AM756" s="193">
        <v>1</v>
      </c>
      <c r="AN756" s="193">
        <v>0</v>
      </c>
      <c r="AO756" s="193">
        <v>0</v>
      </c>
      <c r="AP756" s="193">
        <v>0</v>
      </c>
      <c r="AQ756" s="193" t="s">
        <v>214</v>
      </c>
      <c r="AS756" s="197" t="s">
        <v>518</v>
      </c>
      <c r="AT756" s="197" t="s">
        <v>519</v>
      </c>
      <c r="AV756" s="194">
        <v>0</v>
      </c>
      <c r="AW756" s="194">
        <v>0</v>
      </c>
      <c r="AX756" s="194">
        <v>0</v>
      </c>
      <c r="AY756" s="549">
        <v>0</v>
      </c>
      <c r="AZ756" s="194">
        <v>0</v>
      </c>
      <c r="BA756" s="194">
        <v>890</v>
      </c>
      <c r="BB756" s="551">
        <v>890</v>
      </c>
      <c r="BC756" s="551">
        <v>890</v>
      </c>
      <c r="BD756" s="551">
        <v>0</v>
      </c>
      <c r="BF756" s="550">
        <f t="shared" si="142"/>
        <v>0</v>
      </c>
      <c r="BG756" s="550">
        <f t="shared" si="143"/>
        <v>0</v>
      </c>
      <c r="BH756" s="550">
        <f t="shared" si="144"/>
        <v>0</v>
      </c>
      <c r="BI756" s="550">
        <f t="shared" si="145"/>
        <v>0</v>
      </c>
      <c r="BJ756" s="550">
        <f t="shared" si="146"/>
        <v>0</v>
      </c>
      <c r="BK756" s="550">
        <f t="shared" si="147"/>
        <v>890</v>
      </c>
      <c r="BL756" s="550">
        <f t="shared" si="148"/>
        <v>890</v>
      </c>
      <c r="BM756" s="550">
        <f t="shared" si="149"/>
        <v>890</v>
      </c>
      <c r="BO756" s="194"/>
      <c r="BQ756" s="193">
        <f t="shared" si="150"/>
        <v>0</v>
      </c>
      <c r="BR756" s="193">
        <f t="shared" si="151"/>
        <v>0</v>
      </c>
    </row>
    <row r="757" spans="1:70" ht="13.5" customHeight="1">
      <c r="A757" s="193" t="s">
        <v>378</v>
      </c>
      <c r="B757" s="193" t="s">
        <v>379</v>
      </c>
      <c r="C757" s="193" t="s">
        <v>214</v>
      </c>
      <c r="D757" s="193" t="s">
        <v>380</v>
      </c>
      <c r="E757" s="193" t="s">
        <v>381</v>
      </c>
      <c r="F757" s="193" t="s">
        <v>583</v>
      </c>
      <c r="G757" s="193" t="s">
        <v>583</v>
      </c>
      <c r="H757" s="193" t="s">
        <v>2754</v>
      </c>
      <c r="I757" s="193" t="s">
        <v>384</v>
      </c>
      <c r="J757" s="193" t="s">
        <v>2755</v>
      </c>
      <c r="K757" s="193" t="s">
        <v>386</v>
      </c>
      <c r="L757" s="193" t="s">
        <v>387</v>
      </c>
      <c r="M757" s="193" t="s">
        <v>378</v>
      </c>
      <c r="N757" s="193" t="s">
        <v>1497</v>
      </c>
      <c r="O757" s="193" t="s">
        <v>129</v>
      </c>
      <c r="P757" s="193" t="s">
        <v>138</v>
      </c>
      <c r="Q757" s="193" t="s">
        <v>137</v>
      </c>
      <c r="R757" s="193" t="s">
        <v>136</v>
      </c>
      <c r="S757" s="193" t="s">
        <v>214</v>
      </c>
      <c r="T757" s="193" t="s">
        <v>389</v>
      </c>
      <c r="U757" s="193" t="s">
        <v>390</v>
      </c>
      <c r="V757" s="193">
        <v>0</v>
      </c>
      <c r="W757" s="193">
        <v>0</v>
      </c>
      <c r="X757" s="193">
        <v>0</v>
      </c>
      <c r="Y757" s="194">
        <v>4400</v>
      </c>
      <c r="Z757" s="193" t="s">
        <v>1498</v>
      </c>
      <c r="AA757" s="193" t="s">
        <v>1499</v>
      </c>
      <c r="AB757" s="193">
        <v>4400</v>
      </c>
      <c r="AC757" s="193" t="s">
        <v>1500</v>
      </c>
      <c r="AD757" s="193" t="s">
        <v>136</v>
      </c>
      <c r="AE757" s="193">
        <v>4400</v>
      </c>
      <c r="AF757" s="193" t="s">
        <v>518</v>
      </c>
      <c r="AG757" s="193" t="s">
        <v>519</v>
      </c>
      <c r="AH757" s="193">
        <v>0</v>
      </c>
      <c r="AI757" s="193">
        <v>4400</v>
      </c>
      <c r="AJ757" s="193" t="s">
        <v>2756</v>
      </c>
      <c r="AL757" s="197" t="s">
        <v>2757</v>
      </c>
      <c r="AM757" s="193">
        <v>1</v>
      </c>
      <c r="AN757" s="193">
        <v>0</v>
      </c>
      <c r="AO757" s="193">
        <v>0</v>
      </c>
      <c r="AP757" s="193">
        <v>0</v>
      </c>
      <c r="AQ757" s="193" t="s">
        <v>214</v>
      </c>
      <c r="AS757" s="197" t="s">
        <v>518</v>
      </c>
      <c r="AT757" s="197" t="s">
        <v>519</v>
      </c>
      <c r="AV757" s="194">
        <v>0</v>
      </c>
      <c r="AW757" s="194">
        <v>0</v>
      </c>
      <c r="AX757" s="194">
        <v>0</v>
      </c>
      <c r="AY757" s="549">
        <v>0</v>
      </c>
      <c r="AZ757" s="194">
        <v>0</v>
      </c>
      <c r="BA757" s="194">
        <v>4400</v>
      </c>
      <c r="BB757" s="551">
        <v>4400</v>
      </c>
      <c r="BC757" s="551">
        <v>4400</v>
      </c>
      <c r="BD757" s="551">
        <v>0</v>
      </c>
      <c r="BF757" s="550">
        <f t="shared" si="142"/>
        <v>0</v>
      </c>
      <c r="BG757" s="550">
        <f t="shared" si="143"/>
        <v>0</v>
      </c>
      <c r="BH757" s="550">
        <f t="shared" si="144"/>
        <v>0</v>
      </c>
      <c r="BI757" s="550">
        <f t="shared" si="145"/>
        <v>0</v>
      </c>
      <c r="BJ757" s="550">
        <f t="shared" si="146"/>
        <v>0</v>
      </c>
      <c r="BK757" s="550">
        <f t="shared" si="147"/>
        <v>4400</v>
      </c>
      <c r="BL757" s="550">
        <f t="shared" si="148"/>
        <v>4400</v>
      </c>
      <c r="BM757" s="550">
        <f t="shared" si="149"/>
        <v>4400</v>
      </c>
      <c r="BO757" s="194"/>
      <c r="BQ757" s="193">
        <f t="shared" si="150"/>
        <v>0</v>
      </c>
      <c r="BR757" s="193">
        <f t="shared" si="151"/>
        <v>0</v>
      </c>
    </row>
    <row r="758" spans="1:70" ht="13.5" customHeight="1">
      <c r="A758" s="193" t="s">
        <v>378</v>
      </c>
      <c r="B758" s="193" t="s">
        <v>379</v>
      </c>
      <c r="C758" s="193" t="s">
        <v>214</v>
      </c>
      <c r="D758" s="193" t="s">
        <v>380</v>
      </c>
      <c r="E758" s="193" t="s">
        <v>381</v>
      </c>
      <c r="F758" s="193" t="s">
        <v>1685</v>
      </c>
      <c r="G758" s="193" t="s">
        <v>1685</v>
      </c>
      <c r="H758" s="193" t="s">
        <v>2758</v>
      </c>
      <c r="I758" s="193" t="s">
        <v>1508</v>
      </c>
      <c r="J758" s="193" t="s">
        <v>2759</v>
      </c>
      <c r="K758" s="193" t="s">
        <v>386</v>
      </c>
      <c r="L758" s="193" t="s">
        <v>387</v>
      </c>
      <c r="M758" s="193" t="s">
        <v>378</v>
      </c>
      <c r="N758" s="193" t="s">
        <v>1497</v>
      </c>
      <c r="O758" s="193" t="s">
        <v>129</v>
      </c>
      <c r="P758" s="193" t="s">
        <v>138</v>
      </c>
      <c r="Q758" s="193" t="s">
        <v>137</v>
      </c>
      <c r="R758" s="193" t="s">
        <v>136</v>
      </c>
      <c r="S758" s="193" t="s">
        <v>214</v>
      </c>
      <c r="T758" s="193" t="s">
        <v>389</v>
      </c>
      <c r="U758" s="193" t="s">
        <v>390</v>
      </c>
      <c r="V758" s="193">
        <v>0</v>
      </c>
      <c r="W758" s="193">
        <v>0</v>
      </c>
      <c r="X758" s="193">
        <v>0</v>
      </c>
      <c r="Y758" s="194">
        <v>715000</v>
      </c>
      <c r="Z758" s="193" t="s">
        <v>1498</v>
      </c>
      <c r="AA758" s="193" t="s">
        <v>1499</v>
      </c>
      <c r="AB758" s="193">
        <v>715000</v>
      </c>
      <c r="AC758" s="193" t="s">
        <v>1500</v>
      </c>
      <c r="AD758" s="193" t="s">
        <v>136</v>
      </c>
      <c r="AE758" s="193">
        <v>715000</v>
      </c>
      <c r="AF758" s="193" t="s">
        <v>394</v>
      </c>
      <c r="AG758" s="193" t="s">
        <v>395</v>
      </c>
      <c r="AH758" s="193">
        <v>65000</v>
      </c>
      <c r="AI758" s="193">
        <v>650000</v>
      </c>
      <c r="AJ758" s="193" t="s">
        <v>214</v>
      </c>
      <c r="AL758" s="197" t="s">
        <v>2760</v>
      </c>
      <c r="AM758" s="193">
        <v>1</v>
      </c>
      <c r="AN758" s="193">
        <v>0</v>
      </c>
      <c r="AO758" s="193">
        <v>0</v>
      </c>
      <c r="AP758" s="193" t="s">
        <v>2661</v>
      </c>
      <c r="AQ758" s="193" t="s">
        <v>214</v>
      </c>
      <c r="AS758" s="197" t="s">
        <v>394</v>
      </c>
      <c r="AT758" s="197" t="s">
        <v>395</v>
      </c>
      <c r="AV758" s="194">
        <v>0</v>
      </c>
      <c r="AW758" s="194">
        <v>0</v>
      </c>
      <c r="AX758" s="194">
        <v>0</v>
      </c>
      <c r="AY758" s="549">
        <v>0</v>
      </c>
      <c r="AZ758" s="194">
        <v>0</v>
      </c>
      <c r="BA758" s="194">
        <v>715000</v>
      </c>
      <c r="BB758" s="551">
        <v>715000</v>
      </c>
      <c r="BC758" s="551">
        <v>715000</v>
      </c>
      <c r="BD758" s="551">
        <v>0</v>
      </c>
      <c r="BF758" s="550">
        <f t="shared" si="142"/>
        <v>0</v>
      </c>
      <c r="BG758" s="550">
        <f t="shared" si="143"/>
        <v>0</v>
      </c>
      <c r="BH758" s="550">
        <f t="shared" si="144"/>
        <v>0</v>
      </c>
      <c r="BI758" s="550">
        <f t="shared" si="145"/>
        <v>0</v>
      </c>
      <c r="BJ758" s="550">
        <f t="shared" si="146"/>
        <v>0</v>
      </c>
      <c r="BK758" s="550">
        <f t="shared" si="147"/>
        <v>650000</v>
      </c>
      <c r="BL758" s="550">
        <f t="shared" si="148"/>
        <v>650000</v>
      </c>
      <c r="BM758" s="550">
        <f t="shared" si="149"/>
        <v>650000</v>
      </c>
      <c r="BO758" s="194"/>
      <c r="BQ758" s="193">
        <f t="shared" si="150"/>
        <v>0</v>
      </c>
      <c r="BR758" s="193">
        <f t="shared" si="151"/>
        <v>0</v>
      </c>
    </row>
    <row r="759" spans="1:70" ht="13.5" customHeight="1">
      <c r="A759" s="193" t="s">
        <v>378</v>
      </c>
      <c r="B759" s="193" t="s">
        <v>379</v>
      </c>
      <c r="C759" s="193" t="s">
        <v>214</v>
      </c>
      <c r="D759" s="193" t="s">
        <v>380</v>
      </c>
      <c r="E759" s="193" t="s">
        <v>381</v>
      </c>
      <c r="F759" s="193" t="s">
        <v>1685</v>
      </c>
      <c r="G759" s="193" t="s">
        <v>1685</v>
      </c>
      <c r="H759" s="193" t="s">
        <v>2758</v>
      </c>
      <c r="I759" s="193" t="s">
        <v>1508</v>
      </c>
      <c r="J759" s="193" t="s">
        <v>2761</v>
      </c>
      <c r="K759" s="193" t="s">
        <v>386</v>
      </c>
      <c r="L759" s="193" t="s">
        <v>387</v>
      </c>
      <c r="M759" s="193" t="s">
        <v>378</v>
      </c>
      <c r="N759" s="193" t="s">
        <v>1497</v>
      </c>
      <c r="O759" s="193" t="s">
        <v>129</v>
      </c>
      <c r="P759" s="193" t="s">
        <v>138</v>
      </c>
      <c r="Q759" s="193" t="s">
        <v>137</v>
      </c>
      <c r="R759" s="193" t="s">
        <v>136</v>
      </c>
      <c r="S759" s="193" t="s">
        <v>214</v>
      </c>
      <c r="T759" s="193" t="s">
        <v>389</v>
      </c>
      <c r="U759" s="193" t="s">
        <v>390</v>
      </c>
      <c r="V759" s="193">
        <v>0</v>
      </c>
      <c r="W759" s="193">
        <v>0</v>
      </c>
      <c r="X759" s="193">
        <v>0</v>
      </c>
      <c r="Y759" s="194">
        <v>30800</v>
      </c>
      <c r="Z759" s="193" t="s">
        <v>1498</v>
      </c>
      <c r="AA759" s="193" t="s">
        <v>1499</v>
      </c>
      <c r="AB759" s="193">
        <v>30800</v>
      </c>
      <c r="AC759" s="193" t="s">
        <v>1500</v>
      </c>
      <c r="AD759" s="193" t="s">
        <v>136</v>
      </c>
      <c r="AE759" s="193">
        <v>30800</v>
      </c>
      <c r="AF759" s="193" t="s">
        <v>394</v>
      </c>
      <c r="AG759" s="193" t="s">
        <v>395</v>
      </c>
      <c r="AH759" s="193">
        <v>2800</v>
      </c>
      <c r="AI759" s="193">
        <v>28000</v>
      </c>
      <c r="AJ759" s="193" t="s">
        <v>214</v>
      </c>
      <c r="AL759" s="197" t="s">
        <v>2762</v>
      </c>
      <c r="AM759" s="193">
        <v>1</v>
      </c>
      <c r="AN759" s="193">
        <v>0</v>
      </c>
      <c r="AO759" s="193">
        <v>0</v>
      </c>
      <c r="AP759" s="193" t="s">
        <v>2661</v>
      </c>
      <c r="AQ759" s="193" t="s">
        <v>214</v>
      </c>
      <c r="AS759" s="197" t="s">
        <v>394</v>
      </c>
      <c r="AT759" s="197" t="s">
        <v>395</v>
      </c>
      <c r="AV759" s="194">
        <v>0</v>
      </c>
      <c r="AW759" s="194">
        <v>0</v>
      </c>
      <c r="AX759" s="194">
        <v>0</v>
      </c>
      <c r="AY759" s="549">
        <v>0</v>
      </c>
      <c r="AZ759" s="194">
        <v>0</v>
      </c>
      <c r="BA759" s="194">
        <v>30800</v>
      </c>
      <c r="BB759" s="551">
        <v>30800</v>
      </c>
      <c r="BC759" s="551">
        <v>30800</v>
      </c>
      <c r="BD759" s="551">
        <v>0</v>
      </c>
      <c r="BF759" s="550">
        <f t="shared" si="142"/>
        <v>0</v>
      </c>
      <c r="BG759" s="550">
        <f t="shared" si="143"/>
        <v>0</v>
      </c>
      <c r="BH759" s="550">
        <f t="shared" si="144"/>
        <v>0</v>
      </c>
      <c r="BI759" s="550">
        <f t="shared" si="145"/>
        <v>0</v>
      </c>
      <c r="BJ759" s="550">
        <f t="shared" si="146"/>
        <v>0</v>
      </c>
      <c r="BK759" s="550">
        <f t="shared" si="147"/>
        <v>28000</v>
      </c>
      <c r="BL759" s="550">
        <f t="shared" si="148"/>
        <v>28000</v>
      </c>
      <c r="BM759" s="550">
        <f t="shared" si="149"/>
        <v>28000</v>
      </c>
      <c r="BO759" s="194"/>
      <c r="BQ759" s="193">
        <f t="shared" si="150"/>
        <v>0</v>
      </c>
      <c r="BR759" s="193">
        <f t="shared" si="151"/>
        <v>0</v>
      </c>
    </row>
    <row r="760" spans="1:70" ht="13.5" customHeight="1">
      <c r="A760" s="193" t="s">
        <v>378</v>
      </c>
      <c r="B760" s="193" t="s">
        <v>379</v>
      </c>
      <c r="C760" s="193" t="s">
        <v>214</v>
      </c>
      <c r="D760" s="193" t="s">
        <v>1441</v>
      </c>
      <c r="E760" s="193" t="s">
        <v>1442</v>
      </c>
      <c r="F760" s="193" t="s">
        <v>1813</v>
      </c>
      <c r="G760" s="193" t="s">
        <v>1813</v>
      </c>
      <c r="H760" s="193" t="s">
        <v>2763</v>
      </c>
      <c r="I760" s="193" t="s">
        <v>384</v>
      </c>
      <c r="J760" s="193" t="s">
        <v>2764</v>
      </c>
      <c r="K760" s="193" t="s">
        <v>386</v>
      </c>
      <c r="L760" s="193" t="s">
        <v>387</v>
      </c>
      <c r="M760" s="193" t="s">
        <v>378</v>
      </c>
      <c r="N760" s="193" t="s">
        <v>2765</v>
      </c>
      <c r="O760" s="193" t="s">
        <v>129</v>
      </c>
      <c r="P760" s="193" t="s">
        <v>128</v>
      </c>
      <c r="Q760" s="193" t="s">
        <v>134</v>
      </c>
      <c r="R760" s="193" t="s">
        <v>134</v>
      </c>
      <c r="S760" s="193" t="s">
        <v>214</v>
      </c>
      <c r="T760" s="193" t="s">
        <v>389</v>
      </c>
      <c r="U760" s="193" t="s">
        <v>390</v>
      </c>
      <c r="V760" s="193">
        <v>0</v>
      </c>
      <c r="W760" s="193">
        <v>0</v>
      </c>
      <c r="X760" s="193">
        <v>0</v>
      </c>
      <c r="Y760" s="194">
        <v>93</v>
      </c>
      <c r="Z760" s="193" t="s">
        <v>2766</v>
      </c>
      <c r="AA760" s="193" t="s">
        <v>2767</v>
      </c>
      <c r="AB760" s="193">
        <v>93</v>
      </c>
      <c r="AC760" s="193" t="s">
        <v>2768</v>
      </c>
      <c r="AD760" s="193" t="s">
        <v>134</v>
      </c>
      <c r="AE760" s="193">
        <v>93</v>
      </c>
      <c r="AF760" s="193" t="s">
        <v>1486</v>
      </c>
      <c r="AG760" s="193" t="s">
        <v>519</v>
      </c>
      <c r="AH760" s="193">
        <v>0</v>
      </c>
      <c r="AI760" s="193">
        <v>93</v>
      </c>
      <c r="AJ760" s="193" t="s">
        <v>2769</v>
      </c>
      <c r="AL760" s="197" t="s">
        <v>2770</v>
      </c>
      <c r="AM760" s="193">
        <v>1</v>
      </c>
      <c r="AN760" s="193">
        <v>0</v>
      </c>
      <c r="AO760" s="193">
        <v>0</v>
      </c>
      <c r="AP760" s="193">
        <v>0</v>
      </c>
      <c r="AQ760" s="193" t="s">
        <v>214</v>
      </c>
      <c r="AS760" s="197" t="s">
        <v>1486</v>
      </c>
      <c r="AT760" s="197" t="s">
        <v>519</v>
      </c>
      <c r="AV760" s="194">
        <v>47</v>
      </c>
      <c r="AW760" s="194">
        <v>0</v>
      </c>
      <c r="AX760" s="194">
        <v>0</v>
      </c>
      <c r="AY760" s="549">
        <v>47</v>
      </c>
      <c r="AZ760" s="194">
        <v>0</v>
      </c>
      <c r="BA760" s="194">
        <v>46</v>
      </c>
      <c r="BB760" s="551">
        <v>46</v>
      </c>
      <c r="BC760" s="551">
        <v>93</v>
      </c>
      <c r="BD760" s="551">
        <v>0</v>
      </c>
      <c r="BF760" s="550">
        <f t="shared" si="142"/>
        <v>47</v>
      </c>
      <c r="BG760" s="550">
        <f t="shared" si="143"/>
        <v>0</v>
      </c>
      <c r="BH760" s="550">
        <f t="shared" si="144"/>
        <v>0</v>
      </c>
      <c r="BI760" s="550">
        <f t="shared" si="145"/>
        <v>47</v>
      </c>
      <c r="BJ760" s="550">
        <f t="shared" si="146"/>
        <v>0</v>
      </c>
      <c r="BK760" s="550">
        <f t="shared" si="147"/>
        <v>46</v>
      </c>
      <c r="BL760" s="550">
        <f t="shared" si="148"/>
        <v>46</v>
      </c>
      <c r="BM760" s="550">
        <f t="shared" si="149"/>
        <v>93</v>
      </c>
      <c r="BO760" s="194"/>
      <c r="BQ760" s="193">
        <f t="shared" si="150"/>
        <v>0</v>
      </c>
      <c r="BR760" s="193">
        <f t="shared" si="151"/>
        <v>0</v>
      </c>
    </row>
    <row r="761" spans="1:70" ht="13.5" customHeight="1">
      <c r="A761" s="193" t="s">
        <v>378</v>
      </c>
      <c r="B761" s="193" t="s">
        <v>379</v>
      </c>
      <c r="C761" s="193" t="s">
        <v>214</v>
      </c>
      <c r="D761" s="193" t="s">
        <v>1441</v>
      </c>
      <c r="E761" s="193" t="s">
        <v>1442</v>
      </c>
      <c r="F761" s="193" t="s">
        <v>786</v>
      </c>
      <c r="G761" s="193" t="s">
        <v>786</v>
      </c>
      <c r="H761" s="193" t="s">
        <v>2771</v>
      </c>
      <c r="I761" s="193" t="s">
        <v>1508</v>
      </c>
      <c r="J761" s="193" t="s">
        <v>2772</v>
      </c>
      <c r="K761" s="193" t="s">
        <v>386</v>
      </c>
      <c r="L761" s="193" t="s">
        <v>387</v>
      </c>
      <c r="M761" s="193" t="s">
        <v>378</v>
      </c>
      <c r="N761" s="193" t="s">
        <v>2765</v>
      </c>
      <c r="O761" s="193" t="s">
        <v>129</v>
      </c>
      <c r="P761" s="193" t="s">
        <v>128</v>
      </c>
      <c r="Q761" s="193" t="s">
        <v>134</v>
      </c>
      <c r="R761" s="193" t="s">
        <v>134</v>
      </c>
      <c r="S761" s="193" t="s">
        <v>214</v>
      </c>
      <c r="T761" s="193" t="s">
        <v>389</v>
      </c>
      <c r="U761" s="193" t="s">
        <v>390</v>
      </c>
      <c r="V761" s="193">
        <v>0</v>
      </c>
      <c r="W761" s="193">
        <v>0</v>
      </c>
      <c r="X761" s="193">
        <v>0</v>
      </c>
      <c r="Y761" s="194">
        <v>105900</v>
      </c>
      <c r="Z761" s="193" t="s">
        <v>2773</v>
      </c>
      <c r="AA761" s="193" t="s">
        <v>2774</v>
      </c>
      <c r="AB761" s="193">
        <v>105900</v>
      </c>
      <c r="AC761" s="193" t="s">
        <v>2768</v>
      </c>
      <c r="AD761" s="193" t="s">
        <v>134</v>
      </c>
      <c r="AE761" s="193">
        <v>105900</v>
      </c>
      <c r="AF761" s="193" t="s">
        <v>1486</v>
      </c>
      <c r="AG761" s="193" t="s">
        <v>519</v>
      </c>
      <c r="AH761" s="193">
        <v>0</v>
      </c>
      <c r="AI761" s="193">
        <v>105900</v>
      </c>
      <c r="AJ761" s="193" t="s">
        <v>214</v>
      </c>
      <c r="AL761" s="197" t="s">
        <v>2775</v>
      </c>
      <c r="AM761" s="193">
        <v>1</v>
      </c>
      <c r="AN761" s="193">
        <v>0</v>
      </c>
      <c r="AO761" s="193">
        <v>0</v>
      </c>
      <c r="AP761" s="193">
        <v>0</v>
      </c>
      <c r="AQ761" s="193" t="s">
        <v>214</v>
      </c>
      <c r="AS761" s="197" t="s">
        <v>1486</v>
      </c>
      <c r="AT761" s="197" t="s">
        <v>519</v>
      </c>
      <c r="AV761" s="194">
        <v>52950</v>
      </c>
      <c r="AW761" s="194">
        <v>0</v>
      </c>
      <c r="AX761" s="194">
        <v>0</v>
      </c>
      <c r="AY761" s="549">
        <v>52950</v>
      </c>
      <c r="AZ761" s="194">
        <v>0</v>
      </c>
      <c r="BA761" s="194">
        <v>52950</v>
      </c>
      <c r="BB761" s="551">
        <v>52950</v>
      </c>
      <c r="BC761" s="551">
        <v>105900</v>
      </c>
      <c r="BD761" s="551">
        <v>0</v>
      </c>
      <c r="BF761" s="550">
        <f t="shared" si="142"/>
        <v>52950</v>
      </c>
      <c r="BG761" s="550">
        <f t="shared" si="143"/>
        <v>0</v>
      </c>
      <c r="BH761" s="550">
        <f t="shared" si="144"/>
        <v>0</v>
      </c>
      <c r="BI761" s="550">
        <f t="shared" si="145"/>
        <v>52950</v>
      </c>
      <c r="BJ761" s="550">
        <f t="shared" si="146"/>
        <v>0</v>
      </c>
      <c r="BK761" s="550">
        <f t="shared" si="147"/>
        <v>52950</v>
      </c>
      <c r="BL761" s="550">
        <f t="shared" si="148"/>
        <v>52950</v>
      </c>
      <c r="BM761" s="550">
        <f t="shared" si="149"/>
        <v>105900</v>
      </c>
      <c r="BO761" s="194"/>
      <c r="BQ761" s="193">
        <f t="shared" si="150"/>
        <v>0</v>
      </c>
      <c r="BR761" s="193">
        <f t="shared" si="151"/>
        <v>0</v>
      </c>
    </row>
    <row r="762" spans="1:70" ht="13.5" customHeight="1">
      <c r="A762" s="193" t="s">
        <v>378</v>
      </c>
      <c r="B762" s="193" t="s">
        <v>379</v>
      </c>
      <c r="C762" s="193" t="s">
        <v>214</v>
      </c>
      <c r="D762" s="193" t="s">
        <v>495</v>
      </c>
      <c r="E762" s="193" t="s">
        <v>496</v>
      </c>
      <c r="F762" s="193" t="s">
        <v>2776</v>
      </c>
      <c r="G762" s="193" t="s">
        <v>2776</v>
      </c>
      <c r="H762" s="193" t="s">
        <v>2777</v>
      </c>
      <c r="I762" s="193" t="s">
        <v>1508</v>
      </c>
      <c r="J762" s="193" t="s">
        <v>2778</v>
      </c>
      <c r="K762" s="193" t="s">
        <v>386</v>
      </c>
      <c r="L762" s="193" t="s">
        <v>387</v>
      </c>
      <c r="M762" s="193" t="s">
        <v>378</v>
      </c>
      <c r="N762" s="193" t="s">
        <v>2765</v>
      </c>
      <c r="O762" s="193" t="s">
        <v>129</v>
      </c>
      <c r="P762" s="193" t="s">
        <v>128</v>
      </c>
      <c r="Q762" s="193" t="s">
        <v>134</v>
      </c>
      <c r="R762" s="193" t="s">
        <v>134</v>
      </c>
      <c r="S762" s="193" t="s">
        <v>214</v>
      </c>
      <c r="T762" s="193" t="s">
        <v>389</v>
      </c>
      <c r="U762" s="193" t="s">
        <v>390</v>
      </c>
      <c r="V762" s="193">
        <v>0</v>
      </c>
      <c r="W762" s="193">
        <v>0</v>
      </c>
      <c r="X762" s="193">
        <v>0</v>
      </c>
      <c r="Y762" s="194">
        <v>118320</v>
      </c>
      <c r="Z762" s="193" t="s">
        <v>2773</v>
      </c>
      <c r="AA762" s="193" t="s">
        <v>2774</v>
      </c>
      <c r="AB762" s="193">
        <v>118320</v>
      </c>
      <c r="AC762" s="193" t="s">
        <v>2768</v>
      </c>
      <c r="AD762" s="193" t="s">
        <v>134</v>
      </c>
      <c r="AE762" s="193">
        <v>118320</v>
      </c>
      <c r="AF762" s="193" t="s">
        <v>1486</v>
      </c>
      <c r="AG762" s="193" t="s">
        <v>519</v>
      </c>
      <c r="AH762" s="193">
        <v>0</v>
      </c>
      <c r="AI762" s="193">
        <v>118320</v>
      </c>
      <c r="AJ762" s="193" t="s">
        <v>214</v>
      </c>
      <c r="AL762" s="197" t="s">
        <v>2779</v>
      </c>
      <c r="AM762" s="193">
        <v>1</v>
      </c>
      <c r="AN762" s="193">
        <v>0</v>
      </c>
      <c r="AO762" s="193">
        <v>0</v>
      </c>
      <c r="AP762" s="193">
        <v>0</v>
      </c>
      <c r="AQ762" s="193" t="s">
        <v>214</v>
      </c>
      <c r="AS762" s="197" t="s">
        <v>1486</v>
      </c>
      <c r="AT762" s="197" t="s">
        <v>519</v>
      </c>
      <c r="AV762" s="194">
        <v>118320</v>
      </c>
      <c r="AW762" s="194">
        <v>0</v>
      </c>
      <c r="AX762" s="194">
        <v>0</v>
      </c>
      <c r="AY762" s="549">
        <v>118320</v>
      </c>
      <c r="AZ762" s="194">
        <v>0</v>
      </c>
      <c r="BA762" s="194">
        <v>0</v>
      </c>
      <c r="BB762" s="551">
        <v>0</v>
      </c>
      <c r="BC762" s="551">
        <v>118320</v>
      </c>
      <c r="BD762" s="551">
        <v>0</v>
      </c>
      <c r="BF762" s="550">
        <f t="shared" si="142"/>
        <v>118320</v>
      </c>
      <c r="BG762" s="550">
        <f t="shared" si="143"/>
        <v>0</v>
      </c>
      <c r="BH762" s="550">
        <f t="shared" si="144"/>
        <v>0</v>
      </c>
      <c r="BI762" s="550">
        <f t="shared" si="145"/>
        <v>118320</v>
      </c>
      <c r="BJ762" s="550">
        <f t="shared" si="146"/>
        <v>0</v>
      </c>
      <c r="BK762" s="550">
        <f t="shared" si="147"/>
        <v>0</v>
      </c>
      <c r="BL762" s="550">
        <f t="shared" si="148"/>
        <v>0</v>
      </c>
      <c r="BM762" s="550">
        <f t="shared" si="149"/>
        <v>118320</v>
      </c>
      <c r="BO762" s="194"/>
      <c r="BQ762" s="193">
        <f t="shared" si="150"/>
        <v>0</v>
      </c>
      <c r="BR762" s="193">
        <f t="shared" si="151"/>
        <v>0</v>
      </c>
    </row>
    <row r="763" spans="1:70" ht="13.5" customHeight="1">
      <c r="A763" s="193" t="s">
        <v>378</v>
      </c>
      <c r="B763" s="193" t="s">
        <v>379</v>
      </c>
      <c r="C763" s="193" t="s">
        <v>214</v>
      </c>
      <c r="D763" s="193" t="s">
        <v>495</v>
      </c>
      <c r="E763" s="193" t="s">
        <v>496</v>
      </c>
      <c r="F763" s="193" t="s">
        <v>2776</v>
      </c>
      <c r="G763" s="193" t="s">
        <v>2776</v>
      </c>
      <c r="H763" s="193" t="s">
        <v>2777</v>
      </c>
      <c r="I763" s="193" t="s">
        <v>1508</v>
      </c>
      <c r="J763" s="193" t="s">
        <v>2780</v>
      </c>
      <c r="K763" s="193" t="s">
        <v>386</v>
      </c>
      <c r="L763" s="193" t="s">
        <v>387</v>
      </c>
      <c r="M763" s="193" t="s">
        <v>378</v>
      </c>
      <c r="N763" s="193" t="s">
        <v>2765</v>
      </c>
      <c r="O763" s="193" t="s">
        <v>129</v>
      </c>
      <c r="P763" s="193" t="s">
        <v>128</v>
      </c>
      <c r="Q763" s="193" t="s">
        <v>134</v>
      </c>
      <c r="R763" s="193" t="s">
        <v>134</v>
      </c>
      <c r="S763" s="193" t="s">
        <v>214</v>
      </c>
      <c r="T763" s="193" t="s">
        <v>389</v>
      </c>
      <c r="U763" s="193" t="s">
        <v>390</v>
      </c>
      <c r="V763" s="193">
        <v>0</v>
      </c>
      <c r="W763" s="193">
        <v>0</v>
      </c>
      <c r="X763" s="193">
        <v>0</v>
      </c>
      <c r="Y763" s="194">
        <v>110000</v>
      </c>
      <c r="Z763" s="193" t="s">
        <v>2773</v>
      </c>
      <c r="AA763" s="193" t="s">
        <v>2774</v>
      </c>
      <c r="AB763" s="193">
        <v>110000</v>
      </c>
      <c r="AC763" s="193" t="s">
        <v>2768</v>
      </c>
      <c r="AD763" s="193" t="s">
        <v>134</v>
      </c>
      <c r="AE763" s="193">
        <v>110000</v>
      </c>
      <c r="AF763" s="193" t="s">
        <v>1486</v>
      </c>
      <c r="AG763" s="193" t="s">
        <v>519</v>
      </c>
      <c r="AH763" s="193">
        <v>0</v>
      </c>
      <c r="AI763" s="193">
        <v>110000</v>
      </c>
      <c r="AJ763" s="193" t="s">
        <v>214</v>
      </c>
      <c r="AL763" s="197" t="s">
        <v>2781</v>
      </c>
      <c r="AM763" s="193">
        <v>1</v>
      </c>
      <c r="AN763" s="193">
        <v>0</v>
      </c>
      <c r="AO763" s="193">
        <v>0</v>
      </c>
      <c r="AP763" s="193">
        <v>0</v>
      </c>
      <c r="AQ763" s="193" t="s">
        <v>214</v>
      </c>
      <c r="AS763" s="197" t="s">
        <v>1486</v>
      </c>
      <c r="AT763" s="197" t="s">
        <v>519</v>
      </c>
      <c r="AV763" s="194">
        <v>110000</v>
      </c>
      <c r="AW763" s="194">
        <v>0</v>
      </c>
      <c r="AX763" s="194">
        <v>0</v>
      </c>
      <c r="AY763" s="549">
        <v>110000</v>
      </c>
      <c r="AZ763" s="194">
        <v>0</v>
      </c>
      <c r="BA763" s="194">
        <v>0</v>
      </c>
      <c r="BB763" s="551">
        <v>0</v>
      </c>
      <c r="BC763" s="551">
        <v>110000</v>
      </c>
      <c r="BD763" s="551">
        <v>0</v>
      </c>
      <c r="BF763" s="550">
        <f t="shared" si="142"/>
        <v>110000</v>
      </c>
      <c r="BG763" s="550">
        <f t="shared" si="143"/>
        <v>0</v>
      </c>
      <c r="BH763" s="550">
        <f t="shared" si="144"/>
        <v>0</v>
      </c>
      <c r="BI763" s="550">
        <f t="shared" si="145"/>
        <v>110000</v>
      </c>
      <c r="BJ763" s="550">
        <f t="shared" si="146"/>
        <v>0</v>
      </c>
      <c r="BK763" s="550">
        <f t="shared" si="147"/>
        <v>0</v>
      </c>
      <c r="BL763" s="550">
        <f t="shared" si="148"/>
        <v>0</v>
      </c>
      <c r="BM763" s="550">
        <f t="shared" si="149"/>
        <v>110000</v>
      </c>
      <c r="BO763" s="567">
        <f>BA763*100/(100+$AT763)-BK763</f>
        <v>0</v>
      </c>
      <c r="BQ763" s="193">
        <f t="shared" si="150"/>
        <v>0</v>
      </c>
      <c r="BR763" s="193">
        <f t="shared" si="151"/>
        <v>0</v>
      </c>
    </row>
    <row r="764" spans="1:70" ht="13.5" customHeight="1">
      <c r="A764" s="193" t="s">
        <v>378</v>
      </c>
      <c r="B764" s="193" t="s">
        <v>379</v>
      </c>
      <c r="C764" s="193" t="s">
        <v>214</v>
      </c>
      <c r="D764" s="193" t="s">
        <v>1441</v>
      </c>
      <c r="E764" s="193" t="s">
        <v>1442</v>
      </c>
      <c r="F764" s="193" t="s">
        <v>2782</v>
      </c>
      <c r="G764" s="193" t="s">
        <v>2782</v>
      </c>
      <c r="H764" s="193" t="s">
        <v>2783</v>
      </c>
      <c r="I764" s="193" t="s">
        <v>512</v>
      </c>
      <c r="J764" s="193" t="s">
        <v>2784</v>
      </c>
      <c r="K764" s="193" t="s">
        <v>386</v>
      </c>
      <c r="L764" s="193" t="s">
        <v>387</v>
      </c>
      <c r="M764" s="193" t="s">
        <v>378</v>
      </c>
      <c r="N764" s="193" t="s">
        <v>2765</v>
      </c>
      <c r="O764" s="193" t="s">
        <v>129</v>
      </c>
      <c r="P764" s="193" t="s">
        <v>128</v>
      </c>
      <c r="Q764" s="193" t="s">
        <v>134</v>
      </c>
      <c r="R764" s="193" t="s">
        <v>134</v>
      </c>
      <c r="S764" s="193" t="s">
        <v>214</v>
      </c>
      <c r="T764" s="193" t="s">
        <v>389</v>
      </c>
      <c r="U764" s="193" t="s">
        <v>390</v>
      </c>
      <c r="V764" s="193">
        <v>0</v>
      </c>
      <c r="W764" s="193">
        <v>0</v>
      </c>
      <c r="X764" s="193">
        <v>0</v>
      </c>
      <c r="Y764" s="194">
        <v>475</v>
      </c>
      <c r="Z764" s="193" t="s">
        <v>515</v>
      </c>
      <c r="AA764" s="193" t="s">
        <v>516</v>
      </c>
      <c r="AB764" s="193">
        <v>475</v>
      </c>
      <c r="AC764" s="193" t="s">
        <v>2768</v>
      </c>
      <c r="AD764" s="193" t="s">
        <v>134</v>
      </c>
      <c r="AE764" s="193">
        <v>475</v>
      </c>
      <c r="AF764" s="193" t="s">
        <v>518</v>
      </c>
      <c r="AG764" s="193" t="s">
        <v>519</v>
      </c>
      <c r="AH764" s="193">
        <v>0</v>
      </c>
      <c r="AI764" s="193">
        <v>475</v>
      </c>
      <c r="AJ764" s="193" t="s">
        <v>2785</v>
      </c>
      <c r="AL764" s="197" t="s">
        <v>2786</v>
      </c>
      <c r="AM764" s="193">
        <v>1</v>
      </c>
      <c r="AN764" s="193">
        <v>0</v>
      </c>
      <c r="AO764" s="193">
        <v>0</v>
      </c>
      <c r="AP764" s="193">
        <v>0</v>
      </c>
      <c r="AQ764" s="193" t="s">
        <v>214</v>
      </c>
      <c r="AS764" s="197" t="s">
        <v>518</v>
      </c>
      <c r="AT764" s="197" t="s">
        <v>519</v>
      </c>
      <c r="AV764" s="194">
        <v>237</v>
      </c>
      <c r="AW764" s="194">
        <v>0</v>
      </c>
      <c r="AX764" s="194">
        <v>0</v>
      </c>
      <c r="AY764" s="549">
        <v>237</v>
      </c>
      <c r="AZ764" s="194">
        <v>0</v>
      </c>
      <c r="BA764" s="194">
        <v>238</v>
      </c>
      <c r="BB764" s="551">
        <v>238</v>
      </c>
      <c r="BC764" s="551">
        <v>475</v>
      </c>
      <c r="BD764" s="551">
        <v>0</v>
      </c>
      <c r="BF764" s="550">
        <f t="shared" si="142"/>
        <v>237</v>
      </c>
      <c r="BG764" s="550">
        <f t="shared" si="143"/>
        <v>0</v>
      </c>
      <c r="BH764" s="550">
        <f t="shared" si="144"/>
        <v>0</v>
      </c>
      <c r="BI764" s="550">
        <f t="shared" si="145"/>
        <v>237</v>
      </c>
      <c r="BJ764" s="550">
        <f t="shared" si="146"/>
        <v>0</v>
      </c>
      <c r="BK764" s="550">
        <f t="shared" si="147"/>
        <v>238</v>
      </c>
      <c r="BL764" s="550">
        <f t="shared" si="148"/>
        <v>238</v>
      </c>
      <c r="BM764" s="550">
        <f t="shared" si="149"/>
        <v>475</v>
      </c>
      <c r="BO764" s="194"/>
      <c r="BQ764" s="193">
        <f t="shared" si="150"/>
        <v>0</v>
      </c>
      <c r="BR764" s="193">
        <f t="shared" si="151"/>
        <v>0</v>
      </c>
    </row>
    <row r="765" spans="1:70" ht="13.5" customHeight="1">
      <c r="A765" s="193" t="s">
        <v>378</v>
      </c>
      <c r="B765" s="193" t="s">
        <v>379</v>
      </c>
      <c r="C765" s="193" t="s">
        <v>214</v>
      </c>
      <c r="D765" s="193" t="s">
        <v>1165</v>
      </c>
      <c r="E765" s="193" t="s">
        <v>1166</v>
      </c>
      <c r="F765" s="193" t="s">
        <v>1487</v>
      </c>
      <c r="G765" s="193" t="s">
        <v>1487</v>
      </c>
      <c r="H765" s="193" t="s">
        <v>2787</v>
      </c>
      <c r="I765" s="193" t="s">
        <v>384</v>
      </c>
      <c r="J765" s="193" t="s">
        <v>2788</v>
      </c>
      <c r="K765" s="193" t="s">
        <v>386</v>
      </c>
      <c r="L765" s="193" t="s">
        <v>387</v>
      </c>
      <c r="M765" s="193" t="s">
        <v>378</v>
      </c>
      <c r="N765" s="193" t="s">
        <v>2765</v>
      </c>
      <c r="O765" s="193" t="s">
        <v>129</v>
      </c>
      <c r="P765" s="193" t="s">
        <v>128</v>
      </c>
      <c r="Q765" s="193" t="s">
        <v>134</v>
      </c>
      <c r="R765" s="193" t="s">
        <v>134</v>
      </c>
      <c r="S765" s="193" t="s">
        <v>214</v>
      </c>
      <c r="T765" s="193" t="s">
        <v>389</v>
      </c>
      <c r="U765" s="193" t="s">
        <v>390</v>
      </c>
      <c r="V765" s="193">
        <v>0</v>
      </c>
      <c r="W765" s="193">
        <v>0</v>
      </c>
      <c r="X765" s="193">
        <v>0</v>
      </c>
      <c r="Y765" s="194">
        <v>4690</v>
      </c>
      <c r="Z765" s="193" t="s">
        <v>2789</v>
      </c>
      <c r="AA765" s="193" t="s">
        <v>2790</v>
      </c>
      <c r="AB765" s="193">
        <v>4690</v>
      </c>
      <c r="AC765" s="193" t="s">
        <v>2768</v>
      </c>
      <c r="AD765" s="193" t="s">
        <v>134</v>
      </c>
      <c r="AE765" s="193">
        <v>4690</v>
      </c>
      <c r="AF765" s="193" t="s">
        <v>505</v>
      </c>
      <c r="AG765" s="193" t="s">
        <v>2486</v>
      </c>
      <c r="AH765" s="193">
        <v>347</v>
      </c>
      <c r="AI765" s="193">
        <v>4343</v>
      </c>
      <c r="AJ765" s="193" t="s">
        <v>2791</v>
      </c>
      <c r="AL765" s="197" t="s">
        <v>2792</v>
      </c>
      <c r="AM765" s="193">
        <v>1</v>
      </c>
      <c r="AN765" s="193">
        <v>0</v>
      </c>
      <c r="AO765" s="193">
        <v>0</v>
      </c>
      <c r="AP765" s="193">
        <v>0</v>
      </c>
      <c r="AQ765" s="193" t="s">
        <v>214</v>
      </c>
      <c r="AS765" s="197" t="s">
        <v>505</v>
      </c>
      <c r="AT765" s="197" t="s">
        <v>2486</v>
      </c>
      <c r="AV765" s="194">
        <v>0</v>
      </c>
      <c r="AW765" s="194">
        <v>0</v>
      </c>
      <c r="AX765" s="194">
        <v>0</v>
      </c>
      <c r="AY765" s="549">
        <v>0</v>
      </c>
      <c r="AZ765" s="194">
        <v>0</v>
      </c>
      <c r="BA765" s="194">
        <v>4690</v>
      </c>
      <c r="BB765" s="551">
        <v>4690</v>
      </c>
      <c r="BC765" s="551">
        <v>4690</v>
      </c>
      <c r="BD765" s="551">
        <v>0</v>
      </c>
      <c r="BF765" s="550">
        <f t="shared" si="142"/>
        <v>0</v>
      </c>
      <c r="BG765" s="550">
        <f t="shared" si="143"/>
        <v>0</v>
      </c>
      <c r="BH765" s="550">
        <f t="shared" si="144"/>
        <v>0</v>
      </c>
      <c r="BI765" s="550">
        <f t="shared" si="145"/>
        <v>0</v>
      </c>
      <c r="BJ765" s="550">
        <f t="shared" si="146"/>
        <v>0</v>
      </c>
      <c r="BK765" s="550">
        <f t="shared" si="147"/>
        <v>4343</v>
      </c>
      <c r="BL765" s="550">
        <f t="shared" si="148"/>
        <v>4343</v>
      </c>
      <c r="BM765" s="550">
        <f t="shared" si="149"/>
        <v>4343</v>
      </c>
      <c r="BO765" s="567">
        <f>BA765*100/(100+$AT765)-BK765</f>
        <v>-0.40740740740784531</v>
      </c>
      <c r="BQ765" s="193">
        <f t="shared" si="150"/>
        <v>0</v>
      </c>
      <c r="BR765" s="193">
        <f t="shared" si="151"/>
        <v>-0.40740740740784531</v>
      </c>
    </row>
    <row r="766" spans="1:70" ht="13.5" customHeight="1">
      <c r="A766" s="193" t="s">
        <v>378</v>
      </c>
      <c r="B766" s="193" t="s">
        <v>379</v>
      </c>
      <c r="C766" s="193" t="s">
        <v>214</v>
      </c>
      <c r="D766" s="193" t="s">
        <v>1165</v>
      </c>
      <c r="E766" s="193" t="s">
        <v>1166</v>
      </c>
      <c r="F766" s="193" t="s">
        <v>1240</v>
      </c>
      <c r="G766" s="193" t="s">
        <v>1240</v>
      </c>
      <c r="H766" s="193" t="s">
        <v>2793</v>
      </c>
      <c r="I766" s="193" t="s">
        <v>384</v>
      </c>
      <c r="J766" s="193" t="s">
        <v>2794</v>
      </c>
      <c r="K766" s="193" t="s">
        <v>386</v>
      </c>
      <c r="L766" s="193" t="s">
        <v>387</v>
      </c>
      <c r="M766" s="193" t="s">
        <v>378</v>
      </c>
      <c r="N766" s="193" t="s">
        <v>2765</v>
      </c>
      <c r="O766" s="193" t="s">
        <v>129</v>
      </c>
      <c r="P766" s="193" t="s">
        <v>128</v>
      </c>
      <c r="Q766" s="193" t="s">
        <v>134</v>
      </c>
      <c r="R766" s="193" t="s">
        <v>134</v>
      </c>
      <c r="S766" s="193" t="s">
        <v>214</v>
      </c>
      <c r="T766" s="193" t="s">
        <v>389</v>
      </c>
      <c r="U766" s="193" t="s">
        <v>390</v>
      </c>
      <c r="V766" s="193">
        <v>0</v>
      </c>
      <c r="W766" s="193">
        <v>0</v>
      </c>
      <c r="X766" s="193">
        <v>0</v>
      </c>
      <c r="Y766" s="194">
        <v>7672</v>
      </c>
      <c r="Z766" s="193" t="s">
        <v>2789</v>
      </c>
      <c r="AA766" s="193" t="s">
        <v>2790</v>
      </c>
      <c r="AB766" s="193">
        <v>7672</v>
      </c>
      <c r="AC766" s="193" t="s">
        <v>2768</v>
      </c>
      <c r="AD766" s="193" t="s">
        <v>134</v>
      </c>
      <c r="AE766" s="193">
        <v>7672</v>
      </c>
      <c r="AF766" s="193" t="s">
        <v>505</v>
      </c>
      <c r="AG766" s="193" t="s">
        <v>2486</v>
      </c>
      <c r="AH766" s="193">
        <v>568</v>
      </c>
      <c r="AI766" s="193">
        <v>7104</v>
      </c>
      <c r="AJ766" s="193" t="s">
        <v>2791</v>
      </c>
      <c r="AL766" s="197" t="s">
        <v>2795</v>
      </c>
      <c r="AM766" s="193">
        <v>1</v>
      </c>
      <c r="AN766" s="193">
        <v>0</v>
      </c>
      <c r="AO766" s="193">
        <v>0</v>
      </c>
      <c r="AP766" s="193">
        <v>0</v>
      </c>
      <c r="AQ766" s="193" t="s">
        <v>214</v>
      </c>
      <c r="AS766" s="197" t="s">
        <v>505</v>
      </c>
      <c r="AT766" s="197" t="s">
        <v>2486</v>
      </c>
      <c r="AV766" s="194">
        <v>0</v>
      </c>
      <c r="AW766" s="194">
        <v>0</v>
      </c>
      <c r="AX766" s="194">
        <v>0</v>
      </c>
      <c r="AY766" s="549">
        <v>0</v>
      </c>
      <c r="AZ766" s="194">
        <v>0</v>
      </c>
      <c r="BA766" s="194">
        <v>7672</v>
      </c>
      <c r="BB766" s="551">
        <v>7672</v>
      </c>
      <c r="BC766" s="551">
        <v>7672</v>
      </c>
      <c r="BD766" s="551">
        <v>0</v>
      </c>
      <c r="BF766" s="550">
        <f t="shared" si="142"/>
        <v>0</v>
      </c>
      <c r="BG766" s="550">
        <f t="shared" si="143"/>
        <v>0</v>
      </c>
      <c r="BH766" s="550">
        <f t="shared" si="144"/>
        <v>0</v>
      </c>
      <c r="BI766" s="550">
        <f t="shared" si="145"/>
        <v>0</v>
      </c>
      <c r="BJ766" s="550">
        <f t="shared" si="146"/>
        <v>0</v>
      </c>
      <c r="BK766" s="550">
        <f t="shared" si="147"/>
        <v>7104</v>
      </c>
      <c r="BL766" s="550">
        <f t="shared" si="148"/>
        <v>7104</v>
      </c>
      <c r="BM766" s="550">
        <f t="shared" si="149"/>
        <v>7104</v>
      </c>
      <c r="BO766" s="194"/>
      <c r="BQ766" s="193">
        <f t="shared" si="150"/>
        <v>0</v>
      </c>
      <c r="BR766" s="193">
        <f t="shared" si="151"/>
        <v>-0.29629629629653209</v>
      </c>
    </row>
    <row r="767" spans="1:70" ht="13.5" customHeight="1">
      <c r="A767" s="193" t="s">
        <v>1624</v>
      </c>
      <c r="B767" s="193" t="s">
        <v>379</v>
      </c>
      <c r="C767" s="193" t="s">
        <v>214</v>
      </c>
      <c r="D767" s="193" t="s">
        <v>1165</v>
      </c>
      <c r="E767" s="193" t="s">
        <v>1166</v>
      </c>
      <c r="F767" s="193" t="s">
        <v>1487</v>
      </c>
      <c r="G767" s="193" t="s">
        <v>1487</v>
      </c>
      <c r="H767" s="193" t="s">
        <v>2796</v>
      </c>
      <c r="I767" s="193" t="s">
        <v>384</v>
      </c>
      <c r="J767" s="193" t="s">
        <v>2797</v>
      </c>
      <c r="K767" s="193" t="s">
        <v>386</v>
      </c>
      <c r="L767" s="193" t="s">
        <v>387</v>
      </c>
      <c r="M767" s="193" t="s">
        <v>378</v>
      </c>
      <c r="N767" s="193" t="s">
        <v>2765</v>
      </c>
      <c r="O767" s="193" t="s">
        <v>129</v>
      </c>
      <c r="P767" s="193" t="s">
        <v>128</v>
      </c>
      <c r="Q767" s="193" t="s">
        <v>134</v>
      </c>
      <c r="R767" s="193" t="s">
        <v>134</v>
      </c>
      <c r="S767" s="193" t="s">
        <v>214</v>
      </c>
      <c r="T767" s="193" t="s">
        <v>389</v>
      </c>
      <c r="U767" s="193" t="s">
        <v>390</v>
      </c>
      <c r="V767" s="193">
        <v>0</v>
      </c>
      <c r="W767" s="193">
        <v>0</v>
      </c>
      <c r="X767" s="193">
        <v>0</v>
      </c>
      <c r="Y767" s="194">
        <v>4503</v>
      </c>
      <c r="Z767" s="193" t="s">
        <v>2789</v>
      </c>
      <c r="AA767" s="193" t="s">
        <v>2790</v>
      </c>
      <c r="AB767" s="193">
        <v>4503</v>
      </c>
      <c r="AC767" s="193" t="s">
        <v>2768</v>
      </c>
      <c r="AD767" s="193" t="s">
        <v>134</v>
      </c>
      <c r="AE767" s="193">
        <v>4503</v>
      </c>
      <c r="AF767" s="193" t="s">
        <v>505</v>
      </c>
      <c r="AG767" s="193" t="s">
        <v>2486</v>
      </c>
      <c r="AH767" s="193">
        <v>333</v>
      </c>
      <c r="AI767" s="193">
        <v>4170</v>
      </c>
      <c r="AJ767" s="193" t="s">
        <v>2791</v>
      </c>
      <c r="AL767" s="197" t="s">
        <v>2798</v>
      </c>
      <c r="AM767" s="193">
        <v>1</v>
      </c>
      <c r="AN767" s="193">
        <v>0</v>
      </c>
      <c r="AO767" s="193">
        <v>0</v>
      </c>
      <c r="AP767" s="193">
        <v>0</v>
      </c>
      <c r="AQ767" s="193" t="s">
        <v>214</v>
      </c>
      <c r="AS767" s="197" t="s">
        <v>505</v>
      </c>
      <c r="AT767" s="197" t="s">
        <v>2486</v>
      </c>
      <c r="AV767" s="194">
        <v>0</v>
      </c>
      <c r="AW767" s="194">
        <v>0</v>
      </c>
      <c r="AX767" s="194">
        <v>0</v>
      </c>
      <c r="AY767" s="549">
        <v>0</v>
      </c>
      <c r="AZ767" s="194">
        <v>0</v>
      </c>
      <c r="BA767" s="194">
        <v>4503</v>
      </c>
      <c r="BB767" s="551">
        <v>4503</v>
      </c>
      <c r="BC767" s="551">
        <v>4503</v>
      </c>
      <c r="BD767" s="551">
        <v>0</v>
      </c>
      <c r="BF767" s="550">
        <f t="shared" si="142"/>
        <v>0</v>
      </c>
      <c r="BG767" s="550">
        <f t="shared" si="143"/>
        <v>0</v>
      </c>
      <c r="BH767" s="550">
        <f t="shared" si="144"/>
        <v>0</v>
      </c>
      <c r="BI767" s="550">
        <f t="shared" si="145"/>
        <v>0</v>
      </c>
      <c r="BJ767" s="550">
        <f t="shared" si="146"/>
        <v>0</v>
      </c>
      <c r="BK767" s="550">
        <f t="shared" si="147"/>
        <v>4169</v>
      </c>
      <c r="BL767" s="550">
        <f t="shared" si="148"/>
        <v>4169</v>
      </c>
      <c r="BM767" s="550">
        <f t="shared" si="149"/>
        <v>4169</v>
      </c>
      <c r="BO767" s="567">
        <f t="shared" ref="BO767:BO778" si="152">BA767*100/(100+$AT767)-BK767</f>
        <v>0.44444444444434339</v>
      </c>
      <c r="BQ767" s="193">
        <f t="shared" si="150"/>
        <v>0</v>
      </c>
      <c r="BR767" s="193">
        <f t="shared" si="151"/>
        <v>0.44444444444434339</v>
      </c>
    </row>
    <row r="768" spans="1:70" ht="13.5" customHeight="1">
      <c r="A768" s="193" t="s">
        <v>378</v>
      </c>
      <c r="B768" s="193" t="s">
        <v>379</v>
      </c>
      <c r="C768" s="193" t="s">
        <v>214</v>
      </c>
      <c r="D768" s="193" t="s">
        <v>1441</v>
      </c>
      <c r="E768" s="193" t="s">
        <v>1442</v>
      </c>
      <c r="F768" s="193" t="s">
        <v>1525</v>
      </c>
      <c r="G768" s="193" t="s">
        <v>1525</v>
      </c>
      <c r="H768" s="193" t="s">
        <v>2799</v>
      </c>
      <c r="I768" s="193" t="s">
        <v>512</v>
      </c>
      <c r="J768" s="193" t="s">
        <v>2800</v>
      </c>
      <c r="K768" s="193" t="s">
        <v>386</v>
      </c>
      <c r="L768" s="193" t="s">
        <v>387</v>
      </c>
      <c r="M768" s="193" t="s">
        <v>378</v>
      </c>
      <c r="N768" s="193" t="s">
        <v>2765</v>
      </c>
      <c r="O768" s="193" t="s">
        <v>129</v>
      </c>
      <c r="P768" s="193" t="s">
        <v>128</v>
      </c>
      <c r="Q768" s="193" t="s">
        <v>134</v>
      </c>
      <c r="R768" s="193" t="s">
        <v>134</v>
      </c>
      <c r="S768" s="193" t="s">
        <v>214</v>
      </c>
      <c r="T768" s="193" t="s">
        <v>389</v>
      </c>
      <c r="U768" s="193" t="s">
        <v>390</v>
      </c>
      <c r="V768" s="193">
        <v>0</v>
      </c>
      <c r="W768" s="193">
        <v>0</v>
      </c>
      <c r="X768" s="193">
        <v>0</v>
      </c>
      <c r="Y768" s="194">
        <v>487974</v>
      </c>
      <c r="Z768" s="193" t="s">
        <v>515</v>
      </c>
      <c r="AA768" s="193" t="s">
        <v>516</v>
      </c>
      <c r="AB768" s="193">
        <v>487974</v>
      </c>
      <c r="AC768" s="193" t="s">
        <v>2768</v>
      </c>
      <c r="AD768" s="193" t="s">
        <v>134</v>
      </c>
      <c r="AE768" s="193">
        <v>487974</v>
      </c>
      <c r="AF768" s="193" t="s">
        <v>1486</v>
      </c>
      <c r="AG768" s="193" t="s">
        <v>519</v>
      </c>
      <c r="AH768" s="193">
        <v>0</v>
      </c>
      <c r="AI768" s="193">
        <v>487974</v>
      </c>
      <c r="AJ768" s="193" t="s">
        <v>2801</v>
      </c>
      <c r="AL768" s="197" t="s">
        <v>2802</v>
      </c>
      <c r="AM768" s="193">
        <v>1</v>
      </c>
      <c r="AN768" s="193">
        <v>0</v>
      </c>
      <c r="AO768" s="193">
        <v>0</v>
      </c>
      <c r="AP768" s="193">
        <v>0</v>
      </c>
      <c r="AQ768" s="193" t="s">
        <v>214</v>
      </c>
      <c r="AS768" s="197" t="s">
        <v>1486</v>
      </c>
      <c r="AT768" s="197" t="s">
        <v>519</v>
      </c>
      <c r="AV768" s="196">
        <v>0</v>
      </c>
      <c r="AW768" s="196">
        <v>0</v>
      </c>
      <c r="AX768" s="196">
        <v>487974</v>
      </c>
      <c r="AY768" s="550">
        <v>487974</v>
      </c>
      <c r="AZ768" s="196">
        <v>0</v>
      </c>
      <c r="BA768" s="196">
        <v>0</v>
      </c>
      <c r="BB768" s="552">
        <v>0</v>
      </c>
      <c r="BC768" s="551">
        <v>487974</v>
      </c>
      <c r="BD768" s="551">
        <v>0</v>
      </c>
      <c r="BF768" s="550">
        <f t="shared" si="142"/>
        <v>0</v>
      </c>
      <c r="BG768" s="550">
        <f t="shared" si="143"/>
        <v>0</v>
      </c>
      <c r="BH768" s="550">
        <f t="shared" si="144"/>
        <v>487974</v>
      </c>
      <c r="BI768" s="550">
        <f t="shared" si="145"/>
        <v>487974</v>
      </c>
      <c r="BJ768" s="550">
        <f t="shared" si="146"/>
        <v>0</v>
      </c>
      <c r="BK768" s="550">
        <f t="shared" si="147"/>
        <v>0</v>
      </c>
      <c r="BL768" s="550">
        <f t="shared" si="148"/>
        <v>0</v>
      </c>
      <c r="BM768" s="550">
        <f t="shared" si="149"/>
        <v>487974</v>
      </c>
      <c r="BO768" s="567">
        <f t="shared" si="152"/>
        <v>0</v>
      </c>
      <c r="BQ768" s="193">
        <f t="shared" si="150"/>
        <v>0</v>
      </c>
      <c r="BR768" s="193">
        <f t="shared" si="151"/>
        <v>0</v>
      </c>
    </row>
    <row r="769" spans="1:70" ht="13.5" customHeight="1">
      <c r="A769" s="193" t="s">
        <v>378</v>
      </c>
      <c r="B769" s="193" t="s">
        <v>379</v>
      </c>
      <c r="C769" s="193" t="s">
        <v>214</v>
      </c>
      <c r="D769" s="193" t="s">
        <v>1165</v>
      </c>
      <c r="E769" s="193" t="s">
        <v>1166</v>
      </c>
      <c r="F769" s="193" t="s">
        <v>1240</v>
      </c>
      <c r="G769" s="193" t="s">
        <v>1240</v>
      </c>
      <c r="H769" s="193" t="s">
        <v>2803</v>
      </c>
      <c r="I769" s="193" t="s">
        <v>384</v>
      </c>
      <c r="J769" s="193" t="s">
        <v>2804</v>
      </c>
      <c r="K769" s="193" t="s">
        <v>386</v>
      </c>
      <c r="L769" s="193" t="s">
        <v>387</v>
      </c>
      <c r="M769" s="193" t="s">
        <v>378</v>
      </c>
      <c r="N769" s="193" t="s">
        <v>2765</v>
      </c>
      <c r="O769" s="193" t="s">
        <v>129</v>
      </c>
      <c r="P769" s="193" t="s">
        <v>128</v>
      </c>
      <c r="Q769" s="193" t="s">
        <v>134</v>
      </c>
      <c r="R769" s="193" t="s">
        <v>134</v>
      </c>
      <c r="S769" s="193" t="s">
        <v>214</v>
      </c>
      <c r="T769" s="193" t="s">
        <v>389</v>
      </c>
      <c r="U769" s="193" t="s">
        <v>390</v>
      </c>
      <c r="V769" s="193">
        <v>0</v>
      </c>
      <c r="W769" s="193">
        <v>0</v>
      </c>
      <c r="X769" s="193">
        <v>0</v>
      </c>
      <c r="Y769" s="194">
        <v>7619</v>
      </c>
      <c r="Z769" s="193" t="s">
        <v>2805</v>
      </c>
      <c r="AA769" s="193" t="s">
        <v>2806</v>
      </c>
      <c r="AB769" s="193">
        <v>7619</v>
      </c>
      <c r="AC769" s="193" t="s">
        <v>2768</v>
      </c>
      <c r="AD769" s="193" t="s">
        <v>134</v>
      </c>
      <c r="AE769" s="193">
        <v>7619</v>
      </c>
      <c r="AF769" s="193" t="s">
        <v>505</v>
      </c>
      <c r="AG769" s="193" t="s">
        <v>395</v>
      </c>
      <c r="AH769" s="193">
        <v>692</v>
      </c>
      <c r="AI769" s="193">
        <v>6927</v>
      </c>
      <c r="AJ769" s="193" t="s">
        <v>2791</v>
      </c>
      <c r="AL769" s="197" t="s">
        <v>2807</v>
      </c>
      <c r="AM769" s="193">
        <v>2</v>
      </c>
      <c r="AN769" s="193">
        <v>17</v>
      </c>
      <c r="AO769" s="193">
        <v>10</v>
      </c>
      <c r="AP769" s="193">
        <v>0</v>
      </c>
      <c r="AQ769" s="193" t="s">
        <v>214</v>
      </c>
      <c r="AS769" s="197">
        <v>17</v>
      </c>
      <c r="AT769" s="197">
        <v>10</v>
      </c>
      <c r="AV769" s="194">
        <v>0</v>
      </c>
      <c r="AW769" s="194">
        <v>0</v>
      </c>
      <c r="AX769" s="194">
        <v>0</v>
      </c>
      <c r="AY769" s="549">
        <v>0</v>
      </c>
      <c r="AZ769" s="194">
        <v>0</v>
      </c>
      <c r="BA769" s="194">
        <v>7619</v>
      </c>
      <c r="BB769" s="551">
        <v>7619</v>
      </c>
      <c r="BC769" s="551">
        <v>7619</v>
      </c>
      <c r="BD769" s="551">
        <v>0</v>
      </c>
      <c r="BF769" s="550">
        <f t="shared" si="142"/>
        <v>0</v>
      </c>
      <c r="BG769" s="550">
        <f t="shared" si="143"/>
        <v>0</v>
      </c>
      <c r="BH769" s="550">
        <f t="shared" si="144"/>
        <v>0</v>
      </c>
      <c r="BI769" s="550">
        <f t="shared" si="145"/>
        <v>0</v>
      </c>
      <c r="BJ769" s="550">
        <f t="shared" si="146"/>
        <v>0</v>
      </c>
      <c r="BK769" s="550">
        <f t="shared" si="147"/>
        <v>6926</v>
      </c>
      <c r="BL769" s="550">
        <f t="shared" si="148"/>
        <v>6926</v>
      </c>
      <c r="BM769" s="550">
        <f t="shared" si="149"/>
        <v>6926</v>
      </c>
      <c r="BO769" s="567">
        <f t="shared" si="152"/>
        <v>0.36363636363603291</v>
      </c>
      <c r="BQ769" s="193">
        <f t="shared" si="150"/>
        <v>0</v>
      </c>
      <c r="BR769" s="193">
        <f t="shared" si="151"/>
        <v>0.36363636363603291</v>
      </c>
    </row>
    <row r="770" spans="1:70" ht="13.5" customHeight="1">
      <c r="A770" s="193" t="s">
        <v>378</v>
      </c>
      <c r="B770" s="193" t="s">
        <v>379</v>
      </c>
      <c r="C770" s="193" t="s">
        <v>214</v>
      </c>
      <c r="D770" s="193" t="s">
        <v>1165</v>
      </c>
      <c r="E770" s="193" t="s">
        <v>1166</v>
      </c>
      <c r="F770" s="193" t="s">
        <v>1240</v>
      </c>
      <c r="G770" s="193" t="s">
        <v>1240</v>
      </c>
      <c r="H770" s="193" t="s">
        <v>2808</v>
      </c>
      <c r="I770" s="193" t="s">
        <v>384</v>
      </c>
      <c r="J770" s="193" t="s">
        <v>2809</v>
      </c>
      <c r="K770" s="193" t="s">
        <v>386</v>
      </c>
      <c r="L770" s="193" t="s">
        <v>387</v>
      </c>
      <c r="M770" s="193" t="s">
        <v>378</v>
      </c>
      <c r="N770" s="193" t="s">
        <v>2765</v>
      </c>
      <c r="O770" s="193" t="s">
        <v>129</v>
      </c>
      <c r="P770" s="193" t="s">
        <v>128</v>
      </c>
      <c r="Q770" s="193" t="s">
        <v>134</v>
      </c>
      <c r="R770" s="193" t="s">
        <v>134</v>
      </c>
      <c r="S770" s="193" t="s">
        <v>214</v>
      </c>
      <c r="T770" s="193" t="s">
        <v>389</v>
      </c>
      <c r="U770" s="193" t="s">
        <v>390</v>
      </c>
      <c r="V770" s="193">
        <v>0</v>
      </c>
      <c r="W770" s="193">
        <v>0</v>
      </c>
      <c r="X770" s="193">
        <v>0</v>
      </c>
      <c r="Y770" s="194">
        <v>14388</v>
      </c>
      <c r="Z770" s="193" t="s">
        <v>2805</v>
      </c>
      <c r="AA770" s="193" t="s">
        <v>2806</v>
      </c>
      <c r="AB770" s="193">
        <v>14388</v>
      </c>
      <c r="AC770" s="193" t="s">
        <v>2768</v>
      </c>
      <c r="AD770" s="193" t="s">
        <v>134</v>
      </c>
      <c r="AE770" s="193">
        <v>14388</v>
      </c>
      <c r="AF770" s="193" t="s">
        <v>505</v>
      </c>
      <c r="AG770" s="193" t="s">
        <v>2486</v>
      </c>
      <c r="AH770" s="193">
        <v>1065</v>
      </c>
      <c r="AI770" s="193">
        <v>13323</v>
      </c>
      <c r="AJ770" s="193" t="s">
        <v>2791</v>
      </c>
      <c r="AL770" s="197" t="s">
        <v>2810</v>
      </c>
      <c r="AM770" s="193">
        <v>1</v>
      </c>
      <c r="AN770" s="193">
        <v>0</v>
      </c>
      <c r="AO770" s="193">
        <v>0</v>
      </c>
      <c r="AP770" s="193">
        <v>0</v>
      </c>
      <c r="AQ770" s="193" t="s">
        <v>214</v>
      </c>
      <c r="AS770" s="197" t="s">
        <v>505</v>
      </c>
      <c r="AT770" s="197" t="s">
        <v>2486</v>
      </c>
      <c r="AV770" s="194">
        <v>0</v>
      </c>
      <c r="AW770" s="194">
        <v>0</v>
      </c>
      <c r="AX770" s="194">
        <v>0</v>
      </c>
      <c r="AY770" s="549">
        <v>0</v>
      </c>
      <c r="AZ770" s="194">
        <v>0</v>
      </c>
      <c r="BA770" s="194">
        <v>14388</v>
      </c>
      <c r="BB770" s="551">
        <v>14388</v>
      </c>
      <c r="BC770" s="551">
        <v>14388</v>
      </c>
      <c r="BD770" s="551">
        <v>0</v>
      </c>
      <c r="BF770" s="550">
        <f t="shared" si="142"/>
        <v>0</v>
      </c>
      <c r="BG770" s="550">
        <f t="shared" si="143"/>
        <v>0</v>
      </c>
      <c r="BH770" s="550">
        <f t="shared" si="144"/>
        <v>0</v>
      </c>
      <c r="BI770" s="550">
        <f t="shared" si="145"/>
        <v>0</v>
      </c>
      <c r="BJ770" s="550">
        <f t="shared" si="146"/>
        <v>0</v>
      </c>
      <c r="BK770" s="550">
        <f t="shared" si="147"/>
        <v>13322</v>
      </c>
      <c r="BL770" s="550">
        <f t="shared" si="148"/>
        <v>13322</v>
      </c>
      <c r="BM770" s="550">
        <f t="shared" si="149"/>
        <v>13322</v>
      </c>
      <c r="BO770" s="567">
        <f t="shared" si="152"/>
        <v>0.22222222222262644</v>
      </c>
      <c r="BQ770" s="193">
        <f t="shared" si="150"/>
        <v>0</v>
      </c>
      <c r="BR770" s="193">
        <f t="shared" si="151"/>
        <v>0.22222222222262644</v>
      </c>
    </row>
    <row r="771" spans="1:70" ht="13.5" customHeight="1">
      <c r="A771" s="193" t="s">
        <v>1624</v>
      </c>
      <c r="B771" s="193" t="s">
        <v>379</v>
      </c>
      <c r="C771" s="193" t="s">
        <v>214</v>
      </c>
      <c r="D771" s="193" t="s">
        <v>1165</v>
      </c>
      <c r="E771" s="193" t="s">
        <v>1166</v>
      </c>
      <c r="F771" s="193" t="s">
        <v>1487</v>
      </c>
      <c r="G771" s="193" t="s">
        <v>1487</v>
      </c>
      <c r="H771" s="193" t="s">
        <v>2811</v>
      </c>
      <c r="I771" s="193" t="s">
        <v>384</v>
      </c>
      <c r="J771" s="193" t="s">
        <v>2812</v>
      </c>
      <c r="K771" s="193" t="s">
        <v>386</v>
      </c>
      <c r="L771" s="193" t="s">
        <v>387</v>
      </c>
      <c r="M771" s="193" t="s">
        <v>378</v>
      </c>
      <c r="N771" s="193" t="s">
        <v>2765</v>
      </c>
      <c r="O771" s="193" t="s">
        <v>129</v>
      </c>
      <c r="P771" s="193" t="s">
        <v>128</v>
      </c>
      <c r="Q771" s="193" t="s">
        <v>134</v>
      </c>
      <c r="R771" s="193" t="s">
        <v>134</v>
      </c>
      <c r="S771" s="193" t="s">
        <v>214</v>
      </c>
      <c r="T771" s="193" t="s">
        <v>389</v>
      </c>
      <c r="U771" s="193" t="s">
        <v>390</v>
      </c>
      <c r="V771" s="193">
        <v>0</v>
      </c>
      <c r="W771" s="193">
        <v>0</v>
      </c>
      <c r="X771" s="193">
        <v>0</v>
      </c>
      <c r="Y771" s="194">
        <v>3058</v>
      </c>
      <c r="Z771" s="193" t="s">
        <v>2805</v>
      </c>
      <c r="AA771" s="193" t="s">
        <v>2806</v>
      </c>
      <c r="AB771" s="193">
        <v>3058</v>
      </c>
      <c r="AC771" s="193" t="s">
        <v>2768</v>
      </c>
      <c r="AD771" s="193" t="s">
        <v>134</v>
      </c>
      <c r="AE771" s="193">
        <v>3058</v>
      </c>
      <c r="AF771" s="193" t="s">
        <v>394</v>
      </c>
      <c r="AG771" s="193" t="s">
        <v>395</v>
      </c>
      <c r="AH771" s="193">
        <v>278</v>
      </c>
      <c r="AI771" s="193">
        <v>2780</v>
      </c>
      <c r="AJ771" s="193" t="s">
        <v>2791</v>
      </c>
      <c r="AL771" s="197" t="s">
        <v>2813</v>
      </c>
      <c r="AM771" s="193">
        <v>1</v>
      </c>
      <c r="AN771" s="193">
        <v>0</v>
      </c>
      <c r="AO771" s="193">
        <v>0</v>
      </c>
      <c r="AP771" s="193">
        <v>0</v>
      </c>
      <c r="AQ771" s="193" t="s">
        <v>214</v>
      </c>
      <c r="AS771" s="197" t="s">
        <v>394</v>
      </c>
      <c r="AT771" s="197" t="s">
        <v>395</v>
      </c>
      <c r="AV771" s="194">
        <v>0</v>
      </c>
      <c r="AW771" s="194">
        <v>0</v>
      </c>
      <c r="AX771" s="194">
        <v>0</v>
      </c>
      <c r="AY771" s="549">
        <v>0</v>
      </c>
      <c r="AZ771" s="194">
        <v>0</v>
      </c>
      <c r="BA771" s="194">
        <v>3058</v>
      </c>
      <c r="BB771" s="551">
        <v>3058</v>
      </c>
      <c r="BC771" s="551">
        <v>3058</v>
      </c>
      <c r="BD771" s="551">
        <v>0</v>
      </c>
      <c r="BF771" s="550">
        <f t="shared" si="142"/>
        <v>0</v>
      </c>
      <c r="BG771" s="550">
        <f t="shared" si="143"/>
        <v>0</v>
      </c>
      <c r="BH771" s="550">
        <f t="shared" si="144"/>
        <v>0</v>
      </c>
      <c r="BI771" s="550">
        <f t="shared" si="145"/>
        <v>0</v>
      </c>
      <c r="BJ771" s="550">
        <f t="shared" si="146"/>
        <v>0</v>
      </c>
      <c r="BK771" s="550">
        <f t="shared" si="147"/>
        <v>2780</v>
      </c>
      <c r="BL771" s="550">
        <f t="shared" si="148"/>
        <v>2780</v>
      </c>
      <c r="BM771" s="550">
        <f t="shared" si="149"/>
        <v>2780</v>
      </c>
      <c r="BO771" s="567">
        <f t="shared" si="152"/>
        <v>0</v>
      </c>
      <c r="BQ771" s="193">
        <f t="shared" si="150"/>
        <v>0</v>
      </c>
      <c r="BR771" s="193">
        <f t="shared" si="151"/>
        <v>0</v>
      </c>
    </row>
    <row r="772" spans="1:70" ht="13.5" customHeight="1">
      <c r="A772" s="193" t="s">
        <v>1624</v>
      </c>
      <c r="B772" s="193" t="s">
        <v>379</v>
      </c>
      <c r="C772" s="193" t="s">
        <v>214</v>
      </c>
      <c r="D772" s="193" t="s">
        <v>1165</v>
      </c>
      <c r="E772" s="193" t="s">
        <v>1166</v>
      </c>
      <c r="F772" s="193" t="s">
        <v>1487</v>
      </c>
      <c r="G772" s="193" t="s">
        <v>1487</v>
      </c>
      <c r="H772" s="193" t="s">
        <v>2814</v>
      </c>
      <c r="I772" s="193" t="s">
        <v>384</v>
      </c>
      <c r="J772" s="193" t="s">
        <v>2815</v>
      </c>
      <c r="K772" s="193" t="s">
        <v>386</v>
      </c>
      <c r="L772" s="193" t="s">
        <v>387</v>
      </c>
      <c r="M772" s="193" t="s">
        <v>378</v>
      </c>
      <c r="N772" s="193" t="s">
        <v>2765</v>
      </c>
      <c r="O772" s="193" t="s">
        <v>129</v>
      </c>
      <c r="P772" s="193" t="s">
        <v>128</v>
      </c>
      <c r="Q772" s="193" t="s">
        <v>134</v>
      </c>
      <c r="R772" s="193" t="s">
        <v>134</v>
      </c>
      <c r="S772" s="193" t="s">
        <v>214</v>
      </c>
      <c r="T772" s="193" t="s">
        <v>389</v>
      </c>
      <c r="U772" s="193" t="s">
        <v>390</v>
      </c>
      <c r="V772" s="193">
        <v>0</v>
      </c>
      <c r="W772" s="193">
        <v>0</v>
      </c>
      <c r="X772" s="193">
        <v>0</v>
      </c>
      <c r="Y772" s="194">
        <v>6014</v>
      </c>
      <c r="Z772" s="193" t="s">
        <v>2805</v>
      </c>
      <c r="AA772" s="193" t="s">
        <v>2806</v>
      </c>
      <c r="AB772" s="193">
        <v>6014</v>
      </c>
      <c r="AC772" s="193" t="s">
        <v>2768</v>
      </c>
      <c r="AD772" s="193" t="s">
        <v>134</v>
      </c>
      <c r="AE772" s="193">
        <v>6014</v>
      </c>
      <c r="AF772" s="193" t="s">
        <v>505</v>
      </c>
      <c r="AG772" s="193" t="s">
        <v>2486</v>
      </c>
      <c r="AH772" s="193">
        <v>444</v>
      </c>
      <c r="AI772" s="193">
        <v>5570</v>
      </c>
      <c r="AJ772" s="193" t="s">
        <v>2791</v>
      </c>
      <c r="AL772" s="197" t="s">
        <v>2816</v>
      </c>
      <c r="AM772" s="193">
        <v>1</v>
      </c>
      <c r="AN772" s="193">
        <v>0</v>
      </c>
      <c r="AO772" s="193">
        <v>0</v>
      </c>
      <c r="AP772" s="193">
        <v>0</v>
      </c>
      <c r="AQ772" s="193" t="s">
        <v>214</v>
      </c>
      <c r="AS772" s="197" t="s">
        <v>505</v>
      </c>
      <c r="AT772" s="197" t="s">
        <v>2486</v>
      </c>
      <c r="AV772" s="194">
        <v>0</v>
      </c>
      <c r="AW772" s="194">
        <v>0</v>
      </c>
      <c r="AX772" s="194">
        <v>0</v>
      </c>
      <c r="AY772" s="549">
        <v>0</v>
      </c>
      <c r="AZ772" s="194">
        <v>0</v>
      </c>
      <c r="BA772" s="194">
        <v>6014</v>
      </c>
      <c r="BB772" s="551">
        <v>6014</v>
      </c>
      <c r="BC772" s="551">
        <v>6014</v>
      </c>
      <c r="BD772" s="551">
        <v>0</v>
      </c>
      <c r="BF772" s="550">
        <f t="shared" si="142"/>
        <v>0</v>
      </c>
      <c r="BG772" s="550">
        <f t="shared" si="143"/>
        <v>0</v>
      </c>
      <c r="BH772" s="550">
        <f t="shared" si="144"/>
        <v>0</v>
      </c>
      <c r="BI772" s="550">
        <f t="shared" si="145"/>
        <v>0</v>
      </c>
      <c r="BJ772" s="550">
        <f t="shared" si="146"/>
        <v>0</v>
      </c>
      <c r="BK772" s="574">
        <f>+IFERROR(ROUND(BA772*100/(100+$AT772),0),BA772)-1</f>
        <v>5568</v>
      </c>
      <c r="BL772" s="550">
        <f t="shared" si="148"/>
        <v>5568</v>
      </c>
      <c r="BM772" s="550">
        <f t="shared" si="149"/>
        <v>5568</v>
      </c>
      <c r="BO772" s="567">
        <f t="shared" si="152"/>
        <v>0.51851851851824904</v>
      </c>
      <c r="BQ772" s="193">
        <f t="shared" si="150"/>
        <v>0</v>
      </c>
      <c r="BR772" s="193">
        <f t="shared" si="151"/>
        <v>0.51851851851824904</v>
      </c>
    </row>
    <row r="773" spans="1:70" ht="13.5" customHeight="1">
      <c r="A773" s="193" t="s">
        <v>378</v>
      </c>
      <c r="B773" s="193" t="s">
        <v>379</v>
      </c>
      <c r="C773" s="193" t="s">
        <v>214</v>
      </c>
      <c r="D773" s="193" t="s">
        <v>1165</v>
      </c>
      <c r="E773" s="193" t="s">
        <v>1166</v>
      </c>
      <c r="F773" s="193" t="s">
        <v>2776</v>
      </c>
      <c r="G773" s="193" t="s">
        <v>2776</v>
      </c>
      <c r="H773" s="193" t="s">
        <v>2818</v>
      </c>
      <c r="I773" s="193" t="s">
        <v>384</v>
      </c>
      <c r="J773" s="193" t="s">
        <v>2823</v>
      </c>
      <c r="K773" s="193" t="s">
        <v>386</v>
      </c>
      <c r="L773" s="193" t="s">
        <v>387</v>
      </c>
      <c r="M773" s="193" t="s">
        <v>378</v>
      </c>
      <c r="N773" s="193" t="s">
        <v>2765</v>
      </c>
      <c r="O773" s="193" t="s">
        <v>129</v>
      </c>
      <c r="P773" s="193" t="s">
        <v>128</v>
      </c>
      <c r="Q773" s="193" t="s">
        <v>134</v>
      </c>
      <c r="R773" s="193" t="s">
        <v>134</v>
      </c>
      <c r="S773" s="193" t="s">
        <v>214</v>
      </c>
      <c r="T773" s="193" t="s">
        <v>389</v>
      </c>
      <c r="U773" s="193" t="s">
        <v>390</v>
      </c>
      <c r="V773" s="193">
        <v>0</v>
      </c>
      <c r="W773" s="193">
        <v>0</v>
      </c>
      <c r="X773" s="193">
        <v>0</v>
      </c>
      <c r="Y773" s="194">
        <v>1529</v>
      </c>
      <c r="Z773" s="193" t="s">
        <v>2820</v>
      </c>
      <c r="AA773" s="193" t="s">
        <v>2821</v>
      </c>
      <c r="AB773" s="193">
        <v>1529</v>
      </c>
      <c r="AC773" s="193" t="s">
        <v>2768</v>
      </c>
      <c r="AD773" s="193" t="s">
        <v>134</v>
      </c>
      <c r="AE773" s="193">
        <v>1529</v>
      </c>
      <c r="AF773" s="193" t="s">
        <v>394</v>
      </c>
      <c r="AG773" s="193" t="s">
        <v>395</v>
      </c>
      <c r="AH773" s="193">
        <v>139</v>
      </c>
      <c r="AI773" s="193">
        <v>1390</v>
      </c>
      <c r="AJ773" s="193" t="s">
        <v>2791</v>
      </c>
      <c r="AL773" s="197" t="s">
        <v>2824</v>
      </c>
      <c r="AM773" s="193">
        <v>1</v>
      </c>
      <c r="AN773" s="193">
        <v>0</v>
      </c>
      <c r="AO773" s="193">
        <v>0</v>
      </c>
      <c r="AP773" s="193">
        <v>0</v>
      </c>
      <c r="AQ773" s="193" t="s">
        <v>214</v>
      </c>
      <c r="AS773" s="197" t="s">
        <v>394</v>
      </c>
      <c r="AT773" s="197" t="s">
        <v>395</v>
      </c>
      <c r="AV773" s="194">
        <v>0</v>
      </c>
      <c r="AW773" s="194">
        <v>0</v>
      </c>
      <c r="AX773" s="194">
        <v>0</v>
      </c>
      <c r="AY773" s="549">
        <v>0</v>
      </c>
      <c r="AZ773" s="194">
        <v>0</v>
      </c>
      <c r="BA773" s="194">
        <v>1529</v>
      </c>
      <c r="BB773" s="551">
        <v>1529</v>
      </c>
      <c r="BC773" s="551">
        <v>1529</v>
      </c>
      <c r="BD773" s="551">
        <v>0</v>
      </c>
      <c r="BF773" s="550">
        <f t="shared" si="142"/>
        <v>0</v>
      </c>
      <c r="BG773" s="550">
        <f t="shared" si="143"/>
        <v>0</v>
      </c>
      <c r="BH773" s="550">
        <f t="shared" si="144"/>
        <v>0</v>
      </c>
      <c r="BI773" s="550">
        <f t="shared" si="145"/>
        <v>0</v>
      </c>
      <c r="BJ773" s="550">
        <f t="shared" si="146"/>
        <v>0</v>
      </c>
      <c r="BK773" s="550">
        <f t="shared" si="147"/>
        <v>1390</v>
      </c>
      <c r="BL773" s="550">
        <f t="shared" si="148"/>
        <v>1390</v>
      </c>
      <c r="BM773" s="550">
        <f t="shared" si="149"/>
        <v>1390</v>
      </c>
      <c r="BO773" s="567">
        <f t="shared" si="152"/>
        <v>0</v>
      </c>
      <c r="BQ773" s="193">
        <f t="shared" si="150"/>
        <v>0</v>
      </c>
      <c r="BR773" s="193">
        <f t="shared" si="151"/>
        <v>0</v>
      </c>
    </row>
    <row r="774" spans="1:70" ht="13.5" customHeight="1">
      <c r="A774" s="193" t="s">
        <v>378</v>
      </c>
      <c r="B774" s="193" t="s">
        <v>379</v>
      </c>
      <c r="C774" s="193" t="s">
        <v>214</v>
      </c>
      <c r="D774" s="193" t="s">
        <v>1165</v>
      </c>
      <c r="E774" s="193" t="s">
        <v>1166</v>
      </c>
      <c r="F774" s="193" t="s">
        <v>2817</v>
      </c>
      <c r="G774" s="193" t="s">
        <v>2817</v>
      </c>
      <c r="H774" s="193" t="s">
        <v>2818</v>
      </c>
      <c r="I774" s="193" t="s">
        <v>384</v>
      </c>
      <c r="J774" s="193" t="s">
        <v>2819</v>
      </c>
      <c r="K774" s="193" t="s">
        <v>386</v>
      </c>
      <c r="L774" s="193" t="s">
        <v>387</v>
      </c>
      <c r="M774" s="193" t="s">
        <v>378</v>
      </c>
      <c r="N774" s="193" t="s">
        <v>2765</v>
      </c>
      <c r="O774" s="193" t="s">
        <v>129</v>
      </c>
      <c r="P774" s="193" t="s">
        <v>128</v>
      </c>
      <c r="Q774" s="193" t="s">
        <v>134</v>
      </c>
      <c r="R774" s="193" t="s">
        <v>134</v>
      </c>
      <c r="S774" s="193" t="s">
        <v>214</v>
      </c>
      <c r="T774" s="193" t="s">
        <v>389</v>
      </c>
      <c r="U774" s="193" t="s">
        <v>390</v>
      </c>
      <c r="V774" s="193">
        <v>0</v>
      </c>
      <c r="W774" s="193">
        <v>0</v>
      </c>
      <c r="X774" s="193">
        <v>0</v>
      </c>
      <c r="Y774" s="194">
        <v>1529</v>
      </c>
      <c r="Z774" s="193" t="s">
        <v>2820</v>
      </c>
      <c r="AA774" s="193" t="s">
        <v>2821</v>
      </c>
      <c r="AB774" s="193">
        <v>1529</v>
      </c>
      <c r="AC774" s="193" t="s">
        <v>2768</v>
      </c>
      <c r="AD774" s="193" t="s">
        <v>134</v>
      </c>
      <c r="AE774" s="193">
        <v>1529</v>
      </c>
      <c r="AF774" s="193" t="s">
        <v>394</v>
      </c>
      <c r="AG774" s="193" t="s">
        <v>395</v>
      </c>
      <c r="AH774" s="193">
        <v>139</v>
      </c>
      <c r="AI774" s="193">
        <v>1390</v>
      </c>
      <c r="AJ774" s="193" t="s">
        <v>2791</v>
      </c>
      <c r="AL774" s="197" t="s">
        <v>2822</v>
      </c>
      <c r="AM774" s="193">
        <v>1</v>
      </c>
      <c r="AN774" s="193">
        <v>0</v>
      </c>
      <c r="AO774" s="193">
        <v>0</v>
      </c>
      <c r="AP774" s="193">
        <v>0</v>
      </c>
      <c r="AQ774" s="193" t="s">
        <v>214</v>
      </c>
      <c r="AS774" s="197" t="s">
        <v>394</v>
      </c>
      <c r="AT774" s="197" t="s">
        <v>395</v>
      </c>
      <c r="AV774" s="194">
        <v>0</v>
      </c>
      <c r="AW774" s="194">
        <v>0</v>
      </c>
      <c r="AX774" s="194">
        <v>0</v>
      </c>
      <c r="AY774" s="549">
        <v>0</v>
      </c>
      <c r="AZ774" s="194">
        <v>0</v>
      </c>
      <c r="BA774" s="194">
        <v>1529</v>
      </c>
      <c r="BB774" s="551">
        <v>1529</v>
      </c>
      <c r="BC774" s="551">
        <v>1529</v>
      </c>
      <c r="BD774" s="551">
        <v>0</v>
      </c>
      <c r="BF774" s="550">
        <f t="shared" si="142"/>
        <v>0</v>
      </c>
      <c r="BG774" s="550">
        <f t="shared" si="143"/>
        <v>0</v>
      </c>
      <c r="BH774" s="550">
        <f t="shared" si="144"/>
        <v>0</v>
      </c>
      <c r="BI774" s="550">
        <f t="shared" si="145"/>
        <v>0</v>
      </c>
      <c r="BJ774" s="550">
        <f t="shared" si="146"/>
        <v>0</v>
      </c>
      <c r="BK774" s="550">
        <f t="shared" si="147"/>
        <v>1390</v>
      </c>
      <c r="BL774" s="550">
        <f t="shared" si="148"/>
        <v>1390</v>
      </c>
      <c r="BM774" s="550">
        <f t="shared" si="149"/>
        <v>1390</v>
      </c>
      <c r="BO774" s="567">
        <f t="shared" si="152"/>
        <v>0</v>
      </c>
      <c r="BQ774" s="193">
        <f t="shared" si="150"/>
        <v>0</v>
      </c>
      <c r="BR774" s="193">
        <f t="shared" si="151"/>
        <v>0</v>
      </c>
    </row>
    <row r="775" spans="1:70" ht="13.5" customHeight="1">
      <c r="A775" s="193" t="s">
        <v>378</v>
      </c>
      <c r="B775" s="193" t="s">
        <v>379</v>
      </c>
      <c r="C775" s="193" t="s">
        <v>214</v>
      </c>
      <c r="D775" s="193" t="s">
        <v>1165</v>
      </c>
      <c r="E775" s="193" t="s">
        <v>1166</v>
      </c>
      <c r="F775" s="193" t="s">
        <v>1339</v>
      </c>
      <c r="G775" s="193" t="s">
        <v>1339</v>
      </c>
      <c r="H775" s="193" t="s">
        <v>2828</v>
      </c>
      <c r="I775" s="193" t="s">
        <v>384</v>
      </c>
      <c r="J775" s="193" t="s">
        <v>2829</v>
      </c>
      <c r="K775" s="193" t="s">
        <v>386</v>
      </c>
      <c r="L775" s="193" t="s">
        <v>387</v>
      </c>
      <c r="M775" s="193" t="s">
        <v>378</v>
      </c>
      <c r="N775" s="193" t="s">
        <v>2765</v>
      </c>
      <c r="O775" s="193" t="s">
        <v>129</v>
      </c>
      <c r="P775" s="193" t="s">
        <v>128</v>
      </c>
      <c r="Q775" s="193" t="s">
        <v>134</v>
      </c>
      <c r="R775" s="193" t="s">
        <v>134</v>
      </c>
      <c r="S775" s="193" t="s">
        <v>214</v>
      </c>
      <c r="T775" s="193" t="s">
        <v>389</v>
      </c>
      <c r="U775" s="193" t="s">
        <v>390</v>
      </c>
      <c r="V775" s="193">
        <v>0</v>
      </c>
      <c r="W775" s="193">
        <v>0</v>
      </c>
      <c r="X775" s="193">
        <v>0</v>
      </c>
      <c r="Y775" s="194">
        <v>2196</v>
      </c>
      <c r="Z775" s="193" t="s">
        <v>2820</v>
      </c>
      <c r="AA775" s="193" t="s">
        <v>2821</v>
      </c>
      <c r="AB775" s="193">
        <v>2196</v>
      </c>
      <c r="AC775" s="193" t="s">
        <v>2768</v>
      </c>
      <c r="AD775" s="193" t="s">
        <v>134</v>
      </c>
      <c r="AE775" s="193">
        <v>2196</v>
      </c>
      <c r="AF775" s="193" t="s">
        <v>394</v>
      </c>
      <c r="AG775" s="193" t="s">
        <v>395</v>
      </c>
      <c r="AH775" s="193">
        <v>198</v>
      </c>
      <c r="AI775" s="193">
        <v>1998</v>
      </c>
      <c r="AJ775" s="193" t="s">
        <v>2791</v>
      </c>
      <c r="AL775" s="197" t="s">
        <v>2830</v>
      </c>
      <c r="AM775" s="193">
        <v>1</v>
      </c>
      <c r="AN775" s="193">
        <v>0</v>
      </c>
      <c r="AO775" s="193">
        <v>0</v>
      </c>
      <c r="AP775" s="193">
        <v>0</v>
      </c>
      <c r="AQ775" s="193" t="s">
        <v>214</v>
      </c>
      <c r="AS775" s="197" t="s">
        <v>394</v>
      </c>
      <c r="AT775" s="197" t="s">
        <v>395</v>
      </c>
      <c r="AV775" s="194">
        <v>0</v>
      </c>
      <c r="AW775" s="194">
        <v>0</v>
      </c>
      <c r="AX775" s="194">
        <v>0</v>
      </c>
      <c r="AY775" s="549">
        <v>0</v>
      </c>
      <c r="AZ775" s="194">
        <v>0</v>
      </c>
      <c r="BA775" s="194">
        <v>2196</v>
      </c>
      <c r="BB775" s="551">
        <v>2196</v>
      </c>
      <c r="BC775" s="551">
        <v>2196</v>
      </c>
      <c r="BD775" s="551">
        <v>0</v>
      </c>
      <c r="BF775" s="550">
        <f t="shared" ref="BF775:BF822" si="153">+IFERROR(ROUND(AV775*100/(100+$AT775),0),AV775)</f>
        <v>0</v>
      </c>
      <c r="BG775" s="550">
        <f t="shared" ref="BG775:BG822" si="154">+IFERROR(ROUND(AW775*100/(100+$AT775),0),AW775)</f>
        <v>0</v>
      </c>
      <c r="BH775" s="550">
        <f t="shared" ref="BH775:BH822" si="155">+IFERROR(ROUND(AX775*100/(100+$AT775),0),AX775)</f>
        <v>0</v>
      </c>
      <c r="BI775" s="550">
        <f t="shared" ref="BI775:BI822" si="156">SUM(BF775:BH775)</f>
        <v>0</v>
      </c>
      <c r="BJ775" s="550">
        <f t="shared" ref="BJ775:BJ822" si="157">+IFERROR(ROUND(AZ775*100/(100+$AT775),0),AZ775)</f>
        <v>0</v>
      </c>
      <c r="BK775" s="550">
        <f t="shared" ref="BK775:BK822" si="158">+IFERROR(ROUND(BA775*100/(100+$AT775),0),BA775)</f>
        <v>1996</v>
      </c>
      <c r="BL775" s="550">
        <f t="shared" ref="BL775:BL822" si="159">SUM(BJ775:BK775)</f>
        <v>1996</v>
      </c>
      <c r="BM775" s="550">
        <f t="shared" ref="BM775:BM822" si="160">+BI775+BL775</f>
        <v>1996</v>
      </c>
      <c r="BO775" s="567">
        <f t="shared" si="152"/>
        <v>0.36363636363626028</v>
      </c>
      <c r="BQ775" s="193">
        <f t="shared" ref="BQ775:BQ822" si="161">AY775*100/(100+$AT775)-BI775</f>
        <v>0</v>
      </c>
      <c r="BR775" s="193">
        <f t="shared" ref="BR775:BR822" si="162">BB775*100/(100+$AT775)-BL775</f>
        <v>0.36363636363626028</v>
      </c>
    </row>
    <row r="776" spans="1:70" ht="13.5" customHeight="1">
      <c r="A776" s="193" t="s">
        <v>378</v>
      </c>
      <c r="B776" s="193" t="s">
        <v>379</v>
      </c>
      <c r="C776" s="193" t="s">
        <v>214</v>
      </c>
      <c r="D776" s="193" t="s">
        <v>1165</v>
      </c>
      <c r="E776" s="193" t="s">
        <v>1166</v>
      </c>
      <c r="F776" s="193" t="s">
        <v>1240</v>
      </c>
      <c r="G776" s="193" t="s">
        <v>1240</v>
      </c>
      <c r="H776" s="193" t="s">
        <v>2825</v>
      </c>
      <c r="I776" s="193" t="s">
        <v>384</v>
      </c>
      <c r="J776" s="193" t="s">
        <v>2826</v>
      </c>
      <c r="K776" s="193" t="s">
        <v>386</v>
      </c>
      <c r="L776" s="193" t="s">
        <v>387</v>
      </c>
      <c r="M776" s="193" t="s">
        <v>378</v>
      </c>
      <c r="N776" s="193" t="s">
        <v>2765</v>
      </c>
      <c r="O776" s="193" t="s">
        <v>129</v>
      </c>
      <c r="P776" s="193" t="s">
        <v>128</v>
      </c>
      <c r="Q776" s="193" t="s">
        <v>134</v>
      </c>
      <c r="R776" s="193" t="s">
        <v>134</v>
      </c>
      <c r="S776" s="193" t="s">
        <v>214</v>
      </c>
      <c r="T776" s="193" t="s">
        <v>389</v>
      </c>
      <c r="U776" s="193" t="s">
        <v>390</v>
      </c>
      <c r="V776" s="193">
        <v>0</v>
      </c>
      <c r="W776" s="193">
        <v>0</v>
      </c>
      <c r="X776" s="193">
        <v>0</v>
      </c>
      <c r="Y776" s="194">
        <v>22272</v>
      </c>
      <c r="Z776" s="193" t="s">
        <v>2820</v>
      </c>
      <c r="AA776" s="193" t="s">
        <v>2821</v>
      </c>
      <c r="AB776" s="193">
        <v>22272</v>
      </c>
      <c r="AC776" s="193" t="s">
        <v>2768</v>
      </c>
      <c r="AD776" s="193" t="s">
        <v>134</v>
      </c>
      <c r="AE776" s="193">
        <v>22272</v>
      </c>
      <c r="AF776" s="193" t="s">
        <v>394</v>
      </c>
      <c r="AG776" s="193" t="s">
        <v>395</v>
      </c>
      <c r="AH776" s="193">
        <v>2022</v>
      </c>
      <c r="AI776" s="193">
        <v>20250</v>
      </c>
      <c r="AJ776" s="193" t="s">
        <v>2791</v>
      </c>
      <c r="AL776" s="197" t="s">
        <v>2827</v>
      </c>
      <c r="AM776" s="193">
        <v>1</v>
      </c>
      <c r="AN776" s="193">
        <v>0</v>
      </c>
      <c r="AO776" s="193">
        <v>0</v>
      </c>
      <c r="AP776" s="193">
        <v>0</v>
      </c>
      <c r="AQ776" s="193" t="s">
        <v>214</v>
      </c>
      <c r="AS776" s="197" t="s">
        <v>394</v>
      </c>
      <c r="AT776" s="197" t="s">
        <v>395</v>
      </c>
      <c r="AV776" s="194">
        <v>0</v>
      </c>
      <c r="AW776" s="194">
        <v>0</v>
      </c>
      <c r="AX776" s="194">
        <v>0</v>
      </c>
      <c r="AY776" s="549">
        <v>0</v>
      </c>
      <c r="AZ776" s="194">
        <v>0</v>
      </c>
      <c r="BA776" s="194">
        <v>22272</v>
      </c>
      <c r="BB776" s="551">
        <v>22272</v>
      </c>
      <c r="BC776" s="551">
        <v>22272</v>
      </c>
      <c r="BD776" s="551">
        <v>0</v>
      </c>
      <c r="BF776" s="550">
        <f t="shared" si="153"/>
        <v>0</v>
      </c>
      <c r="BG776" s="550">
        <f t="shared" si="154"/>
        <v>0</v>
      </c>
      <c r="BH776" s="550">
        <f t="shared" si="155"/>
        <v>0</v>
      </c>
      <c r="BI776" s="550">
        <f t="shared" si="156"/>
        <v>0</v>
      </c>
      <c r="BJ776" s="550">
        <f t="shared" si="157"/>
        <v>0</v>
      </c>
      <c r="BK776" s="550">
        <f t="shared" si="158"/>
        <v>20247</v>
      </c>
      <c r="BL776" s="550">
        <f t="shared" si="159"/>
        <v>20247</v>
      </c>
      <c r="BM776" s="550">
        <f t="shared" si="160"/>
        <v>20247</v>
      </c>
      <c r="BO776" s="567">
        <f t="shared" si="152"/>
        <v>0.27272727272793418</v>
      </c>
      <c r="BQ776" s="193">
        <f t="shared" si="161"/>
        <v>0</v>
      </c>
      <c r="BR776" s="193">
        <f t="shared" si="162"/>
        <v>0.27272727272793418</v>
      </c>
    </row>
    <row r="777" spans="1:70" ht="13.5" customHeight="1">
      <c r="A777" s="193" t="s">
        <v>378</v>
      </c>
      <c r="B777" s="193" t="s">
        <v>379</v>
      </c>
      <c r="C777" s="193" t="s">
        <v>214</v>
      </c>
      <c r="D777" s="193" t="s">
        <v>1165</v>
      </c>
      <c r="E777" s="193" t="s">
        <v>1166</v>
      </c>
      <c r="F777" s="193" t="s">
        <v>710</v>
      </c>
      <c r="G777" s="193" t="s">
        <v>710</v>
      </c>
      <c r="H777" s="193" t="s">
        <v>2831</v>
      </c>
      <c r="I777" s="193" t="s">
        <v>384</v>
      </c>
      <c r="J777" s="193" t="s">
        <v>2832</v>
      </c>
      <c r="K777" s="193" t="s">
        <v>386</v>
      </c>
      <c r="L777" s="193" t="s">
        <v>387</v>
      </c>
      <c r="M777" s="193" t="s">
        <v>378</v>
      </c>
      <c r="N777" s="193" t="s">
        <v>2765</v>
      </c>
      <c r="O777" s="193" t="s">
        <v>129</v>
      </c>
      <c r="P777" s="193" t="s">
        <v>128</v>
      </c>
      <c r="Q777" s="193" t="s">
        <v>134</v>
      </c>
      <c r="R777" s="193" t="s">
        <v>134</v>
      </c>
      <c r="S777" s="193" t="s">
        <v>214</v>
      </c>
      <c r="T777" s="193" t="s">
        <v>389</v>
      </c>
      <c r="U777" s="193" t="s">
        <v>390</v>
      </c>
      <c r="V777" s="193">
        <v>0</v>
      </c>
      <c r="W777" s="193">
        <v>0</v>
      </c>
      <c r="X777" s="193">
        <v>0</v>
      </c>
      <c r="Y777" s="194">
        <v>10816</v>
      </c>
      <c r="Z777" s="193" t="s">
        <v>2820</v>
      </c>
      <c r="AA777" s="193" t="s">
        <v>2821</v>
      </c>
      <c r="AB777" s="193">
        <v>10816</v>
      </c>
      <c r="AC777" s="193" t="s">
        <v>2768</v>
      </c>
      <c r="AD777" s="193" t="s">
        <v>134</v>
      </c>
      <c r="AE777" s="193">
        <v>10816</v>
      </c>
      <c r="AF777" s="193" t="s">
        <v>394</v>
      </c>
      <c r="AG777" s="193" t="s">
        <v>395</v>
      </c>
      <c r="AH777" s="193">
        <v>981</v>
      </c>
      <c r="AI777" s="193">
        <v>9835</v>
      </c>
      <c r="AJ777" s="193" t="s">
        <v>2791</v>
      </c>
      <c r="AL777" s="197" t="s">
        <v>2833</v>
      </c>
      <c r="AM777" s="193">
        <v>1</v>
      </c>
      <c r="AN777" s="193">
        <v>0</v>
      </c>
      <c r="AO777" s="193">
        <v>0</v>
      </c>
      <c r="AP777" s="193">
        <v>0</v>
      </c>
      <c r="AQ777" s="193" t="s">
        <v>214</v>
      </c>
      <c r="AS777" s="197" t="s">
        <v>394</v>
      </c>
      <c r="AT777" s="197" t="s">
        <v>395</v>
      </c>
      <c r="AV777" s="194">
        <v>0</v>
      </c>
      <c r="AW777" s="194">
        <v>0</v>
      </c>
      <c r="AX777" s="194">
        <v>0</v>
      </c>
      <c r="AY777" s="549">
        <v>0</v>
      </c>
      <c r="AZ777" s="194">
        <v>0</v>
      </c>
      <c r="BA777" s="194">
        <v>10816</v>
      </c>
      <c r="BB777" s="551">
        <v>10816</v>
      </c>
      <c r="BC777" s="551">
        <v>10816</v>
      </c>
      <c r="BD777" s="551">
        <v>0</v>
      </c>
      <c r="BF777" s="550">
        <f t="shared" si="153"/>
        <v>0</v>
      </c>
      <c r="BG777" s="550">
        <f t="shared" si="154"/>
        <v>0</v>
      </c>
      <c r="BH777" s="550">
        <f t="shared" si="155"/>
        <v>0</v>
      </c>
      <c r="BI777" s="550">
        <f t="shared" si="156"/>
        <v>0</v>
      </c>
      <c r="BJ777" s="550">
        <f t="shared" si="157"/>
        <v>0</v>
      </c>
      <c r="BK777" s="550">
        <f t="shared" si="158"/>
        <v>9833</v>
      </c>
      <c r="BL777" s="550">
        <f t="shared" si="159"/>
        <v>9833</v>
      </c>
      <c r="BM777" s="550">
        <f t="shared" si="160"/>
        <v>9833</v>
      </c>
      <c r="BO777" s="567">
        <f t="shared" si="152"/>
        <v>-0.27272727272793418</v>
      </c>
      <c r="BQ777" s="193">
        <f t="shared" si="161"/>
        <v>0</v>
      </c>
      <c r="BR777" s="193">
        <f t="shared" si="162"/>
        <v>-0.27272727272793418</v>
      </c>
    </row>
    <row r="778" spans="1:70" ht="13.5" customHeight="1">
      <c r="A778" s="193" t="s">
        <v>1624</v>
      </c>
      <c r="B778" s="193" t="s">
        <v>379</v>
      </c>
      <c r="C778" s="193" t="s">
        <v>214</v>
      </c>
      <c r="D778" s="193" t="s">
        <v>1165</v>
      </c>
      <c r="E778" s="193" t="s">
        <v>1166</v>
      </c>
      <c r="F778" s="193" t="s">
        <v>1487</v>
      </c>
      <c r="G778" s="193" t="s">
        <v>1487</v>
      </c>
      <c r="H778" s="193" t="s">
        <v>2834</v>
      </c>
      <c r="I778" s="193" t="s">
        <v>384</v>
      </c>
      <c r="J778" s="193" t="s">
        <v>2835</v>
      </c>
      <c r="K778" s="193" t="s">
        <v>386</v>
      </c>
      <c r="L778" s="193" t="s">
        <v>387</v>
      </c>
      <c r="M778" s="193" t="s">
        <v>378</v>
      </c>
      <c r="N778" s="193" t="s">
        <v>2765</v>
      </c>
      <c r="O778" s="193" t="s">
        <v>129</v>
      </c>
      <c r="P778" s="193" t="s">
        <v>128</v>
      </c>
      <c r="Q778" s="193" t="s">
        <v>134</v>
      </c>
      <c r="R778" s="193" t="s">
        <v>134</v>
      </c>
      <c r="S778" s="193" t="s">
        <v>214</v>
      </c>
      <c r="T778" s="193" t="s">
        <v>389</v>
      </c>
      <c r="U778" s="193" t="s">
        <v>390</v>
      </c>
      <c r="V778" s="193">
        <v>0</v>
      </c>
      <c r="W778" s="193">
        <v>0</v>
      </c>
      <c r="X778" s="193">
        <v>0</v>
      </c>
      <c r="Y778" s="194">
        <v>9195</v>
      </c>
      <c r="Z778" s="193" t="s">
        <v>2820</v>
      </c>
      <c r="AA778" s="193" t="s">
        <v>2821</v>
      </c>
      <c r="AB778" s="193">
        <v>9195</v>
      </c>
      <c r="AC778" s="193" t="s">
        <v>2768</v>
      </c>
      <c r="AD778" s="193" t="s">
        <v>134</v>
      </c>
      <c r="AE778" s="193">
        <v>9195</v>
      </c>
      <c r="AF778" s="193" t="s">
        <v>394</v>
      </c>
      <c r="AG778" s="193" t="s">
        <v>395</v>
      </c>
      <c r="AH778" s="193">
        <v>835</v>
      </c>
      <c r="AI778" s="193">
        <v>8360</v>
      </c>
      <c r="AJ778" s="193" t="s">
        <v>2791</v>
      </c>
      <c r="AL778" s="197" t="s">
        <v>2836</v>
      </c>
      <c r="AM778" s="193">
        <v>1</v>
      </c>
      <c r="AN778" s="193">
        <v>0</v>
      </c>
      <c r="AO778" s="193">
        <v>0</v>
      </c>
      <c r="AP778" s="193">
        <v>0</v>
      </c>
      <c r="AQ778" s="193" t="s">
        <v>214</v>
      </c>
      <c r="AS778" s="197" t="s">
        <v>394</v>
      </c>
      <c r="AT778" s="197" t="s">
        <v>395</v>
      </c>
      <c r="AV778" s="194">
        <v>0</v>
      </c>
      <c r="AW778" s="194">
        <v>0</v>
      </c>
      <c r="AX778" s="194">
        <v>0</v>
      </c>
      <c r="AY778" s="549">
        <v>0</v>
      </c>
      <c r="AZ778" s="194">
        <v>0</v>
      </c>
      <c r="BA778" s="194">
        <v>9195</v>
      </c>
      <c r="BB778" s="551">
        <v>9195</v>
      </c>
      <c r="BC778" s="551">
        <v>9195</v>
      </c>
      <c r="BD778" s="551">
        <v>0</v>
      </c>
      <c r="BF778" s="550">
        <f t="shared" si="153"/>
        <v>0</v>
      </c>
      <c r="BG778" s="550">
        <f t="shared" si="154"/>
        <v>0</v>
      </c>
      <c r="BH778" s="550">
        <f t="shared" si="155"/>
        <v>0</v>
      </c>
      <c r="BI778" s="550">
        <f t="shared" si="156"/>
        <v>0</v>
      </c>
      <c r="BJ778" s="550">
        <f t="shared" si="157"/>
        <v>0</v>
      </c>
      <c r="BK778" s="550">
        <f t="shared" si="158"/>
        <v>8359</v>
      </c>
      <c r="BL778" s="550">
        <f t="shared" si="159"/>
        <v>8359</v>
      </c>
      <c r="BM778" s="550">
        <f t="shared" si="160"/>
        <v>8359</v>
      </c>
      <c r="BO778" s="567">
        <f t="shared" si="152"/>
        <v>9.0909090909917722E-2</v>
      </c>
      <c r="BQ778" s="193">
        <f t="shared" si="161"/>
        <v>0</v>
      </c>
      <c r="BR778" s="193">
        <f t="shared" si="162"/>
        <v>9.0909090909917722E-2</v>
      </c>
    </row>
    <row r="779" spans="1:70">
      <c r="A779" s="193" t="s">
        <v>378</v>
      </c>
      <c r="B779" s="193" t="s">
        <v>379</v>
      </c>
      <c r="C779" s="193" t="s">
        <v>214</v>
      </c>
      <c r="D779" s="193" t="s">
        <v>1165</v>
      </c>
      <c r="E779" s="193" t="s">
        <v>1166</v>
      </c>
      <c r="F779" s="193" t="s">
        <v>710</v>
      </c>
      <c r="G779" s="193" t="s">
        <v>710</v>
      </c>
      <c r="H779" s="193" t="s">
        <v>2837</v>
      </c>
      <c r="I779" s="193" t="s">
        <v>384</v>
      </c>
      <c r="J779" s="193" t="s">
        <v>2838</v>
      </c>
      <c r="K779" s="193" t="s">
        <v>386</v>
      </c>
      <c r="L779" s="193" t="s">
        <v>387</v>
      </c>
      <c r="M779" s="193" t="s">
        <v>378</v>
      </c>
      <c r="N779" s="193" t="s">
        <v>2765</v>
      </c>
      <c r="O779" s="193" t="s">
        <v>129</v>
      </c>
      <c r="P779" s="193" t="s">
        <v>128</v>
      </c>
      <c r="Q779" s="193" t="s">
        <v>134</v>
      </c>
      <c r="R779" s="193" t="s">
        <v>134</v>
      </c>
      <c r="S779" s="193" t="s">
        <v>214</v>
      </c>
      <c r="T779" s="193" t="s">
        <v>389</v>
      </c>
      <c r="U779" s="193" t="s">
        <v>390</v>
      </c>
      <c r="V779" s="193">
        <v>0</v>
      </c>
      <c r="W779" s="193">
        <v>0</v>
      </c>
      <c r="X779" s="193">
        <v>0</v>
      </c>
      <c r="Y779" s="193">
        <v>17632</v>
      </c>
      <c r="Z779" s="193" t="s">
        <v>2839</v>
      </c>
      <c r="AA779" s="193" t="s">
        <v>2840</v>
      </c>
      <c r="AB779" s="193">
        <v>17632</v>
      </c>
      <c r="AC779" s="193" t="s">
        <v>2768</v>
      </c>
      <c r="AD779" s="193" t="s">
        <v>134</v>
      </c>
      <c r="AE779" s="193">
        <v>17632</v>
      </c>
      <c r="AF779" s="193" t="s">
        <v>394</v>
      </c>
      <c r="AG779" s="193" t="s">
        <v>395</v>
      </c>
      <c r="AH779" s="193">
        <v>1602</v>
      </c>
      <c r="AI779" s="193">
        <v>16030</v>
      </c>
      <c r="AJ779" s="193" t="s">
        <v>2791</v>
      </c>
      <c r="AL779" s="193" t="s">
        <v>2841</v>
      </c>
      <c r="AM779" s="193">
        <v>1</v>
      </c>
      <c r="AN779" s="193">
        <v>0</v>
      </c>
      <c r="AO779" s="193">
        <v>0</v>
      </c>
      <c r="AP779" s="193">
        <v>0</v>
      </c>
      <c r="AQ779" s="193" t="s">
        <v>214</v>
      </c>
      <c r="AS779" s="193" t="s">
        <v>394</v>
      </c>
      <c r="AT779" s="193" t="s">
        <v>395</v>
      </c>
      <c r="AV779" s="194">
        <v>0</v>
      </c>
      <c r="AW779" s="194">
        <v>0</v>
      </c>
      <c r="AX779" s="194">
        <v>0</v>
      </c>
      <c r="AY779" s="549">
        <v>0</v>
      </c>
      <c r="AZ779" s="194">
        <v>0</v>
      </c>
      <c r="BA779" s="194">
        <v>17632</v>
      </c>
      <c r="BB779" s="551">
        <v>17632</v>
      </c>
      <c r="BC779" s="551">
        <v>17632</v>
      </c>
      <c r="BD779" s="551">
        <v>0</v>
      </c>
      <c r="BF779" s="550">
        <f t="shared" si="153"/>
        <v>0</v>
      </c>
      <c r="BG779" s="550">
        <f t="shared" si="154"/>
        <v>0</v>
      </c>
      <c r="BH779" s="550">
        <f t="shared" si="155"/>
        <v>0</v>
      </c>
      <c r="BI779" s="550">
        <f t="shared" si="156"/>
        <v>0</v>
      </c>
      <c r="BJ779" s="550">
        <f t="shared" si="157"/>
        <v>0</v>
      </c>
      <c r="BK779" s="550">
        <f t="shared" si="158"/>
        <v>16029</v>
      </c>
      <c r="BL779" s="550">
        <f t="shared" si="159"/>
        <v>16029</v>
      </c>
      <c r="BM779" s="550">
        <f t="shared" si="160"/>
        <v>16029</v>
      </c>
      <c r="BQ779" s="193">
        <f t="shared" si="161"/>
        <v>0</v>
      </c>
      <c r="BR779" s="193">
        <f t="shared" si="162"/>
        <v>9.0909090909917722E-2</v>
      </c>
    </row>
    <row r="780" spans="1:70">
      <c r="A780" s="193" t="s">
        <v>378</v>
      </c>
      <c r="B780" s="193" t="s">
        <v>379</v>
      </c>
      <c r="C780" s="193" t="s">
        <v>214</v>
      </c>
      <c r="D780" s="193" t="s">
        <v>1165</v>
      </c>
      <c r="E780" s="193" t="s">
        <v>1166</v>
      </c>
      <c r="F780" s="193" t="s">
        <v>1240</v>
      </c>
      <c r="G780" s="193" t="s">
        <v>1240</v>
      </c>
      <c r="H780" s="193" t="s">
        <v>2842</v>
      </c>
      <c r="I780" s="193" t="s">
        <v>384</v>
      </c>
      <c r="J780" s="193" t="s">
        <v>2843</v>
      </c>
      <c r="K780" s="193" t="s">
        <v>386</v>
      </c>
      <c r="L780" s="193" t="s">
        <v>387</v>
      </c>
      <c r="M780" s="193" t="s">
        <v>378</v>
      </c>
      <c r="N780" s="193" t="s">
        <v>2765</v>
      </c>
      <c r="O780" s="193" t="s">
        <v>129</v>
      </c>
      <c r="P780" s="193" t="s">
        <v>128</v>
      </c>
      <c r="Q780" s="193" t="s">
        <v>134</v>
      </c>
      <c r="R780" s="193" t="s">
        <v>134</v>
      </c>
      <c r="S780" s="193" t="s">
        <v>214</v>
      </c>
      <c r="T780" s="193" t="s">
        <v>389</v>
      </c>
      <c r="U780" s="193" t="s">
        <v>390</v>
      </c>
      <c r="V780" s="193">
        <v>0</v>
      </c>
      <c r="W780" s="193">
        <v>0</v>
      </c>
      <c r="X780" s="193">
        <v>0</v>
      </c>
      <c r="Y780" s="193">
        <v>1529</v>
      </c>
      <c r="Z780" s="193" t="s">
        <v>2839</v>
      </c>
      <c r="AA780" s="193" t="s">
        <v>2840</v>
      </c>
      <c r="AB780" s="193">
        <v>1529</v>
      </c>
      <c r="AC780" s="193" t="s">
        <v>2768</v>
      </c>
      <c r="AD780" s="193" t="s">
        <v>134</v>
      </c>
      <c r="AE780" s="193">
        <v>1529</v>
      </c>
      <c r="AF780" s="193" t="s">
        <v>394</v>
      </c>
      <c r="AG780" s="193" t="s">
        <v>395</v>
      </c>
      <c r="AH780" s="193">
        <v>139</v>
      </c>
      <c r="AI780" s="193">
        <v>1390</v>
      </c>
      <c r="AJ780" s="193" t="s">
        <v>2791</v>
      </c>
      <c r="AL780" s="193" t="s">
        <v>2844</v>
      </c>
      <c r="AM780" s="193">
        <v>1</v>
      </c>
      <c r="AN780" s="193">
        <v>0</v>
      </c>
      <c r="AO780" s="193">
        <v>0</v>
      </c>
      <c r="AP780" s="193">
        <v>0</v>
      </c>
      <c r="AQ780" s="193" t="s">
        <v>214</v>
      </c>
      <c r="AS780" s="193" t="s">
        <v>394</v>
      </c>
      <c r="AT780" s="193" t="s">
        <v>395</v>
      </c>
      <c r="AV780" s="194">
        <v>0</v>
      </c>
      <c r="AW780" s="194">
        <v>0</v>
      </c>
      <c r="AX780" s="194">
        <v>0</v>
      </c>
      <c r="AY780" s="549">
        <v>0</v>
      </c>
      <c r="AZ780" s="194">
        <v>0</v>
      </c>
      <c r="BA780" s="194">
        <v>1529</v>
      </c>
      <c r="BB780" s="551">
        <v>1529</v>
      </c>
      <c r="BC780" s="551">
        <v>1529</v>
      </c>
      <c r="BD780" s="551">
        <v>0</v>
      </c>
      <c r="BF780" s="550">
        <f t="shared" si="153"/>
        <v>0</v>
      </c>
      <c r="BG780" s="550">
        <f t="shared" si="154"/>
        <v>0</v>
      </c>
      <c r="BH780" s="550">
        <f t="shared" si="155"/>
        <v>0</v>
      </c>
      <c r="BI780" s="550">
        <f t="shared" si="156"/>
        <v>0</v>
      </c>
      <c r="BJ780" s="550">
        <f t="shared" si="157"/>
        <v>0</v>
      </c>
      <c r="BK780" s="550">
        <f t="shared" si="158"/>
        <v>1390</v>
      </c>
      <c r="BL780" s="550">
        <f t="shared" si="159"/>
        <v>1390</v>
      </c>
      <c r="BM780" s="550">
        <f t="shared" si="160"/>
        <v>1390</v>
      </c>
      <c r="BO780" s="567">
        <f>BA780*100/(100+$AT780)-BK780</f>
        <v>0</v>
      </c>
      <c r="BQ780" s="193">
        <f t="shared" si="161"/>
        <v>0</v>
      </c>
      <c r="BR780" s="193">
        <f t="shared" si="162"/>
        <v>0</v>
      </c>
    </row>
    <row r="781" spans="1:70">
      <c r="A781" s="193" t="s">
        <v>378</v>
      </c>
      <c r="B781" s="193" t="s">
        <v>379</v>
      </c>
      <c r="C781" s="193" t="s">
        <v>214</v>
      </c>
      <c r="D781" s="193" t="s">
        <v>1165</v>
      </c>
      <c r="E781" s="193" t="s">
        <v>1166</v>
      </c>
      <c r="F781" s="193" t="s">
        <v>1339</v>
      </c>
      <c r="G781" s="193" t="s">
        <v>1339</v>
      </c>
      <c r="H781" s="193" t="s">
        <v>2845</v>
      </c>
      <c r="I781" s="193" t="s">
        <v>384</v>
      </c>
      <c r="J781" s="193" t="s">
        <v>2846</v>
      </c>
      <c r="K781" s="193" t="s">
        <v>386</v>
      </c>
      <c r="L781" s="193" t="s">
        <v>387</v>
      </c>
      <c r="M781" s="193" t="s">
        <v>378</v>
      </c>
      <c r="N781" s="193" t="s">
        <v>2765</v>
      </c>
      <c r="O781" s="193" t="s">
        <v>129</v>
      </c>
      <c r="P781" s="193" t="s">
        <v>128</v>
      </c>
      <c r="Q781" s="193" t="s">
        <v>134</v>
      </c>
      <c r="R781" s="193" t="s">
        <v>134</v>
      </c>
      <c r="S781" s="193" t="s">
        <v>214</v>
      </c>
      <c r="T781" s="193" t="s">
        <v>389</v>
      </c>
      <c r="U781" s="193" t="s">
        <v>390</v>
      </c>
      <c r="V781" s="193">
        <v>0</v>
      </c>
      <c r="W781" s="193">
        <v>0</v>
      </c>
      <c r="X781" s="193">
        <v>0</v>
      </c>
      <c r="Y781" s="193">
        <v>3833</v>
      </c>
      <c r="Z781" s="193" t="s">
        <v>2839</v>
      </c>
      <c r="AA781" s="193" t="s">
        <v>2840</v>
      </c>
      <c r="AB781" s="193">
        <v>3833</v>
      </c>
      <c r="AC781" s="193" t="s">
        <v>2768</v>
      </c>
      <c r="AD781" s="193" t="s">
        <v>134</v>
      </c>
      <c r="AE781" s="193">
        <v>3833</v>
      </c>
      <c r="AF781" s="193" t="s">
        <v>394</v>
      </c>
      <c r="AG781" s="193" t="s">
        <v>395</v>
      </c>
      <c r="AH781" s="193">
        <v>347</v>
      </c>
      <c r="AI781" s="193">
        <v>3486</v>
      </c>
      <c r="AJ781" s="193" t="s">
        <v>2791</v>
      </c>
      <c r="AL781" s="193" t="s">
        <v>2847</v>
      </c>
      <c r="AM781" s="193">
        <v>1</v>
      </c>
      <c r="AN781" s="193">
        <v>0</v>
      </c>
      <c r="AO781" s="193">
        <v>0</v>
      </c>
      <c r="AP781" s="193">
        <v>0</v>
      </c>
      <c r="AQ781" s="193" t="s">
        <v>214</v>
      </c>
      <c r="AS781" s="193" t="s">
        <v>394</v>
      </c>
      <c r="AT781" s="193" t="s">
        <v>395</v>
      </c>
      <c r="AV781" s="194">
        <v>0</v>
      </c>
      <c r="AW781" s="194">
        <v>0</v>
      </c>
      <c r="AX781" s="194">
        <v>0</v>
      </c>
      <c r="AY781" s="549">
        <v>0</v>
      </c>
      <c r="AZ781" s="194">
        <v>0</v>
      </c>
      <c r="BA781" s="194">
        <v>3833</v>
      </c>
      <c r="BB781" s="551">
        <v>3833</v>
      </c>
      <c r="BC781" s="551">
        <v>3833</v>
      </c>
      <c r="BD781" s="551">
        <v>0</v>
      </c>
      <c r="BF781" s="550">
        <f t="shared" si="153"/>
        <v>0</v>
      </c>
      <c r="BG781" s="550">
        <f t="shared" si="154"/>
        <v>0</v>
      </c>
      <c r="BH781" s="550">
        <f t="shared" si="155"/>
        <v>0</v>
      </c>
      <c r="BI781" s="550">
        <f t="shared" si="156"/>
        <v>0</v>
      </c>
      <c r="BJ781" s="550">
        <f t="shared" si="157"/>
        <v>0</v>
      </c>
      <c r="BK781" s="550">
        <f t="shared" si="158"/>
        <v>3485</v>
      </c>
      <c r="BL781" s="550">
        <f t="shared" si="159"/>
        <v>3485</v>
      </c>
      <c r="BM781" s="550">
        <f t="shared" si="160"/>
        <v>3485</v>
      </c>
      <c r="BO781" s="567">
        <f t="shared" ref="BO781" si="163">BA781*100/(100+$AT781)-BK781</f>
        <v>-0.45454545454549589</v>
      </c>
      <c r="BQ781" s="193">
        <f t="shared" si="161"/>
        <v>0</v>
      </c>
      <c r="BR781" s="193">
        <f t="shared" si="162"/>
        <v>-0.45454545454549589</v>
      </c>
    </row>
    <row r="782" spans="1:70">
      <c r="A782" s="193" t="s">
        <v>378</v>
      </c>
      <c r="B782" s="193" t="s">
        <v>379</v>
      </c>
      <c r="C782" s="193" t="s">
        <v>214</v>
      </c>
      <c r="D782" s="193" t="s">
        <v>1165</v>
      </c>
      <c r="E782" s="193" t="s">
        <v>1166</v>
      </c>
      <c r="F782" s="193" t="s">
        <v>1240</v>
      </c>
      <c r="G782" s="193" t="s">
        <v>1240</v>
      </c>
      <c r="H782" s="193" t="s">
        <v>2848</v>
      </c>
      <c r="I782" s="193" t="s">
        <v>384</v>
      </c>
      <c r="J782" s="193" t="s">
        <v>2849</v>
      </c>
      <c r="K782" s="193" t="s">
        <v>386</v>
      </c>
      <c r="L782" s="193" t="s">
        <v>387</v>
      </c>
      <c r="M782" s="193" t="s">
        <v>378</v>
      </c>
      <c r="N782" s="193" t="s">
        <v>2765</v>
      </c>
      <c r="O782" s="193" t="s">
        <v>129</v>
      </c>
      <c r="P782" s="193" t="s">
        <v>128</v>
      </c>
      <c r="Q782" s="193" t="s">
        <v>134</v>
      </c>
      <c r="R782" s="193" t="s">
        <v>134</v>
      </c>
      <c r="S782" s="193" t="s">
        <v>214</v>
      </c>
      <c r="T782" s="193" t="s">
        <v>389</v>
      </c>
      <c r="U782" s="193" t="s">
        <v>390</v>
      </c>
      <c r="V782" s="193">
        <v>0</v>
      </c>
      <c r="W782" s="193">
        <v>0</v>
      </c>
      <c r="X782" s="193">
        <v>0</v>
      </c>
      <c r="Y782" s="193">
        <v>22467</v>
      </c>
      <c r="Z782" s="193" t="s">
        <v>2839</v>
      </c>
      <c r="AA782" s="193" t="s">
        <v>2840</v>
      </c>
      <c r="AB782" s="193">
        <v>22467</v>
      </c>
      <c r="AC782" s="193" t="s">
        <v>2768</v>
      </c>
      <c r="AD782" s="193" t="s">
        <v>134</v>
      </c>
      <c r="AE782" s="193">
        <v>22467</v>
      </c>
      <c r="AF782" s="193" t="s">
        <v>394</v>
      </c>
      <c r="AG782" s="193" t="s">
        <v>395</v>
      </c>
      <c r="AH782" s="193">
        <v>2040</v>
      </c>
      <c r="AI782" s="193">
        <v>20427</v>
      </c>
      <c r="AJ782" s="193" t="s">
        <v>2791</v>
      </c>
      <c r="AL782" s="193" t="s">
        <v>2850</v>
      </c>
      <c r="AM782" s="193">
        <v>1</v>
      </c>
      <c r="AN782" s="193">
        <v>0</v>
      </c>
      <c r="AO782" s="193">
        <v>0</v>
      </c>
      <c r="AP782" s="193">
        <v>0</v>
      </c>
      <c r="AQ782" s="193" t="s">
        <v>214</v>
      </c>
      <c r="AS782" s="193" t="s">
        <v>394</v>
      </c>
      <c r="AT782" s="193" t="s">
        <v>395</v>
      </c>
      <c r="AV782" s="194">
        <v>0</v>
      </c>
      <c r="AW782" s="194">
        <v>0</v>
      </c>
      <c r="AX782" s="194">
        <v>0</v>
      </c>
      <c r="AY782" s="549">
        <v>0</v>
      </c>
      <c r="AZ782" s="194">
        <v>0</v>
      </c>
      <c r="BA782" s="194">
        <v>22467</v>
      </c>
      <c r="BB782" s="551">
        <v>22467</v>
      </c>
      <c r="BC782" s="551">
        <v>22467</v>
      </c>
      <c r="BD782" s="551">
        <v>0</v>
      </c>
      <c r="BF782" s="550">
        <f t="shared" si="153"/>
        <v>0</v>
      </c>
      <c r="BG782" s="550">
        <f t="shared" si="154"/>
        <v>0</v>
      </c>
      <c r="BH782" s="550">
        <f t="shared" si="155"/>
        <v>0</v>
      </c>
      <c r="BI782" s="550">
        <f t="shared" si="156"/>
        <v>0</v>
      </c>
      <c r="BJ782" s="550">
        <f t="shared" si="157"/>
        <v>0</v>
      </c>
      <c r="BK782" s="550">
        <f t="shared" si="158"/>
        <v>20425</v>
      </c>
      <c r="BL782" s="550">
        <f t="shared" si="159"/>
        <v>20425</v>
      </c>
      <c r="BM782" s="550">
        <f t="shared" si="160"/>
        <v>20425</v>
      </c>
      <c r="BO782" s="567">
        <f t="shared" ref="BO782:BO810" si="164">BA782*100/(100+$AT782)-BK782</f>
        <v>-0.45454545454413164</v>
      </c>
      <c r="BQ782" s="193">
        <f t="shared" si="161"/>
        <v>0</v>
      </c>
      <c r="BR782" s="193">
        <f t="shared" si="162"/>
        <v>-0.45454545454413164</v>
      </c>
    </row>
    <row r="783" spans="1:70">
      <c r="A783" s="193" t="s">
        <v>378</v>
      </c>
      <c r="B783" s="193" t="s">
        <v>379</v>
      </c>
      <c r="C783" s="193" t="s">
        <v>214</v>
      </c>
      <c r="D783" s="193" t="s">
        <v>1165</v>
      </c>
      <c r="E783" s="193" t="s">
        <v>1166</v>
      </c>
      <c r="F783" s="193" t="s">
        <v>2817</v>
      </c>
      <c r="G783" s="193" t="s">
        <v>2817</v>
      </c>
      <c r="H783" s="193" t="s">
        <v>2848</v>
      </c>
      <c r="I783" s="193" t="s">
        <v>384</v>
      </c>
      <c r="J783" s="193" t="s">
        <v>2851</v>
      </c>
      <c r="K783" s="193" t="s">
        <v>386</v>
      </c>
      <c r="L783" s="193" t="s">
        <v>387</v>
      </c>
      <c r="M783" s="193" t="s">
        <v>378</v>
      </c>
      <c r="N783" s="193" t="s">
        <v>2765</v>
      </c>
      <c r="O783" s="193" t="s">
        <v>129</v>
      </c>
      <c r="P783" s="193" t="s">
        <v>128</v>
      </c>
      <c r="Q783" s="193" t="s">
        <v>134</v>
      </c>
      <c r="R783" s="193" t="s">
        <v>134</v>
      </c>
      <c r="S783" s="193" t="s">
        <v>214</v>
      </c>
      <c r="T783" s="193" t="s">
        <v>389</v>
      </c>
      <c r="U783" s="193" t="s">
        <v>390</v>
      </c>
      <c r="V783" s="193">
        <v>0</v>
      </c>
      <c r="W783" s="193">
        <v>0</v>
      </c>
      <c r="X783" s="193">
        <v>0</v>
      </c>
      <c r="Y783" s="193">
        <v>9179</v>
      </c>
      <c r="Z783" s="193" t="s">
        <v>2839</v>
      </c>
      <c r="AA783" s="193" t="s">
        <v>2840</v>
      </c>
      <c r="AB783" s="193">
        <v>9179</v>
      </c>
      <c r="AC783" s="193" t="s">
        <v>2768</v>
      </c>
      <c r="AD783" s="193" t="s">
        <v>134</v>
      </c>
      <c r="AE783" s="193">
        <v>9179</v>
      </c>
      <c r="AF783" s="193" t="s">
        <v>394</v>
      </c>
      <c r="AG783" s="193" t="s">
        <v>395</v>
      </c>
      <c r="AH783" s="193">
        <v>834</v>
      </c>
      <c r="AI783" s="193">
        <v>8345</v>
      </c>
      <c r="AJ783" s="193" t="s">
        <v>2791</v>
      </c>
      <c r="AL783" s="193" t="s">
        <v>2852</v>
      </c>
      <c r="AM783" s="193">
        <v>1</v>
      </c>
      <c r="AN783" s="193">
        <v>0</v>
      </c>
      <c r="AO783" s="193">
        <v>0</v>
      </c>
      <c r="AP783" s="193">
        <v>0</v>
      </c>
      <c r="AQ783" s="193" t="s">
        <v>214</v>
      </c>
      <c r="AS783" s="193" t="s">
        <v>394</v>
      </c>
      <c r="AT783" s="193" t="s">
        <v>395</v>
      </c>
      <c r="AV783" s="194">
        <v>0</v>
      </c>
      <c r="AW783" s="194">
        <v>0</v>
      </c>
      <c r="AX783" s="194">
        <v>0</v>
      </c>
      <c r="AY783" s="549">
        <v>0</v>
      </c>
      <c r="AZ783" s="194">
        <v>0</v>
      </c>
      <c r="BA783" s="194">
        <v>9179</v>
      </c>
      <c r="BB783" s="551">
        <v>9179</v>
      </c>
      <c r="BC783" s="551">
        <v>9179</v>
      </c>
      <c r="BD783" s="551">
        <v>0</v>
      </c>
      <c r="BF783" s="550">
        <f t="shared" si="153"/>
        <v>0</v>
      </c>
      <c r="BG783" s="550">
        <f t="shared" si="154"/>
        <v>0</v>
      </c>
      <c r="BH783" s="550">
        <f t="shared" si="155"/>
        <v>0</v>
      </c>
      <c r="BI783" s="550">
        <f t="shared" si="156"/>
        <v>0</v>
      </c>
      <c r="BJ783" s="550">
        <f t="shared" si="157"/>
        <v>0</v>
      </c>
      <c r="BK783" s="550">
        <f t="shared" si="158"/>
        <v>8345</v>
      </c>
      <c r="BL783" s="550">
        <f t="shared" si="159"/>
        <v>8345</v>
      </c>
      <c r="BM783" s="550">
        <f t="shared" si="160"/>
        <v>8345</v>
      </c>
      <c r="BO783" s="567">
        <f t="shared" si="164"/>
        <v>-0.45454545454595063</v>
      </c>
      <c r="BQ783" s="193">
        <f t="shared" si="161"/>
        <v>0</v>
      </c>
      <c r="BR783" s="193">
        <f t="shared" si="162"/>
        <v>-0.45454545454595063</v>
      </c>
    </row>
    <row r="784" spans="1:70">
      <c r="A784" s="193" t="s">
        <v>1624</v>
      </c>
      <c r="B784" s="193" t="s">
        <v>379</v>
      </c>
      <c r="C784" s="193" t="s">
        <v>214</v>
      </c>
      <c r="D784" s="193" t="s">
        <v>1165</v>
      </c>
      <c r="E784" s="193" t="s">
        <v>1166</v>
      </c>
      <c r="F784" s="193" t="s">
        <v>1487</v>
      </c>
      <c r="G784" s="193" t="s">
        <v>1487</v>
      </c>
      <c r="H784" s="193" t="s">
        <v>2853</v>
      </c>
      <c r="I784" s="193" t="s">
        <v>384</v>
      </c>
      <c r="J784" s="193" t="s">
        <v>2854</v>
      </c>
      <c r="K784" s="193" t="s">
        <v>386</v>
      </c>
      <c r="L784" s="193" t="s">
        <v>387</v>
      </c>
      <c r="M784" s="193" t="s">
        <v>378</v>
      </c>
      <c r="N784" s="193" t="s">
        <v>2765</v>
      </c>
      <c r="O784" s="193" t="s">
        <v>129</v>
      </c>
      <c r="P784" s="193" t="s">
        <v>128</v>
      </c>
      <c r="Q784" s="193" t="s">
        <v>134</v>
      </c>
      <c r="R784" s="193" t="s">
        <v>134</v>
      </c>
      <c r="S784" s="193" t="s">
        <v>214</v>
      </c>
      <c r="T784" s="193" t="s">
        <v>389</v>
      </c>
      <c r="U784" s="193" t="s">
        <v>390</v>
      </c>
      <c r="V784" s="193">
        <v>0</v>
      </c>
      <c r="W784" s="193">
        <v>0</v>
      </c>
      <c r="X784" s="193">
        <v>0</v>
      </c>
      <c r="Y784" s="193">
        <v>9227</v>
      </c>
      <c r="Z784" s="193" t="s">
        <v>2839</v>
      </c>
      <c r="AA784" s="193" t="s">
        <v>2840</v>
      </c>
      <c r="AB784" s="193">
        <v>9227</v>
      </c>
      <c r="AC784" s="193" t="s">
        <v>2768</v>
      </c>
      <c r="AD784" s="193" t="s">
        <v>134</v>
      </c>
      <c r="AE784" s="193">
        <v>9227</v>
      </c>
      <c r="AF784" s="193" t="s">
        <v>394</v>
      </c>
      <c r="AG784" s="193" t="s">
        <v>395</v>
      </c>
      <c r="AH784" s="193">
        <v>837</v>
      </c>
      <c r="AI784" s="193">
        <v>8390</v>
      </c>
      <c r="AJ784" s="193" t="s">
        <v>2791</v>
      </c>
      <c r="AL784" s="193" t="s">
        <v>2855</v>
      </c>
      <c r="AM784" s="193">
        <v>1</v>
      </c>
      <c r="AN784" s="193">
        <v>0</v>
      </c>
      <c r="AO784" s="193">
        <v>0</v>
      </c>
      <c r="AP784" s="193">
        <v>0</v>
      </c>
      <c r="AQ784" s="193" t="s">
        <v>214</v>
      </c>
      <c r="AS784" s="193" t="s">
        <v>394</v>
      </c>
      <c r="AT784" s="193" t="s">
        <v>395</v>
      </c>
      <c r="AV784" s="194">
        <v>0</v>
      </c>
      <c r="AW784" s="194">
        <v>0</v>
      </c>
      <c r="AX784" s="194">
        <v>0</v>
      </c>
      <c r="AY784" s="549">
        <v>0</v>
      </c>
      <c r="AZ784" s="194">
        <v>0</v>
      </c>
      <c r="BA784" s="194">
        <v>9227</v>
      </c>
      <c r="BB784" s="551">
        <v>9227</v>
      </c>
      <c r="BC784" s="551">
        <v>9227</v>
      </c>
      <c r="BD784" s="551">
        <v>0</v>
      </c>
      <c r="BF784" s="550">
        <f t="shared" si="153"/>
        <v>0</v>
      </c>
      <c r="BG784" s="550">
        <f t="shared" si="154"/>
        <v>0</v>
      </c>
      <c r="BH784" s="550">
        <f t="shared" si="155"/>
        <v>0</v>
      </c>
      <c r="BI784" s="550">
        <f t="shared" si="156"/>
        <v>0</v>
      </c>
      <c r="BJ784" s="550">
        <f t="shared" si="157"/>
        <v>0</v>
      </c>
      <c r="BK784" s="550">
        <f t="shared" si="158"/>
        <v>8388</v>
      </c>
      <c r="BL784" s="550">
        <f t="shared" si="159"/>
        <v>8388</v>
      </c>
      <c r="BM784" s="550">
        <f t="shared" si="160"/>
        <v>8388</v>
      </c>
      <c r="BO784" s="567">
        <f t="shared" si="164"/>
        <v>0.18181818181801646</v>
      </c>
      <c r="BQ784" s="193">
        <f t="shared" si="161"/>
        <v>0</v>
      </c>
      <c r="BR784" s="193">
        <f t="shared" si="162"/>
        <v>0.18181818181801646</v>
      </c>
    </row>
    <row r="785" spans="1:70">
      <c r="A785" s="193" t="s">
        <v>378</v>
      </c>
      <c r="B785" s="193" t="s">
        <v>379</v>
      </c>
      <c r="C785" s="193" t="s">
        <v>214</v>
      </c>
      <c r="D785" s="193" t="s">
        <v>1441</v>
      </c>
      <c r="E785" s="193" t="s">
        <v>1442</v>
      </c>
      <c r="F785" s="193" t="s">
        <v>1023</v>
      </c>
      <c r="G785" s="193" t="s">
        <v>1023</v>
      </c>
      <c r="H785" s="193" t="s">
        <v>2856</v>
      </c>
      <c r="I785" s="193" t="s">
        <v>1508</v>
      </c>
      <c r="J785" s="193" t="s">
        <v>2857</v>
      </c>
      <c r="K785" s="193" t="s">
        <v>386</v>
      </c>
      <c r="L785" s="193" t="s">
        <v>387</v>
      </c>
      <c r="M785" s="193" t="s">
        <v>378</v>
      </c>
      <c r="N785" s="193" t="s">
        <v>2765</v>
      </c>
      <c r="O785" s="193" t="s">
        <v>129</v>
      </c>
      <c r="P785" s="193" t="s">
        <v>128</v>
      </c>
      <c r="Q785" s="193" t="s">
        <v>134</v>
      </c>
      <c r="R785" s="193" t="s">
        <v>134</v>
      </c>
      <c r="S785" s="193" t="s">
        <v>214</v>
      </c>
      <c r="T785" s="193" t="s">
        <v>389</v>
      </c>
      <c r="U785" s="193" t="s">
        <v>390</v>
      </c>
      <c r="V785" s="193">
        <v>0</v>
      </c>
      <c r="W785" s="193">
        <v>0</v>
      </c>
      <c r="X785" s="193">
        <v>0</v>
      </c>
      <c r="Y785" s="193">
        <v>435</v>
      </c>
      <c r="Z785" s="193" t="s">
        <v>2858</v>
      </c>
      <c r="AA785" s="193" t="s">
        <v>2859</v>
      </c>
      <c r="AB785" s="193">
        <v>435</v>
      </c>
      <c r="AC785" s="193" t="s">
        <v>2768</v>
      </c>
      <c r="AD785" s="193" t="s">
        <v>134</v>
      </c>
      <c r="AE785" s="193">
        <v>435</v>
      </c>
      <c r="AF785" s="193" t="s">
        <v>1657</v>
      </c>
      <c r="AG785" s="193" t="s">
        <v>519</v>
      </c>
      <c r="AH785" s="193">
        <v>0</v>
      </c>
      <c r="AI785" s="193">
        <v>435</v>
      </c>
      <c r="AJ785" s="193" t="s">
        <v>214</v>
      </c>
      <c r="AL785" s="193" t="s">
        <v>2860</v>
      </c>
      <c r="AM785" s="193">
        <v>2</v>
      </c>
      <c r="AN785" s="193">
        <v>21</v>
      </c>
      <c r="AO785" s="193">
        <v>0</v>
      </c>
      <c r="AP785" s="193">
        <v>0</v>
      </c>
      <c r="AQ785" s="193" t="s">
        <v>214</v>
      </c>
      <c r="AS785" s="193">
        <v>21</v>
      </c>
      <c r="AT785" s="193">
        <v>0</v>
      </c>
      <c r="AV785" s="194">
        <v>217</v>
      </c>
      <c r="AW785" s="194">
        <v>0</v>
      </c>
      <c r="AX785" s="194">
        <v>0</v>
      </c>
      <c r="AY785" s="549">
        <v>217</v>
      </c>
      <c r="AZ785" s="194">
        <v>0</v>
      </c>
      <c r="BA785" s="194">
        <v>218</v>
      </c>
      <c r="BB785" s="551">
        <v>218</v>
      </c>
      <c r="BC785" s="551">
        <v>435</v>
      </c>
      <c r="BD785" s="551">
        <v>0</v>
      </c>
      <c r="BF785" s="550">
        <f t="shared" si="153"/>
        <v>217</v>
      </c>
      <c r="BG785" s="550">
        <f t="shared" si="154"/>
        <v>0</v>
      </c>
      <c r="BH785" s="550">
        <f t="shared" si="155"/>
        <v>0</v>
      </c>
      <c r="BI785" s="550">
        <f t="shared" si="156"/>
        <v>217</v>
      </c>
      <c r="BJ785" s="550">
        <f t="shared" si="157"/>
        <v>0</v>
      </c>
      <c r="BK785" s="550">
        <f t="shared" si="158"/>
        <v>218</v>
      </c>
      <c r="BL785" s="550">
        <f t="shared" si="159"/>
        <v>218</v>
      </c>
      <c r="BM785" s="550">
        <f t="shared" si="160"/>
        <v>435</v>
      </c>
      <c r="BO785" s="567">
        <f t="shared" si="164"/>
        <v>0</v>
      </c>
      <c r="BQ785" s="193">
        <f t="shared" si="161"/>
        <v>0</v>
      </c>
      <c r="BR785" s="193">
        <f t="shared" si="162"/>
        <v>0</v>
      </c>
    </row>
    <row r="786" spans="1:70">
      <c r="A786" s="193" t="s">
        <v>378</v>
      </c>
      <c r="B786" s="193" t="s">
        <v>379</v>
      </c>
      <c r="C786" s="193" t="s">
        <v>214</v>
      </c>
      <c r="D786" s="193" t="s">
        <v>1165</v>
      </c>
      <c r="E786" s="193" t="s">
        <v>1166</v>
      </c>
      <c r="F786" s="193" t="s">
        <v>1186</v>
      </c>
      <c r="G786" s="193" t="s">
        <v>1186</v>
      </c>
      <c r="H786" s="193" t="s">
        <v>2861</v>
      </c>
      <c r="I786" s="193" t="s">
        <v>384</v>
      </c>
      <c r="J786" s="193" t="s">
        <v>2862</v>
      </c>
      <c r="K786" s="193" t="s">
        <v>386</v>
      </c>
      <c r="L786" s="193" t="s">
        <v>387</v>
      </c>
      <c r="M786" s="193" t="s">
        <v>378</v>
      </c>
      <c r="N786" s="193" t="s">
        <v>2765</v>
      </c>
      <c r="O786" s="193" t="s">
        <v>129</v>
      </c>
      <c r="P786" s="193" t="s">
        <v>128</v>
      </c>
      <c r="Q786" s="193" t="s">
        <v>134</v>
      </c>
      <c r="R786" s="193" t="s">
        <v>134</v>
      </c>
      <c r="S786" s="193" t="s">
        <v>214</v>
      </c>
      <c r="T786" s="193" t="s">
        <v>389</v>
      </c>
      <c r="U786" s="193" t="s">
        <v>390</v>
      </c>
      <c r="V786" s="193">
        <v>0</v>
      </c>
      <c r="W786" s="193">
        <v>0</v>
      </c>
      <c r="X786" s="193">
        <v>0</v>
      </c>
      <c r="Y786" s="193">
        <v>30680</v>
      </c>
      <c r="Z786" s="193" t="s">
        <v>2863</v>
      </c>
      <c r="AA786" s="193" t="s">
        <v>2864</v>
      </c>
      <c r="AB786" s="193">
        <v>30680</v>
      </c>
      <c r="AC786" s="193" t="s">
        <v>2768</v>
      </c>
      <c r="AD786" s="193" t="s">
        <v>134</v>
      </c>
      <c r="AE786" s="193">
        <v>30680</v>
      </c>
      <c r="AF786" s="193" t="s">
        <v>394</v>
      </c>
      <c r="AG786" s="193" t="s">
        <v>395</v>
      </c>
      <c r="AH786" s="193">
        <v>2789</v>
      </c>
      <c r="AI786" s="193">
        <v>27891</v>
      </c>
      <c r="AJ786" s="193" t="s">
        <v>2865</v>
      </c>
      <c r="AL786" s="193" t="s">
        <v>2866</v>
      </c>
      <c r="AM786" s="193">
        <v>1</v>
      </c>
      <c r="AN786" s="193">
        <v>0</v>
      </c>
      <c r="AO786" s="193">
        <v>0</v>
      </c>
      <c r="AP786" s="193">
        <v>0</v>
      </c>
      <c r="AQ786" s="193" t="s">
        <v>214</v>
      </c>
      <c r="AS786" s="193" t="s">
        <v>394</v>
      </c>
      <c r="AT786" s="193" t="s">
        <v>395</v>
      </c>
      <c r="AV786" s="194">
        <v>0</v>
      </c>
      <c r="AW786" s="194">
        <v>0</v>
      </c>
      <c r="AX786" s="194">
        <v>0</v>
      </c>
      <c r="AY786" s="549">
        <v>0</v>
      </c>
      <c r="AZ786" s="194">
        <v>0</v>
      </c>
      <c r="BA786" s="194">
        <v>30680</v>
      </c>
      <c r="BB786" s="551">
        <v>30680</v>
      </c>
      <c r="BC786" s="551">
        <v>30680</v>
      </c>
      <c r="BD786" s="551">
        <v>0</v>
      </c>
      <c r="BF786" s="550">
        <f t="shared" si="153"/>
        <v>0</v>
      </c>
      <c r="BG786" s="550">
        <f t="shared" si="154"/>
        <v>0</v>
      </c>
      <c r="BH786" s="550">
        <f t="shared" si="155"/>
        <v>0</v>
      </c>
      <c r="BI786" s="550">
        <f t="shared" si="156"/>
        <v>0</v>
      </c>
      <c r="BJ786" s="550">
        <f t="shared" si="157"/>
        <v>0</v>
      </c>
      <c r="BK786" s="550">
        <f t="shared" si="158"/>
        <v>27891</v>
      </c>
      <c r="BL786" s="550">
        <f t="shared" si="159"/>
        <v>27891</v>
      </c>
      <c r="BM786" s="550">
        <f t="shared" si="160"/>
        <v>27891</v>
      </c>
      <c r="BO786" s="567">
        <f t="shared" si="164"/>
        <v>-9.0909090908098733E-2</v>
      </c>
      <c r="BQ786" s="193">
        <f t="shared" si="161"/>
        <v>0</v>
      </c>
      <c r="BR786" s="193">
        <f t="shared" si="162"/>
        <v>-9.0909090908098733E-2</v>
      </c>
    </row>
    <row r="787" spans="1:70">
      <c r="A787" s="193" t="s">
        <v>378</v>
      </c>
      <c r="B787" s="193" t="s">
        <v>379</v>
      </c>
      <c r="C787" s="193" t="s">
        <v>214</v>
      </c>
      <c r="D787" s="193" t="s">
        <v>1165</v>
      </c>
      <c r="E787" s="193" t="s">
        <v>1166</v>
      </c>
      <c r="F787" s="193" t="s">
        <v>1186</v>
      </c>
      <c r="G787" s="193" t="s">
        <v>1186</v>
      </c>
      <c r="H787" s="193" t="s">
        <v>2861</v>
      </c>
      <c r="I787" s="193" t="s">
        <v>384</v>
      </c>
      <c r="J787" s="193" t="s">
        <v>2867</v>
      </c>
      <c r="K787" s="193" t="s">
        <v>386</v>
      </c>
      <c r="L787" s="193" t="s">
        <v>387</v>
      </c>
      <c r="M787" s="193" t="s">
        <v>378</v>
      </c>
      <c r="N787" s="193" t="s">
        <v>2765</v>
      </c>
      <c r="O787" s="193" t="s">
        <v>129</v>
      </c>
      <c r="P787" s="193" t="s">
        <v>128</v>
      </c>
      <c r="Q787" s="193" t="s">
        <v>134</v>
      </c>
      <c r="R787" s="193" t="s">
        <v>134</v>
      </c>
      <c r="S787" s="193" t="s">
        <v>214</v>
      </c>
      <c r="T787" s="193" t="s">
        <v>389</v>
      </c>
      <c r="U787" s="193" t="s">
        <v>390</v>
      </c>
      <c r="V787" s="193">
        <v>0</v>
      </c>
      <c r="W787" s="193">
        <v>0</v>
      </c>
      <c r="X787" s="193">
        <v>0</v>
      </c>
      <c r="Y787" s="193">
        <v>9786</v>
      </c>
      <c r="Z787" s="193" t="s">
        <v>2863</v>
      </c>
      <c r="AA787" s="193" t="s">
        <v>2864</v>
      </c>
      <c r="AB787" s="193">
        <v>9786</v>
      </c>
      <c r="AC787" s="193" t="s">
        <v>2768</v>
      </c>
      <c r="AD787" s="193" t="s">
        <v>134</v>
      </c>
      <c r="AE787" s="193">
        <v>9786</v>
      </c>
      <c r="AF787" s="193" t="s">
        <v>505</v>
      </c>
      <c r="AG787" s="193" t="s">
        <v>2486</v>
      </c>
      <c r="AH787" s="193">
        <v>724</v>
      </c>
      <c r="AI787" s="193">
        <v>9062</v>
      </c>
      <c r="AJ787" s="193" t="s">
        <v>2865</v>
      </c>
      <c r="AL787" s="193" t="s">
        <v>2868</v>
      </c>
      <c r="AM787" s="193">
        <v>1</v>
      </c>
      <c r="AN787" s="193">
        <v>0</v>
      </c>
      <c r="AO787" s="193">
        <v>0</v>
      </c>
      <c r="AP787" s="193">
        <v>0</v>
      </c>
      <c r="AQ787" s="193" t="s">
        <v>214</v>
      </c>
      <c r="AS787" s="193" t="s">
        <v>505</v>
      </c>
      <c r="AT787" s="193" t="s">
        <v>2486</v>
      </c>
      <c r="AV787" s="194">
        <v>0</v>
      </c>
      <c r="AW787" s="194">
        <v>0</v>
      </c>
      <c r="AX787" s="194">
        <v>0</v>
      </c>
      <c r="AY787" s="549">
        <v>0</v>
      </c>
      <c r="AZ787" s="194">
        <v>0</v>
      </c>
      <c r="BA787" s="194">
        <v>9786</v>
      </c>
      <c r="BB787" s="551">
        <v>9786</v>
      </c>
      <c r="BC787" s="551">
        <v>9786</v>
      </c>
      <c r="BD787" s="551">
        <v>0</v>
      </c>
      <c r="BF787" s="550">
        <f t="shared" si="153"/>
        <v>0</v>
      </c>
      <c r="BG787" s="550">
        <f t="shared" si="154"/>
        <v>0</v>
      </c>
      <c r="BH787" s="550">
        <f t="shared" si="155"/>
        <v>0</v>
      </c>
      <c r="BI787" s="550">
        <f t="shared" si="156"/>
        <v>0</v>
      </c>
      <c r="BJ787" s="550">
        <f t="shared" si="157"/>
        <v>0</v>
      </c>
      <c r="BK787" s="550">
        <f t="shared" si="158"/>
        <v>9061</v>
      </c>
      <c r="BL787" s="550">
        <f t="shared" si="159"/>
        <v>9061</v>
      </c>
      <c r="BM787" s="550">
        <f t="shared" si="160"/>
        <v>9061</v>
      </c>
      <c r="BO787" s="567">
        <f t="shared" si="164"/>
        <v>0.11111111111131322</v>
      </c>
      <c r="BQ787" s="193">
        <f t="shared" si="161"/>
        <v>0</v>
      </c>
      <c r="BR787" s="193">
        <f t="shared" si="162"/>
        <v>0.11111111111131322</v>
      </c>
    </row>
    <row r="788" spans="1:70">
      <c r="A788" s="193" t="s">
        <v>378</v>
      </c>
      <c r="B788" s="193" t="s">
        <v>379</v>
      </c>
      <c r="C788" s="193" t="s">
        <v>214</v>
      </c>
      <c r="D788" s="193" t="s">
        <v>1165</v>
      </c>
      <c r="E788" s="193" t="s">
        <v>1166</v>
      </c>
      <c r="F788" s="193" t="s">
        <v>1240</v>
      </c>
      <c r="G788" s="193" t="s">
        <v>1240</v>
      </c>
      <c r="H788" s="193" t="s">
        <v>2869</v>
      </c>
      <c r="I788" s="193" t="s">
        <v>384</v>
      </c>
      <c r="J788" s="193" t="s">
        <v>2870</v>
      </c>
      <c r="K788" s="193" t="s">
        <v>386</v>
      </c>
      <c r="L788" s="193" t="s">
        <v>387</v>
      </c>
      <c r="M788" s="193" t="s">
        <v>378</v>
      </c>
      <c r="N788" s="193" t="s">
        <v>2765</v>
      </c>
      <c r="O788" s="193" t="s">
        <v>129</v>
      </c>
      <c r="P788" s="193" t="s">
        <v>128</v>
      </c>
      <c r="Q788" s="193" t="s">
        <v>134</v>
      </c>
      <c r="R788" s="193" t="s">
        <v>134</v>
      </c>
      <c r="S788" s="193" t="s">
        <v>214</v>
      </c>
      <c r="T788" s="193" t="s">
        <v>389</v>
      </c>
      <c r="U788" s="193" t="s">
        <v>390</v>
      </c>
      <c r="V788" s="193">
        <v>0</v>
      </c>
      <c r="W788" s="193">
        <v>0</v>
      </c>
      <c r="X788" s="193">
        <v>0</v>
      </c>
      <c r="Y788" s="193">
        <v>28457</v>
      </c>
      <c r="Z788" s="193" t="s">
        <v>2863</v>
      </c>
      <c r="AA788" s="193" t="s">
        <v>2864</v>
      </c>
      <c r="AB788" s="193">
        <v>28457</v>
      </c>
      <c r="AC788" s="193" t="s">
        <v>2768</v>
      </c>
      <c r="AD788" s="193" t="s">
        <v>134</v>
      </c>
      <c r="AE788" s="193">
        <v>28457</v>
      </c>
      <c r="AF788" s="193" t="s">
        <v>394</v>
      </c>
      <c r="AG788" s="193" t="s">
        <v>395</v>
      </c>
      <c r="AH788" s="193">
        <v>2582</v>
      </c>
      <c r="AI788" s="193">
        <v>25875</v>
      </c>
      <c r="AJ788" s="193" t="s">
        <v>2791</v>
      </c>
      <c r="AL788" s="193" t="s">
        <v>2871</v>
      </c>
      <c r="AM788" s="193">
        <v>1</v>
      </c>
      <c r="AN788" s="193">
        <v>0</v>
      </c>
      <c r="AO788" s="193">
        <v>0</v>
      </c>
      <c r="AP788" s="193">
        <v>0</v>
      </c>
      <c r="AQ788" s="193" t="s">
        <v>214</v>
      </c>
      <c r="AS788" s="193" t="s">
        <v>394</v>
      </c>
      <c r="AT788" s="193" t="s">
        <v>395</v>
      </c>
      <c r="AV788" s="194">
        <v>0</v>
      </c>
      <c r="AW788" s="194">
        <v>0</v>
      </c>
      <c r="AX788" s="194">
        <v>0</v>
      </c>
      <c r="AY788" s="549">
        <v>0</v>
      </c>
      <c r="AZ788" s="194">
        <v>0</v>
      </c>
      <c r="BA788" s="194">
        <v>28457</v>
      </c>
      <c r="BB788" s="551">
        <v>28457</v>
      </c>
      <c r="BC788" s="551">
        <v>28457</v>
      </c>
      <c r="BD788" s="551">
        <v>0</v>
      </c>
      <c r="BF788" s="550">
        <f t="shared" si="153"/>
        <v>0</v>
      </c>
      <c r="BG788" s="550">
        <f t="shared" si="154"/>
        <v>0</v>
      </c>
      <c r="BH788" s="550">
        <f t="shared" si="155"/>
        <v>0</v>
      </c>
      <c r="BI788" s="550">
        <f t="shared" si="156"/>
        <v>0</v>
      </c>
      <c r="BJ788" s="550">
        <f t="shared" si="157"/>
        <v>0</v>
      </c>
      <c r="BK788" s="550">
        <f t="shared" si="158"/>
        <v>25870</v>
      </c>
      <c r="BL788" s="550">
        <f t="shared" si="159"/>
        <v>25870</v>
      </c>
      <c r="BM788" s="550">
        <f t="shared" si="160"/>
        <v>25870</v>
      </c>
      <c r="BO788" s="567">
        <f t="shared" si="164"/>
        <v>0</v>
      </c>
      <c r="BQ788" s="193">
        <f t="shared" si="161"/>
        <v>0</v>
      </c>
      <c r="BR788" s="193">
        <f t="shared" si="162"/>
        <v>0</v>
      </c>
    </row>
    <row r="789" spans="1:70">
      <c r="A789" s="193" t="s">
        <v>378</v>
      </c>
      <c r="B789" s="193" t="s">
        <v>379</v>
      </c>
      <c r="C789" s="193" t="s">
        <v>214</v>
      </c>
      <c r="D789" s="193" t="s">
        <v>1165</v>
      </c>
      <c r="E789" s="193" t="s">
        <v>1166</v>
      </c>
      <c r="F789" s="193" t="s">
        <v>710</v>
      </c>
      <c r="G789" s="193" t="s">
        <v>710</v>
      </c>
      <c r="H789" s="193" t="s">
        <v>2872</v>
      </c>
      <c r="I789" s="193" t="s">
        <v>384</v>
      </c>
      <c r="J789" s="193" t="s">
        <v>2873</v>
      </c>
      <c r="K789" s="193" t="s">
        <v>386</v>
      </c>
      <c r="L789" s="193" t="s">
        <v>387</v>
      </c>
      <c r="M789" s="193" t="s">
        <v>378</v>
      </c>
      <c r="N789" s="193" t="s">
        <v>2765</v>
      </c>
      <c r="O789" s="193" t="s">
        <v>129</v>
      </c>
      <c r="P789" s="193" t="s">
        <v>128</v>
      </c>
      <c r="Q789" s="193" t="s">
        <v>134</v>
      </c>
      <c r="R789" s="193" t="s">
        <v>134</v>
      </c>
      <c r="S789" s="193" t="s">
        <v>214</v>
      </c>
      <c r="T789" s="193" t="s">
        <v>389</v>
      </c>
      <c r="U789" s="193" t="s">
        <v>390</v>
      </c>
      <c r="V789" s="193">
        <v>0</v>
      </c>
      <c r="W789" s="193">
        <v>0</v>
      </c>
      <c r="X789" s="193">
        <v>0</v>
      </c>
      <c r="Y789" s="193">
        <v>18369</v>
      </c>
      <c r="Z789" s="193" t="s">
        <v>2863</v>
      </c>
      <c r="AA789" s="193" t="s">
        <v>2864</v>
      </c>
      <c r="AB789" s="193">
        <v>18369</v>
      </c>
      <c r="AC789" s="193" t="s">
        <v>2768</v>
      </c>
      <c r="AD789" s="193" t="s">
        <v>134</v>
      </c>
      <c r="AE789" s="193">
        <v>18369</v>
      </c>
      <c r="AF789" s="193" t="s">
        <v>394</v>
      </c>
      <c r="AG789" s="193" t="s">
        <v>395</v>
      </c>
      <c r="AH789" s="193">
        <v>1669</v>
      </c>
      <c r="AI789" s="193">
        <v>16700</v>
      </c>
      <c r="AJ789" s="193" t="s">
        <v>2791</v>
      </c>
      <c r="AL789" s="193" t="s">
        <v>2874</v>
      </c>
      <c r="AM789" s="193">
        <v>1</v>
      </c>
      <c r="AN789" s="193">
        <v>0</v>
      </c>
      <c r="AO789" s="193">
        <v>0</v>
      </c>
      <c r="AP789" s="193">
        <v>0</v>
      </c>
      <c r="AQ789" s="193" t="s">
        <v>214</v>
      </c>
      <c r="AS789" s="193" t="s">
        <v>394</v>
      </c>
      <c r="AT789" s="193" t="s">
        <v>395</v>
      </c>
      <c r="AV789" s="194">
        <v>0</v>
      </c>
      <c r="AW789" s="194">
        <v>0</v>
      </c>
      <c r="AX789" s="194">
        <v>0</v>
      </c>
      <c r="AY789" s="549">
        <v>0</v>
      </c>
      <c r="AZ789" s="194">
        <v>0</v>
      </c>
      <c r="BA789" s="194">
        <v>18369</v>
      </c>
      <c r="BB789" s="551">
        <v>18369</v>
      </c>
      <c r="BC789" s="551">
        <v>18369</v>
      </c>
      <c r="BD789" s="551">
        <v>0</v>
      </c>
      <c r="BF789" s="550">
        <f t="shared" si="153"/>
        <v>0</v>
      </c>
      <c r="BG789" s="550">
        <f t="shared" si="154"/>
        <v>0</v>
      </c>
      <c r="BH789" s="550">
        <f t="shared" si="155"/>
        <v>0</v>
      </c>
      <c r="BI789" s="550">
        <f t="shared" si="156"/>
        <v>0</v>
      </c>
      <c r="BJ789" s="550">
        <f t="shared" si="157"/>
        <v>0</v>
      </c>
      <c r="BK789" s="550">
        <f t="shared" si="158"/>
        <v>16699</v>
      </c>
      <c r="BL789" s="550">
        <f t="shared" si="159"/>
        <v>16699</v>
      </c>
      <c r="BM789" s="550">
        <f t="shared" si="160"/>
        <v>16699</v>
      </c>
      <c r="BO789" s="567">
        <f t="shared" si="164"/>
        <v>9.0909090908098733E-2</v>
      </c>
      <c r="BQ789" s="193">
        <f t="shared" si="161"/>
        <v>0</v>
      </c>
      <c r="BR789" s="193">
        <f t="shared" si="162"/>
        <v>9.0909090908098733E-2</v>
      </c>
    </row>
    <row r="790" spans="1:70">
      <c r="A790" s="193" t="s">
        <v>378</v>
      </c>
      <c r="B790" s="193" t="s">
        <v>379</v>
      </c>
      <c r="C790" s="193" t="s">
        <v>214</v>
      </c>
      <c r="D790" s="193" t="s">
        <v>1165</v>
      </c>
      <c r="E790" s="193" t="s">
        <v>1166</v>
      </c>
      <c r="F790" s="193" t="s">
        <v>1487</v>
      </c>
      <c r="G790" s="193" t="s">
        <v>1487</v>
      </c>
      <c r="H790" s="193" t="s">
        <v>2875</v>
      </c>
      <c r="I790" s="193" t="s">
        <v>384</v>
      </c>
      <c r="J790" s="193" t="s">
        <v>2878</v>
      </c>
      <c r="K790" s="193" t="s">
        <v>386</v>
      </c>
      <c r="L790" s="193" t="s">
        <v>387</v>
      </c>
      <c r="M790" s="193" t="s">
        <v>378</v>
      </c>
      <c r="N790" s="193" t="s">
        <v>2765</v>
      </c>
      <c r="O790" s="193" t="s">
        <v>129</v>
      </c>
      <c r="P790" s="193" t="s">
        <v>128</v>
      </c>
      <c r="Q790" s="193" t="s">
        <v>134</v>
      </c>
      <c r="R790" s="193" t="s">
        <v>134</v>
      </c>
      <c r="S790" s="193" t="s">
        <v>214</v>
      </c>
      <c r="T790" s="193" t="s">
        <v>389</v>
      </c>
      <c r="U790" s="193" t="s">
        <v>390</v>
      </c>
      <c r="V790" s="193">
        <v>0</v>
      </c>
      <c r="W790" s="193">
        <v>0</v>
      </c>
      <c r="X790" s="193">
        <v>0</v>
      </c>
      <c r="Y790" s="193">
        <v>1529</v>
      </c>
      <c r="Z790" s="193" t="s">
        <v>2863</v>
      </c>
      <c r="AA790" s="193" t="s">
        <v>2864</v>
      </c>
      <c r="AB790" s="193">
        <v>1529</v>
      </c>
      <c r="AC790" s="193" t="s">
        <v>2768</v>
      </c>
      <c r="AD790" s="193" t="s">
        <v>134</v>
      </c>
      <c r="AE790" s="193">
        <v>1529</v>
      </c>
      <c r="AF790" s="193" t="s">
        <v>394</v>
      </c>
      <c r="AG790" s="193" t="s">
        <v>395</v>
      </c>
      <c r="AH790" s="193">
        <v>139</v>
      </c>
      <c r="AI790" s="193">
        <v>1390</v>
      </c>
      <c r="AJ790" s="193" t="s">
        <v>2791</v>
      </c>
      <c r="AL790" s="193" t="s">
        <v>2879</v>
      </c>
      <c r="AM790" s="193">
        <v>1</v>
      </c>
      <c r="AN790" s="193">
        <v>0</v>
      </c>
      <c r="AO790" s="193">
        <v>0</v>
      </c>
      <c r="AP790" s="193">
        <v>0</v>
      </c>
      <c r="AQ790" s="193" t="s">
        <v>214</v>
      </c>
      <c r="AS790" s="193" t="s">
        <v>394</v>
      </c>
      <c r="AT790" s="193" t="s">
        <v>395</v>
      </c>
      <c r="AV790" s="194">
        <v>0</v>
      </c>
      <c r="AW790" s="194">
        <v>0</v>
      </c>
      <c r="AX790" s="194">
        <v>0</v>
      </c>
      <c r="AY790" s="549">
        <v>0</v>
      </c>
      <c r="AZ790" s="194">
        <v>0</v>
      </c>
      <c r="BA790" s="194">
        <v>1529</v>
      </c>
      <c r="BB790" s="551">
        <v>1529</v>
      </c>
      <c r="BC790" s="551">
        <v>1529</v>
      </c>
      <c r="BD790" s="551">
        <v>0</v>
      </c>
      <c r="BF790" s="550">
        <f t="shared" si="153"/>
        <v>0</v>
      </c>
      <c r="BG790" s="550">
        <f t="shared" si="154"/>
        <v>0</v>
      </c>
      <c r="BH790" s="550">
        <f t="shared" si="155"/>
        <v>0</v>
      </c>
      <c r="BI790" s="550">
        <f t="shared" si="156"/>
        <v>0</v>
      </c>
      <c r="BJ790" s="550">
        <f t="shared" si="157"/>
        <v>0</v>
      </c>
      <c r="BK790" s="550">
        <f t="shared" si="158"/>
        <v>1390</v>
      </c>
      <c r="BL790" s="550">
        <f t="shared" si="159"/>
        <v>1390</v>
      </c>
      <c r="BM790" s="550">
        <f t="shared" si="160"/>
        <v>1390</v>
      </c>
      <c r="BO790" s="567">
        <f t="shared" si="164"/>
        <v>0</v>
      </c>
      <c r="BQ790" s="193">
        <f t="shared" si="161"/>
        <v>0</v>
      </c>
      <c r="BR790" s="193">
        <f t="shared" si="162"/>
        <v>0</v>
      </c>
    </row>
    <row r="791" spans="1:70">
      <c r="A791" s="193" t="s">
        <v>378</v>
      </c>
      <c r="B791" s="193" t="s">
        <v>379</v>
      </c>
      <c r="C791" s="193" t="s">
        <v>214</v>
      </c>
      <c r="D791" s="193" t="s">
        <v>1165</v>
      </c>
      <c r="E791" s="193" t="s">
        <v>1166</v>
      </c>
      <c r="F791" s="193" t="s">
        <v>1487</v>
      </c>
      <c r="G791" s="193" t="s">
        <v>1487</v>
      </c>
      <c r="H791" s="193" t="s">
        <v>2875</v>
      </c>
      <c r="I791" s="193" t="s">
        <v>384</v>
      </c>
      <c r="J791" s="193" t="s">
        <v>2880</v>
      </c>
      <c r="K791" s="193" t="s">
        <v>386</v>
      </c>
      <c r="L791" s="193" t="s">
        <v>387</v>
      </c>
      <c r="M791" s="193" t="s">
        <v>378</v>
      </c>
      <c r="N791" s="193" t="s">
        <v>2765</v>
      </c>
      <c r="O791" s="193" t="s">
        <v>129</v>
      </c>
      <c r="P791" s="193" t="s">
        <v>128</v>
      </c>
      <c r="Q791" s="193" t="s">
        <v>134</v>
      </c>
      <c r="R791" s="193" t="s">
        <v>134</v>
      </c>
      <c r="S791" s="193" t="s">
        <v>214</v>
      </c>
      <c r="T791" s="193" t="s">
        <v>389</v>
      </c>
      <c r="U791" s="193" t="s">
        <v>390</v>
      </c>
      <c r="V791" s="193">
        <v>0</v>
      </c>
      <c r="W791" s="193">
        <v>0</v>
      </c>
      <c r="X791" s="193">
        <v>0</v>
      </c>
      <c r="Y791" s="193">
        <v>764</v>
      </c>
      <c r="Z791" s="193" t="s">
        <v>2863</v>
      </c>
      <c r="AA791" s="193" t="s">
        <v>2864</v>
      </c>
      <c r="AB791" s="193">
        <v>764</v>
      </c>
      <c r="AC791" s="193" t="s">
        <v>2768</v>
      </c>
      <c r="AD791" s="193" t="s">
        <v>134</v>
      </c>
      <c r="AE791" s="193">
        <v>764</v>
      </c>
      <c r="AF791" s="193" t="s">
        <v>394</v>
      </c>
      <c r="AG791" s="193" t="s">
        <v>395</v>
      </c>
      <c r="AH791" s="193">
        <v>69</v>
      </c>
      <c r="AI791" s="193">
        <v>695</v>
      </c>
      <c r="AJ791" s="193" t="s">
        <v>2791</v>
      </c>
      <c r="AL791" s="193" t="s">
        <v>2881</v>
      </c>
      <c r="AM791" s="193">
        <v>1</v>
      </c>
      <c r="AN791" s="193">
        <v>0</v>
      </c>
      <c r="AO791" s="193">
        <v>0</v>
      </c>
      <c r="AP791" s="193">
        <v>0</v>
      </c>
      <c r="AQ791" s="193" t="s">
        <v>214</v>
      </c>
      <c r="AS791" s="193" t="s">
        <v>394</v>
      </c>
      <c r="AT791" s="193" t="s">
        <v>395</v>
      </c>
      <c r="AV791" s="194">
        <v>0</v>
      </c>
      <c r="AW791" s="194">
        <v>0</v>
      </c>
      <c r="AX791" s="194">
        <v>0</v>
      </c>
      <c r="AY791" s="549">
        <v>0</v>
      </c>
      <c r="AZ791" s="194">
        <v>0</v>
      </c>
      <c r="BA791" s="194">
        <v>764</v>
      </c>
      <c r="BB791" s="551">
        <v>764</v>
      </c>
      <c r="BC791" s="551">
        <v>764</v>
      </c>
      <c r="BD791" s="551">
        <v>0</v>
      </c>
      <c r="BF791" s="550">
        <f t="shared" si="153"/>
        <v>0</v>
      </c>
      <c r="BG791" s="550">
        <f t="shared" si="154"/>
        <v>0</v>
      </c>
      <c r="BH791" s="550">
        <f t="shared" si="155"/>
        <v>0</v>
      </c>
      <c r="BI791" s="550">
        <f t="shared" si="156"/>
        <v>0</v>
      </c>
      <c r="BJ791" s="550">
        <f t="shared" si="157"/>
        <v>0</v>
      </c>
      <c r="BK791" s="550">
        <f t="shared" si="158"/>
        <v>695</v>
      </c>
      <c r="BL791" s="550">
        <f t="shared" si="159"/>
        <v>695</v>
      </c>
      <c r="BM791" s="550">
        <f t="shared" si="160"/>
        <v>695</v>
      </c>
      <c r="BO791" s="567">
        <f t="shared" si="164"/>
        <v>-0.45454545454549589</v>
      </c>
      <c r="BQ791" s="193">
        <f t="shared" si="161"/>
        <v>0</v>
      </c>
      <c r="BR791" s="193">
        <f t="shared" si="162"/>
        <v>-0.45454545454549589</v>
      </c>
    </row>
    <row r="792" spans="1:70">
      <c r="A792" s="193" t="s">
        <v>378</v>
      </c>
      <c r="B792" s="193" t="s">
        <v>379</v>
      </c>
      <c r="C792" s="193" t="s">
        <v>214</v>
      </c>
      <c r="D792" s="193" t="s">
        <v>1165</v>
      </c>
      <c r="E792" s="193" t="s">
        <v>1166</v>
      </c>
      <c r="F792" s="193" t="s">
        <v>2776</v>
      </c>
      <c r="G792" s="193" t="s">
        <v>2776</v>
      </c>
      <c r="H792" s="193" t="s">
        <v>2875</v>
      </c>
      <c r="I792" s="193" t="s">
        <v>384</v>
      </c>
      <c r="J792" s="193" t="s">
        <v>2882</v>
      </c>
      <c r="K792" s="193" t="s">
        <v>386</v>
      </c>
      <c r="L792" s="193" t="s">
        <v>387</v>
      </c>
      <c r="M792" s="193" t="s">
        <v>378</v>
      </c>
      <c r="N792" s="193" t="s">
        <v>2765</v>
      </c>
      <c r="O792" s="193" t="s">
        <v>129</v>
      </c>
      <c r="P792" s="193" t="s">
        <v>128</v>
      </c>
      <c r="Q792" s="193" t="s">
        <v>134</v>
      </c>
      <c r="R792" s="193" t="s">
        <v>134</v>
      </c>
      <c r="S792" s="193" t="s">
        <v>214</v>
      </c>
      <c r="T792" s="193" t="s">
        <v>389</v>
      </c>
      <c r="U792" s="193" t="s">
        <v>390</v>
      </c>
      <c r="V792" s="193">
        <v>0</v>
      </c>
      <c r="W792" s="193">
        <v>0</v>
      </c>
      <c r="X792" s="193">
        <v>0</v>
      </c>
      <c r="Y792" s="193">
        <v>1529</v>
      </c>
      <c r="Z792" s="193" t="s">
        <v>2863</v>
      </c>
      <c r="AA792" s="193" t="s">
        <v>2864</v>
      </c>
      <c r="AB792" s="193">
        <v>1529</v>
      </c>
      <c r="AC792" s="193" t="s">
        <v>2768</v>
      </c>
      <c r="AD792" s="193" t="s">
        <v>134</v>
      </c>
      <c r="AE792" s="193">
        <v>1529</v>
      </c>
      <c r="AF792" s="193" t="s">
        <v>394</v>
      </c>
      <c r="AG792" s="193" t="s">
        <v>395</v>
      </c>
      <c r="AH792" s="193">
        <v>139</v>
      </c>
      <c r="AI792" s="193">
        <v>1390</v>
      </c>
      <c r="AJ792" s="193" t="s">
        <v>2791</v>
      </c>
      <c r="AL792" s="193" t="s">
        <v>2883</v>
      </c>
      <c r="AM792" s="193">
        <v>1</v>
      </c>
      <c r="AN792" s="193">
        <v>0</v>
      </c>
      <c r="AO792" s="193">
        <v>0</v>
      </c>
      <c r="AP792" s="193">
        <v>0</v>
      </c>
      <c r="AQ792" s="193" t="s">
        <v>214</v>
      </c>
      <c r="AS792" s="193" t="s">
        <v>394</v>
      </c>
      <c r="AT792" s="193" t="s">
        <v>395</v>
      </c>
      <c r="AV792" s="194">
        <v>0</v>
      </c>
      <c r="AW792" s="194">
        <v>0</v>
      </c>
      <c r="AX792" s="194">
        <v>0</v>
      </c>
      <c r="AY792" s="549">
        <v>0</v>
      </c>
      <c r="AZ792" s="194">
        <v>0</v>
      </c>
      <c r="BA792" s="194">
        <v>1529</v>
      </c>
      <c r="BB792" s="551">
        <v>1529</v>
      </c>
      <c r="BC792" s="551">
        <v>1529</v>
      </c>
      <c r="BD792" s="551">
        <v>0</v>
      </c>
      <c r="BF792" s="550">
        <f t="shared" si="153"/>
        <v>0</v>
      </c>
      <c r="BG792" s="550">
        <f t="shared" si="154"/>
        <v>0</v>
      </c>
      <c r="BH792" s="550">
        <f t="shared" si="155"/>
        <v>0</v>
      </c>
      <c r="BI792" s="550">
        <f t="shared" si="156"/>
        <v>0</v>
      </c>
      <c r="BJ792" s="550">
        <f t="shared" si="157"/>
        <v>0</v>
      </c>
      <c r="BK792" s="550">
        <f t="shared" si="158"/>
        <v>1390</v>
      </c>
      <c r="BL792" s="550">
        <f t="shared" si="159"/>
        <v>1390</v>
      </c>
      <c r="BM792" s="550">
        <f t="shared" si="160"/>
        <v>1390</v>
      </c>
      <c r="BO792" s="567">
        <f t="shared" si="164"/>
        <v>0</v>
      </c>
      <c r="BQ792" s="193">
        <f t="shared" si="161"/>
        <v>0</v>
      </c>
      <c r="BR792" s="193">
        <f t="shared" si="162"/>
        <v>0</v>
      </c>
    </row>
    <row r="793" spans="1:70">
      <c r="A793" s="193" t="s">
        <v>378</v>
      </c>
      <c r="B793" s="193" t="s">
        <v>379</v>
      </c>
      <c r="C793" s="193" t="s">
        <v>214</v>
      </c>
      <c r="D793" s="193" t="s">
        <v>1165</v>
      </c>
      <c r="E793" s="193" t="s">
        <v>1166</v>
      </c>
      <c r="F793" s="193" t="s">
        <v>710</v>
      </c>
      <c r="G793" s="193" t="s">
        <v>710</v>
      </c>
      <c r="H793" s="193" t="s">
        <v>2884</v>
      </c>
      <c r="I793" s="193" t="s">
        <v>384</v>
      </c>
      <c r="J793" s="193" t="s">
        <v>2885</v>
      </c>
      <c r="K793" s="193" t="s">
        <v>386</v>
      </c>
      <c r="L793" s="193" t="s">
        <v>387</v>
      </c>
      <c r="M793" s="193" t="s">
        <v>378</v>
      </c>
      <c r="N793" s="193" t="s">
        <v>2765</v>
      </c>
      <c r="O793" s="193" t="s">
        <v>129</v>
      </c>
      <c r="P793" s="193" t="s">
        <v>128</v>
      </c>
      <c r="Q793" s="193" t="s">
        <v>134</v>
      </c>
      <c r="R793" s="193" t="s">
        <v>134</v>
      </c>
      <c r="S793" s="193" t="s">
        <v>214</v>
      </c>
      <c r="T793" s="193" t="s">
        <v>389</v>
      </c>
      <c r="U793" s="193" t="s">
        <v>390</v>
      </c>
      <c r="V793" s="193">
        <v>0</v>
      </c>
      <c r="W793" s="193">
        <v>0</v>
      </c>
      <c r="X793" s="193">
        <v>0</v>
      </c>
      <c r="Y793" s="193">
        <v>1529</v>
      </c>
      <c r="Z793" s="193" t="s">
        <v>2863</v>
      </c>
      <c r="AA793" s="193" t="s">
        <v>2864</v>
      </c>
      <c r="AB793" s="193">
        <v>1529</v>
      </c>
      <c r="AC793" s="193" t="s">
        <v>2768</v>
      </c>
      <c r="AD793" s="193" t="s">
        <v>134</v>
      </c>
      <c r="AE793" s="193">
        <v>1529</v>
      </c>
      <c r="AF793" s="193" t="s">
        <v>394</v>
      </c>
      <c r="AG793" s="193" t="s">
        <v>395</v>
      </c>
      <c r="AH793" s="193">
        <v>139</v>
      </c>
      <c r="AI793" s="193">
        <v>1390</v>
      </c>
      <c r="AJ793" s="193" t="s">
        <v>2791</v>
      </c>
      <c r="AL793" s="193" t="s">
        <v>2886</v>
      </c>
      <c r="AM793" s="193">
        <v>1</v>
      </c>
      <c r="AN793" s="193">
        <v>0</v>
      </c>
      <c r="AO793" s="193">
        <v>0</v>
      </c>
      <c r="AP793" s="193">
        <v>0</v>
      </c>
      <c r="AQ793" s="193" t="s">
        <v>214</v>
      </c>
      <c r="AS793" s="193" t="s">
        <v>394</v>
      </c>
      <c r="AT793" s="193" t="s">
        <v>395</v>
      </c>
      <c r="AV793" s="194">
        <v>0</v>
      </c>
      <c r="AW793" s="194">
        <v>0</v>
      </c>
      <c r="AX793" s="194">
        <v>0</v>
      </c>
      <c r="AY793" s="549">
        <v>0</v>
      </c>
      <c r="AZ793" s="194">
        <v>0</v>
      </c>
      <c r="BA793" s="194">
        <v>1529</v>
      </c>
      <c r="BB793" s="551">
        <v>1529</v>
      </c>
      <c r="BC793" s="551">
        <v>1529</v>
      </c>
      <c r="BD793" s="551">
        <v>0</v>
      </c>
      <c r="BF793" s="550">
        <f t="shared" si="153"/>
        <v>0</v>
      </c>
      <c r="BG793" s="550">
        <f t="shared" si="154"/>
        <v>0</v>
      </c>
      <c r="BH793" s="550">
        <f t="shared" si="155"/>
        <v>0</v>
      </c>
      <c r="BI793" s="550">
        <f t="shared" si="156"/>
        <v>0</v>
      </c>
      <c r="BJ793" s="550">
        <f t="shared" si="157"/>
        <v>0</v>
      </c>
      <c r="BK793" s="550">
        <f t="shared" si="158"/>
        <v>1390</v>
      </c>
      <c r="BL793" s="550">
        <f t="shared" si="159"/>
        <v>1390</v>
      </c>
      <c r="BM793" s="550">
        <f t="shared" si="160"/>
        <v>1390</v>
      </c>
      <c r="BO793" s="567">
        <f t="shared" si="164"/>
        <v>0</v>
      </c>
      <c r="BQ793" s="193">
        <f t="shared" si="161"/>
        <v>0</v>
      </c>
      <c r="BR793" s="193">
        <f t="shared" si="162"/>
        <v>0</v>
      </c>
    </row>
    <row r="794" spans="1:70">
      <c r="A794" s="193" t="s">
        <v>378</v>
      </c>
      <c r="B794" s="193" t="s">
        <v>379</v>
      </c>
      <c r="C794" s="193" t="s">
        <v>214</v>
      </c>
      <c r="D794" s="193" t="s">
        <v>1165</v>
      </c>
      <c r="E794" s="193" t="s">
        <v>1166</v>
      </c>
      <c r="F794" s="193" t="s">
        <v>1525</v>
      </c>
      <c r="G794" s="193" t="s">
        <v>1525</v>
      </c>
      <c r="H794" s="193" t="s">
        <v>2884</v>
      </c>
      <c r="I794" s="193" t="s">
        <v>384</v>
      </c>
      <c r="J794" s="193" t="s">
        <v>2889</v>
      </c>
      <c r="K794" s="193" t="s">
        <v>386</v>
      </c>
      <c r="L794" s="193" t="s">
        <v>387</v>
      </c>
      <c r="M794" s="193" t="s">
        <v>378</v>
      </c>
      <c r="N794" s="193" t="s">
        <v>2765</v>
      </c>
      <c r="O794" s="193" t="s">
        <v>129</v>
      </c>
      <c r="P794" s="193" t="s">
        <v>128</v>
      </c>
      <c r="Q794" s="193" t="s">
        <v>134</v>
      </c>
      <c r="R794" s="193" t="s">
        <v>134</v>
      </c>
      <c r="S794" s="193" t="s">
        <v>214</v>
      </c>
      <c r="T794" s="193" t="s">
        <v>389</v>
      </c>
      <c r="U794" s="193" t="s">
        <v>390</v>
      </c>
      <c r="V794" s="193">
        <v>0</v>
      </c>
      <c r="W794" s="193">
        <v>0</v>
      </c>
      <c r="X794" s="193">
        <v>0</v>
      </c>
      <c r="Y794" s="193">
        <v>1529</v>
      </c>
      <c r="Z794" s="193" t="s">
        <v>2863</v>
      </c>
      <c r="AA794" s="193" t="s">
        <v>2864</v>
      </c>
      <c r="AB794" s="193">
        <v>1529</v>
      </c>
      <c r="AC794" s="193" t="s">
        <v>2768</v>
      </c>
      <c r="AD794" s="193" t="s">
        <v>134</v>
      </c>
      <c r="AE794" s="193">
        <v>1529</v>
      </c>
      <c r="AF794" s="193" t="s">
        <v>394</v>
      </c>
      <c r="AG794" s="193" t="s">
        <v>395</v>
      </c>
      <c r="AH794" s="193">
        <v>139</v>
      </c>
      <c r="AI794" s="193">
        <v>1390</v>
      </c>
      <c r="AJ794" s="193" t="s">
        <v>2791</v>
      </c>
      <c r="AL794" s="193" t="s">
        <v>2890</v>
      </c>
      <c r="AM794" s="193">
        <v>1</v>
      </c>
      <c r="AN794" s="193">
        <v>0</v>
      </c>
      <c r="AO794" s="193">
        <v>0</v>
      </c>
      <c r="AP794" s="193">
        <v>0</v>
      </c>
      <c r="AQ794" s="193" t="s">
        <v>214</v>
      </c>
      <c r="AS794" s="193" t="s">
        <v>394</v>
      </c>
      <c r="AT794" s="193" t="s">
        <v>395</v>
      </c>
      <c r="AV794" s="194">
        <v>0</v>
      </c>
      <c r="AW794" s="194">
        <v>0</v>
      </c>
      <c r="AX794" s="194">
        <v>0</v>
      </c>
      <c r="AY794" s="549">
        <v>0</v>
      </c>
      <c r="AZ794" s="194">
        <v>0</v>
      </c>
      <c r="BA794" s="194">
        <v>1529</v>
      </c>
      <c r="BB794" s="551">
        <v>1529</v>
      </c>
      <c r="BC794" s="551">
        <v>1529</v>
      </c>
      <c r="BD794" s="551">
        <v>0</v>
      </c>
      <c r="BF794" s="550">
        <f t="shared" si="153"/>
        <v>0</v>
      </c>
      <c r="BG794" s="550">
        <f t="shared" si="154"/>
        <v>0</v>
      </c>
      <c r="BH794" s="550">
        <f t="shared" si="155"/>
        <v>0</v>
      </c>
      <c r="BI794" s="550">
        <f t="shared" si="156"/>
        <v>0</v>
      </c>
      <c r="BJ794" s="550">
        <f t="shared" si="157"/>
        <v>0</v>
      </c>
      <c r="BK794" s="550">
        <f t="shared" si="158"/>
        <v>1390</v>
      </c>
      <c r="BL794" s="550">
        <f t="shared" si="159"/>
        <v>1390</v>
      </c>
      <c r="BM794" s="550">
        <f t="shared" si="160"/>
        <v>1390</v>
      </c>
      <c r="BO794" s="567">
        <f t="shared" si="164"/>
        <v>0</v>
      </c>
      <c r="BQ794" s="193">
        <f t="shared" si="161"/>
        <v>0</v>
      </c>
      <c r="BR794" s="193">
        <f t="shared" si="162"/>
        <v>0</v>
      </c>
    </row>
    <row r="795" spans="1:70">
      <c r="A795" s="193" t="s">
        <v>378</v>
      </c>
      <c r="B795" s="193" t="s">
        <v>379</v>
      </c>
      <c r="C795" s="193" t="s">
        <v>214</v>
      </c>
      <c r="D795" s="193" t="s">
        <v>1165</v>
      </c>
      <c r="E795" s="193" t="s">
        <v>1166</v>
      </c>
      <c r="F795" s="193" t="s">
        <v>2409</v>
      </c>
      <c r="G795" s="193" t="s">
        <v>2409</v>
      </c>
      <c r="H795" s="193" t="s">
        <v>2875</v>
      </c>
      <c r="I795" s="193" t="s">
        <v>384</v>
      </c>
      <c r="J795" s="193" t="s">
        <v>2876</v>
      </c>
      <c r="K795" s="193" t="s">
        <v>386</v>
      </c>
      <c r="L795" s="193" t="s">
        <v>387</v>
      </c>
      <c r="M795" s="193" t="s">
        <v>378</v>
      </c>
      <c r="N795" s="193" t="s">
        <v>2765</v>
      </c>
      <c r="O795" s="193" t="s">
        <v>129</v>
      </c>
      <c r="P795" s="193" t="s">
        <v>128</v>
      </c>
      <c r="Q795" s="193" t="s">
        <v>134</v>
      </c>
      <c r="R795" s="193" t="s">
        <v>134</v>
      </c>
      <c r="S795" s="193" t="s">
        <v>214</v>
      </c>
      <c r="T795" s="193" t="s">
        <v>389</v>
      </c>
      <c r="U795" s="193" t="s">
        <v>390</v>
      </c>
      <c r="V795" s="193">
        <v>0</v>
      </c>
      <c r="W795" s="193">
        <v>0</v>
      </c>
      <c r="X795" s="193">
        <v>0</v>
      </c>
      <c r="Y795" s="193">
        <v>1529</v>
      </c>
      <c r="Z795" s="193" t="s">
        <v>2863</v>
      </c>
      <c r="AA795" s="193" t="s">
        <v>2864</v>
      </c>
      <c r="AB795" s="193">
        <v>1529</v>
      </c>
      <c r="AC795" s="193" t="s">
        <v>2768</v>
      </c>
      <c r="AD795" s="193" t="s">
        <v>134</v>
      </c>
      <c r="AE795" s="193">
        <v>1529</v>
      </c>
      <c r="AF795" s="193" t="s">
        <v>394</v>
      </c>
      <c r="AG795" s="193" t="s">
        <v>395</v>
      </c>
      <c r="AH795" s="193">
        <v>139</v>
      </c>
      <c r="AI795" s="193">
        <v>1390</v>
      </c>
      <c r="AJ795" s="193" t="s">
        <v>2791</v>
      </c>
      <c r="AL795" s="193" t="s">
        <v>2877</v>
      </c>
      <c r="AM795" s="193">
        <v>1</v>
      </c>
      <c r="AN795" s="193">
        <v>0</v>
      </c>
      <c r="AO795" s="193">
        <v>0</v>
      </c>
      <c r="AP795" s="193">
        <v>0</v>
      </c>
      <c r="AQ795" s="193" t="s">
        <v>214</v>
      </c>
      <c r="AS795" s="193" t="s">
        <v>394</v>
      </c>
      <c r="AT795" s="193" t="s">
        <v>395</v>
      </c>
      <c r="AV795" s="194">
        <v>0</v>
      </c>
      <c r="AW795" s="194">
        <v>0</v>
      </c>
      <c r="AX795" s="194">
        <v>0</v>
      </c>
      <c r="AY795" s="549">
        <v>0</v>
      </c>
      <c r="AZ795" s="194">
        <v>0</v>
      </c>
      <c r="BA795" s="194">
        <v>1529</v>
      </c>
      <c r="BB795" s="551">
        <v>1529</v>
      </c>
      <c r="BC795" s="551">
        <v>1529</v>
      </c>
      <c r="BD795" s="551">
        <v>0</v>
      </c>
      <c r="BF795" s="550">
        <f t="shared" si="153"/>
        <v>0</v>
      </c>
      <c r="BG795" s="550">
        <f t="shared" si="154"/>
        <v>0</v>
      </c>
      <c r="BH795" s="550">
        <f t="shared" si="155"/>
        <v>0</v>
      </c>
      <c r="BI795" s="550">
        <f t="shared" si="156"/>
        <v>0</v>
      </c>
      <c r="BJ795" s="550">
        <f t="shared" si="157"/>
        <v>0</v>
      </c>
      <c r="BK795" s="550">
        <f t="shared" si="158"/>
        <v>1390</v>
      </c>
      <c r="BL795" s="550">
        <f t="shared" si="159"/>
        <v>1390</v>
      </c>
      <c r="BM795" s="550">
        <f t="shared" si="160"/>
        <v>1390</v>
      </c>
      <c r="BO795" s="567">
        <f t="shared" si="164"/>
        <v>0</v>
      </c>
      <c r="BQ795" s="193">
        <f t="shared" si="161"/>
        <v>0</v>
      </c>
      <c r="BR795" s="193">
        <f t="shared" si="162"/>
        <v>0</v>
      </c>
    </row>
    <row r="796" spans="1:70">
      <c r="A796" s="193" t="s">
        <v>378</v>
      </c>
      <c r="B796" s="193" t="s">
        <v>379</v>
      </c>
      <c r="C796" s="193" t="s">
        <v>214</v>
      </c>
      <c r="D796" s="193" t="s">
        <v>1165</v>
      </c>
      <c r="E796" s="193" t="s">
        <v>1166</v>
      </c>
      <c r="F796" s="193" t="s">
        <v>2817</v>
      </c>
      <c r="G796" s="193" t="s">
        <v>2817</v>
      </c>
      <c r="H796" s="193" t="s">
        <v>2875</v>
      </c>
      <c r="I796" s="193" t="s">
        <v>384</v>
      </c>
      <c r="J796" s="193" t="s">
        <v>2887</v>
      </c>
      <c r="K796" s="193" t="s">
        <v>386</v>
      </c>
      <c r="L796" s="193" t="s">
        <v>387</v>
      </c>
      <c r="M796" s="193" t="s">
        <v>378</v>
      </c>
      <c r="N796" s="193" t="s">
        <v>2765</v>
      </c>
      <c r="O796" s="193" t="s">
        <v>129</v>
      </c>
      <c r="P796" s="193" t="s">
        <v>128</v>
      </c>
      <c r="Q796" s="193" t="s">
        <v>134</v>
      </c>
      <c r="R796" s="193" t="s">
        <v>134</v>
      </c>
      <c r="S796" s="193" t="s">
        <v>214</v>
      </c>
      <c r="T796" s="193" t="s">
        <v>389</v>
      </c>
      <c r="U796" s="193" t="s">
        <v>390</v>
      </c>
      <c r="V796" s="193">
        <v>0</v>
      </c>
      <c r="W796" s="193">
        <v>0</v>
      </c>
      <c r="X796" s="193">
        <v>0</v>
      </c>
      <c r="Y796" s="193">
        <v>764</v>
      </c>
      <c r="Z796" s="193" t="s">
        <v>2863</v>
      </c>
      <c r="AA796" s="193" t="s">
        <v>2864</v>
      </c>
      <c r="AB796" s="193">
        <v>764</v>
      </c>
      <c r="AC796" s="193" t="s">
        <v>2768</v>
      </c>
      <c r="AD796" s="193" t="s">
        <v>134</v>
      </c>
      <c r="AE796" s="193">
        <v>764</v>
      </c>
      <c r="AF796" s="193" t="s">
        <v>394</v>
      </c>
      <c r="AG796" s="193" t="s">
        <v>395</v>
      </c>
      <c r="AH796" s="193">
        <v>69</v>
      </c>
      <c r="AI796" s="193">
        <v>695</v>
      </c>
      <c r="AJ796" s="193" t="s">
        <v>2791</v>
      </c>
      <c r="AL796" s="193" t="s">
        <v>2888</v>
      </c>
      <c r="AM796" s="193">
        <v>1</v>
      </c>
      <c r="AN796" s="193">
        <v>0</v>
      </c>
      <c r="AO796" s="193">
        <v>0</v>
      </c>
      <c r="AP796" s="193">
        <v>0</v>
      </c>
      <c r="AQ796" s="193" t="s">
        <v>214</v>
      </c>
      <c r="AS796" s="193" t="s">
        <v>394</v>
      </c>
      <c r="AT796" s="193" t="s">
        <v>395</v>
      </c>
      <c r="AV796" s="194">
        <v>0</v>
      </c>
      <c r="AW796" s="194">
        <v>0</v>
      </c>
      <c r="AX796" s="194">
        <v>0</v>
      </c>
      <c r="AY796" s="549">
        <v>0</v>
      </c>
      <c r="AZ796" s="194">
        <v>0</v>
      </c>
      <c r="BA796" s="194">
        <v>764</v>
      </c>
      <c r="BB796" s="551">
        <v>764</v>
      </c>
      <c r="BC796" s="551">
        <v>764</v>
      </c>
      <c r="BD796" s="551">
        <v>0</v>
      </c>
      <c r="BF796" s="550">
        <f t="shared" si="153"/>
        <v>0</v>
      </c>
      <c r="BG796" s="550">
        <f t="shared" si="154"/>
        <v>0</v>
      </c>
      <c r="BH796" s="550">
        <f t="shared" si="155"/>
        <v>0</v>
      </c>
      <c r="BI796" s="550">
        <f t="shared" si="156"/>
        <v>0</v>
      </c>
      <c r="BJ796" s="550">
        <f t="shared" si="157"/>
        <v>0</v>
      </c>
      <c r="BK796" s="550">
        <f t="shared" si="158"/>
        <v>695</v>
      </c>
      <c r="BL796" s="550">
        <f t="shared" si="159"/>
        <v>695</v>
      </c>
      <c r="BM796" s="550">
        <f t="shared" si="160"/>
        <v>695</v>
      </c>
      <c r="BO796" s="567">
        <f t="shared" si="164"/>
        <v>-0.45454545454549589</v>
      </c>
      <c r="BQ796" s="193">
        <f t="shared" si="161"/>
        <v>0</v>
      </c>
      <c r="BR796" s="193">
        <f t="shared" si="162"/>
        <v>-0.45454545454549589</v>
      </c>
    </row>
    <row r="797" spans="1:70">
      <c r="A797" s="193" t="s">
        <v>378</v>
      </c>
      <c r="B797" s="193" t="s">
        <v>379</v>
      </c>
      <c r="C797" s="193" t="s">
        <v>214</v>
      </c>
      <c r="D797" s="193" t="s">
        <v>1165</v>
      </c>
      <c r="E797" s="193" t="s">
        <v>1166</v>
      </c>
      <c r="F797" s="193" t="s">
        <v>2776</v>
      </c>
      <c r="G797" s="193" t="s">
        <v>2776</v>
      </c>
      <c r="H797" s="193" t="s">
        <v>2891</v>
      </c>
      <c r="I797" s="193" t="s">
        <v>384</v>
      </c>
      <c r="J797" s="193" t="s">
        <v>2892</v>
      </c>
      <c r="K797" s="193" t="s">
        <v>386</v>
      </c>
      <c r="L797" s="193" t="s">
        <v>387</v>
      </c>
      <c r="M797" s="193" t="s">
        <v>378</v>
      </c>
      <c r="N797" s="193" t="s">
        <v>2765</v>
      </c>
      <c r="O797" s="193" t="s">
        <v>129</v>
      </c>
      <c r="P797" s="193" t="s">
        <v>128</v>
      </c>
      <c r="Q797" s="193" t="s">
        <v>134</v>
      </c>
      <c r="R797" s="193" t="s">
        <v>134</v>
      </c>
      <c r="S797" s="193" t="s">
        <v>214</v>
      </c>
      <c r="T797" s="193" t="s">
        <v>389</v>
      </c>
      <c r="U797" s="193" t="s">
        <v>390</v>
      </c>
      <c r="V797" s="193">
        <v>0</v>
      </c>
      <c r="W797" s="193">
        <v>0</v>
      </c>
      <c r="X797" s="193">
        <v>0</v>
      </c>
      <c r="Y797" s="193">
        <v>31388</v>
      </c>
      <c r="Z797" s="193" t="s">
        <v>2863</v>
      </c>
      <c r="AA797" s="193" t="s">
        <v>2864</v>
      </c>
      <c r="AB797" s="193">
        <v>31388</v>
      </c>
      <c r="AC797" s="193" t="s">
        <v>2768</v>
      </c>
      <c r="AD797" s="193" t="s">
        <v>134</v>
      </c>
      <c r="AE797" s="193">
        <v>31388</v>
      </c>
      <c r="AF797" s="193" t="s">
        <v>394</v>
      </c>
      <c r="AG797" s="193" t="s">
        <v>395</v>
      </c>
      <c r="AH797" s="193">
        <v>2850</v>
      </c>
      <c r="AI797" s="193">
        <v>28538</v>
      </c>
      <c r="AJ797" s="193" t="s">
        <v>2791</v>
      </c>
      <c r="AL797" s="193" t="s">
        <v>2893</v>
      </c>
      <c r="AM797" s="193">
        <v>1</v>
      </c>
      <c r="AN797" s="193">
        <v>0</v>
      </c>
      <c r="AO797" s="193">
        <v>0</v>
      </c>
      <c r="AP797" s="193">
        <v>0</v>
      </c>
      <c r="AQ797" s="193" t="s">
        <v>214</v>
      </c>
      <c r="AS797" s="193" t="s">
        <v>394</v>
      </c>
      <c r="AT797" s="193" t="s">
        <v>395</v>
      </c>
      <c r="AV797" s="194">
        <v>0</v>
      </c>
      <c r="AW797" s="194">
        <v>0</v>
      </c>
      <c r="AX797" s="194">
        <v>0</v>
      </c>
      <c r="AY797" s="549">
        <v>0</v>
      </c>
      <c r="AZ797" s="194">
        <v>0</v>
      </c>
      <c r="BA797" s="194">
        <v>31388</v>
      </c>
      <c r="BB797" s="551">
        <v>31388</v>
      </c>
      <c r="BC797" s="551">
        <v>31388</v>
      </c>
      <c r="BD797" s="551">
        <v>0</v>
      </c>
      <c r="BF797" s="550">
        <f t="shared" si="153"/>
        <v>0</v>
      </c>
      <c r="BG797" s="550">
        <f t="shared" si="154"/>
        <v>0</v>
      </c>
      <c r="BH797" s="550">
        <f t="shared" si="155"/>
        <v>0</v>
      </c>
      <c r="BI797" s="550">
        <f t="shared" si="156"/>
        <v>0</v>
      </c>
      <c r="BJ797" s="550">
        <f t="shared" si="157"/>
        <v>0</v>
      </c>
      <c r="BK797" s="574">
        <f>+IFERROR(ROUND(BA797*100/(100+$AT797),0),BA797)-1</f>
        <v>28534</v>
      </c>
      <c r="BL797" s="550">
        <f t="shared" si="159"/>
        <v>28534</v>
      </c>
      <c r="BM797" s="550">
        <f t="shared" si="160"/>
        <v>28534</v>
      </c>
      <c r="BO797" s="567">
        <f t="shared" si="164"/>
        <v>0.54545454545586836</v>
      </c>
      <c r="BQ797" s="193">
        <f t="shared" si="161"/>
        <v>0</v>
      </c>
      <c r="BR797" s="193">
        <f t="shared" si="162"/>
        <v>0.54545454545586836</v>
      </c>
    </row>
    <row r="798" spans="1:70">
      <c r="A798" s="193" t="s">
        <v>378</v>
      </c>
      <c r="B798" s="193" t="s">
        <v>379</v>
      </c>
      <c r="C798" s="193" t="s">
        <v>214</v>
      </c>
      <c r="D798" s="193" t="s">
        <v>1165</v>
      </c>
      <c r="E798" s="193" t="s">
        <v>1166</v>
      </c>
      <c r="F798" s="193" t="s">
        <v>2894</v>
      </c>
      <c r="G798" s="193" t="s">
        <v>2894</v>
      </c>
      <c r="H798" s="193" t="s">
        <v>2895</v>
      </c>
      <c r="I798" s="193" t="s">
        <v>384</v>
      </c>
      <c r="J798" s="193" t="s">
        <v>2896</v>
      </c>
      <c r="K798" s="193" t="s">
        <v>386</v>
      </c>
      <c r="L798" s="193" t="s">
        <v>387</v>
      </c>
      <c r="M798" s="193" t="s">
        <v>378</v>
      </c>
      <c r="N798" s="193" t="s">
        <v>2765</v>
      </c>
      <c r="O798" s="193" t="s">
        <v>129</v>
      </c>
      <c r="P798" s="193" t="s">
        <v>128</v>
      </c>
      <c r="Q798" s="193" t="s">
        <v>134</v>
      </c>
      <c r="R798" s="193" t="s">
        <v>134</v>
      </c>
      <c r="S798" s="193" t="s">
        <v>214</v>
      </c>
      <c r="T798" s="193" t="s">
        <v>389</v>
      </c>
      <c r="U798" s="193" t="s">
        <v>390</v>
      </c>
      <c r="V798" s="193">
        <v>0</v>
      </c>
      <c r="W798" s="193">
        <v>0</v>
      </c>
      <c r="X798" s="193">
        <v>0</v>
      </c>
      <c r="Y798" s="193">
        <v>275042</v>
      </c>
      <c r="Z798" s="193" t="s">
        <v>2863</v>
      </c>
      <c r="AA798" s="193" t="s">
        <v>2864</v>
      </c>
      <c r="AB798" s="193">
        <v>275042</v>
      </c>
      <c r="AC798" s="193" t="s">
        <v>2768</v>
      </c>
      <c r="AD798" s="193" t="s">
        <v>134</v>
      </c>
      <c r="AE798" s="193">
        <v>275042</v>
      </c>
      <c r="AF798" s="193" t="s">
        <v>394</v>
      </c>
      <c r="AG798" s="193" t="s">
        <v>395</v>
      </c>
      <c r="AH798" s="193">
        <v>25628</v>
      </c>
      <c r="AI798" s="193">
        <v>249414</v>
      </c>
      <c r="AJ798" s="193" t="s">
        <v>2791</v>
      </c>
      <c r="AL798" s="193" t="s">
        <v>2897</v>
      </c>
      <c r="AM798" s="193">
        <v>1</v>
      </c>
      <c r="AN798" s="193">
        <v>0</v>
      </c>
      <c r="AO798" s="193">
        <v>0</v>
      </c>
      <c r="AP798" s="193">
        <v>0</v>
      </c>
      <c r="AQ798" s="193" t="s">
        <v>214</v>
      </c>
      <c r="AS798" s="193" t="s">
        <v>394</v>
      </c>
      <c r="AT798" s="193" t="s">
        <v>395</v>
      </c>
      <c r="AV798" s="194">
        <v>0</v>
      </c>
      <c r="AW798" s="194">
        <v>0</v>
      </c>
      <c r="AX798" s="194">
        <v>0</v>
      </c>
      <c r="AY798" s="549">
        <v>0</v>
      </c>
      <c r="AZ798" s="194">
        <v>0</v>
      </c>
      <c r="BA798" s="194">
        <v>275042</v>
      </c>
      <c r="BB798" s="551">
        <v>275042</v>
      </c>
      <c r="BC798" s="551">
        <v>275042</v>
      </c>
      <c r="BD798" s="551">
        <v>0</v>
      </c>
      <c r="BF798" s="550">
        <f t="shared" si="153"/>
        <v>0</v>
      </c>
      <c r="BG798" s="550">
        <f t="shared" si="154"/>
        <v>0</v>
      </c>
      <c r="BH798" s="550">
        <f t="shared" si="155"/>
        <v>0</v>
      </c>
      <c r="BI798" s="550">
        <f t="shared" si="156"/>
        <v>0</v>
      </c>
      <c r="BJ798" s="550">
        <f t="shared" si="157"/>
        <v>0</v>
      </c>
      <c r="BK798" s="550">
        <f t="shared" si="158"/>
        <v>250038</v>
      </c>
      <c r="BL798" s="550">
        <f t="shared" si="159"/>
        <v>250038</v>
      </c>
      <c r="BM798" s="550">
        <f t="shared" si="160"/>
        <v>250038</v>
      </c>
      <c r="BO798" s="567">
        <f t="shared" si="164"/>
        <v>0.18181818182347342</v>
      </c>
      <c r="BQ798" s="193">
        <f t="shared" si="161"/>
        <v>0</v>
      </c>
      <c r="BR798" s="193">
        <f t="shared" si="162"/>
        <v>0.18181818182347342</v>
      </c>
    </row>
    <row r="799" spans="1:70">
      <c r="A799" s="193" t="s">
        <v>378</v>
      </c>
      <c r="B799" s="193" t="s">
        <v>379</v>
      </c>
      <c r="C799" s="193" t="s">
        <v>214</v>
      </c>
      <c r="D799" s="193" t="s">
        <v>1165</v>
      </c>
      <c r="E799" s="193" t="s">
        <v>1166</v>
      </c>
      <c r="F799" s="193" t="s">
        <v>2776</v>
      </c>
      <c r="G799" s="193" t="s">
        <v>2776</v>
      </c>
      <c r="H799" s="193" t="s">
        <v>2898</v>
      </c>
      <c r="I799" s="193" t="s">
        <v>384</v>
      </c>
      <c r="J799" s="193" t="s">
        <v>2901</v>
      </c>
      <c r="K799" s="193" t="s">
        <v>386</v>
      </c>
      <c r="L799" s="193" t="s">
        <v>387</v>
      </c>
      <c r="M799" s="193" t="s">
        <v>378</v>
      </c>
      <c r="N799" s="193" t="s">
        <v>2765</v>
      </c>
      <c r="O799" s="193" t="s">
        <v>129</v>
      </c>
      <c r="P799" s="193" t="s">
        <v>128</v>
      </c>
      <c r="Q799" s="193" t="s">
        <v>134</v>
      </c>
      <c r="R799" s="193" t="s">
        <v>134</v>
      </c>
      <c r="S799" s="193" t="s">
        <v>214</v>
      </c>
      <c r="T799" s="193" t="s">
        <v>389</v>
      </c>
      <c r="U799" s="193" t="s">
        <v>390</v>
      </c>
      <c r="V799" s="193">
        <v>0</v>
      </c>
      <c r="W799" s="193">
        <v>0</v>
      </c>
      <c r="X799" s="193">
        <v>0</v>
      </c>
      <c r="Y799" s="193">
        <v>2304</v>
      </c>
      <c r="Z799" s="193" t="s">
        <v>2863</v>
      </c>
      <c r="AA799" s="193" t="s">
        <v>2864</v>
      </c>
      <c r="AB799" s="193">
        <v>2304</v>
      </c>
      <c r="AC799" s="193" t="s">
        <v>2768</v>
      </c>
      <c r="AD799" s="193" t="s">
        <v>134</v>
      </c>
      <c r="AE799" s="193">
        <v>2304</v>
      </c>
      <c r="AF799" s="193" t="s">
        <v>394</v>
      </c>
      <c r="AG799" s="193" t="s">
        <v>395</v>
      </c>
      <c r="AH799" s="193">
        <v>209</v>
      </c>
      <c r="AI799" s="193">
        <v>2095</v>
      </c>
      <c r="AJ799" s="193" t="s">
        <v>2791</v>
      </c>
      <c r="AL799" s="193" t="s">
        <v>2902</v>
      </c>
      <c r="AM799" s="193">
        <v>1</v>
      </c>
      <c r="AN799" s="193">
        <v>0</v>
      </c>
      <c r="AO799" s="193">
        <v>0</v>
      </c>
      <c r="AP799" s="193">
        <v>0</v>
      </c>
      <c r="AQ799" s="193" t="s">
        <v>214</v>
      </c>
      <c r="AS799" s="193" t="s">
        <v>394</v>
      </c>
      <c r="AT799" s="193" t="s">
        <v>395</v>
      </c>
      <c r="AV799" s="194">
        <v>0</v>
      </c>
      <c r="AW799" s="194">
        <v>0</v>
      </c>
      <c r="AX799" s="194">
        <v>0</v>
      </c>
      <c r="AY799" s="549">
        <v>0</v>
      </c>
      <c r="AZ799" s="194">
        <v>0</v>
      </c>
      <c r="BA799" s="194">
        <v>2304</v>
      </c>
      <c r="BB799" s="551">
        <v>2304</v>
      </c>
      <c r="BC799" s="551">
        <v>2304</v>
      </c>
      <c r="BD799" s="551">
        <v>0</v>
      </c>
      <c r="BF799" s="550">
        <f t="shared" si="153"/>
        <v>0</v>
      </c>
      <c r="BG799" s="550">
        <f t="shared" si="154"/>
        <v>0</v>
      </c>
      <c r="BH799" s="550">
        <f t="shared" si="155"/>
        <v>0</v>
      </c>
      <c r="BI799" s="550">
        <f t="shared" si="156"/>
        <v>0</v>
      </c>
      <c r="BJ799" s="550">
        <f t="shared" si="157"/>
        <v>0</v>
      </c>
      <c r="BK799" s="550">
        <f t="shared" si="158"/>
        <v>2095</v>
      </c>
      <c r="BL799" s="550">
        <f t="shared" si="159"/>
        <v>2095</v>
      </c>
      <c r="BM799" s="550">
        <f t="shared" si="160"/>
        <v>2095</v>
      </c>
      <c r="BO799" s="567">
        <f t="shared" si="164"/>
        <v>-0.45454545454549589</v>
      </c>
      <c r="BQ799" s="193">
        <f t="shared" si="161"/>
        <v>0</v>
      </c>
      <c r="BR799" s="193">
        <f t="shared" si="162"/>
        <v>-0.45454545454549589</v>
      </c>
    </row>
    <row r="800" spans="1:70">
      <c r="A800" s="193" t="s">
        <v>378</v>
      </c>
      <c r="B800" s="193" t="s">
        <v>379</v>
      </c>
      <c r="C800" s="193" t="s">
        <v>214</v>
      </c>
      <c r="D800" s="193" t="s">
        <v>1165</v>
      </c>
      <c r="E800" s="193" t="s">
        <v>1166</v>
      </c>
      <c r="F800" s="193" t="s">
        <v>1240</v>
      </c>
      <c r="G800" s="193" t="s">
        <v>1240</v>
      </c>
      <c r="H800" s="193" t="s">
        <v>2898</v>
      </c>
      <c r="I800" s="193" t="s">
        <v>384</v>
      </c>
      <c r="J800" s="193" t="s">
        <v>2899</v>
      </c>
      <c r="K800" s="193" t="s">
        <v>386</v>
      </c>
      <c r="L800" s="193" t="s">
        <v>387</v>
      </c>
      <c r="M800" s="193" t="s">
        <v>378</v>
      </c>
      <c r="N800" s="193" t="s">
        <v>2765</v>
      </c>
      <c r="O800" s="193" t="s">
        <v>129</v>
      </c>
      <c r="P800" s="193" t="s">
        <v>128</v>
      </c>
      <c r="Q800" s="193" t="s">
        <v>134</v>
      </c>
      <c r="R800" s="193" t="s">
        <v>134</v>
      </c>
      <c r="S800" s="193" t="s">
        <v>214</v>
      </c>
      <c r="T800" s="193" t="s">
        <v>389</v>
      </c>
      <c r="U800" s="193" t="s">
        <v>390</v>
      </c>
      <c r="V800" s="193">
        <v>0</v>
      </c>
      <c r="W800" s="193">
        <v>0</v>
      </c>
      <c r="X800" s="193">
        <v>0</v>
      </c>
      <c r="Y800" s="193">
        <v>3058</v>
      </c>
      <c r="Z800" s="193" t="s">
        <v>2863</v>
      </c>
      <c r="AA800" s="193" t="s">
        <v>2864</v>
      </c>
      <c r="AB800" s="193">
        <v>3058</v>
      </c>
      <c r="AC800" s="193" t="s">
        <v>2768</v>
      </c>
      <c r="AD800" s="193" t="s">
        <v>134</v>
      </c>
      <c r="AE800" s="193">
        <v>3058</v>
      </c>
      <c r="AF800" s="193" t="s">
        <v>394</v>
      </c>
      <c r="AG800" s="193" t="s">
        <v>395</v>
      </c>
      <c r="AH800" s="193">
        <v>278</v>
      </c>
      <c r="AI800" s="193">
        <v>2780</v>
      </c>
      <c r="AJ800" s="193" t="s">
        <v>2791</v>
      </c>
      <c r="AL800" s="193" t="s">
        <v>2900</v>
      </c>
      <c r="AM800" s="193">
        <v>1</v>
      </c>
      <c r="AN800" s="193">
        <v>0</v>
      </c>
      <c r="AO800" s="193">
        <v>0</v>
      </c>
      <c r="AP800" s="193">
        <v>0</v>
      </c>
      <c r="AQ800" s="193" t="s">
        <v>214</v>
      </c>
      <c r="AS800" s="193" t="s">
        <v>394</v>
      </c>
      <c r="AT800" s="193" t="s">
        <v>395</v>
      </c>
      <c r="AV800" s="194">
        <v>0</v>
      </c>
      <c r="AW800" s="194">
        <v>0</v>
      </c>
      <c r="AX800" s="194">
        <v>0</v>
      </c>
      <c r="AY800" s="549">
        <v>0</v>
      </c>
      <c r="AZ800" s="194">
        <v>0</v>
      </c>
      <c r="BA800" s="194">
        <v>3058</v>
      </c>
      <c r="BB800" s="551">
        <v>3058</v>
      </c>
      <c r="BC800" s="551">
        <v>3058</v>
      </c>
      <c r="BD800" s="551">
        <v>0</v>
      </c>
      <c r="BF800" s="550">
        <f t="shared" si="153"/>
        <v>0</v>
      </c>
      <c r="BG800" s="550">
        <f t="shared" si="154"/>
        <v>0</v>
      </c>
      <c r="BH800" s="550">
        <f t="shared" si="155"/>
        <v>0</v>
      </c>
      <c r="BI800" s="550">
        <f t="shared" si="156"/>
        <v>0</v>
      </c>
      <c r="BJ800" s="550">
        <f t="shared" si="157"/>
        <v>0</v>
      </c>
      <c r="BK800" s="550">
        <f t="shared" si="158"/>
        <v>2780</v>
      </c>
      <c r="BL800" s="550">
        <f t="shared" si="159"/>
        <v>2780</v>
      </c>
      <c r="BM800" s="550">
        <f t="shared" si="160"/>
        <v>2780</v>
      </c>
      <c r="BO800" s="567">
        <f t="shared" si="164"/>
        <v>0</v>
      </c>
      <c r="BQ800" s="193">
        <f t="shared" si="161"/>
        <v>0</v>
      </c>
      <c r="BR800" s="193">
        <f t="shared" si="162"/>
        <v>0</v>
      </c>
    </row>
    <row r="801" spans="1:70">
      <c r="A801" s="193" t="s">
        <v>378</v>
      </c>
      <c r="B801" s="193" t="s">
        <v>379</v>
      </c>
      <c r="C801" s="193" t="s">
        <v>214</v>
      </c>
      <c r="D801" s="193" t="s">
        <v>1165</v>
      </c>
      <c r="E801" s="193" t="s">
        <v>1166</v>
      </c>
      <c r="F801" s="193" t="s">
        <v>2776</v>
      </c>
      <c r="G801" s="193" t="s">
        <v>2776</v>
      </c>
      <c r="H801" s="193" t="s">
        <v>2903</v>
      </c>
      <c r="I801" s="193" t="s">
        <v>384</v>
      </c>
      <c r="J801" s="193" t="s">
        <v>2904</v>
      </c>
      <c r="K801" s="193" t="s">
        <v>386</v>
      </c>
      <c r="L801" s="193" t="s">
        <v>387</v>
      </c>
      <c r="M801" s="193" t="s">
        <v>378</v>
      </c>
      <c r="N801" s="193" t="s">
        <v>2765</v>
      </c>
      <c r="O801" s="193" t="s">
        <v>129</v>
      </c>
      <c r="P801" s="193" t="s">
        <v>128</v>
      </c>
      <c r="Q801" s="193" t="s">
        <v>134</v>
      </c>
      <c r="R801" s="193" t="s">
        <v>134</v>
      </c>
      <c r="S801" s="193" t="s">
        <v>214</v>
      </c>
      <c r="T801" s="193" t="s">
        <v>389</v>
      </c>
      <c r="U801" s="193" t="s">
        <v>390</v>
      </c>
      <c r="V801" s="193">
        <v>0</v>
      </c>
      <c r="W801" s="193">
        <v>0</v>
      </c>
      <c r="X801" s="193">
        <v>0</v>
      </c>
      <c r="Y801" s="193">
        <v>47543</v>
      </c>
      <c r="Z801" s="193" t="s">
        <v>2863</v>
      </c>
      <c r="AA801" s="193" t="s">
        <v>2864</v>
      </c>
      <c r="AB801" s="193">
        <v>47543</v>
      </c>
      <c r="AC801" s="193" t="s">
        <v>2768</v>
      </c>
      <c r="AD801" s="193" t="s">
        <v>134</v>
      </c>
      <c r="AE801" s="193">
        <v>47543</v>
      </c>
      <c r="AF801" s="193" t="s">
        <v>394</v>
      </c>
      <c r="AG801" s="193" t="s">
        <v>395</v>
      </c>
      <c r="AH801" s="193">
        <v>4343</v>
      </c>
      <c r="AI801" s="193">
        <v>43200</v>
      </c>
      <c r="AJ801" s="193" t="s">
        <v>2791</v>
      </c>
      <c r="AL801" s="193" t="s">
        <v>2905</v>
      </c>
      <c r="AM801" s="193">
        <v>1</v>
      </c>
      <c r="AN801" s="193">
        <v>0</v>
      </c>
      <c r="AO801" s="193">
        <v>0</v>
      </c>
      <c r="AP801" s="193">
        <v>0</v>
      </c>
      <c r="AQ801" s="193" t="s">
        <v>214</v>
      </c>
      <c r="AS801" s="193" t="s">
        <v>394</v>
      </c>
      <c r="AT801" s="193" t="s">
        <v>395</v>
      </c>
      <c r="AV801" s="194">
        <v>0</v>
      </c>
      <c r="AW801" s="194">
        <v>0</v>
      </c>
      <c r="AX801" s="194">
        <v>0</v>
      </c>
      <c r="AY801" s="549">
        <v>0</v>
      </c>
      <c r="AZ801" s="194">
        <v>0</v>
      </c>
      <c r="BA801" s="194">
        <v>47543</v>
      </c>
      <c r="BB801" s="551">
        <v>47543</v>
      </c>
      <c r="BC801" s="551">
        <v>47543</v>
      </c>
      <c r="BD801" s="551">
        <v>0</v>
      </c>
      <c r="BF801" s="550">
        <f t="shared" si="153"/>
        <v>0</v>
      </c>
      <c r="BG801" s="550">
        <f t="shared" si="154"/>
        <v>0</v>
      </c>
      <c r="BH801" s="550">
        <f t="shared" si="155"/>
        <v>0</v>
      </c>
      <c r="BI801" s="550">
        <f t="shared" si="156"/>
        <v>0</v>
      </c>
      <c r="BJ801" s="550">
        <f t="shared" si="157"/>
        <v>0</v>
      </c>
      <c r="BK801" s="550">
        <f t="shared" si="158"/>
        <v>43221</v>
      </c>
      <c r="BL801" s="550">
        <f t="shared" si="159"/>
        <v>43221</v>
      </c>
      <c r="BM801" s="550">
        <f t="shared" si="160"/>
        <v>43221</v>
      </c>
      <c r="BO801" s="567">
        <f t="shared" si="164"/>
        <v>-9.0909090911736712E-2</v>
      </c>
      <c r="BQ801" s="193">
        <f t="shared" si="161"/>
        <v>0</v>
      </c>
      <c r="BR801" s="193">
        <f t="shared" si="162"/>
        <v>-9.0909090911736712E-2</v>
      </c>
    </row>
    <row r="802" spans="1:70">
      <c r="A802" s="193" t="s">
        <v>378</v>
      </c>
      <c r="B802" s="193" t="s">
        <v>379</v>
      </c>
      <c r="C802" s="193" t="s">
        <v>214</v>
      </c>
      <c r="D802" s="193" t="s">
        <v>1165</v>
      </c>
      <c r="E802" s="193" t="s">
        <v>1166</v>
      </c>
      <c r="F802" s="193" t="s">
        <v>841</v>
      </c>
      <c r="G802" s="193" t="s">
        <v>841</v>
      </c>
      <c r="H802" s="193" t="s">
        <v>2906</v>
      </c>
      <c r="I802" s="193" t="s">
        <v>384</v>
      </c>
      <c r="J802" s="193" t="s">
        <v>2907</v>
      </c>
      <c r="K802" s="193" t="s">
        <v>386</v>
      </c>
      <c r="L802" s="193" t="s">
        <v>387</v>
      </c>
      <c r="M802" s="193" t="s">
        <v>378</v>
      </c>
      <c r="N802" s="193" t="s">
        <v>2765</v>
      </c>
      <c r="O802" s="193" t="s">
        <v>129</v>
      </c>
      <c r="P802" s="193" t="s">
        <v>128</v>
      </c>
      <c r="Q802" s="193" t="s">
        <v>134</v>
      </c>
      <c r="R802" s="193" t="s">
        <v>134</v>
      </c>
      <c r="S802" s="193" t="s">
        <v>214</v>
      </c>
      <c r="T802" s="193" t="s">
        <v>389</v>
      </c>
      <c r="U802" s="193" t="s">
        <v>390</v>
      </c>
      <c r="V802" s="193">
        <v>0</v>
      </c>
      <c r="W802" s="193">
        <v>0</v>
      </c>
      <c r="X802" s="193">
        <v>0</v>
      </c>
      <c r="Y802" s="193">
        <v>670434</v>
      </c>
      <c r="Z802" s="193" t="s">
        <v>2863</v>
      </c>
      <c r="AA802" s="193" t="s">
        <v>2864</v>
      </c>
      <c r="AB802" s="193">
        <v>670434</v>
      </c>
      <c r="AC802" s="193" t="s">
        <v>2768</v>
      </c>
      <c r="AD802" s="193" t="s">
        <v>134</v>
      </c>
      <c r="AE802" s="193">
        <v>670434</v>
      </c>
      <c r="AF802" s="193" t="s">
        <v>394</v>
      </c>
      <c r="AG802" s="193" t="s">
        <v>395</v>
      </c>
      <c r="AH802" s="193">
        <v>60944</v>
      </c>
      <c r="AI802" s="193">
        <v>609490</v>
      </c>
      <c r="AJ802" s="193" t="s">
        <v>2791</v>
      </c>
      <c r="AL802" s="193" t="s">
        <v>2908</v>
      </c>
      <c r="AM802" s="193">
        <v>1</v>
      </c>
      <c r="AN802" s="193">
        <v>0</v>
      </c>
      <c r="AO802" s="193">
        <v>0</v>
      </c>
      <c r="AP802" s="193">
        <v>0</v>
      </c>
      <c r="AQ802" s="193" t="s">
        <v>214</v>
      </c>
      <c r="AS802" s="193" t="s">
        <v>394</v>
      </c>
      <c r="AT802" s="193" t="s">
        <v>395</v>
      </c>
      <c r="AV802" s="194">
        <v>0</v>
      </c>
      <c r="AW802" s="194">
        <v>0</v>
      </c>
      <c r="AX802" s="194">
        <v>0</v>
      </c>
      <c r="AY802" s="549">
        <v>0</v>
      </c>
      <c r="AZ802" s="194">
        <v>0</v>
      </c>
      <c r="BA802" s="194">
        <v>670434</v>
      </c>
      <c r="BB802" s="551">
        <v>670434</v>
      </c>
      <c r="BC802" s="551">
        <v>670434</v>
      </c>
      <c r="BD802" s="551">
        <v>0</v>
      </c>
      <c r="BF802" s="550">
        <f t="shared" si="153"/>
        <v>0</v>
      </c>
      <c r="BG802" s="550">
        <f t="shared" si="154"/>
        <v>0</v>
      </c>
      <c r="BH802" s="550">
        <f t="shared" si="155"/>
        <v>0</v>
      </c>
      <c r="BI802" s="550">
        <f t="shared" si="156"/>
        <v>0</v>
      </c>
      <c r="BJ802" s="550">
        <f t="shared" si="157"/>
        <v>0</v>
      </c>
      <c r="BK802" s="550">
        <f t="shared" si="158"/>
        <v>609485</v>
      </c>
      <c r="BL802" s="550">
        <f t="shared" si="159"/>
        <v>609485</v>
      </c>
      <c r="BM802" s="550">
        <f t="shared" si="160"/>
        <v>609485</v>
      </c>
      <c r="BO802" s="567">
        <f t="shared" si="164"/>
        <v>0.45454545458778739</v>
      </c>
      <c r="BQ802" s="193">
        <f t="shared" si="161"/>
        <v>0</v>
      </c>
      <c r="BR802" s="193">
        <f t="shared" si="162"/>
        <v>0.45454545458778739</v>
      </c>
    </row>
    <row r="803" spans="1:70">
      <c r="A803" s="193" t="s">
        <v>378</v>
      </c>
      <c r="B803" s="193" t="s">
        <v>379</v>
      </c>
      <c r="C803" s="193" t="s">
        <v>214</v>
      </c>
      <c r="D803" s="193" t="s">
        <v>1165</v>
      </c>
      <c r="E803" s="193" t="s">
        <v>1166</v>
      </c>
      <c r="F803" s="193" t="s">
        <v>2776</v>
      </c>
      <c r="G803" s="193" t="s">
        <v>2776</v>
      </c>
      <c r="H803" s="193" t="s">
        <v>2909</v>
      </c>
      <c r="I803" s="193" t="s">
        <v>384</v>
      </c>
      <c r="J803" s="193" t="s">
        <v>2910</v>
      </c>
      <c r="K803" s="193" t="s">
        <v>386</v>
      </c>
      <c r="L803" s="193" t="s">
        <v>387</v>
      </c>
      <c r="M803" s="193" t="s">
        <v>378</v>
      </c>
      <c r="N803" s="193" t="s">
        <v>2765</v>
      </c>
      <c r="O803" s="193" t="s">
        <v>129</v>
      </c>
      <c r="P803" s="193" t="s">
        <v>128</v>
      </c>
      <c r="Q803" s="193" t="s">
        <v>134</v>
      </c>
      <c r="R803" s="193" t="s">
        <v>134</v>
      </c>
      <c r="S803" s="193" t="s">
        <v>214</v>
      </c>
      <c r="T803" s="193" t="s">
        <v>389</v>
      </c>
      <c r="U803" s="193" t="s">
        <v>390</v>
      </c>
      <c r="V803" s="193">
        <v>0</v>
      </c>
      <c r="W803" s="193">
        <v>0</v>
      </c>
      <c r="X803" s="193">
        <v>0</v>
      </c>
      <c r="Y803" s="193">
        <v>3882</v>
      </c>
      <c r="Z803" s="193" t="s">
        <v>2863</v>
      </c>
      <c r="AA803" s="193" t="s">
        <v>2864</v>
      </c>
      <c r="AB803" s="193">
        <v>3882</v>
      </c>
      <c r="AC803" s="193" t="s">
        <v>2768</v>
      </c>
      <c r="AD803" s="193" t="s">
        <v>134</v>
      </c>
      <c r="AE803" s="193">
        <v>3882</v>
      </c>
      <c r="AF803" s="193" t="s">
        <v>394</v>
      </c>
      <c r="AG803" s="193" t="s">
        <v>395</v>
      </c>
      <c r="AH803" s="193">
        <v>352</v>
      </c>
      <c r="AI803" s="193">
        <v>3530</v>
      </c>
      <c r="AJ803" s="193" t="s">
        <v>2791</v>
      </c>
      <c r="AL803" s="193" t="s">
        <v>2911</v>
      </c>
      <c r="AM803" s="193">
        <v>1</v>
      </c>
      <c r="AN803" s="193">
        <v>0</v>
      </c>
      <c r="AO803" s="193">
        <v>0</v>
      </c>
      <c r="AP803" s="193" t="s">
        <v>1524</v>
      </c>
      <c r="AQ803" s="193" t="s">
        <v>214</v>
      </c>
      <c r="AS803" s="193" t="s">
        <v>394</v>
      </c>
      <c r="AT803" s="193" t="s">
        <v>395</v>
      </c>
      <c r="AV803" s="194">
        <v>0</v>
      </c>
      <c r="AW803" s="194">
        <v>0</v>
      </c>
      <c r="AX803" s="194">
        <v>0</v>
      </c>
      <c r="AY803" s="549">
        <v>0</v>
      </c>
      <c r="AZ803" s="194">
        <v>0</v>
      </c>
      <c r="BA803" s="194">
        <v>3882</v>
      </c>
      <c r="BB803" s="551">
        <v>3882</v>
      </c>
      <c r="BC803" s="551">
        <v>3882</v>
      </c>
      <c r="BD803" s="551">
        <v>0</v>
      </c>
      <c r="BF803" s="550">
        <f t="shared" si="153"/>
        <v>0</v>
      </c>
      <c r="BG803" s="550">
        <f t="shared" si="154"/>
        <v>0</v>
      </c>
      <c r="BH803" s="550">
        <f t="shared" si="155"/>
        <v>0</v>
      </c>
      <c r="BI803" s="550">
        <f t="shared" si="156"/>
        <v>0</v>
      </c>
      <c r="BJ803" s="550">
        <f t="shared" si="157"/>
        <v>0</v>
      </c>
      <c r="BK803" s="550">
        <f t="shared" si="158"/>
        <v>3529</v>
      </c>
      <c r="BL803" s="550">
        <f t="shared" si="159"/>
        <v>3529</v>
      </c>
      <c r="BM803" s="550">
        <f t="shared" si="160"/>
        <v>3529</v>
      </c>
      <c r="BO803" s="567">
        <f t="shared" si="164"/>
        <v>9.0909090909008228E-2</v>
      </c>
      <c r="BQ803" s="193">
        <f t="shared" si="161"/>
        <v>0</v>
      </c>
      <c r="BR803" s="193">
        <f t="shared" si="162"/>
        <v>9.0909090909008228E-2</v>
      </c>
    </row>
    <row r="804" spans="1:70">
      <c r="A804" s="193" t="s">
        <v>378</v>
      </c>
      <c r="B804" s="193" t="s">
        <v>379</v>
      </c>
      <c r="C804" s="193" t="s">
        <v>214</v>
      </c>
      <c r="D804" s="193" t="s">
        <v>1165</v>
      </c>
      <c r="E804" s="193" t="s">
        <v>1166</v>
      </c>
      <c r="F804" s="193" t="s">
        <v>2776</v>
      </c>
      <c r="G804" s="193" t="s">
        <v>2776</v>
      </c>
      <c r="H804" s="193" t="s">
        <v>2912</v>
      </c>
      <c r="I804" s="193" t="s">
        <v>384</v>
      </c>
      <c r="J804" s="193" t="s">
        <v>2917</v>
      </c>
      <c r="K804" s="193" t="s">
        <v>386</v>
      </c>
      <c r="L804" s="193" t="s">
        <v>387</v>
      </c>
      <c r="M804" s="193" t="s">
        <v>378</v>
      </c>
      <c r="N804" s="193" t="s">
        <v>2765</v>
      </c>
      <c r="O804" s="193" t="s">
        <v>129</v>
      </c>
      <c r="P804" s="193" t="s">
        <v>128</v>
      </c>
      <c r="Q804" s="193" t="s">
        <v>134</v>
      </c>
      <c r="R804" s="193" t="s">
        <v>134</v>
      </c>
      <c r="S804" s="193" t="s">
        <v>214</v>
      </c>
      <c r="T804" s="193" t="s">
        <v>389</v>
      </c>
      <c r="U804" s="193" t="s">
        <v>390</v>
      </c>
      <c r="V804" s="193">
        <v>0</v>
      </c>
      <c r="W804" s="193">
        <v>0</v>
      </c>
      <c r="X804" s="193">
        <v>0</v>
      </c>
      <c r="Y804" s="193">
        <v>5439</v>
      </c>
      <c r="Z804" s="193" t="s">
        <v>2863</v>
      </c>
      <c r="AA804" s="193" t="s">
        <v>2864</v>
      </c>
      <c r="AB804" s="193">
        <v>5439</v>
      </c>
      <c r="AC804" s="193" t="s">
        <v>2768</v>
      </c>
      <c r="AD804" s="193" t="s">
        <v>134</v>
      </c>
      <c r="AE804" s="193">
        <v>5439</v>
      </c>
      <c r="AF804" s="193" t="s">
        <v>394</v>
      </c>
      <c r="AG804" s="193" t="s">
        <v>395</v>
      </c>
      <c r="AH804" s="193">
        <v>494</v>
      </c>
      <c r="AI804" s="193">
        <v>4945</v>
      </c>
      <c r="AJ804" s="193" t="s">
        <v>2791</v>
      </c>
      <c r="AL804" s="193" t="s">
        <v>2918</v>
      </c>
      <c r="AM804" s="193">
        <v>1</v>
      </c>
      <c r="AN804" s="193">
        <v>0</v>
      </c>
      <c r="AO804" s="193">
        <v>0</v>
      </c>
      <c r="AP804" s="193">
        <v>0</v>
      </c>
      <c r="AQ804" s="193" t="s">
        <v>214</v>
      </c>
      <c r="AS804" s="193" t="s">
        <v>394</v>
      </c>
      <c r="AT804" s="193" t="s">
        <v>395</v>
      </c>
      <c r="AV804" s="194">
        <v>0</v>
      </c>
      <c r="AW804" s="194">
        <v>0</v>
      </c>
      <c r="AX804" s="194">
        <v>0</v>
      </c>
      <c r="AY804" s="549">
        <v>0</v>
      </c>
      <c r="AZ804" s="194">
        <v>0</v>
      </c>
      <c r="BA804" s="194">
        <v>5439</v>
      </c>
      <c r="BB804" s="551">
        <v>5439</v>
      </c>
      <c r="BC804" s="551">
        <v>5439</v>
      </c>
      <c r="BD804" s="551">
        <v>0</v>
      </c>
      <c r="BF804" s="550">
        <f t="shared" si="153"/>
        <v>0</v>
      </c>
      <c r="BG804" s="550">
        <f t="shared" si="154"/>
        <v>0</v>
      </c>
      <c r="BH804" s="550">
        <f t="shared" si="155"/>
        <v>0</v>
      </c>
      <c r="BI804" s="550">
        <f t="shared" si="156"/>
        <v>0</v>
      </c>
      <c r="BJ804" s="550">
        <f t="shared" si="157"/>
        <v>0</v>
      </c>
      <c r="BK804" s="550">
        <f t="shared" si="158"/>
        <v>4945</v>
      </c>
      <c r="BL804" s="550">
        <f t="shared" si="159"/>
        <v>4945</v>
      </c>
      <c r="BM804" s="550">
        <f t="shared" si="160"/>
        <v>4945</v>
      </c>
      <c r="BO804" s="567">
        <f t="shared" si="164"/>
        <v>-0.45454545454504114</v>
      </c>
      <c r="BQ804" s="193">
        <f t="shared" si="161"/>
        <v>0</v>
      </c>
      <c r="BR804" s="193">
        <f t="shared" si="162"/>
        <v>-0.45454545454504114</v>
      </c>
    </row>
    <row r="805" spans="1:70">
      <c r="A805" s="193" t="s">
        <v>378</v>
      </c>
      <c r="B805" s="193" t="s">
        <v>379</v>
      </c>
      <c r="C805" s="193" t="s">
        <v>214</v>
      </c>
      <c r="D805" s="193" t="s">
        <v>1165</v>
      </c>
      <c r="E805" s="193" t="s">
        <v>1166</v>
      </c>
      <c r="F805" s="193" t="s">
        <v>2776</v>
      </c>
      <c r="G805" s="193" t="s">
        <v>2776</v>
      </c>
      <c r="H805" s="193" t="s">
        <v>2912</v>
      </c>
      <c r="I805" s="193" t="s">
        <v>384</v>
      </c>
      <c r="J805" s="193" t="s">
        <v>2915</v>
      </c>
      <c r="K805" s="193" t="s">
        <v>386</v>
      </c>
      <c r="L805" s="193" t="s">
        <v>387</v>
      </c>
      <c r="M805" s="193" t="s">
        <v>378</v>
      </c>
      <c r="N805" s="193" t="s">
        <v>2765</v>
      </c>
      <c r="O805" s="193" t="s">
        <v>129</v>
      </c>
      <c r="P805" s="193" t="s">
        <v>128</v>
      </c>
      <c r="Q805" s="193" t="s">
        <v>134</v>
      </c>
      <c r="R805" s="193" t="s">
        <v>134</v>
      </c>
      <c r="S805" s="193" t="s">
        <v>214</v>
      </c>
      <c r="T805" s="193" t="s">
        <v>389</v>
      </c>
      <c r="U805" s="193" t="s">
        <v>390</v>
      </c>
      <c r="V805" s="193">
        <v>0</v>
      </c>
      <c r="W805" s="193">
        <v>0</v>
      </c>
      <c r="X805" s="193">
        <v>0</v>
      </c>
      <c r="Y805" s="193">
        <v>4586</v>
      </c>
      <c r="Z805" s="193" t="s">
        <v>2863</v>
      </c>
      <c r="AA805" s="193" t="s">
        <v>2864</v>
      </c>
      <c r="AB805" s="193">
        <v>4586</v>
      </c>
      <c r="AC805" s="193" t="s">
        <v>2768</v>
      </c>
      <c r="AD805" s="193" t="s">
        <v>134</v>
      </c>
      <c r="AE805" s="193">
        <v>4586</v>
      </c>
      <c r="AF805" s="193" t="s">
        <v>394</v>
      </c>
      <c r="AG805" s="193" t="s">
        <v>395</v>
      </c>
      <c r="AH805" s="193">
        <v>416</v>
      </c>
      <c r="AI805" s="193">
        <v>4170</v>
      </c>
      <c r="AJ805" s="193" t="s">
        <v>2791</v>
      </c>
      <c r="AL805" s="193" t="s">
        <v>2916</v>
      </c>
      <c r="AM805" s="193">
        <v>1</v>
      </c>
      <c r="AN805" s="193">
        <v>0</v>
      </c>
      <c r="AO805" s="193">
        <v>0</v>
      </c>
      <c r="AP805" s="193">
        <v>0</v>
      </c>
      <c r="AQ805" s="193" t="s">
        <v>214</v>
      </c>
      <c r="AS805" s="193" t="s">
        <v>394</v>
      </c>
      <c r="AT805" s="193" t="s">
        <v>395</v>
      </c>
      <c r="AV805" s="194">
        <v>0</v>
      </c>
      <c r="AW805" s="194">
        <v>0</v>
      </c>
      <c r="AX805" s="194">
        <v>0</v>
      </c>
      <c r="AY805" s="549">
        <v>0</v>
      </c>
      <c r="AZ805" s="194">
        <v>0</v>
      </c>
      <c r="BA805" s="194">
        <v>4586</v>
      </c>
      <c r="BB805" s="551">
        <v>4586</v>
      </c>
      <c r="BC805" s="551">
        <v>4586</v>
      </c>
      <c r="BD805" s="551">
        <v>0</v>
      </c>
      <c r="BF805" s="550">
        <f t="shared" si="153"/>
        <v>0</v>
      </c>
      <c r="BG805" s="550">
        <f t="shared" si="154"/>
        <v>0</v>
      </c>
      <c r="BH805" s="550">
        <f t="shared" si="155"/>
        <v>0</v>
      </c>
      <c r="BI805" s="550">
        <f t="shared" si="156"/>
        <v>0</v>
      </c>
      <c r="BJ805" s="550">
        <f t="shared" si="157"/>
        <v>0</v>
      </c>
      <c r="BK805" s="550">
        <f t="shared" si="158"/>
        <v>4169</v>
      </c>
      <c r="BL805" s="550">
        <f t="shared" si="159"/>
        <v>4169</v>
      </c>
      <c r="BM805" s="550">
        <f t="shared" si="160"/>
        <v>4169</v>
      </c>
      <c r="BO805" s="567">
        <f t="shared" si="164"/>
        <v>9.0909090909008228E-2</v>
      </c>
      <c r="BQ805" s="193">
        <f t="shared" si="161"/>
        <v>0</v>
      </c>
      <c r="BR805" s="193">
        <f t="shared" si="162"/>
        <v>9.0909090909008228E-2</v>
      </c>
    </row>
    <row r="806" spans="1:70">
      <c r="A806" s="193" t="s">
        <v>378</v>
      </c>
      <c r="B806" s="193" t="s">
        <v>379</v>
      </c>
      <c r="C806" s="193" t="s">
        <v>214</v>
      </c>
      <c r="D806" s="193" t="s">
        <v>1165</v>
      </c>
      <c r="E806" s="193" t="s">
        <v>1166</v>
      </c>
      <c r="F806" s="193" t="s">
        <v>2817</v>
      </c>
      <c r="G806" s="193" t="s">
        <v>2817</v>
      </c>
      <c r="H806" s="193" t="s">
        <v>2912</v>
      </c>
      <c r="I806" s="193" t="s">
        <v>384</v>
      </c>
      <c r="J806" s="193" t="s">
        <v>2913</v>
      </c>
      <c r="K806" s="193" t="s">
        <v>386</v>
      </c>
      <c r="L806" s="193" t="s">
        <v>387</v>
      </c>
      <c r="M806" s="193" t="s">
        <v>378</v>
      </c>
      <c r="N806" s="193" t="s">
        <v>2765</v>
      </c>
      <c r="O806" s="193" t="s">
        <v>129</v>
      </c>
      <c r="P806" s="193" t="s">
        <v>128</v>
      </c>
      <c r="Q806" s="193" t="s">
        <v>134</v>
      </c>
      <c r="R806" s="193" t="s">
        <v>134</v>
      </c>
      <c r="S806" s="193" t="s">
        <v>214</v>
      </c>
      <c r="T806" s="193" t="s">
        <v>389</v>
      </c>
      <c r="U806" s="193" t="s">
        <v>390</v>
      </c>
      <c r="V806" s="193">
        <v>0</v>
      </c>
      <c r="W806" s="193">
        <v>0</v>
      </c>
      <c r="X806" s="193">
        <v>0</v>
      </c>
      <c r="Y806" s="193">
        <v>34</v>
      </c>
      <c r="Z806" s="193" t="s">
        <v>2863</v>
      </c>
      <c r="AA806" s="193" t="s">
        <v>2864</v>
      </c>
      <c r="AB806" s="193">
        <v>34</v>
      </c>
      <c r="AC806" s="193" t="s">
        <v>2768</v>
      </c>
      <c r="AD806" s="193" t="s">
        <v>134</v>
      </c>
      <c r="AE806" s="193">
        <v>34</v>
      </c>
      <c r="AF806" s="193" t="s">
        <v>394</v>
      </c>
      <c r="AG806" s="193" t="s">
        <v>395</v>
      </c>
      <c r="AH806" s="193">
        <v>14</v>
      </c>
      <c r="AI806" s="193">
        <v>20</v>
      </c>
      <c r="AJ806" s="193" t="s">
        <v>2791</v>
      </c>
      <c r="AL806" s="193" t="s">
        <v>2914</v>
      </c>
      <c r="AM806" s="193">
        <v>1</v>
      </c>
      <c r="AN806" s="193">
        <v>0</v>
      </c>
      <c r="AO806" s="193">
        <v>0</v>
      </c>
      <c r="AP806" s="193">
        <v>0</v>
      </c>
      <c r="AQ806" s="193" t="s">
        <v>214</v>
      </c>
      <c r="AS806" s="193" t="s">
        <v>394</v>
      </c>
      <c r="AT806" s="193" t="s">
        <v>395</v>
      </c>
      <c r="AV806" s="194">
        <v>0</v>
      </c>
      <c r="AW806" s="194">
        <v>0</v>
      </c>
      <c r="AX806" s="194">
        <v>0</v>
      </c>
      <c r="AY806" s="549">
        <v>0</v>
      </c>
      <c r="AZ806" s="194">
        <v>0</v>
      </c>
      <c r="BA806" s="194">
        <v>34</v>
      </c>
      <c r="BB806" s="551">
        <v>34</v>
      </c>
      <c r="BC806" s="551">
        <v>34</v>
      </c>
      <c r="BD806" s="551">
        <v>0</v>
      </c>
      <c r="BF806" s="550">
        <f t="shared" si="153"/>
        <v>0</v>
      </c>
      <c r="BG806" s="550">
        <f t="shared" si="154"/>
        <v>0</v>
      </c>
      <c r="BH806" s="550">
        <f t="shared" si="155"/>
        <v>0</v>
      </c>
      <c r="BI806" s="550">
        <f t="shared" si="156"/>
        <v>0</v>
      </c>
      <c r="BJ806" s="550">
        <f t="shared" si="157"/>
        <v>0</v>
      </c>
      <c r="BK806" s="550">
        <f t="shared" si="158"/>
        <v>31</v>
      </c>
      <c r="BL806" s="550">
        <f t="shared" si="159"/>
        <v>31</v>
      </c>
      <c r="BM806" s="550">
        <f t="shared" si="160"/>
        <v>31</v>
      </c>
      <c r="BO806" s="567">
        <f t="shared" si="164"/>
        <v>-9.090909090908994E-2</v>
      </c>
      <c r="BQ806" s="193">
        <f t="shared" si="161"/>
        <v>0</v>
      </c>
      <c r="BR806" s="193">
        <f t="shared" si="162"/>
        <v>-9.090909090908994E-2</v>
      </c>
    </row>
    <row r="807" spans="1:70">
      <c r="A807" s="193" t="s">
        <v>378</v>
      </c>
      <c r="B807" s="193" t="s">
        <v>379</v>
      </c>
      <c r="C807" s="193" t="s">
        <v>214</v>
      </c>
      <c r="D807" s="193" t="s">
        <v>1165</v>
      </c>
      <c r="E807" s="193" t="s">
        <v>1166</v>
      </c>
      <c r="F807" s="193" t="s">
        <v>2776</v>
      </c>
      <c r="G807" s="193" t="s">
        <v>2776</v>
      </c>
      <c r="H807" s="193" t="s">
        <v>2919</v>
      </c>
      <c r="I807" s="193" t="s">
        <v>384</v>
      </c>
      <c r="J807" s="193" t="s">
        <v>2920</v>
      </c>
      <c r="K807" s="193" t="s">
        <v>386</v>
      </c>
      <c r="L807" s="193" t="s">
        <v>387</v>
      </c>
      <c r="M807" s="193" t="s">
        <v>378</v>
      </c>
      <c r="N807" s="193" t="s">
        <v>2765</v>
      </c>
      <c r="O807" s="193" t="s">
        <v>129</v>
      </c>
      <c r="P807" s="193" t="s">
        <v>128</v>
      </c>
      <c r="Q807" s="193" t="s">
        <v>134</v>
      </c>
      <c r="R807" s="193" t="s">
        <v>134</v>
      </c>
      <c r="S807" s="193" t="s">
        <v>214</v>
      </c>
      <c r="T807" s="193" t="s">
        <v>389</v>
      </c>
      <c r="U807" s="193" t="s">
        <v>390</v>
      </c>
      <c r="V807" s="193">
        <v>0</v>
      </c>
      <c r="W807" s="193">
        <v>0</v>
      </c>
      <c r="X807" s="193">
        <v>0</v>
      </c>
      <c r="Y807" s="193">
        <v>6940</v>
      </c>
      <c r="Z807" s="193" t="s">
        <v>2863</v>
      </c>
      <c r="AA807" s="193" t="s">
        <v>2864</v>
      </c>
      <c r="AB807" s="193">
        <v>6940</v>
      </c>
      <c r="AC807" s="193" t="s">
        <v>2768</v>
      </c>
      <c r="AD807" s="193" t="s">
        <v>134</v>
      </c>
      <c r="AE807" s="193">
        <v>6940</v>
      </c>
      <c r="AF807" s="193" t="s">
        <v>394</v>
      </c>
      <c r="AG807" s="193" t="s">
        <v>395</v>
      </c>
      <c r="AH807" s="193">
        <v>630</v>
      </c>
      <c r="AI807" s="193">
        <v>6310</v>
      </c>
      <c r="AJ807" s="193" t="s">
        <v>2791</v>
      </c>
      <c r="AL807" s="193" t="s">
        <v>2921</v>
      </c>
      <c r="AM807" s="193">
        <v>1</v>
      </c>
      <c r="AN807" s="193">
        <v>0</v>
      </c>
      <c r="AO807" s="193">
        <v>0</v>
      </c>
      <c r="AP807" s="193">
        <v>0</v>
      </c>
      <c r="AQ807" s="193" t="s">
        <v>214</v>
      </c>
      <c r="AS807" s="193" t="s">
        <v>394</v>
      </c>
      <c r="AT807" s="193" t="s">
        <v>395</v>
      </c>
      <c r="AV807" s="194">
        <v>0</v>
      </c>
      <c r="AW807" s="194">
        <v>0</v>
      </c>
      <c r="AX807" s="194">
        <v>0</v>
      </c>
      <c r="AY807" s="549">
        <v>0</v>
      </c>
      <c r="AZ807" s="194">
        <v>0</v>
      </c>
      <c r="BA807" s="194">
        <v>6940</v>
      </c>
      <c r="BB807" s="551">
        <v>6940</v>
      </c>
      <c r="BC807" s="551">
        <v>6940</v>
      </c>
      <c r="BD807" s="551">
        <v>0</v>
      </c>
      <c r="BF807" s="550">
        <f t="shared" si="153"/>
        <v>0</v>
      </c>
      <c r="BG807" s="550">
        <f t="shared" si="154"/>
        <v>0</v>
      </c>
      <c r="BH807" s="550">
        <f t="shared" si="155"/>
        <v>0</v>
      </c>
      <c r="BI807" s="550">
        <f t="shared" si="156"/>
        <v>0</v>
      </c>
      <c r="BJ807" s="550">
        <f t="shared" si="157"/>
        <v>0</v>
      </c>
      <c r="BK807" s="550">
        <f t="shared" si="158"/>
        <v>6309</v>
      </c>
      <c r="BL807" s="550">
        <f t="shared" si="159"/>
        <v>6309</v>
      </c>
      <c r="BM807" s="550">
        <f t="shared" si="160"/>
        <v>6309</v>
      </c>
      <c r="BO807" s="567">
        <f t="shared" si="164"/>
        <v>9.0909090909008228E-2</v>
      </c>
      <c r="BQ807" s="193">
        <f t="shared" si="161"/>
        <v>0</v>
      </c>
      <c r="BR807" s="193">
        <f t="shared" si="162"/>
        <v>9.0909090909008228E-2</v>
      </c>
    </row>
    <row r="808" spans="1:70">
      <c r="A808" s="193" t="s">
        <v>378</v>
      </c>
      <c r="B808" s="193" t="s">
        <v>379</v>
      </c>
      <c r="C808" s="193" t="s">
        <v>214</v>
      </c>
      <c r="D808" s="193" t="s">
        <v>1165</v>
      </c>
      <c r="E808" s="193" t="s">
        <v>1166</v>
      </c>
      <c r="F808" s="193" t="s">
        <v>1357</v>
      </c>
      <c r="G808" s="193" t="s">
        <v>1357</v>
      </c>
      <c r="H808" s="193" t="s">
        <v>2927</v>
      </c>
      <c r="I808" s="193" t="s">
        <v>384</v>
      </c>
      <c r="J808" s="193" t="s">
        <v>2928</v>
      </c>
      <c r="K808" s="193" t="s">
        <v>386</v>
      </c>
      <c r="L808" s="193" t="s">
        <v>387</v>
      </c>
      <c r="M808" s="193" t="s">
        <v>378</v>
      </c>
      <c r="N808" s="193" t="s">
        <v>2765</v>
      </c>
      <c r="O808" s="193" t="s">
        <v>129</v>
      </c>
      <c r="P808" s="193" t="s">
        <v>128</v>
      </c>
      <c r="Q808" s="193" t="s">
        <v>134</v>
      </c>
      <c r="R808" s="193" t="s">
        <v>134</v>
      </c>
      <c r="S808" s="193" t="s">
        <v>214</v>
      </c>
      <c r="T808" s="193" t="s">
        <v>389</v>
      </c>
      <c r="U808" s="193" t="s">
        <v>390</v>
      </c>
      <c r="V808" s="193">
        <v>0</v>
      </c>
      <c r="W808" s="193">
        <v>0</v>
      </c>
      <c r="X808" s="193">
        <v>0</v>
      </c>
      <c r="Y808" s="193">
        <v>3261</v>
      </c>
      <c r="Z808" s="193" t="s">
        <v>2863</v>
      </c>
      <c r="AA808" s="193" t="s">
        <v>2864</v>
      </c>
      <c r="AB808" s="193">
        <v>3261</v>
      </c>
      <c r="AC808" s="193" t="s">
        <v>2768</v>
      </c>
      <c r="AD808" s="193" t="s">
        <v>134</v>
      </c>
      <c r="AE808" s="193">
        <v>3261</v>
      </c>
      <c r="AF808" s="193" t="s">
        <v>394</v>
      </c>
      <c r="AG808" s="193" t="s">
        <v>395</v>
      </c>
      <c r="AH808" s="193">
        <v>295</v>
      </c>
      <c r="AI808" s="193">
        <v>2966</v>
      </c>
      <c r="AJ808" s="193" t="s">
        <v>2791</v>
      </c>
      <c r="AL808" s="193" t="s">
        <v>2929</v>
      </c>
      <c r="AM808" s="193">
        <v>1</v>
      </c>
      <c r="AN808" s="193">
        <v>0</v>
      </c>
      <c r="AO808" s="193">
        <v>0</v>
      </c>
      <c r="AP808" s="193">
        <v>0</v>
      </c>
      <c r="AQ808" s="193" t="s">
        <v>214</v>
      </c>
      <c r="AS808" s="193" t="s">
        <v>394</v>
      </c>
      <c r="AT808" s="193" t="s">
        <v>395</v>
      </c>
      <c r="AV808" s="194">
        <v>0</v>
      </c>
      <c r="AW808" s="194">
        <v>0</v>
      </c>
      <c r="AX808" s="194">
        <v>0</v>
      </c>
      <c r="AY808" s="549">
        <v>0</v>
      </c>
      <c r="AZ808" s="194">
        <v>0</v>
      </c>
      <c r="BA808" s="194">
        <v>3261</v>
      </c>
      <c r="BB808" s="551">
        <v>3261</v>
      </c>
      <c r="BC808" s="551">
        <v>3261</v>
      </c>
      <c r="BD808" s="551">
        <v>0</v>
      </c>
      <c r="BF808" s="550">
        <f t="shared" si="153"/>
        <v>0</v>
      </c>
      <c r="BG808" s="550">
        <f t="shared" si="154"/>
        <v>0</v>
      </c>
      <c r="BH808" s="550">
        <f t="shared" si="155"/>
        <v>0</v>
      </c>
      <c r="BI808" s="550">
        <f t="shared" si="156"/>
        <v>0</v>
      </c>
      <c r="BJ808" s="550">
        <f t="shared" si="157"/>
        <v>0</v>
      </c>
      <c r="BK808" s="550">
        <f t="shared" si="158"/>
        <v>2965</v>
      </c>
      <c r="BL808" s="550">
        <f t="shared" si="159"/>
        <v>2965</v>
      </c>
      <c r="BM808" s="550">
        <f t="shared" si="160"/>
        <v>2965</v>
      </c>
      <c r="BO808" s="567">
        <f t="shared" si="164"/>
        <v>-0.45454545454549589</v>
      </c>
      <c r="BQ808" s="193">
        <f t="shared" si="161"/>
        <v>0</v>
      </c>
      <c r="BR808" s="193">
        <f t="shared" si="162"/>
        <v>-0.45454545454549589</v>
      </c>
    </row>
    <row r="809" spans="1:70">
      <c r="A809" s="193" t="s">
        <v>378</v>
      </c>
      <c r="B809" s="193" t="s">
        <v>379</v>
      </c>
      <c r="C809" s="193" t="s">
        <v>214</v>
      </c>
      <c r="D809" s="193" t="s">
        <v>1165</v>
      </c>
      <c r="E809" s="193" t="s">
        <v>1166</v>
      </c>
      <c r="F809" s="193" t="s">
        <v>1240</v>
      </c>
      <c r="G809" s="193" t="s">
        <v>1240</v>
      </c>
      <c r="H809" s="193" t="s">
        <v>2922</v>
      </c>
      <c r="I809" s="193" t="s">
        <v>384</v>
      </c>
      <c r="J809" s="193" t="s">
        <v>2923</v>
      </c>
      <c r="K809" s="193" t="s">
        <v>386</v>
      </c>
      <c r="L809" s="193" t="s">
        <v>387</v>
      </c>
      <c r="M809" s="193" t="s">
        <v>378</v>
      </c>
      <c r="N809" s="193" t="s">
        <v>2765</v>
      </c>
      <c r="O809" s="193" t="s">
        <v>129</v>
      </c>
      <c r="P809" s="193" t="s">
        <v>128</v>
      </c>
      <c r="Q809" s="193" t="s">
        <v>134</v>
      </c>
      <c r="R809" s="193" t="s">
        <v>134</v>
      </c>
      <c r="S809" s="193" t="s">
        <v>214</v>
      </c>
      <c r="T809" s="193" t="s">
        <v>389</v>
      </c>
      <c r="U809" s="193" t="s">
        <v>390</v>
      </c>
      <c r="V809" s="193">
        <v>0</v>
      </c>
      <c r="W809" s="193">
        <v>0</v>
      </c>
      <c r="X809" s="193">
        <v>0</v>
      </c>
      <c r="Y809" s="193">
        <v>9382</v>
      </c>
      <c r="Z809" s="193" t="s">
        <v>2863</v>
      </c>
      <c r="AA809" s="193" t="s">
        <v>2864</v>
      </c>
      <c r="AB809" s="193">
        <v>9382</v>
      </c>
      <c r="AC809" s="193" t="s">
        <v>2768</v>
      </c>
      <c r="AD809" s="193" t="s">
        <v>134</v>
      </c>
      <c r="AE809" s="193">
        <v>9382</v>
      </c>
      <c r="AF809" s="193" t="s">
        <v>394</v>
      </c>
      <c r="AG809" s="193" t="s">
        <v>395</v>
      </c>
      <c r="AH809" s="193">
        <v>852</v>
      </c>
      <c r="AI809" s="193">
        <v>8530</v>
      </c>
      <c r="AJ809" s="193" t="s">
        <v>2791</v>
      </c>
      <c r="AL809" s="193" t="s">
        <v>2924</v>
      </c>
      <c r="AM809" s="193">
        <v>1</v>
      </c>
      <c r="AN809" s="193">
        <v>0</v>
      </c>
      <c r="AO809" s="193">
        <v>0</v>
      </c>
      <c r="AP809" s="193">
        <v>0</v>
      </c>
      <c r="AQ809" s="193" t="s">
        <v>214</v>
      </c>
      <c r="AS809" s="193" t="s">
        <v>394</v>
      </c>
      <c r="AT809" s="193" t="s">
        <v>395</v>
      </c>
      <c r="AV809" s="194">
        <v>0</v>
      </c>
      <c r="AW809" s="194">
        <v>0</v>
      </c>
      <c r="AX809" s="194">
        <v>0</v>
      </c>
      <c r="AY809" s="549">
        <v>0</v>
      </c>
      <c r="AZ809" s="194">
        <v>0</v>
      </c>
      <c r="BA809" s="194">
        <v>9382</v>
      </c>
      <c r="BB809" s="551">
        <v>9382</v>
      </c>
      <c r="BC809" s="551">
        <v>9382</v>
      </c>
      <c r="BD809" s="551">
        <v>0</v>
      </c>
      <c r="BF809" s="550">
        <f t="shared" si="153"/>
        <v>0</v>
      </c>
      <c r="BG809" s="550">
        <f t="shared" si="154"/>
        <v>0</v>
      </c>
      <c r="BH809" s="550">
        <f t="shared" si="155"/>
        <v>0</v>
      </c>
      <c r="BI809" s="550">
        <f t="shared" si="156"/>
        <v>0</v>
      </c>
      <c r="BJ809" s="550">
        <f t="shared" si="157"/>
        <v>0</v>
      </c>
      <c r="BK809" s="550">
        <f t="shared" si="158"/>
        <v>8529</v>
      </c>
      <c r="BL809" s="550">
        <f t="shared" si="159"/>
        <v>8529</v>
      </c>
      <c r="BM809" s="550">
        <f t="shared" si="160"/>
        <v>8529</v>
      </c>
      <c r="BO809" s="567">
        <f t="shared" si="164"/>
        <v>9.0909090909917722E-2</v>
      </c>
      <c r="BQ809" s="193">
        <f t="shared" si="161"/>
        <v>0</v>
      </c>
      <c r="BR809" s="193">
        <f t="shared" si="162"/>
        <v>9.0909090909917722E-2</v>
      </c>
    </row>
    <row r="810" spans="1:70">
      <c r="A810" s="193" t="s">
        <v>378</v>
      </c>
      <c r="B810" s="193" t="s">
        <v>379</v>
      </c>
      <c r="C810" s="193" t="s">
        <v>214</v>
      </c>
      <c r="D810" s="193" t="s">
        <v>1165</v>
      </c>
      <c r="E810" s="193" t="s">
        <v>1166</v>
      </c>
      <c r="F810" s="193" t="s">
        <v>2817</v>
      </c>
      <c r="G810" s="193" t="s">
        <v>2817</v>
      </c>
      <c r="H810" s="193" t="s">
        <v>2922</v>
      </c>
      <c r="I810" s="193" t="s">
        <v>384</v>
      </c>
      <c r="J810" s="193" t="s">
        <v>2925</v>
      </c>
      <c r="K810" s="193" t="s">
        <v>386</v>
      </c>
      <c r="L810" s="193" t="s">
        <v>387</v>
      </c>
      <c r="M810" s="193" t="s">
        <v>378</v>
      </c>
      <c r="N810" s="193" t="s">
        <v>2765</v>
      </c>
      <c r="O810" s="193" t="s">
        <v>129</v>
      </c>
      <c r="P810" s="193" t="s">
        <v>128</v>
      </c>
      <c r="Q810" s="193" t="s">
        <v>134</v>
      </c>
      <c r="R810" s="193" t="s">
        <v>134</v>
      </c>
      <c r="S810" s="193" t="s">
        <v>214</v>
      </c>
      <c r="T810" s="193" t="s">
        <v>389</v>
      </c>
      <c r="U810" s="193" t="s">
        <v>390</v>
      </c>
      <c r="V810" s="193">
        <v>0</v>
      </c>
      <c r="W810" s="193">
        <v>0</v>
      </c>
      <c r="X810" s="193">
        <v>0</v>
      </c>
      <c r="Y810" s="193">
        <v>9190</v>
      </c>
      <c r="Z810" s="193" t="s">
        <v>2863</v>
      </c>
      <c r="AA810" s="193" t="s">
        <v>2864</v>
      </c>
      <c r="AB810" s="193">
        <v>9190</v>
      </c>
      <c r="AC810" s="193" t="s">
        <v>2768</v>
      </c>
      <c r="AD810" s="193" t="s">
        <v>134</v>
      </c>
      <c r="AE810" s="193">
        <v>9190</v>
      </c>
      <c r="AF810" s="193" t="s">
        <v>394</v>
      </c>
      <c r="AG810" s="193" t="s">
        <v>395</v>
      </c>
      <c r="AH810" s="193">
        <v>835</v>
      </c>
      <c r="AI810" s="193">
        <v>8355</v>
      </c>
      <c r="AJ810" s="193" t="s">
        <v>2791</v>
      </c>
      <c r="AL810" s="193" t="s">
        <v>2926</v>
      </c>
      <c r="AM810" s="193">
        <v>1</v>
      </c>
      <c r="AN810" s="193">
        <v>0</v>
      </c>
      <c r="AO810" s="193">
        <v>0</v>
      </c>
      <c r="AP810" s="193">
        <v>0</v>
      </c>
      <c r="AQ810" s="193" t="s">
        <v>214</v>
      </c>
      <c r="AS810" s="193" t="s">
        <v>394</v>
      </c>
      <c r="AT810" s="193" t="s">
        <v>395</v>
      </c>
      <c r="AV810" s="194">
        <v>0</v>
      </c>
      <c r="AW810" s="194">
        <v>0</v>
      </c>
      <c r="AX810" s="194">
        <v>0</v>
      </c>
      <c r="AY810" s="549">
        <v>0</v>
      </c>
      <c r="AZ810" s="194">
        <v>0</v>
      </c>
      <c r="BA810" s="194">
        <v>9190</v>
      </c>
      <c r="BB810" s="551">
        <v>9190</v>
      </c>
      <c r="BC810" s="551">
        <v>9190</v>
      </c>
      <c r="BD810" s="551">
        <v>0</v>
      </c>
      <c r="BF810" s="550">
        <f t="shared" si="153"/>
        <v>0</v>
      </c>
      <c r="BG810" s="550">
        <f t="shared" si="154"/>
        <v>0</v>
      </c>
      <c r="BH810" s="550">
        <f t="shared" si="155"/>
        <v>0</v>
      </c>
      <c r="BI810" s="550">
        <f t="shared" si="156"/>
        <v>0</v>
      </c>
      <c r="BJ810" s="550">
        <f t="shared" si="157"/>
        <v>0</v>
      </c>
      <c r="BK810" s="550">
        <f t="shared" si="158"/>
        <v>8355</v>
      </c>
      <c r="BL810" s="550">
        <f t="shared" si="159"/>
        <v>8355</v>
      </c>
      <c r="BM810" s="550">
        <f t="shared" si="160"/>
        <v>8355</v>
      </c>
      <c r="BO810" s="567">
        <f t="shared" si="164"/>
        <v>-0.45454545454595063</v>
      </c>
      <c r="BQ810" s="193">
        <f t="shared" si="161"/>
        <v>0</v>
      </c>
      <c r="BR810" s="193">
        <f t="shared" si="162"/>
        <v>-0.45454545454595063</v>
      </c>
    </row>
    <row r="811" spans="1:70">
      <c r="A811" s="193" t="s">
        <v>378</v>
      </c>
      <c r="B811" s="193" t="s">
        <v>379</v>
      </c>
      <c r="C811" s="193" t="s">
        <v>214</v>
      </c>
      <c r="D811" s="193" t="s">
        <v>1165</v>
      </c>
      <c r="E811" s="193" t="s">
        <v>1166</v>
      </c>
      <c r="F811" s="193" t="s">
        <v>2776</v>
      </c>
      <c r="G811" s="193" t="s">
        <v>2776</v>
      </c>
      <c r="H811" s="193" t="s">
        <v>2930</v>
      </c>
      <c r="I811" s="193" t="s">
        <v>384</v>
      </c>
      <c r="J811" s="193" t="s">
        <v>2931</v>
      </c>
      <c r="K811" s="193" t="s">
        <v>386</v>
      </c>
      <c r="L811" s="193" t="s">
        <v>387</v>
      </c>
      <c r="M811" s="193" t="s">
        <v>378</v>
      </c>
      <c r="N811" s="193" t="s">
        <v>2765</v>
      </c>
      <c r="O811" s="193" t="s">
        <v>129</v>
      </c>
      <c r="P811" s="193" t="s">
        <v>128</v>
      </c>
      <c r="Q811" s="193" t="s">
        <v>134</v>
      </c>
      <c r="R811" s="193" t="s">
        <v>134</v>
      </c>
      <c r="S811" s="193" t="s">
        <v>214</v>
      </c>
      <c r="T811" s="193" t="s">
        <v>389</v>
      </c>
      <c r="U811" s="193" t="s">
        <v>390</v>
      </c>
      <c r="V811" s="193">
        <v>0</v>
      </c>
      <c r="W811" s="193">
        <v>0</v>
      </c>
      <c r="X811" s="193">
        <v>0</v>
      </c>
      <c r="Y811" s="193">
        <v>26142</v>
      </c>
      <c r="Z811" s="193" t="s">
        <v>2863</v>
      </c>
      <c r="AA811" s="193" t="s">
        <v>2864</v>
      </c>
      <c r="AB811" s="193">
        <v>26142</v>
      </c>
      <c r="AC811" s="193" t="s">
        <v>2768</v>
      </c>
      <c r="AD811" s="193" t="s">
        <v>134</v>
      </c>
      <c r="AE811" s="193">
        <v>26142</v>
      </c>
      <c r="AF811" s="193" t="s">
        <v>394</v>
      </c>
      <c r="AG811" s="193" t="s">
        <v>395</v>
      </c>
      <c r="AH811" s="193">
        <v>2374</v>
      </c>
      <c r="AI811" s="193">
        <v>23768</v>
      </c>
      <c r="AJ811" s="193" t="s">
        <v>2791</v>
      </c>
      <c r="AL811" s="193" t="s">
        <v>2932</v>
      </c>
      <c r="AM811" s="193">
        <v>1</v>
      </c>
      <c r="AN811" s="193">
        <v>0</v>
      </c>
      <c r="AO811" s="193">
        <v>0</v>
      </c>
      <c r="AP811" s="193">
        <v>0</v>
      </c>
      <c r="AQ811" s="193" t="s">
        <v>214</v>
      </c>
      <c r="AS811" s="193" t="s">
        <v>394</v>
      </c>
      <c r="AT811" s="193" t="s">
        <v>395</v>
      </c>
      <c r="AV811" s="194">
        <v>0</v>
      </c>
      <c r="AW811" s="194">
        <v>0</v>
      </c>
      <c r="AX811" s="194">
        <v>0</v>
      </c>
      <c r="AY811" s="549">
        <v>0</v>
      </c>
      <c r="AZ811" s="194">
        <v>0</v>
      </c>
      <c r="BA811" s="194">
        <v>26142</v>
      </c>
      <c r="BB811" s="551">
        <v>26142</v>
      </c>
      <c r="BC811" s="551">
        <v>26142</v>
      </c>
      <c r="BD811" s="551">
        <v>0</v>
      </c>
      <c r="BF811" s="550">
        <f t="shared" si="153"/>
        <v>0</v>
      </c>
      <c r="BG811" s="550">
        <f t="shared" si="154"/>
        <v>0</v>
      </c>
      <c r="BH811" s="550">
        <f t="shared" si="155"/>
        <v>0</v>
      </c>
      <c r="BI811" s="550">
        <f t="shared" si="156"/>
        <v>0</v>
      </c>
      <c r="BJ811" s="550">
        <f t="shared" si="157"/>
        <v>0</v>
      </c>
      <c r="BK811" s="550">
        <f t="shared" si="158"/>
        <v>23765</v>
      </c>
      <c r="BL811" s="550">
        <f t="shared" si="159"/>
        <v>23765</v>
      </c>
      <c r="BM811" s="550">
        <f t="shared" si="160"/>
        <v>23765</v>
      </c>
      <c r="BQ811" s="193">
        <f t="shared" si="161"/>
        <v>0</v>
      </c>
      <c r="BR811" s="193">
        <f t="shared" si="162"/>
        <v>0.45454545454413164</v>
      </c>
    </row>
    <row r="812" spans="1:70">
      <c r="A812" s="193" t="s">
        <v>378</v>
      </c>
      <c r="B812" s="193" t="s">
        <v>379</v>
      </c>
      <c r="C812" s="193" t="s">
        <v>214</v>
      </c>
      <c r="D812" s="193" t="s">
        <v>1165</v>
      </c>
      <c r="E812" s="193" t="s">
        <v>1166</v>
      </c>
      <c r="F812" s="193" t="s">
        <v>2939</v>
      </c>
      <c r="G812" s="193" t="s">
        <v>2939</v>
      </c>
      <c r="H812" s="193" t="s">
        <v>2933</v>
      </c>
      <c r="I812" s="193" t="s">
        <v>384</v>
      </c>
      <c r="J812" s="193" t="s">
        <v>2940</v>
      </c>
      <c r="K812" s="193" t="s">
        <v>386</v>
      </c>
      <c r="L812" s="193" t="s">
        <v>387</v>
      </c>
      <c r="M812" s="193" t="s">
        <v>378</v>
      </c>
      <c r="N812" s="193" t="s">
        <v>2765</v>
      </c>
      <c r="O812" s="193" t="s">
        <v>129</v>
      </c>
      <c r="P812" s="193" t="s">
        <v>128</v>
      </c>
      <c r="Q812" s="193" t="s">
        <v>134</v>
      </c>
      <c r="R812" s="193" t="s">
        <v>134</v>
      </c>
      <c r="S812" s="193" t="s">
        <v>214</v>
      </c>
      <c r="T812" s="193" t="s">
        <v>389</v>
      </c>
      <c r="U812" s="193" t="s">
        <v>390</v>
      </c>
      <c r="V812" s="193">
        <v>0</v>
      </c>
      <c r="W812" s="193">
        <v>0</v>
      </c>
      <c r="X812" s="193">
        <v>0</v>
      </c>
      <c r="Y812" s="193">
        <v>12268</v>
      </c>
      <c r="Z812" s="193" t="s">
        <v>2863</v>
      </c>
      <c r="AA812" s="193" t="s">
        <v>2864</v>
      </c>
      <c r="AB812" s="193">
        <v>12268</v>
      </c>
      <c r="AC812" s="193" t="s">
        <v>2768</v>
      </c>
      <c r="AD812" s="193" t="s">
        <v>134</v>
      </c>
      <c r="AE812" s="193">
        <v>12268</v>
      </c>
      <c r="AF812" s="193" t="s">
        <v>394</v>
      </c>
      <c r="AG812" s="193" t="s">
        <v>395</v>
      </c>
      <c r="AH812" s="193">
        <v>1114</v>
      </c>
      <c r="AI812" s="193">
        <v>11154</v>
      </c>
      <c r="AJ812" s="193" t="s">
        <v>2791</v>
      </c>
      <c r="AL812" s="193" t="s">
        <v>2941</v>
      </c>
      <c r="AM812" s="193">
        <v>1</v>
      </c>
      <c r="AN812" s="193">
        <v>0</v>
      </c>
      <c r="AO812" s="193">
        <v>0</v>
      </c>
      <c r="AP812" s="193">
        <v>0</v>
      </c>
      <c r="AQ812" s="193" t="s">
        <v>214</v>
      </c>
      <c r="AS812" s="193" t="s">
        <v>394</v>
      </c>
      <c r="AT812" s="193" t="s">
        <v>395</v>
      </c>
      <c r="AV812" s="194">
        <v>0</v>
      </c>
      <c r="AW812" s="194">
        <v>0</v>
      </c>
      <c r="AX812" s="194">
        <v>0</v>
      </c>
      <c r="AY812" s="549">
        <v>0</v>
      </c>
      <c r="AZ812" s="194">
        <v>0</v>
      </c>
      <c r="BA812" s="194">
        <v>12268</v>
      </c>
      <c r="BB812" s="551">
        <v>12268</v>
      </c>
      <c r="BC812" s="551">
        <v>12268</v>
      </c>
      <c r="BD812" s="551">
        <v>0</v>
      </c>
      <c r="BF812" s="550">
        <f t="shared" si="153"/>
        <v>0</v>
      </c>
      <c r="BG812" s="550">
        <f t="shared" si="154"/>
        <v>0</v>
      </c>
      <c r="BH812" s="550">
        <f t="shared" si="155"/>
        <v>0</v>
      </c>
      <c r="BI812" s="550">
        <f t="shared" si="156"/>
        <v>0</v>
      </c>
      <c r="BJ812" s="550">
        <f t="shared" si="157"/>
        <v>0</v>
      </c>
      <c r="BK812" s="550">
        <f t="shared" si="158"/>
        <v>11153</v>
      </c>
      <c r="BL812" s="550">
        <f t="shared" si="159"/>
        <v>11153</v>
      </c>
      <c r="BM812" s="550">
        <f t="shared" si="160"/>
        <v>11153</v>
      </c>
      <c r="BQ812" s="193">
        <f t="shared" si="161"/>
        <v>0</v>
      </c>
      <c r="BR812" s="193">
        <f t="shared" si="162"/>
        <v>-0.27272727272793418</v>
      </c>
    </row>
    <row r="813" spans="1:70">
      <c r="A813" s="193" t="s">
        <v>378</v>
      </c>
      <c r="B813" s="193" t="s">
        <v>379</v>
      </c>
      <c r="C813" s="193" t="s">
        <v>214</v>
      </c>
      <c r="D813" s="193" t="s">
        <v>1165</v>
      </c>
      <c r="E813" s="193" t="s">
        <v>1166</v>
      </c>
      <c r="F813" s="193" t="s">
        <v>1487</v>
      </c>
      <c r="G813" s="193" t="s">
        <v>1487</v>
      </c>
      <c r="H813" s="193" t="s">
        <v>2933</v>
      </c>
      <c r="I813" s="193" t="s">
        <v>384</v>
      </c>
      <c r="J813" s="193" t="s">
        <v>2934</v>
      </c>
      <c r="K813" s="193" t="s">
        <v>386</v>
      </c>
      <c r="L813" s="193" t="s">
        <v>387</v>
      </c>
      <c r="M813" s="193" t="s">
        <v>378</v>
      </c>
      <c r="N813" s="193" t="s">
        <v>2765</v>
      </c>
      <c r="O813" s="193" t="s">
        <v>129</v>
      </c>
      <c r="P813" s="193" t="s">
        <v>128</v>
      </c>
      <c r="Q813" s="193" t="s">
        <v>134</v>
      </c>
      <c r="R813" s="193" t="s">
        <v>134</v>
      </c>
      <c r="S813" s="193" t="s">
        <v>214</v>
      </c>
      <c r="T813" s="193" t="s">
        <v>389</v>
      </c>
      <c r="U813" s="193" t="s">
        <v>390</v>
      </c>
      <c r="V813" s="193">
        <v>0</v>
      </c>
      <c r="W813" s="193">
        <v>0</v>
      </c>
      <c r="X813" s="193">
        <v>0</v>
      </c>
      <c r="Y813" s="193">
        <v>12275</v>
      </c>
      <c r="Z813" s="193" t="s">
        <v>2863</v>
      </c>
      <c r="AA813" s="193" t="s">
        <v>2864</v>
      </c>
      <c r="AB813" s="193">
        <v>12275</v>
      </c>
      <c r="AC813" s="193" t="s">
        <v>2768</v>
      </c>
      <c r="AD813" s="193" t="s">
        <v>134</v>
      </c>
      <c r="AE813" s="193">
        <v>12275</v>
      </c>
      <c r="AF813" s="193" t="s">
        <v>394</v>
      </c>
      <c r="AG813" s="193" t="s">
        <v>395</v>
      </c>
      <c r="AH813" s="193">
        <v>1115</v>
      </c>
      <c r="AI813" s="193">
        <v>11160</v>
      </c>
      <c r="AJ813" s="193" t="s">
        <v>2791</v>
      </c>
      <c r="AL813" s="193" t="s">
        <v>2935</v>
      </c>
      <c r="AM813" s="193">
        <v>1</v>
      </c>
      <c r="AN813" s="193">
        <v>0</v>
      </c>
      <c r="AO813" s="193">
        <v>0</v>
      </c>
      <c r="AP813" s="193">
        <v>0</v>
      </c>
      <c r="AQ813" s="193" t="s">
        <v>214</v>
      </c>
      <c r="AS813" s="193" t="s">
        <v>394</v>
      </c>
      <c r="AT813" s="193" t="s">
        <v>395</v>
      </c>
      <c r="AV813" s="194">
        <v>0</v>
      </c>
      <c r="AW813" s="194">
        <v>0</v>
      </c>
      <c r="AX813" s="194">
        <v>0</v>
      </c>
      <c r="AY813" s="549">
        <v>0</v>
      </c>
      <c r="AZ813" s="194">
        <v>0</v>
      </c>
      <c r="BA813" s="194">
        <v>12275</v>
      </c>
      <c r="BB813" s="551">
        <v>12275</v>
      </c>
      <c r="BC813" s="551">
        <v>12275</v>
      </c>
      <c r="BD813" s="551">
        <v>0</v>
      </c>
      <c r="BF813" s="550">
        <f t="shared" si="153"/>
        <v>0</v>
      </c>
      <c r="BG813" s="550">
        <f t="shared" si="154"/>
        <v>0</v>
      </c>
      <c r="BH813" s="550">
        <f t="shared" si="155"/>
        <v>0</v>
      </c>
      <c r="BI813" s="550">
        <f t="shared" si="156"/>
        <v>0</v>
      </c>
      <c r="BJ813" s="550">
        <f t="shared" si="157"/>
        <v>0</v>
      </c>
      <c r="BK813" s="550">
        <f t="shared" si="158"/>
        <v>11159</v>
      </c>
      <c r="BL813" s="550">
        <f t="shared" si="159"/>
        <v>11159</v>
      </c>
      <c r="BM813" s="550">
        <f t="shared" si="160"/>
        <v>11159</v>
      </c>
      <c r="BQ813" s="193">
        <f t="shared" si="161"/>
        <v>0</v>
      </c>
      <c r="BR813" s="193">
        <f t="shared" si="162"/>
        <v>9.0909090909917722E-2</v>
      </c>
    </row>
    <row r="814" spans="1:70">
      <c r="A814" s="193" t="s">
        <v>378</v>
      </c>
      <c r="B814" s="193" t="s">
        <v>379</v>
      </c>
      <c r="C814" s="193" t="s">
        <v>214</v>
      </c>
      <c r="D814" s="193" t="s">
        <v>1165</v>
      </c>
      <c r="E814" s="193" t="s">
        <v>1166</v>
      </c>
      <c r="F814" s="193" t="s">
        <v>2936</v>
      </c>
      <c r="G814" s="193" t="s">
        <v>2936</v>
      </c>
      <c r="H814" s="193" t="s">
        <v>2933</v>
      </c>
      <c r="I814" s="193" t="s">
        <v>384</v>
      </c>
      <c r="J814" s="193" t="s">
        <v>2937</v>
      </c>
      <c r="K814" s="193" t="s">
        <v>386</v>
      </c>
      <c r="L814" s="193" t="s">
        <v>387</v>
      </c>
      <c r="M814" s="193" t="s">
        <v>378</v>
      </c>
      <c r="N814" s="193" t="s">
        <v>2765</v>
      </c>
      <c r="O814" s="193" t="s">
        <v>129</v>
      </c>
      <c r="P814" s="193" t="s">
        <v>128</v>
      </c>
      <c r="Q814" s="193" t="s">
        <v>134</v>
      </c>
      <c r="R814" s="193" t="s">
        <v>134</v>
      </c>
      <c r="S814" s="193" t="s">
        <v>214</v>
      </c>
      <c r="T814" s="193" t="s">
        <v>389</v>
      </c>
      <c r="U814" s="193" t="s">
        <v>390</v>
      </c>
      <c r="V814" s="193">
        <v>0</v>
      </c>
      <c r="W814" s="193">
        <v>0</v>
      </c>
      <c r="X814" s="193">
        <v>0</v>
      </c>
      <c r="Y814" s="193">
        <v>207806</v>
      </c>
      <c r="Z814" s="193" t="s">
        <v>2863</v>
      </c>
      <c r="AA814" s="193" t="s">
        <v>2864</v>
      </c>
      <c r="AB814" s="193">
        <v>207806</v>
      </c>
      <c r="AC814" s="193" t="s">
        <v>2768</v>
      </c>
      <c r="AD814" s="193" t="s">
        <v>134</v>
      </c>
      <c r="AE814" s="193">
        <v>207806</v>
      </c>
      <c r="AF814" s="193" t="s">
        <v>394</v>
      </c>
      <c r="AG814" s="193" t="s">
        <v>395</v>
      </c>
      <c r="AH814" s="193">
        <v>18890</v>
      </c>
      <c r="AI814" s="193">
        <v>188916</v>
      </c>
      <c r="AJ814" s="193" t="s">
        <v>2791</v>
      </c>
      <c r="AL814" s="193" t="s">
        <v>2938</v>
      </c>
      <c r="AM814" s="193">
        <v>1</v>
      </c>
      <c r="AN814" s="193">
        <v>0</v>
      </c>
      <c r="AO814" s="193">
        <v>0</v>
      </c>
      <c r="AP814" s="193">
        <v>0</v>
      </c>
      <c r="AQ814" s="193" t="s">
        <v>214</v>
      </c>
      <c r="AS814" s="193" t="s">
        <v>394</v>
      </c>
      <c r="AT814" s="193" t="s">
        <v>395</v>
      </c>
      <c r="AV814" s="194">
        <v>0</v>
      </c>
      <c r="AW814" s="194">
        <v>0</v>
      </c>
      <c r="AX814" s="194">
        <v>0</v>
      </c>
      <c r="AY814" s="549">
        <v>0</v>
      </c>
      <c r="AZ814" s="194">
        <v>0</v>
      </c>
      <c r="BA814" s="194">
        <v>207806</v>
      </c>
      <c r="BB814" s="551">
        <v>207806</v>
      </c>
      <c r="BC814" s="551">
        <v>207806</v>
      </c>
      <c r="BD814" s="551">
        <v>0</v>
      </c>
      <c r="BE814" s="194" t="s">
        <v>3291</v>
      </c>
      <c r="BF814" s="550">
        <f t="shared" si="153"/>
        <v>0</v>
      </c>
      <c r="BG814" s="550">
        <f t="shared" si="154"/>
        <v>0</v>
      </c>
      <c r="BH814" s="550">
        <f t="shared" si="155"/>
        <v>0</v>
      </c>
      <c r="BI814" s="550">
        <f t="shared" si="156"/>
        <v>0</v>
      </c>
      <c r="BJ814" s="550">
        <f t="shared" si="157"/>
        <v>0</v>
      </c>
      <c r="BK814" s="574">
        <f>+IFERROR(ROUND(BA814*100/(100+$AT814),0),BA814)-1</f>
        <v>188914</v>
      </c>
      <c r="BL814" s="550">
        <f t="shared" si="159"/>
        <v>188914</v>
      </c>
      <c r="BM814" s="550">
        <f t="shared" si="160"/>
        <v>188914</v>
      </c>
      <c r="BQ814" s="193">
        <f t="shared" si="161"/>
        <v>0</v>
      </c>
      <c r="BR814" s="193">
        <f t="shared" si="162"/>
        <v>0.54545454544131644</v>
      </c>
    </row>
    <row r="815" spans="1:70">
      <c r="A815" s="193" t="s">
        <v>2340</v>
      </c>
      <c r="B815" s="193" t="s">
        <v>379</v>
      </c>
      <c r="C815" s="193" t="s">
        <v>214</v>
      </c>
      <c r="D815" s="193" t="s">
        <v>1165</v>
      </c>
      <c r="E815" s="193" t="s">
        <v>1166</v>
      </c>
      <c r="F815" s="193" t="s">
        <v>841</v>
      </c>
      <c r="G815" s="193" t="s">
        <v>841</v>
      </c>
      <c r="H815" s="193" t="s">
        <v>2942</v>
      </c>
      <c r="I815" s="193" t="s">
        <v>384</v>
      </c>
      <c r="J815" s="193" t="s">
        <v>2943</v>
      </c>
      <c r="K815" s="193" t="s">
        <v>386</v>
      </c>
      <c r="L815" s="193" t="s">
        <v>387</v>
      </c>
      <c r="M815" s="193" t="s">
        <v>378</v>
      </c>
      <c r="N815" s="193" t="s">
        <v>2765</v>
      </c>
      <c r="O815" s="193" t="s">
        <v>129</v>
      </c>
      <c r="P815" s="193" t="s">
        <v>128</v>
      </c>
      <c r="Q815" s="193" t="s">
        <v>134</v>
      </c>
      <c r="R815" s="193" t="s">
        <v>134</v>
      </c>
      <c r="S815" s="193" t="s">
        <v>214</v>
      </c>
      <c r="T815" s="193" t="s">
        <v>389</v>
      </c>
      <c r="U815" s="193" t="s">
        <v>390</v>
      </c>
      <c r="V815" s="193">
        <v>0</v>
      </c>
      <c r="W815" s="193">
        <v>0</v>
      </c>
      <c r="X815" s="193">
        <v>0</v>
      </c>
      <c r="Y815" s="193">
        <v>17509</v>
      </c>
      <c r="Z815" s="193" t="s">
        <v>2863</v>
      </c>
      <c r="AA815" s="193" t="s">
        <v>2864</v>
      </c>
      <c r="AB815" s="193">
        <v>17509</v>
      </c>
      <c r="AC815" s="193" t="s">
        <v>2768</v>
      </c>
      <c r="AD815" s="193" t="s">
        <v>134</v>
      </c>
      <c r="AE815" s="193">
        <v>17509</v>
      </c>
      <c r="AF815" s="193" t="s">
        <v>394</v>
      </c>
      <c r="AG815" s="193" t="s">
        <v>395</v>
      </c>
      <c r="AH815" s="193">
        <v>1591</v>
      </c>
      <c r="AI815" s="193">
        <v>15918</v>
      </c>
      <c r="AJ815" s="193" t="s">
        <v>2791</v>
      </c>
      <c r="AL815" s="193" t="s">
        <v>2944</v>
      </c>
      <c r="AM815" s="193">
        <v>1</v>
      </c>
      <c r="AN815" s="193">
        <v>0</v>
      </c>
      <c r="AO815" s="193">
        <v>0</v>
      </c>
      <c r="AP815" s="193">
        <v>0</v>
      </c>
      <c r="AQ815" s="193" t="s">
        <v>214</v>
      </c>
      <c r="AS815" s="193" t="s">
        <v>394</v>
      </c>
      <c r="AT815" s="193" t="s">
        <v>395</v>
      </c>
      <c r="AV815" s="194">
        <v>0</v>
      </c>
      <c r="AW815" s="194">
        <v>0</v>
      </c>
      <c r="AX815" s="194">
        <v>0</v>
      </c>
      <c r="AY815" s="549">
        <v>0</v>
      </c>
      <c r="AZ815" s="194">
        <v>0</v>
      </c>
      <c r="BA815" s="194">
        <v>17509</v>
      </c>
      <c r="BB815" s="551">
        <v>17509</v>
      </c>
      <c r="BC815" s="551">
        <v>17509</v>
      </c>
      <c r="BD815" s="551">
        <v>0</v>
      </c>
      <c r="BF815" s="550">
        <f t="shared" si="153"/>
        <v>0</v>
      </c>
      <c r="BG815" s="550">
        <f t="shared" si="154"/>
        <v>0</v>
      </c>
      <c r="BH815" s="550">
        <f t="shared" si="155"/>
        <v>0</v>
      </c>
      <c r="BI815" s="550">
        <f t="shared" si="156"/>
        <v>0</v>
      </c>
      <c r="BJ815" s="550">
        <f t="shared" si="157"/>
        <v>0</v>
      </c>
      <c r="BK815" s="550">
        <f t="shared" si="158"/>
        <v>15917</v>
      </c>
      <c r="BL815" s="550">
        <f t="shared" si="159"/>
        <v>15917</v>
      </c>
      <c r="BM815" s="550">
        <f t="shared" si="160"/>
        <v>15917</v>
      </c>
      <c r="BQ815" s="193">
        <f t="shared" si="161"/>
        <v>0</v>
      </c>
      <c r="BR815" s="193">
        <f t="shared" si="162"/>
        <v>0.27272727272793418</v>
      </c>
    </row>
    <row r="816" spans="1:70">
      <c r="A816" s="193" t="s">
        <v>1624</v>
      </c>
      <c r="B816" s="193" t="s">
        <v>379</v>
      </c>
      <c r="C816" s="193" t="s">
        <v>214</v>
      </c>
      <c r="D816" s="193" t="s">
        <v>1165</v>
      </c>
      <c r="E816" s="193" t="s">
        <v>1166</v>
      </c>
      <c r="F816" s="193" t="s">
        <v>1487</v>
      </c>
      <c r="G816" s="193" t="s">
        <v>1487</v>
      </c>
      <c r="H816" s="193" t="s">
        <v>2945</v>
      </c>
      <c r="I816" s="193" t="s">
        <v>384</v>
      </c>
      <c r="J816" s="193" t="s">
        <v>2946</v>
      </c>
      <c r="K816" s="193" t="s">
        <v>386</v>
      </c>
      <c r="L816" s="193" t="s">
        <v>387</v>
      </c>
      <c r="M816" s="193" t="s">
        <v>378</v>
      </c>
      <c r="N816" s="193" t="s">
        <v>2765</v>
      </c>
      <c r="O816" s="193" t="s">
        <v>129</v>
      </c>
      <c r="P816" s="193" t="s">
        <v>128</v>
      </c>
      <c r="Q816" s="193" t="s">
        <v>134</v>
      </c>
      <c r="R816" s="193" t="s">
        <v>134</v>
      </c>
      <c r="S816" s="193" t="s">
        <v>214</v>
      </c>
      <c r="T816" s="193" t="s">
        <v>389</v>
      </c>
      <c r="U816" s="193" t="s">
        <v>390</v>
      </c>
      <c r="V816" s="193">
        <v>0</v>
      </c>
      <c r="W816" s="193">
        <v>0</v>
      </c>
      <c r="X816" s="193">
        <v>0</v>
      </c>
      <c r="Y816" s="193">
        <v>9189</v>
      </c>
      <c r="Z816" s="193" t="s">
        <v>2863</v>
      </c>
      <c r="AA816" s="193" t="s">
        <v>2864</v>
      </c>
      <c r="AB816" s="193">
        <v>9189</v>
      </c>
      <c r="AC816" s="193" t="s">
        <v>2768</v>
      </c>
      <c r="AD816" s="193" t="s">
        <v>134</v>
      </c>
      <c r="AE816" s="193">
        <v>9189</v>
      </c>
      <c r="AF816" s="193" t="s">
        <v>394</v>
      </c>
      <c r="AG816" s="193" t="s">
        <v>395</v>
      </c>
      <c r="AH816" s="193">
        <v>834</v>
      </c>
      <c r="AI816" s="193">
        <v>8355</v>
      </c>
      <c r="AJ816" s="193" t="s">
        <v>2791</v>
      </c>
      <c r="AL816" s="193" t="s">
        <v>2947</v>
      </c>
      <c r="AM816" s="193">
        <v>1</v>
      </c>
      <c r="AN816" s="193">
        <v>0</v>
      </c>
      <c r="AO816" s="193">
        <v>0</v>
      </c>
      <c r="AP816" s="193">
        <v>0</v>
      </c>
      <c r="AQ816" s="193" t="s">
        <v>214</v>
      </c>
      <c r="AS816" s="193" t="s">
        <v>394</v>
      </c>
      <c r="AT816" s="193" t="s">
        <v>395</v>
      </c>
      <c r="AV816" s="194">
        <v>0</v>
      </c>
      <c r="AW816" s="194">
        <v>0</v>
      </c>
      <c r="AX816" s="194">
        <v>0</v>
      </c>
      <c r="AY816" s="549">
        <v>0</v>
      </c>
      <c r="AZ816" s="194">
        <v>0</v>
      </c>
      <c r="BA816" s="194">
        <v>9189</v>
      </c>
      <c r="BB816" s="551">
        <v>9189</v>
      </c>
      <c r="BC816" s="551">
        <v>9189</v>
      </c>
      <c r="BD816" s="551">
        <v>0</v>
      </c>
      <c r="BF816" s="550">
        <f t="shared" si="153"/>
        <v>0</v>
      </c>
      <c r="BG816" s="550">
        <f t="shared" si="154"/>
        <v>0</v>
      </c>
      <c r="BH816" s="550">
        <f t="shared" si="155"/>
        <v>0</v>
      </c>
      <c r="BI816" s="550">
        <f t="shared" si="156"/>
        <v>0</v>
      </c>
      <c r="BJ816" s="550">
        <f t="shared" si="157"/>
        <v>0</v>
      </c>
      <c r="BK816" s="550">
        <f t="shared" si="158"/>
        <v>8354</v>
      </c>
      <c r="BL816" s="550">
        <f t="shared" si="159"/>
        <v>8354</v>
      </c>
      <c r="BM816" s="550">
        <f t="shared" si="160"/>
        <v>8354</v>
      </c>
      <c r="BQ816" s="193">
        <f t="shared" si="161"/>
        <v>0</v>
      </c>
      <c r="BR816" s="193">
        <f t="shared" si="162"/>
        <v>-0.36363636363603291</v>
      </c>
    </row>
    <row r="817" spans="1:70">
      <c r="A817" s="193" t="s">
        <v>378</v>
      </c>
      <c r="B817" s="193" t="s">
        <v>379</v>
      </c>
      <c r="C817" s="193" t="s">
        <v>214</v>
      </c>
      <c r="D817" s="193" t="s">
        <v>1441</v>
      </c>
      <c r="E817" s="193" t="s">
        <v>1442</v>
      </c>
      <c r="F817" s="193" t="s">
        <v>2547</v>
      </c>
      <c r="G817" s="193" t="s">
        <v>2547</v>
      </c>
      <c r="H817" s="193" t="s">
        <v>2948</v>
      </c>
      <c r="I817" s="193" t="s">
        <v>1508</v>
      </c>
      <c r="J817" s="193" t="s">
        <v>2949</v>
      </c>
      <c r="K817" s="193" t="s">
        <v>386</v>
      </c>
      <c r="L817" s="193" t="s">
        <v>387</v>
      </c>
      <c r="M817" s="193" t="s">
        <v>378</v>
      </c>
      <c r="N817" s="193" t="s">
        <v>2765</v>
      </c>
      <c r="O817" s="193" t="s">
        <v>129</v>
      </c>
      <c r="P817" s="193" t="s">
        <v>128</v>
      </c>
      <c r="Q817" s="193" t="s">
        <v>134</v>
      </c>
      <c r="R817" s="193" t="s">
        <v>134</v>
      </c>
      <c r="S817" s="193" t="s">
        <v>214</v>
      </c>
      <c r="T817" s="193" t="s">
        <v>389</v>
      </c>
      <c r="U817" s="193" t="s">
        <v>390</v>
      </c>
      <c r="V817" s="193">
        <v>0</v>
      </c>
      <c r="W817" s="193">
        <v>0</v>
      </c>
      <c r="X817" s="193">
        <v>0</v>
      </c>
      <c r="Y817" s="193">
        <v>160</v>
      </c>
      <c r="Z817" s="193" t="s">
        <v>2950</v>
      </c>
      <c r="AA817" s="193" t="s">
        <v>2951</v>
      </c>
      <c r="AB817" s="193">
        <v>160</v>
      </c>
      <c r="AC817" s="193" t="s">
        <v>2768</v>
      </c>
      <c r="AD817" s="193" t="s">
        <v>134</v>
      </c>
      <c r="AE817" s="193">
        <v>160</v>
      </c>
      <c r="AF817" s="193" t="s">
        <v>1486</v>
      </c>
      <c r="AG817" s="193" t="s">
        <v>519</v>
      </c>
      <c r="AH817" s="193">
        <v>0</v>
      </c>
      <c r="AI817" s="193">
        <v>160</v>
      </c>
      <c r="AJ817" s="193" t="s">
        <v>214</v>
      </c>
      <c r="AL817" s="193" t="s">
        <v>2952</v>
      </c>
      <c r="AM817" s="193">
        <v>1</v>
      </c>
      <c r="AN817" s="193">
        <v>0</v>
      </c>
      <c r="AO817" s="193">
        <v>0</v>
      </c>
      <c r="AP817" s="193" t="s">
        <v>2953</v>
      </c>
      <c r="AQ817" s="193" t="s">
        <v>214</v>
      </c>
      <c r="AS817" s="193" t="s">
        <v>1486</v>
      </c>
      <c r="AT817" s="193" t="s">
        <v>519</v>
      </c>
      <c r="AV817" s="194">
        <v>0</v>
      </c>
      <c r="AW817" s="194">
        <v>0</v>
      </c>
      <c r="AX817" s="194">
        <v>0</v>
      </c>
      <c r="AY817" s="549">
        <v>0</v>
      </c>
      <c r="AZ817" s="194">
        <v>0</v>
      </c>
      <c r="BA817" s="194">
        <v>160</v>
      </c>
      <c r="BB817" s="551">
        <v>160</v>
      </c>
      <c r="BC817" s="551">
        <v>160</v>
      </c>
      <c r="BD817" s="551">
        <v>0</v>
      </c>
      <c r="BF817" s="550">
        <f t="shared" si="153"/>
        <v>0</v>
      </c>
      <c r="BG817" s="550">
        <f t="shared" si="154"/>
        <v>0</v>
      </c>
      <c r="BH817" s="550">
        <f t="shared" si="155"/>
        <v>0</v>
      </c>
      <c r="BI817" s="550">
        <f t="shared" si="156"/>
        <v>0</v>
      </c>
      <c r="BJ817" s="550">
        <f t="shared" si="157"/>
        <v>0</v>
      </c>
      <c r="BK817" s="550">
        <f t="shared" si="158"/>
        <v>160</v>
      </c>
      <c r="BL817" s="550">
        <f t="shared" si="159"/>
        <v>160</v>
      </c>
      <c r="BM817" s="550">
        <f t="shared" si="160"/>
        <v>160</v>
      </c>
      <c r="BQ817" s="193">
        <f t="shared" si="161"/>
        <v>0</v>
      </c>
      <c r="BR817" s="193">
        <f t="shared" si="162"/>
        <v>0</v>
      </c>
    </row>
    <row r="818" spans="1:70">
      <c r="A818" s="193" t="s">
        <v>378</v>
      </c>
      <c r="B818" s="193" t="s">
        <v>379</v>
      </c>
      <c r="C818" s="193" t="s">
        <v>214</v>
      </c>
      <c r="D818" s="193" t="s">
        <v>1441</v>
      </c>
      <c r="E818" s="193" t="s">
        <v>1442</v>
      </c>
      <c r="F818" s="193" t="s">
        <v>698</v>
      </c>
      <c r="G818" s="193" t="s">
        <v>698</v>
      </c>
      <c r="H818" s="193" t="s">
        <v>2954</v>
      </c>
      <c r="I818" s="193" t="s">
        <v>512</v>
      </c>
      <c r="J818" s="193" t="s">
        <v>2955</v>
      </c>
      <c r="K818" s="193" t="s">
        <v>386</v>
      </c>
      <c r="L818" s="193" t="s">
        <v>387</v>
      </c>
      <c r="M818" s="193" t="s">
        <v>378</v>
      </c>
      <c r="N818" s="193" t="s">
        <v>2765</v>
      </c>
      <c r="O818" s="193" t="s">
        <v>129</v>
      </c>
      <c r="P818" s="193" t="s">
        <v>128</v>
      </c>
      <c r="Q818" s="193" t="s">
        <v>134</v>
      </c>
      <c r="R818" s="193" t="s">
        <v>134</v>
      </c>
      <c r="S818" s="193" t="s">
        <v>214</v>
      </c>
      <c r="T818" s="193" t="s">
        <v>389</v>
      </c>
      <c r="U818" s="193" t="s">
        <v>390</v>
      </c>
      <c r="V818" s="193">
        <v>0</v>
      </c>
      <c r="W818" s="193">
        <v>0</v>
      </c>
      <c r="X818" s="193">
        <v>0</v>
      </c>
      <c r="Y818" s="193">
        <v>274208</v>
      </c>
      <c r="Z818" s="193" t="s">
        <v>515</v>
      </c>
      <c r="AA818" s="193" t="s">
        <v>516</v>
      </c>
      <c r="AB818" s="193">
        <v>274208</v>
      </c>
      <c r="AC818" s="193" t="s">
        <v>2768</v>
      </c>
      <c r="AD818" s="193" t="s">
        <v>134</v>
      </c>
      <c r="AE818" s="193">
        <v>274208</v>
      </c>
      <c r="AF818" s="193" t="s">
        <v>1486</v>
      </c>
      <c r="AG818" s="193" t="s">
        <v>519</v>
      </c>
      <c r="AH818" s="193">
        <v>0</v>
      </c>
      <c r="AI818" s="193">
        <v>274208</v>
      </c>
      <c r="AJ818" s="193" t="s">
        <v>2956</v>
      </c>
      <c r="AL818" s="193" t="s">
        <v>2957</v>
      </c>
      <c r="AM818" s="193">
        <v>1</v>
      </c>
      <c r="AN818" s="193">
        <v>0</v>
      </c>
      <c r="AO818" s="193">
        <v>0</v>
      </c>
      <c r="AP818" s="193" t="s">
        <v>2958</v>
      </c>
      <c r="AQ818" s="193" t="s">
        <v>214</v>
      </c>
      <c r="AS818" s="193" t="s">
        <v>1486</v>
      </c>
      <c r="AT818" s="193" t="s">
        <v>519</v>
      </c>
      <c r="AV818" s="194">
        <v>41131</v>
      </c>
      <c r="AW818" s="194">
        <v>0</v>
      </c>
      <c r="AX818" s="194">
        <v>0</v>
      </c>
      <c r="AY818" s="549">
        <v>41131</v>
      </c>
      <c r="AZ818" s="194">
        <v>0</v>
      </c>
      <c r="BA818" s="194">
        <v>233077</v>
      </c>
      <c r="BB818" s="551">
        <v>233077</v>
      </c>
      <c r="BC818" s="551">
        <v>274208</v>
      </c>
      <c r="BD818" s="551">
        <v>0</v>
      </c>
      <c r="BF818" s="550">
        <f t="shared" si="153"/>
        <v>41131</v>
      </c>
      <c r="BG818" s="550">
        <f t="shared" si="154"/>
        <v>0</v>
      </c>
      <c r="BH818" s="550">
        <f t="shared" si="155"/>
        <v>0</v>
      </c>
      <c r="BI818" s="550">
        <f t="shared" si="156"/>
        <v>41131</v>
      </c>
      <c r="BJ818" s="550">
        <f t="shared" si="157"/>
        <v>0</v>
      </c>
      <c r="BK818" s="550">
        <f t="shared" si="158"/>
        <v>233077</v>
      </c>
      <c r="BL818" s="550">
        <f t="shared" si="159"/>
        <v>233077</v>
      </c>
      <c r="BM818" s="550">
        <f t="shared" si="160"/>
        <v>274208</v>
      </c>
      <c r="BQ818" s="193">
        <f t="shared" si="161"/>
        <v>0</v>
      </c>
      <c r="BR818" s="193">
        <f t="shared" si="162"/>
        <v>0</v>
      </c>
    </row>
    <row r="819" spans="1:70">
      <c r="A819" s="193" t="s">
        <v>378</v>
      </c>
      <c r="B819" s="193" t="s">
        <v>379</v>
      </c>
      <c r="C819" s="193" t="s">
        <v>214</v>
      </c>
      <c r="D819" s="193" t="s">
        <v>1441</v>
      </c>
      <c r="E819" s="193" t="s">
        <v>1442</v>
      </c>
      <c r="F819" s="193" t="s">
        <v>1262</v>
      </c>
      <c r="G819" s="193" t="s">
        <v>1262</v>
      </c>
      <c r="H819" s="193" t="s">
        <v>2959</v>
      </c>
      <c r="I819" s="193" t="s">
        <v>512</v>
      </c>
      <c r="J819" s="193" t="s">
        <v>2960</v>
      </c>
      <c r="K819" s="193" t="s">
        <v>386</v>
      </c>
      <c r="L819" s="193" t="s">
        <v>387</v>
      </c>
      <c r="M819" s="193" t="s">
        <v>378</v>
      </c>
      <c r="N819" s="193" t="s">
        <v>2765</v>
      </c>
      <c r="O819" s="193" t="s">
        <v>129</v>
      </c>
      <c r="P819" s="193" t="s">
        <v>128</v>
      </c>
      <c r="Q819" s="193" t="s">
        <v>134</v>
      </c>
      <c r="R819" s="193" t="s">
        <v>134</v>
      </c>
      <c r="S819" s="193" t="s">
        <v>214</v>
      </c>
      <c r="T819" s="193" t="s">
        <v>389</v>
      </c>
      <c r="U819" s="193" t="s">
        <v>390</v>
      </c>
      <c r="V819" s="193">
        <v>0</v>
      </c>
      <c r="W819" s="193">
        <v>0</v>
      </c>
      <c r="X819" s="193">
        <v>0</v>
      </c>
      <c r="Y819" s="193">
        <v>58520</v>
      </c>
      <c r="Z819" s="193" t="s">
        <v>515</v>
      </c>
      <c r="AA819" s="193" t="s">
        <v>516</v>
      </c>
      <c r="AB819" s="193">
        <v>58520</v>
      </c>
      <c r="AC819" s="193" t="s">
        <v>2768</v>
      </c>
      <c r="AD819" s="193" t="s">
        <v>134</v>
      </c>
      <c r="AE819" s="193">
        <v>58520</v>
      </c>
      <c r="AF819" s="193" t="s">
        <v>1486</v>
      </c>
      <c r="AG819" s="193" t="s">
        <v>519</v>
      </c>
      <c r="AH819" s="193">
        <v>0</v>
      </c>
      <c r="AI819" s="193">
        <v>58520</v>
      </c>
      <c r="AJ819" s="193" t="s">
        <v>2961</v>
      </c>
      <c r="AL819" s="193" t="s">
        <v>2962</v>
      </c>
      <c r="AM819" s="193">
        <v>1</v>
      </c>
      <c r="AN819" s="193">
        <v>0</v>
      </c>
      <c r="AO819" s="193">
        <v>0</v>
      </c>
      <c r="AP819" s="193" t="s">
        <v>2963</v>
      </c>
      <c r="AQ819" s="193" t="s">
        <v>214</v>
      </c>
      <c r="AS819" s="193" t="s">
        <v>1486</v>
      </c>
      <c r="AT819" s="193" t="s">
        <v>519</v>
      </c>
      <c r="AV819" s="194">
        <v>29260</v>
      </c>
      <c r="AW819" s="194">
        <v>0</v>
      </c>
      <c r="AX819" s="194">
        <v>0</v>
      </c>
      <c r="AY819" s="549">
        <v>29260</v>
      </c>
      <c r="AZ819" s="194">
        <v>29260</v>
      </c>
      <c r="BA819" s="194">
        <v>0</v>
      </c>
      <c r="BB819" s="551">
        <v>29260</v>
      </c>
      <c r="BC819" s="551">
        <v>58520</v>
      </c>
      <c r="BD819" s="551">
        <v>0</v>
      </c>
      <c r="BF819" s="550">
        <f t="shared" si="153"/>
        <v>29260</v>
      </c>
      <c r="BG819" s="550">
        <f t="shared" si="154"/>
        <v>0</v>
      </c>
      <c r="BH819" s="550">
        <f t="shared" si="155"/>
        <v>0</v>
      </c>
      <c r="BI819" s="550">
        <f t="shared" si="156"/>
        <v>29260</v>
      </c>
      <c r="BJ819" s="550">
        <f t="shared" si="157"/>
        <v>29260</v>
      </c>
      <c r="BK819" s="550">
        <f t="shared" si="158"/>
        <v>0</v>
      </c>
      <c r="BL819" s="550">
        <f t="shared" si="159"/>
        <v>29260</v>
      </c>
      <c r="BM819" s="550">
        <f t="shared" si="160"/>
        <v>58520</v>
      </c>
      <c r="BQ819" s="193">
        <f t="shared" si="161"/>
        <v>0</v>
      </c>
      <c r="BR819" s="193">
        <f t="shared" si="162"/>
        <v>0</v>
      </c>
    </row>
    <row r="820" spans="1:70">
      <c r="A820" s="193" t="s">
        <v>378</v>
      </c>
      <c r="B820" s="193" t="s">
        <v>379</v>
      </c>
      <c r="C820" s="193" t="s">
        <v>214</v>
      </c>
      <c r="D820" s="193" t="s">
        <v>1441</v>
      </c>
      <c r="E820" s="193" t="s">
        <v>1442</v>
      </c>
      <c r="F820" s="193" t="s">
        <v>1616</v>
      </c>
      <c r="G820" s="193" t="s">
        <v>1616</v>
      </c>
      <c r="H820" s="193" t="s">
        <v>2964</v>
      </c>
      <c r="I820" s="193" t="s">
        <v>512</v>
      </c>
      <c r="J820" s="193" t="s">
        <v>2965</v>
      </c>
      <c r="K820" s="193" t="s">
        <v>386</v>
      </c>
      <c r="L820" s="193" t="s">
        <v>387</v>
      </c>
      <c r="M820" s="193" t="s">
        <v>378</v>
      </c>
      <c r="N820" s="193" t="s">
        <v>2966</v>
      </c>
      <c r="O820" s="193" t="s">
        <v>129</v>
      </c>
      <c r="P820" s="193" t="s">
        <v>128</v>
      </c>
      <c r="Q820" s="193" t="s">
        <v>127</v>
      </c>
      <c r="R820" s="193" t="s">
        <v>127</v>
      </c>
      <c r="S820" s="193" t="s">
        <v>214</v>
      </c>
      <c r="T820" s="193" t="s">
        <v>389</v>
      </c>
      <c r="U820" s="193" t="s">
        <v>390</v>
      </c>
      <c r="V820" s="193">
        <v>0</v>
      </c>
      <c r="W820" s="193">
        <v>0</v>
      </c>
      <c r="X820" s="193">
        <v>0</v>
      </c>
      <c r="Y820" s="193">
        <v>864807</v>
      </c>
      <c r="Z820" s="193" t="s">
        <v>515</v>
      </c>
      <c r="AA820" s="193" t="s">
        <v>516</v>
      </c>
      <c r="AB820" s="193">
        <v>864807</v>
      </c>
      <c r="AC820" s="193" t="s">
        <v>2967</v>
      </c>
      <c r="AD820" s="193" t="s">
        <v>127</v>
      </c>
      <c r="AE820" s="193">
        <v>864807</v>
      </c>
      <c r="AF820" s="193" t="s">
        <v>1486</v>
      </c>
      <c r="AG820" s="193" t="s">
        <v>519</v>
      </c>
      <c r="AH820" s="193">
        <v>0</v>
      </c>
      <c r="AI820" s="193">
        <v>864807</v>
      </c>
      <c r="AJ820" s="193" t="s">
        <v>2968</v>
      </c>
      <c r="AL820" s="193" t="s">
        <v>2969</v>
      </c>
      <c r="AM820" s="193">
        <v>1</v>
      </c>
      <c r="AN820" s="193">
        <v>0</v>
      </c>
      <c r="AO820" s="193">
        <v>0</v>
      </c>
      <c r="AP820" s="193" t="s">
        <v>2970</v>
      </c>
      <c r="AQ820" s="193" t="s">
        <v>214</v>
      </c>
      <c r="AS820" s="193" t="s">
        <v>1486</v>
      </c>
      <c r="AT820" s="193" t="s">
        <v>519</v>
      </c>
      <c r="AV820" s="194">
        <v>588069</v>
      </c>
      <c r="AW820" s="194">
        <v>0</v>
      </c>
      <c r="AX820" s="194">
        <v>0</v>
      </c>
      <c r="AY820" s="549">
        <v>588069</v>
      </c>
      <c r="AZ820" s="194">
        <v>0</v>
      </c>
      <c r="BA820" s="194">
        <v>276738</v>
      </c>
      <c r="BB820" s="551">
        <v>276738</v>
      </c>
      <c r="BC820" s="551">
        <v>864807</v>
      </c>
      <c r="BD820" s="551">
        <v>0</v>
      </c>
      <c r="BF820" s="550">
        <f t="shared" si="153"/>
        <v>588069</v>
      </c>
      <c r="BG820" s="550">
        <f t="shared" si="154"/>
        <v>0</v>
      </c>
      <c r="BH820" s="550">
        <f t="shared" si="155"/>
        <v>0</v>
      </c>
      <c r="BI820" s="550">
        <f t="shared" si="156"/>
        <v>588069</v>
      </c>
      <c r="BJ820" s="550">
        <f t="shared" si="157"/>
        <v>0</v>
      </c>
      <c r="BK820" s="550">
        <f t="shared" si="158"/>
        <v>276738</v>
      </c>
      <c r="BL820" s="550">
        <f t="shared" si="159"/>
        <v>276738</v>
      </c>
      <c r="BM820" s="550">
        <f t="shared" si="160"/>
        <v>864807</v>
      </c>
      <c r="BQ820" s="193">
        <f t="shared" si="161"/>
        <v>0</v>
      </c>
      <c r="BR820" s="193">
        <f t="shared" si="162"/>
        <v>0</v>
      </c>
    </row>
    <row r="821" spans="1:70">
      <c r="A821" s="193" t="s">
        <v>378</v>
      </c>
      <c r="B821" s="193" t="s">
        <v>379</v>
      </c>
      <c r="C821" s="193" t="s">
        <v>214</v>
      </c>
      <c r="D821" s="193" t="s">
        <v>1165</v>
      </c>
      <c r="E821" s="193" t="s">
        <v>1166</v>
      </c>
      <c r="F821" s="193" t="s">
        <v>439</v>
      </c>
      <c r="G821" s="193" t="s">
        <v>439</v>
      </c>
      <c r="H821" s="193" t="s">
        <v>2971</v>
      </c>
      <c r="I821" s="193" t="s">
        <v>1508</v>
      </c>
      <c r="J821" s="193" t="s">
        <v>2972</v>
      </c>
      <c r="K821" s="193" t="s">
        <v>386</v>
      </c>
      <c r="L821" s="193" t="s">
        <v>387</v>
      </c>
      <c r="M821" s="193" t="s">
        <v>378</v>
      </c>
      <c r="N821" s="193" t="s">
        <v>2973</v>
      </c>
      <c r="O821" s="193" t="s">
        <v>129</v>
      </c>
      <c r="P821" s="193" t="s">
        <v>128</v>
      </c>
      <c r="Q821" s="193" t="s">
        <v>127</v>
      </c>
      <c r="R821" s="193" t="s">
        <v>131</v>
      </c>
      <c r="S821" s="193" t="s">
        <v>214</v>
      </c>
      <c r="T821" s="193" t="s">
        <v>389</v>
      </c>
      <c r="U821" s="193" t="s">
        <v>390</v>
      </c>
      <c r="V821" s="193">
        <v>0</v>
      </c>
      <c r="W821" s="193">
        <v>0</v>
      </c>
      <c r="X821" s="193">
        <v>0</v>
      </c>
      <c r="Y821" s="193">
        <v>16334</v>
      </c>
      <c r="Z821" s="193" t="s">
        <v>2974</v>
      </c>
      <c r="AA821" s="193" t="s">
        <v>2975</v>
      </c>
      <c r="AB821" s="193">
        <v>16334</v>
      </c>
      <c r="AC821" s="193" t="s">
        <v>2976</v>
      </c>
      <c r="AD821" s="193" t="s">
        <v>131</v>
      </c>
      <c r="AE821" s="193">
        <v>16334</v>
      </c>
      <c r="AF821" s="193" t="s">
        <v>1486</v>
      </c>
      <c r="AG821" s="193" t="s">
        <v>519</v>
      </c>
      <c r="AH821" s="193">
        <v>0</v>
      </c>
      <c r="AI821" s="193">
        <v>16334</v>
      </c>
      <c r="AJ821" s="193" t="s">
        <v>214</v>
      </c>
      <c r="AL821" s="193" t="s">
        <v>2977</v>
      </c>
      <c r="AM821" s="193">
        <v>1</v>
      </c>
      <c r="AN821" s="193">
        <v>0</v>
      </c>
      <c r="AO821" s="193">
        <v>0</v>
      </c>
      <c r="AP821" s="193" t="e">
        <v>#N/A</v>
      </c>
      <c r="AQ821" s="193" t="s">
        <v>214</v>
      </c>
      <c r="AS821" s="193" t="s">
        <v>1486</v>
      </c>
      <c r="AT821" s="193" t="s">
        <v>519</v>
      </c>
      <c r="AV821" s="194">
        <v>0</v>
      </c>
      <c r="AW821" s="194">
        <v>0</v>
      </c>
      <c r="AX821" s="194">
        <v>16334</v>
      </c>
      <c r="AY821" s="549">
        <v>16334</v>
      </c>
      <c r="AZ821" s="194">
        <v>0</v>
      </c>
      <c r="BA821" s="194">
        <v>0</v>
      </c>
      <c r="BB821" s="551">
        <v>0</v>
      </c>
      <c r="BC821" s="551">
        <v>16334</v>
      </c>
      <c r="BD821" s="551">
        <v>0</v>
      </c>
      <c r="BF821" s="550">
        <f t="shared" si="153"/>
        <v>0</v>
      </c>
      <c r="BG821" s="550">
        <f t="shared" si="154"/>
        <v>0</v>
      </c>
      <c r="BH821" s="550">
        <f t="shared" si="155"/>
        <v>16334</v>
      </c>
      <c r="BI821" s="550">
        <f t="shared" si="156"/>
        <v>16334</v>
      </c>
      <c r="BJ821" s="550">
        <f t="shared" si="157"/>
        <v>0</v>
      </c>
      <c r="BK821" s="550">
        <f t="shared" si="158"/>
        <v>0</v>
      </c>
      <c r="BL821" s="550">
        <f t="shared" si="159"/>
        <v>0</v>
      </c>
      <c r="BM821" s="550">
        <f t="shared" si="160"/>
        <v>16334</v>
      </c>
      <c r="BQ821" s="193">
        <f t="shared" si="161"/>
        <v>0</v>
      </c>
      <c r="BR821" s="193">
        <f t="shared" si="162"/>
        <v>0</v>
      </c>
    </row>
    <row r="822" spans="1:70">
      <c r="A822" s="193" t="s">
        <v>378</v>
      </c>
      <c r="B822" s="193" t="s">
        <v>379</v>
      </c>
      <c r="C822" s="193" t="s">
        <v>214</v>
      </c>
      <c r="D822" s="193" t="s">
        <v>1441</v>
      </c>
      <c r="E822" s="193" t="s">
        <v>1442</v>
      </c>
      <c r="F822" s="193" t="s">
        <v>2776</v>
      </c>
      <c r="G822" s="193" t="s">
        <v>2776</v>
      </c>
      <c r="H822" s="193" t="s">
        <v>2978</v>
      </c>
      <c r="I822" s="193" t="s">
        <v>1508</v>
      </c>
      <c r="J822" s="193" t="s">
        <v>2979</v>
      </c>
      <c r="K822" s="193" t="s">
        <v>386</v>
      </c>
      <c r="L822" s="193" t="s">
        <v>387</v>
      </c>
      <c r="M822" s="193" t="s">
        <v>378</v>
      </c>
      <c r="N822" s="193" t="s">
        <v>2980</v>
      </c>
      <c r="O822" s="193" t="s">
        <v>129</v>
      </c>
      <c r="P822" s="193" t="s">
        <v>128</v>
      </c>
      <c r="Q822" s="193" t="s">
        <v>127</v>
      </c>
      <c r="R822" s="193" t="s">
        <v>126</v>
      </c>
      <c r="S822" s="193" t="s">
        <v>214</v>
      </c>
      <c r="T822" s="193" t="s">
        <v>389</v>
      </c>
      <c r="U822" s="193" t="s">
        <v>390</v>
      </c>
      <c r="V822" s="193">
        <v>0</v>
      </c>
      <c r="W822" s="193">
        <v>0</v>
      </c>
      <c r="X822" s="193">
        <v>0</v>
      </c>
      <c r="Y822" s="193">
        <v>109000</v>
      </c>
      <c r="Z822" s="193" t="s">
        <v>2981</v>
      </c>
      <c r="AA822" s="193" t="s">
        <v>2982</v>
      </c>
      <c r="AB822" s="193">
        <v>109000</v>
      </c>
      <c r="AC822" s="193" t="s">
        <v>2983</v>
      </c>
      <c r="AD822" s="193" t="s">
        <v>126</v>
      </c>
      <c r="AE822" s="193">
        <v>109000</v>
      </c>
      <c r="AF822" s="193" t="s">
        <v>1486</v>
      </c>
      <c r="AG822" s="193" t="s">
        <v>519</v>
      </c>
      <c r="AH822" s="193">
        <v>0</v>
      </c>
      <c r="AI822" s="193">
        <v>109000</v>
      </c>
      <c r="AJ822" s="193" t="s">
        <v>214</v>
      </c>
      <c r="AL822" s="193" t="s">
        <v>2984</v>
      </c>
      <c r="AM822" s="193">
        <v>1</v>
      </c>
      <c r="AN822" s="193">
        <v>0</v>
      </c>
      <c r="AO822" s="193">
        <v>0</v>
      </c>
      <c r="AP822" s="193">
        <v>0</v>
      </c>
      <c r="AQ822" s="193" t="s">
        <v>214</v>
      </c>
      <c r="AS822" s="193" t="s">
        <v>1486</v>
      </c>
      <c r="AT822" s="193" t="s">
        <v>519</v>
      </c>
      <c r="AV822" s="194">
        <v>54500</v>
      </c>
      <c r="AW822" s="194">
        <v>0</v>
      </c>
      <c r="AX822" s="194">
        <v>0</v>
      </c>
      <c r="AY822" s="549">
        <v>54500</v>
      </c>
      <c r="AZ822" s="194">
        <v>0</v>
      </c>
      <c r="BA822" s="194">
        <v>54500</v>
      </c>
      <c r="BB822" s="551">
        <v>54500</v>
      </c>
      <c r="BC822" s="551">
        <v>109000</v>
      </c>
      <c r="BD822" s="551">
        <v>0</v>
      </c>
      <c r="BF822" s="550">
        <f t="shared" si="153"/>
        <v>54500</v>
      </c>
      <c r="BG822" s="550">
        <f t="shared" si="154"/>
        <v>0</v>
      </c>
      <c r="BH822" s="550">
        <f t="shared" si="155"/>
        <v>0</v>
      </c>
      <c r="BI822" s="550">
        <f t="shared" si="156"/>
        <v>54500</v>
      </c>
      <c r="BJ822" s="550">
        <f t="shared" si="157"/>
        <v>0</v>
      </c>
      <c r="BK822" s="550">
        <f t="shared" si="158"/>
        <v>54500</v>
      </c>
      <c r="BL822" s="550">
        <f t="shared" si="159"/>
        <v>54500</v>
      </c>
      <c r="BM822" s="550">
        <f t="shared" si="160"/>
        <v>109000</v>
      </c>
      <c r="BQ822" s="193">
        <f t="shared" si="161"/>
        <v>0</v>
      </c>
      <c r="BR822" s="193">
        <f t="shared" si="162"/>
        <v>0</v>
      </c>
    </row>
    <row r="823" spans="1:70">
      <c r="A823" s="193" t="s">
        <v>378</v>
      </c>
      <c r="B823" s="193" t="s">
        <v>379</v>
      </c>
      <c r="C823" s="193" t="s">
        <v>214</v>
      </c>
      <c r="D823" s="193" t="s">
        <v>1165</v>
      </c>
      <c r="E823" s="193" t="s">
        <v>1166</v>
      </c>
      <c r="F823" s="193" t="s">
        <v>439</v>
      </c>
      <c r="G823" s="193" t="s">
        <v>439</v>
      </c>
      <c r="H823" s="193" t="s">
        <v>3346</v>
      </c>
      <c r="I823" s="193" t="s">
        <v>1508</v>
      </c>
      <c r="J823" s="193" t="s">
        <v>3347</v>
      </c>
      <c r="K823" s="193" t="s">
        <v>386</v>
      </c>
      <c r="L823" s="193" t="s">
        <v>531</v>
      </c>
      <c r="M823" s="193" t="s">
        <v>378</v>
      </c>
      <c r="N823" s="193" t="s">
        <v>2973</v>
      </c>
      <c r="O823" s="193" t="s">
        <v>129</v>
      </c>
      <c r="P823" s="193" t="s">
        <v>128</v>
      </c>
      <c r="Q823" s="193" t="s">
        <v>127</v>
      </c>
      <c r="R823" s="193" t="s">
        <v>131</v>
      </c>
      <c r="S823" s="193" t="s">
        <v>214</v>
      </c>
      <c r="T823" s="193" t="s">
        <v>389</v>
      </c>
      <c r="U823" s="193" t="s">
        <v>390</v>
      </c>
      <c r="V823" s="193">
        <v>0</v>
      </c>
      <c r="W823" s="193">
        <v>0</v>
      </c>
      <c r="X823" s="193">
        <v>0</v>
      </c>
      <c r="Y823" s="193">
        <v>411741</v>
      </c>
      <c r="Z823" s="193" t="s">
        <v>3348</v>
      </c>
      <c r="AA823" s="193" t="s">
        <v>338</v>
      </c>
      <c r="AB823" s="193">
        <v>411741</v>
      </c>
      <c r="AC823" s="193" t="s">
        <v>2976</v>
      </c>
      <c r="AD823" s="193" t="s">
        <v>131</v>
      </c>
      <c r="AE823" s="193">
        <v>411741</v>
      </c>
      <c r="AF823" s="193" t="s">
        <v>1486</v>
      </c>
      <c r="AG823" s="193" t="s">
        <v>519</v>
      </c>
      <c r="AH823" s="193">
        <v>0</v>
      </c>
      <c r="AI823" s="193">
        <v>411741</v>
      </c>
      <c r="AJ823" s="193" t="s">
        <v>214</v>
      </c>
      <c r="AL823" s="193" t="s">
        <v>3349</v>
      </c>
      <c r="AM823" s="193">
        <v>1</v>
      </c>
      <c r="AS823" s="193" t="s">
        <v>1486</v>
      </c>
      <c r="AT823" s="193" t="s">
        <v>519</v>
      </c>
      <c r="AV823" s="194">
        <v>0</v>
      </c>
      <c r="AW823" s="194">
        <v>0</v>
      </c>
      <c r="AX823" s="194">
        <v>0</v>
      </c>
      <c r="AY823" s="549">
        <v>0</v>
      </c>
      <c r="AZ823" s="194">
        <v>0</v>
      </c>
      <c r="BA823" s="194">
        <v>411741</v>
      </c>
      <c r="BB823" s="551">
        <v>411741</v>
      </c>
      <c r="BC823" s="551">
        <v>411741</v>
      </c>
      <c r="BD823" s="551">
        <v>0</v>
      </c>
      <c r="BF823" s="550">
        <f t="shared" ref="BF823:BF824" si="165">+IFERROR(ROUND(AV823*100/(100+$AT823),0),AV823)</f>
        <v>0</v>
      </c>
      <c r="BG823" s="550">
        <f t="shared" ref="BG823:BG824" si="166">+IFERROR(ROUND(AW823*100/(100+$AT823),0),AW823)</f>
        <v>0</v>
      </c>
      <c r="BH823" s="550">
        <f t="shared" ref="BH823:BH824" si="167">+IFERROR(ROUND(AX823*100/(100+$AT823),0),AX823)</f>
        <v>0</v>
      </c>
      <c r="BI823" s="550">
        <f t="shared" ref="BI823:BI824" si="168">SUM(BF823:BH823)</f>
        <v>0</v>
      </c>
      <c r="BJ823" s="550">
        <f t="shared" ref="BJ823:BJ824" si="169">+IFERROR(ROUND(AZ823*100/(100+$AT823),0),AZ823)</f>
        <v>0</v>
      </c>
      <c r="BK823" s="550">
        <f t="shared" ref="BK823:BK824" si="170">+IFERROR(ROUND(BA823*100/(100+$AT823),0),BA823)</f>
        <v>411741</v>
      </c>
      <c r="BL823" s="550">
        <f t="shared" ref="BL823:BL824" si="171">SUM(BJ823:BK823)</f>
        <v>411741</v>
      </c>
      <c r="BM823" s="550">
        <f t="shared" ref="BM823:BM824" si="172">+BI823+BL823</f>
        <v>411741</v>
      </c>
    </row>
    <row r="824" spans="1:70">
      <c r="A824" s="193" t="s">
        <v>1624</v>
      </c>
      <c r="B824" s="193" t="s">
        <v>379</v>
      </c>
      <c r="C824" s="193" t="s">
        <v>214</v>
      </c>
      <c r="D824" s="193" t="s">
        <v>1165</v>
      </c>
      <c r="E824" s="193" t="s">
        <v>1166</v>
      </c>
      <c r="F824" s="193" t="s">
        <v>439</v>
      </c>
      <c r="G824" s="193" t="s">
        <v>439</v>
      </c>
      <c r="H824" s="193" t="s">
        <v>3346</v>
      </c>
      <c r="I824" s="193" t="s">
        <v>1508</v>
      </c>
      <c r="J824" s="193" t="s">
        <v>3350</v>
      </c>
      <c r="K824" s="193" t="s">
        <v>386</v>
      </c>
      <c r="L824" s="193" t="s">
        <v>531</v>
      </c>
      <c r="M824" s="193" t="s">
        <v>378</v>
      </c>
      <c r="N824" s="193" t="s">
        <v>2973</v>
      </c>
      <c r="O824" s="193" t="s">
        <v>129</v>
      </c>
      <c r="P824" s="193" t="s">
        <v>128</v>
      </c>
      <c r="Q824" s="193" t="s">
        <v>127</v>
      </c>
      <c r="R824" s="193" t="s">
        <v>131</v>
      </c>
      <c r="S824" s="193" t="s">
        <v>214</v>
      </c>
      <c r="T824" s="193" t="s">
        <v>389</v>
      </c>
      <c r="U824" s="193" t="s">
        <v>390</v>
      </c>
      <c r="V824" s="193">
        <v>0</v>
      </c>
      <c r="W824" s="193">
        <v>0</v>
      </c>
      <c r="X824" s="193">
        <v>0</v>
      </c>
      <c r="Y824" s="193">
        <v>27547</v>
      </c>
      <c r="Z824" s="193" t="s">
        <v>3348</v>
      </c>
      <c r="AA824" s="193" t="s">
        <v>338</v>
      </c>
      <c r="AB824" s="193">
        <v>27547</v>
      </c>
      <c r="AC824" s="193" t="s">
        <v>2976</v>
      </c>
      <c r="AD824" s="193" t="s">
        <v>131</v>
      </c>
      <c r="AE824" s="193">
        <v>27547</v>
      </c>
      <c r="AF824" s="193" t="s">
        <v>1486</v>
      </c>
      <c r="AG824" s="193" t="s">
        <v>519</v>
      </c>
      <c r="AH824" s="193">
        <v>0</v>
      </c>
      <c r="AI824" s="193">
        <v>27547</v>
      </c>
      <c r="AJ824" s="193" t="s">
        <v>214</v>
      </c>
      <c r="AL824" s="193" t="s">
        <v>3351</v>
      </c>
      <c r="AM824" s="193">
        <v>1</v>
      </c>
      <c r="AS824" s="193" t="s">
        <v>1486</v>
      </c>
      <c r="AT824" s="193" t="s">
        <v>519</v>
      </c>
      <c r="AV824" s="194">
        <v>0</v>
      </c>
      <c r="AW824" s="194">
        <v>0</v>
      </c>
      <c r="AX824" s="194">
        <v>0</v>
      </c>
      <c r="AY824" s="194">
        <v>0</v>
      </c>
      <c r="AZ824" s="194">
        <v>0</v>
      </c>
      <c r="BA824" s="194">
        <v>27547</v>
      </c>
      <c r="BB824" s="194">
        <v>27547</v>
      </c>
      <c r="BC824" s="194">
        <v>27547</v>
      </c>
      <c r="BD824" s="194">
        <v>0</v>
      </c>
      <c r="BF824" s="550">
        <f t="shared" si="165"/>
        <v>0</v>
      </c>
      <c r="BG824" s="550">
        <f t="shared" si="166"/>
        <v>0</v>
      </c>
      <c r="BH824" s="550">
        <f t="shared" si="167"/>
        <v>0</v>
      </c>
      <c r="BI824" s="550">
        <f t="shared" si="168"/>
        <v>0</v>
      </c>
      <c r="BJ824" s="550">
        <f t="shared" si="169"/>
        <v>0</v>
      </c>
      <c r="BK824" s="550">
        <f t="shared" si="170"/>
        <v>27547</v>
      </c>
      <c r="BL824" s="550">
        <f t="shared" si="171"/>
        <v>27547</v>
      </c>
      <c r="BM824" s="550">
        <f t="shared" si="172"/>
        <v>27547</v>
      </c>
    </row>
    <row r="825" spans="1:70">
      <c r="BF825" s="550"/>
      <c r="BG825" s="550"/>
      <c r="BH825" s="550"/>
      <c r="BI825" s="550"/>
      <c r="BJ825" s="550"/>
      <c r="BK825" s="550"/>
      <c r="BL825" s="550"/>
      <c r="BM825" s="550"/>
    </row>
    <row r="826" spans="1:70">
      <c r="BF826" s="550"/>
      <c r="BG826" s="550"/>
      <c r="BH826" s="550"/>
      <c r="BI826" s="550"/>
      <c r="BJ826" s="550"/>
      <c r="BK826" s="550"/>
      <c r="BL826" s="550"/>
      <c r="BM826" s="550"/>
    </row>
    <row r="827" spans="1:70">
      <c r="BF827" s="550"/>
      <c r="BG827" s="550"/>
      <c r="BH827" s="550"/>
      <c r="BI827" s="550"/>
      <c r="BJ827" s="550"/>
      <c r="BK827" s="550"/>
      <c r="BL827" s="550"/>
      <c r="BM827" s="550"/>
    </row>
    <row r="828" spans="1:70">
      <c r="BF828" s="550"/>
      <c r="BG828" s="550"/>
      <c r="BH828" s="550"/>
      <c r="BI828" s="550"/>
      <c r="BJ828" s="550"/>
      <c r="BK828" s="550"/>
      <c r="BL828" s="550"/>
      <c r="BM828" s="550"/>
    </row>
    <row r="829" spans="1:70">
      <c r="BF829" s="550"/>
      <c r="BG829" s="550"/>
      <c r="BH829" s="550"/>
      <c r="BI829" s="550"/>
      <c r="BJ829" s="550"/>
      <c r="BK829" s="550"/>
      <c r="BL829" s="550"/>
      <c r="BM829" s="550"/>
    </row>
    <row r="830" spans="1:70">
      <c r="BF830" s="550"/>
      <c r="BG830" s="550"/>
      <c r="BH830" s="550"/>
      <c r="BI830" s="550"/>
      <c r="BJ830" s="550"/>
      <c r="BK830" s="550"/>
      <c r="BL830" s="550"/>
      <c r="BM830" s="550"/>
    </row>
    <row r="831" spans="1:70">
      <c r="BF831" s="550"/>
      <c r="BG831" s="550"/>
      <c r="BH831" s="550"/>
      <c r="BI831" s="550"/>
      <c r="BJ831" s="550"/>
      <c r="BK831" s="550"/>
      <c r="BL831" s="550"/>
      <c r="BM831" s="550"/>
    </row>
    <row r="832" spans="1:70">
      <c r="BF832" s="550"/>
      <c r="BG832" s="550"/>
      <c r="BH832" s="550"/>
      <c r="BI832" s="550"/>
      <c r="BJ832" s="550"/>
      <c r="BK832" s="550"/>
      <c r="BL832" s="550"/>
      <c r="BM832" s="550"/>
    </row>
    <row r="833" spans="58:65">
      <c r="BF833" s="550"/>
      <c r="BG833" s="550"/>
      <c r="BH833" s="550"/>
      <c r="BI833" s="550"/>
      <c r="BJ833" s="550"/>
      <c r="BK833" s="550"/>
      <c r="BL833" s="550"/>
      <c r="BM833" s="550"/>
    </row>
    <row r="834" spans="58:65">
      <c r="BF834" s="550"/>
      <c r="BG834" s="550"/>
      <c r="BH834" s="550"/>
      <c r="BI834" s="550"/>
      <c r="BJ834" s="550"/>
      <c r="BK834" s="550"/>
      <c r="BL834" s="550"/>
      <c r="BM834" s="550"/>
    </row>
    <row r="835" spans="58:65">
      <c r="BF835" s="550"/>
      <c r="BG835" s="550"/>
      <c r="BH835" s="550"/>
      <c r="BI835" s="550"/>
      <c r="BJ835" s="550"/>
      <c r="BK835" s="550"/>
      <c r="BL835" s="550"/>
      <c r="BM835" s="550"/>
    </row>
    <row r="836" spans="58:65">
      <c r="BF836" s="550"/>
      <c r="BG836" s="550"/>
      <c r="BH836" s="550"/>
      <c r="BI836" s="550"/>
      <c r="BJ836" s="550"/>
      <c r="BK836" s="550"/>
      <c r="BL836" s="550"/>
      <c r="BM836" s="550"/>
    </row>
    <row r="837" spans="58:65">
      <c r="BF837" s="550"/>
      <c r="BG837" s="550"/>
      <c r="BH837" s="550"/>
      <c r="BI837" s="550"/>
      <c r="BJ837" s="550"/>
      <c r="BK837" s="550"/>
      <c r="BL837" s="550"/>
      <c r="BM837" s="550"/>
    </row>
    <row r="838" spans="58:65">
      <c r="BF838" s="550"/>
      <c r="BG838" s="550"/>
      <c r="BH838" s="550"/>
      <c r="BI838" s="550"/>
      <c r="BJ838" s="550"/>
      <c r="BK838" s="550"/>
      <c r="BL838" s="550"/>
      <c r="BM838" s="550"/>
    </row>
    <row r="839" spans="58:65">
      <c r="BF839" s="550"/>
      <c r="BG839" s="550"/>
      <c r="BH839" s="550"/>
      <c r="BI839" s="550"/>
      <c r="BJ839" s="550"/>
      <c r="BK839" s="550"/>
      <c r="BL839" s="550"/>
      <c r="BM839" s="550"/>
    </row>
    <row r="840" spans="58:65">
      <c r="BF840" s="550"/>
      <c r="BG840" s="550"/>
      <c r="BH840" s="550"/>
      <c r="BI840" s="550"/>
      <c r="BJ840" s="550"/>
      <c r="BK840" s="550"/>
      <c r="BL840" s="550"/>
      <c r="BM840" s="550"/>
    </row>
    <row r="841" spans="58:65">
      <c r="BF841" s="550"/>
      <c r="BG841" s="550"/>
      <c r="BH841" s="550"/>
      <c r="BI841" s="550"/>
      <c r="BJ841" s="550"/>
      <c r="BK841" s="550"/>
      <c r="BL841" s="550"/>
      <c r="BM841" s="550"/>
    </row>
    <row r="842" spans="58:65">
      <c r="BF842" s="550"/>
      <c r="BG842" s="550"/>
      <c r="BH842" s="550"/>
      <c r="BI842" s="550"/>
      <c r="BJ842" s="550"/>
      <c r="BK842" s="550"/>
      <c r="BL842" s="550"/>
      <c r="BM842" s="550"/>
    </row>
    <row r="843" spans="58:65">
      <c r="BF843" s="550"/>
      <c r="BG843" s="550"/>
      <c r="BH843" s="550"/>
      <c r="BI843" s="550"/>
      <c r="BJ843" s="550"/>
      <c r="BK843" s="550"/>
      <c r="BL843" s="550"/>
      <c r="BM843" s="550"/>
    </row>
    <row r="844" spans="58:65">
      <c r="BF844" s="550"/>
      <c r="BG844" s="550"/>
      <c r="BH844" s="550"/>
      <c r="BI844" s="550"/>
      <c r="BJ844" s="550"/>
      <c r="BK844" s="550"/>
      <c r="BL844" s="550"/>
      <c r="BM844" s="550"/>
    </row>
    <row r="845" spans="58:65">
      <c r="BF845" s="550"/>
      <c r="BG845" s="550"/>
      <c r="BH845" s="550"/>
      <c r="BI845" s="550"/>
      <c r="BJ845" s="550"/>
      <c r="BK845" s="550"/>
      <c r="BL845" s="550"/>
      <c r="BM845" s="550"/>
    </row>
    <row r="846" spans="58:65">
      <c r="BF846" s="550"/>
      <c r="BG846" s="550"/>
      <c r="BH846" s="550"/>
      <c r="BI846" s="550"/>
      <c r="BJ846" s="550"/>
      <c r="BK846" s="550"/>
      <c r="BL846" s="550"/>
      <c r="BM846" s="550"/>
    </row>
    <row r="847" spans="58:65">
      <c r="BF847" s="550"/>
      <c r="BG847" s="550"/>
      <c r="BH847" s="550"/>
      <c r="BI847" s="550"/>
      <c r="BJ847" s="550"/>
      <c r="BK847" s="550"/>
      <c r="BL847" s="550"/>
      <c r="BM847" s="550"/>
    </row>
    <row r="848" spans="58:65">
      <c r="BF848" s="550"/>
      <c r="BG848" s="550"/>
      <c r="BH848" s="550"/>
      <c r="BI848" s="550"/>
      <c r="BJ848" s="550"/>
      <c r="BK848" s="550"/>
      <c r="BL848" s="550"/>
      <c r="BM848" s="550"/>
    </row>
    <row r="849" spans="58:65">
      <c r="BF849" s="550"/>
      <c r="BG849" s="550"/>
      <c r="BH849" s="550"/>
      <c r="BI849" s="550"/>
      <c r="BJ849" s="550"/>
      <c r="BK849" s="550"/>
      <c r="BL849" s="550"/>
      <c r="BM849" s="550"/>
    </row>
    <row r="850" spans="58:65">
      <c r="BF850" s="550"/>
      <c r="BG850" s="550"/>
      <c r="BH850" s="550"/>
      <c r="BI850" s="550"/>
      <c r="BJ850" s="550"/>
      <c r="BK850" s="550"/>
      <c r="BL850" s="550"/>
      <c r="BM850" s="550"/>
    </row>
    <row r="851" spans="58:65">
      <c r="BF851" s="550"/>
      <c r="BG851" s="550"/>
      <c r="BH851" s="550"/>
      <c r="BI851" s="550"/>
      <c r="BJ851" s="550"/>
      <c r="BK851" s="550"/>
      <c r="BL851" s="550"/>
      <c r="BM851" s="550"/>
    </row>
    <row r="852" spans="58:65">
      <c r="BF852" s="550"/>
      <c r="BG852" s="550"/>
      <c r="BH852" s="550"/>
      <c r="BI852" s="550"/>
      <c r="BJ852" s="550"/>
      <c r="BK852" s="550"/>
      <c r="BL852" s="550"/>
      <c r="BM852" s="550"/>
    </row>
    <row r="853" spans="58:65">
      <c r="BF853" s="550"/>
      <c r="BG853" s="550"/>
      <c r="BH853" s="550"/>
      <c r="BI853" s="550"/>
      <c r="BJ853" s="550"/>
      <c r="BK853" s="550"/>
      <c r="BL853" s="550"/>
      <c r="BM853" s="550"/>
    </row>
    <row r="854" spans="58:65">
      <c r="BF854" s="550"/>
      <c r="BG854" s="550"/>
      <c r="BH854" s="550"/>
      <c r="BI854" s="550"/>
      <c r="BJ854" s="550"/>
      <c r="BK854" s="550"/>
      <c r="BL854" s="550"/>
      <c r="BM854" s="550"/>
    </row>
    <row r="855" spans="58:65">
      <c r="BF855" s="550"/>
      <c r="BG855" s="550"/>
      <c r="BH855" s="550"/>
      <c r="BI855" s="550"/>
      <c r="BJ855" s="550"/>
      <c r="BK855" s="550"/>
      <c r="BL855" s="550"/>
      <c r="BM855" s="550"/>
    </row>
    <row r="856" spans="58:65">
      <c r="BF856" s="550"/>
      <c r="BG856" s="550"/>
      <c r="BH856" s="550"/>
      <c r="BI856" s="550"/>
      <c r="BJ856" s="550"/>
      <c r="BK856" s="550"/>
      <c r="BL856" s="550"/>
      <c r="BM856" s="550"/>
    </row>
    <row r="857" spans="58:65">
      <c r="BF857" s="550"/>
      <c r="BG857" s="550"/>
      <c r="BH857" s="550"/>
      <c r="BI857" s="550"/>
      <c r="BJ857" s="550"/>
      <c r="BK857" s="550"/>
      <c r="BL857" s="550"/>
      <c r="BM857" s="550"/>
    </row>
    <row r="858" spans="58:65">
      <c r="BF858" s="550"/>
      <c r="BG858" s="550"/>
      <c r="BH858" s="550"/>
      <c r="BI858" s="550"/>
      <c r="BJ858" s="550"/>
      <c r="BK858" s="550"/>
      <c r="BL858" s="550"/>
      <c r="BM858" s="550"/>
    </row>
    <row r="859" spans="58:65">
      <c r="BF859" s="550"/>
      <c r="BG859" s="550"/>
      <c r="BH859" s="550"/>
      <c r="BI859" s="550"/>
      <c r="BJ859" s="550"/>
      <c r="BK859" s="550"/>
      <c r="BL859" s="550"/>
      <c r="BM859" s="550"/>
    </row>
    <row r="860" spans="58:65">
      <c r="BF860" s="550"/>
      <c r="BG860" s="550"/>
      <c r="BH860" s="550"/>
      <c r="BI860" s="550"/>
      <c r="BJ860" s="550"/>
      <c r="BK860" s="550"/>
      <c r="BL860" s="550"/>
      <c r="BM860" s="550"/>
    </row>
    <row r="861" spans="58:65">
      <c r="BF861" s="550"/>
      <c r="BG861" s="550"/>
      <c r="BH861" s="550"/>
      <c r="BI861" s="550"/>
      <c r="BJ861" s="550"/>
      <c r="BK861" s="550"/>
      <c r="BL861" s="550"/>
      <c r="BM861" s="550"/>
    </row>
    <row r="862" spans="58:65">
      <c r="BF862" s="550"/>
      <c r="BG862" s="550"/>
      <c r="BH862" s="550"/>
      <c r="BI862" s="550"/>
      <c r="BJ862" s="550"/>
      <c r="BK862" s="550"/>
      <c r="BL862" s="550"/>
      <c r="BM862" s="550"/>
    </row>
    <row r="863" spans="58:65">
      <c r="BF863" s="550"/>
      <c r="BG863" s="550"/>
      <c r="BH863" s="550"/>
      <c r="BI863" s="550"/>
      <c r="BJ863" s="550"/>
      <c r="BK863" s="550"/>
      <c r="BL863" s="550"/>
      <c r="BM863" s="550"/>
    </row>
    <row r="864" spans="58:65">
      <c r="BF864" s="550"/>
      <c r="BG864" s="550"/>
      <c r="BH864" s="550"/>
      <c r="BI864" s="550"/>
      <c r="BJ864" s="550"/>
      <c r="BK864" s="550"/>
      <c r="BL864" s="550"/>
      <c r="BM864" s="550"/>
    </row>
    <row r="865" spans="58:65">
      <c r="BF865" s="550"/>
      <c r="BG865" s="550"/>
      <c r="BH865" s="550"/>
      <c r="BI865" s="550"/>
      <c r="BJ865" s="550"/>
      <c r="BK865" s="550"/>
      <c r="BL865" s="550"/>
      <c r="BM865" s="550"/>
    </row>
    <row r="866" spans="58:65">
      <c r="BF866" s="550"/>
      <c r="BG866" s="550"/>
      <c r="BH866" s="550"/>
      <c r="BI866" s="550"/>
      <c r="BJ866" s="550"/>
      <c r="BK866" s="550"/>
      <c r="BL866" s="550"/>
      <c r="BM866" s="550"/>
    </row>
    <row r="867" spans="58:65">
      <c r="BF867" s="550"/>
      <c r="BG867" s="550"/>
      <c r="BH867" s="550"/>
      <c r="BI867" s="550"/>
      <c r="BJ867" s="550"/>
      <c r="BK867" s="550"/>
      <c r="BL867" s="550"/>
      <c r="BM867" s="550"/>
    </row>
    <row r="868" spans="58:65">
      <c r="BF868" s="550"/>
      <c r="BG868" s="550"/>
      <c r="BH868" s="550"/>
      <c r="BI868" s="550"/>
      <c r="BJ868" s="550"/>
      <c r="BK868" s="550"/>
      <c r="BL868" s="550"/>
      <c r="BM868" s="550"/>
    </row>
    <row r="869" spans="58:65">
      <c r="BF869" s="550"/>
      <c r="BG869" s="550"/>
      <c r="BH869" s="550"/>
      <c r="BI869" s="550"/>
      <c r="BJ869" s="550"/>
      <c r="BK869" s="550"/>
      <c r="BL869" s="550"/>
      <c r="BM869" s="550"/>
    </row>
    <row r="870" spans="58:65">
      <c r="BF870" s="550"/>
      <c r="BG870" s="550"/>
      <c r="BH870" s="550"/>
      <c r="BI870" s="550"/>
      <c r="BJ870" s="550"/>
      <c r="BK870" s="550"/>
      <c r="BL870" s="550"/>
      <c r="BM870" s="550"/>
    </row>
    <row r="871" spans="58:65">
      <c r="BF871" s="550"/>
      <c r="BG871" s="550"/>
      <c r="BH871" s="550"/>
      <c r="BI871" s="550"/>
      <c r="BJ871" s="550"/>
      <c r="BK871" s="550"/>
      <c r="BL871" s="550"/>
      <c r="BM871" s="550"/>
    </row>
    <row r="872" spans="58:65">
      <c r="BF872" s="550"/>
      <c r="BG872" s="550"/>
      <c r="BH872" s="550"/>
      <c r="BI872" s="550"/>
      <c r="BJ872" s="550"/>
      <c r="BK872" s="550"/>
      <c r="BL872" s="550"/>
      <c r="BM872" s="550"/>
    </row>
    <row r="873" spans="58:65">
      <c r="BF873" s="550"/>
      <c r="BG873" s="550"/>
      <c r="BH873" s="550"/>
      <c r="BI873" s="550"/>
      <c r="BJ873" s="550"/>
      <c r="BK873" s="550"/>
      <c r="BL873" s="550"/>
      <c r="BM873" s="550"/>
    </row>
    <row r="874" spans="58:65">
      <c r="BF874" s="550"/>
      <c r="BG874" s="550"/>
      <c r="BH874" s="550"/>
      <c r="BI874" s="550"/>
      <c r="BJ874" s="550"/>
      <c r="BK874" s="550"/>
      <c r="BL874" s="550"/>
      <c r="BM874" s="550"/>
    </row>
    <row r="875" spans="58:65">
      <c r="BF875" s="550"/>
      <c r="BG875" s="550"/>
      <c r="BH875" s="550"/>
      <c r="BI875" s="550"/>
      <c r="BJ875" s="550"/>
      <c r="BK875" s="550"/>
      <c r="BL875" s="550"/>
      <c r="BM875" s="550"/>
    </row>
    <row r="876" spans="58:65">
      <c r="BF876" s="550"/>
      <c r="BG876" s="550"/>
      <c r="BH876" s="550"/>
      <c r="BI876" s="550"/>
      <c r="BJ876" s="550"/>
      <c r="BK876" s="550"/>
      <c r="BL876" s="550"/>
      <c r="BM876" s="550"/>
    </row>
    <row r="877" spans="58:65">
      <c r="BF877" s="550"/>
      <c r="BG877" s="550"/>
      <c r="BH877" s="550"/>
      <c r="BI877" s="550"/>
      <c r="BJ877" s="550"/>
      <c r="BK877" s="550"/>
      <c r="BL877" s="550"/>
      <c r="BM877" s="550"/>
    </row>
    <row r="878" spans="58:65">
      <c r="BF878" s="550"/>
      <c r="BG878" s="550"/>
      <c r="BH878" s="550"/>
      <c r="BI878" s="550"/>
      <c r="BJ878" s="550"/>
      <c r="BK878" s="550"/>
      <c r="BL878" s="550"/>
      <c r="BM878" s="550"/>
    </row>
    <row r="879" spans="58:65">
      <c r="BF879" s="550"/>
      <c r="BG879" s="550"/>
      <c r="BH879" s="550"/>
      <c r="BI879" s="550"/>
      <c r="BJ879" s="550"/>
      <c r="BK879" s="550"/>
      <c r="BL879" s="550"/>
      <c r="BM879" s="550"/>
    </row>
    <row r="880" spans="58:65">
      <c r="BF880" s="550"/>
      <c r="BG880" s="550"/>
      <c r="BH880" s="550"/>
      <c r="BI880" s="550"/>
      <c r="BJ880" s="550"/>
      <c r="BK880" s="550"/>
      <c r="BL880" s="550"/>
      <c r="BM880" s="550"/>
    </row>
    <row r="881" spans="58:65">
      <c r="BF881" s="550"/>
      <c r="BG881" s="550"/>
      <c r="BH881" s="550"/>
      <c r="BI881" s="550"/>
      <c r="BJ881" s="550"/>
      <c r="BK881" s="550"/>
      <c r="BL881" s="550"/>
      <c r="BM881" s="550"/>
    </row>
    <row r="882" spans="58:65">
      <c r="BF882" s="550"/>
      <c r="BG882" s="550"/>
      <c r="BH882" s="550"/>
      <c r="BI882" s="550"/>
      <c r="BJ882" s="550"/>
      <c r="BK882" s="550"/>
      <c r="BL882" s="550"/>
      <c r="BM882" s="550"/>
    </row>
    <row r="883" spans="58:65">
      <c r="BF883" s="550"/>
      <c r="BG883" s="550"/>
      <c r="BH883" s="550"/>
      <c r="BI883" s="550"/>
      <c r="BJ883" s="550"/>
      <c r="BK883" s="550"/>
      <c r="BL883" s="550"/>
      <c r="BM883" s="550"/>
    </row>
    <row r="884" spans="58:65">
      <c r="BF884" s="550"/>
      <c r="BG884" s="550"/>
      <c r="BH884" s="550"/>
      <c r="BI884" s="550"/>
      <c r="BJ884" s="550"/>
      <c r="BK884" s="550"/>
      <c r="BL884" s="550"/>
      <c r="BM884" s="550"/>
    </row>
    <row r="885" spans="58:65">
      <c r="BF885" s="550"/>
      <c r="BG885" s="550"/>
      <c r="BH885" s="550"/>
      <c r="BI885" s="550"/>
      <c r="BJ885" s="550"/>
      <c r="BK885" s="550"/>
      <c r="BL885" s="550"/>
      <c r="BM885" s="550"/>
    </row>
    <row r="886" spans="58:65">
      <c r="BF886" s="550"/>
      <c r="BG886" s="550"/>
      <c r="BH886" s="550"/>
      <c r="BI886" s="550"/>
      <c r="BJ886" s="550"/>
      <c r="BK886" s="550"/>
      <c r="BL886" s="550"/>
      <c r="BM886" s="550"/>
    </row>
    <row r="887" spans="58:65">
      <c r="BF887" s="550"/>
      <c r="BG887" s="550"/>
      <c r="BH887" s="550"/>
      <c r="BI887" s="550"/>
      <c r="BJ887" s="550"/>
      <c r="BK887" s="550"/>
      <c r="BL887" s="550"/>
      <c r="BM887" s="550"/>
    </row>
    <row r="888" spans="58:65">
      <c r="BF888" s="550"/>
      <c r="BG888" s="550"/>
      <c r="BH888" s="550"/>
      <c r="BI888" s="550"/>
      <c r="BJ888" s="550"/>
      <c r="BK888" s="550"/>
      <c r="BL888" s="550"/>
      <c r="BM888" s="550"/>
    </row>
    <row r="889" spans="58:65">
      <c r="BF889" s="550"/>
      <c r="BG889" s="550"/>
      <c r="BH889" s="550"/>
      <c r="BI889" s="550"/>
      <c r="BJ889" s="550"/>
      <c r="BK889" s="550"/>
      <c r="BL889" s="550"/>
      <c r="BM889" s="550"/>
    </row>
    <row r="890" spans="58:65">
      <c r="BF890" s="550"/>
      <c r="BG890" s="550"/>
      <c r="BH890" s="550"/>
      <c r="BI890" s="550"/>
      <c r="BJ890" s="550"/>
      <c r="BK890" s="550"/>
      <c r="BL890" s="550"/>
      <c r="BM890" s="550"/>
    </row>
    <row r="891" spans="58:65">
      <c r="BF891" s="550"/>
      <c r="BG891" s="550"/>
      <c r="BH891" s="550"/>
      <c r="BI891" s="550"/>
      <c r="BJ891" s="550"/>
      <c r="BK891" s="550"/>
      <c r="BL891" s="550"/>
      <c r="BM891" s="550"/>
    </row>
    <row r="892" spans="58:65">
      <c r="BF892" s="550"/>
      <c r="BG892" s="550"/>
      <c r="BH892" s="550"/>
      <c r="BI892" s="550"/>
      <c r="BJ892" s="550"/>
      <c r="BK892" s="550"/>
      <c r="BL892" s="550"/>
      <c r="BM892" s="550"/>
    </row>
    <row r="893" spans="58:65">
      <c r="BF893" s="550"/>
      <c r="BG893" s="550"/>
      <c r="BH893" s="550"/>
      <c r="BI893" s="550"/>
      <c r="BJ893" s="550"/>
      <c r="BK893" s="550"/>
      <c r="BL893" s="550"/>
      <c r="BM893" s="550"/>
    </row>
    <row r="894" spans="58:65">
      <c r="BF894" s="550"/>
      <c r="BG894" s="550"/>
      <c r="BH894" s="550"/>
      <c r="BI894" s="550"/>
      <c r="BJ894" s="550"/>
      <c r="BK894" s="550"/>
      <c r="BL894" s="550"/>
      <c r="BM894" s="550"/>
    </row>
    <row r="895" spans="58:65">
      <c r="BF895" s="550"/>
      <c r="BG895" s="550"/>
      <c r="BH895" s="550"/>
      <c r="BI895" s="550"/>
      <c r="BJ895" s="550"/>
      <c r="BK895" s="550"/>
      <c r="BL895" s="550"/>
      <c r="BM895" s="550"/>
    </row>
    <row r="896" spans="58:65">
      <c r="BF896" s="550"/>
      <c r="BG896" s="550"/>
      <c r="BH896" s="550"/>
      <c r="BI896" s="550"/>
      <c r="BJ896" s="550"/>
      <c r="BK896" s="550"/>
      <c r="BL896" s="550"/>
      <c r="BM896" s="550"/>
    </row>
    <row r="897" spans="58:65">
      <c r="BF897" s="550"/>
      <c r="BG897" s="550"/>
      <c r="BH897" s="550"/>
      <c r="BI897" s="550"/>
      <c r="BJ897" s="550"/>
      <c r="BK897" s="550"/>
      <c r="BL897" s="550"/>
      <c r="BM897" s="550"/>
    </row>
    <row r="898" spans="58:65">
      <c r="BF898" s="550"/>
      <c r="BG898" s="550"/>
      <c r="BH898" s="550"/>
      <c r="BI898" s="550"/>
      <c r="BJ898" s="550"/>
      <c r="BK898" s="550"/>
      <c r="BL898" s="550"/>
      <c r="BM898" s="550"/>
    </row>
    <row r="899" spans="58:65">
      <c r="BF899" s="550"/>
      <c r="BG899" s="550"/>
      <c r="BH899" s="550"/>
      <c r="BI899" s="550"/>
      <c r="BJ899" s="550"/>
      <c r="BK899" s="550"/>
      <c r="BL899" s="550"/>
      <c r="BM899" s="550"/>
    </row>
    <row r="900" spans="58:65">
      <c r="BF900" s="550"/>
      <c r="BG900" s="550"/>
      <c r="BH900" s="550"/>
      <c r="BI900" s="550"/>
      <c r="BJ900" s="550"/>
      <c r="BK900" s="550"/>
      <c r="BL900" s="550"/>
      <c r="BM900" s="550"/>
    </row>
    <row r="901" spans="58:65">
      <c r="BF901" s="550"/>
      <c r="BG901" s="550"/>
      <c r="BH901" s="550"/>
      <c r="BI901" s="550"/>
      <c r="BJ901" s="550"/>
      <c r="BK901" s="550"/>
      <c r="BL901" s="550"/>
      <c r="BM901" s="550"/>
    </row>
    <row r="902" spans="58:65">
      <c r="BF902" s="550"/>
      <c r="BG902" s="550"/>
      <c r="BH902" s="550"/>
      <c r="BI902" s="550"/>
      <c r="BJ902" s="550"/>
      <c r="BK902" s="550"/>
      <c r="BL902" s="550"/>
      <c r="BM902" s="550"/>
    </row>
  </sheetData>
  <autoFilter ref="A69:BT902"/>
  <sortState ref="A70:BN798">
    <sortCondition ref="N70:N798"/>
    <sortCondition ref="D70:D798"/>
    <sortCondition ref="H70:H798"/>
    <sortCondition ref="A70:A798"/>
    <sortCondition ref="G70:G798"/>
  </sortState>
  <mergeCells count="31">
    <mergeCell ref="BM1:BM2"/>
    <mergeCell ref="BN1:BN2"/>
    <mergeCell ref="BO1:BO2"/>
    <mergeCell ref="BJ68:BL68"/>
    <mergeCell ref="BN23:BN24"/>
    <mergeCell ref="BN45:BN46"/>
    <mergeCell ref="BO45:BO46"/>
    <mergeCell ref="BO23:BO24"/>
    <mergeCell ref="BM45:BM46"/>
    <mergeCell ref="BM23:BM24"/>
    <mergeCell ref="BF1:BI1"/>
    <mergeCell ref="BJ1:BL1"/>
    <mergeCell ref="AV68:AY68"/>
    <mergeCell ref="AZ68:BB68"/>
    <mergeCell ref="BF68:BI68"/>
    <mergeCell ref="AV1:AY1"/>
    <mergeCell ref="AZ1:BB1"/>
    <mergeCell ref="BC1:BC2"/>
    <mergeCell ref="BD1:BD2"/>
    <mergeCell ref="AV23:AY23"/>
    <mergeCell ref="AZ23:BB23"/>
    <mergeCell ref="BC23:BC24"/>
    <mergeCell ref="BD23:BD24"/>
    <mergeCell ref="AV45:AY45"/>
    <mergeCell ref="AZ45:BB45"/>
    <mergeCell ref="BC45:BC46"/>
    <mergeCell ref="BD45:BD46"/>
    <mergeCell ref="BF23:BI23"/>
    <mergeCell ref="BJ23:BL23"/>
    <mergeCell ref="BF45:BI45"/>
    <mergeCell ref="BJ45:BL45"/>
  </mergeCells>
  <phoneticPr fontId="2"/>
  <conditionalFormatting sqref="BD3:BD7 BD14:BD22 BD36:BD44 BD58:BD66 BD25:BD29 BD47:BD51 BD9 BD11:BD12 BD31 BD33:BD34 BD53 BD55:BD56 BD824:BD1048576 BD68:BD820">
    <cfRule type="cellIs" dxfId="58" priority="38" operator="notEqual">
      <formula>0</formula>
    </cfRule>
  </conditionalFormatting>
  <conditionalFormatting sqref="BN1:BN7 BN14:BN20 BN23:BN29 BN45:BN51 BN36:BN42 BN58:BN65 BN9 BN11 BN31 BN33:BN34 BN53 BN55:BN56">
    <cfRule type="cellIs" dxfId="57" priority="37" operator="notEqual">
      <formula>0</formula>
    </cfRule>
  </conditionalFormatting>
  <conditionalFormatting sqref="BD13">
    <cfRule type="cellIs" dxfId="56" priority="36" operator="notEqual">
      <formula>0</formula>
    </cfRule>
  </conditionalFormatting>
  <conditionalFormatting sqref="BN13">
    <cfRule type="cellIs" dxfId="55" priority="35" operator="notEqual">
      <formula>0</formula>
    </cfRule>
  </conditionalFormatting>
  <conditionalFormatting sqref="BD35">
    <cfRule type="cellIs" dxfId="54" priority="34" operator="notEqual">
      <formula>0</formula>
    </cfRule>
  </conditionalFormatting>
  <conditionalFormatting sqref="BN35">
    <cfRule type="cellIs" dxfId="53" priority="33" operator="notEqual">
      <formula>0</formula>
    </cfRule>
  </conditionalFormatting>
  <conditionalFormatting sqref="BD57">
    <cfRule type="cellIs" dxfId="52" priority="32" operator="notEqual">
      <formula>0</formula>
    </cfRule>
  </conditionalFormatting>
  <conditionalFormatting sqref="BN57">
    <cfRule type="cellIs" dxfId="51" priority="31" operator="notEqual">
      <formula>0</formula>
    </cfRule>
  </conditionalFormatting>
  <conditionalFormatting sqref="BD23:BD24">
    <cfRule type="cellIs" dxfId="50" priority="30" operator="notEqual">
      <formula>0</formula>
    </cfRule>
  </conditionalFormatting>
  <conditionalFormatting sqref="BD1:BD2">
    <cfRule type="cellIs" dxfId="49" priority="29" operator="notEqual">
      <formula>0</formula>
    </cfRule>
  </conditionalFormatting>
  <conditionalFormatting sqref="BD45:BD46">
    <cfRule type="cellIs" dxfId="48" priority="28" operator="notEqual">
      <formula>0</formula>
    </cfRule>
  </conditionalFormatting>
  <conditionalFormatting sqref="BD8">
    <cfRule type="cellIs" dxfId="47" priority="20" operator="notEqual">
      <formula>0</formula>
    </cfRule>
  </conditionalFormatting>
  <conditionalFormatting sqref="BN8">
    <cfRule type="cellIs" dxfId="46" priority="19" operator="notEqual">
      <formula>0</formula>
    </cfRule>
  </conditionalFormatting>
  <conditionalFormatting sqref="BD10">
    <cfRule type="cellIs" dxfId="45" priority="18" operator="notEqual">
      <formula>0</formula>
    </cfRule>
  </conditionalFormatting>
  <conditionalFormatting sqref="BN10">
    <cfRule type="cellIs" dxfId="44" priority="17" operator="notEqual">
      <formula>0</formula>
    </cfRule>
  </conditionalFormatting>
  <conditionalFormatting sqref="BD30">
    <cfRule type="cellIs" dxfId="43" priority="16" operator="notEqual">
      <formula>0</formula>
    </cfRule>
  </conditionalFormatting>
  <conditionalFormatting sqref="BN30">
    <cfRule type="cellIs" dxfId="42" priority="15" operator="notEqual">
      <formula>0</formula>
    </cfRule>
  </conditionalFormatting>
  <conditionalFormatting sqref="BD32">
    <cfRule type="cellIs" dxfId="41" priority="14" operator="notEqual">
      <formula>0</formula>
    </cfRule>
  </conditionalFormatting>
  <conditionalFormatting sqref="BN32">
    <cfRule type="cellIs" dxfId="40" priority="13" operator="notEqual">
      <formula>0</formula>
    </cfRule>
  </conditionalFormatting>
  <conditionalFormatting sqref="BD52">
    <cfRule type="cellIs" dxfId="39" priority="12" operator="notEqual">
      <formula>0</formula>
    </cfRule>
  </conditionalFormatting>
  <conditionalFormatting sqref="BN52">
    <cfRule type="cellIs" dxfId="38" priority="11" operator="notEqual">
      <formula>0</formula>
    </cfRule>
  </conditionalFormatting>
  <conditionalFormatting sqref="BD54">
    <cfRule type="cellIs" dxfId="37" priority="10" operator="notEqual">
      <formula>0</formula>
    </cfRule>
  </conditionalFormatting>
  <conditionalFormatting sqref="BN54">
    <cfRule type="cellIs" dxfId="36" priority="9" operator="notEqual">
      <formula>0</formula>
    </cfRule>
  </conditionalFormatting>
  <conditionalFormatting sqref="BD817:BD820">
    <cfRule type="cellIs" dxfId="35" priority="5" operator="notEqual">
      <formula>0</formula>
    </cfRule>
  </conditionalFormatting>
  <conditionalFormatting sqref="BD821:BD823">
    <cfRule type="cellIs" dxfId="34" priority="4" operator="notEqual">
      <formula>0</formula>
    </cfRule>
  </conditionalFormatting>
  <conditionalFormatting sqref="BD821:BD823">
    <cfRule type="cellIs" dxfId="33" priority="3" operator="notEqual">
      <formula>0</formula>
    </cfRule>
  </conditionalFormatting>
  <pageMargins left="0.7" right="0.7" top="0.75" bottom="0.75" header="0.3" footer="0.3"/>
  <pageSetup paperSize="9"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7C80"/>
  </sheetPr>
  <dimension ref="A1:BV135"/>
  <sheetViews>
    <sheetView zoomScale="80" zoomScaleNormal="80" workbookViewId="0">
      <pane xSplit="18" ySplit="12" topLeftCell="S13" activePane="bottomRight" state="frozen"/>
      <selection pane="topRight" activeCell="S1" sqref="S1"/>
      <selection pane="bottomLeft" activeCell="A13" sqref="A13"/>
      <selection pane="bottomRight" activeCell="H56" sqref="H56"/>
    </sheetView>
  </sheetViews>
  <sheetFormatPr defaultColWidth="9" defaultRowHeight="13.5" outlineLevelCol="1"/>
  <cols>
    <col min="1" max="1" width="3.375" style="193" customWidth="1" outlineLevel="1"/>
    <col min="2" max="2" width="2.25" style="193" customWidth="1" outlineLevel="1"/>
    <col min="3" max="3" width="5.75" style="193" customWidth="1" outlineLevel="1"/>
    <col min="4" max="4" width="2.375" style="193" customWidth="1" outlineLevel="1"/>
    <col min="5" max="5" width="5.75" style="193" customWidth="1"/>
    <col min="6" max="7" width="2.375" style="193" customWidth="1" outlineLevel="1"/>
    <col min="8" max="8" width="37.875" style="193" customWidth="1"/>
    <col min="9" max="9" width="4.875" style="193" customWidth="1" outlineLevel="1"/>
    <col min="10" max="12" width="3.75" style="193" customWidth="1" outlineLevel="1"/>
    <col min="13" max="13" width="6.25" style="193" customWidth="1" outlineLevel="1"/>
    <col min="14" max="14" width="11.875" style="193" customWidth="1" outlineLevel="1"/>
    <col min="15" max="15" width="5.75" style="193" customWidth="1" outlineLevel="1"/>
    <col min="16" max="16" width="6" style="193" customWidth="1"/>
    <col min="17" max="18" width="9" style="193"/>
    <col min="19" max="19" width="5.75" style="193" customWidth="1"/>
    <col min="20" max="20" width="9" style="193" customWidth="1" outlineLevel="1"/>
    <col min="21" max="21" width="32" style="193" customWidth="1" outlineLevel="1"/>
    <col min="22" max="24" width="9" style="193" customWidth="1" outlineLevel="1"/>
    <col min="25" max="25" width="13.5" style="193" customWidth="1"/>
    <col min="26" max="31" width="3.75" style="193" customWidth="1" outlineLevel="1"/>
    <col min="32" max="33" width="5.375" style="193" customWidth="1" outlineLevel="1"/>
    <col min="34" max="34" width="8" style="193" customWidth="1" outlineLevel="1"/>
    <col min="35" max="36" width="9" style="193" customWidth="1" outlineLevel="1"/>
    <col min="37" max="37" width="3.625" style="193" customWidth="1" outlineLevel="1"/>
    <col min="38" max="38" width="5.875" style="193" customWidth="1" outlineLevel="1"/>
    <col min="39" max="39" width="6.125" style="193" customWidth="1" outlineLevel="1"/>
    <col min="40" max="41" width="9" style="193" customWidth="1" outlineLevel="1"/>
    <col min="42" max="42" width="9" style="566" customWidth="1" outlineLevel="1"/>
    <col min="43" max="43" width="6.625" style="193" customWidth="1" outlineLevel="1"/>
    <col min="44" max="44" width="3.25" style="193" customWidth="1" outlineLevel="1"/>
    <col min="45" max="46" width="9" style="193" customWidth="1"/>
    <col min="47" max="47" width="2.125" style="193" customWidth="1" outlineLevel="1"/>
    <col min="48" max="56" width="10.625" style="194" customWidth="1"/>
    <col min="57" max="57" width="4" style="194" customWidth="1"/>
    <col min="58" max="65" width="10.625" style="194" customWidth="1"/>
    <col min="66" max="66" width="10.375" style="193" customWidth="1"/>
    <col min="67" max="67" width="10.25" style="193" bestFit="1" customWidth="1"/>
    <col min="68" max="71" width="9" style="193"/>
    <col min="72" max="72" width="16.5" style="193" bestFit="1" customWidth="1"/>
    <col min="73" max="16384" width="9" style="193"/>
  </cols>
  <sheetData>
    <row r="1" spans="1:74" ht="13.5" customHeight="1">
      <c r="R1" s="206" t="s">
        <v>242</v>
      </c>
      <c r="AV1" s="607" t="s">
        <v>213</v>
      </c>
      <c r="AW1" s="607"/>
      <c r="AX1" s="607"/>
      <c r="AY1" s="607"/>
      <c r="AZ1" s="607" t="s">
        <v>212</v>
      </c>
      <c r="BA1" s="607"/>
      <c r="BB1" s="607"/>
      <c r="BC1" s="609" t="s">
        <v>211</v>
      </c>
      <c r="BD1" s="607" t="s">
        <v>224</v>
      </c>
      <c r="BE1" s="198"/>
      <c r="BF1" s="607" t="s">
        <v>367</v>
      </c>
      <c r="BG1" s="607"/>
      <c r="BH1" s="607"/>
      <c r="BI1" s="607"/>
      <c r="BJ1" s="607" t="s">
        <v>209</v>
      </c>
      <c r="BK1" s="607"/>
      <c r="BL1" s="607"/>
      <c r="BM1" s="609" t="s">
        <v>208</v>
      </c>
      <c r="BN1" s="609" t="s">
        <v>223</v>
      </c>
      <c r="BO1" s="609" t="s">
        <v>241</v>
      </c>
    </row>
    <row r="2" spans="1:74">
      <c r="AV2" s="384" t="s">
        <v>162</v>
      </c>
      <c r="AW2" s="384" t="s">
        <v>161</v>
      </c>
      <c r="AX2" s="384" t="s">
        <v>359</v>
      </c>
      <c r="AY2" s="384" t="s">
        <v>158</v>
      </c>
      <c r="AZ2" s="198" t="s">
        <v>160</v>
      </c>
      <c r="BA2" s="198" t="s">
        <v>159</v>
      </c>
      <c r="BB2" s="198" t="s">
        <v>158</v>
      </c>
      <c r="BC2" s="609"/>
      <c r="BD2" s="607"/>
      <c r="BE2" s="198"/>
      <c r="BF2" s="384" t="s">
        <v>162</v>
      </c>
      <c r="BG2" s="384" t="s">
        <v>161</v>
      </c>
      <c r="BH2" s="384" t="s">
        <v>359</v>
      </c>
      <c r="BI2" s="384" t="s">
        <v>158</v>
      </c>
      <c r="BJ2" s="198" t="s">
        <v>160</v>
      </c>
      <c r="BK2" s="198" t="s">
        <v>159</v>
      </c>
      <c r="BL2" s="198" t="s">
        <v>158</v>
      </c>
      <c r="BM2" s="609"/>
      <c r="BN2" s="609"/>
      <c r="BO2" s="609"/>
    </row>
    <row r="3" spans="1:74">
      <c r="N3" s="193" t="s">
        <v>237</v>
      </c>
      <c r="O3" s="193" t="s">
        <v>229</v>
      </c>
      <c r="P3" s="193" t="s">
        <v>232</v>
      </c>
      <c r="Q3" s="193" t="s">
        <v>236</v>
      </c>
      <c r="R3" s="193" t="s">
        <v>43</v>
      </c>
      <c r="Y3" s="194">
        <f t="shared" ref="Y3:Y8" si="0">+SUMIFS(Y$12:Y$380,$N$12:$N$380,$N3)</f>
        <v>2483</v>
      </c>
      <c r="AV3" s="194">
        <f t="shared" ref="AV3:BD8" si="1">+SUMIFS(AV$12:AV$135,$N$12:$N$135,$N3)</f>
        <v>0</v>
      </c>
      <c r="AW3" s="194">
        <f t="shared" si="1"/>
        <v>0</v>
      </c>
      <c r="AX3" s="194">
        <f t="shared" si="1"/>
        <v>0</v>
      </c>
      <c r="AY3" s="194">
        <f t="shared" si="1"/>
        <v>0</v>
      </c>
      <c r="AZ3" s="194">
        <f t="shared" si="1"/>
        <v>0</v>
      </c>
      <c r="BA3" s="194">
        <f t="shared" si="1"/>
        <v>2483</v>
      </c>
      <c r="BB3" s="194">
        <f t="shared" si="1"/>
        <v>2483</v>
      </c>
      <c r="BC3" s="194">
        <f t="shared" si="1"/>
        <v>2483</v>
      </c>
      <c r="BD3" s="194">
        <f t="shared" si="1"/>
        <v>0</v>
      </c>
      <c r="BF3" s="194">
        <f t="shared" ref="BF3:BM8" si="2">+SUMIFS(BF$12:BF$135,$N$12:$N$135,$N3)</f>
        <v>0</v>
      </c>
      <c r="BG3" s="194">
        <f t="shared" si="2"/>
        <v>0</v>
      </c>
      <c r="BH3" s="194">
        <f t="shared" si="2"/>
        <v>0</v>
      </c>
      <c r="BI3" s="194">
        <f t="shared" si="2"/>
        <v>0</v>
      </c>
      <c r="BJ3" s="194">
        <f t="shared" si="2"/>
        <v>0</v>
      </c>
      <c r="BK3" s="194">
        <f t="shared" si="2"/>
        <v>2483</v>
      </c>
      <c r="BL3" s="194">
        <f t="shared" si="2"/>
        <v>2483</v>
      </c>
      <c r="BM3" s="194">
        <f t="shared" si="2"/>
        <v>2483</v>
      </c>
      <c r="BN3" s="194">
        <f t="shared" ref="BN3:BN8" si="3">+BO3-BM3</f>
        <v>0</v>
      </c>
      <c r="BO3" s="209">
        <f>+[1]営外!T11</f>
        <v>2483</v>
      </c>
    </row>
    <row r="4" spans="1:74">
      <c r="N4" s="193" t="s">
        <v>235</v>
      </c>
      <c r="O4" s="193" t="s">
        <v>229</v>
      </c>
      <c r="P4" s="193" t="s">
        <v>232</v>
      </c>
      <c r="Q4" s="193" t="s">
        <v>231</v>
      </c>
      <c r="R4" s="193" t="s">
        <v>234</v>
      </c>
      <c r="Y4" s="194">
        <f t="shared" si="0"/>
        <v>0</v>
      </c>
      <c r="AV4" s="194">
        <f t="shared" si="1"/>
        <v>0</v>
      </c>
      <c r="AW4" s="194">
        <f t="shared" si="1"/>
        <v>0</v>
      </c>
      <c r="AX4" s="194">
        <f t="shared" si="1"/>
        <v>0</v>
      </c>
      <c r="AY4" s="194">
        <f t="shared" si="1"/>
        <v>0</v>
      </c>
      <c r="AZ4" s="194">
        <f t="shared" si="1"/>
        <v>0</v>
      </c>
      <c r="BA4" s="194">
        <f t="shared" si="1"/>
        <v>0</v>
      </c>
      <c r="BB4" s="194">
        <f t="shared" si="1"/>
        <v>0</v>
      </c>
      <c r="BC4" s="194">
        <f t="shared" si="1"/>
        <v>0</v>
      </c>
      <c r="BD4" s="194">
        <f t="shared" si="1"/>
        <v>0</v>
      </c>
      <c r="BF4" s="194">
        <f t="shared" si="2"/>
        <v>0</v>
      </c>
      <c r="BG4" s="194">
        <f t="shared" si="2"/>
        <v>0</v>
      </c>
      <c r="BH4" s="194">
        <f t="shared" si="2"/>
        <v>0</v>
      </c>
      <c r="BI4" s="194">
        <f t="shared" si="2"/>
        <v>0</v>
      </c>
      <c r="BJ4" s="194">
        <f t="shared" si="2"/>
        <v>0</v>
      </c>
      <c r="BK4" s="194">
        <f t="shared" si="2"/>
        <v>0</v>
      </c>
      <c r="BL4" s="194">
        <f t="shared" si="2"/>
        <v>0</v>
      </c>
      <c r="BM4" s="194">
        <f t="shared" si="2"/>
        <v>0</v>
      </c>
      <c r="BN4" s="194">
        <f t="shared" si="3"/>
        <v>0</v>
      </c>
      <c r="BO4" s="209">
        <f>+[1]営外!T15</f>
        <v>0</v>
      </c>
    </row>
    <row r="5" spans="1:74">
      <c r="N5" s="193" t="s">
        <v>233</v>
      </c>
      <c r="O5" s="193" t="s">
        <v>229</v>
      </c>
      <c r="P5" s="193" t="s">
        <v>232</v>
      </c>
      <c r="Q5" s="193" t="s">
        <v>231</v>
      </c>
      <c r="R5" s="193" t="s">
        <v>377</v>
      </c>
      <c r="Y5" s="194">
        <f t="shared" si="0"/>
        <v>9224169</v>
      </c>
      <c r="AV5" s="194">
        <f t="shared" si="1"/>
        <v>0</v>
      </c>
      <c r="AW5" s="194">
        <f t="shared" si="1"/>
        <v>0</v>
      </c>
      <c r="AX5" s="194">
        <f t="shared" si="1"/>
        <v>0</v>
      </c>
      <c r="AY5" s="194">
        <f t="shared" si="1"/>
        <v>0</v>
      </c>
      <c r="AZ5" s="194">
        <f t="shared" si="1"/>
        <v>0</v>
      </c>
      <c r="BA5" s="194">
        <f t="shared" si="1"/>
        <v>9224169</v>
      </c>
      <c r="BB5" s="194">
        <f t="shared" si="1"/>
        <v>9224169</v>
      </c>
      <c r="BC5" s="194">
        <f t="shared" si="1"/>
        <v>9224169</v>
      </c>
      <c r="BD5" s="194">
        <f t="shared" si="1"/>
        <v>0</v>
      </c>
      <c r="BF5" s="194">
        <f t="shared" si="2"/>
        <v>0</v>
      </c>
      <c r="BG5" s="194">
        <f t="shared" si="2"/>
        <v>0</v>
      </c>
      <c r="BH5" s="194">
        <f t="shared" si="2"/>
        <v>0</v>
      </c>
      <c r="BI5" s="194">
        <f t="shared" si="2"/>
        <v>0</v>
      </c>
      <c r="BJ5" s="194">
        <f t="shared" si="2"/>
        <v>0</v>
      </c>
      <c r="BK5" s="194">
        <f t="shared" si="2"/>
        <v>8734347</v>
      </c>
      <c r="BL5" s="194">
        <f t="shared" si="2"/>
        <v>8734347</v>
      </c>
      <c r="BM5" s="194">
        <f t="shared" si="2"/>
        <v>8734347</v>
      </c>
      <c r="BN5" s="194">
        <f t="shared" si="3"/>
        <v>0</v>
      </c>
      <c r="BO5" s="209">
        <f>+[1]営外!T16</f>
        <v>8734347</v>
      </c>
    </row>
    <row r="6" spans="1:74">
      <c r="N6" s="205" t="s">
        <v>240</v>
      </c>
      <c r="O6" s="193" t="s">
        <v>229</v>
      </c>
      <c r="P6" s="193" t="s">
        <v>228</v>
      </c>
      <c r="Q6" s="204" t="s">
        <v>239</v>
      </c>
      <c r="R6" s="204" t="s">
        <v>239</v>
      </c>
      <c r="Y6" s="194">
        <f t="shared" si="0"/>
        <v>10315355</v>
      </c>
      <c r="AV6" s="194">
        <f t="shared" si="1"/>
        <v>0</v>
      </c>
      <c r="AW6" s="194">
        <f t="shared" si="1"/>
        <v>0</v>
      </c>
      <c r="AX6" s="194">
        <f t="shared" si="1"/>
        <v>0</v>
      </c>
      <c r="AY6" s="194">
        <f t="shared" si="1"/>
        <v>0</v>
      </c>
      <c r="AZ6" s="194">
        <f t="shared" si="1"/>
        <v>0</v>
      </c>
      <c r="BA6" s="194">
        <f t="shared" si="1"/>
        <v>10315355</v>
      </c>
      <c r="BB6" s="194">
        <f t="shared" si="1"/>
        <v>10315355</v>
      </c>
      <c r="BC6" s="194">
        <f t="shared" si="1"/>
        <v>10315355</v>
      </c>
      <c r="BD6" s="194">
        <f t="shared" si="1"/>
        <v>0</v>
      </c>
      <c r="BF6" s="194">
        <f t="shared" si="2"/>
        <v>0</v>
      </c>
      <c r="BG6" s="194">
        <f t="shared" si="2"/>
        <v>0</v>
      </c>
      <c r="BH6" s="194">
        <f t="shared" si="2"/>
        <v>0</v>
      </c>
      <c r="BI6" s="194">
        <f t="shared" si="2"/>
        <v>0</v>
      </c>
      <c r="BJ6" s="194">
        <f t="shared" si="2"/>
        <v>0</v>
      </c>
      <c r="BK6" s="194">
        <f t="shared" si="2"/>
        <v>10315355</v>
      </c>
      <c r="BL6" s="194">
        <f t="shared" si="2"/>
        <v>10315355</v>
      </c>
      <c r="BM6" s="194">
        <f t="shared" si="2"/>
        <v>10315355</v>
      </c>
      <c r="BN6" s="194">
        <f t="shared" si="3"/>
        <v>0</v>
      </c>
      <c r="BO6" s="209">
        <f>+[1]特損!T32</f>
        <v>10315355</v>
      </c>
    </row>
    <row r="7" spans="1:74">
      <c r="N7" s="193" t="s">
        <v>230</v>
      </c>
      <c r="O7" s="193" t="s">
        <v>229</v>
      </c>
      <c r="P7" s="193" t="s">
        <v>228</v>
      </c>
      <c r="Q7" s="193" t="s">
        <v>27</v>
      </c>
      <c r="R7" s="193" t="s">
        <v>27</v>
      </c>
      <c r="Y7" s="194">
        <f t="shared" si="0"/>
        <v>10679943</v>
      </c>
      <c r="AV7" s="194">
        <f t="shared" si="1"/>
        <v>6760</v>
      </c>
      <c r="AW7" s="194">
        <f t="shared" si="1"/>
        <v>0</v>
      </c>
      <c r="AX7" s="194">
        <f t="shared" si="1"/>
        <v>0</v>
      </c>
      <c r="AY7" s="194">
        <f t="shared" si="1"/>
        <v>6760</v>
      </c>
      <c r="AZ7" s="194">
        <f t="shared" si="1"/>
        <v>0</v>
      </c>
      <c r="BA7" s="194">
        <f t="shared" si="1"/>
        <v>10673183</v>
      </c>
      <c r="BB7" s="194">
        <f t="shared" si="1"/>
        <v>10673183</v>
      </c>
      <c r="BC7" s="194">
        <f t="shared" si="1"/>
        <v>10679943</v>
      </c>
      <c r="BD7" s="194">
        <f t="shared" si="1"/>
        <v>0</v>
      </c>
      <c r="BF7" s="194">
        <f t="shared" si="2"/>
        <v>6733</v>
      </c>
      <c r="BG7" s="194">
        <f t="shared" si="2"/>
        <v>0</v>
      </c>
      <c r="BH7" s="194">
        <f t="shared" si="2"/>
        <v>0</v>
      </c>
      <c r="BI7" s="194">
        <f t="shared" si="2"/>
        <v>6733</v>
      </c>
      <c r="BJ7" s="194">
        <f t="shared" si="2"/>
        <v>0</v>
      </c>
      <c r="BK7" s="194">
        <f t="shared" si="2"/>
        <v>9704766</v>
      </c>
      <c r="BL7" s="194">
        <f t="shared" si="2"/>
        <v>9704766</v>
      </c>
      <c r="BM7" s="194">
        <f t="shared" si="2"/>
        <v>9711499</v>
      </c>
      <c r="BN7" s="194">
        <f t="shared" si="3"/>
        <v>0</v>
      </c>
      <c r="BO7" s="209">
        <f>+[1]特損!T5</f>
        <v>9711499</v>
      </c>
    </row>
    <row r="8" spans="1:74">
      <c r="N8" s="204" t="s">
        <v>238</v>
      </c>
      <c r="O8" s="204" t="s">
        <v>229</v>
      </c>
      <c r="P8" s="204" t="s">
        <v>228</v>
      </c>
      <c r="Q8" s="204" t="s">
        <v>10</v>
      </c>
      <c r="R8" s="204" t="s">
        <v>10</v>
      </c>
      <c r="Y8" s="194">
        <f t="shared" si="0"/>
        <v>0</v>
      </c>
      <c r="AV8" s="194">
        <f t="shared" si="1"/>
        <v>0</v>
      </c>
      <c r="AW8" s="194">
        <f t="shared" si="1"/>
        <v>0</v>
      </c>
      <c r="AX8" s="194">
        <f t="shared" si="1"/>
        <v>0</v>
      </c>
      <c r="AY8" s="194">
        <f t="shared" si="1"/>
        <v>0</v>
      </c>
      <c r="AZ8" s="194">
        <f t="shared" si="1"/>
        <v>0</v>
      </c>
      <c r="BA8" s="194">
        <f t="shared" si="1"/>
        <v>0</v>
      </c>
      <c r="BB8" s="194">
        <f t="shared" si="1"/>
        <v>0</v>
      </c>
      <c r="BC8" s="194">
        <f t="shared" si="1"/>
        <v>0</v>
      </c>
      <c r="BD8" s="194">
        <f t="shared" si="1"/>
        <v>0</v>
      </c>
      <c r="BF8" s="194">
        <f t="shared" si="2"/>
        <v>0</v>
      </c>
      <c r="BG8" s="194">
        <f t="shared" si="2"/>
        <v>0</v>
      </c>
      <c r="BH8" s="194">
        <f t="shared" si="2"/>
        <v>0</v>
      </c>
      <c r="BI8" s="194">
        <f t="shared" si="2"/>
        <v>0</v>
      </c>
      <c r="BJ8" s="194">
        <f t="shared" si="2"/>
        <v>0</v>
      </c>
      <c r="BK8" s="194">
        <f t="shared" si="2"/>
        <v>0</v>
      </c>
      <c r="BL8" s="194">
        <f t="shared" si="2"/>
        <v>0</v>
      </c>
      <c r="BM8" s="194">
        <f t="shared" si="2"/>
        <v>0</v>
      </c>
      <c r="BN8" s="194">
        <f t="shared" si="3"/>
        <v>0</v>
      </c>
      <c r="BO8" s="209">
        <f>+[1]特損!T14</f>
        <v>0</v>
      </c>
    </row>
    <row r="10" spans="1:74">
      <c r="Y10" s="194">
        <f>+SUBTOTAL(109,Y12:Y135)</f>
        <v>10679082</v>
      </c>
      <c r="AV10" s="194">
        <f t="shared" ref="AV10:BD10" si="4">+SUBTOTAL(109,AV12:AV135)</f>
        <v>0</v>
      </c>
      <c r="AW10" s="194">
        <f t="shared" si="4"/>
        <v>0</v>
      </c>
      <c r="AX10" s="194">
        <f t="shared" si="4"/>
        <v>0</v>
      </c>
      <c r="AY10" s="194">
        <f t="shared" si="4"/>
        <v>0</v>
      </c>
      <c r="AZ10" s="194">
        <f t="shared" si="4"/>
        <v>0</v>
      </c>
      <c r="BA10" s="194">
        <f t="shared" si="4"/>
        <v>10679082</v>
      </c>
      <c r="BB10" s="194">
        <f t="shared" si="4"/>
        <v>10679082</v>
      </c>
      <c r="BC10" s="194">
        <f t="shared" si="4"/>
        <v>10679082</v>
      </c>
      <c r="BD10" s="194">
        <f t="shared" si="4"/>
        <v>0</v>
      </c>
      <c r="BF10" s="194">
        <f t="shared" ref="BF10:BM10" si="5">+SUBTOTAL(109,BF12:BF135)</f>
        <v>0</v>
      </c>
      <c r="BG10" s="194">
        <f t="shared" si="5"/>
        <v>0</v>
      </c>
      <c r="BH10" s="194">
        <f t="shared" si="5"/>
        <v>0</v>
      </c>
      <c r="BI10" s="194">
        <f t="shared" si="5"/>
        <v>0</v>
      </c>
      <c r="BJ10" s="194">
        <f t="shared" si="5"/>
        <v>0</v>
      </c>
      <c r="BK10" s="194">
        <f t="shared" si="5"/>
        <v>9708919</v>
      </c>
      <c r="BL10" s="194">
        <f t="shared" si="5"/>
        <v>9708919</v>
      </c>
      <c r="BM10" s="194">
        <f t="shared" si="5"/>
        <v>9708919</v>
      </c>
    </row>
    <row r="11" spans="1:74" ht="13.5" customHeight="1">
      <c r="V11" s="200"/>
      <c r="W11" s="200"/>
      <c r="X11" s="200"/>
      <c r="Y11" s="202"/>
      <c r="AB11" s="200"/>
      <c r="AE11" s="200"/>
      <c r="AG11" s="200"/>
      <c r="AH11" s="200"/>
      <c r="AI11" s="200"/>
      <c r="AL11" s="197" t="s">
        <v>215</v>
      </c>
      <c r="AQ11" s="193" t="s">
        <v>214</v>
      </c>
      <c r="AS11" s="197">
        <v>0</v>
      </c>
      <c r="AT11" s="197">
        <v>0</v>
      </c>
      <c r="AV11" s="607" t="s">
        <v>213</v>
      </c>
      <c r="AW11" s="607"/>
      <c r="AX11" s="607"/>
      <c r="AY11" s="607"/>
      <c r="AZ11" s="607" t="s">
        <v>212</v>
      </c>
      <c r="BA11" s="607"/>
      <c r="BB11" s="607"/>
      <c r="BC11" s="571" t="s">
        <v>211</v>
      </c>
      <c r="BD11" s="194" t="s">
        <v>210</v>
      </c>
      <c r="BE11" s="198"/>
      <c r="BF11" s="607" t="s">
        <v>375</v>
      </c>
      <c r="BG11" s="607"/>
      <c r="BH11" s="607"/>
      <c r="BI11" s="607"/>
      <c r="BJ11" s="607" t="s">
        <v>209</v>
      </c>
      <c r="BK11" s="607"/>
      <c r="BL11" s="607"/>
      <c r="BM11" s="562" t="s">
        <v>208</v>
      </c>
      <c r="BN11" s="572" t="s">
        <v>207</v>
      </c>
      <c r="BO11" s="201"/>
      <c r="BP11" s="201"/>
      <c r="BQ11" s="201"/>
      <c r="BR11" s="201"/>
      <c r="BS11" s="201"/>
      <c r="BT11" s="201"/>
      <c r="BU11" s="201"/>
      <c r="BV11" s="201"/>
    </row>
    <row r="12" spans="1:74">
      <c r="A12" s="193" t="s">
        <v>206</v>
      </c>
      <c r="B12" s="193" t="s">
        <v>205</v>
      </c>
      <c r="C12" s="193" t="s">
        <v>204</v>
      </c>
      <c r="D12" s="193" t="s">
        <v>203</v>
      </c>
      <c r="E12" s="193" t="s">
        <v>202</v>
      </c>
      <c r="F12" s="193" t="s">
        <v>201</v>
      </c>
      <c r="G12" s="193" t="s">
        <v>200</v>
      </c>
      <c r="H12" s="193" t="s">
        <v>199</v>
      </c>
      <c r="I12" s="193" t="s">
        <v>198</v>
      </c>
      <c r="J12" s="193" t="s">
        <v>197</v>
      </c>
      <c r="K12" s="193" t="s">
        <v>196</v>
      </c>
      <c r="L12" s="193" t="s">
        <v>195</v>
      </c>
      <c r="M12" s="193" t="s">
        <v>194</v>
      </c>
      <c r="N12" s="193" t="s">
        <v>193</v>
      </c>
      <c r="O12" s="193" t="s">
        <v>192</v>
      </c>
      <c r="P12" s="193" t="s">
        <v>191</v>
      </c>
      <c r="Q12" s="193" t="s">
        <v>190</v>
      </c>
      <c r="R12" s="199" t="s">
        <v>189</v>
      </c>
      <c r="S12" s="193" t="s">
        <v>188</v>
      </c>
      <c r="T12" s="193" t="s">
        <v>187</v>
      </c>
      <c r="U12" s="193" t="s">
        <v>186</v>
      </c>
      <c r="V12" s="200" t="s">
        <v>185</v>
      </c>
      <c r="W12" s="200" t="s">
        <v>184</v>
      </c>
      <c r="X12" s="200" t="s">
        <v>183</v>
      </c>
      <c r="Y12" s="194" t="s">
        <v>182</v>
      </c>
      <c r="Z12" s="193" t="s">
        <v>181</v>
      </c>
      <c r="AA12" s="193" t="s">
        <v>180</v>
      </c>
      <c r="AB12" s="200" t="s">
        <v>179</v>
      </c>
      <c r="AC12" s="193" t="s">
        <v>178</v>
      </c>
      <c r="AD12" s="193" t="s">
        <v>177</v>
      </c>
      <c r="AE12" s="200" t="s">
        <v>176</v>
      </c>
      <c r="AF12" s="193" t="s">
        <v>175</v>
      </c>
      <c r="AG12" s="200" t="s">
        <v>174</v>
      </c>
      <c r="AH12" s="200" t="s">
        <v>173</v>
      </c>
      <c r="AI12" s="200" t="s">
        <v>172</v>
      </c>
      <c r="AJ12" s="193" t="s">
        <v>171</v>
      </c>
      <c r="AL12" s="195" t="s">
        <v>170</v>
      </c>
      <c r="AM12" s="195" t="s">
        <v>169</v>
      </c>
      <c r="AN12" s="199" t="s">
        <v>168</v>
      </c>
      <c r="AO12" s="199" t="s">
        <v>167</v>
      </c>
      <c r="AP12" s="568" t="s">
        <v>166</v>
      </c>
      <c r="AQ12" s="195" t="s">
        <v>165</v>
      </c>
      <c r="AS12" s="193" t="s">
        <v>164</v>
      </c>
      <c r="AT12" s="193" t="s">
        <v>163</v>
      </c>
      <c r="AV12" s="384" t="s">
        <v>162</v>
      </c>
      <c r="AW12" s="384" t="s">
        <v>161</v>
      </c>
      <c r="AX12" s="384" t="s">
        <v>359</v>
      </c>
      <c r="AY12" s="384" t="s">
        <v>158</v>
      </c>
      <c r="AZ12" s="198" t="s">
        <v>160</v>
      </c>
      <c r="BA12" s="198" t="s">
        <v>159</v>
      </c>
      <c r="BB12" s="198" t="s">
        <v>158</v>
      </c>
      <c r="BC12" s="562"/>
      <c r="BE12" s="198"/>
      <c r="BF12" s="384" t="s">
        <v>162</v>
      </c>
      <c r="BG12" s="384" t="s">
        <v>161</v>
      </c>
      <c r="BH12" s="384" t="s">
        <v>359</v>
      </c>
      <c r="BI12" s="384" t="s">
        <v>158</v>
      </c>
      <c r="BJ12" s="198" t="s">
        <v>160</v>
      </c>
      <c r="BK12" s="198" t="s">
        <v>159</v>
      </c>
      <c r="BL12" s="198" t="s">
        <v>158</v>
      </c>
      <c r="BM12" s="562"/>
      <c r="BN12" s="572"/>
    </row>
    <row r="13" spans="1:74" hidden="1">
      <c r="A13" s="193" t="s">
        <v>378</v>
      </c>
      <c r="B13" s="193" t="s">
        <v>379</v>
      </c>
      <c r="C13" s="193" t="s">
        <v>214</v>
      </c>
      <c r="D13" s="193" t="s">
        <v>1441</v>
      </c>
      <c r="E13" s="193" t="s">
        <v>1442</v>
      </c>
      <c r="F13" s="193" t="s">
        <v>439</v>
      </c>
      <c r="G13" s="193" t="s">
        <v>439</v>
      </c>
      <c r="H13" s="193" t="s">
        <v>3281</v>
      </c>
      <c r="I13" s="193" t="s">
        <v>2986</v>
      </c>
      <c r="J13" s="193" t="s">
        <v>3282</v>
      </c>
      <c r="K13" s="193" t="s">
        <v>386</v>
      </c>
      <c r="L13" s="193" t="s">
        <v>387</v>
      </c>
      <c r="M13" s="193" t="s">
        <v>378</v>
      </c>
      <c r="N13" s="193" t="s">
        <v>3283</v>
      </c>
      <c r="O13" s="193" t="s">
        <v>229</v>
      </c>
      <c r="P13" s="193" t="s">
        <v>232</v>
      </c>
      <c r="Q13" s="193" t="s">
        <v>236</v>
      </c>
      <c r="R13" s="193" t="s">
        <v>43</v>
      </c>
      <c r="S13" s="193" t="s">
        <v>214</v>
      </c>
      <c r="T13" s="193" t="s">
        <v>3284</v>
      </c>
      <c r="U13" s="193" t="s">
        <v>3285</v>
      </c>
      <c r="V13" s="193">
        <v>0</v>
      </c>
      <c r="W13" s="193">
        <v>0</v>
      </c>
      <c r="X13" s="193">
        <v>0</v>
      </c>
      <c r="Y13" s="194">
        <v>2477</v>
      </c>
      <c r="Z13" s="193" t="s">
        <v>3286</v>
      </c>
      <c r="AA13" s="193" t="s">
        <v>43</v>
      </c>
      <c r="AB13" s="193">
        <v>2477</v>
      </c>
      <c r="AC13" s="193" t="s">
        <v>2858</v>
      </c>
      <c r="AD13" s="193" t="s">
        <v>2859</v>
      </c>
      <c r="AE13" s="193">
        <v>2477</v>
      </c>
      <c r="AF13" s="193" t="s">
        <v>518</v>
      </c>
      <c r="AG13" s="193" t="s">
        <v>519</v>
      </c>
      <c r="AH13" s="193">
        <v>0</v>
      </c>
      <c r="AI13" s="193">
        <v>2477</v>
      </c>
      <c r="AJ13" s="193" t="s">
        <v>2053</v>
      </c>
      <c r="AL13" s="197" t="s">
        <v>3287</v>
      </c>
      <c r="AM13" s="193">
        <v>1</v>
      </c>
      <c r="AN13" s="193">
        <v>0</v>
      </c>
      <c r="AO13" s="193">
        <v>0</v>
      </c>
      <c r="AP13" s="566">
        <v>0</v>
      </c>
      <c r="AQ13" s="193" t="s">
        <v>214</v>
      </c>
      <c r="AS13" s="565" t="s">
        <v>518</v>
      </c>
      <c r="AT13" s="565" t="s">
        <v>519</v>
      </c>
      <c r="AV13" s="194">
        <v>0</v>
      </c>
      <c r="AW13" s="194">
        <v>0</v>
      </c>
      <c r="AX13" s="196">
        <v>0</v>
      </c>
      <c r="AY13" s="551">
        <v>0</v>
      </c>
      <c r="AZ13" s="194">
        <v>0</v>
      </c>
      <c r="BA13" s="194">
        <v>2477</v>
      </c>
      <c r="BB13" s="551">
        <v>2477</v>
      </c>
      <c r="BC13" s="551">
        <v>2477</v>
      </c>
      <c r="BD13" s="551">
        <v>0</v>
      </c>
      <c r="BF13" s="551">
        <f t="shared" ref="BF13" si="6">+IFERROR(ROUND(AV13*100/(100+$AT13),0),AV13)</f>
        <v>0</v>
      </c>
      <c r="BG13" s="551">
        <f t="shared" ref="BG13" si="7">+IFERROR(ROUND(AW13*100/(100+$AT13),0),AW13)</f>
        <v>0</v>
      </c>
      <c r="BH13" s="551">
        <f t="shared" ref="BH13" si="8">+IFERROR(ROUND(AX13*100/(100+$AT13),0),AX13)</f>
        <v>0</v>
      </c>
      <c r="BI13" s="551">
        <f t="shared" ref="BI13" si="9">SUM(BF13:BH13)</f>
        <v>0</v>
      </c>
      <c r="BJ13" s="551">
        <f t="shared" ref="BJ13" si="10">+IFERROR(ROUND(AZ13*100/(100+$AT13),0),AZ13)</f>
        <v>0</v>
      </c>
      <c r="BK13" s="551">
        <f t="shared" ref="BK13" si="11">+IFERROR(ROUND(BA13*100/(100+$AT13),0),BA13)</f>
        <v>2477</v>
      </c>
      <c r="BL13" s="551">
        <f t="shared" ref="BL13" si="12">SUM(BJ13:BK13)</f>
        <v>2477</v>
      </c>
      <c r="BM13" s="551">
        <f t="shared" ref="BM13" si="13">+BI13+BL13</f>
        <v>2477</v>
      </c>
      <c r="BN13" s="194"/>
      <c r="BO13" s="193">
        <f t="shared" ref="BO13" si="14">AV13*100/(100+$AT13)-BF13</f>
        <v>0</v>
      </c>
      <c r="BP13" s="193">
        <f t="shared" ref="BP13" si="15">AW13*100/(100+$AT13)-BG13</f>
        <v>0</v>
      </c>
      <c r="BQ13" s="193">
        <f t="shared" ref="BQ13" si="16">AX13*100/(100+$AT13)-BH13</f>
        <v>0</v>
      </c>
      <c r="BR13" s="193">
        <f t="shared" ref="BR13" si="17">AY13*100/(100+$AT13)-BI13</f>
        <v>0</v>
      </c>
      <c r="BS13" s="193">
        <f t="shared" ref="BS13" si="18">AZ13*100/(100+$AT13)-BJ13</f>
        <v>0</v>
      </c>
      <c r="BT13" s="193">
        <f t="shared" ref="BT13" si="19">BA13*100/(100+$AT13)-BK13</f>
        <v>0</v>
      </c>
      <c r="BU13" s="193">
        <f t="shared" ref="BU13" si="20">BB13*100/(100+$AT13)-BL13</f>
        <v>0</v>
      </c>
    </row>
    <row r="14" spans="1:74" hidden="1">
      <c r="A14" s="193" t="s">
        <v>3288</v>
      </c>
      <c r="B14" s="193" t="s">
        <v>379</v>
      </c>
      <c r="C14" s="193" t="s">
        <v>214</v>
      </c>
      <c r="D14" s="193" t="s">
        <v>1441</v>
      </c>
      <c r="E14" s="193" t="s">
        <v>1442</v>
      </c>
      <c r="F14" s="193" t="s">
        <v>439</v>
      </c>
      <c r="G14" s="193" t="s">
        <v>439</v>
      </c>
      <c r="H14" s="193" t="s">
        <v>3281</v>
      </c>
      <c r="I14" s="193" t="s">
        <v>2986</v>
      </c>
      <c r="J14" s="193" t="s">
        <v>3282</v>
      </c>
      <c r="K14" s="193" t="s">
        <v>386</v>
      </c>
      <c r="L14" s="193" t="s">
        <v>531</v>
      </c>
      <c r="M14" s="193" t="s">
        <v>378</v>
      </c>
      <c r="N14" s="193" t="s">
        <v>3283</v>
      </c>
      <c r="O14" s="193" t="s">
        <v>229</v>
      </c>
      <c r="P14" s="193" t="s">
        <v>232</v>
      </c>
      <c r="Q14" s="193" t="s">
        <v>236</v>
      </c>
      <c r="R14" s="193" t="s">
        <v>43</v>
      </c>
      <c r="S14" s="193" t="s">
        <v>214</v>
      </c>
      <c r="T14" s="193" t="s">
        <v>3289</v>
      </c>
      <c r="U14" s="193" t="s">
        <v>3285</v>
      </c>
      <c r="V14" s="193">
        <v>0</v>
      </c>
      <c r="W14" s="193">
        <v>0</v>
      </c>
      <c r="X14" s="193">
        <v>0</v>
      </c>
      <c r="Y14" s="194">
        <v>6</v>
      </c>
      <c r="Z14" s="193" t="s">
        <v>3286</v>
      </c>
      <c r="AA14" s="193" t="s">
        <v>43</v>
      </c>
      <c r="AB14" s="193">
        <v>6</v>
      </c>
      <c r="AC14" s="193" t="s">
        <v>2858</v>
      </c>
      <c r="AD14" s="193" t="s">
        <v>2859</v>
      </c>
      <c r="AE14" s="193">
        <v>6</v>
      </c>
      <c r="AF14" s="193" t="s">
        <v>518</v>
      </c>
      <c r="AG14" s="193" t="s">
        <v>519</v>
      </c>
      <c r="AH14" s="193">
        <v>0</v>
      </c>
      <c r="AI14" s="193">
        <v>6</v>
      </c>
      <c r="AJ14" s="193" t="s">
        <v>2053</v>
      </c>
      <c r="AL14" s="197" t="s">
        <v>3290</v>
      </c>
      <c r="AM14" s="193">
        <v>1</v>
      </c>
      <c r="AN14" s="193">
        <v>0</v>
      </c>
      <c r="AO14" s="193">
        <v>0</v>
      </c>
      <c r="AP14" s="566">
        <v>0</v>
      </c>
      <c r="AQ14" s="193" t="s">
        <v>214</v>
      </c>
      <c r="AS14" s="565" t="s">
        <v>518</v>
      </c>
      <c r="AT14" s="565" t="s">
        <v>519</v>
      </c>
      <c r="AV14" s="194">
        <v>0</v>
      </c>
      <c r="AW14" s="194">
        <v>0</v>
      </c>
      <c r="AX14" s="194">
        <v>0</v>
      </c>
      <c r="AY14" s="551">
        <v>0</v>
      </c>
      <c r="AZ14" s="194">
        <v>0</v>
      </c>
      <c r="BA14" s="194">
        <v>6</v>
      </c>
      <c r="BB14" s="551">
        <v>6</v>
      </c>
      <c r="BC14" s="551">
        <v>6</v>
      </c>
      <c r="BD14" s="551">
        <v>0</v>
      </c>
      <c r="BF14" s="551">
        <f t="shared" ref="BF14:BF77" si="21">+IFERROR(ROUND(AV14*100/(100+$AT14),0),AV14)</f>
        <v>0</v>
      </c>
      <c r="BG14" s="551">
        <f t="shared" ref="BG14:BG77" si="22">+IFERROR(ROUND(AW14*100/(100+$AT14),0),AW14)</f>
        <v>0</v>
      </c>
      <c r="BH14" s="551">
        <f t="shared" ref="BH14:BH77" si="23">+IFERROR(ROUND(AX14*100/(100+$AT14),0),AX14)</f>
        <v>0</v>
      </c>
      <c r="BI14" s="551">
        <f t="shared" ref="BI14:BI77" si="24">SUM(BF14:BH14)</f>
        <v>0</v>
      </c>
      <c r="BJ14" s="551">
        <f t="shared" ref="BJ14:BJ77" si="25">+IFERROR(ROUND(AZ14*100/(100+$AT14),0),AZ14)</f>
        <v>0</v>
      </c>
      <c r="BK14" s="551">
        <f t="shared" ref="BK14:BK77" si="26">+IFERROR(ROUND(BA14*100/(100+$AT14),0),BA14)</f>
        <v>6</v>
      </c>
      <c r="BL14" s="551">
        <f t="shared" ref="BL14:BL77" si="27">SUM(BJ14:BK14)</f>
        <v>6</v>
      </c>
      <c r="BM14" s="551">
        <f t="shared" ref="BM14:BM77" si="28">+BI14+BL14</f>
        <v>6</v>
      </c>
      <c r="BN14" s="194"/>
      <c r="BO14" s="193">
        <f t="shared" ref="BO14" si="29">AV14*100/(100+$AT14)-BF14</f>
        <v>0</v>
      </c>
      <c r="BP14" s="193">
        <f t="shared" ref="BP14" si="30">AW14*100/(100+$AT14)-BG14</f>
        <v>0</v>
      </c>
      <c r="BQ14" s="193">
        <f t="shared" ref="BQ14" si="31">AX14*100/(100+$AT14)-BH14</f>
        <v>0</v>
      </c>
      <c r="BR14" s="193">
        <f t="shared" ref="BR14" si="32">AY14*100/(100+$AT14)-BI14</f>
        <v>0</v>
      </c>
      <c r="BS14" s="193">
        <f t="shared" ref="BS14" si="33">AZ14*100/(100+$AT14)-BJ14</f>
        <v>0</v>
      </c>
      <c r="BT14" s="193">
        <f t="shared" ref="BT14" si="34">BA14*100/(100+$AT14)-BK14</f>
        <v>0</v>
      </c>
      <c r="BU14" s="193">
        <f t="shared" ref="BU14" si="35">BB14*100/(100+$AT14)-BL14</f>
        <v>0</v>
      </c>
    </row>
    <row r="15" spans="1:74">
      <c r="A15" s="193" t="s">
        <v>378</v>
      </c>
      <c r="B15" s="193" t="s">
        <v>379</v>
      </c>
      <c r="C15" s="193" t="s">
        <v>214</v>
      </c>
      <c r="D15" s="193" t="s">
        <v>1165</v>
      </c>
      <c r="E15" s="193" t="s">
        <v>1166</v>
      </c>
      <c r="F15" s="193" t="s">
        <v>402</v>
      </c>
      <c r="G15" s="193" t="s">
        <v>402</v>
      </c>
      <c r="H15" s="199" t="s">
        <v>2985</v>
      </c>
      <c r="I15" s="193" t="s">
        <v>2986</v>
      </c>
      <c r="J15" s="193" t="s">
        <v>2987</v>
      </c>
      <c r="K15" s="193" t="s">
        <v>386</v>
      </c>
      <c r="L15" s="193" t="s">
        <v>387</v>
      </c>
      <c r="M15" s="193" t="s">
        <v>378</v>
      </c>
      <c r="N15" s="193" t="s">
        <v>2988</v>
      </c>
      <c r="O15" s="193" t="s">
        <v>229</v>
      </c>
      <c r="P15" s="193" t="s">
        <v>232</v>
      </c>
      <c r="Q15" s="193" t="s">
        <v>231</v>
      </c>
      <c r="R15" s="193" t="s">
        <v>2989</v>
      </c>
      <c r="S15" s="193" t="s">
        <v>214</v>
      </c>
      <c r="T15" s="193" t="s">
        <v>2990</v>
      </c>
      <c r="U15" s="193" t="s">
        <v>2991</v>
      </c>
      <c r="V15" s="193">
        <v>0</v>
      </c>
      <c r="W15" s="193">
        <v>0</v>
      </c>
      <c r="X15" s="193">
        <v>0</v>
      </c>
      <c r="Y15" s="194">
        <v>23932</v>
      </c>
      <c r="Z15" s="193" t="s">
        <v>2992</v>
      </c>
      <c r="AA15" s="193" t="s">
        <v>2989</v>
      </c>
      <c r="AB15" s="193">
        <v>23932</v>
      </c>
      <c r="AC15" s="193" t="s">
        <v>2858</v>
      </c>
      <c r="AD15" s="193" t="s">
        <v>2859</v>
      </c>
      <c r="AE15" s="193">
        <v>23932</v>
      </c>
      <c r="AF15" s="193" t="s">
        <v>2993</v>
      </c>
      <c r="AG15" s="193" t="s">
        <v>2486</v>
      </c>
      <c r="AH15" s="193">
        <v>1767</v>
      </c>
      <c r="AI15" s="193">
        <v>22165</v>
      </c>
      <c r="AJ15" s="193" t="s">
        <v>2994</v>
      </c>
      <c r="AL15" s="197" t="s">
        <v>2995</v>
      </c>
      <c r="AM15" s="193">
        <v>1</v>
      </c>
      <c r="AN15" s="193">
        <v>0</v>
      </c>
      <c r="AO15" s="193">
        <v>0</v>
      </c>
      <c r="AP15" s="566">
        <v>0</v>
      </c>
      <c r="AQ15" s="193" t="s">
        <v>214</v>
      </c>
      <c r="AS15" s="565" t="s">
        <v>2993</v>
      </c>
      <c r="AT15" s="565" t="s">
        <v>2486</v>
      </c>
      <c r="AV15" s="194">
        <v>0</v>
      </c>
      <c r="AW15" s="194">
        <v>0</v>
      </c>
      <c r="AX15" s="194">
        <v>0</v>
      </c>
      <c r="AY15" s="551">
        <v>0</v>
      </c>
      <c r="AZ15" s="194">
        <v>0</v>
      </c>
      <c r="BA15" s="194">
        <v>23932</v>
      </c>
      <c r="BB15" s="551">
        <v>23932</v>
      </c>
      <c r="BC15" s="551">
        <v>23932</v>
      </c>
      <c r="BD15" s="551">
        <v>0</v>
      </c>
      <c r="BF15" s="551">
        <f t="shared" si="21"/>
        <v>0</v>
      </c>
      <c r="BG15" s="551">
        <f t="shared" si="22"/>
        <v>0</v>
      </c>
      <c r="BH15" s="551">
        <f t="shared" si="23"/>
        <v>0</v>
      </c>
      <c r="BI15" s="551">
        <f t="shared" si="24"/>
        <v>0</v>
      </c>
      <c r="BJ15" s="551">
        <f t="shared" si="25"/>
        <v>0</v>
      </c>
      <c r="BK15" s="551">
        <f t="shared" si="26"/>
        <v>22159</v>
      </c>
      <c r="BL15" s="551">
        <f t="shared" si="27"/>
        <v>22159</v>
      </c>
      <c r="BM15" s="551">
        <f t="shared" si="28"/>
        <v>22159</v>
      </c>
      <c r="BN15" s="194"/>
      <c r="BO15" s="193">
        <f t="shared" ref="BO15:BO78" si="36">AV15*100/(100+$AT15)-BF15</f>
        <v>0</v>
      </c>
      <c r="BP15" s="193">
        <f t="shared" ref="BP15:BP78" si="37">AW15*100/(100+$AT15)-BG15</f>
        <v>0</v>
      </c>
      <c r="BQ15" s="193">
        <f t="shared" ref="BQ15:BQ78" si="38">AX15*100/(100+$AT15)-BH15</f>
        <v>0</v>
      </c>
      <c r="BR15" s="193">
        <f t="shared" ref="BR15:BR78" si="39">AY15*100/(100+$AT15)-BI15</f>
        <v>0</v>
      </c>
      <c r="BS15" s="193">
        <f t="shared" ref="BS15:BS78" si="40">AZ15*100/(100+$AT15)-BJ15</f>
        <v>0</v>
      </c>
      <c r="BT15" s="193">
        <f t="shared" ref="BT15:BT78" si="41">BA15*100/(100+$AT15)-BK15</f>
        <v>0.25925925925912452</v>
      </c>
      <c r="BU15" s="193">
        <f t="shared" ref="BU15:BU78" si="42">BB15*100/(100+$AT15)-BL15</f>
        <v>0.25925925925912452</v>
      </c>
    </row>
    <row r="16" spans="1:74" hidden="1">
      <c r="A16" s="193" t="s">
        <v>378</v>
      </c>
      <c r="B16" s="193" t="s">
        <v>379</v>
      </c>
      <c r="C16" s="193" t="s">
        <v>214</v>
      </c>
      <c r="D16" s="193" t="s">
        <v>1165</v>
      </c>
      <c r="E16" s="193" t="s">
        <v>1166</v>
      </c>
      <c r="F16" s="193" t="s">
        <v>402</v>
      </c>
      <c r="G16" s="193" t="s">
        <v>402</v>
      </c>
      <c r="H16" s="195" t="s">
        <v>2985</v>
      </c>
      <c r="I16" s="193" t="s">
        <v>2986</v>
      </c>
      <c r="J16" s="193" t="s">
        <v>2987</v>
      </c>
      <c r="K16" s="193" t="s">
        <v>386</v>
      </c>
      <c r="L16" s="193" t="s">
        <v>531</v>
      </c>
      <c r="M16" s="193" t="s">
        <v>378</v>
      </c>
      <c r="N16" s="193" t="s">
        <v>2988</v>
      </c>
      <c r="O16" s="193" t="s">
        <v>229</v>
      </c>
      <c r="P16" s="193" t="s">
        <v>232</v>
      </c>
      <c r="Q16" s="193" t="s">
        <v>231</v>
      </c>
      <c r="R16" s="193" t="s">
        <v>2989</v>
      </c>
      <c r="S16" s="193" t="s">
        <v>214</v>
      </c>
      <c r="T16" s="193" t="s">
        <v>2990</v>
      </c>
      <c r="U16" s="193" t="s">
        <v>2991</v>
      </c>
      <c r="V16" s="193">
        <v>0</v>
      </c>
      <c r="W16" s="193">
        <v>0</v>
      </c>
      <c r="X16" s="193">
        <v>0</v>
      </c>
      <c r="Y16" s="194">
        <v>1964</v>
      </c>
      <c r="Z16" s="193" t="s">
        <v>2992</v>
      </c>
      <c r="AA16" s="193" t="s">
        <v>2989</v>
      </c>
      <c r="AB16" s="193">
        <v>1964</v>
      </c>
      <c r="AC16" s="193" t="s">
        <v>2858</v>
      </c>
      <c r="AD16" s="193" t="s">
        <v>2859</v>
      </c>
      <c r="AE16" s="193">
        <v>1964</v>
      </c>
      <c r="AF16" s="193" t="s">
        <v>1486</v>
      </c>
      <c r="AG16" s="193" t="s">
        <v>519</v>
      </c>
      <c r="AH16" s="193">
        <v>0</v>
      </c>
      <c r="AI16" s="193">
        <v>1964</v>
      </c>
      <c r="AJ16" s="193" t="s">
        <v>2994</v>
      </c>
      <c r="AL16" s="197" t="s">
        <v>2996</v>
      </c>
      <c r="AM16" s="193">
        <v>1</v>
      </c>
      <c r="AN16" s="193">
        <v>0</v>
      </c>
      <c r="AO16" s="193">
        <v>0</v>
      </c>
      <c r="AP16" s="566">
        <v>0</v>
      </c>
      <c r="AQ16" s="193" t="s">
        <v>214</v>
      </c>
      <c r="AS16" s="565" t="s">
        <v>1486</v>
      </c>
      <c r="AT16" s="565" t="s">
        <v>519</v>
      </c>
      <c r="AV16" s="194">
        <v>0</v>
      </c>
      <c r="AW16" s="194">
        <v>0</v>
      </c>
      <c r="AX16" s="194">
        <v>0</v>
      </c>
      <c r="AY16" s="551">
        <v>0</v>
      </c>
      <c r="AZ16" s="194">
        <v>0</v>
      </c>
      <c r="BA16" s="194">
        <v>1964</v>
      </c>
      <c r="BB16" s="551">
        <v>1964</v>
      </c>
      <c r="BC16" s="551">
        <v>1964</v>
      </c>
      <c r="BD16" s="551">
        <v>0</v>
      </c>
      <c r="BF16" s="551">
        <f t="shared" si="21"/>
        <v>0</v>
      </c>
      <c r="BG16" s="551">
        <f t="shared" si="22"/>
        <v>0</v>
      </c>
      <c r="BH16" s="551">
        <f t="shared" si="23"/>
        <v>0</v>
      </c>
      <c r="BI16" s="551">
        <f t="shared" si="24"/>
        <v>0</v>
      </c>
      <c r="BJ16" s="551">
        <f t="shared" si="25"/>
        <v>0</v>
      </c>
      <c r="BK16" s="551">
        <f t="shared" si="26"/>
        <v>1964</v>
      </c>
      <c r="BL16" s="551">
        <f t="shared" si="27"/>
        <v>1964</v>
      </c>
      <c r="BM16" s="551">
        <f t="shared" si="28"/>
        <v>1964</v>
      </c>
      <c r="BN16" s="194"/>
      <c r="BO16" s="193">
        <f t="shared" si="36"/>
        <v>0</v>
      </c>
      <c r="BP16" s="193">
        <f t="shared" si="37"/>
        <v>0</v>
      </c>
      <c r="BQ16" s="193">
        <f t="shared" si="38"/>
        <v>0</v>
      </c>
      <c r="BR16" s="193">
        <f t="shared" si="39"/>
        <v>0</v>
      </c>
      <c r="BS16" s="193">
        <f t="shared" si="40"/>
        <v>0</v>
      </c>
      <c r="BT16" s="193">
        <f t="shared" si="41"/>
        <v>0</v>
      </c>
      <c r="BU16" s="193">
        <f t="shared" si="42"/>
        <v>0</v>
      </c>
    </row>
    <row r="17" spans="1:73" hidden="1">
      <c r="A17" s="193" t="s">
        <v>378</v>
      </c>
      <c r="B17" s="193" t="s">
        <v>379</v>
      </c>
      <c r="C17" s="193" t="s">
        <v>214</v>
      </c>
      <c r="D17" s="193" t="s">
        <v>1441</v>
      </c>
      <c r="E17" s="193" t="s">
        <v>1442</v>
      </c>
      <c r="F17" s="193" t="s">
        <v>439</v>
      </c>
      <c r="G17" s="193" t="s">
        <v>439</v>
      </c>
      <c r="H17" s="193" t="s">
        <v>2997</v>
      </c>
      <c r="I17" s="193" t="s">
        <v>1508</v>
      </c>
      <c r="J17" s="193" t="s">
        <v>2998</v>
      </c>
      <c r="K17" s="193" t="s">
        <v>386</v>
      </c>
      <c r="L17" s="193" t="s">
        <v>387</v>
      </c>
      <c r="M17" s="193" t="s">
        <v>378</v>
      </c>
      <c r="N17" s="193" t="s">
        <v>2988</v>
      </c>
      <c r="O17" s="193" t="s">
        <v>229</v>
      </c>
      <c r="P17" s="193" t="s">
        <v>232</v>
      </c>
      <c r="Q17" s="193" t="s">
        <v>231</v>
      </c>
      <c r="R17" s="193" t="s">
        <v>2989</v>
      </c>
      <c r="S17" s="193" t="s">
        <v>214</v>
      </c>
      <c r="T17" s="193" t="s">
        <v>2999</v>
      </c>
      <c r="U17" s="193" t="s">
        <v>3000</v>
      </c>
      <c r="V17" s="193">
        <v>0</v>
      </c>
      <c r="W17" s="193">
        <v>2866935</v>
      </c>
      <c r="X17" s="193">
        <v>2866935</v>
      </c>
      <c r="Y17" s="194">
        <v>2866935</v>
      </c>
      <c r="Z17" s="193" t="s">
        <v>2992</v>
      </c>
      <c r="AA17" s="193" t="s">
        <v>2989</v>
      </c>
      <c r="AB17" s="193">
        <v>2866935</v>
      </c>
      <c r="AC17" s="193" t="s">
        <v>3001</v>
      </c>
      <c r="AD17" s="193" t="s">
        <v>3002</v>
      </c>
      <c r="AE17" s="193">
        <v>2866935</v>
      </c>
      <c r="AF17" s="193" t="s">
        <v>1486</v>
      </c>
      <c r="AG17" s="193" t="s">
        <v>519</v>
      </c>
      <c r="AH17" s="193">
        <v>0</v>
      </c>
      <c r="AI17" s="193">
        <v>2866935</v>
      </c>
      <c r="AJ17" s="193" t="s">
        <v>214</v>
      </c>
      <c r="AL17" s="197" t="s">
        <v>3003</v>
      </c>
      <c r="AM17" s="193">
        <v>1</v>
      </c>
      <c r="AN17" s="193">
        <v>0</v>
      </c>
      <c r="AO17" s="193">
        <v>0</v>
      </c>
      <c r="AP17" s="566">
        <v>0</v>
      </c>
      <c r="AQ17" s="193" t="s">
        <v>214</v>
      </c>
      <c r="AS17" s="565" t="s">
        <v>1486</v>
      </c>
      <c r="AT17" s="565" t="s">
        <v>519</v>
      </c>
      <c r="AV17" s="194">
        <v>0</v>
      </c>
      <c r="AW17" s="194">
        <v>0</v>
      </c>
      <c r="AX17" s="194">
        <v>0</v>
      </c>
      <c r="AY17" s="551">
        <v>0</v>
      </c>
      <c r="AZ17" s="194">
        <v>0</v>
      </c>
      <c r="BA17" s="194">
        <v>2866935</v>
      </c>
      <c r="BB17" s="551">
        <v>2866935</v>
      </c>
      <c r="BC17" s="551">
        <v>2866935</v>
      </c>
      <c r="BD17" s="551">
        <v>0</v>
      </c>
      <c r="BF17" s="551">
        <f t="shared" si="21"/>
        <v>0</v>
      </c>
      <c r="BG17" s="551">
        <f t="shared" si="22"/>
        <v>0</v>
      </c>
      <c r="BH17" s="551">
        <f t="shared" si="23"/>
        <v>0</v>
      </c>
      <c r="BI17" s="551">
        <f t="shared" si="24"/>
        <v>0</v>
      </c>
      <c r="BJ17" s="551">
        <f t="shared" si="25"/>
        <v>0</v>
      </c>
      <c r="BK17" s="551">
        <f t="shared" si="26"/>
        <v>2866935</v>
      </c>
      <c r="BL17" s="551">
        <f t="shared" si="27"/>
        <v>2866935</v>
      </c>
      <c r="BM17" s="551">
        <f t="shared" si="28"/>
        <v>2866935</v>
      </c>
      <c r="BN17" s="194"/>
      <c r="BO17" s="193">
        <f t="shared" si="36"/>
        <v>0</v>
      </c>
      <c r="BP17" s="193">
        <f t="shared" si="37"/>
        <v>0</v>
      </c>
      <c r="BQ17" s="193">
        <f t="shared" si="38"/>
        <v>0</v>
      </c>
      <c r="BR17" s="193">
        <f t="shared" si="39"/>
        <v>0</v>
      </c>
      <c r="BS17" s="193">
        <f t="shared" si="40"/>
        <v>0</v>
      </c>
      <c r="BT17" s="193">
        <f t="shared" si="41"/>
        <v>0</v>
      </c>
      <c r="BU17" s="193">
        <f t="shared" si="42"/>
        <v>0</v>
      </c>
    </row>
    <row r="18" spans="1:73" hidden="1">
      <c r="A18" s="193" t="s">
        <v>378</v>
      </c>
      <c r="B18" s="193" t="s">
        <v>379</v>
      </c>
      <c r="C18" s="193" t="s">
        <v>214</v>
      </c>
      <c r="D18" s="193" t="s">
        <v>1441</v>
      </c>
      <c r="E18" s="193" t="s">
        <v>1442</v>
      </c>
      <c r="F18" s="193" t="s">
        <v>439</v>
      </c>
      <c r="G18" s="193" t="s">
        <v>439</v>
      </c>
      <c r="H18" s="193" t="s">
        <v>2997</v>
      </c>
      <c r="I18" s="193" t="s">
        <v>1508</v>
      </c>
      <c r="J18" s="193" t="s">
        <v>2998</v>
      </c>
      <c r="K18" s="193" t="s">
        <v>386</v>
      </c>
      <c r="L18" s="193" t="s">
        <v>531</v>
      </c>
      <c r="M18" s="193" t="s">
        <v>378</v>
      </c>
      <c r="N18" s="193" t="s">
        <v>2988</v>
      </c>
      <c r="O18" s="193" t="s">
        <v>229</v>
      </c>
      <c r="P18" s="193" t="s">
        <v>232</v>
      </c>
      <c r="Q18" s="193" t="s">
        <v>231</v>
      </c>
      <c r="R18" s="193" t="s">
        <v>2989</v>
      </c>
      <c r="S18" s="193" t="s">
        <v>214</v>
      </c>
      <c r="T18" s="193" t="s">
        <v>2999</v>
      </c>
      <c r="U18" s="193" t="s">
        <v>3000</v>
      </c>
      <c r="V18" s="193">
        <v>0</v>
      </c>
      <c r="W18" s="193">
        <v>398682</v>
      </c>
      <c r="X18" s="193">
        <v>398682</v>
      </c>
      <c r="Y18" s="194">
        <v>398682</v>
      </c>
      <c r="Z18" s="193" t="s">
        <v>2992</v>
      </c>
      <c r="AA18" s="193" t="s">
        <v>2989</v>
      </c>
      <c r="AB18" s="193">
        <v>398682</v>
      </c>
      <c r="AC18" s="193" t="s">
        <v>3004</v>
      </c>
      <c r="AD18" s="193" t="s">
        <v>3002</v>
      </c>
      <c r="AE18" s="193">
        <v>398682</v>
      </c>
      <c r="AF18" s="193" t="s">
        <v>1486</v>
      </c>
      <c r="AG18" s="193" t="s">
        <v>519</v>
      </c>
      <c r="AH18" s="193">
        <v>0</v>
      </c>
      <c r="AI18" s="193">
        <v>398682</v>
      </c>
      <c r="AJ18" s="193" t="s">
        <v>214</v>
      </c>
      <c r="AL18" s="197" t="s">
        <v>3005</v>
      </c>
      <c r="AM18" s="193">
        <v>1</v>
      </c>
      <c r="AN18" s="193">
        <v>0</v>
      </c>
      <c r="AO18" s="193">
        <v>0</v>
      </c>
      <c r="AP18" s="566">
        <v>0</v>
      </c>
      <c r="AQ18" s="193" t="s">
        <v>214</v>
      </c>
      <c r="AS18" s="565" t="s">
        <v>1486</v>
      </c>
      <c r="AT18" s="565" t="s">
        <v>519</v>
      </c>
      <c r="AV18" s="194">
        <v>0</v>
      </c>
      <c r="AW18" s="194">
        <v>0</v>
      </c>
      <c r="AX18" s="194">
        <v>0</v>
      </c>
      <c r="AY18" s="551">
        <v>0</v>
      </c>
      <c r="AZ18" s="194">
        <v>0</v>
      </c>
      <c r="BA18" s="194">
        <v>398682</v>
      </c>
      <c r="BB18" s="551">
        <v>398682</v>
      </c>
      <c r="BC18" s="551">
        <v>398682</v>
      </c>
      <c r="BD18" s="551">
        <v>0</v>
      </c>
      <c r="BF18" s="551">
        <f t="shared" si="21"/>
        <v>0</v>
      </c>
      <c r="BG18" s="551">
        <f t="shared" si="22"/>
        <v>0</v>
      </c>
      <c r="BH18" s="551">
        <f t="shared" si="23"/>
        <v>0</v>
      </c>
      <c r="BI18" s="551">
        <f t="shared" si="24"/>
        <v>0</v>
      </c>
      <c r="BJ18" s="551">
        <f t="shared" si="25"/>
        <v>0</v>
      </c>
      <c r="BK18" s="551">
        <f t="shared" si="26"/>
        <v>398682</v>
      </c>
      <c r="BL18" s="551">
        <f t="shared" si="27"/>
        <v>398682</v>
      </c>
      <c r="BM18" s="551">
        <f t="shared" si="28"/>
        <v>398682</v>
      </c>
      <c r="BN18" s="194"/>
      <c r="BO18" s="193">
        <f t="shared" si="36"/>
        <v>0</v>
      </c>
      <c r="BP18" s="193">
        <f t="shared" si="37"/>
        <v>0</v>
      </c>
      <c r="BQ18" s="193">
        <f t="shared" si="38"/>
        <v>0</v>
      </c>
      <c r="BR18" s="193">
        <f t="shared" si="39"/>
        <v>0</v>
      </c>
      <c r="BS18" s="193">
        <f t="shared" si="40"/>
        <v>0</v>
      </c>
      <c r="BT18" s="193">
        <f t="shared" si="41"/>
        <v>0</v>
      </c>
      <c r="BU18" s="193">
        <f t="shared" si="42"/>
        <v>0</v>
      </c>
    </row>
    <row r="19" spans="1:73" hidden="1">
      <c r="A19" s="193" t="s">
        <v>378</v>
      </c>
      <c r="B19" s="193" t="s">
        <v>379</v>
      </c>
      <c r="C19" s="193" t="s">
        <v>214</v>
      </c>
      <c r="D19" s="193" t="s">
        <v>1441</v>
      </c>
      <c r="E19" s="193" t="s">
        <v>1442</v>
      </c>
      <c r="F19" s="193" t="s">
        <v>439</v>
      </c>
      <c r="G19" s="193" t="s">
        <v>439</v>
      </c>
      <c r="H19" s="193" t="s">
        <v>2997</v>
      </c>
      <c r="I19" s="193" t="s">
        <v>1508</v>
      </c>
      <c r="J19" s="193" t="s">
        <v>2998</v>
      </c>
      <c r="K19" s="193" t="s">
        <v>386</v>
      </c>
      <c r="L19" s="193" t="s">
        <v>553</v>
      </c>
      <c r="M19" s="193" t="s">
        <v>378</v>
      </c>
      <c r="N19" s="193" t="s">
        <v>2988</v>
      </c>
      <c r="O19" s="193" t="s">
        <v>229</v>
      </c>
      <c r="P19" s="193" t="s">
        <v>232</v>
      </c>
      <c r="Q19" s="193" t="s">
        <v>231</v>
      </c>
      <c r="R19" s="193" t="s">
        <v>2989</v>
      </c>
      <c r="S19" s="193" t="s">
        <v>214</v>
      </c>
      <c r="T19" s="193" t="s">
        <v>2999</v>
      </c>
      <c r="U19" s="193" t="s">
        <v>3000</v>
      </c>
      <c r="V19" s="193">
        <v>0</v>
      </c>
      <c r="W19" s="193">
        <v>547871</v>
      </c>
      <c r="X19" s="193">
        <v>547871</v>
      </c>
      <c r="Y19" s="194">
        <v>547871</v>
      </c>
      <c r="Z19" s="193" t="s">
        <v>2992</v>
      </c>
      <c r="AA19" s="193" t="s">
        <v>2989</v>
      </c>
      <c r="AB19" s="193">
        <v>547871</v>
      </c>
      <c r="AC19" s="193" t="s">
        <v>3006</v>
      </c>
      <c r="AD19" s="193" t="s">
        <v>3002</v>
      </c>
      <c r="AE19" s="193">
        <v>547871</v>
      </c>
      <c r="AF19" s="193" t="s">
        <v>1486</v>
      </c>
      <c r="AG19" s="193" t="s">
        <v>519</v>
      </c>
      <c r="AH19" s="193">
        <v>0</v>
      </c>
      <c r="AI19" s="193">
        <v>547871</v>
      </c>
      <c r="AJ19" s="193" t="s">
        <v>214</v>
      </c>
      <c r="AL19" s="197" t="s">
        <v>3007</v>
      </c>
      <c r="AM19" s="193">
        <v>1</v>
      </c>
      <c r="AN19" s="193">
        <v>0</v>
      </c>
      <c r="AO19" s="193">
        <v>0</v>
      </c>
      <c r="AP19" s="566">
        <v>0</v>
      </c>
      <c r="AQ19" s="193" t="s">
        <v>214</v>
      </c>
      <c r="AS19" s="565" t="s">
        <v>1486</v>
      </c>
      <c r="AT19" s="565" t="s">
        <v>519</v>
      </c>
      <c r="AV19" s="194">
        <v>0</v>
      </c>
      <c r="AW19" s="194">
        <v>0</v>
      </c>
      <c r="AX19" s="194">
        <v>0</v>
      </c>
      <c r="AY19" s="551">
        <v>0</v>
      </c>
      <c r="AZ19" s="194">
        <v>0</v>
      </c>
      <c r="BA19" s="194">
        <v>547871</v>
      </c>
      <c r="BB19" s="551">
        <v>547871</v>
      </c>
      <c r="BC19" s="551">
        <v>547871</v>
      </c>
      <c r="BD19" s="551">
        <v>0</v>
      </c>
      <c r="BF19" s="551">
        <f t="shared" si="21"/>
        <v>0</v>
      </c>
      <c r="BG19" s="551">
        <f t="shared" si="22"/>
        <v>0</v>
      </c>
      <c r="BH19" s="551">
        <f t="shared" si="23"/>
        <v>0</v>
      </c>
      <c r="BI19" s="551">
        <f t="shared" si="24"/>
        <v>0</v>
      </c>
      <c r="BJ19" s="551">
        <f t="shared" si="25"/>
        <v>0</v>
      </c>
      <c r="BK19" s="551">
        <f t="shared" si="26"/>
        <v>547871</v>
      </c>
      <c r="BL19" s="551">
        <f t="shared" si="27"/>
        <v>547871</v>
      </c>
      <c r="BM19" s="551">
        <f t="shared" si="28"/>
        <v>547871</v>
      </c>
      <c r="BN19" s="194"/>
      <c r="BO19" s="193">
        <f t="shared" si="36"/>
        <v>0</v>
      </c>
      <c r="BP19" s="193">
        <f t="shared" si="37"/>
        <v>0</v>
      </c>
      <c r="BQ19" s="193">
        <f t="shared" si="38"/>
        <v>0</v>
      </c>
      <c r="BR19" s="193">
        <f t="shared" si="39"/>
        <v>0</v>
      </c>
      <c r="BS19" s="193">
        <f t="shared" si="40"/>
        <v>0</v>
      </c>
      <c r="BT19" s="193">
        <f t="shared" si="41"/>
        <v>0</v>
      </c>
      <c r="BU19" s="193">
        <f t="shared" si="42"/>
        <v>0</v>
      </c>
    </row>
    <row r="20" spans="1:73" hidden="1">
      <c r="A20" s="193" t="s">
        <v>378</v>
      </c>
      <c r="B20" s="193" t="s">
        <v>379</v>
      </c>
      <c r="C20" s="193" t="s">
        <v>214</v>
      </c>
      <c r="D20" s="193" t="s">
        <v>1441</v>
      </c>
      <c r="E20" s="193" t="s">
        <v>1442</v>
      </c>
      <c r="F20" s="193" t="s">
        <v>439</v>
      </c>
      <c r="G20" s="193" t="s">
        <v>439</v>
      </c>
      <c r="H20" s="193" t="s">
        <v>3008</v>
      </c>
      <c r="I20" s="193" t="s">
        <v>1508</v>
      </c>
      <c r="J20" s="193" t="s">
        <v>3009</v>
      </c>
      <c r="K20" s="193" t="s">
        <v>386</v>
      </c>
      <c r="L20" s="193" t="s">
        <v>387</v>
      </c>
      <c r="M20" s="193" t="s">
        <v>378</v>
      </c>
      <c r="N20" s="193" t="s">
        <v>2988</v>
      </c>
      <c r="O20" s="193" t="s">
        <v>229</v>
      </c>
      <c r="P20" s="193" t="s">
        <v>232</v>
      </c>
      <c r="Q20" s="193" t="s">
        <v>231</v>
      </c>
      <c r="R20" s="193" t="s">
        <v>2989</v>
      </c>
      <c r="S20" s="193" t="s">
        <v>214</v>
      </c>
      <c r="T20" s="193" t="s">
        <v>2999</v>
      </c>
      <c r="U20" s="193" t="s">
        <v>3000</v>
      </c>
      <c r="V20" s="193">
        <v>0</v>
      </c>
      <c r="W20" s="193">
        <v>5368538</v>
      </c>
      <c r="X20" s="193">
        <v>5368538</v>
      </c>
      <c r="Y20" s="194">
        <v>5368538</v>
      </c>
      <c r="Z20" s="193" t="s">
        <v>2992</v>
      </c>
      <c r="AA20" s="193" t="s">
        <v>2989</v>
      </c>
      <c r="AB20" s="193">
        <v>5368538</v>
      </c>
      <c r="AC20" s="193" t="s">
        <v>3010</v>
      </c>
      <c r="AD20" s="193" t="s">
        <v>3011</v>
      </c>
      <c r="AE20" s="193">
        <v>5368538</v>
      </c>
      <c r="AF20" s="193" t="s">
        <v>3012</v>
      </c>
      <c r="AG20" s="193" t="s">
        <v>395</v>
      </c>
      <c r="AH20" s="193">
        <v>488017</v>
      </c>
      <c r="AI20" s="193">
        <v>4880521</v>
      </c>
      <c r="AJ20" s="193" t="s">
        <v>214</v>
      </c>
      <c r="AL20" s="197" t="s">
        <v>3013</v>
      </c>
      <c r="AM20" s="193">
        <v>1</v>
      </c>
      <c r="AN20" s="193">
        <v>0</v>
      </c>
      <c r="AO20" s="193">
        <v>0</v>
      </c>
      <c r="AP20" s="566">
        <v>0</v>
      </c>
      <c r="AQ20" s="193" t="s">
        <v>214</v>
      </c>
      <c r="AS20" s="565" t="s">
        <v>3012</v>
      </c>
      <c r="AT20" s="565" t="s">
        <v>395</v>
      </c>
      <c r="AV20" s="194">
        <v>0</v>
      </c>
      <c r="AW20" s="194">
        <v>0</v>
      </c>
      <c r="AX20" s="194">
        <v>0</v>
      </c>
      <c r="AY20" s="551">
        <v>0</v>
      </c>
      <c r="AZ20" s="194">
        <v>0</v>
      </c>
      <c r="BA20" s="194">
        <v>5368538</v>
      </c>
      <c r="BB20" s="551">
        <v>5368538</v>
      </c>
      <c r="BC20" s="551">
        <v>5368538</v>
      </c>
      <c r="BD20" s="551">
        <v>0</v>
      </c>
      <c r="BF20" s="551">
        <f t="shared" si="21"/>
        <v>0</v>
      </c>
      <c r="BG20" s="551">
        <f t="shared" si="22"/>
        <v>0</v>
      </c>
      <c r="BH20" s="551">
        <f t="shared" si="23"/>
        <v>0</v>
      </c>
      <c r="BI20" s="551">
        <f t="shared" si="24"/>
        <v>0</v>
      </c>
      <c r="BJ20" s="551">
        <f t="shared" si="25"/>
        <v>0</v>
      </c>
      <c r="BK20" s="551">
        <f t="shared" si="26"/>
        <v>4880489</v>
      </c>
      <c r="BL20" s="551">
        <f t="shared" si="27"/>
        <v>4880489</v>
      </c>
      <c r="BM20" s="551">
        <f t="shared" si="28"/>
        <v>4880489</v>
      </c>
      <c r="BN20" s="194"/>
      <c r="BO20" s="193">
        <f t="shared" si="36"/>
        <v>0</v>
      </c>
      <c r="BP20" s="193">
        <f t="shared" si="37"/>
        <v>0</v>
      </c>
      <c r="BQ20" s="193">
        <f t="shared" si="38"/>
        <v>0</v>
      </c>
      <c r="BR20" s="193">
        <f t="shared" si="39"/>
        <v>0</v>
      </c>
      <c r="BS20" s="193">
        <f t="shared" si="40"/>
        <v>0</v>
      </c>
      <c r="BT20" s="193">
        <f t="shared" si="41"/>
        <v>9.090909082442522E-2</v>
      </c>
      <c r="BU20" s="193">
        <f t="shared" si="42"/>
        <v>9.090909082442522E-2</v>
      </c>
    </row>
    <row r="21" spans="1:73" hidden="1">
      <c r="A21" s="193" t="s">
        <v>378</v>
      </c>
      <c r="B21" s="193" t="s">
        <v>379</v>
      </c>
      <c r="C21" s="193" t="s">
        <v>214</v>
      </c>
      <c r="D21" s="193" t="s">
        <v>1441</v>
      </c>
      <c r="E21" s="193" t="s">
        <v>1442</v>
      </c>
      <c r="F21" s="193" t="s">
        <v>439</v>
      </c>
      <c r="G21" s="193" t="s">
        <v>439</v>
      </c>
      <c r="H21" s="193" t="s">
        <v>3008</v>
      </c>
      <c r="I21" s="193" t="s">
        <v>1508</v>
      </c>
      <c r="J21" s="193" t="s">
        <v>3009</v>
      </c>
      <c r="K21" s="193" t="s">
        <v>386</v>
      </c>
      <c r="L21" s="193" t="s">
        <v>531</v>
      </c>
      <c r="M21" s="193" t="s">
        <v>378</v>
      </c>
      <c r="N21" s="193" t="s">
        <v>2988</v>
      </c>
      <c r="O21" s="193" t="s">
        <v>229</v>
      </c>
      <c r="P21" s="193" t="s">
        <v>232</v>
      </c>
      <c r="Q21" s="193" t="s">
        <v>231</v>
      </c>
      <c r="R21" s="193" t="s">
        <v>2989</v>
      </c>
      <c r="S21" s="193" t="s">
        <v>214</v>
      </c>
      <c r="T21" s="193" t="s">
        <v>2999</v>
      </c>
      <c r="U21" s="193" t="s">
        <v>3000</v>
      </c>
      <c r="V21" s="193">
        <v>0</v>
      </c>
      <c r="W21" s="193">
        <v>16247</v>
      </c>
      <c r="X21" s="193">
        <v>16247</v>
      </c>
      <c r="Y21" s="194">
        <v>16247</v>
      </c>
      <c r="Z21" s="193" t="s">
        <v>2992</v>
      </c>
      <c r="AA21" s="193" t="s">
        <v>2989</v>
      </c>
      <c r="AB21" s="193">
        <v>16247</v>
      </c>
      <c r="AC21" s="193" t="s">
        <v>3010</v>
      </c>
      <c r="AD21" s="193" t="s">
        <v>3011</v>
      </c>
      <c r="AE21" s="193">
        <v>16247</v>
      </c>
      <c r="AF21" s="193" t="s">
        <v>1486</v>
      </c>
      <c r="AG21" s="193" t="s">
        <v>519</v>
      </c>
      <c r="AH21" s="193">
        <v>0</v>
      </c>
      <c r="AI21" s="193">
        <v>16247</v>
      </c>
      <c r="AJ21" s="193" t="s">
        <v>214</v>
      </c>
      <c r="AL21" s="197" t="s">
        <v>3014</v>
      </c>
      <c r="AM21" s="193">
        <v>1</v>
      </c>
      <c r="AN21" s="193">
        <v>0</v>
      </c>
      <c r="AO21" s="193">
        <v>0</v>
      </c>
      <c r="AP21" s="566" t="s">
        <v>3015</v>
      </c>
      <c r="AQ21" s="193" t="s">
        <v>214</v>
      </c>
      <c r="AS21" s="565" t="s">
        <v>1486</v>
      </c>
      <c r="AT21" s="565" t="s">
        <v>519</v>
      </c>
      <c r="AV21" s="194">
        <v>0</v>
      </c>
      <c r="AW21" s="194">
        <v>0</v>
      </c>
      <c r="AX21" s="194">
        <v>0</v>
      </c>
      <c r="AY21" s="551">
        <v>0</v>
      </c>
      <c r="AZ21" s="194">
        <v>0</v>
      </c>
      <c r="BA21" s="194">
        <v>16247</v>
      </c>
      <c r="BB21" s="551">
        <v>16247</v>
      </c>
      <c r="BC21" s="551">
        <v>16247</v>
      </c>
      <c r="BD21" s="551">
        <v>0</v>
      </c>
      <c r="BF21" s="551">
        <f t="shared" si="21"/>
        <v>0</v>
      </c>
      <c r="BG21" s="551">
        <f t="shared" si="22"/>
        <v>0</v>
      </c>
      <c r="BH21" s="551">
        <f t="shared" si="23"/>
        <v>0</v>
      </c>
      <c r="BI21" s="551">
        <f t="shared" si="24"/>
        <v>0</v>
      </c>
      <c r="BJ21" s="551">
        <f t="shared" si="25"/>
        <v>0</v>
      </c>
      <c r="BK21" s="551">
        <f t="shared" si="26"/>
        <v>16247</v>
      </c>
      <c r="BL21" s="551">
        <f t="shared" si="27"/>
        <v>16247</v>
      </c>
      <c r="BM21" s="551">
        <f t="shared" si="28"/>
        <v>16247</v>
      </c>
      <c r="BN21" s="194"/>
      <c r="BO21" s="193">
        <f t="shared" si="36"/>
        <v>0</v>
      </c>
      <c r="BP21" s="193">
        <f t="shared" si="37"/>
        <v>0</v>
      </c>
      <c r="BQ21" s="193">
        <f t="shared" si="38"/>
        <v>0</v>
      </c>
      <c r="BR21" s="193">
        <f t="shared" si="39"/>
        <v>0</v>
      </c>
      <c r="BS21" s="193">
        <f t="shared" si="40"/>
        <v>0</v>
      </c>
      <c r="BT21" s="193">
        <f t="shared" si="41"/>
        <v>0</v>
      </c>
      <c r="BU21" s="193">
        <f t="shared" si="42"/>
        <v>0</v>
      </c>
    </row>
    <row r="22" spans="1:73" hidden="1">
      <c r="A22" s="193" t="s">
        <v>378</v>
      </c>
      <c r="B22" s="193" t="s">
        <v>379</v>
      </c>
      <c r="C22" s="193" t="s">
        <v>214</v>
      </c>
      <c r="D22" s="193" t="s">
        <v>1441</v>
      </c>
      <c r="E22" s="193" t="s">
        <v>1442</v>
      </c>
      <c r="F22" s="193" t="s">
        <v>1525</v>
      </c>
      <c r="G22" s="193" t="s">
        <v>1525</v>
      </c>
      <c r="H22" s="193" t="s">
        <v>3016</v>
      </c>
      <c r="I22" s="193" t="s">
        <v>1508</v>
      </c>
      <c r="J22" s="193" t="s">
        <v>3017</v>
      </c>
      <c r="K22" s="193" t="s">
        <v>386</v>
      </c>
      <c r="L22" s="193" t="s">
        <v>387</v>
      </c>
      <c r="M22" s="193" t="s">
        <v>378</v>
      </c>
      <c r="N22" s="193" t="s">
        <v>3018</v>
      </c>
      <c r="O22" s="193" t="s">
        <v>229</v>
      </c>
      <c r="P22" s="193" t="s">
        <v>228</v>
      </c>
      <c r="Q22" s="193" t="s">
        <v>3019</v>
      </c>
      <c r="R22" s="193" t="s">
        <v>3019</v>
      </c>
      <c r="S22" s="193" t="s">
        <v>214</v>
      </c>
      <c r="T22" s="193" t="s">
        <v>3020</v>
      </c>
      <c r="U22" s="193" t="s">
        <v>3021</v>
      </c>
      <c r="V22" s="193">
        <v>0</v>
      </c>
      <c r="W22" s="193">
        <v>10315355</v>
      </c>
      <c r="X22" s="193">
        <v>10315355</v>
      </c>
      <c r="Y22" s="194">
        <v>10315355</v>
      </c>
      <c r="Z22" s="193" t="s">
        <v>3022</v>
      </c>
      <c r="AA22" s="193" t="s">
        <v>3019</v>
      </c>
      <c r="AB22" s="193">
        <v>10315355</v>
      </c>
      <c r="AC22" s="193" t="s">
        <v>3023</v>
      </c>
      <c r="AD22" s="193" t="s">
        <v>3024</v>
      </c>
      <c r="AE22" s="193">
        <v>10315355</v>
      </c>
      <c r="AF22" s="193" t="s">
        <v>1486</v>
      </c>
      <c r="AG22" s="193" t="s">
        <v>519</v>
      </c>
      <c r="AH22" s="193">
        <v>0</v>
      </c>
      <c r="AI22" s="193">
        <v>10315355</v>
      </c>
      <c r="AJ22" s="193" t="s">
        <v>214</v>
      </c>
      <c r="AL22" s="197" t="s">
        <v>3025</v>
      </c>
      <c r="AM22" s="193">
        <v>1</v>
      </c>
      <c r="AN22" s="193">
        <v>0</v>
      </c>
      <c r="AO22" s="193">
        <v>0</v>
      </c>
      <c r="AP22" s="566">
        <v>0</v>
      </c>
      <c r="AQ22" s="193" t="s">
        <v>214</v>
      </c>
      <c r="AS22" s="565" t="s">
        <v>1486</v>
      </c>
      <c r="AT22" s="565" t="s">
        <v>519</v>
      </c>
      <c r="AV22" s="194">
        <v>0</v>
      </c>
      <c r="AW22" s="194">
        <v>0</v>
      </c>
      <c r="AX22" s="194">
        <v>0</v>
      </c>
      <c r="AY22" s="551">
        <v>0</v>
      </c>
      <c r="AZ22" s="194">
        <v>0</v>
      </c>
      <c r="BA22" s="194">
        <v>10315355</v>
      </c>
      <c r="BB22" s="551">
        <v>10315355</v>
      </c>
      <c r="BC22" s="551">
        <v>10315355</v>
      </c>
      <c r="BD22" s="551">
        <v>0</v>
      </c>
      <c r="BF22" s="551">
        <f t="shared" si="21"/>
        <v>0</v>
      </c>
      <c r="BG22" s="551">
        <f t="shared" si="22"/>
        <v>0</v>
      </c>
      <c r="BH22" s="551">
        <f t="shared" si="23"/>
        <v>0</v>
      </c>
      <c r="BI22" s="551">
        <f t="shared" si="24"/>
        <v>0</v>
      </c>
      <c r="BJ22" s="551">
        <f t="shared" si="25"/>
        <v>0</v>
      </c>
      <c r="BK22" s="551">
        <f t="shared" si="26"/>
        <v>10315355</v>
      </c>
      <c r="BL22" s="551">
        <f t="shared" si="27"/>
        <v>10315355</v>
      </c>
      <c r="BM22" s="551">
        <f t="shared" si="28"/>
        <v>10315355</v>
      </c>
      <c r="BN22" s="194"/>
      <c r="BO22" s="193">
        <f t="shared" si="36"/>
        <v>0</v>
      </c>
      <c r="BP22" s="193">
        <f t="shared" si="37"/>
        <v>0</v>
      </c>
      <c r="BQ22" s="193">
        <f t="shared" si="38"/>
        <v>0</v>
      </c>
      <c r="BR22" s="193">
        <f t="shared" si="39"/>
        <v>0</v>
      </c>
      <c r="BS22" s="193">
        <f t="shared" si="40"/>
        <v>0</v>
      </c>
      <c r="BT22" s="193">
        <f t="shared" si="41"/>
        <v>0</v>
      </c>
      <c r="BU22" s="193">
        <f t="shared" si="42"/>
        <v>0</v>
      </c>
    </row>
    <row r="23" spans="1:73">
      <c r="A23" s="193" t="s">
        <v>378</v>
      </c>
      <c r="B23" s="193" t="s">
        <v>379</v>
      </c>
      <c r="C23" s="193" t="s">
        <v>214</v>
      </c>
      <c r="D23" s="193" t="s">
        <v>1165</v>
      </c>
      <c r="E23" s="193" t="s">
        <v>1166</v>
      </c>
      <c r="F23" s="193" t="s">
        <v>1240</v>
      </c>
      <c r="G23" s="193" t="s">
        <v>1240</v>
      </c>
      <c r="H23" s="199" t="s">
        <v>3026</v>
      </c>
      <c r="I23" s="193" t="s">
        <v>1508</v>
      </c>
      <c r="J23" s="193" t="s">
        <v>3027</v>
      </c>
      <c r="K23" s="193" t="s">
        <v>386</v>
      </c>
      <c r="L23" s="193" t="s">
        <v>387</v>
      </c>
      <c r="M23" s="193" t="s">
        <v>378</v>
      </c>
      <c r="N23" s="193" t="s">
        <v>3028</v>
      </c>
      <c r="O23" s="193" t="s">
        <v>229</v>
      </c>
      <c r="P23" s="193" t="s">
        <v>228</v>
      </c>
      <c r="Q23" s="193" t="s">
        <v>27</v>
      </c>
      <c r="R23" s="193" t="s">
        <v>27</v>
      </c>
      <c r="S23" s="193" t="s">
        <v>214</v>
      </c>
      <c r="T23" s="193" t="s">
        <v>3029</v>
      </c>
      <c r="U23" s="193" t="s">
        <v>3030</v>
      </c>
      <c r="V23" s="193">
        <v>0</v>
      </c>
      <c r="W23" s="193">
        <v>0</v>
      </c>
      <c r="X23" s="193">
        <v>0</v>
      </c>
      <c r="Y23" s="194">
        <v>7639</v>
      </c>
      <c r="Z23" s="193" t="s">
        <v>3031</v>
      </c>
      <c r="AA23" s="193" t="s">
        <v>27</v>
      </c>
      <c r="AB23" s="193">
        <v>7639</v>
      </c>
      <c r="AC23" s="193" t="s">
        <v>3032</v>
      </c>
      <c r="AD23" s="193" t="s">
        <v>3033</v>
      </c>
      <c r="AE23" s="193">
        <v>7639</v>
      </c>
      <c r="AF23" s="193" t="s">
        <v>3012</v>
      </c>
      <c r="AG23" s="193" t="s">
        <v>395</v>
      </c>
      <c r="AH23" s="193">
        <v>694</v>
      </c>
      <c r="AI23" s="193">
        <v>6945</v>
      </c>
      <c r="AJ23" s="193" t="s">
        <v>214</v>
      </c>
      <c r="AL23" s="197" t="s">
        <v>3034</v>
      </c>
      <c r="AM23" s="193">
        <v>1</v>
      </c>
      <c r="AN23" s="193">
        <v>0</v>
      </c>
      <c r="AO23" s="193">
        <v>0</v>
      </c>
      <c r="AP23" s="566">
        <v>0</v>
      </c>
      <c r="AQ23" s="193" t="s">
        <v>214</v>
      </c>
      <c r="AS23" s="565" t="s">
        <v>3012</v>
      </c>
      <c r="AT23" s="565" t="s">
        <v>395</v>
      </c>
      <c r="AV23" s="194">
        <v>0</v>
      </c>
      <c r="AW23" s="194">
        <v>0</v>
      </c>
      <c r="AX23" s="194">
        <v>0</v>
      </c>
      <c r="AY23" s="551">
        <v>0</v>
      </c>
      <c r="AZ23" s="194">
        <v>0</v>
      </c>
      <c r="BA23" s="194">
        <v>7639</v>
      </c>
      <c r="BB23" s="551">
        <v>7639</v>
      </c>
      <c r="BC23" s="551">
        <v>7639</v>
      </c>
      <c r="BD23" s="551">
        <v>0</v>
      </c>
      <c r="BF23" s="551">
        <f t="shared" si="21"/>
        <v>0</v>
      </c>
      <c r="BG23" s="551">
        <f t="shared" si="22"/>
        <v>0</v>
      </c>
      <c r="BH23" s="551">
        <f t="shared" si="23"/>
        <v>0</v>
      </c>
      <c r="BI23" s="551">
        <f t="shared" si="24"/>
        <v>0</v>
      </c>
      <c r="BJ23" s="551">
        <f t="shared" si="25"/>
        <v>0</v>
      </c>
      <c r="BK23" s="551">
        <f t="shared" si="26"/>
        <v>6945</v>
      </c>
      <c r="BL23" s="551">
        <f t="shared" si="27"/>
        <v>6945</v>
      </c>
      <c r="BM23" s="551">
        <f t="shared" si="28"/>
        <v>6945</v>
      </c>
      <c r="BN23" s="194"/>
      <c r="BO23" s="193">
        <f t="shared" si="36"/>
        <v>0</v>
      </c>
      <c r="BP23" s="193">
        <f t="shared" si="37"/>
        <v>0</v>
      </c>
      <c r="BQ23" s="193">
        <f t="shared" si="38"/>
        <v>0</v>
      </c>
      <c r="BR23" s="193">
        <f t="shared" si="39"/>
        <v>0</v>
      </c>
      <c r="BS23" s="193">
        <f t="shared" si="40"/>
        <v>0</v>
      </c>
      <c r="BT23" s="193">
        <f t="shared" si="41"/>
        <v>-0.45454545454504114</v>
      </c>
      <c r="BU23" s="193">
        <f t="shared" si="42"/>
        <v>-0.45454545454504114</v>
      </c>
    </row>
    <row r="24" spans="1:73">
      <c r="A24" s="193" t="s">
        <v>378</v>
      </c>
      <c r="B24" s="193" t="s">
        <v>379</v>
      </c>
      <c r="C24" s="193" t="s">
        <v>214</v>
      </c>
      <c r="D24" s="193" t="s">
        <v>1165</v>
      </c>
      <c r="E24" s="193" t="s">
        <v>1166</v>
      </c>
      <c r="F24" s="193" t="s">
        <v>1240</v>
      </c>
      <c r="G24" s="193" t="s">
        <v>1240</v>
      </c>
      <c r="H24" s="199" t="s">
        <v>3026</v>
      </c>
      <c r="I24" s="193" t="s">
        <v>1508</v>
      </c>
      <c r="J24" s="193" t="s">
        <v>3035</v>
      </c>
      <c r="K24" s="193" t="s">
        <v>386</v>
      </c>
      <c r="L24" s="193" t="s">
        <v>387</v>
      </c>
      <c r="M24" s="193" t="s">
        <v>378</v>
      </c>
      <c r="N24" s="193" t="s">
        <v>3028</v>
      </c>
      <c r="O24" s="193" t="s">
        <v>229</v>
      </c>
      <c r="P24" s="193" t="s">
        <v>228</v>
      </c>
      <c r="Q24" s="193" t="s">
        <v>27</v>
      </c>
      <c r="R24" s="193" t="s">
        <v>27</v>
      </c>
      <c r="S24" s="193" t="s">
        <v>214</v>
      </c>
      <c r="T24" s="193" t="s">
        <v>3029</v>
      </c>
      <c r="U24" s="193" t="s">
        <v>3030</v>
      </c>
      <c r="V24" s="193">
        <v>0</v>
      </c>
      <c r="W24" s="193">
        <v>0</v>
      </c>
      <c r="X24" s="193">
        <v>0</v>
      </c>
      <c r="Y24" s="194">
        <v>3359</v>
      </c>
      <c r="Z24" s="193" t="s">
        <v>3031</v>
      </c>
      <c r="AA24" s="193" t="s">
        <v>27</v>
      </c>
      <c r="AB24" s="193">
        <v>3359</v>
      </c>
      <c r="AC24" s="193" t="s">
        <v>3032</v>
      </c>
      <c r="AD24" s="193" t="s">
        <v>3033</v>
      </c>
      <c r="AE24" s="193">
        <v>3359</v>
      </c>
      <c r="AF24" s="193" t="s">
        <v>3012</v>
      </c>
      <c r="AG24" s="193" t="s">
        <v>395</v>
      </c>
      <c r="AH24" s="193">
        <v>305</v>
      </c>
      <c r="AI24" s="193">
        <v>3054</v>
      </c>
      <c r="AJ24" s="193" t="s">
        <v>214</v>
      </c>
      <c r="AL24" s="197" t="s">
        <v>3036</v>
      </c>
      <c r="AM24" s="193">
        <v>1</v>
      </c>
      <c r="AN24" s="193">
        <v>0</v>
      </c>
      <c r="AO24" s="193">
        <v>0</v>
      </c>
      <c r="AP24" s="566">
        <v>0</v>
      </c>
      <c r="AQ24" s="193" t="s">
        <v>214</v>
      </c>
      <c r="AS24" s="565" t="s">
        <v>3012</v>
      </c>
      <c r="AT24" s="565" t="s">
        <v>395</v>
      </c>
      <c r="AV24" s="194">
        <v>0</v>
      </c>
      <c r="AW24" s="194">
        <v>0</v>
      </c>
      <c r="AX24" s="194">
        <v>0</v>
      </c>
      <c r="AY24" s="551">
        <v>0</v>
      </c>
      <c r="AZ24" s="194">
        <v>0</v>
      </c>
      <c r="BA24" s="194">
        <v>3359</v>
      </c>
      <c r="BB24" s="551">
        <v>3359</v>
      </c>
      <c r="BC24" s="551">
        <v>3359</v>
      </c>
      <c r="BD24" s="551">
        <v>0</v>
      </c>
      <c r="BF24" s="551">
        <f t="shared" si="21"/>
        <v>0</v>
      </c>
      <c r="BG24" s="551">
        <f t="shared" si="22"/>
        <v>0</v>
      </c>
      <c r="BH24" s="551">
        <f t="shared" si="23"/>
        <v>0</v>
      </c>
      <c r="BI24" s="551">
        <f t="shared" si="24"/>
        <v>0</v>
      </c>
      <c r="BJ24" s="551">
        <f t="shared" si="25"/>
        <v>0</v>
      </c>
      <c r="BK24" s="551">
        <f t="shared" si="26"/>
        <v>3054</v>
      </c>
      <c r="BL24" s="551">
        <f t="shared" si="27"/>
        <v>3054</v>
      </c>
      <c r="BM24" s="551">
        <f t="shared" si="28"/>
        <v>3054</v>
      </c>
      <c r="BN24" s="194"/>
      <c r="BO24" s="193">
        <f t="shared" si="36"/>
        <v>0</v>
      </c>
      <c r="BP24" s="193">
        <f t="shared" si="37"/>
        <v>0</v>
      </c>
      <c r="BQ24" s="193">
        <f t="shared" si="38"/>
        <v>0</v>
      </c>
      <c r="BR24" s="193">
        <f t="shared" si="39"/>
        <v>0</v>
      </c>
      <c r="BS24" s="193">
        <f t="shared" si="40"/>
        <v>0</v>
      </c>
      <c r="BT24" s="193">
        <f t="shared" si="41"/>
        <v>-0.36363636363648766</v>
      </c>
      <c r="BU24" s="193">
        <f t="shared" si="42"/>
        <v>-0.36363636363648766</v>
      </c>
    </row>
    <row r="25" spans="1:73">
      <c r="A25" s="193" t="s">
        <v>378</v>
      </c>
      <c r="B25" s="193" t="s">
        <v>379</v>
      </c>
      <c r="C25" s="193" t="s">
        <v>214</v>
      </c>
      <c r="D25" s="193" t="s">
        <v>1165</v>
      </c>
      <c r="E25" s="193" t="s">
        <v>1166</v>
      </c>
      <c r="F25" s="193" t="s">
        <v>1240</v>
      </c>
      <c r="G25" s="193" t="s">
        <v>1240</v>
      </c>
      <c r="H25" s="199" t="s">
        <v>3026</v>
      </c>
      <c r="I25" s="193" t="s">
        <v>1508</v>
      </c>
      <c r="J25" s="193" t="s">
        <v>3037</v>
      </c>
      <c r="K25" s="193" t="s">
        <v>386</v>
      </c>
      <c r="L25" s="193" t="s">
        <v>387</v>
      </c>
      <c r="M25" s="193" t="s">
        <v>378</v>
      </c>
      <c r="N25" s="193" t="s">
        <v>3028</v>
      </c>
      <c r="O25" s="193" t="s">
        <v>229</v>
      </c>
      <c r="P25" s="193" t="s">
        <v>228</v>
      </c>
      <c r="Q25" s="193" t="s">
        <v>27</v>
      </c>
      <c r="R25" s="193" t="s">
        <v>27</v>
      </c>
      <c r="S25" s="193" t="s">
        <v>214</v>
      </c>
      <c r="T25" s="193" t="s">
        <v>3029</v>
      </c>
      <c r="U25" s="193" t="s">
        <v>3030</v>
      </c>
      <c r="V25" s="193">
        <v>0</v>
      </c>
      <c r="W25" s="193">
        <v>0</v>
      </c>
      <c r="X25" s="193">
        <v>0</v>
      </c>
      <c r="Y25" s="194">
        <v>465</v>
      </c>
      <c r="Z25" s="193" t="s">
        <v>3031</v>
      </c>
      <c r="AA25" s="193" t="s">
        <v>27</v>
      </c>
      <c r="AB25" s="193">
        <v>465</v>
      </c>
      <c r="AC25" s="193" t="s">
        <v>3032</v>
      </c>
      <c r="AD25" s="193" t="s">
        <v>3033</v>
      </c>
      <c r="AE25" s="193">
        <v>465</v>
      </c>
      <c r="AF25" s="193" t="s">
        <v>3012</v>
      </c>
      <c r="AG25" s="193" t="s">
        <v>395</v>
      </c>
      <c r="AH25" s="193">
        <v>42</v>
      </c>
      <c r="AI25" s="193">
        <v>423</v>
      </c>
      <c r="AJ25" s="193" t="s">
        <v>214</v>
      </c>
      <c r="AL25" s="197" t="s">
        <v>3038</v>
      </c>
      <c r="AM25" s="193">
        <v>1</v>
      </c>
      <c r="AN25" s="193">
        <v>0</v>
      </c>
      <c r="AO25" s="193">
        <v>0</v>
      </c>
      <c r="AP25" s="566">
        <v>0</v>
      </c>
      <c r="AQ25" s="193" t="s">
        <v>214</v>
      </c>
      <c r="AS25" s="565" t="s">
        <v>3012</v>
      </c>
      <c r="AT25" s="565" t="s">
        <v>395</v>
      </c>
      <c r="AV25" s="194">
        <v>0</v>
      </c>
      <c r="AW25" s="194">
        <v>0</v>
      </c>
      <c r="AX25" s="194">
        <v>0</v>
      </c>
      <c r="AY25" s="551">
        <v>0</v>
      </c>
      <c r="AZ25" s="194">
        <v>0</v>
      </c>
      <c r="BA25" s="194">
        <v>465</v>
      </c>
      <c r="BB25" s="551">
        <v>465</v>
      </c>
      <c r="BC25" s="551">
        <v>465</v>
      </c>
      <c r="BD25" s="551">
        <v>0</v>
      </c>
      <c r="BF25" s="551">
        <f t="shared" si="21"/>
        <v>0</v>
      </c>
      <c r="BG25" s="551">
        <f t="shared" si="22"/>
        <v>0</v>
      </c>
      <c r="BH25" s="551">
        <f t="shared" si="23"/>
        <v>0</v>
      </c>
      <c r="BI25" s="551">
        <f t="shared" si="24"/>
        <v>0</v>
      </c>
      <c r="BJ25" s="551">
        <f t="shared" si="25"/>
        <v>0</v>
      </c>
      <c r="BK25" s="551">
        <f t="shared" si="26"/>
        <v>423</v>
      </c>
      <c r="BL25" s="551">
        <f t="shared" si="27"/>
        <v>423</v>
      </c>
      <c r="BM25" s="551">
        <f t="shared" si="28"/>
        <v>423</v>
      </c>
      <c r="BN25" s="194"/>
      <c r="BO25" s="193">
        <f t="shared" si="36"/>
        <v>0</v>
      </c>
      <c r="BP25" s="193">
        <f t="shared" si="37"/>
        <v>0</v>
      </c>
      <c r="BQ25" s="193">
        <f t="shared" si="38"/>
        <v>0</v>
      </c>
      <c r="BR25" s="193">
        <f t="shared" si="39"/>
        <v>0</v>
      </c>
      <c r="BS25" s="193">
        <f t="shared" si="40"/>
        <v>0</v>
      </c>
      <c r="BT25" s="193">
        <f t="shared" si="41"/>
        <v>-0.27272727272725206</v>
      </c>
      <c r="BU25" s="193">
        <f t="shared" si="42"/>
        <v>-0.27272727272725206</v>
      </c>
    </row>
    <row r="26" spans="1:73">
      <c r="A26" s="193" t="s">
        <v>378</v>
      </c>
      <c r="B26" s="193" t="s">
        <v>379</v>
      </c>
      <c r="C26" s="193" t="s">
        <v>214</v>
      </c>
      <c r="D26" s="193" t="s">
        <v>1165</v>
      </c>
      <c r="E26" s="193" t="s">
        <v>1166</v>
      </c>
      <c r="F26" s="193" t="s">
        <v>2409</v>
      </c>
      <c r="G26" s="193" t="s">
        <v>2409</v>
      </c>
      <c r="H26" s="199" t="s">
        <v>3039</v>
      </c>
      <c r="I26" s="193" t="s">
        <v>1508</v>
      </c>
      <c r="J26" s="193" t="s">
        <v>3040</v>
      </c>
      <c r="K26" s="193" t="s">
        <v>386</v>
      </c>
      <c r="L26" s="193" t="s">
        <v>387</v>
      </c>
      <c r="M26" s="193" t="s">
        <v>378</v>
      </c>
      <c r="N26" s="193" t="s">
        <v>3028</v>
      </c>
      <c r="O26" s="193" t="s">
        <v>229</v>
      </c>
      <c r="P26" s="193" t="s">
        <v>228</v>
      </c>
      <c r="Q26" s="193" t="s">
        <v>27</v>
      </c>
      <c r="R26" s="193" t="s">
        <v>27</v>
      </c>
      <c r="S26" s="193" t="s">
        <v>214</v>
      </c>
      <c r="T26" s="193" t="s">
        <v>3029</v>
      </c>
      <c r="U26" s="193" t="s">
        <v>3030</v>
      </c>
      <c r="V26" s="193">
        <v>0</v>
      </c>
      <c r="W26" s="193">
        <v>0</v>
      </c>
      <c r="X26" s="193">
        <v>0</v>
      </c>
      <c r="Y26" s="194">
        <v>797</v>
      </c>
      <c r="Z26" s="193" t="s">
        <v>3031</v>
      </c>
      <c r="AA26" s="193" t="s">
        <v>27</v>
      </c>
      <c r="AB26" s="193">
        <v>797</v>
      </c>
      <c r="AC26" s="193" t="s">
        <v>3032</v>
      </c>
      <c r="AD26" s="193" t="s">
        <v>3033</v>
      </c>
      <c r="AE26" s="193">
        <v>797</v>
      </c>
      <c r="AF26" s="193" t="s">
        <v>3012</v>
      </c>
      <c r="AG26" s="193" t="s">
        <v>395</v>
      </c>
      <c r="AH26" s="193">
        <v>72</v>
      </c>
      <c r="AI26" s="193">
        <v>725</v>
      </c>
      <c r="AJ26" s="193" t="s">
        <v>214</v>
      </c>
      <c r="AL26" s="197" t="s">
        <v>3041</v>
      </c>
      <c r="AM26" s="193">
        <v>1</v>
      </c>
      <c r="AN26" s="193">
        <v>0</v>
      </c>
      <c r="AO26" s="193">
        <v>0</v>
      </c>
      <c r="AP26" s="566">
        <v>0</v>
      </c>
      <c r="AQ26" s="193" t="s">
        <v>214</v>
      </c>
      <c r="AS26" s="565" t="s">
        <v>3012</v>
      </c>
      <c r="AT26" s="565" t="s">
        <v>395</v>
      </c>
      <c r="AV26" s="194">
        <v>0</v>
      </c>
      <c r="AW26" s="194">
        <v>0</v>
      </c>
      <c r="AX26" s="194">
        <v>0</v>
      </c>
      <c r="AY26" s="551">
        <v>0</v>
      </c>
      <c r="AZ26" s="194">
        <v>0</v>
      </c>
      <c r="BA26" s="194">
        <v>797</v>
      </c>
      <c r="BB26" s="551">
        <v>797</v>
      </c>
      <c r="BC26" s="551">
        <v>797</v>
      </c>
      <c r="BD26" s="551">
        <v>0</v>
      </c>
      <c r="BF26" s="551">
        <f t="shared" si="21"/>
        <v>0</v>
      </c>
      <c r="BG26" s="551">
        <f t="shared" si="22"/>
        <v>0</v>
      </c>
      <c r="BH26" s="551">
        <f t="shared" si="23"/>
        <v>0</v>
      </c>
      <c r="BI26" s="551">
        <f t="shared" si="24"/>
        <v>0</v>
      </c>
      <c r="BJ26" s="551">
        <f t="shared" si="25"/>
        <v>0</v>
      </c>
      <c r="BK26" s="551">
        <f t="shared" si="26"/>
        <v>725</v>
      </c>
      <c r="BL26" s="551">
        <f t="shared" si="27"/>
        <v>725</v>
      </c>
      <c r="BM26" s="551">
        <f t="shared" si="28"/>
        <v>725</v>
      </c>
      <c r="BN26" s="194"/>
      <c r="BO26" s="193">
        <f t="shared" si="36"/>
        <v>0</v>
      </c>
      <c r="BP26" s="193">
        <f t="shared" si="37"/>
        <v>0</v>
      </c>
      <c r="BQ26" s="193">
        <f t="shared" si="38"/>
        <v>0</v>
      </c>
      <c r="BR26" s="193">
        <f t="shared" si="39"/>
        <v>0</v>
      </c>
      <c r="BS26" s="193">
        <f t="shared" si="40"/>
        <v>0</v>
      </c>
      <c r="BT26" s="193">
        <f t="shared" si="41"/>
        <v>-0.45454545454549589</v>
      </c>
      <c r="BU26" s="193">
        <f t="shared" si="42"/>
        <v>-0.45454545454549589</v>
      </c>
    </row>
    <row r="27" spans="1:73">
      <c r="A27" s="193" t="s">
        <v>378</v>
      </c>
      <c r="B27" s="193" t="s">
        <v>379</v>
      </c>
      <c r="C27" s="193" t="s">
        <v>214</v>
      </c>
      <c r="D27" s="193" t="s">
        <v>1165</v>
      </c>
      <c r="E27" s="193" t="s">
        <v>1166</v>
      </c>
      <c r="F27" s="193" t="s">
        <v>2409</v>
      </c>
      <c r="G27" s="193" t="s">
        <v>2409</v>
      </c>
      <c r="H27" s="199" t="s">
        <v>3039</v>
      </c>
      <c r="I27" s="193" t="s">
        <v>1508</v>
      </c>
      <c r="J27" s="193" t="s">
        <v>3042</v>
      </c>
      <c r="K27" s="193" t="s">
        <v>386</v>
      </c>
      <c r="L27" s="193" t="s">
        <v>387</v>
      </c>
      <c r="M27" s="193" t="s">
        <v>378</v>
      </c>
      <c r="N27" s="193" t="s">
        <v>3028</v>
      </c>
      <c r="O27" s="193" t="s">
        <v>229</v>
      </c>
      <c r="P27" s="193" t="s">
        <v>228</v>
      </c>
      <c r="Q27" s="193" t="s">
        <v>27</v>
      </c>
      <c r="R27" s="193" t="s">
        <v>27</v>
      </c>
      <c r="S27" s="193" t="s">
        <v>214</v>
      </c>
      <c r="T27" s="193" t="s">
        <v>3029</v>
      </c>
      <c r="U27" s="193" t="s">
        <v>3030</v>
      </c>
      <c r="V27" s="193">
        <v>0</v>
      </c>
      <c r="W27" s="193">
        <v>0</v>
      </c>
      <c r="X27" s="193">
        <v>0</v>
      </c>
      <c r="Y27" s="194">
        <v>377</v>
      </c>
      <c r="Z27" s="193" t="s">
        <v>3031</v>
      </c>
      <c r="AA27" s="193" t="s">
        <v>27</v>
      </c>
      <c r="AB27" s="193">
        <v>377</v>
      </c>
      <c r="AC27" s="193" t="s">
        <v>3032</v>
      </c>
      <c r="AD27" s="193" t="s">
        <v>3033</v>
      </c>
      <c r="AE27" s="193">
        <v>377</v>
      </c>
      <c r="AF27" s="193" t="s">
        <v>3012</v>
      </c>
      <c r="AG27" s="193" t="s">
        <v>395</v>
      </c>
      <c r="AH27" s="193">
        <v>32</v>
      </c>
      <c r="AI27" s="193">
        <v>345</v>
      </c>
      <c r="AJ27" s="193" t="s">
        <v>214</v>
      </c>
      <c r="AL27" s="197" t="s">
        <v>3043</v>
      </c>
      <c r="AM27" s="193">
        <v>1</v>
      </c>
      <c r="AN27" s="193">
        <v>0</v>
      </c>
      <c r="AO27" s="193">
        <v>0</v>
      </c>
      <c r="AP27" s="566">
        <v>0</v>
      </c>
      <c r="AQ27" s="193" t="s">
        <v>214</v>
      </c>
      <c r="AS27" s="565" t="s">
        <v>3012</v>
      </c>
      <c r="AT27" s="565" t="s">
        <v>395</v>
      </c>
      <c r="AV27" s="194">
        <v>0</v>
      </c>
      <c r="AW27" s="194">
        <v>0</v>
      </c>
      <c r="AX27" s="194">
        <v>0</v>
      </c>
      <c r="AY27" s="551">
        <v>0</v>
      </c>
      <c r="AZ27" s="194">
        <v>0</v>
      </c>
      <c r="BA27" s="194">
        <v>377</v>
      </c>
      <c r="BB27" s="551">
        <v>377</v>
      </c>
      <c r="BC27" s="551">
        <v>377</v>
      </c>
      <c r="BD27" s="551">
        <v>0</v>
      </c>
      <c r="BF27" s="551">
        <f t="shared" si="21"/>
        <v>0</v>
      </c>
      <c r="BG27" s="551">
        <f t="shared" si="22"/>
        <v>0</v>
      </c>
      <c r="BH27" s="551">
        <f t="shared" si="23"/>
        <v>0</v>
      </c>
      <c r="BI27" s="551">
        <f t="shared" si="24"/>
        <v>0</v>
      </c>
      <c r="BJ27" s="551">
        <f t="shared" si="25"/>
        <v>0</v>
      </c>
      <c r="BK27" s="551">
        <f t="shared" si="26"/>
        <v>343</v>
      </c>
      <c r="BL27" s="551">
        <f t="shared" si="27"/>
        <v>343</v>
      </c>
      <c r="BM27" s="551">
        <f t="shared" si="28"/>
        <v>343</v>
      </c>
      <c r="BN27" s="194"/>
      <c r="BO27" s="193">
        <f t="shared" si="36"/>
        <v>0</v>
      </c>
      <c r="BP27" s="193">
        <f t="shared" si="37"/>
        <v>0</v>
      </c>
      <c r="BQ27" s="193">
        <f t="shared" si="38"/>
        <v>0</v>
      </c>
      <c r="BR27" s="193">
        <f t="shared" si="39"/>
        <v>0</v>
      </c>
      <c r="BS27" s="193">
        <f t="shared" si="40"/>
        <v>0</v>
      </c>
      <c r="BT27" s="193">
        <f t="shared" si="41"/>
        <v>-0.27272727272725206</v>
      </c>
      <c r="BU27" s="193">
        <f t="shared" si="42"/>
        <v>-0.27272727272725206</v>
      </c>
    </row>
    <row r="28" spans="1:73">
      <c r="A28" s="193" t="s">
        <v>378</v>
      </c>
      <c r="B28" s="193" t="s">
        <v>379</v>
      </c>
      <c r="C28" s="193" t="s">
        <v>214</v>
      </c>
      <c r="D28" s="193" t="s">
        <v>1165</v>
      </c>
      <c r="E28" s="193" t="s">
        <v>1166</v>
      </c>
      <c r="F28" s="193" t="s">
        <v>2409</v>
      </c>
      <c r="G28" s="193" t="s">
        <v>2409</v>
      </c>
      <c r="H28" s="199" t="s">
        <v>3039</v>
      </c>
      <c r="I28" s="193" t="s">
        <v>1508</v>
      </c>
      <c r="J28" s="193" t="s">
        <v>3044</v>
      </c>
      <c r="K28" s="193" t="s">
        <v>386</v>
      </c>
      <c r="L28" s="193" t="s">
        <v>387</v>
      </c>
      <c r="M28" s="193" t="s">
        <v>378</v>
      </c>
      <c r="N28" s="193" t="s">
        <v>3028</v>
      </c>
      <c r="O28" s="193" t="s">
        <v>229</v>
      </c>
      <c r="P28" s="193" t="s">
        <v>228</v>
      </c>
      <c r="Q28" s="193" t="s">
        <v>27</v>
      </c>
      <c r="R28" s="193" t="s">
        <v>27</v>
      </c>
      <c r="S28" s="193" t="s">
        <v>214</v>
      </c>
      <c r="T28" s="193" t="s">
        <v>3029</v>
      </c>
      <c r="U28" s="193" t="s">
        <v>3030</v>
      </c>
      <c r="V28" s="193">
        <v>0</v>
      </c>
      <c r="W28" s="193">
        <v>0</v>
      </c>
      <c r="X28" s="193">
        <v>0</v>
      </c>
      <c r="Y28" s="194">
        <v>1117</v>
      </c>
      <c r="Z28" s="193" t="s">
        <v>3031</v>
      </c>
      <c r="AA28" s="193" t="s">
        <v>27</v>
      </c>
      <c r="AB28" s="193">
        <v>1117</v>
      </c>
      <c r="AC28" s="193" t="s">
        <v>3032</v>
      </c>
      <c r="AD28" s="193" t="s">
        <v>3033</v>
      </c>
      <c r="AE28" s="193">
        <v>1117</v>
      </c>
      <c r="AF28" s="193" t="s">
        <v>3012</v>
      </c>
      <c r="AG28" s="193" t="s">
        <v>395</v>
      </c>
      <c r="AH28" s="193">
        <v>101</v>
      </c>
      <c r="AI28" s="193">
        <v>1016</v>
      </c>
      <c r="AJ28" s="193" t="s">
        <v>214</v>
      </c>
      <c r="AL28" s="197" t="s">
        <v>3045</v>
      </c>
      <c r="AM28" s="193">
        <v>1</v>
      </c>
      <c r="AN28" s="193">
        <v>0</v>
      </c>
      <c r="AO28" s="193">
        <v>0</v>
      </c>
      <c r="AP28" s="566">
        <v>0</v>
      </c>
      <c r="AQ28" s="193" t="s">
        <v>214</v>
      </c>
      <c r="AS28" s="565" t="s">
        <v>3012</v>
      </c>
      <c r="AT28" s="565" t="s">
        <v>395</v>
      </c>
      <c r="AV28" s="194">
        <v>0</v>
      </c>
      <c r="AW28" s="194">
        <v>0</v>
      </c>
      <c r="AX28" s="194">
        <v>0</v>
      </c>
      <c r="AY28" s="551">
        <v>0</v>
      </c>
      <c r="AZ28" s="194">
        <v>0</v>
      </c>
      <c r="BA28" s="194">
        <v>1117</v>
      </c>
      <c r="BB28" s="551">
        <v>1117</v>
      </c>
      <c r="BC28" s="551">
        <v>1117</v>
      </c>
      <c r="BD28" s="551">
        <v>0</v>
      </c>
      <c r="BF28" s="551">
        <f t="shared" si="21"/>
        <v>0</v>
      </c>
      <c r="BG28" s="551">
        <f t="shared" si="22"/>
        <v>0</v>
      </c>
      <c r="BH28" s="551">
        <f t="shared" si="23"/>
        <v>0</v>
      </c>
      <c r="BI28" s="551">
        <f t="shared" si="24"/>
        <v>0</v>
      </c>
      <c r="BJ28" s="551">
        <f t="shared" si="25"/>
        <v>0</v>
      </c>
      <c r="BK28" s="551">
        <f t="shared" si="26"/>
        <v>1015</v>
      </c>
      <c r="BL28" s="551">
        <f t="shared" si="27"/>
        <v>1015</v>
      </c>
      <c r="BM28" s="551">
        <f t="shared" si="28"/>
        <v>1015</v>
      </c>
      <c r="BN28" s="194"/>
      <c r="BO28" s="193">
        <f t="shared" si="36"/>
        <v>0</v>
      </c>
      <c r="BP28" s="193">
        <f t="shared" si="37"/>
        <v>0</v>
      </c>
      <c r="BQ28" s="193">
        <f t="shared" si="38"/>
        <v>0</v>
      </c>
      <c r="BR28" s="193">
        <f t="shared" si="39"/>
        <v>0</v>
      </c>
      <c r="BS28" s="193">
        <f t="shared" si="40"/>
        <v>0</v>
      </c>
      <c r="BT28" s="193">
        <f t="shared" si="41"/>
        <v>0.45454545454549589</v>
      </c>
      <c r="BU28" s="193">
        <f t="shared" si="42"/>
        <v>0.45454545454549589</v>
      </c>
    </row>
    <row r="29" spans="1:73">
      <c r="A29" s="193" t="s">
        <v>378</v>
      </c>
      <c r="B29" s="193" t="s">
        <v>379</v>
      </c>
      <c r="C29" s="193" t="s">
        <v>214</v>
      </c>
      <c r="D29" s="193" t="s">
        <v>1165</v>
      </c>
      <c r="E29" s="193" t="s">
        <v>1166</v>
      </c>
      <c r="F29" s="193" t="s">
        <v>2817</v>
      </c>
      <c r="G29" s="193" t="s">
        <v>2817</v>
      </c>
      <c r="H29" s="199" t="s">
        <v>3046</v>
      </c>
      <c r="I29" s="193" t="s">
        <v>1508</v>
      </c>
      <c r="J29" s="193" t="s">
        <v>3047</v>
      </c>
      <c r="K29" s="193" t="s">
        <v>386</v>
      </c>
      <c r="L29" s="193" t="s">
        <v>387</v>
      </c>
      <c r="M29" s="193" t="s">
        <v>378</v>
      </c>
      <c r="N29" s="193" t="s">
        <v>3028</v>
      </c>
      <c r="O29" s="193" t="s">
        <v>229</v>
      </c>
      <c r="P29" s="193" t="s">
        <v>228</v>
      </c>
      <c r="Q29" s="193" t="s">
        <v>27</v>
      </c>
      <c r="R29" s="193" t="s">
        <v>27</v>
      </c>
      <c r="S29" s="193" t="s">
        <v>214</v>
      </c>
      <c r="T29" s="193" t="s">
        <v>3029</v>
      </c>
      <c r="U29" s="193" t="s">
        <v>3030</v>
      </c>
      <c r="V29" s="193">
        <v>0</v>
      </c>
      <c r="W29" s="193">
        <v>0</v>
      </c>
      <c r="X29" s="193">
        <v>0</v>
      </c>
      <c r="Y29" s="194">
        <v>455</v>
      </c>
      <c r="Z29" s="193" t="s">
        <v>3031</v>
      </c>
      <c r="AA29" s="193" t="s">
        <v>27</v>
      </c>
      <c r="AB29" s="193">
        <v>455</v>
      </c>
      <c r="AC29" s="193" t="s">
        <v>3032</v>
      </c>
      <c r="AD29" s="193" t="s">
        <v>3033</v>
      </c>
      <c r="AE29" s="193">
        <v>455</v>
      </c>
      <c r="AF29" s="193" t="s">
        <v>3012</v>
      </c>
      <c r="AG29" s="193" t="s">
        <v>395</v>
      </c>
      <c r="AH29" s="193">
        <v>41</v>
      </c>
      <c r="AI29" s="193">
        <v>414</v>
      </c>
      <c r="AJ29" s="193" t="s">
        <v>214</v>
      </c>
      <c r="AL29" s="197" t="s">
        <v>3048</v>
      </c>
      <c r="AM29" s="193">
        <v>1</v>
      </c>
      <c r="AN29" s="193">
        <v>0</v>
      </c>
      <c r="AO29" s="193">
        <v>0</v>
      </c>
      <c r="AP29" s="566">
        <v>0</v>
      </c>
      <c r="AQ29" s="193" t="s">
        <v>214</v>
      </c>
      <c r="AS29" s="565" t="s">
        <v>3012</v>
      </c>
      <c r="AT29" s="565" t="s">
        <v>395</v>
      </c>
      <c r="AV29" s="194">
        <v>0</v>
      </c>
      <c r="AW29" s="194">
        <v>0</v>
      </c>
      <c r="AX29" s="194">
        <v>0</v>
      </c>
      <c r="AY29" s="551">
        <v>0</v>
      </c>
      <c r="AZ29" s="194">
        <v>0</v>
      </c>
      <c r="BA29" s="194">
        <v>455</v>
      </c>
      <c r="BB29" s="551">
        <v>455</v>
      </c>
      <c r="BC29" s="551">
        <v>455</v>
      </c>
      <c r="BD29" s="551">
        <v>0</v>
      </c>
      <c r="BF29" s="551">
        <f t="shared" si="21"/>
        <v>0</v>
      </c>
      <c r="BG29" s="551">
        <f t="shared" si="22"/>
        <v>0</v>
      </c>
      <c r="BH29" s="551">
        <f t="shared" si="23"/>
        <v>0</v>
      </c>
      <c r="BI29" s="551">
        <f t="shared" si="24"/>
        <v>0</v>
      </c>
      <c r="BJ29" s="551">
        <f t="shared" si="25"/>
        <v>0</v>
      </c>
      <c r="BK29" s="551">
        <f t="shared" si="26"/>
        <v>414</v>
      </c>
      <c r="BL29" s="551">
        <f t="shared" si="27"/>
        <v>414</v>
      </c>
      <c r="BM29" s="551">
        <f t="shared" si="28"/>
        <v>414</v>
      </c>
      <c r="BN29" s="194"/>
      <c r="BO29" s="193">
        <f t="shared" si="36"/>
        <v>0</v>
      </c>
      <c r="BP29" s="193">
        <f t="shared" si="37"/>
        <v>0</v>
      </c>
      <c r="BQ29" s="193">
        <f t="shared" si="38"/>
        <v>0</v>
      </c>
      <c r="BR29" s="193">
        <f t="shared" si="39"/>
        <v>0</v>
      </c>
      <c r="BS29" s="193">
        <f t="shared" si="40"/>
        <v>0</v>
      </c>
      <c r="BT29" s="193">
        <f t="shared" si="41"/>
        <v>-0.36363636363637397</v>
      </c>
      <c r="BU29" s="193">
        <f t="shared" si="42"/>
        <v>-0.36363636363637397</v>
      </c>
    </row>
    <row r="30" spans="1:73">
      <c r="A30" s="193" t="s">
        <v>378</v>
      </c>
      <c r="B30" s="193" t="s">
        <v>379</v>
      </c>
      <c r="C30" s="193" t="s">
        <v>214</v>
      </c>
      <c r="D30" s="193" t="s">
        <v>1165</v>
      </c>
      <c r="E30" s="193" t="s">
        <v>1166</v>
      </c>
      <c r="F30" s="193" t="s">
        <v>2817</v>
      </c>
      <c r="G30" s="193" t="s">
        <v>2817</v>
      </c>
      <c r="H30" s="199" t="s">
        <v>3046</v>
      </c>
      <c r="I30" s="193" t="s">
        <v>1508</v>
      </c>
      <c r="J30" s="193" t="s">
        <v>3049</v>
      </c>
      <c r="K30" s="193" t="s">
        <v>386</v>
      </c>
      <c r="L30" s="193" t="s">
        <v>387</v>
      </c>
      <c r="M30" s="193" t="s">
        <v>378</v>
      </c>
      <c r="N30" s="193" t="s">
        <v>3028</v>
      </c>
      <c r="O30" s="193" t="s">
        <v>229</v>
      </c>
      <c r="P30" s="193" t="s">
        <v>228</v>
      </c>
      <c r="Q30" s="193" t="s">
        <v>27</v>
      </c>
      <c r="R30" s="193" t="s">
        <v>27</v>
      </c>
      <c r="S30" s="193" t="s">
        <v>214</v>
      </c>
      <c r="T30" s="193" t="s">
        <v>3029</v>
      </c>
      <c r="U30" s="193" t="s">
        <v>3030</v>
      </c>
      <c r="V30" s="193">
        <v>0</v>
      </c>
      <c r="W30" s="193">
        <v>0</v>
      </c>
      <c r="X30" s="193">
        <v>0</v>
      </c>
      <c r="Y30" s="194">
        <v>119045</v>
      </c>
      <c r="Z30" s="193" t="s">
        <v>3031</v>
      </c>
      <c r="AA30" s="193" t="s">
        <v>27</v>
      </c>
      <c r="AB30" s="193">
        <v>119045</v>
      </c>
      <c r="AC30" s="193" t="s">
        <v>3032</v>
      </c>
      <c r="AD30" s="193" t="s">
        <v>3033</v>
      </c>
      <c r="AE30" s="193">
        <v>119045</v>
      </c>
      <c r="AF30" s="193" t="s">
        <v>3012</v>
      </c>
      <c r="AG30" s="193" t="s">
        <v>395</v>
      </c>
      <c r="AH30" s="193">
        <v>10822</v>
      </c>
      <c r="AI30" s="193">
        <v>108223</v>
      </c>
      <c r="AJ30" s="193" t="s">
        <v>214</v>
      </c>
      <c r="AL30" s="197" t="s">
        <v>3050</v>
      </c>
      <c r="AM30" s="193">
        <v>1</v>
      </c>
      <c r="AN30" s="193">
        <v>0</v>
      </c>
      <c r="AO30" s="193">
        <v>0</v>
      </c>
      <c r="AP30" s="566">
        <v>0</v>
      </c>
      <c r="AQ30" s="193" t="s">
        <v>214</v>
      </c>
      <c r="AS30" s="565" t="s">
        <v>3012</v>
      </c>
      <c r="AT30" s="565" t="s">
        <v>395</v>
      </c>
      <c r="AV30" s="194">
        <v>0</v>
      </c>
      <c r="AW30" s="194">
        <v>0</v>
      </c>
      <c r="AX30" s="194">
        <v>0</v>
      </c>
      <c r="AY30" s="551">
        <v>0</v>
      </c>
      <c r="AZ30" s="194">
        <v>0</v>
      </c>
      <c r="BA30" s="194">
        <v>119045</v>
      </c>
      <c r="BB30" s="551">
        <v>119045</v>
      </c>
      <c r="BC30" s="551">
        <v>119045</v>
      </c>
      <c r="BD30" s="551">
        <v>0</v>
      </c>
      <c r="BF30" s="551">
        <f t="shared" si="21"/>
        <v>0</v>
      </c>
      <c r="BG30" s="551">
        <f t="shared" si="22"/>
        <v>0</v>
      </c>
      <c r="BH30" s="551">
        <f t="shared" si="23"/>
        <v>0</v>
      </c>
      <c r="BI30" s="551">
        <f t="shared" si="24"/>
        <v>0</v>
      </c>
      <c r="BJ30" s="551">
        <f t="shared" si="25"/>
        <v>0</v>
      </c>
      <c r="BK30" s="551">
        <f t="shared" si="26"/>
        <v>108223</v>
      </c>
      <c r="BL30" s="551">
        <f t="shared" si="27"/>
        <v>108223</v>
      </c>
      <c r="BM30" s="551">
        <f t="shared" si="28"/>
        <v>108223</v>
      </c>
      <c r="BN30" s="194"/>
      <c r="BO30" s="193">
        <f t="shared" si="36"/>
        <v>0</v>
      </c>
      <c r="BP30" s="193">
        <f t="shared" si="37"/>
        <v>0</v>
      </c>
      <c r="BQ30" s="193">
        <f t="shared" si="38"/>
        <v>0</v>
      </c>
      <c r="BR30" s="193">
        <f t="shared" si="39"/>
        <v>0</v>
      </c>
      <c r="BS30" s="193">
        <f t="shared" si="40"/>
        <v>0</v>
      </c>
      <c r="BT30" s="193">
        <f t="shared" si="41"/>
        <v>-0.27272727272065822</v>
      </c>
      <c r="BU30" s="193">
        <f t="shared" si="42"/>
        <v>-0.27272727272065822</v>
      </c>
    </row>
    <row r="31" spans="1:73">
      <c r="A31" s="193" t="s">
        <v>378</v>
      </c>
      <c r="B31" s="193" t="s">
        <v>379</v>
      </c>
      <c r="C31" s="193" t="s">
        <v>214</v>
      </c>
      <c r="D31" s="193" t="s">
        <v>1165</v>
      </c>
      <c r="E31" s="193" t="s">
        <v>1166</v>
      </c>
      <c r="F31" s="193" t="s">
        <v>710</v>
      </c>
      <c r="G31" s="193" t="s">
        <v>710</v>
      </c>
      <c r="H31" s="199" t="s">
        <v>3051</v>
      </c>
      <c r="I31" s="193" t="s">
        <v>1508</v>
      </c>
      <c r="J31" s="193" t="s">
        <v>3052</v>
      </c>
      <c r="K31" s="193" t="s">
        <v>386</v>
      </c>
      <c r="L31" s="193" t="s">
        <v>387</v>
      </c>
      <c r="M31" s="193" t="s">
        <v>378</v>
      </c>
      <c r="N31" s="193" t="s">
        <v>3028</v>
      </c>
      <c r="O31" s="193" t="s">
        <v>229</v>
      </c>
      <c r="P31" s="193" t="s">
        <v>228</v>
      </c>
      <c r="Q31" s="193" t="s">
        <v>27</v>
      </c>
      <c r="R31" s="193" t="s">
        <v>27</v>
      </c>
      <c r="S31" s="193" t="s">
        <v>214</v>
      </c>
      <c r="T31" s="193" t="s">
        <v>3029</v>
      </c>
      <c r="U31" s="193" t="s">
        <v>3030</v>
      </c>
      <c r="V31" s="193">
        <v>0</v>
      </c>
      <c r="W31" s="193">
        <v>0</v>
      </c>
      <c r="X31" s="193">
        <v>0</v>
      </c>
      <c r="Y31" s="194">
        <v>46834</v>
      </c>
      <c r="Z31" s="193" t="s">
        <v>3031</v>
      </c>
      <c r="AA31" s="193" t="s">
        <v>27</v>
      </c>
      <c r="AB31" s="193">
        <v>46834</v>
      </c>
      <c r="AC31" s="193" t="s">
        <v>3032</v>
      </c>
      <c r="AD31" s="193" t="s">
        <v>3033</v>
      </c>
      <c r="AE31" s="193">
        <v>46834</v>
      </c>
      <c r="AF31" s="193" t="s">
        <v>3012</v>
      </c>
      <c r="AG31" s="193" t="s">
        <v>395</v>
      </c>
      <c r="AH31" s="193">
        <v>4257</v>
      </c>
      <c r="AI31" s="193">
        <v>42577</v>
      </c>
      <c r="AJ31" s="193" t="s">
        <v>214</v>
      </c>
      <c r="AL31" s="197" t="s">
        <v>3053</v>
      </c>
      <c r="AM31" s="193">
        <v>1</v>
      </c>
      <c r="AN31" s="193">
        <v>0</v>
      </c>
      <c r="AO31" s="193">
        <v>0</v>
      </c>
      <c r="AP31" s="566">
        <v>0</v>
      </c>
      <c r="AQ31" s="193" t="s">
        <v>214</v>
      </c>
      <c r="AS31" s="565" t="s">
        <v>3012</v>
      </c>
      <c r="AT31" s="565" t="s">
        <v>395</v>
      </c>
      <c r="AV31" s="194">
        <v>0</v>
      </c>
      <c r="AW31" s="194">
        <v>0</v>
      </c>
      <c r="AX31" s="194">
        <v>0</v>
      </c>
      <c r="AY31" s="551">
        <v>0</v>
      </c>
      <c r="AZ31" s="194">
        <v>0</v>
      </c>
      <c r="BA31" s="194">
        <v>46834</v>
      </c>
      <c r="BB31" s="551">
        <v>46834</v>
      </c>
      <c r="BC31" s="551">
        <v>46834</v>
      </c>
      <c r="BD31" s="551">
        <v>0</v>
      </c>
      <c r="BF31" s="551">
        <f t="shared" si="21"/>
        <v>0</v>
      </c>
      <c r="BG31" s="551">
        <f t="shared" si="22"/>
        <v>0</v>
      </c>
      <c r="BH31" s="551">
        <f t="shared" si="23"/>
        <v>0</v>
      </c>
      <c r="BI31" s="551">
        <f t="shared" si="24"/>
        <v>0</v>
      </c>
      <c r="BJ31" s="551">
        <f t="shared" si="25"/>
        <v>0</v>
      </c>
      <c r="BK31" s="551">
        <f t="shared" si="26"/>
        <v>42576</v>
      </c>
      <c r="BL31" s="551">
        <f t="shared" si="27"/>
        <v>42576</v>
      </c>
      <c r="BM31" s="551">
        <f t="shared" si="28"/>
        <v>42576</v>
      </c>
      <c r="BN31" s="194"/>
      <c r="BO31" s="193">
        <f t="shared" si="36"/>
        <v>0</v>
      </c>
      <c r="BP31" s="193">
        <f t="shared" si="37"/>
        <v>0</v>
      </c>
      <c r="BQ31" s="193">
        <f t="shared" si="38"/>
        <v>0</v>
      </c>
      <c r="BR31" s="193">
        <f t="shared" si="39"/>
        <v>0</v>
      </c>
      <c r="BS31" s="193">
        <f t="shared" si="40"/>
        <v>0</v>
      </c>
      <c r="BT31" s="193">
        <f t="shared" si="41"/>
        <v>0.36363636363967089</v>
      </c>
      <c r="BU31" s="193">
        <f t="shared" si="42"/>
        <v>0.36363636363967089</v>
      </c>
    </row>
    <row r="32" spans="1:73">
      <c r="A32" s="193" t="s">
        <v>378</v>
      </c>
      <c r="B32" s="193" t="s">
        <v>379</v>
      </c>
      <c r="C32" s="193" t="s">
        <v>214</v>
      </c>
      <c r="D32" s="193" t="s">
        <v>1165</v>
      </c>
      <c r="E32" s="193" t="s">
        <v>1166</v>
      </c>
      <c r="F32" s="193" t="s">
        <v>710</v>
      </c>
      <c r="G32" s="193" t="s">
        <v>710</v>
      </c>
      <c r="H32" s="199" t="s">
        <v>3051</v>
      </c>
      <c r="I32" s="193" t="s">
        <v>1508</v>
      </c>
      <c r="J32" s="193" t="s">
        <v>3054</v>
      </c>
      <c r="K32" s="193" t="s">
        <v>386</v>
      </c>
      <c r="L32" s="193" t="s">
        <v>387</v>
      </c>
      <c r="M32" s="193" t="s">
        <v>378</v>
      </c>
      <c r="N32" s="193" t="s">
        <v>3028</v>
      </c>
      <c r="O32" s="193" t="s">
        <v>229</v>
      </c>
      <c r="P32" s="193" t="s">
        <v>228</v>
      </c>
      <c r="Q32" s="193" t="s">
        <v>27</v>
      </c>
      <c r="R32" s="193" t="s">
        <v>27</v>
      </c>
      <c r="S32" s="193" t="s">
        <v>214</v>
      </c>
      <c r="T32" s="193" t="s">
        <v>3029</v>
      </c>
      <c r="U32" s="193" t="s">
        <v>3030</v>
      </c>
      <c r="V32" s="193">
        <v>0</v>
      </c>
      <c r="W32" s="193">
        <v>0</v>
      </c>
      <c r="X32" s="193">
        <v>0</v>
      </c>
      <c r="Y32" s="194">
        <v>139433</v>
      </c>
      <c r="Z32" s="193" t="s">
        <v>3031</v>
      </c>
      <c r="AA32" s="193" t="s">
        <v>27</v>
      </c>
      <c r="AB32" s="193">
        <v>139433</v>
      </c>
      <c r="AC32" s="193" t="s">
        <v>3032</v>
      </c>
      <c r="AD32" s="193" t="s">
        <v>3033</v>
      </c>
      <c r="AE32" s="193">
        <v>139433</v>
      </c>
      <c r="AF32" s="193" t="s">
        <v>3012</v>
      </c>
      <c r="AG32" s="193" t="s">
        <v>395</v>
      </c>
      <c r="AH32" s="193">
        <v>12675</v>
      </c>
      <c r="AI32" s="193">
        <v>126758</v>
      </c>
      <c r="AJ32" s="193" t="s">
        <v>214</v>
      </c>
      <c r="AL32" s="197" t="s">
        <v>3055</v>
      </c>
      <c r="AM32" s="193">
        <v>1</v>
      </c>
      <c r="AN32" s="193">
        <v>0</v>
      </c>
      <c r="AO32" s="193">
        <v>0</v>
      </c>
      <c r="AP32" s="566">
        <v>0</v>
      </c>
      <c r="AQ32" s="193" t="s">
        <v>214</v>
      </c>
      <c r="AS32" s="565" t="s">
        <v>3012</v>
      </c>
      <c r="AT32" s="565" t="s">
        <v>395</v>
      </c>
      <c r="AV32" s="194">
        <v>0</v>
      </c>
      <c r="AW32" s="194">
        <v>0</v>
      </c>
      <c r="AX32" s="194">
        <v>0</v>
      </c>
      <c r="AY32" s="551">
        <v>0</v>
      </c>
      <c r="AZ32" s="194">
        <v>0</v>
      </c>
      <c r="BA32" s="194">
        <v>139433</v>
      </c>
      <c r="BB32" s="551">
        <v>139433</v>
      </c>
      <c r="BC32" s="551">
        <v>139433</v>
      </c>
      <c r="BD32" s="551">
        <v>0</v>
      </c>
      <c r="BF32" s="551">
        <f t="shared" si="21"/>
        <v>0</v>
      </c>
      <c r="BG32" s="551">
        <f t="shared" si="22"/>
        <v>0</v>
      </c>
      <c r="BH32" s="551">
        <f t="shared" si="23"/>
        <v>0</v>
      </c>
      <c r="BI32" s="551">
        <f t="shared" si="24"/>
        <v>0</v>
      </c>
      <c r="BJ32" s="551">
        <f t="shared" si="25"/>
        <v>0</v>
      </c>
      <c r="BK32" s="551">
        <f t="shared" si="26"/>
        <v>126757</v>
      </c>
      <c r="BL32" s="551">
        <f t="shared" si="27"/>
        <v>126757</v>
      </c>
      <c r="BM32" s="551">
        <f t="shared" si="28"/>
        <v>126757</v>
      </c>
      <c r="BN32" s="194"/>
      <c r="BO32" s="193">
        <f t="shared" si="36"/>
        <v>0</v>
      </c>
      <c r="BP32" s="193">
        <f t="shared" si="37"/>
        <v>0</v>
      </c>
      <c r="BQ32" s="193">
        <f t="shared" si="38"/>
        <v>0</v>
      </c>
      <c r="BR32" s="193">
        <f t="shared" si="39"/>
        <v>0</v>
      </c>
      <c r="BS32" s="193">
        <f t="shared" si="40"/>
        <v>0</v>
      </c>
      <c r="BT32" s="193">
        <f t="shared" si="41"/>
        <v>0.27272727272065822</v>
      </c>
      <c r="BU32" s="193">
        <f t="shared" si="42"/>
        <v>0.27272727272065822</v>
      </c>
    </row>
    <row r="33" spans="1:73">
      <c r="A33" s="193" t="s">
        <v>378</v>
      </c>
      <c r="B33" s="193" t="s">
        <v>379</v>
      </c>
      <c r="C33" s="193" t="s">
        <v>214</v>
      </c>
      <c r="D33" s="193" t="s">
        <v>1165</v>
      </c>
      <c r="E33" s="193" t="s">
        <v>1166</v>
      </c>
      <c r="F33" s="193" t="s">
        <v>1525</v>
      </c>
      <c r="G33" s="193" t="s">
        <v>1525</v>
      </c>
      <c r="H33" s="199" t="s">
        <v>3056</v>
      </c>
      <c r="I33" s="193" t="s">
        <v>1508</v>
      </c>
      <c r="J33" s="193" t="s">
        <v>3057</v>
      </c>
      <c r="K33" s="193" t="s">
        <v>386</v>
      </c>
      <c r="L33" s="193" t="s">
        <v>387</v>
      </c>
      <c r="M33" s="193" t="s">
        <v>378</v>
      </c>
      <c r="N33" s="193" t="s">
        <v>3028</v>
      </c>
      <c r="O33" s="193" t="s">
        <v>229</v>
      </c>
      <c r="P33" s="193" t="s">
        <v>228</v>
      </c>
      <c r="Q33" s="193" t="s">
        <v>27</v>
      </c>
      <c r="R33" s="193" t="s">
        <v>27</v>
      </c>
      <c r="S33" s="193" t="s">
        <v>214</v>
      </c>
      <c r="T33" s="193" t="s">
        <v>3029</v>
      </c>
      <c r="U33" s="193" t="s">
        <v>3030</v>
      </c>
      <c r="V33" s="193">
        <v>0</v>
      </c>
      <c r="W33" s="193">
        <v>0</v>
      </c>
      <c r="X33" s="193">
        <v>0</v>
      </c>
      <c r="Y33" s="194">
        <v>288</v>
      </c>
      <c r="Z33" s="193" t="s">
        <v>3031</v>
      </c>
      <c r="AA33" s="193" t="s">
        <v>27</v>
      </c>
      <c r="AB33" s="193">
        <v>288</v>
      </c>
      <c r="AC33" s="193" t="s">
        <v>3032</v>
      </c>
      <c r="AD33" s="193" t="s">
        <v>3033</v>
      </c>
      <c r="AE33" s="193">
        <v>288</v>
      </c>
      <c r="AF33" s="193" t="s">
        <v>3012</v>
      </c>
      <c r="AG33" s="193" t="s">
        <v>395</v>
      </c>
      <c r="AH33" s="193">
        <v>26</v>
      </c>
      <c r="AI33" s="193">
        <v>262</v>
      </c>
      <c r="AJ33" s="193" t="s">
        <v>214</v>
      </c>
      <c r="AL33" s="197" t="s">
        <v>3058</v>
      </c>
      <c r="AM33" s="193">
        <v>1</v>
      </c>
      <c r="AN33" s="193">
        <v>0</v>
      </c>
      <c r="AO33" s="193">
        <v>0</v>
      </c>
      <c r="AP33" s="566">
        <v>0</v>
      </c>
      <c r="AQ33" s="193" t="s">
        <v>214</v>
      </c>
      <c r="AS33" s="565" t="s">
        <v>3012</v>
      </c>
      <c r="AT33" s="565" t="s">
        <v>395</v>
      </c>
      <c r="AV33" s="194">
        <v>0</v>
      </c>
      <c r="AW33" s="194">
        <v>0</v>
      </c>
      <c r="AX33" s="194">
        <v>0</v>
      </c>
      <c r="AY33" s="551">
        <v>0</v>
      </c>
      <c r="AZ33" s="194">
        <v>0</v>
      </c>
      <c r="BA33" s="194">
        <v>288</v>
      </c>
      <c r="BB33" s="551">
        <v>288</v>
      </c>
      <c r="BC33" s="551">
        <v>288</v>
      </c>
      <c r="BD33" s="551">
        <v>0</v>
      </c>
      <c r="BF33" s="551">
        <f t="shared" si="21"/>
        <v>0</v>
      </c>
      <c r="BG33" s="551">
        <f t="shared" si="22"/>
        <v>0</v>
      </c>
      <c r="BH33" s="551">
        <f t="shared" si="23"/>
        <v>0</v>
      </c>
      <c r="BI33" s="551">
        <f t="shared" si="24"/>
        <v>0</v>
      </c>
      <c r="BJ33" s="551">
        <f t="shared" si="25"/>
        <v>0</v>
      </c>
      <c r="BK33" s="551">
        <f t="shared" si="26"/>
        <v>262</v>
      </c>
      <c r="BL33" s="551">
        <f t="shared" si="27"/>
        <v>262</v>
      </c>
      <c r="BM33" s="551">
        <f t="shared" si="28"/>
        <v>262</v>
      </c>
      <c r="BN33" s="194"/>
      <c r="BO33" s="193">
        <f t="shared" si="36"/>
        <v>0</v>
      </c>
      <c r="BP33" s="193">
        <f t="shared" si="37"/>
        <v>0</v>
      </c>
      <c r="BQ33" s="193">
        <f t="shared" si="38"/>
        <v>0</v>
      </c>
      <c r="BR33" s="193">
        <f t="shared" si="39"/>
        <v>0</v>
      </c>
      <c r="BS33" s="193">
        <f t="shared" si="40"/>
        <v>0</v>
      </c>
      <c r="BT33" s="193">
        <f t="shared" si="41"/>
        <v>-0.18181818181818699</v>
      </c>
      <c r="BU33" s="193">
        <f t="shared" si="42"/>
        <v>-0.18181818181818699</v>
      </c>
    </row>
    <row r="34" spans="1:73">
      <c r="A34" s="193" t="s">
        <v>378</v>
      </c>
      <c r="B34" s="193" t="s">
        <v>379</v>
      </c>
      <c r="C34" s="193" t="s">
        <v>214</v>
      </c>
      <c r="D34" s="193" t="s">
        <v>1165</v>
      </c>
      <c r="E34" s="193" t="s">
        <v>1166</v>
      </c>
      <c r="F34" s="193" t="s">
        <v>1525</v>
      </c>
      <c r="G34" s="193" t="s">
        <v>1525</v>
      </c>
      <c r="H34" s="199" t="s">
        <v>3056</v>
      </c>
      <c r="I34" s="193" t="s">
        <v>1508</v>
      </c>
      <c r="J34" s="193" t="s">
        <v>3059</v>
      </c>
      <c r="K34" s="193" t="s">
        <v>386</v>
      </c>
      <c r="L34" s="193" t="s">
        <v>387</v>
      </c>
      <c r="M34" s="193" t="s">
        <v>378</v>
      </c>
      <c r="N34" s="193" t="s">
        <v>3028</v>
      </c>
      <c r="O34" s="193" t="s">
        <v>229</v>
      </c>
      <c r="P34" s="193" t="s">
        <v>228</v>
      </c>
      <c r="Q34" s="193" t="s">
        <v>27</v>
      </c>
      <c r="R34" s="193" t="s">
        <v>27</v>
      </c>
      <c r="S34" s="193" t="s">
        <v>214</v>
      </c>
      <c r="T34" s="193" t="s">
        <v>3029</v>
      </c>
      <c r="U34" s="193" t="s">
        <v>3030</v>
      </c>
      <c r="V34" s="193">
        <v>0</v>
      </c>
      <c r="W34" s="193">
        <v>0</v>
      </c>
      <c r="X34" s="193">
        <v>0</v>
      </c>
      <c r="Y34" s="194">
        <v>765</v>
      </c>
      <c r="Z34" s="193" t="s">
        <v>3031</v>
      </c>
      <c r="AA34" s="193" t="s">
        <v>27</v>
      </c>
      <c r="AB34" s="193">
        <v>765</v>
      </c>
      <c r="AC34" s="193" t="s">
        <v>3032</v>
      </c>
      <c r="AD34" s="193" t="s">
        <v>3033</v>
      </c>
      <c r="AE34" s="193">
        <v>765</v>
      </c>
      <c r="AF34" s="193" t="s">
        <v>3012</v>
      </c>
      <c r="AG34" s="193" t="s">
        <v>395</v>
      </c>
      <c r="AH34" s="193">
        <v>69</v>
      </c>
      <c r="AI34" s="193">
        <v>696</v>
      </c>
      <c r="AJ34" s="193" t="s">
        <v>214</v>
      </c>
      <c r="AL34" s="197" t="s">
        <v>3060</v>
      </c>
      <c r="AM34" s="193">
        <v>1</v>
      </c>
      <c r="AN34" s="193">
        <v>0</v>
      </c>
      <c r="AO34" s="193">
        <v>0</v>
      </c>
      <c r="AP34" s="566">
        <v>0</v>
      </c>
      <c r="AQ34" s="193" t="s">
        <v>214</v>
      </c>
      <c r="AS34" s="565" t="s">
        <v>3012</v>
      </c>
      <c r="AT34" s="565" t="s">
        <v>395</v>
      </c>
      <c r="AV34" s="194">
        <v>0</v>
      </c>
      <c r="AW34" s="194">
        <v>0</v>
      </c>
      <c r="AX34" s="194">
        <v>0</v>
      </c>
      <c r="AY34" s="551">
        <v>0</v>
      </c>
      <c r="AZ34" s="194">
        <v>0</v>
      </c>
      <c r="BA34" s="194">
        <v>765</v>
      </c>
      <c r="BB34" s="551">
        <v>765</v>
      </c>
      <c r="BC34" s="551">
        <v>765</v>
      </c>
      <c r="BD34" s="551">
        <v>0</v>
      </c>
      <c r="BF34" s="551">
        <f t="shared" si="21"/>
        <v>0</v>
      </c>
      <c r="BG34" s="551">
        <f t="shared" si="22"/>
        <v>0</v>
      </c>
      <c r="BH34" s="551">
        <f t="shared" si="23"/>
        <v>0</v>
      </c>
      <c r="BI34" s="551">
        <f t="shared" si="24"/>
        <v>0</v>
      </c>
      <c r="BJ34" s="551">
        <f t="shared" si="25"/>
        <v>0</v>
      </c>
      <c r="BK34" s="551">
        <f t="shared" si="26"/>
        <v>695</v>
      </c>
      <c r="BL34" s="551">
        <f t="shared" si="27"/>
        <v>695</v>
      </c>
      <c r="BM34" s="551">
        <f t="shared" si="28"/>
        <v>695</v>
      </c>
      <c r="BN34" s="194"/>
      <c r="BO34" s="193">
        <f t="shared" si="36"/>
        <v>0</v>
      </c>
      <c r="BP34" s="193">
        <f t="shared" si="37"/>
        <v>0</v>
      </c>
      <c r="BQ34" s="193">
        <f t="shared" si="38"/>
        <v>0</v>
      </c>
      <c r="BR34" s="193">
        <f t="shared" si="39"/>
        <v>0</v>
      </c>
      <c r="BS34" s="193">
        <f t="shared" si="40"/>
        <v>0</v>
      </c>
      <c r="BT34" s="193">
        <f t="shared" si="41"/>
        <v>0.45454545454549589</v>
      </c>
      <c r="BU34" s="193">
        <f t="shared" si="42"/>
        <v>0.45454545454549589</v>
      </c>
    </row>
    <row r="35" spans="1:73">
      <c r="A35" s="193" t="s">
        <v>378</v>
      </c>
      <c r="B35" s="193" t="s">
        <v>379</v>
      </c>
      <c r="C35" s="193" t="s">
        <v>214</v>
      </c>
      <c r="D35" s="193" t="s">
        <v>1165</v>
      </c>
      <c r="E35" s="193" t="s">
        <v>1166</v>
      </c>
      <c r="F35" s="193" t="s">
        <v>439</v>
      </c>
      <c r="G35" s="193" t="s">
        <v>439</v>
      </c>
      <c r="H35" s="199" t="s">
        <v>3061</v>
      </c>
      <c r="I35" s="193" t="s">
        <v>1508</v>
      </c>
      <c r="J35" s="193" t="s">
        <v>3062</v>
      </c>
      <c r="K35" s="193" t="s">
        <v>386</v>
      </c>
      <c r="L35" s="193" t="s">
        <v>387</v>
      </c>
      <c r="M35" s="193" t="s">
        <v>378</v>
      </c>
      <c r="N35" s="193" t="s">
        <v>3028</v>
      </c>
      <c r="O35" s="193" t="s">
        <v>229</v>
      </c>
      <c r="P35" s="193" t="s">
        <v>228</v>
      </c>
      <c r="Q35" s="193" t="s">
        <v>27</v>
      </c>
      <c r="R35" s="193" t="s">
        <v>27</v>
      </c>
      <c r="S35" s="193" t="s">
        <v>214</v>
      </c>
      <c r="T35" s="193" t="s">
        <v>3029</v>
      </c>
      <c r="U35" s="193" t="s">
        <v>3030</v>
      </c>
      <c r="V35" s="193">
        <v>0</v>
      </c>
      <c r="W35" s="193">
        <v>0</v>
      </c>
      <c r="X35" s="193">
        <v>0</v>
      </c>
      <c r="Y35" s="194">
        <v>5363</v>
      </c>
      <c r="Z35" s="193" t="s">
        <v>3031</v>
      </c>
      <c r="AA35" s="193" t="s">
        <v>27</v>
      </c>
      <c r="AB35" s="193">
        <v>5363</v>
      </c>
      <c r="AC35" s="193" t="s">
        <v>3032</v>
      </c>
      <c r="AD35" s="193" t="s">
        <v>3033</v>
      </c>
      <c r="AE35" s="193">
        <v>5363</v>
      </c>
      <c r="AF35" s="193" t="s">
        <v>3012</v>
      </c>
      <c r="AG35" s="193" t="s">
        <v>395</v>
      </c>
      <c r="AH35" s="193">
        <v>487</v>
      </c>
      <c r="AI35" s="193">
        <v>4876</v>
      </c>
      <c r="AJ35" s="193" t="s">
        <v>214</v>
      </c>
      <c r="AL35" s="197" t="s">
        <v>3063</v>
      </c>
      <c r="AM35" s="193">
        <v>1</v>
      </c>
      <c r="AN35" s="193">
        <v>0</v>
      </c>
      <c r="AO35" s="193">
        <v>0</v>
      </c>
      <c r="AP35" s="566">
        <v>0</v>
      </c>
      <c r="AQ35" s="193" t="s">
        <v>214</v>
      </c>
      <c r="AS35" s="565" t="s">
        <v>3012</v>
      </c>
      <c r="AT35" s="565" t="s">
        <v>395</v>
      </c>
      <c r="AV35" s="194">
        <v>0</v>
      </c>
      <c r="AW35" s="194">
        <v>0</v>
      </c>
      <c r="AX35" s="194">
        <v>0</v>
      </c>
      <c r="AY35" s="551">
        <v>0</v>
      </c>
      <c r="AZ35" s="194">
        <v>0</v>
      </c>
      <c r="BA35" s="194">
        <v>5363</v>
      </c>
      <c r="BB35" s="551">
        <v>5363</v>
      </c>
      <c r="BC35" s="551">
        <v>5363</v>
      </c>
      <c r="BD35" s="551">
        <v>0</v>
      </c>
      <c r="BF35" s="551">
        <f t="shared" si="21"/>
        <v>0</v>
      </c>
      <c r="BG35" s="551">
        <f t="shared" si="22"/>
        <v>0</v>
      </c>
      <c r="BH35" s="551">
        <f t="shared" si="23"/>
        <v>0</v>
      </c>
      <c r="BI35" s="551">
        <f t="shared" si="24"/>
        <v>0</v>
      </c>
      <c r="BJ35" s="551">
        <f t="shared" si="25"/>
        <v>0</v>
      </c>
      <c r="BK35" s="551">
        <f t="shared" si="26"/>
        <v>4875</v>
      </c>
      <c r="BL35" s="551">
        <f t="shared" si="27"/>
        <v>4875</v>
      </c>
      <c r="BM35" s="551">
        <f t="shared" si="28"/>
        <v>4875</v>
      </c>
      <c r="BN35" s="194"/>
      <c r="BO35" s="193">
        <f t="shared" si="36"/>
        <v>0</v>
      </c>
      <c r="BP35" s="193">
        <f t="shared" si="37"/>
        <v>0</v>
      </c>
      <c r="BQ35" s="193">
        <f t="shared" si="38"/>
        <v>0</v>
      </c>
      <c r="BR35" s="193">
        <f t="shared" si="39"/>
        <v>0</v>
      </c>
      <c r="BS35" s="193">
        <f t="shared" si="40"/>
        <v>0</v>
      </c>
      <c r="BT35" s="193">
        <f t="shared" si="41"/>
        <v>0.45454545454504114</v>
      </c>
      <c r="BU35" s="193">
        <f t="shared" si="42"/>
        <v>0.45454545454504114</v>
      </c>
    </row>
    <row r="36" spans="1:73">
      <c r="A36" s="193" t="s">
        <v>378</v>
      </c>
      <c r="B36" s="193" t="s">
        <v>379</v>
      </c>
      <c r="C36" s="193" t="s">
        <v>214</v>
      </c>
      <c r="D36" s="193" t="s">
        <v>1165</v>
      </c>
      <c r="E36" s="193" t="s">
        <v>1166</v>
      </c>
      <c r="F36" s="193" t="s">
        <v>2939</v>
      </c>
      <c r="G36" s="193" t="s">
        <v>2939</v>
      </c>
      <c r="H36" s="199" t="s">
        <v>3064</v>
      </c>
      <c r="I36" s="193" t="s">
        <v>1508</v>
      </c>
      <c r="J36" s="193" t="s">
        <v>3065</v>
      </c>
      <c r="K36" s="193" t="s">
        <v>386</v>
      </c>
      <c r="L36" s="193" t="s">
        <v>387</v>
      </c>
      <c r="M36" s="193" t="s">
        <v>378</v>
      </c>
      <c r="N36" s="193" t="s">
        <v>3028</v>
      </c>
      <c r="O36" s="193" t="s">
        <v>229</v>
      </c>
      <c r="P36" s="193" t="s">
        <v>228</v>
      </c>
      <c r="Q36" s="193" t="s">
        <v>27</v>
      </c>
      <c r="R36" s="193" t="s">
        <v>27</v>
      </c>
      <c r="S36" s="193" t="s">
        <v>214</v>
      </c>
      <c r="T36" s="193" t="s">
        <v>3029</v>
      </c>
      <c r="U36" s="193" t="s">
        <v>3030</v>
      </c>
      <c r="V36" s="193">
        <v>0</v>
      </c>
      <c r="W36" s="193">
        <v>0</v>
      </c>
      <c r="X36" s="193">
        <v>0</v>
      </c>
      <c r="Y36" s="194">
        <v>932</v>
      </c>
      <c r="Z36" s="193" t="s">
        <v>3031</v>
      </c>
      <c r="AA36" s="193" t="s">
        <v>27</v>
      </c>
      <c r="AB36" s="193">
        <v>932</v>
      </c>
      <c r="AC36" s="193" t="s">
        <v>3032</v>
      </c>
      <c r="AD36" s="193" t="s">
        <v>3033</v>
      </c>
      <c r="AE36" s="193">
        <v>932</v>
      </c>
      <c r="AF36" s="193" t="s">
        <v>3012</v>
      </c>
      <c r="AG36" s="193" t="s">
        <v>395</v>
      </c>
      <c r="AH36" s="193">
        <v>84</v>
      </c>
      <c r="AI36" s="193">
        <v>848</v>
      </c>
      <c r="AJ36" s="193" t="s">
        <v>214</v>
      </c>
      <c r="AL36" s="197" t="s">
        <v>3066</v>
      </c>
      <c r="AM36" s="193">
        <v>1</v>
      </c>
      <c r="AN36" s="193">
        <v>0</v>
      </c>
      <c r="AO36" s="193">
        <v>0</v>
      </c>
      <c r="AP36" s="566">
        <v>0</v>
      </c>
      <c r="AQ36" s="193" t="s">
        <v>214</v>
      </c>
      <c r="AS36" s="565" t="s">
        <v>3012</v>
      </c>
      <c r="AT36" s="565" t="s">
        <v>395</v>
      </c>
      <c r="AV36" s="194">
        <v>0</v>
      </c>
      <c r="AW36" s="194">
        <v>0</v>
      </c>
      <c r="AX36" s="194">
        <v>0</v>
      </c>
      <c r="AY36" s="551">
        <v>0</v>
      </c>
      <c r="AZ36" s="194">
        <v>0</v>
      </c>
      <c r="BA36" s="194">
        <v>932</v>
      </c>
      <c r="BB36" s="551">
        <v>932</v>
      </c>
      <c r="BC36" s="551">
        <v>932</v>
      </c>
      <c r="BD36" s="551">
        <v>0</v>
      </c>
      <c r="BF36" s="551">
        <f t="shared" si="21"/>
        <v>0</v>
      </c>
      <c r="BG36" s="551">
        <f t="shared" si="22"/>
        <v>0</v>
      </c>
      <c r="BH36" s="551">
        <f t="shared" si="23"/>
        <v>0</v>
      </c>
      <c r="BI36" s="551">
        <f t="shared" si="24"/>
        <v>0</v>
      </c>
      <c r="BJ36" s="551">
        <f t="shared" si="25"/>
        <v>0</v>
      </c>
      <c r="BK36" s="551">
        <f t="shared" si="26"/>
        <v>847</v>
      </c>
      <c r="BL36" s="551">
        <f t="shared" si="27"/>
        <v>847</v>
      </c>
      <c r="BM36" s="551">
        <f t="shared" si="28"/>
        <v>847</v>
      </c>
      <c r="BN36" s="194"/>
      <c r="BO36" s="193">
        <f t="shared" si="36"/>
        <v>0</v>
      </c>
      <c r="BP36" s="193">
        <f t="shared" si="37"/>
        <v>0</v>
      </c>
      <c r="BQ36" s="193">
        <f t="shared" si="38"/>
        <v>0</v>
      </c>
      <c r="BR36" s="193">
        <f t="shared" si="39"/>
        <v>0</v>
      </c>
      <c r="BS36" s="193">
        <f t="shared" si="40"/>
        <v>0</v>
      </c>
      <c r="BT36" s="193">
        <f t="shared" si="41"/>
        <v>0.27272727272725206</v>
      </c>
      <c r="BU36" s="193">
        <f t="shared" si="42"/>
        <v>0.27272727272725206</v>
      </c>
    </row>
    <row r="37" spans="1:73">
      <c r="A37" s="193" t="s">
        <v>378</v>
      </c>
      <c r="B37" s="193" t="s">
        <v>379</v>
      </c>
      <c r="C37" s="193" t="s">
        <v>214</v>
      </c>
      <c r="D37" s="193" t="s">
        <v>1165</v>
      </c>
      <c r="E37" s="193" t="s">
        <v>1166</v>
      </c>
      <c r="F37" s="193" t="s">
        <v>2939</v>
      </c>
      <c r="G37" s="193" t="s">
        <v>2939</v>
      </c>
      <c r="H37" s="199" t="s">
        <v>3064</v>
      </c>
      <c r="I37" s="193" t="s">
        <v>1508</v>
      </c>
      <c r="J37" s="193" t="s">
        <v>3067</v>
      </c>
      <c r="K37" s="193" t="s">
        <v>386</v>
      </c>
      <c r="L37" s="193" t="s">
        <v>387</v>
      </c>
      <c r="M37" s="193" t="s">
        <v>378</v>
      </c>
      <c r="N37" s="193" t="s">
        <v>3028</v>
      </c>
      <c r="O37" s="193" t="s">
        <v>229</v>
      </c>
      <c r="P37" s="193" t="s">
        <v>228</v>
      </c>
      <c r="Q37" s="193" t="s">
        <v>27</v>
      </c>
      <c r="R37" s="193" t="s">
        <v>27</v>
      </c>
      <c r="S37" s="193" t="s">
        <v>214</v>
      </c>
      <c r="T37" s="193" t="s">
        <v>3029</v>
      </c>
      <c r="U37" s="193" t="s">
        <v>3030</v>
      </c>
      <c r="V37" s="193">
        <v>0</v>
      </c>
      <c r="W37" s="193">
        <v>0</v>
      </c>
      <c r="X37" s="193">
        <v>0</v>
      </c>
      <c r="Y37" s="194">
        <v>2471</v>
      </c>
      <c r="Z37" s="193" t="s">
        <v>3031</v>
      </c>
      <c r="AA37" s="193" t="s">
        <v>27</v>
      </c>
      <c r="AB37" s="193">
        <v>2471</v>
      </c>
      <c r="AC37" s="193" t="s">
        <v>3032</v>
      </c>
      <c r="AD37" s="193" t="s">
        <v>3033</v>
      </c>
      <c r="AE37" s="193">
        <v>2471</v>
      </c>
      <c r="AF37" s="193" t="s">
        <v>3012</v>
      </c>
      <c r="AG37" s="193" t="s">
        <v>395</v>
      </c>
      <c r="AH37" s="193">
        <v>224</v>
      </c>
      <c r="AI37" s="193">
        <v>2247</v>
      </c>
      <c r="AJ37" s="193" t="s">
        <v>214</v>
      </c>
      <c r="AL37" s="197" t="s">
        <v>3068</v>
      </c>
      <c r="AM37" s="193">
        <v>1</v>
      </c>
      <c r="AN37" s="193">
        <v>0</v>
      </c>
      <c r="AO37" s="193">
        <v>0</v>
      </c>
      <c r="AP37" s="566">
        <v>0</v>
      </c>
      <c r="AQ37" s="193" t="s">
        <v>214</v>
      </c>
      <c r="AS37" s="565" t="s">
        <v>3012</v>
      </c>
      <c r="AT37" s="565" t="s">
        <v>395</v>
      </c>
      <c r="AV37" s="194">
        <v>0</v>
      </c>
      <c r="AW37" s="194">
        <v>0</v>
      </c>
      <c r="AX37" s="194">
        <v>0</v>
      </c>
      <c r="AY37" s="551">
        <v>0</v>
      </c>
      <c r="AZ37" s="194">
        <v>0</v>
      </c>
      <c r="BA37" s="194">
        <v>2471</v>
      </c>
      <c r="BB37" s="551">
        <v>2471</v>
      </c>
      <c r="BC37" s="551">
        <v>2471</v>
      </c>
      <c r="BD37" s="551">
        <v>0</v>
      </c>
      <c r="BF37" s="551">
        <f t="shared" si="21"/>
        <v>0</v>
      </c>
      <c r="BG37" s="551">
        <f t="shared" si="22"/>
        <v>0</v>
      </c>
      <c r="BH37" s="551">
        <f t="shared" si="23"/>
        <v>0</v>
      </c>
      <c r="BI37" s="551">
        <f t="shared" si="24"/>
        <v>0</v>
      </c>
      <c r="BJ37" s="551">
        <f t="shared" si="25"/>
        <v>0</v>
      </c>
      <c r="BK37" s="551">
        <f t="shared" si="26"/>
        <v>2246</v>
      </c>
      <c r="BL37" s="551">
        <f t="shared" si="27"/>
        <v>2246</v>
      </c>
      <c r="BM37" s="551">
        <f t="shared" si="28"/>
        <v>2246</v>
      </c>
      <c r="BN37" s="194"/>
      <c r="BO37" s="193">
        <f t="shared" si="36"/>
        <v>0</v>
      </c>
      <c r="BP37" s="193">
        <f t="shared" si="37"/>
        <v>0</v>
      </c>
      <c r="BQ37" s="193">
        <f t="shared" si="38"/>
        <v>0</v>
      </c>
      <c r="BR37" s="193">
        <f t="shared" si="39"/>
        <v>0</v>
      </c>
      <c r="BS37" s="193">
        <f t="shared" si="40"/>
        <v>0</v>
      </c>
      <c r="BT37" s="193">
        <f t="shared" si="41"/>
        <v>0.36363636363648766</v>
      </c>
      <c r="BU37" s="193">
        <f t="shared" si="42"/>
        <v>0.36363636363648766</v>
      </c>
    </row>
    <row r="38" spans="1:73">
      <c r="A38" s="193" t="s">
        <v>378</v>
      </c>
      <c r="B38" s="193" t="s">
        <v>379</v>
      </c>
      <c r="C38" s="193" t="s">
        <v>214</v>
      </c>
      <c r="D38" s="193" t="s">
        <v>1165</v>
      </c>
      <c r="E38" s="193" t="s">
        <v>1166</v>
      </c>
      <c r="F38" s="193" t="s">
        <v>2939</v>
      </c>
      <c r="G38" s="193" t="s">
        <v>2939</v>
      </c>
      <c r="H38" s="199" t="s">
        <v>3064</v>
      </c>
      <c r="I38" s="193" t="s">
        <v>1508</v>
      </c>
      <c r="J38" s="193" t="s">
        <v>3069</v>
      </c>
      <c r="K38" s="193" t="s">
        <v>386</v>
      </c>
      <c r="L38" s="193" t="s">
        <v>387</v>
      </c>
      <c r="M38" s="193" t="s">
        <v>378</v>
      </c>
      <c r="N38" s="193" t="s">
        <v>3028</v>
      </c>
      <c r="O38" s="193" t="s">
        <v>229</v>
      </c>
      <c r="P38" s="193" t="s">
        <v>228</v>
      </c>
      <c r="Q38" s="193" t="s">
        <v>27</v>
      </c>
      <c r="R38" s="193" t="s">
        <v>27</v>
      </c>
      <c r="S38" s="193" t="s">
        <v>214</v>
      </c>
      <c r="T38" s="193" t="s">
        <v>3029</v>
      </c>
      <c r="U38" s="193" t="s">
        <v>3030</v>
      </c>
      <c r="V38" s="193">
        <v>0</v>
      </c>
      <c r="W38" s="193">
        <v>0</v>
      </c>
      <c r="X38" s="193">
        <v>0</v>
      </c>
      <c r="Y38" s="194">
        <v>41272</v>
      </c>
      <c r="Z38" s="193" t="s">
        <v>3031</v>
      </c>
      <c r="AA38" s="193" t="s">
        <v>27</v>
      </c>
      <c r="AB38" s="193">
        <v>41272</v>
      </c>
      <c r="AC38" s="193" t="s">
        <v>3032</v>
      </c>
      <c r="AD38" s="193" t="s">
        <v>3033</v>
      </c>
      <c r="AE38" s="193">
        <v>41272</v>
      </c>
      <c r="AF38" s="193" t="s">
        <v>3012</v>
      </c>
      <c r="AG38" s="193" t="s">
        <v>395</v>
      </c>
      <c r="AH38" s="193">
        <v>3752</v>
      </c>
      <c r="AI38" s="193">
        <v>37520</v>
      </c>
      <c r="AJ38" s="193" t="s">
        <v>214</v>
      </c>
      <c r="AL38" s="197" t="s">
        <v>3070</v>
      </c>
      <c r="AM38" s="193">
        <v>1</v>
      </c>
      <c r="AN38" s="193">
        <v>0</v>
      </c>
      <c r="AO38" s="193">
        <v>0</v>
      </c>
      <c r="AP38" s="566">
        <v>0</v>
      </c>
      <c r="AQ38" s="193" t="s">
        <v>214</v>
      </c>
      <c r="AS38" s="565" t="s">
        <v>3012</v>
      </c>
      <c r="AT38" s="565" t="s">
        <v>395</v>
      </c>
      <c r="AV38" s="194">
        <v>0</v>
      </c>
      <c r="AW38" s="194">
        <v>0</v>
      </c>
      <c r="AX38" s="194">
        <v>0</v>
      </c>
      <c r="AY38" s="551">
        <v>0</v>
      </c>
      <c r="AZ38" s="194">
        <v>0</v>
      </c>
      <c r="BA38" s="194">
        <v>41272</v>
      </c>
      <c r="BB38" s="551">
        <v>41272</v>
      </c>
      <c r="BC38" s="551">
        <v>41272</v>
      </c>
      <c r="BD38" s="551">
        <v>0</v>
      </c>
      <c r="BF38" s="551">
        <f t="shared" si="21"/>
        <v>0</v>
      </c>
      <c r="BG38" s="551">
        <f t="shared" si="22"/>
        <v>0</v>
      </c>
      <c r="BH38" s="551">
        <f t="shared" si="23"/>
        <v>0</v>
      </c>
      <c r="BI38" s="551">
        <f t="shared" si="24"/>
        <v>0</v>
      </c>
      <c r="BJ38" s="551">
        <f t="shared" si="25"/>
        <v>0</v>
      </c>
      <c r="BK38" s="551">
        <f t="shared" si="26"/>
        <v>37520</v>
      </c>
      <c r="BL38" s="551">
        <f t="shared" si="27"/>
        <v>37520</v>
      </c>
      <c r="BM38" s="551">
        <f t="shared" si="28"/>
        <v>37520</v>
      </c>
      <c r="BN38" s="194"/>
      <c r="BO38" s="193">
        <f t="shared" si="36"/>
        <v>0</v>
      </c>
      <c r="BP38" s="193">
        <f t="shared" si="37"/>
        <v>0</v>
      </c>
      <c r="BQ38" s="193">
        <f t="shared" si="38"/>
        <v>0</v>
      </c>
      <c r="BR38" s="193">
        <f t="shared" si="39"/>
        <v>0</v>
      </c>
      <c r="BS38" s="193">
        <f t="shared" si="40"/>
        <v>0</v>
      </c>
      <c r="BT38" s="193">
        <f t="shared" si="41"/>
        <v>0</v>
      </c>
      <c r="BU38" s="193">
        <f t="shared" si="42"/>
        <v>0</v>
      </c>
    </row>
    <row r="39" spans="1:73">
      <c r="A39" s="193" t="s">
        <v>378</v>
      </c>
      <c r="B39" s="193" t="s">
        <v>379</v>
      </c>
      <c r="C39" s="193" t="s">
        <v>214</v>
      </c>
      <c r="D39" s="193" t="s">
        <v>1165</v>
      </c>
      <c r="E39" s="193" t="s">
        <v>1166</v>
      </c>
      <c r="F39" s="193" t="s">
        <v>2939</v>
      </c>
      <c r="G39" s="193" t="s">
        <v>2939</v>
      </c>
      <c r="H39" s="199" t="s">
        <v>3064</v>
      </c>
      <c r="I39" s="193" t="s">
        <v>1508</v>
      </c>
      <c r="J39" s="193" t="s">
        <v>3071</v>
      </c>
      <c r="K39" s="193" t="s">
        <v>386</v>
      </c>
      <c r="L39" s="193" t="s">
        <v>387</v>
      </c>
      <c r="M39" s="193" t="s">
        <v>378</v>
      </c>
      <c r="N39" s="193" t="s">
        <v>3028</v>
      </c>
      <c r="O39" s="193" t="s">
        <v>229</v>
      </c>
      <c r="P39" s="193" t="s">
        <v>228</v>
      </c>
      <c r="Q39" s="193" t="s">
        <v>27</v>
      </c>
      <c r="R39" s="193" t="s">
        <v>27</v>
      </c>
      <c r="S39" s="193" t="s">
        <v>214</v>
      </c>
      <c r="T39" s="193" t="s">
        <v>3029</v>
      </c>
      <c r="U39" s="193" t="s">
        <v>3030</v>
      </c>
      <c r="V39" s="193">
        <v>0</v>
      </c>
      <c r="W39" s="193">
        <v>0</v>
      </c>
      <c r="X39" s="193">
        <v>0</v>
      </c>
      <c r="Y39" s="194">
        <v>764</v>
      </c>
      <c r="Z39" s="193" t="s">
        <v>3031</v>
      </c>
      <c r="AA39" s="193" t="s">
        <v>27</v>
      </c>
      <c r="AB39" s="193">
        <v>764</v>
      </c>
      <c r="AC39" s="193" t="s">
        <v>3032</v>
      </c>
      <c r="AD39" s="193" t="s">
        <v>3033</v>
      </c>
      <c r="AE39" s="193">
        <v>764</v>
      </c>
      <c r="AF39" s="193" t="s">
        <v>3012</v>
      </c>
      <c r="AG39" s="193" t="s">
        <v>395</v>
      </c>
      <c r="AH39" s="193">
        <v>69</v>
      </c>
      <c r="AI39" s="193">
        <v>695</v>
      </c>
      <c r="AJ39" s="193" t="s">
        <v>214</v>
      </c>
      <c r="AL39" s="197" t="s">
        <v>3072</v>
      </c>
      <c r="AM39" s="193">
        <v>1</v>
      </c>
      <c r="AN39" s="193">
        <v>0</v>
      </c>
      <c r="AO39" s="193">
        <v>0</v>
      </c>
      <c r="AP39" s="566">
        <v>0</v>
      </c>
      <c r="AQ39" s="193" t="s">
        <v>214</v>
      </c>
      <c r="AS39" s="565" t="s">
        <v>3012</v>
      </c>
      <c r="AT39" s="565" t="s">
        <v>395</v>
      </c>
      <c r="AV39" s="194">
        <v>0</v>
      </c>
      <c r="AW39" s="194">
        <v>0</v>
      </c>
      <c r="AX39" s="194">
        <v>0</v>
      </c>
      <c r="AY39" s="551">
        <v>0</v>
      </c>
      <c r="AZ39" s="194">
        <v>0</v>
      </c>
      <c r="BA39" s="194">
        <v>764</v>
      </c>
      <c r="BB39" s="551">
        <v>764</v>
      </c>
      <c r="BC39" s="551">
        <v>764</v>
      </c>
      <c r="BD39" s="551">
        <v>0</v>
      </c>
      <c r="BF39" s="551">
        <f t="shared" si="21"/>
        <v>0</v>
      </c>
      <c r="BG39" s="551">
        <f t="shared" si="22"/>
        <v>0</v>
      </c>
      <c r="BH39" s="551">
        <f t="shared" si="23"/>
        <v>0</v>
      </c>
      <c r="BI39" s="551">
        <f t="shared" si="24"/>
        <v>0</v>
      </c>
      <c r="BJ39" s="551">
        <f t="shared" si="25"/>
        <v>0</v>
      </c>
      <c r="BK39" s="551">
        <f t="shared" si="26"/>
        <v>695</v>
      </c>
      <c r="BL39" s="551">
        <f t="shared" si="27"/>
        <v>695</v>
      </c>
      <c r="BM39" s="551">
        <f t="shared" si="28"/>
        <v>695</v>
      </c>
      <c r="BN39" s="194"/>
      <c r="BO39" s="193">
        <f t="shared" si="36"/>
        <v>0</v>
      </c>
      <c r="BP39" s="193">
        <f t="shared" si="37"/>
        <v>0</v>
      </c>
      <c r="BQ39" s="193">
        <f t="shared" si="38"/>
        <v>0</v>
      </c>
      <c r="BR39" s="193">
        <f t="shared" si="39"/>
        <v>0</v>
      </c>
      <c r="BS39" s="193">
        <f t="shared" si="40"/>
        <v>0</v>
      </c>
      <c r="BT39" s="193">
        <f t="shared" si="41"/>
        <v>-0.45454545454549589</v>
      </c>
      <c r="BU39" s="193">
        <f t="shared" si="42"/>
        <v>-0.45454545454549589</v>
      </c>
    </row>
    <row r="40" spans="1:73">
      <c r="A40" s="193" t="s">
        <v>378</v>
      </c>
      <c r="B40" s="193" t="s">
        <v>379</v>
      </c>
      <c r="C40" s="193" t="s">
        <v>214</v>
      </c>
      <c r="D40" s="193" t="s">
        <v>1165</v>
      </c>
      <c r="E40" s="193" t="s">
        <v>1166</v>
      </c>
      <c r="F40" s="193" t="s">
        <v>855</v>
      </c>
      <c r="G40" s="193" t="s">
        <v>855</v>
      </c>
      <c r="H40" s="199" t="s">
        <v>3073</v>
      </c>
      <c r="I40" s="193" t="s">
        <v>1508</v>
      </c>
      <c r="J40" s="193" t="s">
        <v>3074</v>
      </c>
      <c r="K40" s="193" t="s">
        <v>386</v>
      </c>
      <c r="L40" s="193" t="s">
        <v>387</v>
      </c>
      <c r="M40" s="193" t="s">
        <v>378</v>
      </c>
      <c r="N40" s="193" t="s">
        <v>3028</v>
      </c>
      <c r="O40" s="193" t="s">
        <v>229</v>
      </c>
      <c r="P40" s="193" t="s">
        <v>228</v>
      </c>
      <c r="Q40" s="193" t="s">
        <v>27</v>
      </c>
      <c r="R40" s="193" t="s">
        <v>27</v>
      </c>
      <c r="S40" s="193" t="s">
        <v>214</v>
      </c>
      <c r="T40" s="193" t="s">
        <v>3029</v>
      </c>
      <c r="U40" s="193" t="s">
        <v>3030</v>
      </c>
      <c r="V40" s="193">
        <v>0</v>
      </c>
      <c r="W40" s="193">
        <v>0</v>
      </c>
      <c r="X40" s="193">
        <v>0</v>
      </c>
      <c r="Y40" s="194">
        <v>49628</v>
      </c>
      <c r="Z40" s="193" t="s">
        <v>3031</v>
      </c>
      <c r="AA40" s="193" t="s">
        <v>27</v>
      </c>
      <c r="AB40" s="193">
        <v>49628</v>
      </c>
      <c r="AC40" s="193" t="s">
        <v>3032</v>
      </c>
      <c r="AD40" s="193" t="s">
        <v>3033</v>
      </c>
      <c r="AE40" s="193">
        <v>49628</v>
      </c>
      <c r="AF40" s="193" t="s">
        <v>3012</v>
      </c>
      <c r="AG40" s="193" t="s">
        <v>395</v>
      </c>
      <c r="AH40" s="193">
        <v>4511</v>
      </c>
      <c r="AI40" s="193">
        <v>45117</v>
      </c>
      <c r="AJ40" s="193" t="s">
        <v>214</v>
      </c>
      <c r="AL40" s="197" t="s">
        <v>3075</v>
      </c>
      <c r="AM40" s="193">
        <v>1</v>
      </c>
      <c r="AN40" s="193">
        <v>0</v>
      </c>
      <c r="AO40" s="193">
        <v>0</v>
      </c>
      <c r="AP40" s="566">
        <v>0</v>
      </c>
      <c r="AQ40" s="193" t="s">
        <v>214</v>
      </c>
      <c r="AS40" s="565" t="s">
        <v>3012</v>
      </c>
      <c r="AT40" s="565" t="s">
        <v>395</v>
      </c>
      <c r="AV40" s="194">
        <v>0</v>
      </c>
      <c r="AW40" s="194">
        <v>0</v>
      </c>
      <c r="AX40" s="194">
        <v>0</v>
      </c>
      <c r="AY40" s="551">
        <v>0</v>
      </c>
      <c r="AZ40" s="194">
        <v>0</v>
      </c>
      <c r="BA40" s="194">
        <v>49628</v>
      </c>
      <c r="BB40" s="551">
        <v>49628</v>
      </c>
      <c r="BC40" s="551">
        <v>49628</v>
      </c>
      <c r="BD40" s="551">
        <v>0</v>
      </c>
      <c r="BF40" s="551">
        <f t="shared" si="21"/>
        <v>0</v>
      </c>
      <c r="BG40" s="551">
        <f t="shared" si="22"/>
        <v>0</v>
      </c>
      <c r="BH40" s="551">
        <f t="shared" si="23"/>
        <v>0</v>
      </c>
      <c r="BI40" s="551">
        <f t="shared" si="24"/>
        <v>0</v>
      </c>
      <c r="BJ40" s="551">
        <f t="shared" si="25"/>
        <v>0</v>
      </c>
      <c r="BK40" s="551">
        <f t="shared" si="26"/>
        <v>45116</v>
      </c>
      <c r="BL40" s="551">
        <f t="shared" si="27"/>
        <v>45116</v>
      </c>
      <c r="BM40" s="551">
        <f t="shared" si="28"/>
        <v>45116</v>
      </c>
      <c r="BN40" s="194"/>
      <c r="BO40" s="193">
        <f t="shared" si="36"/>
        <v>0</v>
      </c>
      <c r="BP40" s="193">
        <f t="shared" si="37"/>
        <v>0</v>
      </c>
      <c r="BQ40" s="193">
        <f t="shared" si="38"/>
        <v>0</v>
      </c>
      <c r="BR40" s="193">
        <f t="shared" si="39"/>
        <v>0</v>
      </c>
      <c r="BS40" s="193">
        <f t="shared" si="40"/>
        <v>0</v>
      </c>
      <c r="BT40" s="193">
        <f t="shared" si="41"/>
        <v>0.36363636363967089</v>
      </c>
      <c r="BU40" s="193">
        <f t="shared" si="42"/>
        <v>0.36363636363967089</v>
      </c>
    </row>
    <row r="41" spans="1:73">
      <c r="A41" s="193" t="s">
        <v>378</v>
      </c>
      <c r="B41" s="193" t="s">
        <v>379</v>
      </c>
      <c r="C41" s="193" t="s">
        <v>214</v>
      </c>
      <c r="D41" s="193" t="s">
        <v>1165</v>
      </c>
      <c r="E41" s="193" t="s">
        <v>1166</v>
      </c>
      <c r="F41" s="193" t="s">
        <v>855</v>
      </c>
      <c r="G41" s="193" t="s">
        <v>855</v>
      </c>
      <c r="H41" s="199" t="s">
        <v>3073</v>
      </c>
      <c r="I41" s="193" t="s">
        <v>1508</v>
      </c>
      <c r="J41" s="193" t="s">
        <v>3076</v>
      </c>
      <c r="K41" s="193" t="s">
        <v>386</v>
      </c>
      <c r="L41" s="193" t="s">
        <v>387</v>
      </c>
      <c r="M41" s="193" t="s">
        <v>378</v>
      </c>
      <c r="N41" s="193" t="s">
        <v>3028</v>
      </c>
      <c r="O41" s="193" t="s">
        <v>229</v>
      </c>
      <c r="P41" s="193" t="s">
        <v>228</v>
      </c>
      <c r="Q41" s="193" t="s">
        <v>27</v>
      </c>
      <c r="R41" s="193" t="s">
        <v>27</v>
      </c>
      <c r="S41" s="193" t="s">
        <v>214</v>
      </c>
      <c r="T41" s="193" t="s">
        <v>3029</v>
      </c>
      <c r="U41" s="193" t="s">
        <v>3030</v>
      </c>
      <c r="V41" s="193">
        <v>0</v>
      </c>
      <c r="W41" s="193">
        <v>0</v>
      </c>
      <c r="X41" s="193">
        <v>0</v>
      </c>
      <c r="Y41" s="194">
        <v>85050</v>
      </c>
      <c r="Z41" s="193" t="s">
        <v>3031</v>
      </c>
      <c r="AA41" s="193" t="s">
        <v>27</v>
      </c>
      <c r="AB41" s="193">
        <v>85050</v>
      </c>
      <c r="AC41" s="193" t="s">
        <v>3032</v>
      </c>
      <c r="AD41" s="193" t="s">
        <v>3033</v>
      </c>
      <c r="AE41" s="193">
        <v>85050</v>
      </c>
      <c r="AF41" s="193" t="s">
        <v>3012</v>
      </c>
      <c r="AG41" s="193" t="s">
        <v>395</v>
      </c>
      <c r="AH41" s="193">
        <v>7731</v>
      </c>
      <c r="AI41" s="193">
        <v>77319</v>
      </c>
      <c r="AJ41" s="193" t="s">
        <v>214</v>
      </c>
      <c r="AL41" s="197" t="s">
        <v>3077</v>
      </c>
      <c r="AM41" s="193">
        <v>1</v>
      </c>
      <c r="AN41" s="193">
        <v>0</v>
      </c>
      <c r="AO41" s="193">
        <v>0</v>
      </c>
      <c r="AP41" s="566">
        <v>0</v>
      </c>
      <c r="AQ41" s="193" t="s">
        <v>214</v>
      </c>
      <c r="AS41" s="565" t="s">
        <v>3012</v>
      </c>
      <c r="AT41" s="565" t="s">
        <v>395</v>
      </c>
      <c r="AV41" s="194">
        <v>0</v>
      </c>
      <c r="AW41" s="194">
        <v>0</v>
      </c>
      <c r="AX41" s="194">
        <v>0</v>
      </c>
      <c r="AY41" s="551">
        <v>0</v>
      </c>
      <c r="AZ41" s="194">
        <v>0</v>
      </c>
      <c r="BA41" s="194">
        <v>85050</v>
      </c>
      <c r="BB41" s="551">
        <v>85050</v>
      </c>
      <c r="BC41" s="551">
        <v>85050</v>
      </c>
      <c r="BD41" s="551">
        <v>0</v>
      </c>
      <c r="BF41" s="551">
        <f t="shared" si="21"/>
        <v>0</v>
      </c>
      <c r="BG41" s="551">
        <f t="shared" si="22"/>
        <v>0</v>
      </c>
      <c r="BH41" s="551">
        <f t="shared" si="23"/>
        <v>0</v>
      </c>
      <c r="BI41" s="551">
        <f t="shared" si="24"/>
        <v>0</v>
      </c>
      <c r="BJ41" s="551">
        <f t="shared" si="25"/>
        <v>0</v>
      </c>
      <c r="BK41" s="551">
        <f t="shared" si="26"/>
        <v>77318</v>
      </c>
      <c r="BL41" s="551">
        <f t="shared" si="27"/>
        <v>77318</v>
      </c>
      <c r="BM41" s="551">
        <f t="shared" si="28"/>
        <v>77318</v>
      </c>
      <c r="BN41" s="194"/>
      <c r="BO41" s="193">
        <f t="shared" si="36"/>
        <v>0</v>
      </c>
      <c r="BP41" s="193">
        <f t="shared" si="37"/>
        <v>0</v>
      </c>
      <c r="BQ41" s="193">
        <f t="shared" si="38"/>
        <v>0</v>
      </c>
      <c r="BR41" s="193">
        <f t="shared" si="39"/>
        <v>0</v>
      </c>
      <c r="BS41" s="193">
        <f t="shared" si="40"/>
        <v>0</v>
      </c>
      <c r="BT41" s="193">
        <f t="shared" si="41"/>
        <v>0.18181818182347342</v>
      </c>
      <c r="BU41" s="193">
        <f t="shared" si="42"/>
        <v>0.18181818182347342</v>
      </c>
    </row>
    <row r="42" spans="1:73">
      <c r="A42" s="193" t="s">
        <v>378</v>
      </c>
      <c r="B42" s="193" t="s">
        <v>379</v>
      </c>
      <c r="C42" s="193" t="s">
        <v>214</v>
      </c>
      <c r="D42" s="193" t="s">
        <v>1165</v>
      </c>
      <c r="E42" s="193" t="s">
        <v>1166</v>
      </c>
      <c r="F42" s="193" t="s">
        <v>855</v>
      </c>
      <c r="G42" s="193" t="s">
        <v>855</v>
      </c>
      <c r="H42" s="199" t="s">
        <v>3073</v>
      </c>
      <c r="I42" s="193" t="s">
        <v>1508</v>
      </c>
      <c r="J42" s="193" t="s">
        <v>3078</v>
      </c>
      <c r="K42" s="193" t="s">
        <v>386</v>
      </c>
      <c r="L42" s="193" t="s">
        <v>387</v>
      </c>
      <c r="M42" s="193" t="s">
        <v>378</v>
      </c>
      <c r="N42" s="193" t="s">
        <v>3028</v>
      </c>
      <c r="O42" s="193" t="s">
        <v>229</v>
      </c>
      <c r="P42" s="193" t="s">
        <v>228</v>
      </c>
      <c r="Q42" s="193" t="s">
        <v>27</v>
      </c>
      <c r="R42" s="193" t="s">
        <v>27</v>
      </c>
      <c r="S42" s="193" t="s">
        <v>214</v>
      </c>
      <c r="T42" s="193" t="s">
        <v>3029</v>
      </c>
      <c r="U42" s="193" t="s">
        <v>3030</v>
      </c>
      <c r="V42" s="193">
        <v>0</v>
      </c>
      <c r="W42" s="193">
        <v>0</v>
      </c>
      <c r="X42" s="193">
        <v>0</v>
      </c>
      <c r="Y42" s="194">
        <v>13580</v>
      </c>
      <c r="Z42" s="193" t="s">
        <v>3031</v>
      </c>
      <c r="AA42" s="193" t="s">
        <v>27</v>
      </c>
      <c r="AB42" s="193">
        <v>13580</v>
      </c>
      <c r="AC42" s="193" t="s">
        <v>3032</v>
      </c>
      <c r="AD42" s="193" t="s">
        <v>3033</v>
      </c>
      <c r="AE42" s="193">
        <v>13580</v>
      </c>
      <c r="AF42" s="193" t="s">
        <v>3012</v>
      </c>
      <c r="AG42" s="193" t="s">
        <v>395</v>
      </c>
      <c r="AH42" s="193">
        <v>1234</v>
      </c>
      <c r="AI42" s="193">
        <v>12346</v>
      </c>
      <c r="AJ42" s="193" t="s">
        <v>214</v>
      </c>
      <c r="AL42" s="197" t="s">
        <v>3079</v>
      </c>
      <c r="AM42" s="193">
        <v>1</v>
      </c>
      <c r="AN42" s="193">
        <v>0</v>
      </c>
      <c r="AO42" s="193">
        <v>0</v>
      </c>
      <c r="AP42" s="566">
        <v>0</v>
      </c>
      <c r="AQ42" s="193" t="s">
        <v>214</v>
      </c>
      <c r="AS42" s="565" t="s">
        <v>3012</v>
      </c>
      <c r="AT42" s="565" t="s">
        <v>395</v>
      </c>
      <c r="AV42" s="194">
        <v>0</v>
      </c>
      <c r="AW42" s="194">
        <v>0</v>
      </c>
      <c r="AX42" s="194">
        <v>0</v>
      </c>
      <c r="AY42" s="551">
        <v>0</v>
      </c>
      <c r="AZ42" s="194">
        <v>0</v>
      </c>
      <c r="BA42" s="194">
        <v>13580</v>
      </c>
      <c r="BB42" s="551">
        <v>13580</v>
      </c>
      <c r="BC42" s="551">
        <v>13580</v>
      </c>
      <c r="BD42" s="551">
        <v>0</v>
      </c>
      <c r="BF42" s="551">
        <f t="shared" si="21"/>
        <v>0</v>
      </c>
      <c r="BG42" s="551">
        <f t="shared" si="22"/>
        <v>0</v>
      </c>
      <c r="BH42" s="551">
        <f t="shared" si="23"/>
        <v>0</v>
      </c>
      <c r="BI42" s="551">
        <f t="shared" si="24"/>
        <v>0</v>
      </c>
      <c r="BJ42" s="551">
        <f t="shared" si="25"/>
        <v>0</v>
      </c>
      <c r="BK42" s="551">
        <f t="shared" si="26"/>
        <v>12345</v>
      </c>
      <c r="BL42" s="551">
        <f t="shared" si="27"/>
        <v>12345</v>
      </c>
      <c r="BM42" s="551">
        <f t="shared" si="28"/>
        <v>12345</v>
      </c>
      <c r="BN42" s="194"/>
      <c r="BO42" s="193">
        <f t="shared" si="36"/>
        <v>0</v>
      </c>
      <c r="BP42" s="193">
        <f t="shared" si="37"/>
        <v>0</v>
      </c>
      <c r="BQ42" s="193">
        <f t="shared" si="38"/>
        <v>0</v>
      </c>
      <c r="BR42" s="193">
        <f t="shared" si="39"/>
        <v>0</v>
      </c>
      <c r="BS42" s="193">
        <f t="shared" si="40"/>
        <v>0</v>
      </c>
      <c r="BT42" s="193">
        <f t="shared" si="41"/>
        <v>0.45454545454595063</v>
      </c>
      <c r="BU42" s="193">
        <f t="shared" si="42"/>
        <v>0.45454545454595063</v>
      </c>
    </row>
    <row r="43" spans="1:73">
      <c r="A43" s="193" t="s">
        <v>378</v>
      </c>
      <c r="B43" s="193" t="s">
        <v>379</v>
      </c>
      <c r="C43" s="193" t="s">
        <v>214</v>
      </c>
      <c r="D43" s="193" t="s">
        <v>1165</v>
      </c>
      <c r="E43" s="193" t="s">
        <v>1166</v>
      </c>
      <c r="F43" s="193" t="s">
        <v>855</v>
      </c>
      <c r="G43" s="193" t="s">
        <v>855</v>
      </c>
      <c r="H43" s="199" t="s">
        <v>3073</v>
      </c>
      <c r="I43" s="193" t="s">
        <v>1508</v>
      </c>
      <c r="J43" s="193" t="s">
        <v>3080</v>
      </c>
      <c r="K43" s="193" t="s">
        <v>386</v>
      </c>
      <c r="L43" s="193" t="s">
        <v>387</v>
      </c>
      <c r="M43" s="193" t="s">
        <v>378</v>
      </c>
      <c r="N43" s="193" t="s">
        <v>3028</v>
      </c>
      <c r="O43" s="193" t="s">
        <v>229</v>
      </c>
      <c r="P43" s="193" t="s">
        <v>228</v>
      </c>
      <c r="Q43" s="193" t="s">
        <v>27</v>
      </c>
      <c r="R43" s="193" t="s">
        <v>27</v>
      </c>
      <c r="S43" s="193" t="s">
        <v>214</v>
      </c>
      <c r="T43" s="193" t="s">
        <v>3029</v>
      </c>
      <c r="U43" s="193" t="s">
        <v>3030</v>
      </c>
      <c r="V43" s="193">
        <v>0</v>
      </c>
      <c r="W43" s="193">
        <v>0</v>
      </c>
      <c r="X43" s="193">
        <v>0</v>
      </c>
      <c r="Y43" s="194">
        <v>23592</v>
      </c>
      <c r="Z43" s="193" t="s">
        <v>3031</v>
      </c>
      <c r="AA43" s="193" t="s">
        <v>27</v>
      </c>
      <c r="AB43" s="193">
        <v>23592</v>
      </c>
      <c r="AC43" s="193" t="s">
        <v>3032</v>
      </c>
      <c r="AD43" s="193" t="s">
        <v>3033</v>
      </c>
      <c r="AE43" s="193">
        <v>23592</v>
      </c>
      <c r="AF43" s="193" t="s">
        <v>3012</v>
      </c>
      <c r="AG43" s="193" t="s">
        <v>395</v>
      </c>
      <c r="AH43" s="193">
        <v>2144</v>
      </c>
      <c r="AI43" s="193">
        <v>21448</v>
      </c>
      <c r="AJ43" s="193" t="s">
        <v>214</v>
      </c>
      <c r="AL43" s="197" t="s">
        <v>3081</v>
      </c>
      <c r="AM43" s="193">
        <v>1</v>
      </c>
      <c r="AN43" s="193">
        <v>0</v>
      </c>
      <c r="AO43" s="193">
        <v>0</v>
      </c>
      <c r="AP43" s="566">
        <v>0</v>
      </c>
      <c r="AQ43" s="193" t="s">
        <v>214</v>
      </c>
      <c r="AS43" s="565" t="s">
        <v>3012</v>
      </c>
      <c r="AT43" s="565" t="s">
        <v>395</v>
      </c>
      <c r="AV43" s="194">
        <v>0</v>
      </c>
      <c r="AW43" s="194">
        <v>0</v>
      </c>
      <c r="AX43" s="194">
        <v>0</v>
      </c>
      <c r="AY43" s="551">
        <v>0</v>
      </c>
      <c r="AZ43" s="194">
        <v>0</v>
      </c>
      <c r="BA43" s="194">
        <v>23592</v>
      </c>
      <c r="BB43" s="551">
        <v>23592</v>
      </c>
      <c r="BC43" s="551">
        <v>23592</v>
      </c>
      <c r="BD43" s="551">
        <v>0</v>
      </c>
      <c r="BF43" s="551">
        <f t="shared" si="21"/>
        <v>0</v>
      </c>
      <c r="BG43" s="551">
        <f t="shared" si="22"/>
        <v>0</v>
      </c>
      <c r="BH43" s="551">
        <f t="shared" si="23"/>
        <v>0</v>
      </c>
      <c r="BI43" s="551">
        <f t="shared" si="24"/>
        <v>0</v>
      </c>
      <c r="BJ43" s="551">
        <f t="shared" si="25"/>
        <v>0</v>
      </c>
      <c r="BK43" s="551">
        <f t="shared" si="26"/>
        <v>21447</v>
      </c>
      <c r="BL43" s="551">
        <f t="shared" si="27"/>
        <v>21447</v>
      </c>
      <c r="BM43" s="551">
        <f t="shared" si="28"/>
        <v>21447</v>
      </c>
      <c r="BN43" s="194"/>
      <c r="BO43" s="193">
        <f t="shared" si="36"/>
        <v>0</v>
      </c>
      <c r="BP43" s="193">
        <f t="shared" si="37"/>
        <v>0</v>
      </c>
      <c r="BQ43" s="193">
        <f t="shared" si="38"/>
        <v>0</v>
      </c>
      <c r="BR43" s="193">
        <f t="shared" si="39"/>
        <v>0</v>
      </c>
      <c r="BS43" s="193">
        <f t="shared" si="40"/>
        <v>0</v>
      </c>
      <c r="BT43" s="193">
        <f t="shared" si="41"/>
        <v>0.27272727272793418</v>
      </c>
      <c r="BU43" s="193">
        <f t="shared" si="42"/>
        <v>0.27272727272793418</v>
      </c>
    </row>
    <row r="44" spans="1:73">
      <c r="A44" s="193" t="s">
        <v>378</v>
      </c>
      <c r="B44" s="193" t="s">
        <v>379</v>
      </c>
      <c r="C44" s="193" t="s">
        <v>214</v>
      </c>
      <c r="D44" s="193" t="s">
        <v>1165</v>
      </c>
      <c r="E44" s="193" t="s">
        <v>1166</v>
      </c>
      <c r="F44" s="193" t="s">
        <v>3082</v>
      </c>
      <c r="G44" s="193" t="s">
        <v>3082</v>
      </c>
      <c r="H44" s="199" t="s">
        <v>3083</v>
      </c>
      <c r="I44" s="193" t="s">
        <v>1508</v>
      </c>
      <c r="J44" s="193" t="s">
        <v>3084</v>
      </c>
      <c r="K44" s="193" t="s">
        <v>386</v>
      </c>
      <c r="L44" s="193" t="s">
        <v>387</v>
      </c>
      <c r="M44" s="193" t="s">
        <v>378</v>
      </c>
      <c r="N44" s="193" t="s">
        <v>3028</v>
      </c>
      <c r="O44" s="193" t="s">
        <v>229</v>
      </c>
      <c r="P44" s="193" t="s">
        <v>228</v>
      </c>
      <c r="Q44" s="193" t="s">
        <v>27</v>
      </c>
      <c r="R44" s="193" t="s">
        <v>27</v>
      </c>
      <c r="S44" s="193" t="s">
        <v>214</v>
      </c>
      <c r="T44" s="193" t="s">
        <v>3029</v>
      </c>
      <c r="U44" s="193" t="s">
        <v>3030</v>
      </c>
      <c r="V44" s="193">
        <v>0</v>
      </c>
      <c r="W44" s="193">
        <v>0</v>
      </c>
      <c r="X44" s="193">
        <v>0</v>
      </c>
      <c r="Y44" s="194">
        <v>66041</v>
      </c>
      <c r="Z44" s="193" t="s">
        <v>3031</v>
      </c>
      <c r="AA44" s="193" t="s">
        <v>27</v>
      </c>
      <c r="AB44" s="193">
        <v>66041</v>
      </c>
      <c r="AC44" s="193" t="s">
        <v>3032</v>
      </c>
      <c r="AD44" s="193" t="s">
        <v>3033</v>
      </c>
      <c r="AE44" s="193">
        <v>66041</v>
      </c>
      <c r="AF44" s="193" t="s">
        <v>3012</v>
      </c>
      <c r="AG44" s="193" t="s">
        <v>395</v>
      </c>
      <c r="AH44" s="193">
        <v>6003</v>
      </c>
      <c r="AI44" s="193">
        <v>60038</v>
      </c>
      <c r="AJ44" s="193" t="s">
        <v>214</v>
      </c>
      <c r="AL44" s="197" t="s">
        <v>3085</v>
      </c>
      <c r="AM44" s="193">
        <v>1</v>
      </c>
      <c r="AN44" s="193">
        <v>0</v>
      </c>
      <c r="AO44" s="193">
        <v>0</v>
      </c>
      <c r="AP44" s="566">
        <v>0</v>
      </c>
      <c r="AQ44" s="193" t="s">
        <v>214</v>
      </c>
      <c r="AS44" s="565" t="s">
        <v>3012</v>
      </c>
      <c r="AT44" s="565" t="s">
        <v>395</v>
      </c>
      <c r="AV44" s="194">
        <v>0</v>
      </c>
      <c r="AW44" s="194">
        <v>0</v>
      </c>
      <c r="AX44" s="194">
        <v>0</v>
      </c>
      <c r="AY44" s="551">
        <v>0</v>
      </c>
      <c r="AZ44" s="194">
        <v>0</v>
      </c>
      <c r="BA44" s="194">
        <v>66041</v>
      </c>
      <c r="BB44" s="551">
        <v>66041</v>
      </c>
      <c r="BC44" s="551">
        <v>66041</v>
      </c>
      <c r="BD44" s="551">
        <v>0</v>
      </c>
      <c r="BF44" s="551">
        <f t="shared" si="21"/>
        <v>0</v>
      </c>
      <c r="BG44" s="551">
        <f t="shared" si="22"/>
        <v>0</v>
      </c>
      <c r="BH44" s="551">
        <f t="shared" si="23"/>
        <v>0</v>
      </c>
      <c r="BI44" s="551">
        <f t="shared" si="24"/>
        <v>0</v>
      </c>
      <c r="BJ44" s="551">
        <f t="shared" si="25"/>
        <v>0</v>
      </c>
      <c r="BK44" s="551">
        <f t="shared" si="26"/>
        <v>60037</v>
      </c>
      <c r="BL44" s="551">
        <f t="shared" si="27"/>
        <v>60037</v>
      </c>
      <c r="BM44" s="551">
        <f t="shared" si="28"/>
        <v>60037</v>
      </c>
      <c r="BN44" s="194"/>
      <c r="BO44" s="193">
        <f t="shared" si="36"/>
        <v>0</v>
      </c>
      <c r="BP44" s="193">
        <f t="shared" si="37"/>
        <v>0</v>
      </c>
      <c r="BQ44" s="193">
        <f t="shared" si="38"/>
        <v>0</v>
      </c>
      <c r="BR44" s="193">
        <f t="shared" si="39"/>
        <v>0</v>
      </c>
      <c r="BS44" s="193">
        <f t="shared" si="40"/>
        <v>0</v>
      </c>
      <c r="BT44" s="193">
        <f t="shared" si="41"/>
        <v>0.27272727272793418</v>
      </c>
      <c r="BU44" s="193">
        <f t="shared" si="42"/>
        <v>0.27272727272793418</v>
      </c>
    </row>
    <row r="45" spans="1:73">
      <c r="A45" s="193" t="s">
        <v>378</v>
      </c>
      <c r="B45" s="193" t="s">
        <v>379</v>
      </c>
      <c r="C45" s="193" t="s">
        <v>214</v>
      </c>
      <c r="D45" s="193" t="s">
        <v>1165</v>
      </c>
      <c r="E45" s="193" t="s">
        <v>1166</v>
      </c>
      <c r="F45" s="193" t="s">
        <v>3082</v>
      </c>
      <c r="G45" s="193" t="s">
        <v>3082</v>
      </c>
      <c r="H45" s="199" t="s">
        <v>3083</v>
      </c>
      <c r="I45" s="193" t="s">
        <v>1508</v>
      </c>
      <c r="J45" s="193" t="s">
        <v>3086</v>
      </c>
      <c r="K45" s="193" t="s">
        <v>386</v>
      </c>
      <c r="L45" s="193" t="s">
        <v>387</v>
      </c>
      <c r="M45" s="193" t="s">
        <v>378</v>
      </c>
      <c r="N45" s="193" t="s">
        <v>3028</v>
      </c>
      <c r="O45" s="193" t="s">
        <v>229</v>
      </c>
      <c r="P45" s="193" t="s">
        <v>228</v>
      </c>
      <c r="Q45" s="193" t="s">
        <v>27</v>
      </c>
      <c r="R45" s="193" t="s">
        <v>27</v>
      </c>
      <c r="S45" s="193" t="s">
        <v>214</v>
      </c>
      <c r="T45" s="193" t="s">
        <v>3029</v>
      </c>
      <c r="U45" s="193" t="s">
        <v>3030</v>
      </c>
      <c r="V45" s="193">
        <v>0</v>
      </c>
      <c r="W45" s="193">
        <v>0</v>
      </c>
      <c r="X45" s="193">
        <v>0</v>
      </c>
      <c r="Y45" s="194">
        <v>11556</v>
      </c>
      <c r="Z45" s="193" t="s">
        <v>3031</v>
      </c>
      <c r="AA45" s="193" t="s">
        <v>27</v>
      </c>
      <c r="AB45" s="193">
        <v>11556</v>
      </c>
      <c r="AC45" s="193" t="s">
        <v>3032</v>
      </c>
      <c r="AD45" s="193" t="s">
        <v>3033</v>
      </c>
      <c r="AE45" s="193">
        <v>11556</v>
      </c>
      <c r="AF45" s="193" t="s">
        <v>3012</v>
      </c>
      <c r="AG45" s="193" t="s">
        <v>395</v>
      </c>
      <c r="AH45" s="193">
        <v>1050</v>
      </c>
      <c r="AI45" s="193">
        <v>10506</v>
      </c>
      <c r="AJ45" s="193" t="s">
        <v>214</v>
      </c>
      <c r="AL45" s="197" t="s">
        <v>3087</v>
      </c>
      <c r="AM45" s="193">
        <v>1</v>
      </c>
      <c r="AN45" s="193">
        <v>0</v>
      </c>
      <c r="AO45" s="193">
        <v>0</v>
      </c>
      <c r="AP45" s="566">
        <v>0</v>
      </c>
      <c r="AQ45" s="193" t="s">
        <v>214</v>
      </c>
      <c r="AS45" s="565" t="s">
        <v>3012</v>
      </c>
      <c r="AT45" s="565" t="s">
        <v>395</v>
      </c>
      <c r="AV45" s="194">
        <v>0</v>
      </c>
      <c r="AW45" s="194">
        <v>0</v>
      </c>
      <c r="AX45" s="194">
        <v>0</v>
      </c>
      <c r="AY45" s="551">
        <v>0</v>
      </c>
      <c r="AZ45" s="194">
        <v>0</v>
      </c>
      <c r="BA45" s="194">
        <v>11556</v>
      </c>
      <c r="BB45" s="551">
        <v>11556</v>
      </c>
      <c r="BC45" s="551">
        <v>11556</v>
      </c>
      <c r="BD45" s="551">
        <v>0</v>
      </c>
      <c r="BF45" s="551">
        <f t="shared" si="21"/>
        <v>0</v>
      </c>
      <c r="BG45" s="551">
        <f t="shared" si="22"/>
        <v>0</v>
      </c>
      <c r="BH45" s="551">
        <f t="shared" si="23"/>
        <v>0</v>
      </c>
      <c r="BI45" s="551">
        <f t="shared" si="24"/>
        <v>0</v>
      </c>
      <c r="BJ45" s="551">
        <f t="shared" si="25"/>
        <v>0</v>
      </c>
      <c r="BK45" s="551">
        <f t="shared" si="26"/>
        <v>10505</v>
      </c>
      <c r="BL45" s="551">
        <f t="shared" si="27"/>
        <v>10505</v>
      </c>
      <c r="BM45" s="551">
        <f t="shared" si="28"/>
        <v>10505</v>
      </c>
      <c r="BN45" s="194"/>
      <c r="BO45" s="193">
        <f t="shared" si="36"/>
        <v>0</v>
      </c>
      <c r="BP45" s="193">
        <f t="shared" si="37"/>
        <v>0</v>
      </c>
      <c r="BQ45" s="193">
        <f t="shared" si="38"/>
        <v>0</v>
      </c>
      <c r="BR45" s="193">
        <f t="shared" si="39"/>
        <v>0</v>
      </c>
      <c r="BS45" s="193">
        <f t="shared" si="40"/>
        <v>0</v>
      </c>
      <c r="BT45" s="193">
        <f t="shared" si="41"/>
        <v>0.45454545454595063</v>
      </c>
      <c r="BU45" s="193">
        <f t="shared" si="42"/>
        <v>0.45454545454595063</v>
      </c>
    </row>
    <row r="46" spans="1:73">
      <c r="A46" s="193" t="s">
        <v>378</v>
      </c>
      <c r="B46" s="193" t="s">
        <v>379</v>
      </c>
      <c r="C46" s="193" t="s">
        <v>214</v>
      </c>
      <c r="D46" s="193" t="s">
        <v>1165</v>
      </c>
      <c r="E46" s="193" t="s">
        <v>1166</v>
      </c>
      <c r="F46" s="193" t="s">
        <v>3082</v>
      </c>
      <c r="G46" s="193" t="s">
        <v>3082</v>
      </c>
      <c r="H46" s="199" t="s">
        <v>3083</v>
      </c>
      <c r="I46" s="193" t="s">
        <v>1508</v>
      </c>
      <c r="J46" s="193" t="s">
        <v>3088</v>
      </c>
      <c r="K46" s="193" t="s">
        <v>386</v>
      </c>
      <c r="L46" s="193" t="s">
        <v>387</v>
      </c>
      <c r="M46" s="193" t="s">
        <v>378</v>
      </c>
      <c r="N46" s="193" t="s">
        <v>3028</v>
      </c>
      <c r="O46" s="193" t="s">
        <v>229</v>
      </c>
      <c r="P46" s="193" t="s">
        <v>228</v>
      </c>
      <c r="Q46" s="193" t="s">
        <v>27</v>
      </c>
      <c r="R46" s="193" t="s">
        <v>27</v>
      </c>
      <c r="S46" s="193" t="s">
        <v>214</v>
      </c>
      <c r="T46" s="193" t="s">
        <v>3029</v>
      </c>
      <c r="U46" s="193" t="s">
        <v>3030</v>
      </c>
      <c r="V46" s="193">
        <v>0</v>
      </c>
      <c r="W46" s="193">
        <v>0</v>
      </c>
      <c r="X46" s="193">
        <v>0</v>
      </c>
      <c r="Y46" s="194">
        <v>10706</v>
      </c>
      <c r="Z46" s="193" t="s">
        <v>3031</v>
      </c>
      <c r="AA46" s="193" t="s">
        <v>27</v>
      </c>
      <c r="AB46" s="193">
        <v>10706</v>
      </c>
      <c r="AC46" s="193" t="s">
        <v>3032</v>
      </c>
      <c r="AD46" s="193" t="s">
        <v>3033</v>
      </c>
      <c r="AE46" s="193">
        <v>10706</v>
      </c>
      <c r="AF46" s="193" t="s">
        <v>3012</v>
      </c>
      <c r="AG46" s="193" t="s">
        <v>395</v>
      </c>
      <c r="AH46" s="193">
        <v>973</v>
      </c>
      <c r="AI46" s="193">
        <v>9733</v>
      </c>
      <c r="AJ46" s="193" t="s">
        <v>214</v>
      </c>
      <c r="AL46" s="197" t="s">
        <v>3089</v>
      </c>
      <c r="AM46" s="193">
        <v>1</v>
      </c>
      <c r="AN46" s="193">
        <v>0</v>
      </c>
      <c r="AO46" s="193">
        <v>0</v>
      </c>
      <c r="AP46" s="566">
        <v>0</v>
      </c>
      <c r="AQ46" s="193" t="s">
        <v>214</v>
      </c>
      <c r="AS46" s="565" t="s">
        <v>3012</v>
      </c>
      <c r="AT46" s="565" t="s">
        <v>395</v>
      </c>
      <c r="AV46" s="194">
        <v>0</v>
      </c>
      <c r="AW46" s="194">
        <v>0</v>
      </c>
      <c r="AX46" s="194">
        <v>0</v>
      </c>
      <c r="AY46" s="551">
        <v>0</v>
      </c>
      <c r="AZ46" s="194">
        <v>0</v>
      </c>
      <c r="BA46" s="194">
        <v>10706</v>
      </c>
      <c r="BB46" s="551">
        <v>10706</v>
      </c>
      <c r="BC46" s="551">
        <v>10706</v>
      </c>
      <c r="BD46" s="551">
        <v>0</v>
      </c>
      <c r="BF46" s="551">
        <f t="shared" si="21"/>
        <v>0</v>
      </c>
      <c r="BG46" s="551">
        <f t="shared" si="22"/>
        <v>0</v>
      </c>
      <c r="BH46" s="551">
        <f t="shared" si="23"/>
        <v>0</v>
      </c>
      <c r="BI46" s="551">
        <f t="shared" si="24"/>
        <v>0</v>
      </c>
      <c r="BJ46" s="551">
        <f t="shared" si="25"/>
        <v>0</v>
      </c>
      <c r="BK46" s="551">
        <f t="shared" si="26"/>
        <v>9733</v>
      </c>
      <c r="BL46" s="551">
        <f t="shared" si="27"/>
        <v>9733</v>
      </c>
      <c r="BM46" s="551">
        <f t="shared" si="28"/>
        <v>9733</v>
      </c>
      <c r="BN46" s="194"/>
      <c r="BO46" s="193">
        <f t="shared" si="36"/>
        <v>0</v>
      </c>
      <c r="BP46" s="193">
        <f t="shared" si="37"/>
        <v>0</v>
      </c>
      <c r="BQ46" s="193">
        <f t="shared" si="38"/>
        <v>0</v>
      </c>
      <c r="BR46" s="193">
        <f t="shared" si="39"/>
        <v>0</v>
      </c>
      <c r="BS46" s="193">
        <f t="shared" si="40"/>
        <v>0</v>
      </c>
      <c r="BT46" s="193">
        <f t="shared" si="41"/>
        <v>-0.27272727272793418</v>
      </c>
      <c r="BU46" s="193">
        <f t="shared" si="42"/>
        <v>-0.27272727272793418</v>
      </c>
    </row>
    <row r="47" spans="1:73">
      <c r="A47" s="193" t="s">
        <v>378</v>
      </c>
      <c r="B47" s="193" t="s">
        <v>379</v>
      </c>
      <c r="C47" s="193" t="s">
        <v>214</v>
      </c>
      <c r="D47" s="193" t="s">
        <v>1165</v>
      </c>
      <c r="E47" s="193" t="s">
        <v>1166</v>
      </c>
      <c r="F47" s="193" t="s">
        <v>3082</v>
      </c>
      <c r="G47" s="193" t="s">
        <v>3082</v>
      </c>
      <c r="H47" s="199" t="s">
        <v>3083</v>
      </c>
      <c r="I47" s="193" t="s">
        <v>1508</v>
      </c>
      <c r="J47" s="193" t="s">
        <v>3090</v>
      </c>
      <c r="K47" s="193" t="s">
        <v>386</v>
      </c>
      <c r="L47" s="193" t="s">
        <v>387</v>
      </c>
      <c r="M47" s="193" t="s">
        <v>378</v>
      </c>
      <c r="N47" s="193" t="s">
        <v>3028</v>
      </c>
      <c r="O47" s="193" t="s">
        <v>229</v>
      </c>
      <c r="P47" s="193" t="s">
        <v>228</v>
      </c>
      <c r="Q47" s="193" t="s">
        <v>27</v>
      </c>
      <c r="R47" s="193" t="s">
        <v>27</v>
      </c>
      <c r="S47" s="193" t="s">
        <v>214</v>
      </c>
      <c r="T47" s="193" t="s">
        <v>3029</v>
      </c>
      <c r="U47" s="193" t="s">
        <v>3030</v>
      </c>
      <c r="V47" s="193">
        <v>0</v>
      </c>
      <c r="W47" s="193">
        <v>0</v>
      </c>
      <c r="X47" s="193">
        <v>0</v>
      </c>
      <c r="Y47" s="194">
        <v>37</v>
      </c>
      <c r="Z47" s="193" t="s">
        <v>3031</v>
      </c>
      <c r="AA47" s="193" t="s">
        <v>27</v>
      </c>
      <c r="AB47" s="193">
        <v>37</v>
      </c>
      <c r="AC47" s="193" t="s">
        <v>3032</v>
      </c>
      <c r="AD47" s="193" t="s">
        <v>3033</v>
      </c>
      <c r="AE47" s="193">
        <v>37</v>
      </c>
      <c r="AF47" s="193" t="s">
        <v>3012</v>
      </c>
      <c r="AG47" s="193" t="s">
        <v>395</v>
      </c>
      <c r="AH47" s="193">
        <v>3</v>
      </c>
      <c r="AI47" s="193">
        <v>34</v>
      </c>
      <c r="AJ47" s="193" t="s">
        <v>214</v>
      </c>
      <c r="AL47" s="197" t="s">
        <v>3091</v>
      </c>
      <c r="AM47" s="193">
        <v>1</v>
      </c>
      <c r="AN47" s="193">
        <v>0</v>
      </c>
      <c r="AO47" s="193">
        <v>0</v>
      </c>
      <c r="AP47" s="566">
        <v>0</v>
      </c>
      <c r="AQ47" s="193" t="s">
        <v>214</v>
      </c>
      <c r="AS47" s="565" t="s">
        <v>3012</v>
      </c>
      <c r="AT47" s="565" t="s">
        <v>395</v>
      </c>
      <c r="AV47" s="194">
        <v>0</v>
      </c>
      <c r="AW47" s="194">
        <v>0</v>
      </c>
      <c r="AX47" s="194">
        <v>0</v>
      </c>
      <c r="AY47" s="551">
        <v>0</v>
      </c>
      <c r="AZ47" s="194">
        <v>0</v>
      </c>
      <c r="BA47" s="194">
        <v>37</v>
      </c>
      <c r="BB47" s="551">
        <v>37</v>
      </c>
      <c r="BC47" s="551">
        <v>37</v>
      </c>
      <c r="BD47" s="551">
        <v>0</v>
      </c>
      <c r="BF47" s="551">
        <f t="shared" si="21"/>
        <v>0</v>
      </c>
      <c r="BG47" s="551">
        <f t="shared" si="22"/>
        <v>0</v>
      </c>
      <c r="BH47" s="551">
        <f t="shared" si="23"/>
        <v>0</v>
      </c>
      <c r="BI47" s="551">
        <f t="shared" si="24"/>
        <v>0</v>
      </c>
      <c r="BJ47" s="551">
        <f t="shared" si="25"/>
        <v>0</v>
      </c>
      <c r="BK47" s="551">
        <f t="shared" si="26"/>
        <v>34</v>
      </c>
      <c r="BL47" s="551">
        <f t="shared" si="27"/>
        <v>34</v>
      </c>
      <c r="BM47" s="551">
        <f t="shared" si="28"/>
        <v>34</v>
      </c>
      <c r="BN47" s="194"/>
      <c r="BO47" s="193">
        <f t="shared" si="36"/>
        <v>0</v>
      </c>
      <c r="BP47" s="193">
        <f t="shared" si="37"/>
        <v>0</v>
      </c>
      <c r="BQ47" s="193">
        <f t="shared" si="38"/>
        <v>0</v>
      </c>
      <c r="BR47" s="193">
        <f t="shared" si="39"/>
        <v>0</v>
      </c>
      <c r="BS47" s="193">
        <f t="shared" si="40"/>
        <v>0</v>
      </c>
      <c r="BT47" s="193">
        <f t="shared" si="41"/>
        <v>-0.36363636363636687</v>
      </c>
      <c r="BU47" s="193">
        <f t="shared" si="42"/>
        <v>-0.36363636363636687</v>
      </c>
    </row>
    <row r="48" spans="1:73">
      <c r="A48" s="193" t="s">
        <v>378</v>
      </c>
      <c r="B48" s="193" t="s">
        <v>379</v>
      </c>
      <c r="C48" s="193" t="s">
        <v>214</v>
      </c>
      <c r="D48" s="193" t="s">
        <v>1165</v>
      </c>
      <c r="E48" s="193" t="s">
        <v>1166</v>
      </c>
      <c r="F48" s="193" t="s">
        <v>3082</v>
      </c>
      <c r="G48" s="193" t="s">
        <v>3082</v>
      </c>
      <c r="H48" s="199" t="s">
        <v>3083</v>
      </c>
      <c r="I48" s="193" t="s">
        <v>1508</v>
      </c>
      <c r="J48" s="193" t="s">
        <v>3092</v>
      </c>
      <c r="K48" s="193" t="s">
        <v>386</v>
      </c>
      <c r="L48" s="193" t="s">
        <v>387</v>
      </c>
      <c r="M48" s="193" t="s">
        <v>378</v>
      </c>
      <c r="N48" s="193" t="s">
        <v>3028</v>
      </c>
      <c r="O48" s="193" t="s">
        <v>229</v>
      </c>
      <c r="P48" s="193" t="s">
        <v>228</v>
      </c>
      <c r="Q48" s="193" t="s">
        <v>27</v>
      </c>
      <c r="R48" s="193" t="s">
        <v>27</v>
      </c>
      <c r="S48" s="193" t="s">
        <v>214</v>
      </c>
      <c r="T48" s="193" t="s">
        <v>3029</v>
      </c>
      <c r="U48" s="193" t="s">
        <v>3030</v>
      </c>
      <c r="V48" s="193">
        <v>0</v>
      </c>
      <c r="W48" s="193">
        <v>0</v>
      </c>
      <c r="X48" s="193">
        <v>0</v>
      </c>
      <c r="Y48" s="194">
        <v>21887</v>
      </c>
      <c r="Z48" s="193" t="s">
        <v>3031</v>
      </c>
      <c r="AA48" s="193" t="s">
        <v>27</v>
      </c>
      <c r="AB48" s="193">
        <v>21887</v>
      </c>
      <c r="AC48" s="193" t="s">
        <v>3032</v>
      </c>
      <c r="AD48" s="193" t="s">
        <v>3033</v>
      </c>
      <c r="AE48" s="193">
        <v>21887</v>
      </c>
      <c r="AF48" s="193" t="s">
        <v>3012</v>
      </c>
      <c r="AG48" s="193" t="s">
        <v>395</v>
      </c>
      <c r="AH48" s="193">
        <v>1989</v>
      </c>
      <c r="AI48" s="193">
        <v>19898</v>
      </c>
      <c r="AJ48" s="193" t="s">
        <v>214</v>
      </c>
      <c r="AL48" s="197" t="s">
        <v>3093</v>
      </c>
      <c r="AM48" s="193">
        <v>1</v>
      </c>
      <c r="AN48" s="193">
        <v>0</v>
      </c>
      <c r="AO48" s="193">
        <v>0</v>
      </c>
      <c r="AP48" s="566">
        <v>0</v>
      </c>
      <c r="AQ48" s="193" t="s">
        <v>214</v>
      </c>
      <c r="AS48" s="565" t="s">
        <v>3012</v>
      </c>
      <c r="AT48" s="565" t="s">
        <v>395</v>
      </c>
      <c r="AV48" s="194">
        <v>0</v>
      </c>
      <c r="AW48" s="194">
        <v>0</v>
      </c>
      <c r="AX48" s="194">
        <v>0</v>
      </c>
      <c r="AY48" s="551">
        <v>0</v>
      </c>
      <c r="AZ48" s="194">
        <v>0</v>
      </c>
      <c r="BA48" s="194">
        <v>21887</v>
      </c>
      <c r="BB48" s="551">
        <v>21887</v>
      </c>
      <c r="BC48" s="551">
        <v>21887</v>
      </c>
      <c r="BD48" s="551">
        <v>0</v>
      </c>
      <c r="BF48" s="551">
        <f t="shared" si="21"/>
        <v>0</v>
      </c>
      <c r="BG48" s="551">
        <f t="shared" si="22"/>
        <v>0</v>
      </c>
      <c r="BH48" s="551">
        <f t="shared" si="23"/>
        <v>0</v>
      </c>
      <c r="BI48" s="551">
        <f t="shared" si="24"/>
        <v>0</v>
      </c>
      <c r="BJ48" s="551">
        <f t="shared" si="25"/>
        <v>0</v>
      </c>
      <c r="BK48" s="551">
        <f t="shared" si="26"/>
        <v>19897</v>
      </c>
      <c r="BL48" s="551">
        <f t="shared" si="27"/>
        <v>19897</v>
      </c>
      <c r="BM48" s="551">
        <f t="shared" si="28"/>
        <v>19897</v>
      </c>
      <c r="BN48" s="194"/>
      <c r="BO48" s="193">
        <f t="shared" si="36"/>
        <v>0</v>
      </c>
      <c r="BP48" s="193">
        <f t="shared" si="37"/>
        <v>0</v>
      </c>
      <c r="BQ48" s="193">
        <f t="shared" si="38"/>
        <v>0</v>
      </c>
      <c r="BR48" s="193">
        <f t="shared" si="39"/>
        <v>0</v>
      </c>
      <c r="BS48" s="193">
        <f t="shared" si="40"/>
        <v>0</v>
      </c>
      <c r="BT48" s="193">
        <f t="shared" si="41"/>
        <v>0.27272727272793418</v>
      </c>
      <c r="BU48" s="193">
        <f t="shared" si="42"/>
        <v>0.27272727272793418</v>
      </c>
    </row>
    <row r="49" spans="1:73">
      <c r="A49" s="193" t="s">
        <v>378</v>
      </c>
      <c r="B49" s="193" t="s">
        <v>379</v>
      </c>
      <c r="C49" s="193" t="s">
        <v>214</v>
      </c>
      <c r="D49" s="193" t="s">
        <v>1165</v>
      </c>
      <c r="E49" s="193" t="s">
        <v>1166</v>
      </c>
      <c r="F49" s="193" t="s">
        <v>2776</v>
      </c>
      <c r="G49" s="193" t="s">
        <v>2776</v>
      </c>
      <c r="H49" s="199" t="s">
        <v>3094</v>
      </c>
      <c r="I49" s="193" t="s">
        <v>1508</v>
      </c>
      <c r="J49" s="193" t="s">
        <v>3095</v>
      </c>
      <c r="K49" s="193" t="s">
        <v>386</v>
      </c>
      <c r="L49" s="193" t="s">
        <v>387</v>
      </c>
      <c r="M49" s="193" t="s">
        <v>378</v>
      </c>
      <c r="N49" s="193" t="s">
        <v>3028</v>
      </c>
      <c r="O49" s="193" t="s">
        <v>229</v>
      </c>
      <c r="P49" s="193" t="s">
        <v>228</v>
      </c>
      <c r="Q49" s="193" t="s">
        <v>27</v>
      </c>
      <c r="R49" s="193" t="s">
        <v>27</v>
      </c>
      <c r="S49" s="193" t="s">
        <v>214</v>
      </c>
      <c r="T49" s="193" t="s">
        <v>3029</v>
      </c>
      <c r="U49" s="193" t="s">
        <v>3030</v>
      </c>
      <c r="V49" s="193">
        <v>0</v>
      </c>
      <c r="W49" s="193">
        <v>0</v>
      </c>
      <c r="X49" s="193">
        <v>0</v>
      </c>
      <c r="Y49" s="194">
        <v>878987</v>
      </c>
      <c r="Z49" s="193" t="s">
        <v>3031</v>
      </c>
      <c r="AA49" s="193" t="s">
        <v>27</v>
      </c>
      <c r="AB49" s="193">
        <v>878987</v>
      </c>
      <c r="AC49" s="193" t="s">
        <v>3032</v>
      </c>
      <c r="AD49" s="193" t="s">
        <v>3033</v>
      </c>
      <c r="AE49" s="193">
        <v>878987</v>
      </c>
      <c r="AF49" s="193" t="s">
        <v>3012</v>
      </c>
      <c r="AG49" s="193" t="s">
        <v>395</v>
      </c>
      <c r="AH49" s="193">
        <v>79907</v>
      </c>
      <c r="AI49" s="193">
        <v>799080</v>
      </c>
      <c r="AJ49" s="193" t="s">
        <v>214</v>
      </c>
      <c r="AL49" s="197" t="s">
        <v>3096</v>
      </c>
      <c r="AM49" s="193">
        <v>1</v>
      </c>
      <c r="AN49" s="193">
        <v>0</v>
      </c>
      <c r="AO49" s="193">
        <v>0</v>
      </c>
      <c r="AP49" s="566">
        <v>0</v>
      </c>
      <c r="AQ49" s="193" t="s">
        <v>214</v>
      </c>
      <c r="AS49" s="565" t="s">
        <v>3012</v>
      </c>
      <c r="AT49" s="565" t="s">
        <v>395</v>
      </c>
      <c r="AV49" s="194">
        <v>0</v>
      </c>
      <c r="AW49" s="194">
        <v>0</v>
      </c>
      <c r="AX49" s="194">
        <v>0</v>
      </c>
      <c r="AY49" s="551">
        <v>0</v>
      </c>
      <c r="AZ49" s="194">
        <v>0</v>
      </c>
      <c r="BA49" s="194">
        <v>878987</v>
      </c>
      <c r="BB49" s="551">
        <v>878987</v>
      </c>
      <c r="BC49" s="551">
        <v>878987</v>
      </c>
      <c r="BD49" s="551">
        <v>0</v>
      </c>
      <c r="BF49" s="551">
        <f t="shared" si="21"/>
        <v>0</v>
      </c>
      <c r="BG49" s="551">
        <f t="shared" si="22"/>
        <v>0</v>
      </c>
      <c r="BH49" s="551">
        <f t="shared" si="23"/>
        <v>0</v>
      </c>
      <c r="BI49" s="551">
        <f t="shared" si="24"/>
        <v>0</v>
      </c>
      <c r="BJ49" s="551">
        <f t="shared" si="25"/>
        <v>0</v>
      </c>
      <c r="BK49" s="551">
        <f t="shared" si="26"/>
        <v>799079</v>
      </c>
      <c r="BL49" s="551">
        <f t="shared" si="27"/>
        <v>799079</v>
      </c>
      <c r="BM49" s="551">
        <f t="shared" si="28"/>
        <v>799079</v>
      </c>
      <c r="BN49" s="194"/>
      <c r="BO49" s="193">
        <f t="shared" si="36"/>
        <v>0</v>
      </c>
      <c r="BP49" s="193">
        <f t="shared" si="37"/>
        <v>0</v>
      </c>
      <c r="BQ49" s="193">
        <f t="shared" si="38"/>
        <v>0</v>
      </c>
      <c r="BR49" s="193">
        <f t="shared" si="39"/>
        <v>0</v>
      </c>
      <c r="BS49" s="193">
        <f t="shared" si="40"/>
        <v>0</v>
      </c>
      <c r="BT49" s="193">
        <f t="shared" si="41"/>
        <v>9.0909090940840542E-2</v>
      </c>
      <c r="BU49" s="193">
        <f t="shared" si="42"/>
        <v>9.0909090940840542E-2</v>
      </c>
    </row>
    <row r="50" spans="1:73">
      <c r="A50" s="193" t="s">
        <v>378</v>
      </c>
      <c r="B50" s="193" t="s">
        <v>379</v>
      </c>
      <c r="C50" s="193" t="s">
        <v>214</v>
      </c>
      <c r="D50" s="193" t="s">
        <v>1165</v>
      </c>
      <c r="E50" s="193" t="s">
        <v>1166</v>
      </c>
      <c r="F50" s="193" t="s">
        <v>2776</v>
      </c>
      <c r="G50" s="193" t="s">
        <v>2776</v>
      </c>
      <c r="H50" s="199" t="s">
        <v>3094</v>
      </c>
      <c r="I50" s="193" t="s">
        <v>1508</v>
      </c>
      <c r="J50" s="193" t="s">
        <v>3097</v>
      </c>
      <c r="K50" s="193" t="s">
        <v>386</v>
      </c>
      <c r="L50" s="193" t="s">
        <v>387</v>
      </c>
      <c r="M50" s="193" t="s">
        <v>378</v>
      </c>
      <c r="N50" s="193" t="s">
        <v>3028</v>
      </c>
      <c r="O50" s="193" t="s">
        <v>229</v>
      </c>
      <c r="P50" s="193" t="s">
        <v>228</v>
      </c>
      <c r="Q50" s="193" t="s">
        <v>27</v>
      </c>
      <c r="R50" s="193" t="s">
        <v>27</v>
      </c>
      <c r="S50" s="193" t="s">
        <v>214</v>
      </c>
      <c r="T50" s="193" t="s">
        <v>3029</v>
      </c>
      <c r="U50" s="193" t="s">
        <v>3030</v>
      </c>
      <c r="V50" s="193">
        <v>0</v>
      </c>
      <c r="W50" s="193">
        <v>0</v>
      </c>
      <c r="X50" s="193">
        <v>0</v>
      </c>
      <c r="Y50" s="194">
        <v>14357</v>
      </c>
      <c r="Z50" s="193" t="s">
        <v>3031</v>
      </c>
      <c r="AA50" s="193" t="s">
        <v>27</v>
      </c>
      <c r="AB50" s="193">
        <v>14357</v>
      </c>
      <c r="AC50" s="193" t="s">
        <v>3032</v>
      </c>
      <c r="AD50" s="193" t="s">
        <v>3033</v>
      </c>
      <c r="AE50" s="193">
        <v>14357</v>
      </c>
      <c r="AF50" s="193" t="s">
        <v>3012</v>
      </c>
      <c r="AG50" s="193" t="s">
        <v>395</v>
      </c>
      <c r="AH50" s="193">
        <v>1305</v>
      </c>
      <c r="AI50" s="193">
        <v>13052</v>
      </c>
      <c r="AJ50" s="193" t="s">
        <v>214</v>
      </c>
      <c r="AL50" s="197" t="s">
        <v>3098</v>
      </c>
      <c r="AM50" s="193">
        <v>1</v>
      </c>
      <c r="AN50" s="193">
        <v>0</v>
      </c>
      <c r="AO50" s="193">
        <v>0</v>
      </c>
      <c r="AP50" s="566">
        <v>0</v>
      </c>
      <c r="AQ50" s="193" t="s">
        <v>214</v>
      </c>
      <c r="AS50" s="565" t="s">
        <v>3012</v>
      </c>
      <c r="AT50" s="565" t="s">
        <v>395</v>
      </c>
      <c r="AV50" s="194">
        <v>0</v>
      </c>
      <c r="AW50" s="194">
        <v>0</v>
      </c>
      <c r="AX50" s="194">
        <v>0</v>
      </c>
      <c r="AY50" s="551">
        <v>0</v>
      </c>
      <c r="AZ50" s="194">
        <v>0</v>
      </c>
      <c r="BA50" s="194">
        <v>14357</v>
      </c>
      <c r="BB50" s="551">
        <v>14357</v>
      </c>
      <c r="BC50" s="551">
        <v>14357</v>
      </c>
      <c r="BD50" s="551">
        <v>0</v>
      </c>
      <c r="BF50" s="551">
        <f t="shared" si="21"/>
        <v>0</v>
      </c>
      <c r="BG50" s="551">
        <f t="shared" si="22"/>
        <v>0</v>
      </c>
      <c r="BH50" s="551">
        <f t="shared" si="23"/>
        <v>0</v>
      </c>
      <c r="BI50" s="551">
        <f t="shared" si="24"/>
        <v>0</v>
      </c>
      <c r="BJ50" s="551">
        <f t="shared" si="25"/>
        <v>0</v>
      </c>
      <c r="BK50" s="551">
        <f t="shared" si="26"/>
        <v>13052</v>
      </c>
      <c r="BL50" s="551">
        <f t="shared" si="27"/>
        <v>13052</v>
      </c>
      <c r="BM50" s="551">
        <f t="shared" si="28"/>
        <v>13052</v>
      </c>
      <c r="BN50" s="194"/>
      <c r="BO50" s="193">
        <f t="shared" si="36"/>
        <v>0</v>
      </c>
      <c r="BP50" s="193">
        <f t="shared" si="37"/>
        <v>0</v>
      </c>
      <c r="BQ50" s="193">
        <f t="shared" si="38"/>
        <v>0</v>
      </c>
      <c r="BR50" s="193">
        <f t="shared" si="39"/>
        <v>0</v>
      </c>
      <c r="BS50" s="193">
        <f t="shared" si="40"/>
        <v>0</v>
      </c>
      <c r="BT50" s="193">
        <f t="shared" si="41"/>
        <v>-0.18181818181801646</v>
      </c>
      <c r="BU50" s="193">
        <f t="shared" si="42"/>
        <v>-0.18181818181801646</v>
      </c>
    </row>
    <row r="51" spans="1:73">
      <c r="A51" s="193" t="s">
        <v>378</v>
      </c>
      <c r="B51" s="193" t="s">
        <v>379</v>
      </c>
      <c r="C51" s="193" t="s">
        <v>214</v>
      </c>
      <c r="D51" s="193" t="s">
        <v>1165</v>
      </c>
      <c r="E51" s="193" t="s">
        <v>1166</v>
      </c>
      <c r="F51" s="193" t="s">
        <v>2776</v>
      </c>
      <c r="G51" s="193" t="s">
        <v>2776</v>
      </c>
      <c r="H51" s="199" t="s">
        <v>3094</v>
      </c>
      <c r="I51" s="193" t="s">
        <v>1508</v>
      </c>
      <c r="J51" s="193" t="s">
        <v>3099</v>
      </c>
      <c r="K51" s="193" t="s">
        <v>386</v>
      </c>
      <c r="L51" s="193" t="s">
        <v>387</v>
      </c>
      <c r="M51" s="193" t="s">
        <v>378</v>
      </c>
      <c r="N51" s="193" t="s">
        <v>3028</v>
      </c>
      <c r="O51" s="193" t="s">
        <v>229</v>
      </c>
      <c r="P51" s="193" t="s">
        <v>228</v>
      </c>
      <c r="Q51" s="193" t="s">
        <v>27</v>
      </c>
      <c r="R51" s="193" t="s">
        <v>27</v>
      </c>
      <c r="S51" s="193" t="s">
        <v>214</v>
      </c>
      <c r="T51" s="193" t="s">
        <v>3029</v>
      </c>
      <c r="U51" s="193" t="s">
        <v>3030</v>
      </c>
      <c r="V51" s="193">
        <v>0</v>
      </c>
      <c r="W51" s="193">
        <v>0</v>
      </c>
      <c r="X51" s="193">
        <v>0</v>
      </c>
      <c r="Y51" s="194">
        <v>72017</v>
      </c>
      <c r="Z51" s="193" t="s">
        <v>3031</v>
      </c>
      <c r="AA51" s="193" t="s">
        <v>27</v>
      </c>
      <c r="AB51" s="193">
        <v>72017</v>
      </c>
      <c r="AC51" s="193" t="s">
        <v>3032</v>
      </c>
      <c r="AD51" s="193" t="s">
        <v>3033</v>
      </c>
      <c r="AE51" s="193">
        <v>72017</v>
      </c>
      <c r="AF51" s="193" t="s">
        <v>3012</v>
      </c>
      <c r="AG51" s="193" t="s">
        <v>395</v>
      </c>
      <c r="AH51" s="193">
        <v>6547</v>
      </c>
      <c r="AI51" s="193">
        <v>65470</v>
      </c>
      <c r="AJ51" s="193" t="s">
        <v>214</v>
      </c>
      <c r="AL51" s="197" t="s">
        <v>3100</v>
      </c>
      <c r="AM51" s="193">
        <v>1</v>
      </c>
      <c r="AN51" s="193">
        <v>0</v>
      </c>
      <c r="AO51" s="193">
        <v>0</v>
      </c>
      <c r="AP51" s="566">
        <v>0</v>
      </c>
      <c r="AQ51" s="193" t="s">
        <v>214</v>
      </c>
      <c r="AS51" s="565" t="s">
        <v>3012</v>
      </c>
      <c r="AT51" s="565" t="s">
        <v>395</v>
      </c>
      <c r="AV51" s="194">
        <v>0</v>
      </c>
      <c r="AW51" s="194">
        <v>0</v>
      </c>
      <c r="AX51" s="194">
        <v>0</v>
      </c>
      <c r="AY51" s="551">
        <v>0</v>
      </c>
      <c r="AZ51" s="194">
        <v>0</v>
      </c>
      <c r="BA51" s="194">
        <v>72017</v>
      </c>
      <c r="BB51" s="551">
        <v>72017</v>
      </c>
      <c r="BC51" s="551">
        <v>72017</v>
      </c>
      <c r="BD51" s="551">
        <v>0</v>
      </c>
      <c r="BF51" s="551">
        <f t="shared" si="21"/>
        <v>0</v>
      </c>
      <c r="BG51" s="551">
        <f t="shared" si="22"/>
        <v>0</v>
      </c>
      <c r="BH51" s="551">
        <f t="shared" si="23"/>
        <v>0</v>
      </c>
      <c r="BI51" s="551">
        <f t="shared" si="24"/>
        <v>0</v>
      </c>
      <c r="BJ51" s="551">
        <f t="shared" si="25"/>
        <v>0</v>
      </c>
      <c r="BK51" s="551">
        <f t="shared" si="26"/>
        <v>65470</v>
      </c>
      <c r="BL51" s="551">
        <f t="shared" si="27"/>
        <v>65470</v>
      </c>
      <c r="BM51" s="551">
        <f t="shared" si="28"/>
        <v>65470</v>
      </c>
      <c r="BN51" s="194"/>
      <c r="BO51" s="193">
        <f t="shared" si="36"/>
        <v>0</v>
      </c>
      <c r="BP51" s="193">
        <f t="shared" si="37"/>
        <v>0</v>
      </c>
      <c r="BQ51" s="193">
        <f t="shared" si="38"/>
        <v>0</v>
      </c>
      <c r="BR51" s="193">
        <f t="shared" si="39"/>
        <v>0</v>
      </c>
      <c r="BS51" s="193">
        <f t="shared" si="40"/>
        <v>0</v>
      </c>
      <c r="BT51" s="193">
        <f t="shared" si="41"/>
        <v>0</v>
      </c>
      <c r="BU51" s="193">
        <f t="shared" si="42"/>
        <v>0</v>
      </c>
    </row>
    <row r="52" spans="1:73">
      <c r="A52" s="193" t="s">
        <v>378</v>
      </c>
      <c r="B52" s="193" t="s">
        <v>379</v>
      </c>
      <c r="C52" s="193" t="s">
        <v>214</v>
      </c>
      <c r="D52" s="193" t="s">
        <v>1165</v>
      </c>
      <c r="E52" s="193" t="s">
        <v>1166</v>
      </c>
      <c r="F52" s="193" t="s">
        <v>2776</v>
      </c>
      <c r="G52" s="193" t="s">
        <v>2776</v>
      </c>
      <c r="H52" s="199" t="s">
        <v>3094</v>
      </c>
      <c r="I52" s="193" t="s">
        <v>1508</v>
      </c>
      <c r="J52" s="193" t="s">
        <v>3101</v>
      </c>
      <c r="K52" s="193" t="s">
        <v>386</v>
      </c>
      <c r="L52" s="193" t="s">
        <v>387</v>
      </c>
      <c r="M52" s="193" t="s">
        <v>378</v>
      </c>
      <c r="N52" s="193" t="s">
        <v>3028</v>
      </c>
      <c r="O52" s="193" t="s">
        <v>229</v>
      </c>
      <c r="P52" s="193" t="s">
        <v>228</v>
      </c>
      <c r="Q52" s="193" t="s">
        <v>27</v>
      </c>
      <c r="R52" s="193" t="s">
        <v>27</v>
      </c>
      <c r="S52" s="193" t="s">
        <v>214</v>
      </c>
      <c r="T52" s="193" t="s">
        <v>3029</v>
      </c>
      <c r="U52" s="193" t="s">
        <v>3030</v>
      </c>
      <c r="V52" s="193">
        <v>0</v>
      </c>
      <c r="W52" s="193">
        <v>0</v>
      </c>
      <c r="X52" s="193">
        <v>0</v>
      </c>
      <c r="Y52" s="194">
        <v>47795</v>
      </c>
      <c r="Z52" s="193" t="s">
        <v>3031</v>
      </c>
      <c r="AA52" s="193" t="s">
        <v>27</v>
      </c>
      <c r="AB52" s="193">
        <v>47795</v>
      </c>
      <c r="AC52" s="193" t="s">
        <v>3032</v>
      </c>
      <c r="AD52" s="193" t="s">
        <v>3033</v>
      </c>
      <c r="AE52" s="193">
        <v>47795</v>
      </c>
      <c r="AF52" s="193" t="s">
        <v>3012</v>
      </c>
      <c r="AG52" s="193" t="s">
        <v>395</v>
      </c>
      <c r="AH52" s="193">
        <v>4345</v>
      </c>
      <c r="AI52" s="193">
        <v>43450</v>
      </c>
      <c r="AJ52" s="193" t="s">
        <v>214</v>
      </c>
      <c r="AL52" s="197" t="s">
        <v>3102</v>
      </c>
      <c r="AM52" s="193">
        <v>1</v>
      </c>
      <c r="AN52" s="193">
        <v>0</v>
      </c>
      <c r="AO52" s="193">
        <v>0</v>
      </c>
      <c r="AP52" s="566">
        <v>0</v>
      </c>
      <c r="AQ52" s="193" t="s">
        <v>214</v>
      </c>
      <c r="AS52" s="565" t="s">
        <v>3012</v>
      </c>
      <c r="AT52" s="565" t="s">
        <v>395</v>
      </c>
      <c r="AV52" s="194">
        <v>0</v>
      </c>
      <c r="AW52" s="194">
        <v>0</v>
      </c>
      <c r="AX52" s="194">
        <v>0</v>
      </c>
      <c r="AY52" s="551">
        <v>0</v>
      </c>
      <c r="AZ52" s="194">
        <v>0</v>
      </c>
      <c r="BA52" s="194">
        <v>47795</v>
      </c>
      <c r="BB52" s="551">
        <v>47795</v>
      </c>
      <c r="BC52" s="551">
        <v>47795</v>
      </c>
      <c r="BD52" s="551">
        <v>0</v>
      </c>
      <c r="BF52" s="551">
        <f t="shared" si="21"/>
        <v>0</v>
      </c>
      <c r="BG52" s="551">
        <f t="shared" si="22"/>
        <v>0</v>
      </c>
      <c r="BH52" s="551">
        <f t="shared" si="23"/>
        <v>0</v>
      </c>
      <c r="BI52" s="551">
        <f t="shared" si="24"/>
        <v>0</v>
      </c>
      <c r="BJ52" s="551">
        <f t="shared" si="25"/>
        <v>0</v>
      </c>
      <c r="BK52" s="551">
        <f t="shared" si="26"/>
        <v>43450</v>
      </c>
      <c r="BL52" s="551">
        <f t="shared" si="27"/>
        <v>43450</v>
      </c>
      <c r="BM52" s="551">
        <f t="shared" si="28"/>
        <v>43450</v>
      </c>
      <c r="BN52" s="194"/>
      <c r="BO52" s="193">
        <f t="shared" si="36"/>
        <v>0</v>
      </c>
      <c r="BP52" s="193">
        <f t="shared" si="37"/>
        <v>0</v>
      </c>
      <c r="BQ52" s="193">
        <f t="shared" si="38"/>
        <v>0</v>
      </c>
      <c r="BR52" s="193">
        <f t="shared" si="39"/>
        <v>0</v>
      </c>
      <c r="BS52" s="193">
        <f t="shared" si="40"/>
        <v>0</v>
      </c>
      <c r="BT52" s="193">
        <f t="shared" si="41"/>
        <v>0</v>
      </c>
      <c r="BU52" s="193">
        <f t="shared" si="42"/>
        <v>0</v>
      </c>
    </row>
    <row r="53" spans="1:73">
      <c r="A53" s="193" t="s">
        <v>378</v>
      </c>
      <c r="B53" s="193" t="s">
        <v>379</v>
      </c>
      <c r="C53" s="193" t="s">
        <v>214</v>
      </c>
      <c r="D53" s="193" t="s">
        <v>1165</v>
      </c>
      <c r="E53" s="193" t="s">
        <v>1166</v>
      </c>
      <c r="F53" s="193" t="s">
        <v>2776</v>
      </c>
      <c r="G53" s="193" t="s">
        <v>2776</v>
      </c>
      <c r="H53" s="199" t="s">
        <v>3094</v>
      </c>
      <c r="I53" s="193" t="s">
        <v>1508</v>
      </c>
      <c r="J53" s="193" t="s">
        <v>3103</v>
      </c>
      <c r="K53" s="193" t="s">
        <v>386</v>
      </c>
      <c r="L53" s="193" t="s">
        <v>387</v>
      </c>
      <c r="M53" s="193" t="s">
        <v>378</v>
      </c>
      <c r="N53" s="193" t="s">
        <v>3028</v>
      </c>
      <c r="O53" s="193" t="s">
        <v>229</v>
      </c>
      <c r="P53" s="193" t="s">
        <v>228</v>
      </c>
      <c r="Q53" s="193" t="s">
        <v>27</v>
      </c>
      <c r="R53" s="193" t="s">
        <v>27</v>
      </c>
      <c r="S53" s="193" t="s">
        <v>214</v>
      </c>
      <c r="T53" s="193" t="s">
        <v>3029</v>
      </c>
      <c r="U53" s="193" t="s">
        <v>3030</v>
      </c>
      <c r="V53" s="193">
        <v>0</v>
      </c>
      <c r="W53" s="193">
        <v>0</v>
      </c>
      <c r="X53" s="193">
        <v>0</v>
      </c>
      <c r="Y53" s="194">
        <v>5553</v>
      </c>
      <c r="Z53" s="193" t="s">
        <v>3031</v>
      </c>
      <c r="AA53" s="193" t="s">
        <v>27</v>
      </c>
      <c r="AB53" s="193">
        <v>5553</v>
      </c>
      <c r="AC53" s="193" t="s">
        <v>3032</v>
      </c>
      <c r="AD53" s="193" t="s">
        <v>3033</v>
      </c>
      <c r="AE53" s="193">
        <v>5553</v>
      </c>
      <c r="AF53" s="193" t="s">
        <v>3012</v>
      </c>
      <c r="AG53" s="193" t="s">
        <v>395</v>
      </c>
      <c r="AH53" s="193">
        <v>504</v>
      </c>
      <c r="AI53" s="193">
        <v>5049</v>
      </c>
      <c r="AJ53" s="193" t="s">
        <v>214</v>
      </c>
      <c r="AL53" s="197" t="s">
        <v>3104</v>
      </c>
      <c r="AM53" s="193">
        <v>1</v>
      </c>
      <c r="AN53" s="193">
        <v>0</v>
      </c>
      <c r="AO53" s="193">
        <v>0</v>
      </c>
      <c r="AP53" s="566">
        <v>0</v>
      </c>
      <c r="AQ53" s="193" t="s">
        <v>214</v>
      </c>
      <c r="AS53" s="565" t="s">
        <v>3012</v>
      </c>
      <c r="AT53" s="565" t="s">
        <v>395</v>
      </c>
      <c r="AV53" s="194">
        <v>0</v>
      </c>
      <c r="AW53" s="194">
        <v>0</v>
      </c>
      <c r="AX53" s="194">
        <v>0</v>
      </c>
      <c r="AY53" s="551">
        <v>0</v>
      </c>
      <c r="AZ53" s="194">
        <v>0</v>
      </c>
      <c r="BA53" s="194">
        <v>5553</v>
      </c>
      <c r="BB53" s="551">
        <v>5553</v>
      </c>
      <c r="BC53" s="551">
        <v>5553</v>
      </c>
      <c r="BD53" s="551">
        <v>0</v>
      </c>
      <c r="BF53" s="551">
        <f t="shared" si="21"/>
        <v>0</v>
      </c>
      <c r="BG53" s="551">
        <f t="shared" si="22"/>
        <v>0</v>
      </c>
      <c r="BH53" s="551">
        <f t="shared" si="23"/>
        <v>0</v>
      </c>
      <c r="BI53" s="551">
        <f t="shared" si="24"/>
        <v>0</v>
      </c>
      <c r="BJ53" s="551">
        <f t="shared" si="25"/>
        <v>0</v>
      </c>
      <c r="BK53" s="551">
        <f t="shared" si="26"/>
        <v>5048</v>
      </c>
      <c r="BL53" s="551">
        <f t="shared" si="27"/>
        <v>5048</v>
      </c>
      <c r="BM53" s="551">
        <f t="shared" si="28"/>
        <v>5048</v>
      </c>
      <c r="BN53" s="194"/>
      <c r="BO53" s="193">
        <f t="shared" si="36"/>
        <v>0</v>
      </c>
      <c r="BP53" s="193">
        <f t="shared" si="37"/>
        <v>0</v>
      </c>
      <c r="BQ53" s="193">
        <f t="shared" si="38"/>
        <v>0</v>
      </c>
      <c r="BR53" s="193">
        <f t="shared" si="39"/>
        <v>0</v>
      </c>
      <c r="BS53" s="193">
        <f t="shared" si="40"/>
        <v>0</v>
      </c>
      <c r="BT53" s="193">
        <f t="shared" si="41"/>
        <v>0.18181818181801646</v>
      </c>
      <c r="BU53" s="193">
        <f t="shared" si="42"/>
        <v>0.18181818181801646</v>
      </c>
    </row>
    <row r="54" spans="1:73">
      <c r="A54" s="193" t="s">
        <v>378</v>
      </c>
      <c r="B54" s="193" t="s">
        <v>379</v>
      </c>
      <c r="C54" s="193" t="s">
        <v>214</v>
      </c>
      <c r="D54" s="193" t="s">
        <v>1165</v>
      </c>
      <c r="E54" s="193" t="s">
        <v>1166</v>
      </c>
      <c r="F54" s="193" t="s">
        <v>1487</v>
      </c>
      <c r="G54" s="193" t="s">
        <v>1487</v>
      </c>
      <c r="H54" s="199" t="s">
        <v>3105</v>
      </c>
      <c r="I54" s="193" t="s">
        <v>1508</v>
      </c>
      <c r="J54" s="193" t="s">
        <v>3106</v>
      </c>
      <c r="K54" s="193" t="s">
        <v>386</v>
      </c>
      <c r="L54" s="193" t="s">
        <v>387</v>
      </c>
      <c r="M54" s="193" t="s">
        <v>378</v>
      </c>
      <c r="N54" s="193" t="s">
        <v>3028</v>
      </c>
      <c r="O54" s="193" t="s">
        <v>229</v>
      </c>
      <c r="P54" s="193" t="s">
        <v>228</v>
      </c>
      <c r="Q54" s="193" t="s">
        <v>27</v>
      </c>
      <c r="R54" s="193" t="s">
        <v>27</v>
      </c>
      <c r="S54" s="193" t="s">
        <v>214</v>
      </c>
      <c r="T54" s="193" t="s">
        <v>3029</v>
      </c>
      <c r="U54" s="193" t="s">
        <v>3030</v>
      </c>
      <c r="V54" s="193">
        <v>0</v>
      </c>
      <c r="W54" s="193">
        <v>0</v>
      </c>
      <c r="X54" s="193">
        <v>0</v>
      </c>
      <c r="Y54" s="194">
        <v>33450</v>
      </c>
      <c r="Z54" s="193" t="s">
        <v>3031</v>
      </c>
      <c r="AA54" s="193" t="s">
        <v>27</v>
      </c>
      <c r="AB54" s="193">
        <v>33450</v>
      </c>
      <c r="AC54" s="193" t="s">
        <v>3032</v>
      </c>
      <c r="AD54" s="193" t="s">
        <v>3033</v>
      </c>
      <c r="AE54" s="193">
        <v>33450</v>
      </c>
      <c r="AF54" s="193" t="s">
        <v>3012</v>
      </c>
      <c r="AG54" s="193" t="s">
        <v>395</v>
      </c>
      <c r="AH54" s="193">
        <v>3040</v>
      </c>
      <c r="AI54" s="193">
        <v>30410</v>
      </c>
      <c r="AJ54" s="193" t="s">
        <v>214</v>
      </c>
      <c r="AL54" s="197" t="s">
        <v>3107</v>
      </c>
      <c r="AM54" s="193">
        <v>1</v>
      </c>
      <c r="AN54" s="193">
        <v>0</v>
      </c>
      <c r="AO54" s="193">
        <v>0</v>
      </c>
      <c r="AP54" s="566">
        <v>0</v>
      </c>
      <c r="AQ54" s="193" t="s">
        <v>214</v>
      </c>
      <c r="AS54" s="565" t="s">
        <v>3012</v>
      </c>
      <c r="AT54" s="565" t="s">
        <v>395</v>
      </c>
      <c r="AV54" s="194">
        <v>0</v>
      </c>
      <c r="AW54" s="194">
        <v>0</v>
      </c>
      <c r="AX54" s="194">
        <v>0</v>
      </c>
      <c r="AY54" s="551">
        <v>0</v>
      </c>
      <c r="AZ54" s="194">
        <v>0</v>
      </c>
      <c r="BA54" s="194">
        <v>33450</v>
      </c>
      <c r="BB54" s="551">
        <v>33450</v>
      </c>
      <c r="BC54" s="551">
        <v>33450</v>
      </c>
      <c r="BD54" s="551">
        <v>0</v>
      </c>
      <c r="BF54" s="551">
        <f t="shared" si="21"/>
        <v>0</v>
      </c>
      <c r="BG54" s="551">
        <f t="shared" si="22"/>
        <v>0</v>
      </c>
      <c r="BH54" s="551">
        <f t="shared" si="23"/>
        <v>0</v>
      </c>
      <c r="BI54" s="551">
        <f t="shared" si="24"/>
        <v>0</v>
      </c>
      <c r="BJ54" s="551">
        <f t="shared" si="25"/>
        <v>0</v>
      </c>
      <c r="BK54" s="551">
        <f t="shared" si="26"/>
        <v>30409</v>
      </c>
      <c r="BL54" s="551">
        <f t="shared" si="27"/>
        <v>30409</v>
      </c>
      <c r="BM54" s="551">
        <f t="shared" si="28"/>
        <v>30409</v>
      </c>
      <c r="BN54" s="194"/>
      <c r="BO54" s="193">
        <f t="shared" si="36"/>
        <v>0</v>
      </c>
      <c r="BP54" s="193">
        <f t="shared" si="37"/>
        <v>0</v>
      </c>
      <c r="BQ54" s="193">
        <f t="shared" si="38"/>
        <v>0</v>
      </c>
      <c r="BR54" s="193">
        <f t="shared" si="39"/>
        <v>0</v>
      </c>
      <c r="BS54" s="193">
        <f t="shared" si="40"/>
        <v>0</v>
      </c>
      <c r="BT54" s="193">
        <f t="shared" si="41"/>
        <v>9.0909090908098733E-2</v>
      </c>
      <c r="BU54" s="193">
        <f t="shared" si="42"/>
        <v>9.0909090908098733E-2</v>
      </c>
    </row>
    <row r="55" spans="1:73">
      <c r="A55" s="193" t="s">
        <v>378</v>
      </c>
      <c r="B55" s="193" t="s">
        <v>379</v>
      </c>
      <c r="C55" s="193" t="s">
        <v>214</v>
      </c>
      <c r="D55" s="193" t="s">
        <v>1165</v>
      </c>
      <c r="E55" s="193" t="s">
        <v>1166</v>
      </c>
      <c r="F55" s="193" t="s">
        <v>1487</v>
      </c>
      <c r="G55" s="193" t="s">
        <v>1487</v>
      </c>
      <c r="H55" s="199" t="s">
        <v>3105</v>
      </c>
      <c r="I55" s="193" t="s">
        <v>1508</v>
      </c>
      <c r="J55" s="193" t="s">
        <v>3108</v>
      </c>
      <c r="K55" s="193" t="s">
        <v>386</v>
      </c>
      <c r="L55" s="193" t="s">
        <v>387</v>
      </c>
      <c r="M55" s="193" t="s">
        <v>378</v>
      </c>
      <c r="N55" s="193" t="s">
        <v>3028</v>
      </c>
      <c r="O55" s="193" t="s">
        <v>229</v>
      </c>
      <c r="P55" s="193" t="s">
        <v>228</v>
      </c>
      <c r="Q55" s="193" t="s">
        <v>27</v>
      </c>
      <c r="R55" s="193" t="s">
        <v>27</v>
      </c>
      <c r="S55" s="193" t="s">
        <v>214</v>
      </c>
      <c r="T55" s="193" t="s">
        <v>3029</v>
      </c>
      <c r="U55" s="193" t="s">
        <v>3030</v>
      </c>
      <c r="V55" s="193">
        <v>0</v>
      </c>
      <c r="W55" s="193">
        <v>0</v>
      </c>
      <c r="X55" s="193">
        <v>0</v>
      </c>
      <c r="Y55" s="194">
        <v>3784</v>
      </c>
      <c r="Z55" s="193" t="s">
        <v>3031</v>
      </c>
      <c r="AA55" s="193" t="s">
        <v>27</v>
      </c>
      <c r="AB55" s="193">
        <v>3784</v>
      </c>
      <c r="AC55" s="193" t="s">
        <v>3032</v>
      </c>
      <c r="AD55" s="193" t="s">
        <v>3033</v>
      </c>
      <c r="AE55" s="193">
        <v>3784</v>
      </c>
      <c r="AF55" s="193" t="s">
        <v>3012</v>
      </c>
      <c r="AG55" s="193" t="s">
        <v>395</v>
      </c>
      <c r="AH55" s="193">
        <v>344</v>
      </c>
      <c r="AI55" s="193">
        <v>3440</v>
      </c>
      <c r="AJ55" s="193" t="s">
        <v>214</v>
      </c>
      <c r="AL55" s="197" t="s">
        <v>3109</v>
      </c>
      <c r="AM55" s="193">
        <v>1</v>
      </c>
      <c r="AN55" s="193">
        <v>0</v>
      </c>
      <c r="AO55" s="193">
        <v>0</v>
      </c>
      <c r="AP55" s="566">
        <v>0</v>
      </c>
      <c r="AQ55" s="193" t="s">
        <v>214</v>
      </c>
      <c r="AS55" s="565" t="s">
        <v>3012</v>
      </c>
      <c r="AT55" s="565" t="s">
        <v>395</v>
      </c>
      <c r="AV55" s="194">
        <v>0</v>
      </c>
      <c r="AW55" s="194">
        <v>0</v>
      </c>
      <c r="AX55" s="194">
        <v>0</v>
      </c>
      <c r="AY55" s="551">
        <v>0</v>
      </c>
      <c r="AZ55" s="194">
        <v>0</v>
      </c>
      <c r="BA55" s="194">
        <v>3784</v>
      </c>
      <c r="BB55" s="551">
        <v>3784</v>
      </c>
      <c r="BC55" s="551">
        <v>3784</v>
      </c>
      <c r="BD55" s="551">
        <v>0</v>
      </c>
      <c r="BF55" s="551">
        <f t="shared" si="21"/>
        <v>0</v>
      </c>
      <c r="BG55" s="551">
        <f t="shared" si="22"/>
        <v>0</v>
      </c>
      <c r="BH55" s="551">
        <f t="shared" si="23"/>
        <v>0</v>
      </c>
      <c r="BI55" s="551">
        <f t="shared" si="24"/>
        <v>0</v>
      </c>
      <c r="BJ55" s="551">
        <f t="shared" si="25"/>
        <v>0</v>
      </c>
      <c r="BK55" s="551">
        <f t="shared" si="26"/>
        <v>3440</v>
      </c>
      <c r="BL55" s="551">
        <f t="shared" si="27"/>
        <v>3440</v>
      </c>
      <c r="BM55" s="551">
        <f t="shared" si="28"/>
        <v>3440</v>
      </c>
      <c r="BN55" s="194"/>
      <c r="BO55" s="193">
        <f t="shared" si="36"/>
        <v>0</v>
      </c>
      <c r="BP55" s="193">
        <f t="shared" si="37"/>
        <v>0</v>
      </c>
      <c r="BQ55" s="193">
        <f t="shared" si="38"/>
        <v>0</v>
      </c>
      <c r="BR55" s="193">
        <f t="shared" si="39"/>
        <v>0</v>
      </c>
      <c r="BS55" s="193">
        <f t="shared" si="40"/>
        <v>0</v>
      </c>
      <c r="BT55" s="193">
        <f t="shared" si="41"/>
        <v>0</v>
      </c>
      <c r="BU55" s="193">
        <f t="shared" si="42"/>
        <v>0</v>
      </c>
    </row>
    <row r="56" spans="1:73">
      <c r="A56" s="193" t="s">
        <v>378</v>
      </c>
      <c r="B56" s="193" t="s">
        <v>379</v>
      </c>
      <c r="C56" s="193" t="s">
        <v>214</v>
      </c>
      <c r="D56" s="193" t="s">
        <v>1165</v>
      </c>
      <c r="E56" s="193" t="s">
        <v>1166</v>
      </c>
      <c r="F56" s="193" t="s">
        <v>1487</v>
      </c>
      <c r="G56" s="193" t="s">
        <v>1487</v>
      </c>
      <c r="H56" s="199" t="s">
        <v>3105</v>
      </c>
      <c r="I56" s="193" t="s">
        <v>1508</v>
      </c>
      <c r="J56" s="193" t="s">
        <v>3110</v>
      </c>
      <c r="K56" s="193" t="s">
        <v>386</v>
      </c>
      <c r="L56" s="193" t="s">
        <v>387</v>
      </c>
      <c r="M56" s="193" t="s">
        <v>378</v>
      </c>
      <c r="N56" s="193" t="s">
        <v>3028</v>
      </c>
      <c r="O56" s="193" t="s">
        <v>229</v>
      </c>
      <c r="P56" s="193" t="s">
        <v>228</v>
      </c>
      <c r="Q56" s="193" t="s">
        <v>27</v>
      </c>
      <c r="R56" s="193" t="s">
        <v>27</v>
      </c>
      <c r="S56" s="193" t="s">
        <v>214</v>
      </c>
      <c r="T56" s="193" t="s">
        <v>3029</v>
      </c>
      <c r="U56" s="193" t="s">
        <v>3030</v>
      </c>
      <c r="V56" s="193">
        <v>0</v>
      </c>
      <c r="W56" s="193">
        <v>0</v>
      </c>
      <c r="X56" s="193">
        <v>0</v>
      </c>
      <c r="Y56" s="194">
        <v>8492</v>
      </c>
      <c r="Z56" s="193" t="s">
        <v>3031</v>
      </c>
      <c r="AA56" s="193" t="s">
        <v>27</v>
      </c>
      <c r="AB56" s="193">
        <v>8492</v>
      </c>
      <c r="AC56" s="193" t="s">
        <v>3032</v>
      </c>
      <c r="AD56" s="193" t="s">
        <v>3033</v>
      </c>
      <c r="AE56" s="193">
        <v>8492</v>
      </c>
      <c r="AF56" s="193" t="s">
        <v>3012</v>
      </c>
      <c r="AG56" s="193" t="s">
        <v>395</v>
      </c>
      <c r="AH56" s="193">
        <v>772</v>
      </c>
      <c r="AI56" s="193">
        <v>7720</v>
      </c>
      <c r="AJ56" s="193" t="s">
        <v>214</v>
      </c>
      <c r="AL56" s="197" t="s">
        <v>3111</v>
      </c>
      <c r="AM56" s="193">
        <v>1</v>
      </c>
      <c r="AN56" s="193">
        <v>0</v>
      </c>
      <c r="AO56" s="193">
        <v>0</v>
      </c>
      <c r="AP56" s="566">
        <v>0</v>
      </c>
      <c r="AQ56" s="193" t="s">
        <v>214</v>
      </c>
      <c r="AS56" s="565" t="s">
        <v>3012</v>
      </c>
      <c r="AT56" s="565" t="s">
        <v>395</v>
      </c>
      <c r="AV56" s="194">
        <v>0</v>
      </c>
      <c r="AW56" s="194">
        <v>0</v>
      </c>
      <c r="AX56" s="194">
        <v>0</v>
      </c>
      <c r="AY56" s="551">
        <v>0</v>
      </c>
      <c r="AZ56" s="194">
        <v>0</v>
      </c>
      <c r="BA56" s="194">
        <v>8492</v>
      </c>
      <c r="BB56" s="551">
        <v>8492</v>
      </c>
      <c r="BC56" s="551">
        <v>8492</v>
      </c>
      <c r="BD56" s="551">
        <v>0</v>
      </c>
      <c r="BF56" s="551">
        <f t="shared" si="21"/>
        <v>0</v>
      </c>
      <c r="BG56" s="551">
        <f t="shared" si="22"/>
        <v>0</v>
      </c>
      <c r="BH56" s="551">
        <f t="shared" si="23"/>
        <v>0</v>
      </c>
      <c r="BI56" s="551">
        <f t="shared" si="24"/>
        <v>0</v>
      </c>
      <c r="BJ56" s="551">
        <f t="shared" si="25"/>
        <v>0</v>
      </c>
      <c r="BK56" s="551">
        <f t="shared" si="26"/>
        <v>7720</v>
      </c>
      <c r="BL56" s="551">
        <f t="shared" si="27"/>
        <v>7720</v>
      </c>
      <c r="BM56" s="551">
        <f t="shared" si="28"/>
        <v>7720</v>
      </c>
      <c r="BN56" s="194"/>
      <c r="BO56" s="193">
        <f t="shared" si="36"/>
        <v>0</v>
      </c>
      <c r="BP56" s="193">
        <f t="shared" si="37"/>
        <v>0</v>
      </c>
      <c r="BQ56" s="193">
        <f t="shared" si="38"/>
        <v>0</v>
      </c>
      <c r="BR56" s="193">
        <f t="shared" si="39"/>
        <v>0</v>
      </c>
      <c r="BS56" s="193">
        <f t="shared" si="40"/>
        <v>0</v>
      </c>
      <c r="BT56" s="193">
        <f t="shared" si="41"/>
        <v>0</v>
      </c>
      <c r="BU56" s="193">
        <f t="shared" si="42"/>
        <v>0</v>
      </c>
    </row>
    <row r="57" spans="1:73">
      <c r="A57" s="193" t="s">
        <v>378</v>
      </c>
      <c r="B57" s="193" t="s">
        <v>379</v>
      </c>
      <c r="C57" s="193" t="s">
        <v>214</v>
      </c>
      <c r="D57" s="193" t="s">
        <v>1165</v>
      </c>
      <c r="E57" s="193" t="s">
        <v>1166</v>
      </c>
      <c r="F57" s="193" t="s">
        <v>1487</v>
      </c>
      <c r="G57" s="193" t="s">
        <v>1487</v>
      </c>
      <c r="H57" s="199" t="s">
        <v>3105</v>
      </c>
      <c r="I57" s="193" t="s">
        <v>1508</v>
      </c>
      <c r="J57" s="193" t="s">
        <v>3112</v>
      </c>
      <c r="K57" s="193" t="s">
        <v>386</v>
      </c>
      <c r="L57" s="193" t="s">
        <v>387</v>
      </c>
      <c r="M57" s="193" t="s">
        <v>378</v>
      </c>
      <c r="N57" s="193" t="s">
        <v>3028</v>
      </c>
      <c r="O57" s="193" t="s">
        <v>229</v>
      </c>
      <c r="P57" s="193" t="s">
        <v>228</v>
      </c>
      <c r="Q57" s="193" t="s">
        <v>27</v>
      </c>
      <c r="R57" s="193" t="s">
        <v>27</v>
      </c>
      <c r="S57" s="193" t="s">
        <v>214</v>
      </c>
      <c r="T57" s="193" t="s">
        <v>3029</v>
      </c>
      <c r="U57" s="193" t="s">
        <v>3030</v>
      </c>
      <c r="V57" s="193">
        <v>0</v>
      </c>
      <c r="W57" s="193">
        <v>0</v>
      </c>
      <c r="X57" s="193">
        <v>0</v>
      </c>
      <c r="Y57" s="194">
        <v>393</v>
      </c>
      <c r="Z57" s="193" t="s">
        <v>3031</v>
      </c>
      <c r="AA57" s="193" t="s">
        <v>27</v>
      </c>
      <c r="AB57" s="193">
        <v>393</v>
      </c>
      <c r="AC57" s="193" t="s">
        <v>3032</v>
      </c>
      <c r="AD57" s="193" t="s">
        <v>3033</v>
      </c>
      <c r="AE57" s="193">
        <v>393</v>
      </c>
      <c r="AF57" s="193" t="s">
        <v>3012</v>
      </c>
      <c r="AG57" s="193" t="s">
        <v>395</v>
      </c>
      <c r="AH57" s="193">
        <v>35</v>
      </c>
      <c r="AI57" s="193">
        <v>358</v>
      </c>
      <c r="AJ57" s="193" t="s">
        <v>214</v>
      </c>
      <c r="AL57" s="197" t="s">
        <v>3113</v>
      </c>
      <c r="AM57" s="193">
        <v>1</v>
      </c>
      <c r="AN57" s="193">
        <v>0</v>
      </c>
      <c r="AO57" s="193">
        <v>0</v>
      </c>
      <c r="AP57" s="566">
        <v>0</v>
      </c>
      <c r="AQ57" s="193" t="s">
        <v>214</v>
      </c>
      <c r="AS57" s="565" t="s">
        <v>3012</v>
      </c>
      <c r="AT57" s="565" t="s">
        <v>395</v>
      </c>
      <c r="AV57" s="194">
        <v>0</v>
      </c>
      <c r="AW57" s="194">
        <v>0</v>
      </c>
      <c r="AX57" s="194">
        <v>0</v>
      </c>
      <c r="AY57" s="551">
        <v>0</v>
      </c>
      <c r="AZ57" s="194">
        <v>0</v>
      </c>
      <c r="BA57" s="194">
        <v>393</v>
      </c>
      <c r="BB57" s="551">
        <v>393</v>
      </c>
      <c r="BC57" s="551">
        <v>393</v>
      </c>
      <c r="BD57" s="551">
        <v>0</v>
      </c>
      <c r="BF57" s="551">
        <f t="shared" si="21"/>
        <v>0</v>
      </c>
      <c r="BG57" s="551">
        <f t="shared" si="22"/>
        <v>0</v>
      </c>
      <c r="BH57" s="551">
        <f t="shared" si="23"/>
        <v>0</v>
      </c>
      <c r="BI57" s="551">
        <f t="shared" si="24"/>
        <v>0</v>
      </c>
      <c r="BJ57" s="551">
        <f t="shared" si="25"/>
        <v>0</v>
      </c>
      <c r="BK57" s="551">
        <f t="shared" si="26"/>
        <v>357</v>
      </c>
      <c r="BL57" s="551">
        <f t="shared" si="27"/>
        <v>357</v>
      </c>
      <c r="BM57" s="551">
        <f t="shared" si="28"/>
        <v>357</v>
      </c>
      <c r="BN57" s="194"/>
      <c r="BO57" s="193">
        <f t="shared" si="36"/>
        <v>0</v>
      </c>
      <c r="BP57" s="193">
        <f t="shared" si="37"/>
        <v>0</v>
      </c>
      <c r="BQ57" s="193">
        <f t="shared" si="38"/>
        <v>0</v>
      </c>
      <c r="BR57" s="193">
        <f t="shared" si="39"/>
        <v>0</v>
      </c>
      <c r="BS57" s="193">
        <f t="shared" si="40"/>
        <v>0</v>
      </c>
      <c r="BT57" s="193">
        <f t="shared" si="41"/>
        <v>0.27272727272725206</v>
      </c>
      <c r="BU57" s="193">
        <f t="shared" si="42"/>
        <v>0.27272727272725206</v>
      </c>
    </row>
    <row r="58" spans="1:73">
      <c r="A58" s="193" t="s">
        <v>378</v>
      </c>
      <c r="B58" s="193" t="s">
        <v>379</v>
      </c>
      <c r="C58" s="193" t="s">
        <v>214</v>
      </c>
      <c r="D58" s="193" t="s">
        <v>1165</v>
      </c>
      <c r="E58" s="193" t="s">
        <v>1166</v>
      </c>
      <c r="F58" s="193" t="s">
        <v>2747</v>
      </c>
      <c r="G58" s="193" t="s">
        <v>2747</v>
      </c>
      <c r="H58" s="199" t="s">
        <v>3114</v>
      </c>
      <c r="I58" s="193" t="s">
        <v>1508</v>
      </c>
      <c r="J58" s="193" t="s">
        <v>3115</v>
      </c>
      <c r="K58" s="193" t="s">
        <v>386</v>
      </c>
      <c r="L58" s="193" t="s">
        <v>387</v>
      </c>
      <c r="M58" s="193" t="s">
        <v>378</v>
      </c>
      <c r="N58" s="193" t="s">
        <v>3028</v>
      </c>
      <c r="O58" s="193" t="s">
        <v>229</v>
      </c>
      <c r="P58" s="193" t="s">
        <v>228</v>
      </c>
      <c r="Q58" s="193" t="s">
        <v>27</v>
      </c>
      <c r="R58" s="193" t="s">
        <v>27</v>
      </c>
      <c r="S58" s="193" t="s">
        <v>214</v>
      </c>
      <c r="T58" s="193" t="s">
        <v>3029</v>
      </c>
      <c r="U58" s="193" t="s">
        <v>3030</v>
      </c>
      <c r="V58" s="193">
        <v>0</v>
      </c>
      <c r="W58" s="193">
        <v>0</v>
      </c>
      <c r="X58" s="193">
        <v>0</v>
      </c>
      <c r="Y58" s="194">
        <v>51970</v>
      </c>
      <c r="Z58" s="193" t="s">
        <v>3031</v>
      </c>
      <c r="AA58" s="193" t="s">
        <v>27</v>
      </c>
      <c r="AB58" s="193">
        <v>51970</v>
      </c>
      <c r="AC58" s="193" t="s">
        <v>3032</v>
      </c>
      <c r="AD58" s="193" t="s">
        <v>3033</v>
      </c>
      <c r="AE58" s="193">
        <v>51970</v>
      </c>
      <c r="AF58" s="193" t="s">
        <v>3012</v>
      </c>
      <c r="AG58" s="193" t="s">
        <v>395</v>
      </c>
      <c r="AH58" s="193">
        <v>4724</v>
      </c>
      <c r="AI58" s="193">
        <v>47246</v>
      </c>
      <c r="AJ58" s="193" t="s">
        <v>214</v>
      </c>
      <c r="AL58" s="197" t="s">
        <v>3116</v>
      </c>
      <c r="AM58" s="193">
        <v>1</v>
      </c>
      <c r="AN58" s="193">
        <v>0</v>
      </c>
      <c r="AO58" s="193">
        <v>0</v>
      </c>
      <c r="AP58" s="566">
        <v>0</v>
      </c>
      <c r="AQ58" s="193" t="s">
        <v>214</v>
      </c>
      <c r="AS58" s="565" t="s">
        <v>3012</v>
      </c>
      <c r="AT58" s="565" t="s">
        <v>395</v>
      </c>
      <c r="AV58" s="194">
        <v>0</v>
      </c>
      <c r="AW58" s="194">
        <v>0</v>
      </c>
      <c r="AX58" s="194">
        <v>0</v>
      </c>
      <c r="AY58" s="551">
        <v>0</v>
      </c>
      <c r="AZ58" s="194">
        <v>0</v>
      </c>
      <c r="BA58" s="194">
        <v>51970</v>
      </c>
      <c r="BB58" s="551">
        <v>51970</v>
      </c>
      <c r="BC58" s="551">
        <v>51970</v>
      </c>
      <c r="BD58" s="551">
        <v>0</v>
      </c>
      <c r="BF58" s="551">
        <f t="shared" si="21"/>
        <v>0</v>
      </c>
      <c r="BG58" s="551">
        <f t="shared" si="22"/>
        <v>0</v>
      </c>
      <c r="BH58" s="551">
        <f t="shared" si="23"/>
        <v>0</v>
      </c>
      <c r="BI58" s="551">
        <f t="shared" si="24"/>
        <v>0</v>
      </c>
      <c r="BJ58" s="551">
        <f t="shared" si="25"/>
        <v>0</v>
      </c>
      <c r="BK58" s="573">
        <f>+IFERROR(ROUND(BA58*100/(100+$AT58),0),BA58)+1</f>
        <v>47246</v>
      </c>
      <c r="BL58" s="551">
        <f t="shared" si="27"/>
        <v>47246</v>
      </c>
      <c r="BM58" s="551">
        <f t="shared" si="28"/>
        <v>47246</v>
      </c>
      <c r="BN58" s="194"/>
      <c r="BO58" s="193">
        <f t="shared" si="36"/>
        <v>0</v>
      </c>
      <c r="BP58" s="193">
        <f t="shared" si="37"/>
        <v>0</v>
      </c>
      <c r="BQ58" s="193">
        <f t="shared" si="38"/>
        <v>0</v>
      </c>
      <c r="BR58" s="193">
        <f t="shared" si="39"/>
        <v>0</v>
      </c>
      <c r="BS58" s="193">
        <f t="shared" si="40"/>
        <v>0</v>
      </c>
      <c r="BT58" s="193">
        <f t="shared" si="41"/>
        <v>-0.54545454545586836</v>
      </c>
      <c r="BU58" s="193">
        <f t="shared" si="42"/>
        <v>-0.54545454545586836</v>
      </c>
    </row>
    <row r="59" spans="1:73">
      <c r="A59" s="193" t="s">
        <v>378</v>
      </c>
      <c r="B59" s="193" t="s">
        <v>379</v>
      </c>
      <c r="C59" s="193" t="s">
        <v>214</v>
      </c>
      <c r="D59" s="193" t="s">
        <v>1165</v>
      </c>
      <c r="E59" s="193" t="s">
        <v>1166</v>
      </c>
      <c r="F59" s="193" t="s">
        <v>2747</v>
      </c>
      <c r="G59" s="193" t="s">
        <v>2747</v>
      </c>
      <c r="H59" s="199" t="s">
        <v>3114</v>
      </c>
      <c r="I59" s="193" t="s">
        <v>1508</v>
      </c>
      <c r="J59" s="193" t="s">
        <v>3117</v>
      </c>
      <c r="K59" s="193" t="s">
        <v>386</v>
      </c>
      <c r="L59" s="193" t="s">
        <v>387</v>
      </c>
      <c r="M59" s="193" t="s">
        <v>378</v>
      </c>
      <c r="N59" s="193" t="s">
        <v>3028</v>
      </c>
      <c r="O59" s="193" t="s">
        <v>229</v>
      </c>
      <c r="P59" s="193" t="s">
        <v>228</v>
      </c>
      <c r="Q59" s="193" t="s">
        <v>27</v>
      </c>
      <c r="R59" s="193" t="s">
        <v>27</v>
      </c>
      <c r="S59" s="193" t="s">
        <v>214</v>
      </c>
      <c r="T59" s="193" t="s">
        <v>3029</v>
      </c>
      <c r="U59" s="193" t="s">
        <v>3030</v>
      </c>
      <c r="V59" s="193">
        <v>0</v>
      </c>
      <c r="W59" s="193">
        <v>0</v>
      </c>
      <c r="X59" s="193">
        <v>0</v>
      </c>
      <c r="Y59" s="194">
        <v>1689</v>
      </c>
      <c r="Z59" s="193" t="s">
        <v>3031</v>
      </c>
      <c r="AA59" s="193" t="s">
        <v>27</v>
      </c>
      <c r="AB59" s="193">
        <v>1689</v>
      </c>
      <c r="AC59" s="193" t="s">
        <v>3032</v>
      </c>
      <c r="AD59" s="193" t="s">
        <v>3033</v>
      </c>
      <c r="AE59" s="193">
        <v>1689</v>
      </c>
      <c r="AF59" s="193" t="s">
        <v>3012</v>
      </c>
      <c r="AG59" s="193" t="s">
        <v>395</v>
      </c>
      <c r="AH59" s="193">
        <v>153</v>
      </c>
      <c r="AI59" s="193">
        <v>1536</v>
      </c>
      <c r="AJ59" s="193" t="s">
        <v>214</v>
      </c>
      <c r="AL59" s="197" t="s">
        <v>3118</v>
      </c>
      <c r="AM59" s="193">
        <v>1</v>
      </c>
      <c r="AN59" s="193">
        <v>0</v>
      </c>
      <c r="AO59" s="193">
        <v>0</v>
      </c>
      <c r="AP59" s="566">
        <v>0</v>
      </c>
      <c r="AQ59" s="193" t="s">
        <v>214</v>
      </c>
      <c r="AS59" s="565" t="s">
        <v>3012</v>
      </c>
      <c r="AT59" s="565" t="s">
        <v>395</v>
      </c>
      <c r="AV59" s="194">
        <v>0</v>
      </c>
      <c r="AW59" s="194">
        <v>0</v>
      </c>
      <c r="AX59" s="194">
        <v>0</v>
      </c>
      <c r="AY59" s="551">
        <v>0</v>
      </c>
      <c r="AZ59" s="194">
        <v>0</v>
      </c>
      <c r="BA59" s="194">
        <v>1689</v>
      </c>
      <c r="BB59" s="551">
        <v>1689</v>
      </c>
      <c r="BC59" s="551">
        <v>1689</v>
      </c>
      <c r="BD59" s="551">
        <v>0</v>
      </c>
      <c r="BF59" s="551">
        <f t="shared" si="21"/>
        <v>0</v>
      </c>
      <c r="BG59" s="551">
        <f t="shared" si="22"/>
        <v>0</v>
      </c>
      <c r="BH59" s="551">
        <f t="shared" si="23"/>
        <v>0</v>
      </c>
      <c r="BI59" s="551">
        <f t="shared" si="24"/>
        <v>0</v>
      </c>
      <c r="BJ59" s="551">
        <f t="shared" si="25"/>
        <v>0</v>
      </c>
      <c r="BK59" s="551">
        <f t="shared" si="26"/>
        <v>1535</v>
      </c>
      <c r="BL59" s="551">
        <f t="shared" si="27"/>
        <v>1535</v>
      </c>
      <c r="BM59" s="551">
        <f t="shared" si="28"/>
        <v>1535</v>
      </c>
      <c r="BN59" s="194"/>
      <c r="BO59" s="193">
        <f t="shared" si="36"/>
        <v>0</v>
      </c>
      <c r="BP59" s="193">
        <f t="shared" si="37"/>
        <v>0</v>
      </c>
      <c r="BQ59" s="193">
        <f t="shared" si="38"/>
        <v>0</v>
      </c>
      <c r="BR59" s="193">
        <f t="shared" si="39"/>
        <v>0</v>
      </c>
      <c r="BS59" s="193">
        <f t="shared" si="40"/>
        <v>0</v>
      </c>
      <c r="BT59" s="193">
        <f t="shared" si="41"/>
        <v>0.45454545454549589</v>
      </c>
      <c r="BU59" s="193">
        <f t="shared" si="42"/>
        <v>0.45454545454549589</v>
      </c>
    </row>
    <row r="60" spans="1:73">
      <c r="A60" s="193" t="s">
        <v>378</v>
      </c>
      <c r="B60" s="193" t="s">
        <v>379</v>
      </c>
      <c r="C60" s="193" t="s">
        <v>214</v>
      </c>
      <c r="D60" s="193" t="s">
        <v>1165</v>
      </c>
      <c r="E60" s="193" t="s">
        <v>1166</v>
      </c>
      <c r="F60" s="193" t="s">
        <v>2747</v>
      </c>
      <c r="G60" s="193" t="s">
        <v>2747</v>
      </c>
      <c r="H60" s="199" t="s">
        <v>3114</v>
      </c>
      <c r="I60" s="193" t="s">
        <v>1508</v>
      </c>
      <c r="J60" s="193" t="s">
        <v>3119</v>
      </c>
      <c r="K60" s="193" t="s">
        <v>386</v>
      </c>
      <c r="L60" s="193" t="s">
        <v>387</v>
      </c>
      <c r="M60" s="193" t="s">
        <v>378</v>
      </c>
      <c r="N60" s="193" t="s">
        <v>3028</v>
      </c>
      <c r="O60" s="193" t="s">
        <v>229</v>
      </c>
      <c r="P60" s="193" t="s">
        <v>228</v>
      </c>
      <c r="Q60" s="193" t="s">
        <v>27</v>
      </c>
      <c r="R60" s="193" t="s">
        <v>27</v>
      </c>
      <c r="S60" s="193" t="s">
        <v>214</v>
      </c>
      <c r="T60" s="193" t="s">
        <v>3029</v>
      </c>
      <c r="U60" s="193" t="s">
        <v>3030</v>
      </c>
      <c r="V60" s="193">
        <v>0</v>
      </c>
      <c r="W60" s="193">
        <v>0</v>
      </c>
      <c r="X60" s="193">
        <v>0</v>
      </c>
      <c r="Y60" s="194">
        <v>1162</v>
      </c>
      <c r="Z60" s="193" t="s">
        <v>3031</v>
      </c>
      <c r="AA60" s="193" t="s">
        <v>27</v>
      </c>
      <c r="AB60" s="193">
        <v>1162</v>
      </c>
      <c r="AC60" s="193" t="s">
        <v>3032</v>
      </c>
      <c r="AD60" s="193" t="s">
        <v>3033</v>
      </c>
      <c r="AE60" s="193">
        <v>1162</v>
      </c>
      <c r="AF60" s="193" t="s">
        <v>3012</v>
      </c>
      <c r="AG60" s="193" t="s">
        <v>395</v>
      </c>
      <c r="AH60" s="193">
        <v>105</v>
      </c>
      <c r="AI60" s="193">
        <v>1057</v>
      </c>
      <c r="AJ60" s="193" t="s">
        <v>214</v>
      </c>
      <c r="AL60" s="197" t="s">
        <v>3120</v>
      </c>
      <c r="AM60" s="193">
        <v>1</v>
      </c>
      <c r="AN60" s="193">
        <v>0</v>
      </c>
      <c r="AO60" s="193">
        <v>0</v>
      </c>
      <c r="AP60" s="566">
        <v>0</v>
      </c>
      <c r="AQ60" s="193" t="s">
        <v>214</v>
      </c>
      <c r="AS60" s="565" t="s">
        <v>3012</v>
      </c>
      <c r="AT60" s="565" t="s">
        <v>395</v>
      </c>
      <c r="AV60" s="194">
        <v>0</v>
      </c>
      <c r="AW60" s="194">
        <v>0</v>
      </c>
      <c r="AX60" s="194">
        <v>0</v>
      </c>
      <c r="AY60" s="551">
        <v>0</v>
      </c>
      <c r="AZ60" s="194">
        <v>0</v>
      </c>
      <c r="BA60" s="194">
        <v>1162</v>
      </c>
      <c r="BB60" s="551">
        <v>1162</v>
      </c>
      <c r="BC60" s="551">
        <v>1162</v>
      </c>
      <c r="BD60" s="551">
        <v>0</v>
      </c>
      <c r="BF60" s="551">
        <f t="shared" si="21"/>
        <v>0</v>
      </c>
      <c r="BG60" s="551">
        <f t="shared" si="22"/>
        <v>0</v>
      </c>
      <c r="BH60" s="551">
        <f t="shared" si="23"/>
        <v>0</v>
      </c>
      <c r="BI60" s="551">
        <f t="shared" si="24"/>
        <v>0</v>
      </c>
      <c r="BJ60" s="551">
        <f t="shared" si="25"/>
        <v>0</v>
      </c>
      <c r="BK60" s="551">
        <f t="shared" si="26"/>
        <v>1056</v>
      </c>
      <c r="BL60" s="551">
        <f t="shared" si="27"/>
        <v>1056</v>
      </c>
      <c r="BM60" s="551">
        <f t="shared" si="28"/>
        <v>1056</v>
      </c>
      <c r="BN60" s="194"/>
      <c r="BO60" s="193">
        <f t="shared" si="36"/>
        <v>0</v>
      </c>
      <c r="BP60" s="193">
        <f t="shared" si="37"/>
        <v>0</v>
      </c>
      <c r="BQ60" s="193">
        <f t="shared" si="38"/>
        <v>0</v>
      </c>
      <c r="BR60" s="193">
        <f t="shared" si="39"/>
        <v>0</v>
      </c>
      <c r="BS60" s="193">
        <f t="shared" si="40"/>
        <v>0</v>
      </c>
      <c r="BT60" s="193">
        <f t="shared" si="41"/>
        <v>0.36363636363626028</v>
      </c>
      <c r="BU60" s="193">
        <f t="shared" si="42"/>
        <v>0.36363636363626028</v>
      </c>
    </row>
    <row r="61" spans="1:73">
      <c r="A61" s="193" t="s">
        <v>378</v>
      </c>
      <c r="B61" s="193" t="s">
        <v>379</v>
      </c>
      <c r="C61" s="193" t="s">
        <v>214</v>
      </c>
      <c r="D61" s="193" t="s">
        <v>1165</v>
      </c>
      <c r="E61" s="193" t="s">
        <v>1166</v>
      </c>
      <c r="F61" s="193" t="s">
        <v>2747</v>
      </c>
      <c r="G61" s="193" t="s">
        <v>2747</v>
      </c>
      <c r="H61" s="199" t="s">
        <v>3114</v>
      </c>
      <c r="I61" s="193" t="s">
        <v>1508</v>
      </c>
      <c r="J61" s="193" t="s">
        <v>3121</v>
      </c>
      <c r="K61" s="193" t="s">
        <v>386</v>
      </c>
      <c r="L61" s="193" t="s">
        <v>387</v>
      </c>
      <c r="M61" s="193" t="s">
        <v>378</v>
      </c>
      <c r="N61" s="193" t="s">
        <v>3028</v>
      </c>
      <c r="O61" s="193" t="s">
        <v>229</v>
      </c>
      <c r="P61" s="193" t="s">
        <v>228</v>
      </c>
      <c r="Q61" s="193" t="s">
        <v>27</v>
      </c>
      <c r="R61" s="193" t="s">
        <v>27</v>
      </c>
      <c r="S61" s="193" t="s">
        <v>214</v>
      </c>
      <c r="T61" s="193" t="s">
        <v>3029</v>
      </c>
      <c r="U61" s="193" t="s">
        <v>3030</v>
      </c>
      <c r="V61" s="193">
        <v>0</v>
      </c>
      <c r="W61" s="193">
        <v>0</v>
      </c>
      <c r="X61" s="193">
        <v>0</v>
      </c>
      <c r="Y61" s="194">
        <v>869</v>
      </c>
      <c r="Z61" s="193" t="s">
        <v>3031</v>
      </c>
      <c r="AA61" s="193" t="s">
        <v>27</v>
      </c>
      <c r="AB61" s="193">
        <v>869</v>
      </c>
      <c r="AC61" s="193" t="s">
        <v>3032</v>
      </c>
      <c r="AD61" s="193" t="s">
        <v>3033</v>
      </c>
      <c r="AE61" s="193">
        <v>869</v>
      </c>
      <c r="AF61" s="193" t="s">
        <v>3012</v>
      </c>
      <c r="AG61" s="193" t="s">
        <v>395</v>
      </c>
      <c r="AH61" s="193">
        <v>79</v>
      </c>
      <c r="AI61" s="193">
        <v>790</v>
      </c>
      <c r="AJ61" s="193" t="s">
        <v>214</v>
      </c>
      <c r="AL61" s="197" t="s">
        <v>3122</v>
      </c>
      <c r="AM61" s="193">
        <v>1</v>
      </c>
      <c r="AN61" s="193">
        <v>0</v>
      </c>
      <c r="AO61" s="193">
        <v>0</v>
      </c>
      <c r="AP61" s="566">
        <v>0</v>
      </c>
      <c r="AQ61" s="193" t="s">
        <v>214</v>
      </c>
      <c r="AS61" s="565" t="s">
        <v>3012</v>
      </c>
      <c r="AT61" s="565" t="s">
        <v>395</v>
      </c>
      <c r="AV61" s="194">
        <v>0</v>
      </c>
      <c r="AW61" s="194">
        <v>0</v>
      </c>
      <c r="AX61" s="194">
        <v>0</v>
      </c>
      <c r="AY61" s="551">
        <v>0</v>
      </c>
      <c r="AZ61" s="194">
        <v>0</v>
      </c>
      <c r="BA61" s="194">
        <v>869</v>
      </c>
      <c r="BB61" s="551">
        <v>869</v>
      </c>
      <c r="BC61" s="551">
        <v>869</v>
      </c>
      <c r="BD61" s="551">
        <v>0</v>
      </c>
      <c r="BF61" s="551">
        <f t="shared" si="21"/>
        <v>0</v>
      </c>
      <c r="BG61" s="551">
        <f t="shared" si="22"/>
        <v>0</v>
      </c>
      <c r="BH61" s="551">
        <f t="shared" si="23"/>
        <v>0</v>
      </c>
      <c r="BI61" s="551">
        <f t="shared" si="24"/>
        <v>0</v>
      </c>
      <c r="BJ61" s="551">
        <f t="shared" si="25"/>
        <v>0</v>
      </c>
      <c r="BK61" s="551">
        <f t="shared" si="26"/>
        <v>790</v>
      </c>
      <c r="BL61" s="551">
        <f t="shared" si="27"/>
        <v>790</v>
      </c>
      <c r="BM61" s="551">
        <f t="shared" si="28"/>
        <v>790</v>
      </c>
      <c r="BN61" s="194"/>
      <c r="BO61" s="193">
        <f t="shared" si="36"/>
        <v>0</v>
      </c>
      <c r="BP61" s="193">
        <f t="shared" si="37"/>
        <v>0</v>
      </c>
      <c r="BQ61" s="193">
        <f t="shared" si="38"/>
        <v>0</v>
      </c>
      <c r="BR61" s="193">
        <f t="shared" si="39"/>
        <v>0</v>
      </c>
      <c r="BS61" s="193">
        <f t="shared" si="40"/>
        <v>0</v>
      </c>
      <c r="BT61" s="193">
        <f t="shared" si="41"/>
        <v>0</v>
      </c>
      <c r="BU61" s="193">
        <f t="shared" si="42"/>
        <v>0</v>
      </c>
    </row>
    <row r="62" spans="1:73">
      <c r="A62" s="193" t="s">
        <v>378</v>
      </c>
      <c r="B62" s="193" t="s">
        <v>379</v>
      </c>
      <c r="C62" s="193" t="s">
        <v>214</v>
      </c>
      <c r="D62" s="193" t="s">
        <v>1165</v>
      </c>
      <c r="E62" s="193" t="s">
        <v>1166</v>
      </c>
      <c r="F62" s="193" t="s">
        <v>1562</v>
      </c>
      <c r="G62" s="193" t="s">
        <v>1562</v>
      </c>
      <c r="H62" s="199" t="s">
        <v>3123</v>
      </c>
      <c r="I62" s="193" t="s">
        <v>1508</v>
      </c>
      <c r="J62" s="193" t="s">
        <v>3124</v>
      </c>
      <c r="K62" s="193" t="s">
        <v>386</v>
      </c>
      <c r="L62" s="193" t="s">
        <v>387</v>
      </c>
      <c r="M62" s="193" t="s">
        <v>378</v>
      </c>
      <c r="N62" s="193" t="s">
        <v>3028</v>
      </c>
      <c r="O62" s="193" t="s">
        <v>229</v>
      </c>
      <c r="P62" s="193" t="s">
        <v>228</v>
      </c>
      <c r="Q62" s="193" t="s">
        <v>27</v>
      </c>
      <c r="R62" s="193" t="s">
        <v>27</v>
      </c>
      <c r="S62" s="193" t="s">
        <v>214</v>
      </c>
      <c r="T62" s="193" t="s">
        <v>3029</v>
      </c>
      <c r="U62" s="193" t="s">
        <v>3030</v>
      </c>
      <c r="V62" s="193">
        <v>0</v>
      </c>
      <c r="W62" s="193">
        <v>0</v>
      </c>
      <c r="X62" s="193">
        <v>0</v>
      </c>
      <c r="Y62" s="194">
        <v>83432</v>
      </c>
      <c r="Z62" s="193" t="s">
        <v>3031</v>
      </c>
      <c r="AA62" s="193" t="s">
        <v>27</v>
      </c>
      <c r="AB62" s="193">
        <v>83432</v>
      </c>
      <c r="AC62" s="193" t="s">
        <v>3125</v>
      </c>
      <c r="AD62" s="193" t="s">
        <v>3126</v>
      </c>
      <c r="AE62" s="193">
        <v>83432</v>
      </c>
      <c r="AF62" s="193" t="s">
        <v>3012</v>
      </c>
      <c r="AG62" s="193" t="s">
        <v>395</v>
      </c>
      <c r="AH62" s="193">
        <v>7584</v>
      </c>
      <c r="AI62" s="193">
        <v>75848</v>
      </c>
      <c r="AJ62" s="193" t="s">
        <v>214</v>
      </c>
      <c r="AL62" s="197" t="s">
        <v>3127</v>
      </c>
      <c r="AM62" s="193">
        <v>1</v>
      </c>
      <c r="AN62" s="193">
        <v>0</v>
      </c>
      <c r="AO62" s="193">
        <v>0</v>
      </c>
      <c r="AP62" s="566">
        <v>0</v>
      </c>
      <c r="AQ62" s="193" t="s">
        <v>214</v>
      </c>
      <c r="AS62" s="565" t="s">
        <v>3012</v>
      </c>
      <c r="AT62" s="565" t="s">
        <v>395</v>
      </c>
      <c r="AV62" s="194">
        <v>0</v>
      </c>
      <c r="AW62" s="194">
        <v>0</v>
      </c>
      <c r="AX62" s="194">
        <v>0</v>
      </c>
      <c r="AY62" s="551">
        <v>0</v>
      </c>
      <c r="AZ62" s="194">
        <v>0</v>
      </c>
      <c r="BA62" s="194">
        <v>83432</v>
      </c>
      <c r="BB62" s="551">
        <v>83432</v>
      </c>
      <c r="BC62" s="551">
        <v>83432</v>
      </c>
      <c r="BD62" s="551">
        <v>0</v>
      </c>
      <c r="BF62" s="551">
        <f t="shared" si="21"/>
        <v>0</v>
      </c>
      <c r="BG62" s="551">
        <f t="shared" si="22"/>
        <v>0</v>
      </c>
      <c r="BH62" s="551">
        <f t="shared" si="23"/>
        <v>0</v>
      </c>
      <c r="BI62" s="551">
        <f t="shared" si="24"/>
        <v>0</v>
      </c>
      <c r="BJ62" s="551">
        <f t="shared" si="25"/>
        <v>0</v>
      </c>
      <c r="BK62" s="551">
        <f t="shared" si="26"/>
        <v>75847</v>
      </c>
      <c r="BL62" s="551">
        <f t="shared" si="27"/>
        <v>75847</v>
      </c>
      <c r="BM62" s="551">
        <f t="shared" si="28"/>
        <v>75847</v>
      </c>
      <c r="BN62" s="194"/>
      <c r="BO62" s="193">
        <f t="shared" si="36"/>
        <v>0</v>
      </c>
      <c r="BP62" s="193">
        <f t="shared" si="37"/>
        <v>0</v>
      </c>
      <c r="BQ62" s="193">
        <f t="shared" si="38"/>
        <v>0</v>
      </c>
      <c r="BR62" s="193">
        <f t="shared" si="39"/>
        <v>0</v>
      </c>
      <c r="BS62" s="193">
        <f t="shared" si="40"/>
        <v>0</v>
      </c>
      <c r="BT62" s="193">
        <f t="shared" si="41"/>
        <v>0.27272727272065822</v>
      </c>
      <c r="BU62" s="193">
        <f t="shared" si="42"/>
        <v>0.27272727272065822</v>
      </c>
    </row>
    <row r="63" spans="1:73">
      <c r="A63" s="193" t="s">
        <v>378</v>
      </c>
      <c r="B63" s="193" t="s">
        <v>379</v>
      </c>
      <c r="C63" s="193" t="s">
        <v>214</v>
      </c>
      <c r="D63" s="193" t="s">
        <v>1165</v>
      </c>
      <c r="E63" s="193" t="s">
        <v>1166</v>
      </c>
      <c r="F63" s="193" t="s">
        <v>865</v>
      </c>
      <c r="G63" s="193" t="s">
        <v>865</v>
      </c>
      <c r="H63" s="199" t="s">
        <v>3123</v>
      </c>
      <c r="I63" s="193" t="s">
        <v>1508</v>
      </c>
      <c r="J63" s="193" t="s">
        <v>3128</v>
      </c>
      <c r="K63" s="193" t="s">
        <v>386</v>
      </c>
      <c r="L63" s="193" t="s">
        <v>387</v>
      </c>
      <c r="M63" s="193" t="s">
        <v>378</v>
      </c>
      <c r="N63" s="193" t="s">
        <v>3028</v>
      </c>
      <c r="O63" s="193" t="s">
        <v>229</v>
      </c>
      <c r="P63" s="193" t="s">
        <v>228</v>
      </c>
      <c r="Q63" s="193" t="s">
        <v>27</v>
      </c>
      <c r="R63" s="193" t="s">
        <v>27</v>
      </c>
      <c r="S63" s="193" t="s">
        <v>214</v>
      </c>
      <c r="T63" s="193" t="s">
        <v>3029</v>
      </c>
      <c r="U63" s="193" t="s">
        <v>3030</v>
      </c>
      <c r="V63" s="193">
        <v>0</v>
      </c>
      <c r="W63" s="193">
        <v>0</v>
      </c>
      <c r="X63" s="193">
        <v>0</v>
      </c>
      <c r="Y63" s="194">
        <v>5402</v>
      </c>
      <c r="Z63" s="193" t="s">
        <v>3031</v>
      </c>
      <c r="AA63" s="193" t="s">
        <v>27</v>
      </c>
      <c r="AB63" s="193">
        <v>5402</v>
      </c>
      <c r="AC63" s="193" t="s">
        <v>3125</v>
      </c>
      <c r="AD63" s="193" t="s">
        <v>3126</v>
      </c>
      <c r="AE63" s="193">
        <v>5402</v>
      </c>
      <c r="AF63" s="193" t="s">
        <v>2993</v>
      </c>
      <c r="AG63" s="193" t="s">
        <v>395</v>
      </c>
      <c r="AH63" s="193">
        <v>491</v>
      </c>
      <c r="AI63" s="193">
        <v>4911</v>
      </c>
      <c r="AJ63" s="193" t="s">
        <v>214</v>
      </c>
      <c r="AL63" s="197" t="s">
        <v>3129</v>
      </c>
      <c r="AM63" s="193">
        <v>2</v>
      </c>
      <c r="AN63" s="193">
        <v>18</v>
      </c>
      <c r="AO63" s="193">
        <v>10</v>
      </c>
      <c r="AP63" s="566">
        <v>0</v>
      </c>
      <c r="AQ63" s="193" t="s">
        <v>214</v>
      </c>
      <c r="AS63" s="565">
        <v>18</v>
      </c>
      <c r="AT63" s="565">
        <v>10</v>
      </c>
      <c r="AV63" s="194">
        <v>0</v>
      </c>
      <c r="AW63" s="194">
        <v>0</v>
      </c>
      <c r="AX63" s="194">
        <v>0</v>
      </c>
      <c r="AY63" s="551">
        <v>0</v>
      </c>
      <c r="AZ63" s="194">
        <v>0</v>
      </c>
      <c r="BA63" s="194">
        <v>5402</v>
      </c>
      <c r="BB63" s="551">
        <v>5402</v>
      </c>
      <c r="BC63" s="551">
        <v>5402</v>
      </c>
      <c r="BD63" s="551">
        <v>0</v>
      </c>
      <c r="BF63" s="551">
        <f t="shared" si="21"/>
        <v>0</v>
      </c>
      <c r="BG63" s="551">
        <f t="shared" si="22"/>
        <v>0</v>
      </c>
      <c r="BH63" s="551">
        <f t="shared" si="23"/>
        <v>0</v>
      </c>
      <c r="BI63" s="551">
        <f t="shared" si="24"/>
        <v>0</v>
      </c>
      <c r="BJ63" s="551">
        <f t="shared" si="25"/>
        <v>0</v>
      </c>
      <c r="BK63" s="551">
        <f t="shared" si="26"/>
        <v>4911</v>
      </c>
      <c r="BL63" s="551">
        <f t="shared" si="27"/>
        <v>4911</v>
      </c>
      <c r="BM63" s="551">
        <f t="shared" si="28"/>
        <v>4911</v>
      </c>
      <c r="BN63" s="194"/>
      <c r="BO63" s="193">
        <f t="shared" si="36"/>
        <v>0</v>
      </c>
      <c r="BP63" s="193">
        <f t="shared" si="37"/>
        <v>0</v>
      </c>
      <c r="BQ63" s="193">
        <f t="shared" si="38"/>
        <v>0</v>
      </c>
      <c r="BR63" s="193">
        <f t="shared" si="39"/>
        <v>0</v>
      </c>
      <c r="BS63" s="193">
        <f t="shared" si="40"/>
        <v>0</v>
      </c>
      <c r="BT63" s="193">
        <f t="shared" si="41"/>
        <v>-9.0909090909008228E-2</v>
      </c>
      <c r="BU63" s="193">
        <f t="shared" si="42"/>
        <v>-9.0909090909008228E-2</v>
      </c>
    </row>
    <row r="64" spans="1:73">
      <c r="A64" s="193" t="s">
        <v>378</v>
      </c>
      <c r="B64" s="193" t="s">
        <v>379</v>
      </c>
      <c r="C64" s="193" t="s">
        <v>214</v>
      </c>
      <c r="D64" s="193" t="s">
        <v>1165</v>
      </c>
      <c r="E64" s="193" t="s">
        <v>1166</v>
      </c>
      <c r="F64" s="193" t="s">
        <v>607</v>
      </c>
      <c r="G64" s="193" t="s">
        <v>607</v>
      </c>
      <c r="H64" s="199" t="s">
        <v>3123</v>
      </c>
      <c r="I64" s="193" t="s">
        <v>1508</v>
      </c>
      <c r="J64" s="193" t="s">
        <v>3130</v>
      </c>
      <c r="K64" s="193" t="s">
        <v>386</v>
      </c>
      <c r="L64" s="193" t="s">
        <v>387</v>
      </c>
      <c r="M64" s="193" t="s">
        <v>378</v>
      </c>
      <c r="N64" s="193" t="s">
        <v>3028</v>
      </c>
      <c r="O64" s="193" t="s">
        <v>229</v>
      </c>
      <c r="P64" s="193" t="s">
        <v>228</v>
      </c>
      <c r="Q64" s="193" t="s">
        <v>27</v>
      </c>
      <c r="R64" s="193" t="s">
        <v>27</v>
      </c>
      <c r="S64" s="193" t="s">
        <v>214</v>
      </c>
      <c r="T64" s="193" t="s">
        <v>3029</v>
      </c>
      <c r="U64" s="193" t="s">
        <v>3030</v>
      </c>
      <c r="V64" s="193">
        <v>0</v>
      </c>
      <c r="W64" s="193">
        <v>0</v>
      </c>
      <c r="X64" s="193">
        <v>0</v>
      </c>
      <c r="Y64" s="194">
        <v>5696</v>
      </c>
      <c r="Z64" s="193" t="s">
        <v>3031</v>
      </c>
      <c r="AA64" s="193" t="s">
        <v>27</v>
      </c>
      <c r="AB64" s="193">
        <v>5696</v>
      </c>
      <c r="AC64" s="193" t="s">
        <v>3125</v>
      </c>
      <c r="AD64" s="193" t="s">
        <v>3126</v>
      </c>
      <c r="AE64" s="193">
        <v>5696</v>
      </c>
      <c r="AF64" s="193" t="s">
        <v>2993</v>
      </c>
      <c r="AG64" s="193" t="s">
        <v>395</v>
      </c>
      <c r="AH64" s="193">
        <v>518</v>
      </c>
      <c r="AI64" s="193">
        <v>5178</v>
      </c>
      <c r="AJ64" s="193" t="s">
        <v>214</v>
      </c>
      <c r="AL64" s="197" t="s">
        <v>3131</v>
      </c>
      <c r="AM64" s="193">
        <v>2</v>
      </c>
      <c r="AN64" s="193">
        <v>18</v>
      </c>
      <c r="AO64" s="193">
        <v>10</v>
      </c>
      <c r="AP64" s="566">
        <v>0</v>
      </c>
      <c r="AQ64" s="193" t="s">
        <v>214</v>
      </c>
      <c r="AS64" s="565">
        <v>18</v>
      </c>
      <c r="AT64" s="565">
        <v>10</v>
      </c>
      <c r="AV64" s="194">
        <v>0</v>
      </c>
      <c r="AW64" s="194">
        <v>0</v>
      </c>
      <c r="AX64" s="194">
        <v>0</v>
      </c>
      <c r="AY64" s="551">
        <v>0</v>
      </c>
      <c r="AZ64" s="194">
        <v>0</v>
      </c>
      <c r="BA64" s="194">
        <v>5696</v>
      </c>
      <c r="BB64" s="551">
        <v>5696</v>
      </c>
      <c r="BC64" s="551">
        <v>5696</v>
      </c>
      <c r="BD64" s="551">
        <v>0</v>
      </c>
      <c r="BF64" s="551">
        <f t="shared" si="21"/>
        <v>0</v>
      </c>
      <c r="BG64" s="551">
        <f t="shared" si="22"/>
        <v>0</v>
      </c>
      <c r="BH64" s="551">
        <f t="shared" si="23"/>
        <v>0</v>
      </c>
      <c r="BI64" s="551">
        <f t="shared" si="24"/>
        <v>0</v>
      </c>
      <c r="BJ64" s="551">
        <f t="shared" si="25"/>
        <v>0</v>
      </c>
      <c r="BK64" s="551">
        <f t="shared" si="26"/>
        <v>5178</v>
      </c>
      <c r="BL64" s="551">
        <f t="shared" si="27"/>
        <v>5178</v>
      </c>
      <c r="BM64" s="551">
        <f t="shared" si="28"/>
        <v>5178</v>
      </c>
      <c r="BN64" s="194"/>
      <c r="BO64" s="193">
        <f t="shared" si="36"/>
        <v>0</v>
      </c>
      <c r="BP64" s="193">
        <f t="shared" si="37"/>
        <v>0</v>
      </c>
      <c r="BQ64" s="193">
        <f t="shared" si="38"/>
        <v>0</v>
      </c>
      <c r="BR64" s="193">
        <f t="shared" si="39"/>
        <v>0</v>
      </c>
      <c r="BS64" s="193">
        <f t="shared" si="40"/>
        <v>0</v>
      </c>
      <c r="BT64" s="193">
        <f t="shared" si="41"/>
        <v>0.18181818181801646</v>
      </c>
      <c r="BU64" s="193">
        <f t="shared" si="42"/>
        <v>0.18181818181801646</v>
      </c>
    </row>
    <row r="65" spans="1:73">
      <c r="A65" s="193" t="s">
        <v>378</v>
      </c>
      <c r="B65" s="193" t="s">
        <v>379</v>
      </c>
      <c r="C65" s="193" t="s">
        <v>214</v>
      </c>
      <c r="D65" s="193" t="s">
        <v>1165</v>
      </c>
      <c r="E65" s="193" t="s">
        <v>1166</v>
      </c>
      <c r="F65" s="193" t="s">
        <v>2035</v>
      </c>
      <c r="G65" s="193" t="s">
        <v>2035</v>
      </c>
      <c r="H65" s="199" t="s">
        <v>3132</v>
      </c>
      <c r="I65" s="193" t="s">
        <v>1508</v>
      </c>
      <c r="J65" s="193" t="s">
        <v>3133</v>
      </c>
      <c r="K65" s="193" t="s">
        <v>386</v>
      </c>
      <c r="L65" s="193" t="s">
        <v>387</v>
      </c>
      <c r="M65" s="193" t="s">
        <v>378</v>
      </c>
      <c r="N65" s="193" t="s">
        <v>3028</v>
      </c>
      <c r="O65" s="193" t="s">
        <v>229</v>
      </c>
      <c r="P65" s="193" t="s">
        <v>228</v>
      </c>
      <c r="Q65" s="193" t="s">
        <v>27</v>
      </c>
      <c r="R65" s="193" t="s">
        <v>27</v>
      </c>
      <c r="S65" s="193" t="s">
        <v>214</v>
      </c>
      <c r="T65" s="193" t="s">
        <v>3029</v>
      </c>
      <c r="U65" s="193" t="s">
        <v>3030</v>
      </c>
      <c r="V65" s="193">
        <v>0</v>
      </c>
      <c r="W65" s="193">
        <v>0</v>
      </c>
      <c r="X65" s="193">
        <v>0</v>
      </c>
      <c r="Y65" s="194">
        <v>33818</v>
      </c>
      <c r="Z65" s="193" t="s">
        <v>3031</v>
      </c>
      <c r="AA65" s="193" t="s">
        <v>27</v>
      </c>
      <c r="AB65" s="193">
        <v>33818</v>
      </c>
      <c r="AC65" s="193" t="s">
        <v>3125</v>
      </c>
      <c r="AD65" s="193" t="s">
        <v>3126</v>
      </c>
      <c r="AE65" s="193">
        <v>33818</v>
      </c>
      <c r="AF65" s="193" t="s">
        <v>3012</v>
      </c>
      <c r="AG65" s="193" t="s">
        <v>395</v>
      </c>
      <c r="AH65" s="193">
        <v>3073</v>
      </c>
      <c r="AI65" s="193">
        <v>30745</v>
      </c>
      <c r="AJ65" s="193" t="s">
        <v>214</v>
      </c>
      <c r="AL65" s="197" t="s">
        <v>3134</v>
      </c>
      <c r="AM65" s="193">
        <v>1</v>
      </c>
      <c r="AN65" s="193">
        <v>0</v>
      </c>
      <c r="AO65" s="193">
        <v>0</v>
      </c>
      <c r="AP65" s="566">
        <v>0</v>
      </c>
      <c r="AQ65" s="193" t="s">
        <v>214</v>
      </c>
      <c r="AS65" s="565" t="s">
        <v>3012</v>
      </c>
      <c r="AT65" s="565" t="s">
        <v>395</v>
      </c>
      <c r="AV65" s="194">
        <v>0</v>
      </c>
      <c r="AW65" s="194">
        <v>0</v>
      </c>
      <c r="AX65" s="194">
        <v>0</v>
      </c>
      <c r="AY65" s="551">
        <v>0</v>
      </c>
      <c r="AZ65" s="194">
        <v>0</v>
      </c>
      <c r="BA65" s="194">
        <v>33818</v>
      </c>
      <c r="BB65" s="551">
        <v>33818</v>
      </c>
      <c r="BC65" s="551">
        <v>33818</v>
      </c>
      <c r="BD65" s="551">
        <v>0</v>
      </c>
      <c r="BF65" s="551">
        <f t="shared" si="21"/>
        <v>0</v>
      </c>
      <c r="BG65" s="551">
        <f t="shared" si="22"/>
        <v>0</v>
      </c>
      <c r="BH65" s="551">
        <f t="shared" si="23"/>
        <v>0</v>
      </c>
      <c r="BI65" s="551">
        <f t="shared" si="24"/>
        <v>0</v>
      </c>
      <c r="BJ65" s="551">
        <f t="shared" si="25"/>
        <v>0</v>
      </c>
      <c r="BK65" s="551">
        <f t="shared" si="26"/>
        <v>30744</v>
      </c>
      <c r="BL65" s="551">
        <f t="shared" si="27"/>
        <v>30744</v>
      </c>
      <c r="BM65" s="551">
        <f t="shared" si="28"/>
        <v>30744</v>
      </c>
      <c r="BN65" s="194"/>
      <c r="BO65" s="193">
        <f t="shared" si="36"/>
        <v>0</v>
      </c>
      <c r="BP65" s="193">
        <f t="shared" si="37"/>
        <v>0</v>
      </c>
      <c r="BQ65" s="193">
        <f t="shared" si="38"/>
        <v>0</v>
      </c>
      <c r="BR65" s="193">
        <f t="shared" si="39"/>
        <v>0</v>
      </c>
      <c r="BS65" s="193">
        <f t="shared" si="40"/>
        <v>0</v>
      </c>
      <c r="BT65" s="193">
        <f t="shared" si="41"/>
        <v>-0.36363636363603291</v>
      </c>
      <c r="BU65" s="193">
        <f t="shared" si="42"/>
        <v>-0.36363636363603291</v>
      </c>
    </row>
    <row r="66" spans="1:73">
      <c r="A66" s="193" t="s">
        <v>378</v>
      </c>
      <c r="B66" s="193" t="s">
        <v>379</v>
      </c>
      <c r="C66" s="193" t="s">
        <v>214</v>
      </c>
      <c r="D66" s="193" t="s">
        <v>1165</v>
      </c>
      <c r="E66" s="193" t="s">
        <v>1166</v>
      </c>
      <c r="F66" s="193" t="s">
        <v>2381</v>
      </c>
      <c r="G66" s="193" t="s">
        <v>2381</v>
      </c>
      <c r="H66" s="199" t="s">
        <v>3132</v>
      </c>
      <c r="I66" s="193" t="s">
        <v>1508</v>
      </c>
      <c r="J66" s="193" t="s">
        <v>3135</v>
      </c>
      <c r="K66" s="193" t="s">
        <v>386</v>
      </c>
      <c r="L66" s="193" t="s">
        <v>387</v>
      </c>
      <c r="M66" s="193" t="s">
        <v>378</v>
      </c>
      <c r="N66" s="193" t="s">
        <v>3028</v>
      </c>
      <c r="O66" s="193" t="s">
        <v>229</v>
      </c>
      <c r="P66" s="193" t="s">
        <v>228</v>
      </c>
      <c r="Q66" s="193" t="s">
        <v>27</v>
      </c>
      <c r="R66" s="193" t="s">
        <v>27</v>
      </c>
      <c r="S66" s="193" t="s">
        <v>214</v>
      </c>
      <c r="T66" s="193" t="s">
        <v>3029</v>
      </c>
      <c r="U66" s="193" t="s">
        <v>3030</v>
      </c>
      <c r="V66" s="193">
        <v>0</v>
      </c>
      <c r="W66" s="193">
        <v>0</v>
      </c>
      <c r="X66" s="193">
        <v>0</v>
      </c>
      <c r="Y66" s="194">
        <v>764</v>
      </c>
      <c r="Z66" s="193" t="s">
        <v>3031</v>
      </c>
      <c r="AA66" s="193" t="s">
        <v>27</v>
      </c>
      <c r="AB66" s="193">
        <v>764</v>
      </c>
      <c r="AC66" s="193" t="s">
        <v>3125</v>
      </c>
      <c r="AD66" s="193" t="s">
        <v>3126</v>
      </c>
      <c r="AE66" s="193">
        <v>764</v>
      </c>
      <c r="AF66" s="193" t="s">
        <v>3012</v>
      </c>
      <c r="AG66" s="193" t="s">
        <v>395</v>
      </c>
      <c r="AH66" s="193">
        <v>69</v>
      </c>
      <c r="AI66" s="193">
        <v>695</v>
      </c>
      <c r="AJ66" s="193" t="s">
        <v>214</v>
      </c>
      <c r="AL66" s="197" t="s">
        <v>3136</v>
      </c>
      <c r="AM66" s="193">
        <v>1</v>
      </c>
      <c r="AN66" s="193">
        <v>0</v>
      </c>
      <c r="AO66" s="193">
        <v>0</v>
      </c>
      <c r="AP66" s="566">
        <v>0</v>
      </c>
      <c r="AQ66" s="193" t="s">
        <v>214</v>
      </c>
      <c r="AS66" s="565" t="s">
        <v>3012</v>
      </c>
      <c r="AT66" s="565" t="s">
        <v>395</v>
      </c>
      <c r="AV66" s="194">
        <v>0</v>
      </c>
      <c r="AW66" s="194">
        <v>0</v>
      </c>
      <c r="AX66" s="194">
        <v>0</v>
      </c>
      <c r="AY66" s="551">
        <v>0</v>
      </c>
      <c r="AZ66" s="194">
        <v>0</v>
      </c>
      <c r="BA66" s="194">
        <v>764</v>
      </c>
      <c r="BB66" s="551">
        <v>764</v>
      </c>
      <c r="BC66" s="551">
        <v>764</v>
      </c>
      <c r="BD66" s="551">
        <v>0</v>
      </c>
      <c r="BF66" s="551">
        <f t="shared" si="21"/>
        <v>0</v>
      </c>
      <c r="BG66" s="551">
        <f t="shared" si="22"/>
        <v>0</v>
      </c>
      <c r="BH66" s="551">
        <f t="shared" si="23"/>
        <v>0</v>
      </c>
      <c r="BI66" s="551">
        <f t="shared" si="24"/>
        <v>0</v>
      </c>
      <c r="BJ66" s="551">
        <f t="shared" si="25"/>
        <v>0</v>
      </c>
      <c r="BK66" s="551">
        <f t="shared" si="26"/>
        <v>695</v>
      </c>
      <c r="BL66" s="551">
        <f t="shared" si="27"/>
        <v>695</v>
      </c>
      <c r="BM66" s="551">
        <f t="shared" si="28"/>
        <v>695</v>
      </c>
      <c r="BN66" s="194"/>
      <c r="BO66" s="193">
        <f t="shared" si="36"/>
        <v>0</v>
      </c>
      <c r="BP66" s="193">
        <f t="shared" si="37"/>
        <v>0</v>
      </c>
      <c r="BQ66" s="193">
        <f t="shared" si="38"/>
        <v>0</v>
      </c>
      <c r="BR66" s="193">
        <f t="shared" si="39"/>
        <v>0</v>
      </c>
      <c r="BS66" s="193">
        <f t="shared" si="40"/>
        <v>0</v>
      </c>
      <c r="BT66" s="193">
        <f t="shared" si="41"/>
        <v>-0.45454545454549589</v>
      </c>
      <c r="BU66" s="193">
        <f t="shared" si="42"/>
        <v>-0.45454545454549589</v>
      </c>
    </row>
    <row r="67" spans="1:73">
      <c r="A67" s="193" t="s">
        <v>378</v>
      </c>
      <c r="B67" s="193" t="s">
        <v>379</v>
      </c>
      <c r="C67" s="193" t="s">
        <v>214</v>
      </c>
      <c r="D67" s="193" t="s">
        <v>1165</v>
      </c>
      <c r="E67" s="193" t="s">
        <v>1166</v>
      </c>
      <c r="F67" s="193" t="s">
        <v>686</v>
      </c>
      <c r="G67" s="193" t="s">
        <v>686</v>
      </c>
      <c r="H67" s="199" t="s">
        <v>3123</v>
      </c>
      <c r="I67" s="193" t="s">
        <v>1508</v>
      </c>
      <c r="J67" s="193" t="s">
        <v>3141</v>
      </c>
      <c r="K67" s="193" t="s">
        <v>386</v>
      </c>
      <c r="L67" s="193" t="s">
        <v>387</v>
      </c>
      <c r="M67" s="193" t="s">
        <v>378</v>
      </c>
      <c r="N67" s="193" t="s">
        <v>3028</v>
      </c>
      <c r="O67" s="193" t="s">
        <v>229</v>
      </c>
      <c r="P67" s="193" t="s">
        <v>228</v>
      </c>
      <c r="Q67" s="193" t="s">
        <v>27</v>
      </c>
      <c r="R67" s="193" t="s">
        <v>27</v>
      </c>
      <c r="S67" s="193" t="s">
        <v>214</v>
      </c>
      <c r="T67" s="193" t="s">
        <v>3029</v>
      </c>
      <c r="U67" s="193" t="s">
        <v>3030</v>
      </c>
      <c r="V67" s="193">
        <v>0</v>
      </c>
      <c r="W67" s="193">
        <v>0</v>
      </c>
      <c r="X67" s="193">
        <v>0</v>
      </c>
      <c r="Y67" s="194">
        <v>31460</v>
      </c>
      <c r="Z67" s="193" t="s">
        <v>3031</v>
      </c>
      <c r="AA67" s="193" t="s">
        <v>27</v>
      </c>
      <c r="AB67" s="193">
        <v>31460</v>
      </c>
      <c r="AC67" s="193" t="s">
        <v>3125</v>
      </c>
      <c r="AD67" s="193" t="s">
        <v>3126</v>
      </c>
      <c r="AE67" s="193">
        <v>31460</v>
      </c>
      <c r="AF67" s="193" t="s">
        <v>3012</v>
      </c>
      <c r="AG67" s="193" t="s">
        <v>395</v>
      </c>
      <c r="AH67" s="193">
        <v>2860</v>
      </c>
      <c r="AI67" s="193">
        <v>28600</v>
      </c>
      <c r="AJ67" s="193" t="s">
        <v>214</v>
      </c>
      <c r="AL67" s="197" t="s">
        <v>3142</v>
      </c>
      <c r="AM67" s="193">
        <v>1</v>
      </c>
      <c r="AN67" s="193">
        <v>0</v>
      </c>
      <c r="AO67" s="193">
        <v>0</v>
      </c>
      <c r="AP67" s="566">
        <v>0</v>
      </c>
      <c r="AQ67" s="193" t="s">
        <v>214</v>
      </c>
      <c r="AS67" s="565" t="s">
        <v>3012</v>
      </c>
      <c r="AT67" s="565" t="s">
        <v>395</v>
      </c>
      <c r="AV67" s="194">
        <v>0</v>
      </c>
      <c r="AW67" s="194">
        <v>0</v>
      </c>
      <c r="AX67" s="194">
        <v>0</v>
      </c>
      <c r="AY67" s="551">
        <v>0</v>
      </c>
      <c r="AZ67" s="194">
        <v>0</v>
      </c>
      <c r="BA67" s="194">
        <v>31460</v>
      </c>
      <c r="BB67" s="551">
        <v>31460</v>
      </c>
      <c r="BC67" s="551">
        <v>31460</v>
      </c>
      <c r="BD67" s="551">
        <v>0</v>
      </c>
      <c r="BF67" s="551">
        <f t="shared" si="21"/>
        <v>0</v>
      </c>
      <c r="BG67" s="551">
        <f t="shared" si="22"/>
        <v>0</v>
      </c>
      <c r="BH67" s="551">
        <f t="shared" si="23"/>
        <v>0</v>
      </c>
      <c r="BI67" s="551">
        <f t="shared" si="24"/>
        <v>0</v>
      </c>
      <c r="BJ67" s="551">
        <f t="shared" si="25"/>
        <v>0</v>
      </c>
      <c r="BK67" s="551">
        <f t="shared" si="26"/>
        <v>28600</v>
      </c>
      <c r="BL67" s="551">
        <f t="shared" si="27"/>
        <v>28600</v>
      </c>
      <c r="BM67" s="551">
        <f t="shared" si="28"/>
        <v>28600</v>
      </c>
      <c r="BN67" s="194"/>
      <c r="BO67" s="193">
        <f t="shared" si="36"/>
        <v>0</v>
      </c>
      <c r="BP67" s="193">
        <f t="shared" si="37"/>
        <v>0</v>
      </c>
      <c r="BQ67" s="193">
        <f t="shared" si="38"/>
        <v>0</v>
      </c>
      <c r="BR67" s="193">
        <f t="shared" si="39"/>
        <v>0</v>
      </c>
      <c r="BS67" s="193">
        <f t="shared" si="40"/>
        <v>0</v>
      </c>
      <c r="BT67" s="193">
        <f t="shared" si="41"/>
        <v>0</v>
      </c>
      <c r="BU67" s="193">
        <f t="shared" si="42"/>
        <v>0</v>
      </c>
    </row>
    <row r="68" spans="1:73">
      <c r="A68" s="193" t="s">
        <v>378</v>
      </c>
      <c r="B68" s="193" t="s">
        <v>379</v>
      </c>
      <c r="C68" s="193" t="s">
        <v>214</v>
      </c>
      <c r="D68" s="193" t="s">
        <v>1165</v>
      </c>
      <c r="E68" s="193" t="s">
        <v>1166</v>
      </c>
      <c r="F68" s="193" t="s">
        <v>686</v>
      </c>
      <c r="G68" s="193" t="s">
        <v>686</v>
      </c>
      <c r="H68" s="199" t="s">
        <v>3123</v>
      </c>
      <c r="I68" s="193" t="s">
        <v>1508</v>
      </c>
      <c r="J68" s="193" t="s">
        <v>3143</v>
      </c>
      <c r="K68" s="193" t="s">
        <v>386</v>
      </c>
      <c r="L68" s="193" t="s">
        <v>387</v>
      </c>
      <c r="M68" s="193" t="s">
        <v>378</v>
      </c>
      <c r="N68" s="193" t="s">
        <v>3028</v>
      </c>
      <c r="O68" s="193" t="s">
        <v>229</v>
      </c>
      <c r="P68" s="193" t="s">
        <v>228</v>
      </c>
      <c r="Q68" s="193" t="s">
        <v>27</v>
      </c>
      <c r="R68" s="193" t="s">
        <v>27</v>
      </c>
      <c r="S68" s="193" t="s">
        <v>214</v>
      </c>
      <c r="T68" s="193" t="s">
        <v>3029</v>
      </c>
      <c r="U68" s="193" t="s">
        <v>3030</v>
      </c>
      <c r="V68" s="193">
        <v>0</v>
      </c>
      <c r="W68" s="193">
        <v>0</v>
      </c>
      <c r="X68" s="193">
        <v>0</v>
      </c>
      <c r="Y68" s="194">
        <v>9264</v>
      </c>
      <c r="Z68" s="193" t="s">
        <v>3031</v>
      </c>
      <c r="AA68" s="193" t="s">
        <v>27</v>
      </c>
      <c r="AB68" s="193">
        <v>9264</v>
      </c>
      <c r="AC68" s="193" t="s">
        <v>3125</v>
      </c>
      <c r="AD68" s="193" t="s">
        <v>3126</v>
      </c>
      <c r="AE68" s="193">
        <v>9264</v>
      </c>
      <c r="AF68" s="193" t="s">
        <v>2993</v>
      </c>
      <c r="AG68" s="193" t="s">
        <v>2486</v>
      </c>
      <c r="AH68" s="193">
        <v>684</v>
      </c>
      <c r="AI68" s="193">
        <v>8580</v>
      </c>
      <c r="AJ68" s="193" t="s">
        <v>214</v>
      </c>
      <c r="AL68" s="197" t="s">
        <v>3144</v>
      </c>
      <c r="AM68" s="193">
        <v>1</v>
      </c>
      <c r="AN68" s="193">
        <v>0</v>
      </c>
      <c r="AO68" s="193">
        <v>0</v>
      </c>
      <c r="AP68" s="566">
        <v>0</v>
      </c>
      <c r="AQ68" s="193" t="s">
        <v>214</v>
      </c>
      <c r="AS68" s="565" t="s">
        <v>2993</v>
      </c>
      <c r="AT68" s="565" t="s">
        <v>2486</v>
      </c>
      <c r="AV68" s="194">
        <v>0</v>
      </c>
      <c r="AW68" s="194">
        <v>0</v>
      </c>
      <c r="AX68" s="194">
        <v>0</v>
      </c>
      <c r="AY68" s="551">
        <v>0</v>
      </c>
      <c r="AZ68" s="194">
        <v>0</v>
      </c>
      <c r="BA68" s="194">
        <v>9264</v>
      </c>
      <c r="BB68" s="551">
        <v>9264</v>
      </c>
      <c r="BC68" s="551">
        <v>9264</v>
      </c>
      <c r="BD68" s="551">
        <v>0</v>
      </c>
      <c r="BF68" s="551">
        <f t="shared" si="21"/>
        <v>0</v>
      </c>
      <c r="BG68" s="551">
        <f t="shared" si="22"/>
        <v>0</v>
      </c>
      <c r="BH68" s="551">
        <f t="shared" si="23"/>
        <v>0</v>
      </c>
      <c r="BI68" s="551">
        <f t="shared" si="24"/>
        <v>0</v>
      </c>
      <c r="BJ68" s="551">
        <f t="shared" si="25"/>
        <v>0</v>
      </c>
      <c r="BK68" s="551">
        <f t="shared" si="26"/>
        <v>8578</v>
      </c>
      <c r="BL68" s="551">
        <f t="shared" si="27"/>
        <v>8578</v>
      </c>
      <c r="BM68" s="551">
        <f t="shared" si="28"/>
        <v>8578</v>
      </c>
      <c r="BN68" s="194"/>
      <c r="BO68" s="193">
        <f t="shared" si="36"/>
        <v>0</v>
      </c>
      <c r="BP68" s="193">
        <f t="shared" si="37"/>
        <v>0</v>
      </c>
      <c r="BQ68" s="193">
        <f t="shared" si="38"/>
        <v>0</v>
      </c>
      <c r="BR68" s="193">
        <f t="shared" si="39"/>
        <v>0</v>
      </c>
      <c r="BS68" s="193">
        <f t="shared" si="40"/>
        <v>0</v>
      </c>
      <c r="BT68" s="193">
        <f t="shared" si="41"/>
        <v>-0.22222222222262644</v>
      </c>
      <c r="BU68" s="193">
        <f t="shared" si="42"/>
        <v>-0.22222222222262644</v>
      </c>
    </row>
    <row r="69" spans="1:73">
      <c r="A69" s="193" t="s">
        <v>378</v>
      </c>
      <c r="B69" s="193" t="s">
        <v>379</v>
      </c>
      <c r="C69" s="193" t="s">
        <v>214</v>
      </c>
      <c r="D69" s="193" t="s">
        <v>1165</v>
      </c>
      <c r="E69" s="193" t="s">
        <v>1166</v>
      </c>
      <c r="F69" s="193" t="s">
        <v>1420</v>
      </c>
      <c r="G69" s="193" t="s">
        <v>1420</v>
      </c>
      <c r="H69" s="199" t="s">
        <v>3123</v>
      </c>
      <c r="I69" s="193" t="s">
        <v>1508</v>
      </c>
      <c r="J69" s="193" t="s">
        <v>3145</v>
      </c>
      <c r="K69" s="193" t="s">
        <v>386</v>
      </c>
      <c r="L69" s="193" t="s">
        <v>387</v>
      </c>
      <c r="M69" s="193" t="s">
        <v>378</v>
      </c>
      <c r="N69" s="193" t="s">
        <v>3028</v>
      </c>
      <c r="O69" s="193" t="s">
        <v>229</v>
      </c>
      <c r="P69" s="193" t="s">
        <v>228</v>
      </c>
      <c r="Q69" s="193" t="s">
        <v>27</v>
      </c>
      <c r="R69" s="193" t="s">
        <v>27</v>
      </c>
      <c r="S69" s="193" t="s">
        <v>214</v>
      </c>
      <c r="T69" s="193" t="s">
        <v>3029</v>
      </c>
      <c r="U69" s="193" t="s">
        <v>3030</v>
      </c>
      <c r="V69" s="193">
        <v>0</v>
      </c>
      <c r="W69" s="193">
        <v>0</v>
      </c>
      <c r="X69" s="193">
        <v>0</v>
      </c>
      <c r="Y69" s="194">
        <v>7770</v>
      </c>
      <c r="Z69" s="193" t="s">
        <v>3031</v>
      </c>
      <c r="AA69" s="193" t="s">
        <v>27</v>
      </c>
      <c r="AB69" s="193">
        <v>7770</v>
      </c>
      <c r="AC69" s="193" t="s">
        <v>3125</v>
      </c>
      <c r="AD69" s="193" t="s">
        <v>3126</v>
      </c>
      <c r="AE69" s="193">
        <v>7770</v>
      </c>
      <c r="AF69" s="193" t="s">
        <v>3012</v>
      </c>
      <c r="AG69" s="193" t="s">
        <v>395</v>
      </c>
      <c r="AH69" s="193">
        <v>706</v>
      </c>
      <c r="AI69" s="193">
        <v>7064</v>
      </c>
      <c r="AJ69" s="193" t="s">
        <v>214</v>
      </c>
      <c r="AL69" s="197" t="s">
        <v>3146</v>
      </c>
      <c r="AM69" s="193">
        <v>1</v>
      </c>
      <c r="AN69" s="193">
        <v>0</v>
      </c>
      <c r="AO69" s="193">
        <v>0</v>
      </c>
      <c r="AP69" s="566">
        <v>0</v>
      </c>
      <c r="AQ69" s="193" t="s">
        <v>214</v>
      </c>
      <c r="AS69" s="565" t="s">
        <v>3012</v>
      </c>
      <c r="AT69" s="565" t="s">
        <v>395</v>
      </c>
      <c r="AV69" s="194">
        <v>0</v>
      </c>
      <c r="AW69" s="194">
        <v>0</v>
      </c>
      <c r="AX69" s="194">
        <v>0</v>
      </c>
      <c r="AY69" s="551">
        <v>0</v>
      </c>
      <c r="AZ69" s="194">
        <v>0</v>
      </c>
      <c r="BA69" s="194">
        <v>7770</v>
      </c>
      <c r="BB69" s="551">
        <v>7770</v>
      </c>
      <c r="BC69" s="551">
        <v>7770</v>
      </c>
      <c r="BD69" s="551">
        <v>0</v>
      </c>
      <c r="BF69" s="551">
        <f t="shared" si="21"/>
        <v>0</v>
      </c>
      <c r="BG69" s="551">
        <f t="shared" si="22"/>
        <v>0</v>
      </c>
      <c r="BH69" s="551">
        <f t="shared" si="23"/>
        <v>0</v>
      </c>
      <c r="BI69" s="551">
        <f t="shared" si="24"/>
        <v>0</v>
      </c>
      <c r="BJ69" s="551">
        <f t="shared" si="25"/>
        <v>0</v>
      </c>
      <c r="BK69" s="551">
        <f t="shared" si="26"/>
        <v>7064</v>
      </c>
      <c r="BL69" s="551">
        <f t="shared" si="27"/>
        <v>7064</v>
      </c>
      <c r="BM69" s="551">
        <f t="shared" si="28"/>
        <v>7064</v>
      </c>
      <c r="BN69" s="194"/>
      <c r="BO69" s="193">
        <f t="shared" si="36"/>
        <v>0</v>
      </c>
      <c r="BP69" s="193">
        <f t="shared" si="37"/>
        <v>0</v>
      </c>
      <c r="BQ69" s="193">
        <f t="shared" si="38"/>
        <v>0</v>
      </c>
      <c r="BR69" s="193">
        <f t="shared" si="39"/>
        <v>0</v>
      </c>
      <c r="BS69" s="193">
        <f t="shared" si="40"/>
        <v>0</v>
      </c>
      <c r="BT69" s="193">
        <f t="shared" si="41"/>
        <v>-0.36363636363603291</v>
      </c>
      <c r="BU69" s="193">
        <f t="shared" si="42"/>
        <v>-0.36363636363603291</v>
      </c>
    </row>
    <row r="70" spans="1:73">
      <c r="A70" s="193" t="s">
        <v>378</v>
      </c>
      <c r="B70" s="193" t="s">
        <v>379</v>
      </c>
      <c r="C70" s="193" t="s">
        <v>214</v>
      </c>
      <c r="D70" s="193" t="s">
        <v>1165</v>
      </c>
      <c r="E70" s="193" t="s">
        <v>1166</v>
      </c>
      <c r="F70" s="193" t="s">
        <v>510</v>
      </c>
      <c r="G70" s="193" t="s">
        <v>510</v>
      </c>
      <c r="H70" s="199" t="s">
        <v>3132</v>
      </c>
      <c r="I70" s="193" t="s">
        <v>1508</v>
      </c>
      <c r="J70" s="193" t="s">
        <v>3137</v>
      </c>
      <c r="K70" s="193" t="s">
        <v>386</v>
      </c>
      <c r="L70" s="193" t="s">
        <v>387</v>
      </c>
      <c r="M70" s="193" t="s">
        <v>378</v>
      </c>
      <c r="N70" s="193" t="s">
        <v>3028</v>
      </c>
      <c r="O70" s="193" t="s">
        <v>229</v>
      </c>
      <c r="P70" s="193" t="s">
        <v>228</v>
      </c>
      <c r="Q70" s="193" t="s">
        <v>27</v>
      </c>
      <c r="R70" s="193" t="s">
        <v>27</v>
      </c>
      <c r="S70" s="193" t="s">
        <v>214</v>
      </c>
      <c r="T70" s="193" t="s">
        <v>3029</v>
      </c>
      <c r="U70" s="193" t="s">
        <v>3030</v>
      </c>
      <c r="V70" s="193">
        <v>0</v>
      </c>
      <c r="W70" s="193">
        <v>0</v>
      </c>
      <c r="X70" s="193">
        <v>0</v>
      </c>
      <c r="Y70" s="194">
        <v>4587</v>
      </c>
      <c r="Z70" s="193" t="s">
        <v>3031</v>
      </c>
      <c r="AA70" s="193" t="s">
        <v>27</v>
      </c>
      <c r="AB70" s="193">
        <v>4587</v>
      </c>
      <c r="AC70" s="193" t="s">
        <v>3125</v>
      </c>
      <c r="AD70" s="193" t="s">
        <v>3126</v>
      </c>
      <c r="AE70" s="193">
        <v>4587</v>
      </c>
      <c r="AF70" s="193" t="s">
        <v>3012</v>
      </c>
      <c r="AG70" s="193" t="s">
        <v>395</v>
      </c>
      <c r="AH70" s="193">
        <v>417</v>
      </c>
      <c r="AI70" s="193">
        <v>4170</v>
      </c>
      <c r="AJ70" s="193" t="s">
        <v>214</v>
      </c>
      <c r="AL70" s="197" t="s">
        <v>3138</v>
      </c>
      <c r="AM70" s="193">
        <v>1</v>
      </c>
      <c r="AN70" s="193">
        <v>0</v>
      </c>
      <c r="AO70" s="193">
        <v>0</v>
      </c>
      <c r="AP70" s="566">
        <v>0</v>
      </c>
      <c r="AQ70" s="193" t="s">
        <v>214</v>
      </c>
      <c r="AS70" s="565" t="s">
        <v>3012</v>
      </c>
      <c r="AT70" s="565" t="s">
        <v>395</v>
      </c>
      <c r="AV70" s="194">
        <v>0</v>
      </c>
      <c r="AW70" s="194">
        <v>0</v>
      </c>
      <c r="AX70" s="194">
        <v>0</v>
      </c>
      <c r="AY70" s="551">
        <v>0</v>
      </c>
      <c r="AZ70" s="194">
        <v>0</v>
      </c>
      <c r="BA70" s="194">
        <v>4587</v>
      </c>
      <c r="BB70" s="551">
        <v>4587</v>
      </c>
      <c r="BC70" s="551">
        <v>4587</v>
      </c>
      <c r="BD70" s="551">
        <v>0</v>
      </c>
      <c r="BF70" s="551">
        <f t="shared" si="21"/>
        <v>0</v>
      </c>
      <c r="BG70" s="551">
        <f t="shared" si="22"/>
        <v>0</v>
      </c>
      <c r="BH70" s="551">
        <f t="shared" si="23"/>
        <v>0</v>
      </c>
      <c r="BI70" s="551">
        <f t="shared" si="24"/>
        <v>0</v>
      </c>
      <c r="BJ70" s="551">
        <f t="shared" si="25"/>
        <v>0</v>
      </c>
      <c r="BK70" s="551">
        <f t="shared" si="26"/>
        <v>4170</v>
      </c>
      <c r="BL70" s="551">
        <f t="shared" si="27"/>
        <v>4170</v>
      </c>
      <c r="BM70" s="551">
        <f t="shared" si="28"/>
        <v>4170</v>
      </c>
      <c r="BN70" s="194"/>
      <c r="BO70" s="193">
        <f t="shared" si="36"/>
        <v>0</v>
      </c>
      <c r="BP70" s="193">
        <f t="shared" si="37"/>
        <v>0</v>
      </c>
      <c r="BQ70" s="193">
        <f t="shared" si="38"/>
        <v>0</v>
      </c>
      <c r="BR70" s="193">
        <f t="shared" si="39"/>
        <v>0</v>
      </c>
      <c r="BS70" s="193">
        <f t="shared" si="40"/>
        <v>0</v>
      </c>
      <c r="BT70" s="193">
        <f t="shared" si="41"/>
        <v>0</v>
      </c>
      <c r="BU70" s="193">
        <f t="shared" si="42"/>
        <v>0</v>
      </c>
    </row>
    <row r="71" spans="1:73">
      <c r="A71" s="193" t="s">
        <v>378</v>
      </c>
      <c r="B71" s="193" t="s">
        <v>379</v>
      </c>
      <c r="C71" s="193" t="s">
        <v>214</v>
      </c>
      <c r="D71" s="193" t="s">
        <v>1165</v>
      </c>
      <c r="E71" s="193" t="s">
        <v>1166</v>
      </c>
      <c r="F71" s="193" t="s">
        <v>571</v>
      </c>
      <c r="G71" s="193" t="s">
        <v>571</v>
      </c>
      <c r="H71" s="199" t="s">
        <v>3123</v>
      </c>
      <c r="I71" s="193" t="s">
        <v>1508</v>
      </c>
      <c r="J71" s="193" t="s">
        <v>3139</v>
      </c>
      <c r="K71" s="193" t="s">
        <v>386</v>
      </c>
      <c r="L71" s="193" t="s">
        <v>387</v>
      </c>
      <c r="M71" s="193" t="s">
        <v>378</v>
      </c>
      <c r="N71" s="193" t="s">
        <v>3028</v>
      </c>
      <c r="O71" s="193" t="s">
        <v>229</v>
      </c>
      <c r="P71" s="193" t="s">
        <v>228</v>
      </c>
      <c r="Q71" s="193" t="s">
        <v>27</v>
      </c>
      <c r="R71" s="193" t="s">
        <v>27</v>
      </c>
      <c r="S71" s="193" t="s">
        <v>214</v>
      </c>
      <c r="T71" s="193" t="s">
        <v>3029</v>
      </c>
      <c r="U71" s="193" t="s">
        <v>3030</v>
      </c>
      <c r="V71" s="193">
        <v>0</v>
      </c>
      <c r="W71" s="193">
        <v>0</v>
      </c>
      <c r="X71" s="193">
        <v>0</v>
      </c>
      <c r="Y71" s="194">
        <v>20972</v>
      </c>
      <c r="Z71" s="193" t="s">
        <v>3031</v>
      </c>
      <c r="AA71" s="193" t="s">
        <v>27</v>
      </c>
      <c r="AB71" s="193">
        <v>20972</v>
      </c>
      <c r="AC71" s="193" t="s">
        <v>3125</v>
      </c>
      <c r="AD71" s="193" t="s">
        <v>3126</v>
      </c>
      <c r="AE71" s="193">
        <v>20972</v>
      </c>
      <c r="AF71" s="193" t="s">
        <v>3012</v>
      </c>
      <c r="AG71" s="193" t="s">
        <v>395</v>
      </c>
      <c r="AH71" s="193">
        <v>1907</v>
      </c>
      <c r="AI71" s="193">
        <v>19065</v>
      </c>
      <c r="AJ71" s="193" t="s">
        <v>214</v>
      </c>
      <c r="AL71" s="197" t="s">
        <v>3140</v>
      </c>
      <c r="AM71" s="193">
        <v>1</v>
      </c>
      <c r="AN71" s="193">
        <v>0</v>
      </c>
      <c r="AO71" s="193">
        <v>0</v>
      </c>
      <c r="AP71" s="566">
        <v>0</v>
      </c>
      <c r="AQ71" s="193" t="s">
        <v>214</v>
      </c>
      <c r="AS71" s="565" t="s">
        <v>3012</v>
      </c>
      <c r="AT71" s="565" t="s">
        <v>395</v>
      </c>
      <c r="AV71" s="194">
        <v>0</v>
      </c>
      <c r="AW71" s="194">
        <v>0</v>
      </c>
      <c r="AX71" s="194">
        <v>0</v>
      </c>
      <c r="AY71" s="551">
        <v>0</v>
      </c>
      <c r="AZ71" s="194">
        <v>0</v>
      </c>
      <c r="BA71" s="194">
        <v>20972</v>
      </c>
      <c r="BB71" s="551">
        <v>20972</v>
      </c>
      <c r="BC71" s="551">
        <v>20972</v>
      </c>
      <c r="BD71" s="551">
        <v>0</v>
      </c>
      <c r="BF71" s="551">
        <f t="shared" si="21"/>
        <v>0</v>
      </c>
      <c r="BG71" s="551">
        <f t="shared" si="22"/>
        <v>0</v>
      </c>
      <c r="BH71" s="551">
        <f t="shared" si="23"/>
        <v>0</v>
      </c>
      <c r="BI71" s="551">
        <f t="shared" si="24"/>
        <v>0</v>
      </c>
      <c r="BJ71" s="551">
        <f t="shared" si="25"/>
        <v>0</v>
      </c>
      <c r="BK71" s="573">
        <f>+IFERROR(ROUND(BA71*100/(100+$AT71),0),BA71)+1</f>
        <v>19066</v>
      </c>
      <c r="BL71" s="551">
        <f t="shared" si="27"/>
        <v>19066</v>
      </c>
      <c r="BM71" s="551">
        <f t="shared" si="28"/>
        <v>19066</v>
      </c>
      <c r="BN71" s="194"/>
      <c r="BO71" s="193">
        <f t="shared" si="36"/>
        <v>0</v>
      </c>
      <c r="BP71" s="193">
        <f t="shared" si="37"/>
        <v>0</v>
      </c>
      <c r="BQ71" s="193">
        <f t="shared" si="38"/>
        <v>0</v>
      </c>
      <c r="BR71" s="193">
        <f t="shared" si="39"/>
        <v>0</v>
      </c>
      <c r="BS71" s="193">
        <f t="shared" si="40"/>
        <v>0</v>
      </c>
      <c r="BT71" s="193">
        <f t="shared" si="41"/>
        <v>-0.54545454545586836</v>
      </c>
      <c r="BU71" s="193">
        <f t="shared" si="42"/>
        <v>-0.54545454545586836</v>
      </c>
    </row>
    <row r="72" spans="1:73">
      <c r="A72" s="193" t="s">
        <v>378</v>
      </c>
      <c r="B72" s="193" t="s">
        <v>379</v>
      </c>
      <c r="C72" s="193" t="s">
        <v>214</v>
      </c>
      <c r="D72" s="193" t="s">
        <v>1165</v>
      </c>
      <c r="E72" s="193" t="s">
        <v>1166</v>
      </c>
      <c r="F72" s="193" t="s">
        <v>2490</v>
      </c>
      <c r="G72" s="193" t="s">
        <v>2490</v>
      </c>
      <c r="H72" s="199" t="s">
        <v>3123</v>
      </c>
      <c r="I72" s="193" t="s">
        <v>1508</v>
      </c>
      <c r="J72" s="193" t="s">
        <v>3147</v>
      </c>
      <c r="K72" s="193" t="s">
        <v>386</v>
      </c>
      <c r="L72" s="193" t="s">
        <v>387</v>
      </c>
      <c r="M72" s="193" t="s">
        <v>378</v>
      </c>
      <c r="N72" s="193" t="s">
        <v>3028</v>
      </c>
      <c r="O72" s="193" t="s">
        <v>229</v>
      </c>
      <c r="P72" s="193" t="s">
        <v>228</v>
      </c>
      <c r="Q72" s="193" t="s">
        <v>27</v>
      </c>
      <c r="R72" s="193" t="s">
        <v>27</v>
      </c>
      <c r="S72" s="193" t="s">
        <v>214</v>
      </c>
      <c r="T72" s="193" t="s">
        <v>3029</v>
      </c>
      <c r="U72" s="193" t="s">
        <v>3030</v>
      </c>
      <c r="V72" s="193">
        <v>0</v>
      </c>
      <c r="W72" s="193">
        <v>0</v>
      </c>
      <c r="X72" s="193">
        <v>0</v>
      </c>
      <c r="Y72" s="194">
        <v>136155</v>
      </c>
      <c r="Z72" s="193" t="s">
        <v>3031</v>
      </c>
      <c r="AA72" s="193" t="s">
        <v>27</v>
      </c>
      <c r="AB72" s="193">
        <v>136155</v>
      </c>
      <c r="AC72" s="193" t="s">
        <v>3125</v>
      </c>
      <c r="AD72" s="193" t="s">
        <v>3126</v>
      </c>
      <c r="AE72" s="193">
        <v>136155</v>
      </c>
      <c r="AF72" s="193" t="s">
        <v>3012</v>
      </c>
      <c r="AG72" s="193" t="s">
        <v>395</v>
      </c>
      <c r="AH72" s="193">
        <v>12377</v>
      </c>
      <c r="AI72" s="193">
        <v>123778</v>
      </c>
      <c r="AJ72" s="193" t="s">
        <v>214</v>
      </c>
      <c r="AL72" s="197" t="s">
        <v>3148</v>
      </c>
      <c r="AM72" s="193">
        <v>1</v>
      </c>
      <c r="AN72" s="193">
        <v>0</v>
      </c>
      <c r="AO72" s="193">
        <v>0</v>
      </c>
      <c r="AP72" s="566">
        <v>0</v>
      </c>
      <c r="AQ72" s="193" t="s">
        <v>214</v>
      </c>
      <c r="AS72" s="565" t="s">
        <v>3012</v>
      </c>
      <c r="AT72" s="565" t="s">
        <v>395</v>
      </c>
      <c r="AV72" s="194">
        <v>0</v>
      </c>
      <c r="AW72" s="194">
        <v>0</v>
      </c>
      <c r="AX72" s="194">
        <v>0</v>
      </c>
      <c r="AY72" s="551">
        <v>0</v>
      </c>
      <c r="AZ72" s="194">
        <v>0</v>
      </c>
      <c r="BA72" s="194">
        <v>136155</v>
      </c>
      <c r="BB72" s="551">
        <v>136155</v>
      </c>
      <c r="BC72" s="551">
        <v>136155</v>
      </c>
      <c r="BD72" s="551">
        <v>0</v>
      </c>
      <c r="BF72" s="551">
        <f t="shared" si="21"/>
        <v>0</v>
      </c>
      <c r="BG72" s="551">
        <f t="shared" si="22"/>
        <v>0</v>
      </c>
      <c r="BH72" s="551">
        <f t="shared" si="23"/>
        <v>0</v>
      </c>
      <c r="BI72" s="551">
        <f t="shared" si="24"/>
        <v>0</v>
      </c>
      <c r="BJ72" s="551">
        <f t="shared" si="25"/>
        <v>0</v>
      </c>
      <c r="BK72" s="551">
        <f t="shared" si="26"/>
        <v>123777</v>
      </c>
      <c r="BL72" s="551">
        <f t="shared" si="27"/>
        <v>123777</v>
      </c>
      <c r="BM72" s="551">
        <f t="shared" si="28"/>
        <v>123777</v>
      </c>
      <c r="BN72" s="194"/>
      <c r="BO72" s="193">
        <f t="shared" si="36"/>
        <v>0</v>
      </c>
      <c r="BP72" s="193">
        <f t="shared" si="37"/>
        <v>0</v>
      </c>
      <c r="BQ72" s="193">
        <f t="shared" si="38"/>
        <v>0</v>
      </c>
      <c r="BR72" s="193">
        <f t="shared" si="39"/>
        <v>0</v>
      </c>
      <c r="BS72" s="193">
        <f t="shared" si="40"/>
        <v>0</v>
      </c>
      <c r="BT72" s="193">
        <f t="shared" si="41"/>
        <v>0.27272727272065822</v>
      </c>
      <c r="BU72" s="193">
        <f t="shared" si="42"/>
        <v>0.27272727272065822</v>
      </c>
    </row>
    <row r="73" spans="1:73">
      <c r="A73" s="193" t="s">
        <v>378</v>
      </c>
      <c r="B73" s="193" t="s">
        <v>379</v>
      </c>
      <c r="C73" s="193" t="s">
        <v>214</v>
      </c>
      <c r="D73" s="193" t="s">
        <v>1165</v>
      </c>
      <c r="E73" s="193" t="s">
        <v>1166</v>
      </c>
      <c r="F73" s="193" t="s">
        <v>502</v>
      </c>
      <c r="G73" s="193" t="s">
        <v>502</v>
      </c>
      <c r="H73" s="199" t="s">
        <v>3123</v>
      </c>
      <c r="I73" s="193" t="s">
        <v>1508</v>
      </c>
      <c r="J73" s="193" t="s">
        <v>3149</v>
      </c>
      <c r="K73" s="193" t="s">
        <v>386</v>
      </c>
      <c r="L73" s="193" t="s">
        <v>387</v>
      </c>
      <c r="M73" s="193" t="s">
        <v>378</v>
      </c>
      <c r="N73" s="193" t="s">
        <v>3028</v>
      </c>
      <c r="O73" s="193" t="s">
        <v>229</v>
      </c>
      <c r="P73" s="193" t="s">
        <v>228</v>
      </c>
      <c r="Q73" s="193" t="s">
        <v>27</v>
      </c>
      <c r="R73" s="193" t="s">
        <v>27</v>
      </c>
      <c r="S73" s="193" t="s">
        <v>214</v>
      </c>
      <c r="T73" s="193" t="s">
        <v>3029</v>
      </c>
      <c r="U73" s="193" t="s">
        <v>3030</v>
      </c>
      <c r="V73" s="193">
        <v>0</v>
      </c>
      <c r="W73" s="193">
        <v>0</v>
      </c>
      <c r="X73" s="193">
        <v>0</v>
      </c>
      <c r="Y73" s="194">
        <v>789522</v>
      </c>
      <c r="Z73" s="193" t="s">
        <v>3031</v>
      </c>
      <c r="AA73" s="193" t="s">
        <v>27</v>
      </c>
      <c r="AB73" s="193">
        <v>789522</v>
      </c>
      <c r="AC73" s="193" t="s">
        <v>3125</v>
      </c>
      <c r="AD73" s="193" t="s">
        <v>3126</v>
      </c>
      <c r="AE73" s="193">
        <v>789522</v>
      </c>
      <c r="AF73" s="193" t="s">
        <v>2993</v>
      </c>
      <c r="AG73" s="193" t="s">
        <v>395</v>
      </c>
      <c r="AH73" s="193">
        <v>71771</v>
      </c>
      <c r="AI73" s="193">
        <v>717751</v>
      </c>
      <c r="AJ73" s="193" t="s">
        <v>214</v>
      </c>
      <c r="AL73" s="197" t="s">
        <v>3150</v>
      </c>
      <c r="AM73" s="193">
        <v>2</v>
      </c>
      <c r="AN73" s="193">
        <v>18</v>
      </c>
      <c r="AO73" s="193">
        <v>10</v>
      </c>
      <c r="AP73" s="566">
        <v>0</v>
      </c>
      <c r="AQ73" s="193" t="s">
        <v>214</v>
      </c>
      <c r="AS73" s="565">
        <v>18</v>
      </c>
      <c r="AT73" s="565">
        <v>10</v>
      </c>
      <c r="AV73" s="194">
        <v>0</v>
      </c>
      <c r="AW73" s="194">
        <v>0</v>
      </c>
      <c r="AX73" s="194">
        <v>0</v>
      </c>
      <c r="AY73" s="551">
        <v>0</v>
      </c>
      <c r="AZ73" s="194">
        <v>0</v>
      </c>
      <c r="BA73" s="194">
        <v>789522</v>
      </c>
      <c r="BB73" s="551">
        <v>789522</v>
      </c>
      <c r="BC73" s="551">
        <v>789522</v>
      </c>
      <c r="BD73" s="551">
        <v>0</v>
      </c>
      <c r="BF73" s="551">
        <f t="shared" si="21"/>
        <v>0</v>
      </c>
      <c r="BG73" s="551">
        <f t="shared" si="22"/>
        <v>0</v>
      </c>
      <c r="BH73" s="551">
        <f t="shared" si="23"/>
        <v>0</v>
      </c>
      <c r="BI73" s="551">
        <f t="shared" si="24"/>
        <v>0</v>
      </c>
      <c r="BJ73" s="551">
        <f t="shared" si="25"/>
        <v>0</v>
      </c>
      <c r="BK73" s="551">
        <f t="shared" si="26"/>
        <v>717747</v>
      </c>
      <c r="BL73" s="551">
        <f t="shared" si="27"/>
        <v>717747</v>
      </c>
      <c r="BM73" s="551">
        <f t="shared" si="28"/>
        <v>717747</v>
      </c>
      <c r="BN73" s="194"/>
      <c r="BO73" s="193">
        <f t="shared" si="36"/>
        <v>0</v>
      </c>
      <c r="BP73" s="193">
        <f t="shared" si="37"/>
        <v>0</v>
      </c>
      <c r="BQ73" s="193">
        <f t="shared" si="38"/>
        <v>0</v>
      </c>
      <c r="BR73" s="193">
        <f t="shared" si="39"/>
        <v>0</v>
      </c>
      <c r="BS73" s="193">
        <f t="shared" si="40"/>
        <v>0</v>
      </c>
      <c r="BT73" s="193">
        <f t="shared" si="41"/>
        <v>0.27272727270610631</v>
      </c>
      <c r="BU73" s="193">
        <f t="shared" si="42"/>
        <v>0.27272727270610631</v>
      </c>
    </row>
    <row r="74" spans="1:73">
      <c r="A74" s="193" t="s">
        <v>378</v>
      </c>
      <c r="B74" s="193" t="s">
        <v>379</v>
      </c>
      <c r="C74" s="193" t="s">
        <v>214</v>
      </c>
      <c r="D74" s="193" t="s">
        <v>1165</v>
      </c>
      <c r="E74" s="193" t="s">
        <v>1166</v>
      </c>
      <c r="F74" s="193" t="s">
        <v>3082</v>
      </c>
      <c r="G74" s="193" t="s">
        <v>3082</v>
      </c>
      <c r="H74" s="199" t="s">
        <v>3123</v>
      </c>
      <c r="I74" s="193" t="s">
        <v>1508</v>
      </c>
      <c r="J74" s="193" t="s">
        <v>3151</v>
      </c>
      <c r="K74" s="193" t="s">
        <v>386</v>
      </c>
      <c r="L74" s="193" t="s">
        <v>387</v>
      </c>
      <c r="M74" s="193" t="s">
        <v>378</v>
      </c>
      <c r="N74" s="193" t="s">
        <v>3028</v>
      </c>
      <c r="O74" s="193" t="s">
        <v>229</v>
      </c>
      <c r="P74" s="193" t="s">
        <v>228</v>
      </c>
      <c r="Q74" s="193" t="s">
        <v>27</v>
      </c>
      <c r="R74" s="193" t="s">
        <v>27</v>
      </c>
      <c r="S74" s="193" t="s">
        <v>214</v>
      </c>
      <c r="T74" s="193" t="s">
        <v>3029</v>
      </c>
      <c r="U74" s="193" t="s">
        <v>3030</v>
      </c>
      <c r="V74" s="193">
        <v>0</v>
      </c>
      <c r="W74" s="193">
        <v>0</v>
      </c>
      <c r="X74" s="193">
        <v>0</v>
      </c>
      <c r="Y74" s="194">
        <v>38149</v>
      </c>
      <c r="Z74" s="193" t="s">
        <v>3031</v>
      </c>
      <c r="AA74" s="193" t="s">
        <v>27</v>
      </c>
      <c r="AB74" s="193">
        <v>38149</v>
      </c>
      <c r="AC74" s="193" t="s">
        <v>3125</v>
      </c>
      <c r="AD74" s="193" t="s">
        <v>3126</v>
      </c>
      <c r="AE74" s="193">
        <v>38149</v>
      </c>
      <c r="AF74" s="193" t="s">
        <v>3012</v>
      </c>
      <c r="AG74" s="193" t="s">
        <v>395</v>
      </c>
      <c r="AH74" s="193">
        <v>3466</v>
      </c>
      <c r="AI74" s="193">
        <v>34683</v>
      </c>
      <c r="AJ74" s="193" t="s">
        <v>214</v>
      </c>
      <c r="AL74" s="197" t="s">
        <v>3152</v>
      </c>
      <c r="AM74" s="193">
        <v>1</v>
      </c>
      <c r="AN74" s="193">
        <v>0</v>
      </c>
      <c r="AO74" s="193">
        <v>0</v>
      </c>
      <c r="AP74" s="566">
        <v>0</v>
      </c>
      <c r="AQ74" s="193" t="s">
        <v>214</v>
      </c>
      <c r="AS74" s="565" t="s">
        <v>3012</v>
      </c>
      <c r="AT74" s="565" t="s">
        <v>395</v>
      </c>
      <c r="AV74" s="194">
        <v>0</v>
      </c>
      <c r="AW74" s="194">
        <v>0</v>
      </c>
      <c r="AX74" s="194">
        <v>0</v>
      </c>
      <c r="AY74" s="551">
        <v>0</v>
      </c>
      <c r="AZ74" s="194">
        <v>0</v>
      </c>
      <c r="BA74" s="194">
        <v>38149</v>
      </c>
      <c r="BB74" s="551">
        <v>38149</v>
      </c>
      <c r="BC74" s="551">
        <v>38149</v>
      </c>
      <c r="BD74" s="551">
        <v>0</v>
      </c>
      <c r="BF74" s="551">
        <f t="shared" si="21"/>
        <v>0</v>
      </c>
      <c r="BG74" s="551">
        <f t="shared" si="22"/>
        <v>0</v>
      </c>
      <c r="BH74" s="551">
        <f t="shared" si="23"/>
        <v>0</v>
      </c>
      <c r="BI74" s="551">
        <f t="shared" si="24"/>
        <v>0</v>
      </c>
      <c r="BJ74" s="551">
        <f t="shared" si="25"/>
        <v>0</v>
      </c>
      <c r="BK74" s="551">
        <f t="shared" si="26"/>
        <v>34681</v>
      </c>
      <c r="BL74" s="551">
        <f t="shared" si="27"/>
        <v>34681</v>
      </c>
      <c r="BM74" s="551">
        <f t="shared" si="28"/>
        <v>34681</v>
      </c>
      <c r="BN74" s="194"/>
      <c r="BO74" s="193">
        <f t="shared" si="36"/>
        <v>0</v>
      </c>
      <c r="BP74" s="193">
        <f t="shared" si="37"/>
        <v>0</v>
      </c>
      <c r="BQ74" s="193">
        <f t="shared" si="38"/>
        <v>0</v>
      </c>
      <c r="BR74" s="193">
        <f t="shared" si="39"/>
        <v>0</v>
      </c>
      <c r="BS74" s="193">
        <f t="shared" si="40"/>
        <v>0</v>
      </c>
      <c r="BT74" s="193">
        <f t="shared" si="41"/>
        <v>-9.0909090911736712E-2</v>
      </c>
      <c r="BU74" s="193">
        <f t="shared" si="42"/>
        <v>-9.0909090911736712E-2</v>
      </c>
    </row>
    <row r="75" spans="1:73">
      <c r="A75" s="193" t="s">
        <v>378</v>
      </c>
      <c r="B75" s="193" t="s">
        <v>379</v>
      </c>
      <c r="C75" s="193" t="s">
        <v>214</v>
      </c>
      <c r="D75" s="193" t="s">
        <v>1165</v>
      </c>
      <c r="E75" s="193" t="s">
        <v>1166</v>
      </c>
      <c r="F75" s="193" t="s">
        <v>3082</v>
      </c>
      <c r="G75" s="193" t="s">
        <v>3082</v>
      </c>
      <c r="H75" s="199" t="s">
        <v>3123</v>
      </c>
      <c r="I75" s="193" t="s">
        <v>1508</v>
      </c>
      <c r="J75" s="193" t="s">
        <v>3153</v>
      </c>
      <c r="K75" s="193" t="s">
        <v>386</v>
      </c>
      <c r="L75" s="193" t="s">
        <v>387</v>
      </c>
      <c r="M75" s="193" t="s">
        <v>378</v>
      </c>
      <c r="N75" s="193" t="s">
        <v>3028</v>
      </c>
      <c r="O75" s="193" t="s">
        <v>229</v>
      </c>
      <c r="P75" s="193" t="s">
        <v>228</v>
      </c>
      <c r="Q75" s="193" t="s">
        <v>27</v>
      </c>
      <c r="R75" s="193" t="s">
        <v>27</v>
      </c>
      <c r="S75" s="193" t="s">
        <v>214</v>
      </c>
      <c r="T75" s="193" t="s">
        <v>3029</v>
      </c>
      <c r="U75" s="193" t="s">
        <v>3030</v>
      </c>
      <c r="V75" s="193">
        <v>0</v>
      </c>
      <c r="W75" s="193">
        <v>0</v>
      </c>
      <c r="X75" s="193">
        <v>0</v>
      </c>
      <c r="Y75" s="194">
        <v>55357</v>
      </c>
      <c r="Z75" s="193" t="s">
        <v>3031</v>
      </c>
      <c r="AA75" s="193" t="s">
        <v>27</v>
      </c>
      <c r="AB75" s="193">
        <v>55357</v>
      </c>
      <c r="AC75" s="193" t="s">
        <v>3125</v>
      </c>
      <c r="AD75" s="193" t="s">
        <v>3126</v>
      </c>
      <c r="AE75" s="193">
        <v>55357</v>
      </c>
      <c r="AF75" s="193" t="s">
        <v>3012</v>
      </c>
      <c r="AG75" s="193" t="s">
        <v>395</v>
      </c>
      <c r="AH75" s="193">
        <v>5032</v>
      </c>
      <c r="AI75" s="193">
        <v>50325</v>
      </c>
      <c r="AJ75" s="193" t="s">
        <v>214</v>
      </c>
      <c r="AL75" s="197" t="s">
        <v>3154</v>
      </c>
      <c r="AM75" s="193">
        <v>1</v>
      </c>
      <c r="AN75" s="193">
        <v>0</v>
      </c>
      <c r="AO75" s="193">
        <v>0</v>
      </c>
      <c r="AP75" s="566">
        <v>0</v>
      </c>
      <c r="AQ75" s="193" t="s">
        <v>214</v>
      </c>
      <c r="AS75" s="565" t="s">
        <v>3012</v>
      </c>
      <c r="AT75" s="565" t="s">
        <v>395</v>
      </c>
      <c r="AV75" s="194">
        <v>0</v>
      </c>
      <c r="AW75" s="194">
        <v>0</v>
      </c>
      <c r="AX75" s="194">
        <v>0</v>
      </c>
      <c r="AY75" s="551">
        <v>0</v>
      </c>
      <c r="AZ75" s="194">
        <v>0</v>
      </c>
      <c r="BA75" s="194">
        <v>55357</v>
      </c>
      <c r="BB75" s="551">
        <v>55357</v>
      </c>
      <c r="BC75" s="551">
        <v>55357</v>
      </c>
      <c r="BD75" s="551">
        <v>0</v>
      </c>
      <c r="BF75" s="551">
        <f t="shared" si="21"/>
        <v>0</v>
      </c>
      <c r="BG75" s="551">
        <f t="shared" si="22"/>
        <v>0</v>
      </c>
      <c r="BH75" s="551">
        <f t="shared" si="23"/>
        <v>0</v>
      </c>
      <c r="BI75" s="551">
        <f t="shared" si="24"/>
        <v>0</v>
      </c>
      <c r="BJ75" s="551">
        <f t="shared" si="25"/>
        <v>0</v>
      </c>
      <c r="BK75" s="551">
        <f>+IFERROR(ROUND(BA75*100/(100+$AT75),0),BA75)</f>
        <v>50325</v>
      </c>
      <c r="BL75" s="551">
        <f t="shared" si="27"/>
        <v>50325</v>
      </c>
      <c r="BM75" s="551">
        <f t="shared" si="28"/>
        <v>50325</v>
      </c>
      <c r="BN75" s="194"/>
      <c r="BO75" s="193">
        <f t="shared" si="36"/>
        <v>0</v>
      </c>
      <c r="BP75" s="193">
        <f t="shared" si="37"/>
        <v>0</v>
      </c>
      <c r="BQ75" s="193">
        <f t="shared" si="38"/>
        <v>0</v>
      </c>
      <c r="BR75" s="193">
        <f t="shared" si="39"/>
        <v>0</v>
      </c>
      <c r="BS75" s="193">
        <f t="shared" si="40"/>
        <v>0</v>
      </c>
      <c r="BT75" s="193">
        <f t="shared" si="41"/>
        <v>-0.45454545454413164</v>
      </c>
      <c r="BU75" s="193">
        <f t="shared" si="42"/>
        <v>-0.45454545454413164</v>
      </c>
    </row>
    <row r="76" spans="1:73">
      <c r="A76" s="193" t="s">
        <v>378</v>
      </c>
      <c r="B76" s="193" t="s">
        <v>379</v>
      </c>
      <c r="C76" s="193" t="s">
        <v>214</v>
      </c>
      <c r="D76" s="193" t="s">
        <v>1165</v>
      </c>
      <c r="E76" s="193" t="s">
        <v>1166</v>
      </c>
      <c r="F76" s="193" t="s">
        <v>3082</v>
      </c>
      <c r="G76" s="193" t="s">
        <v>3082</v>
      </c>
      <c r="H76" s="199" t="s">
        <v>3123</v>
      </c>
      <c r="I76" s="193" t="s">
        <v>1508</v>
      </c>
      <c r="J76" s="193" t="s">
        <v>3155</v>
      </c>
      <c r="K76" s="193" t="s">
        <v>386</v>
      </c>
      <c r="L76" s="193" t="s">
        <v>387</v>
      </c>
      <c r="M76" s="193" t="s">
        <v>378</v>
      </c>
      <c r="N76" s="193" t="s">
        <v>3028</v>
      </c>
      <c r="O76" s="193" t="s">
        <v>229</v>
      </c>
      <c r="P76" s="193" t="s">
        <v>228</v>
      </c>
      <c r="Q76" s="193" t="s">
        <v>27</v>
      </c>
      <c r="R76" s="193" t="s">
        <v>27</v>
      </c>
      <c r="S76" s="193" t="s">
        <v>214</v>
      </c>
      <c r="T76" s="193" t="s">
        <v>3029</v>
      </c>
      <c r="U76" s="193" t="s">
        <v>3030</v>
      </c>
      <c r="V76" s="193">
        <v>0</v>
      </c>
      <c r="W76" s="193">
        <v>0</v>
      </c>
      <c r="X76" s="193">
        <v>0</v>
      </c>
      <c r="Y76" s="194">
        <v>1453</v>
      </c>
      <c r="Z76" s="193" t="s">
        <v>3031</v>
      </c>
      <c r="AA76" s="193" t="s">
        <v>27</v>
      </c>
      <c r="AB76" s="193">
        <v>1453</v>
      </c>
      <c r="AC76" s="193" t="s">
        <v>3125</v>
      </c>
      <c r="AD76" s="193" t="s">
        <v>3126</v>
      </c>
      <c r="AE76" s="193">
        <v>1453</v>
      </c>
      <c r="AF76" s="193" t="s">
        <v>2993</v>
      </c>
      <c r="AG76" s="193" t="s">
        <v>2486</v>
      </c>
      <c r="AH76" s="193">
        <v>103</v>
      </c>
      <c r="AI76" s="193">
        <v>1350</v>
      </c>
      <c r="AJ76" s="193" t="s">
        <v>214</v>
      </c>
      <c r="AL76" s="197" t="s">
        <v>3156</v>
      </c>
      <c r="AM76" s="193">
        <v>1</v>
      </c>
      <c r="AN76" s="193">
        <v>0</v>
      </c>
      <c r="AO76" s="193">
        <v>0</v>
      </c>
      <c r="AP76" s="566">
        <v>0</v>
      </c>
      <c r="AQ76" s="193" t="s">
        <v>214</v>
      </c>
      <c r="AS76" s="565" t="s">
        <v>2993</v>
      </c>
      <c r="AT76" s="565" t="s">
        <v>2486</v>
      </c>
      <c r="AV76" s="194">
        <v>0</v>
      </c>
      <c r="AW76" s="194">
        <v>0</v>
      </c>
      <c r="AX76" s="194">
        <v>0</v>
      </c>
      <c r="AY76" s="551">
        <v>0</v>
      </c>
      <c r="AZ76" s="194">
        <v>0</v>
      </c>
      <c r="BA76" s="194">
        <v>1453</v>
      </c>
      <c r="BB76" s="551">
        <v>1453</v>
      </c>
      <c r="BC76" s="551">
        <v>1453</v>
      </c>
      <c r="BD76" s="551">
        <v>0</v>
      </c>
      <c r="BF76" s="551">
        <f t="shared" si="21"/>
        <v>0</v>
      </c>
      <c r="BG76" s="551">
        <f t="shared" si="22"/>
        <v>0</v>
      </c>
      <c r="BH76" s="551">
        <f t="shared" si="23"/>
        <v>0</v>
      </c>
      <c r="BI76" s="551">
        <f t="shared" si="24"/>
        <v>0</v>
      </c>
      <c r="BJ76" s="551">
        <f t="shared" si="25"/>
        <v>0</v>
      </c>
      <c r="BK76" s="551">
        <f t="shared" si="26"/>
        <v>1345</v>
      </c>
      <c r="BL76" s="551">
        <f t="shared" si="27"/>
        <v>1345</v>
      </c>
      <c r="BM76" s="551">
        <f t="shared" si="28"/>
        <v>1345</v>
      </c>
      <c r="BN76" s="194"/>
      <c r="BO76" s="193">
        <f t="shared" si="36"/>
        <v>0</v>
      </c>
      <c r="BP76" s="193">
        <f t="shared" si="37"/>
        <v>0</v>
      </c>
      <c r="BQ76" s="193">
        <f t="shared" si="38"/>
        <v>0</v>
      </c>
      <c r="BR76" s="193">
        <f t="shared" si="39"/>
        <v>0</v>
      </c>
      <c r="BS76" s="193">
        <f t="shared" si="40"/>
        <v>0</v>
      </c>
      <c r="BT76" s="193">
        <f t="shared" si="41"/>
        <v>0.37037037037043774</v>
      </c>
      <c r="BU76" s="193">
        <f t="shared" si="42"/>
        <v>0.37037037037043774</v>
      </c>
    </row>
    <row r="77" spans="1:73">
      <c r="A77" s="193" t="s">
        <v>378</v>
      </c>
      <c r="B77" s="193" t="s">
        <v>379</v>
      </c>
      <c r="C77" s="193" t="s">
        <v>214</v>
      </c>
      <c r="D77" s="193" t="s">
        <v>1165</v>
      </c>
      <c r="E77" s="193" t="s">
        <v>1166</v>
      </c>
      <c r="F77" s="193" t="s">
        <v>3082</v>
      </c>
      <c r="G77" s="193" t="s">
        <v>3082</v>
      </c>
      <c r="H77" s="199" t="s">
        <v>3123</v>
      </c>
      <c r="I77" s="193" t="s">
        <v>1508</v>
      </c>
      <c r="J77" s="193" t="s">
        <v>3157</v>
      </c>
      <c r="K77" s="193" t="s">
        <v>386</v>
      </c>
      <c r="L77" s="193" t="s">
        <v>387</v>
      </c>
      <c r="M77" s="193" t="s">
        <v>378</v>
      </c>
      <c r="N77" s="193" t="s">
        <v>3028</v>
      </c>
      <c r="O77" s="193" t="s">
        <v>229</v>
      </c>
      <c r="P77" s="193" t="s">
        <v>228</v>
      </c>
      <c r="Q77" s="193" t="s">
        <v>27</v>
      </c>
      <c r="R77" s="193" t="s">
        <v>27</v>
      </c>
      <c r="S77" s="193" t="s">
        <v>214</v>
      </c>
      <c r="T77" s="193" t="s">
        <v>3029</v>
      </c>
      <c r="U77" s="193" t="s">
        <v>3030</v>
      </c>
      <c r="V77" s="193">
        <v>0</v>
      </c>
      <c r="W77" s="193">
        <v>0</v>
      </c>
      <c r="X77" s="193">
        <v>0</v>
      </c>
      <c r="Y77" s="194">
        <v>138909</v>
      </c>
      <c r="Z77" s="193" t="s">
        <v>3031</v>
      </c>
      <c r="AA77" s="193" t="s">
        <v>27</v>
      </c>
      <c r="AB77" s="193">
        <v>138909</v>
      </c>
      <c r="AC77" s="193" t="s">
        <v>3125</v>
      </c>
      <c r="AD77" s="193" t="s">
        <v>3126</v>
      </c>
      <c r="AE77" s="193">
        <v>138909</v>
      </c>
      <c r="AF77" s="193" t="s">
        <v>3012</v>
      </c>
      <c r="AG77" s="193" t="s">
        <v>395</v>
      </c>
      <c r="AH77" s="193">
        <v>12621</v>
      </c>
      <c r="AI77" s="193">
        <v>126288</v>
      </c>
      <c r="AJ77" s="193" t="s">
        <v>214</v>
      </c>
      <c r="AL77" s="197" t="s">
        <v>3158</v>
      </c>
      <c r="AM77" s="193">
        <v>1</v>
      </c>
      <c r="AN77" s="193">
        <v>0</v>
      </c>
      <c r="AO77" s="193">
        <v>0</v>
      </c>
      <c r="AP77" s="566">
        <v>0</v>
      </c>
      <c r="AQ77" s="193" t="s">
        <v>214</v>
      </c>
      <c r="AS77" s="565" t="s">
        <v>3012</v>
      </c>
      <c r="AT77" s="565" t="s">
        <v>395</v>
      </c>
      <c r="AV77" s="194">
        <v>0</v>
      </c>
      <c r="AW77" s="194">
        <v>0</v>
      </c>
      <c r="AX77" s="194">
        <v>0</v>
      </c>
      <c r="AY77" s="551">
        <v>0</v>
      </c>
      <c r="AZ77" s="194">
        <v>0</v>
      </c>
      <c r="BA77" s="194">
        <v>138909</v>
      </c>
      <c r="BB77" s="551">
        <v>138909</v>
      </c>
      <c r="BC77" s="551">
        <v>138909</v>
      </c>
      <c r="BD77" s="551">
        <v>0</v>
      </c>
      <c r="BF77" s="551">
        <f t="shared" si="21"/>
        <v>0</v>
      </c>
      <c r="BG77" s="551">
        <f t="shared" si="22"/>
        <v>0</v>
      </c>
      <c r="BH77" s="551">
        <f t="shared" si="23"/>
        <v>0</v>
      </c>
      <c r="BI77" s="551">
        <f t="shared" si="24"/>
        <v>0</v>
      </c>
      <c r="BJ77" s="551">
        <f t="shared" si="25"/>
        <v>0</v>
      </c>
      <c r="BK77" s="551">
        <f t="shared" si="26"/>
        <v>126281</v>
      </c>
      <c r="BL77" s="551">
        <f t="shared" si="27"/>
        <v>126281</v>
      </c>
      <c r="BM77" s="551">
        <f t="shared" si="28"/>
        <v>126281</v>
      </c>
      <c r="BN77" s="194"/>
      <c r="BO77" s="193">
        <f t="shared" si="36"/>
        <v>0</v>
      </c>
      <c r="BP77" s="193">
        <f t="shared" si="37"/>
        <v>0</v>
      </c>
      <c r="BQ77" s="193">
        <f t="shared" si="38"/>
        <v>0</v>
      </c>
      <c r="BR77" s="193">
        <f t="shared" si="39"/>
        <v>0</v>
      </c>
      <c r="BS77" s="193">
        <f t="shared" si="40"/>
        <v>0</v>
      </c>
      <c r="BT77" s="193">
        <f t="shared" si="41"/>
        <v>-9.0909090911736712E-2</v>
      </c>
      <c r="BU77" s="193">
        <f t="shared" si="42"/>
        <v>-9.0909090911736712E-2</v>
      </c>
    </row>
    <row r="78" spans="1:73">
      <c r="A78" s="193" t="s">
        <v>378</v>
      </c>
      <c r="B78" s="193" t="s">
        <v>379</v>
      </c>
      <c r="C78" s="193" t="s">
        <v>214</v>
      </c>
      <c r="D78" s="193" t="s">
        <v>1165</v>
      </c>
      <c r="E78" s="193" t="s">
        <v>1166</v>
      </c>
      <c r="F78" s="193" t="s">
        <v>3082</v>
      </c>
      <c r="G78" s="193" t="s">
        <v>3082</v>
      </c>
      <c r="H78" s="199" t="s">
        <v>3123</v>
      </c>
      <c r="I78" s="193" t="s">
        <v>1508</v>
      </c>
      <c r="J78" s="193" t="s">
        <v>3159</v>
      </c>
      <c r="K78" s="193" t="s">
        <v>386</v>
      </c>
      <c r="L78" s="193" t="s">
        <v>387</v>
      </c>
      <c r="M78" s="193" t="s">
        <v>378</v>
      </c>
      <c r="N78" s="193" t="s">
        <v>3028</v>
      </c>
      <c r="O78" s="193" t="s">
        <v>229</v>
      </c>
      <c r="P78" s="193" t="s">
        <v>228</v>
      </c>
      <c r="Q78" s="193" t="s">
        <v>27</v>
      </c>
      <c r="R78" s="193" t="s">
        <v>27</v>
      </c>
      <c r="S78" s="193" t="s">
        <v>214</v>
      </c>
      <c r="T78" s="193" t="s">
        <v>3029</v>
      </c>
      <c r="U78" s="193" t="s">
        <v>3030</v>
      </c>
      <c r="V78" s="193">
        <v>0</v>
      </c>
      <c r="W78" s="193">
        <v>0</v>
      </c>
      <c r="X78" s="193">
        <v>0</v>
      </c>
      <c r="Y78" s="194">
        <v>104861</v>
      </c>
      <c r="Z78" s="193" t="s">
        <v>3031</v>
      </c>
      <c r="AA78" s="193" t="s">
        <v>27</v>
      </c>
      <c r="AB78" s="193">
        <v>104861</v>
      </c>
      <c r="AC78" s="193" t="s">
        <v>3125</v>
      </c>
      <c r="AD78" s="193" t="s">
        <v>3126</v>
      </c>
      <c r="AE78" s="193">
        <v>104861</v>
      </c>
      <c r="AF78" s="193" t="s">
        <v>3012</v>
      </c>
      <c r="AG78" s="193" t="s">
        <v>395</v>
      </c>
      <c r="AH78" s="193">
        <v>9532</v>
      </c>
      <c r="AI78" s="193">
        <v>95329</v>
      </c>
      <c r="AJ78" s="193" t="s">
        <v>214</v>
      </c>
      <c r="AL78" s="197" t="s">
        <v>3160</v>
      </c>
      <c r="AM78" s="193">
        <v>1</v>
      </c>
      <c r="AN78" s="193">
        <v>0</v>
      </c>
      <c r="AO78" s="193">
        <v>0</v>
      </c>
      <c r="AP78" s="566">
        <v>0</v>
      </c>
      <c r="AQ78" s="193" t="s">
        <v>214</v>
      </c>
      <c r="AS78" s="565" t="s">
        <v>3012</v>
      </c>
      <c r="AT78" s="565" t="s">
        <v>395</v>
      </c>
      <c r="AV78" s="194">
        <v>0</v>
      </c>
      <c r="AW78" s="194">
        <v>0</v>
      </c>
      <c r="AX78" s="194">
        <v>0</v>
      </c>
      <c r="AY78" s="551">
        <v>0</v>
      </c>
      <c r="AZ78" s="194">
        <v>0</v>
      </c>
      <c r="BA78" s="194">
        <v>104861</v>
      </c>
      <c r="BB78" s="551">
        <v>104861</v>
      </c>
      <c r="BC78" s="551">
        <v>104861</v>
      </c>
      <c r="BD78" s="551">
        <v>0</v>
      </c>
      <c r="BF78" s="551">
        <f t="shared" ref="BF78:BF118" si="43">+IFERROR(ROUND(AV78*100/(100+$AT78),0),AV78)</f>
        <v>0</v>
      </c>
      <c r="BG78" s="551">
        <f t="shared" ref="BG78:BG118" si="44">+IFERROR(ROUND(AW78*100/(100+$AT78),0),AW78)</f>
        <v>0</v>
      </c>
      <c r="BH78" s="551">
        <f t="shared" ref="BH78:BH118" si="45">+IFERROR(ROUND(AX78*100/(100+$AT78),0),AX78)</f>
        <v>0</v>
      </c>
      <c r="BI78" s="551">
        <f t="shared" ref="BI78:BI118" si="46">SUM(BF78:BH78)</f>
        <v>0</v>
      </c>
      <c r="BJ78" s="551">
        <f t="shared" ref="BJ78:BJ118" si="47">+IFERROR(ROUND(AZ78*100/(100+$AT78),0),AZ78)</f>
        <v>0</v>
      </c>
      <c r="BK78" s="551">
        <f t="shared" ref="BK78:BK118" si="48">+IFERROR(ROUND(BA78*100/(100+$AT78),0),BA78)</f>
        <v>95328</v>
      </c>
      <c r="BL78" s="551">
        <f t="shared" ref="BL78:BL118" si="49">SUM(BJ78:BK78)</f>
        <v>95328</v>
      </c>
      <c r="BM78" s="551">
        <f t="shared" ref="BM78:BM118" si="50">+BI78+BL78</f>
        <v>95328</v>
      </c>
      <c r="BN78" s="194"/>
      <c r="BO78" s="193">
        <f t="shared" si="36"/>
        <v>0</v>
      </c>
      <c r="BP78" s="193">
        <f t="shared" si="37"/>
        <v>0</v>
      </c>
      <c r="BQ78" s="193">
        <f t="shared" si="38"/>
        <v>0</v>
      </c>
      <c r="BR78" s="193">
        <f t="shared" si="39"/>
        <v>0</v>
      </c>
      <c r="BS78" s="193">
        <f t="shared" si="40"/>
        <v>0</v>
      </c>
      <c r="BT78" s="193">
        <f t="shared" si="41"/>
        <v>0.18181818182347342</v>
      </c>
      <c r="BU78" s="193">
        <f t="shared" si="42"/>
        <v>0.18181818182347342</v>
      </c>
    </row>
    <row r="79" spans="1:73">
      <c r="A79" s="193" t="s">
        <v>378</v>
      </c>
      <c r="B79" s="193" t="s">
        <v>379</v>
      </c>
      <c r="C79" s="193" t="s">
        <v>214</v>
      </c>
      <c r="D79" s="193" t="s">
        <v>1165</v>
      </c>
      <c r="E79" s="193" t="s">
        <v>1166</v>
      </c>
      <c r="F79" s="193" t="s">
        <v>3082</v>
      </c>
      <c r="G79" s="193" t="s">
        <v>3082</v>
      </c>
      <c r="H79" s="199" t="s">
        <v>3123</v>
      </c>
      <c r="I79" s="193" t="s">
        <v>1508</v>
      </c>
      <c r="J79" s="193" t="s">
        <v>3161</v>
      </c>
      <c r="K79" s="193" t="s">
        <v>386</v>
      </c>
      <c r="L79" s="193" t="s">
        <v>387</v>
      </c>
      <c r="M79" s="193" t="s">
        <v>378</v>
      </c>
      <c r="N79" s="193" t="s">
        <v>3028</v>
      </c>
      <c r="O79" s="193" t="s">
        <v>229</v>
      </c>
      <c r="P79" s="193" t="s">
        <v>228</v>
      </c>
      <c r="Q79" s="193" t="s">
        <v>27</v>
      </c>
      <c r="R79" s="193" t="s">
        <v>27</v>
      </c>
      <c r="S79" s="193" t="s">
        <v>214</v>
      </c>
      <c r="T79" s="193" t="s">
        <v>3029</v>
      </c>
      <c r="U79" s="193" t="s">
        <v>3030</v>
      </c>
      <c r="V79" s="193">
        <v>0</v>
      </c>
      <c r="W79" s="193">
        <v>0</v>
      </c>
      <c r="X79" s="193">
        <v>0</v>
      </c>
      <c r="Y79" s="194">
        <v>1108227</v>
      </c>
      <c r="Z79" s="193" t="s">
        <v>3031</v>
      </c>
      <c r="AA79" s="193" t="s">
        <v>27</v>
      </c>
      <c r="AB79" s="193">
        <v>1108227</v>
      </c>
      <c r="AC79" s="193" t="s">
        <v>3125</v>
      </c>
      <c r="AD79" s="193" t="s">
        <v>3126</v>
      </c>
      <c r="AE79" s="193">
        <v>1108227</v>
      </c>
      <c r="AF79" s="193" t="s">
        <v>3012</v>
      </c>
      <c r="AG79" s="193" t="s">
        <v>395</v>
      </c>
      <c r="AH79" s="193">
        <v>100747</v>
      </c>
      <c r="AI79" s="193">
        <v>1007480</v>
      </c>
      <c r="AJ79" s="193" t="s">
        <v>214</v>
      </c>
      <c r="AL79" s="197" t="s">
        <v>3162</v>
      </c>
      <c r="AM79" s="193">
        <v>1</v>
      </c>
      <c r="AN79" s="193">
        <v>0</v>
      </c>
      <c r="AO79" s="193">
        <v>0</v>
      </c>
      <c r="AP79" s="566">
        <v>0</v>
      </c>
      <c r="AQ79" s="193" t="s">
        <v>214</v>
      </c>
      <c r="AS79" s="565" t="s">
        <v>3012</v>
      </c>
      <c r="AT79" s="565" t="s">
        <v>395</v>
      </c>
      <c r="AV79" s="194">
        <v>0</v>
      </c>
      <c r="AW79" s="194">
        <v>0</v>
      </c>
      <c r="AX79" s="194">
        <v>0</v>
      </c>
      <c r="AY79" s="551">
        <v>0</v>
      </c>
      <c r="AZ79" s="194">
        <v>0</v>
      </c>
      <c r="BA79" s="194">
        <v>1108227</v>
      </c>
      <c r="BB79" s="551">
        <v>1108227</v>
      </c>
      <c r="BC79" s="551">
        <v>1108227</v>
      </c>
      <c r="BD79" s="551">
        <v>0</v>
      </c>
      <c r="BF79" s="551">
        <f t="shared" si="43"/>
        <v>0</v>
      </c>
      <c r="BG79" s="551">
        <f t="shared" si="44"/>
        <v>0</v>
      </c>
      <c r="BH79" s="551">
        <f t="shared" si="45"/>
        <v>0</v>
      </c>
      <c r="BI79" s="551">
        <f t="shared" si="46"/>
        <v>0</v>
      </c>
      <c r="BJ79" s="551">
        <f t="shared" si="47"/>
        <v>0</v>
      </c>
      <c r="BK79" s="551">
        <f t="shared" si="48"/>
        <v>1007479</v>
      </c>
      <c r="BL79" s="551">
        <f t="shared" si="49"/>
        <v>1007479</v>
      </c>
      <c r="BM79" s="551">
        <f t="shared" si="50"/>
        <v>1007479</v>
      </c>
      <c r="BN79" s="194"/>
      <c r="BO79" s="193">
        <f t="shared" ref="BO79:BO118" si="51">AV79*100/(100+$AT79)-BF79</f>
        <v>0</v>
      </c>
      <c r="BP79" s="193">
        <f t="shared" ref="BP79:BP118" si="52">AW79*100/(100+$AT79)-BG79</f>
        <v>0</v>
      </c>
      <c r="BQ79" s="193">
        <f t="shared" ref="BQ79:BQ118" si="53">AX79*100/(100+$AT79)-BH79</f>
        <v>0</v>
      </c>
      <c r="BR79" s="193">
        <f t="shared" ref="BR79:BR118" si="54">AY79*100/(100+$AT79)-BI79</f>
        <v>0</v>
      </c>
      <c r="BS79" s="193">
        <f t="shared" ref="BS79:BS118" si="55">AZ79*100/(100+$AT79)-BJ79</f>
        <v>0</v>
      </c>
      <c r="BT79" s="193">
        <f t="shared" ref="BT79:BT118" si="56">BA79*100/(100+$AT79)-BK79</f>
        <v>9.0909090940840542E-2</v>
      </c>
      <c r="BU79" s="193">
        <f t="shared" ref="BU79:BU118" si="57">BB79*100/(100+$AT79)-BL79</f>
        <v>9.0909090940840542E-2</v>
      </c>
    </row>
    <row r="80" spans="1:73">
      <c r="A80" s="193" t="s">
        <v>378</v>
      </c>
      <c r="B80" s="193" t="s">
        <v>379</v>
      </c>
      <c r="C80" s="193" t="s">
        <v>214</v>
      </c>
      <c r="D80" s="193" t="s">
        <v>1165</v>
      </c>
      <c r="E80" s="193" t="s">
        <v>1166</v>
      </c>
      <c r="F80" s="193" t="s">
        <v>2283</v>
      </c>
      <c r="G80" s="193" t="s">
        <v>2283</v>
      </c>
      <c r="H80" s="199" t="s">
        <v>3123</v>
      </c>
      <c r="I80" s="193" t="s">
        <v>1508</v>
      </c>
      <c r="J80" s="193" t="s">
        <v>3163</v>
      </c>
      <c r="K80" s="193" t="s">
        <v>386</v>
      </c>
      <c r="L80" s="193" t="s">
        <v>387</v>
      </c>
      <c r="M80" s="193" t="s">
        <v>378</v>
      </c>
      <c r="N80" s="193" t="s">
        <v>3028</v>
      </c>
      <c r="O80" s="193" t="s">
        <v>229</v>
      </c>
      <c r="P80" s="193" t="s">
        <v>228</v>
      </c>
      <c r="Q80" s="193" t="s">
        <v>27</v>
      </c>
      <c r="R80" s="193" t="s">
        <v>27</v>
      </c>
      <c r="S80" s="193" t="s">
        <v>214</v>
      </c>
      <c r="T80" s="193" t="s">
        <v>3029</v>
      </c>
      <c r="U80" s="193" t="s">
        <v>3030</v>
      </c>
      <c r="V80" s="193">
        <v>0</v>
      </c>
      <c r="W80" s="193">
        <v>0</v>
      </c>
      <c r="X80" s="193">
        <v>0</v>
      </c>
      <c r="Y80" s="194">
        <v>453753</v>
      </c>
      <c r="Z80" s="193" t="s">
        <v>3031</v>
      </c>
      <c r="AA80" s="193" t="s">
        <v>27</v>
      </c>
      <c r="AB80" s="193">
        <v>453753</v>
      </c>
      <c r="AC80" s="193" t="s">
        <v>3125</v>
      </c>
      <c r="AD80" s="193" t="s">
        <v>3126</v>
      </c>
      <c r="AE80" s="193">
        <v>453753</v>
      </c>
      <c r="AF80" s="193" t="s">
        <v>3012</v>
      </c>
      <c r="AG80" s="193" t="s">
        <v>395</v>
      </c>
      <c r="AH80" s="193">
        <v>41243</v>
      </c>
      <c r="AI80" s="193">
        <v>412510</v>
      </c>
      <c r="AJ80" s="193" t="s">
        <v>214</v>
      </c>
      <c r="AL80" s="197" t="s">
        <v>3164</v>
      </c>
      <c r="AM80" s="193">
        <v>1</v>
      </c>
      <c r="AN80" s="193">
        <v>0</v>
      </c>
      <c r="AO80" s="193">
        <v>0</v>
      </c>
      <c r="AP80" s="566">
        <v>0</v>
      </c>
      <c r="AQ80" s="193" t="s">
        <v>214</v>
      </c>
      <c r="AS80" s="565" t="s">
        <v>3012</v>
      </c>
      <c r="AT80" s="565" t="s">
        <v>395</v>
      </c>
      <c r="AV80" s="194">
        <v>0</v>
      </c>
      <c r="AW80" s="194">
        <v>0</v>
      </c>
      <c r="AX80" s="194">
        <v>0</v>
      </c>
      <c r="AY80" s="551">
        <v>0</v>
      </c>
      <c r="AZ80" s="194">
        <v>0</v>
      </c>
      <c r="BA80" s="194">
        <v>453753</v>
      </c>
      <c r="BB80" s="551">
        <v>453753</v>
      </c>
      <c r="BC80" s="551">
        <v>453753</v>
      </c>
      <c r="BD80" s="551">
        <v>0</v>
      </c>
      <c r="BF80" s="551">
        <f t="shared" si="43"/>
        <v>0</v>
      </c>
      <c r="BG80" s="551">
        <f t="shared" si="44"/>
        <v>0</v>
      </c>
      <c r="BH80" s="551">
        <f t="shared" si="45"/>
        <v>0</v>
      </c>
      <c r="BI80" s="551">
        <f t="shared" si="46"/>
        <v>0</v>
      </c>
      <c r="BJ80" s="551">
        <f t="shared" si="47"/>
        <v>0</v>
      </c>
      <c r="BK80" s="551">
        <f t="shared" si="48"/>
        <v>412503</v>
      </c>
      <c r="BL80" s="551">
        <f t="shared" si="49"/>
        <v>412503</v>
      </c>
      <c r="BM80" s="551">
        <f t="shared" si="50"/>
        <v>412503</v>
      </c>
      <c r="BN80" s="194"/>
      <c r="BO80" s="193">
        <f t="shared" si="51"/>
        <v>0</v>
      </c>
      <c r="BP80" s="193">
        <f t="shared" si="52"/>
        <v>0</v>
      </c>
      <c r="BQ80" s="193">
        <f t="shared" si="53"/>
        <v>0</v>
      </c>
      <c r="BR80" s="193">
        <f t="shared" si="54"/>
        <v>0</v>
      </c>
      <c r="BS80" s="193">
        <f t="shared" si="55"/>
        <v>0</v>
      </c>
      <c r="BT80" s="193">
        <f t="shared" si="56"/>
        <v>-0.27272727270610631</v>
      </c>
      <c r="BU80" s="193">
        <f t="shared" si="57"/>
        <v>-0.27272727270610631</v>
      </c>
    </row>
    <row r="81" spans="1:73">
      <c r="A81" s="193" t="s">
        <v>378</v>
      </c>
      <c r="B81" s="193" t="s">
        <v>379</v>
      </c>
      <c r="C81" s="193" t="s">
        <v>214</v>
      </c>
      <c r="D81" s="193" t="s">
        <v>1165</v>
      </c>
      <c r="E81" s="193" t="s">
        <v>1166</v>
      </c>
      <c r="F81" s="193" t="s">
        <v>971</v>
      </c>
      <c r="G81" s="193" t="s">
        <v>971</v>
      </c>
      <c r="H81" s="199" t="s">
        <v>3123</v>
      </c>
      <c r="I81" s="193" t="s">
        <v>1508</v>
      </c>
      <c r="J81" s="193" t="s">
        <v>3165</v>
      </c>
      <c r="K81" s="193" t="s">
        <v>386</v>
      </c>
      <c r="L81" s="193" t="s">
        <v>387</v>
      </c>
      <c r="M81" s="193" t="s">
        <v>378</v>
      </c>
      <c r="N81" s="193" t="s">
        <v>3028</v>
      </c>
      <c r="O81" s="193" t="s">
        <v>229</v>
      </c>
      <c r="P81" s="193" t="s">
        <v>228</v>
      </c>
      <c r="Q81" s="193" t="s">
        <v>27</v>
      </c>
      <c r="R81" s="193" t="s">
        <v>27</v>
      </c>
      <c r="S81" s="193" t="s">
        <v>214</v>
      </c>
      <c r="T81" s="193" t="s">
        <v>3029</v>
      </c>
      <c r="U81" s="193" t="s">
        <v>3030</v>
      </c>
      <c r="V81" s="193">
        <v>0</v>
      </c>
      <c r="W81" s="193">
        <v>0</v>
      </c>
      <c r="X81" s="193">
        <v>0</v>
      </c>
      <c r="Y81" s="194">
        <v>18717</v>
      </c>
      <c r="Z81" s="193" t="s">
        <v>3031</v>
      </c>
      <c r="AA81" s="193" t="s">
        <v>27</v>
      </c>
      <c r="AB81" s="193">
        <v>18717</v>
      </c>
      <c r="AC81" s="193" t="s">
        <v>3125</v>
      </c>
      <c r="AD81" s="193" t="s">
        <v>3126</v>
      </c>
      <c r="AE81" s="193">
        <v>18717</v>
      </c>
      <c r="AF81" s="193" t="s">
        <v>3012</v>
      </c>
      <c r="AG81" s="193" t="s">
        <v>395</v>
      </c>
      <c r="AH81" s="193">
        <v>1701</v>
      </c>
      <c r="AI81" s="193">
        <v>17016</v>
      </c>
      <c r="AJ81" s="193" t="s">
        <v>214</v>
      </c>
      <c r="AL81" s="197" t="s">
        <v>3166</v>
      </c>
      <c r="AM81" s="193">
        <v>1</v>
      </c>
      <c r="AN81" s="193">
        <v>0</v>
      </c>
      <c r="AO81" s="193">
        <v>0</v>
      </c>
      <c r="AP81" s="566">
        <v>0</v>
      </c>
      <c r="AQ81" s="193" t="s">
        <v>214</v>
      </c>
      <c r="AS81" s="565" t="s">
        <v>3012</v>
      </c>
      <c r="AT81" s="565" t="s">
        <v>395</v>
      </c>
      <c r="AV81" s="194">
        <v>0</v>
      </c>
      <c r="AW81" s="194">
        <v>0</v>
      </c>
      <c r="AX81" s="194">
        <v>0</v>
      </c>
      <c r="AY81" s="551">
        <v>0</v>
      </c>
      <c r="AZ81" s="194">
        <v>0</v>
      </c>
      <c r="BA81" s="194">
        <v>18717</v>
      </c>
      <c r="BB81" s="551">
        <v>18717</v>
      </c>
      <c r="BC81" s="551">
        <v>18717</v>
      </c>
      <c r="BD81" s="551">
        <v>0</v>
      </c>
      <c r="BF81" s="551">
        <f t="shared" si="43"/>
        <v>0</v>
      </c>
      <c r="BG81" s="551">
        <f t="shared" si="44"/>
        <v>0</v>
      </c>
      <c r="BH81" s="551">
        <f t="shared" si="45"/>
        <v>0</v>
      </c>
      <c r="BI81" s="551">
        <f t="shared" si="46"/>
        <v>0</v>
      </c>
      <c r="BJ81" s="551">
        <f t="shared" si="47"/>
        <v>0</v>
      </c>
      <c r="BK81" s="551">
        <f t="shared" si="48"/>
        <v>17015</v>
      </c>
      <c r="BL81" s="551">
        <f t="shared" si="49"/>
        <v>17015</v>
      </c>
      <c r="BM81" s="551">
        <f t="shared" si="50"/>
        <v>17015</v>
      </c>
      <c r="BN81" s="194"/>
      <c r="BO81" s="193">
        <f t="shared" si="51"/>
        <v>0</v>
      </c>
      <c r="BP81" s="193">
        <f t="shared" si="52"/>
        <v>0</v>
      </c>
      <c r="BQ81" s="193">
        <f t="shared" si="53"/>
        <v>0</v>
      </c>
      <c r="BR81" s="193">
        <f t="shared" si="54"/>
        <v>0</v>
      </c>
      <c r="BS81" s="193">
        <f t="shared" si="55"/>
        <v>0</v>
      </c>
      <c r="BT81" s="193">
        <f t="shared" si="56"/>
        <v>0.45454545454413164</v>
      </c>
      <c r="BU81" s="193">
        <f t="shared" si="57"/>
        <v>0.45454545454413164</v>
      </c>
    </row>
    <row r="82" spans="1:73">
      <c r="A82" s="193" t="s">
        <v>378</v>
      </c>
      <c r="B82" s="193" t="s">
        <v>379</v>
      </c>
      <c r="C82" s="193" t="s">
        <v>214</v>
      </c>
      <c r="D82" s="193" t="s">
        <v>1165</v>
      </c>
      <c r="E82" s="193" t="s">
        <v>1166</v>
      </c>
      <c r="F82" s="193" t="s">
        <v>984</v>
      </c>
      <c r="G82" s="193" t="s">
        <v>984</v>
      </c>
      <c r="H82" s="199" t="s">
        <v>3123</v>
      </c>
      <c r="I82" s="193" t="s">
        <v>1508</v>
      </c>
      <c r="J82" s="193" t="s">
        <v>3178</v>
      </c>
      <c r="K82" s="193" t="s">
        <v>386</v>
      </c>
      <c r="L82" s="193" t="s">
        <v>387</v>
      </c>
      <c r="M82" s="193" t="s">
        <v>378</v>
      </c>
      <c r="N82" s="193" t="s">
        <v>3028</v>
      </c>
      <c r="O82" s="193" t="s">
        <v>229</v>
      </c>
      <c r="P82" s="193" t="s">
        <v>228</v>
      </c>
      <c r="Q82" s="193" t="s">
        <v>27</v>
      </c>
      <c r="R82" s="193" t="s">
        <v>27</v>
      </c>
      <c r="S82" s="193" t="s">
        <v>214</v>
      </c>
      <c r="T82" s="193" t="s">
        <v>3029</v>
      </c>
      <c r="U82" s="193" t="s">
        <v>3030</v>
      </c>
      <c r="V82" s="193">
        <v>0</v>
      </c>
      <c r="W82" s="193">
        <v>0</v>
      </c>
      <c r="X82" s="193">
        <v>0</v>
      </c>
      <c r="Y82" s="194">
        <v>17704</v>
      </c>
      <c r="Z82" s="193" t="s">
        <v>3031</v>
      </c>
      <c r="AA82" s="193" t="s">
        <v>27</v>
      </c>
      <c r="AB82" s="193">
        <v>17704</v>
      </c>
      <c r="AC82" s="193" t="s">
        <v>3125</v>
      </c>
      <c r="AD82" s="193" t="s">
        <v>3126</v>
      </c>
      <c r="AE82" s="193">
        <v>17704</v>
      </c>
      <c r="AF82" s="193" t="s">
        <v>3012</v>
      </c>
      <c r="AG82" s="193" t="s">
        <v>395</v>
      </c>
      <c r="AH82" s="193">
        <v>1608</v>
      </c>
      <c r="AI82" s="193">
        <v>16096</v>
      </c>
      <c r="AJ82" s="193" t="s">
        <v>214</v>
      </c>
      <c r="AL82" s="197" t="s">
        <v>3179</v>
      </c>
      <c r="AM82" s="193">
        <v>1</v>
      </c>
      <c r="AN82" s="193">
        <v>0</v>
      </c>
      <c r="AO82" s="193">
        <v>0</v>
      </c>
      <c r="AP82" s="566">
        <v>0</v>
      </c>
      <c r="AQ82" s="193" t="s">
        <v>214</v>
      </c>
      <c r="AS82" s="565" t="s">
        <v>3012</v>
      </c>
      <c r="AT82" s="565" t="s">
        <v>395</v>
      </c>
      <c r="AV82" s="194">
        <v>0</v>
      </c>
      <c r="AW82" s="194">
        <v>0</v>
      </c>
      <c r="AX82" s="194">
        <v>0</v>
      </c>
      <c r="AY82" s="551">
        <v>0</v>
      </c>
      <c r="AZ82" s="194">
        <v>0</v>
      </c>
      <c r="BA82" s="194">
        <v>17704</v>
      </c>
      <c r="BB82" s="551">
        <v>17704</v>
      </c>
      <c r="BC82" s="551">
        <v>17704</v>
      </c>
      <c r="BD82" s="551">
        <v>0</v>
      </c>
      <c r="BF82" s="551">
        <f t="shared" si="43"/>
        <v>0</v>
      </c>
      <c r="BG82" s="551">
        <f t="shared" si="44"/>
        <v>0</v>
      </c>
      <c r="BH82" s="551">
        <f t="shared" si="45"/>
        <v>0</v>
      </c>
      <c r="BI82" s="551">
        <f t="shared" si="46"/>
        <v>0</v>
      </c>
      <c r="BJ82" s="551">
        <f t="shared" si="47"/>
        <v>0</v>
      </c>
      <c r="BK82" s="551">
        <f t="shared" si="48"/>
        <v>16095</v>
      </c>
      <c r="BL82" s="551">
        <f t="shared" si="49"/>
        <v>16095</v>
      </c>
      <c r="BM82" s="551">
        <f t="shared" si="50"/>
        <v>16095</v>
      </c>
      <c r="BN82" s="194"/>
      <c r="BO82" s="193">
        <f t="shared" si="51"/>
        <v>0</v>
      </c>
      <c r="BP82" s="193">
        <f t="shared" si="52"/>
        <v>0</v>
      </c>
      <c r="BQ82" s="193">
        <f t="shared" si="53"/>
        <v>0</v>
      </c>
      <c r="BR82" s="193">
        <f t="shared" si="54"/>
        <v>0</v>
      </c>
      <c r="BS82" s="193">
        <f t="shared" si="55"/>
        <v>0</v>
      </c>
      <c r="BT82" s="193">
        <f t="shared" si="56"/>
        <v>-0.45454545454595063</v>
      </c>
      <c r="BU82" s="193">
        <f t="shared" si="57"/>
        <v>-0.45454545454595063</v>
      </c>
    </row>
    <row r="83" spans="1:73">
      <c r="A83" s="193" t="s">
        <v>378</v>
      </c>
      <c r="B83" s="193" t="s">
        <v>379</v>
      </c>
      <c r="C83" s="193" t="s">
        <v>214</v>
      </c>
      <c r="D83" s="193" t="s">
        <v>1165</v>
      </c>
      <c r="E83" s="193" t="s">
        <v>1166</v>
      </c>
      <c r="F83" s="193" t="s">
        <v>2776</v>
      </c>
      <c r="G83" s="193" t="s">
        <v>2776</v>
      </c>
      <c r="H83" s="199" t="s">
        <v>3123</v>
      </c>
      <c r="I83" s="193" t="s">
        <v>1508</v>
      </c>
      <c r="J83" s="193" t="s">
        <v>3167</v>
      </c>
      <c r="K83" s="193" t="s">
        <v>386</v>
      </c>
      <c r="L83" s="193" t="s">
        <v>387</v>
      </c>
      <c r="M83" s="193" t="s">
        <v>378</v>
      </c>
      <c r="N83" s="193" t="s">
        <v>3028</v>
      </c>
      <c r="O83" s="193" t="s">
        <v>229</v>
      </c>
      <c r="P83" s="193" t="s">
        <v>228</v>
      </c>
      <c r="Q83" s="193" t="s">
        <v>27</v>
      </c>
      <c r="R83" s="193" t="s">
        <v>27</v>
      </c>
      <c r="S83" s="193" t="s">
        <v>214</v>
      </c>
      <c r="T83" s="193" t="s">
        <v>3029</v>
      </c>
      <c r="U83" s="193" t="s">
        <v>3030</v>
      </c>
      <c r="V83" s="193">
        <v>0</v>
      </c>
      <c r="W83" s="193">
        <v>0</v>
      </c>
      <c r="X83" s="193">
        <v>0</v>
      </c>
      <c r="Y83" s="194">
        <v>46382</v>
      </c>
      <c r="Z83" s="193" t="s">
        <v>3031</v>
      </c>
      <c r="AA83" s="193" t="s">
        <v>27</v>
      </c>
      <c r="AB83" s="193">
        <v>46382</v>
      </c>
      <c r="AC83" s="193" t="s">
        <v>3125</v>
      </c>
      <c r="AD83" s="193" t="s">
        <v>3126</v>
      </c>
      <c r="AE83" s="193">
        <v>46382</v>
      </c>
      <c r="AF83" s="193" t="s">
        <v>3012</v>
      </c>
      <c r="AG83" s="193" t="s">
        <v>395</v>
      </c>
      <c r="AH83" s="193">
        <v>4217</v>
      </c>
      <c r="AI83" s="193">
        <v>42165</v>
      </c>
      <c r="AJ83" s="193" t="s">
        <v>214</v>
      </c>
      <c r="AL83" s="197" t="s">
        <v>3168</v>
      </c>
      <c r="AM83" s="193">
        <v>1</v>
      </c>
      <c r="AN83" s="193">
        <v>0</v>
      </c>
      <c r="AO83" s="193">
        <v>0</v>
      </c>
      <c r="AP83" s="566">
        <v>0</v>
      </c>
      <c r="AQ83" s="193" t="s">
        <v>214</v>
      </c>
      <c r="AS83" s="565" t="s">
        <v>3012</v>
      </c>
      <c r="AT83" s="565" t="s">
        <v>395</v>
      </c>
      <c r="AV83" s="194">
        <v>0</v>
      </c>
      <c r="AW83" s="194">
        <v>0</v>
      </c>
      <c r="AX83" s="194">
        <v>0</v>
      </c>
      <c r="AY83" s="551">
        <v>0</v>
      </c>
      <c r="AZ83" s="194">
        <v>0</v>
      </c>
      <c r="BA83" s="194">
        <v>46382</v>
      </c>
      <c r="BB83" s="551">
        <v>46382</v>
      </c>
      <c r="BC83" s="551">
        <v>46382</v>
      </c>
      <c r="BD83" s="551">
        <v>0</v>
      </c>
      <c r="BF83" s="551">
        <f t="shared" si="43"/>
        <v>0</v>
      </c>
      <c r="BG83" s="551">
        <f t="shared" si="44"/>
        <v>0</v>
      </c>
      <c r="BH83" s="551">
        <f t="shared" si="45"/>
        <v>0</v>
      </c>
      <c r="BI83" s="551">
        <f t="shared" si="46"/>
        <v>0</v>
      </c>
      <c r="BJ83" s="551">
        <f t="shared" si="47"/>
        <v>0</v>
      </c>
      <c r="BK83" s="573">
        <f>+IFERROR(ROUND(BA83*100/(100+$AT83),0),BA83)+1</f>
        <v>42166</v>
      </c>
      <c r="BL83" s="551">
        <f t="shared" si="49"/>
        <v>42166</v>
      </c>
      <c r="BM83" s="551">
        <f t="shared" si="50"/>
        <v>42166</v>
      </c>
      <c r="BN83" s="194"/>
      <c r="BO83" s="193">
        <f t="shared" si="51"/>
        <v>0</v>
      </c>
      <c r="BP83" s="193">
        <f t="shared" si="52"/>
        <v>0</v>
      </c>
      <c r="BQ83" s="193">
        <f t="shared" si="53"/>
        <v>0</v>
      </c>
      <c r="BR83" s="193">
        <f t="shared" si="54"/>
        <v>0</v>
      </c>
      <c r="BS83" s="193">
        <f t="shared" si="55"/>
        <v>0</v>
      </c>
      <c r="BT83" s="193">
        <f t="shared" si="56"/>
        <v>-0.54545454545586836</v>
      </c>
      <c r="BU83" s="193">
        <f t="shared" si="57"/>
        <v>-0.54545454545586836</v>
      </c>
    </row>
    <row r="84" spans="1:73">
      <c r="A84" s="193" t="s">
        <v>378</v>
      </c>
      <c r="B84" s="193" t="s">
        <v>379</v>
      </c>
      <c r="C84" s="193" t="s">
        <v>214</v>
      </c>
      <c r="D84" s="193" t="s">
        <v>1165</v>
      </c>
      <c r="E84" s="193" t="s">
        <v>1166</v>
      </c>
      <c r="F84" s="193" t="s">
        <v>2776</v>
      </c>
      <c r="G84" s="193" t="s">
        <v>2776</v>
      </c>
      <c r="H84" s="199" t="s">
        <v>3123</v>
      </c>
      <c r="I84" s="193" t="s">
        <v>1508</v>
      </c>
      <c r="J84" s="193" t="s">
        <v>3169</v>
      </c>
      <c r="K84" s="193" t="s">
        <v>386</v>
      </c>
      <c r="L84" s="193" t="s">
        <v>387</v>
      </c>
      <c r="M84" s="193" t="s">
        <v>378</v>
      </c>
      <c r="N84" s="193" t="s">
        <v>3028</v>
      </c>
      <c r="O84" s="193" t="s">
        <v>229</v>
      </c>
      <c r="P84" s="193" t="s">
        <v>228</v>
      </c>
      <c r="Q84" s="193" t="s">
        <v>27</v>
      </c>
      <c r="R84" s="193" t="s">
        <v>27</v>
      </c>
      <c r="S84" s="193" t="s">
        <v>214</v>
      </c>
      <c r="T84" s="193" t="s">
        <v>3029</v>
      </c>
      <c r="U84" s="193" t="s">
        <v>3030</v>
      </c>
      <c r="V84" s="193">
        <v>0</v>
      </c>
      <c r="W84" s="193">
        <v>0</v>
      </c>
      <c r="X84" s="193">
        <v>0</v>
      </c>
      <c r="Y84" s="194">
        <v>146344</v>
      </c>
      <c r="Z84" s="193" t="s">
        <v>3031</v>
      </c>
      <c r="AA84" s="193" t="s">
        <v>27</v>
      </c>
      <c r="AB84" s="193">
        <v>146344</v>
      </c>
      <c r="AC84" s="193" t="s">
        <v>3125</v>
      </c>
      <c r="AD84" s="193" t="s">
        <v>3126</v>
      </c>
      <c r="AE84" s="193">
        <v>146344</v>
      </c>
      <c r="AF84" s="193" t="s">
        <v>3012</v>
      </c>
      <c r="AG84" s="193" t="s">
        <v>395</v>
      </c>
      <c r="AH84" s="193">
        <v>13300</v>
      </c>
      <c r="AI84" s="193">
        <v>133044</v>
      </c>
      <c r="AJ84" s="193" t="s">
        <v>214</v>
      </c>
      <c r="AL84" s="197" t="s">
        <v>3170</v>
      </c>
      <c r="AM84" s="193">
        <v>1</v>
      </c>
      <c r="AN84" s="193">
        <v>0</v>
      </c>
      <c r="AO84" s="193">
        <v>0</v>
      </c>
      <c r="AP84" s="566">
        <v>0</v>
      </c>
      <c r="AQ84" s="193" t="s">
        <v>214</v>
      </c>
      <c r="AS84" s="565" t="s">
        <v>3012</v>
      </c>
      <c r="AT84" s="565" t="s">
        <v>395</v>
      </c>
      <c r="AV84" s="194">
        <v>0</v>
      </c>
      <c r="AW84" s="194">
        <v>0</v>
      </c>
      <c r="AX84" s="194">
        <v>0</v>
      </c>
      <c r="AY84" s="551">
        <v>0</v>
      </c>
      <c r="AZ84" s="194">
        <v>0</v>
      </c>
      <c r="BA84" s="194">
        <v>146344</v>
      </c>
      <c r="BB84" s="551">
        <v>146344</v>
      </c>
      <c r="BC84" s="551">
        <v>146344</v>
      </c>
      <c r="BD84" s="551">
        <v>0</v>
      </c>
      <c r="BF84" s="551">
        <f t="shared" si="43"/>
        <v>0</v>
      </c>
      <c r="BG84" s="551">
        <f t="shared" si="44"/>
        <v>0</v>
      </c>
      <c r="BH84" s="551">
        <f t="shared" si="45"/>
        <v>0</v>
      </c>
      <c r="BI84" s="551">
        <f t="shared" si="46"/>
        <v>0</v>
      </c>
      <c r="BJ84" s="551">
        <f t="shared" si="47"/>
        <v>0</v>
      </c>
      <c r="BK84" s="551">
        <f t="shared" si="48"/>
        <v>133040</v>
      </c>
      <c r="BL84" s="551">
        <f t="shared" si="49"/>
        <v>133040</v>
      </c>
      <c r="BM84" s="551">
        <f t="shared" si="50"/>
        <v>133040</v>
      </c>
      <c r="BN84" s="194"/>
      <c r="BO84" s="193">
        <f t="shared" si="51"/>
        <v>0</v>
      </c>
      <c r="BP84" s="193">
        <f t="shared" si="52"/>
        <v>0</v>
      </c>
      <c r="BQ84" s="193">
        <f t="shared" si="53"/>
        <v>0</v>
      </c>
      <c r="BR84" s="193">
        <f t="shared" si="54"/>
        <v>0</v>
      </c>
      <c r="BS84" s="193">
        <f t="shared" si="55"/>
        <v>0</v>
      </c>
      <c r="BT84" s="193">
        <f t="shared" si="56"/>
        <v>0</v>
      </c>
      <c r="BU84" s="193">
        <f t="shared" si="57"/>
        <v>0</v>
      </c>
    </row>
    <row r="85" spans="1:73">
      <c r="A85" s="193" t="s">
        <v>378</v>
      </c>
      <c r="B85" s="193" t="s">
        <v>379</v>
      </c>
      <c r="C85" s="193" t="s">
        <v>214</v>
      </c>
      <c r="D85" s="193" t="s">
        <v>1165</v>
      </c>
      <c r="E85" s="193" t="s">
        <v>1166</v>
      </c>
      <c r="F85" s="193" t="s">
        <v>956</v>
      </c>
      <c r="G85" s="193" t="s">
        <v>956</v>
      </c>
      <c r="H85" s="199" t="s">
        <v>3123</v>
      </c>
      <c r="I85" s="193" t="s">
        <v>1508</v>
      </c>
      <c r="J85" s="193" t="s">
        <v>3171</v>
      </c>
      <c r="K85" s="193" t="s">
        <v>386</v>
      </c>
      <c r="L85" s="193" t="s">
        <v>387</v>
      </c>
      <c r="M85" s="193" t="s">
        <v>378</v>
      </c>
      <c r="N85" s="193" t="s">
        <v>3028</v>
      </c>
      <c r="O85" s="193" t="s">
        <v>229</v>
      </c>
      <c r="P85" s="193" t="s">
        <v>228</v>
      </c>
      <c r="Q85" s="193" t="s">
        <v>27</v>
      </c>
      <c r="R85" s="193" t="s">
        <v>27</v>
      </c>
      <c r="S85" s="193" t="s">
        <v>214</v>
      </c>
      <c r="T85" s="193" t="s">
        <v>3029</v>
      </c>
      <c r="U85" s="193" t="s">
        <v>3030</v>
      </c>
      <c r="V85" s="193">
        <v>0</v>
      </c>
      <c r="W85" s="193">
        <v>0</v>
      </c>
      <c r="X85" s="193">
        <v>0</v>
      </c>
      <c r="Y85" s="194">
        <v>44284</v>
      </c>
      <c r="Z85" s="193" t="s">
        <v>3031</v>
      </c>
      <c r="AA85" s="193" t="s">
        <v>27</v>
      </c>
      <c r="AB85" s="193">
        <v>44284</v>
      </c>
      <c r="AC85" s="193" t="s">
        <v>3125</v>
      </c>
      <c r="AD85" s="193" t="s">
        <v>3126</v>
      </c>
      <c r="AE85" s="193">
        <v>44284</v>
      </c>
      <c r="AF85" s="193" t="s">
        <v>3012</v>
      </c>
      <c r="AG85" s="193" t="s">
        <v>395</v>
      </c>
      <c r="AH85" s="193">
        <v>4026</v>
      </c>
      <c r="AI85" s="193">
        <v>40258</v>
      </c>
      <c r="AJ85" s="193" t="s">
        <v>214</v>
      </c>
      <c r="AL85" s="197" t="s">
        <v>3172</v>
      </c>
      <c r="AM85" s="193">
        <v>1</v>
      </c>
      <c r="AN85" s="193">
        <v>0</v>
      </c>
      <c r="AO85" s="193">
        <v>0</v>
      </c>
      <c r="AP85" s="566">
        <v>0</v>
      </c>
      <c r="AQ85" s="193" t="s">
        <v>214</v>
      </c>
      <c r="AS85" s="565" t="s">
        <v>3012</v>
      </c>
      <c r="AT85" s="565" t="s">
        <v>395</v>
      </c>
      <c r="AV85" s="194">
        <v>0</v>
      </c>
      <c r="AW85" s="194">
        <v>0</v>
      </c>
      <c r="AX85" s="194">
        <v>0</v>
      </c>
      <c r="AY85" s="551">
        <v>0</v>
      </c>
      <c r="AZ85" s="194">
        <v>0</v>
      </c>
      <c r="BA85" s="194">
        <v>44284</v>
      </c>
      <c r="BB85" s="551">
        <v>44284</v>
      </c>
      <c r="BC85" s="551">
        <v>44284</v>
      </c>
      <c r="BD85" s="551">
        <v>0</v>
      </c>
      <c r="BF85" s="551">
        <f t="shared" si="43"/>
        <v>0</v>
      </c>
      <c r="BG85" s="551">
        <f t="shared" si="44"/>
        <v>0</v>
      </c>
      <c r="BH85" s="551">
        <f t="shared" si="45"/>
        <v>0</v>
      </c>
      <c r="BI85" s="551">
        <f t="shared" si="46"/>
        <v>0</v>
      </c>
      <c r="BJ85" s="551">
        <f t="shared" si="47"/>
        <v>0</v>
      </c>
      <c r="BK85" s="551">
        <f t="shared" si="48"/>
        <v>40258</v>
      </c>
      <c r="BL85" s="551">
        <f t="shared" si="49"/>
        <v>40258</v>
      </c>
      <c r="BM85" s="551">
        <f t="shared" si="50"/>
        <v>40258</v>
      </c>
      <c r="BN85" s="194"/>
      <c r="BO85" s="193">
        <f t="shared" si="51"/>
        <v>0</v>
      </c>
      <c r="BP85" s="193">
        <f t="shared" si="52"/>
        <v>0</v>
      </c>
      <c r="BQ85" s="193">
        <f t="shared" si="53"/>
        <v>0</v>
      </c>
      <c r="BR85" s="193">
        <f t="shared" si="54"/>
        <v>0</v>
      </c>
      <c r="BS85" s="193">
        <f t="shared" si="55"/>
        <v>0</v>
      </c>
      <c r="BT85" s="193">
        <f t="shared" si="56"/>
        <v>0.18181818181619747</v>
      </c>
      <c r="BU85" s="193">
        <f t="shared" si="57"/>
        <v>0.18181818181619747</v>
      </c>
    </row>
    <row r="86" spans="1:73">
      <c r="A86" s="193" t="s">
        <v>378</v>
      </c>
      <c r="B86" s="193" t="s">
        <v>379</v>
      </c>
      <c r="C86" s="193" t="s">
        <v>214</v>
      </c>
      <c r="D86" s="193" t="s">
        <v>1165</v>
      </c>
      <c r="E86" s="193" t="s">
        <v>1166</v>
      </c>
      <c r="F86" s="193" t="s">
        <v>3173</v>
      </c>
      <c r="G86" s="193" t="s">
        <v>3173</v>
      </c>
      <c r="H86" s="199" t="s">
        <v>3123</v>
      </c>
      <c r="I86" s="193" t="s">
        <v>1508</v>
      </c>
      <c r="J86" s="193" t="s">
        <v>3174</v>
      </c>
      <c r="K86" s="193" t="s">
        <v>386</v>
      </c>
      <c r="L86" s="193" t="s">
        <v>387</v>
      </c>
      <c r="M86" s="193" t="s">
        <v>378</v>
      </c>
      <c r="N86" s="193" t="s">
        <v>3028</v>
      </c>
      <c r="O86" s="193" t="s">
        <v>229</v>
      </c>
      <c r="P86" s="193" t="s">
        <v>228</v>
      </c>
      <c r="Q86" s="193" t="s">
        <v>27</v>
      </c>
      <c r="R86" s="193" t="s">
        <v>27</v>
      </c>
      <c r="S86" s="193" t="s">
        <v>214</v>
      </c>
      <c r="T86" s="193" t="s">
        <v>3029</v>
      </c>
      <c r="U86" s="193" t="s">
        <v>3030</v>
      </c>
      <c r="V86" s="193">
        <v>0</v>
      </c>
      <c r="W86" s="193">
        <v>0</v>
      </c>
      <c r="X86" s="193">
        <v>0</v>
      </c>
      <c r="Y86" s="194">
        <v>10000</v>
      </c>
      <c r="Z86" s="193" t="s">
        <v>3031</v>
      </c>
      <c r="AA86" s="193" t="s">
        <v>27</v>
      </c>
      <c r="AB86" s="193">
        <v>10000</v>
      </c>
      <c r="AC86" s="193" t="s">
        <v>3125</v>
      </c>
      <c r="AD86" s="193" t="s">
        <v>3126</v>
      </c>
      <c r="AE86" s="193">
        <v>10000</v>
      </c>
      <c r="AF86" s="193" t="s">
        <v>3012</v>
      </c>
      <c r="AG86" s="193" t="s">
        <v>395</v>
      </c>
      <c r="AH86" s="193">
        <v>909</v>
      </c>
      <c r="AI86" s="193">
        <v>9091</v>
      </c>
      <c r="AJ86" s="193" t="s">
        <v>214</v>
      </c>
      <c r="AL86" s="197" t="s">
        <v>3175</v>
      </c>
      <c r="AM86" s="193">
        <v>1</v>
      </c>
      <c r="AN86" s="193">
        <v>0</v>
      </c>
      <c r="AO86" s="193">
        <v>0</v>
      </c>
      <c r="AP86" s="566">
        <v>0</v>
      </c>
      <c r="AQ86" s="193" t="s">
        <v>214</v>
      </c>
      <c r="AS86" s="565" t="s">
        <v>3012</v>
      </c>
      <c r="AT86" s="565" t="s">
        <v>395</v>
      </c>
      <c r="AV86" s="194">
        <v>0</v>
      </c>
      <c r="AW86" s="194">
        <v>0</v>
      </c>
      <c r="AX86" s="194">
        <v>0</v>
      </c>
      <c r="AY86" s="551">
        <v>0</v>
      </c>
      <c r="AZ86" s="194">
        <v>0</v>
      </c>
      <c r="BA86" s="194">
        <v>10000</v>
      </c>
      <c r="BB86" s="551">
        <v>10000</v>
      </c>
      <c r="BC86" s="551">
        <v>10000</v>
      </c>
      <c r="BD86" s="551">
        <v>0</v>
      </c>
      <c r="BF86" s="551">
        <f t="shared" si="43"/>
        <v>0</v>
      </c>
      <c r="BG86" s="551">
        <f t="shared" si="44"/>
        <v>0</v>
      </c>
      <c r="BH86" s="551">
        <f t="shared" si="45"/>
        <v>0</v>
      </c>
      <c r="BI86" s="551">
        <f t="shared" si="46"/>
        <v>0</v>
      </c>
      <c r="BJ86" s="551">
        <f t="shared" si="47"/>
        <v>0</v>
      </c>
      <c r="BK86" s="551">
        <f t="shared" si="48"/>
        <v>9091</v>
      </c>
      <c r="BL86" s="551">
        <f t="shared" si="49"/>
        <v>9091</v>
      </c>
      <c r="BM86" s="551">
        <f t="shared" si="50"/>
        <v>9091</v>
      </c>
      <c r="BN86" s="194"/>
      <c r="BO86" s="193">
        <f t="shared" si="51"/>
        <v>0</v>
      </c>
      <c r="BP86" s="193">
        <f t="shared" si="52"/>
        <v>0</v>
      </c>
      <c r="BQ86" s="193">
        <f t="shared" si="53"/>
        <v>0</v>
      </c>
      <c r="BR86" s="193">
        <f t="shared" si="54"/>
        <v>0</v>
      </c>
      <c r="BS86" s="193">
        <f t="shared" si="55"/>
        <v>0</v>
      </c>
      <c r="BT86" s="193">
        <f t="shared" si="56"/>
        <v>-9.0909090909917722E-2</v>
      </c>
      <c r="BU86" s="193">
        <f t="shared" si="57"/>
        <v>-9.0909090909917722E-2</v>
      </c>
    </row>
    <row r="87" spans="1:73">
      <c r="A87" s="193" t="s">
        <v>378</v>
      </c>
      <c r="B87" s="193" t="s">
        <v>379</v>
      </c>
      <c r="C87" s="193" t="s">
        <v>214</v>
      </c>
      <c r="D87" s="193" t="s">
        <v>1165</v>
      </c>
      <c r="E87" s="193" t="s">
        <v>1166</v>
      </c>
      <c r="F87" s="193" t="s">
        <v>642</v>
      </c>
      <c r="G87" s="193" t="s">
        <v>642</v>
      </c>
      <c r="H87" s="199" t="s">
        <v>3123</v>
      </c>
      <c r="I87" s="193" t="s">
        <v>1508</v>
      </c>
      <c r="J87" s="193" t="s">
        <v>3176</v>
      </c>
      <c r="K87" s="193" t="s">
        <v>386</v>
      </c>
      <c r="L87" s="193" t="s">
        <v>387</v>
      </c>
      <c r="M87" s="193" t="s">
        <v>378</v>
      </c>
      <c r="N87" s="193" t="s">
        <v>3028</v>
      </c>
      <c r="O87" s="193" t="s">
        <v>229</v>
      </c>
      <c r="P87" s="193" t="s">
        <v>228</v>
      </c>
      <c r="Q87" s="193" t="s">
        <v>27</v>
      </c>
      <c r="R87" s="193" t="s">
        <v>27</v>
      </c>
      <c r="S87" s="193" t="s">
        <v>214</v>
      </c>
      <c r="T87" s="193" t="s">
        <v>3029</v>
      </c>
      <c r="U87" s="193" t="s">
        <v>3030</v>
      </c>
      <c r="V87" s="193">
        <v>0</v>
      </c>
      <c r="W87" s="193">
        <v>0</v>
      </c>
      <c r="X87" s="193">
        <v>0</v>
      </c>
      <c r="Y87" s="194">
        <v>9421</v>
      </c>
      <c r="Z87" s="193" t="s">
        <v>3031</v>
      </c>
      <c r="AA87" s="193" t="s">
        <v>27</v>
      </c>
      <c r="AB87" s="193">
        <v>9421</v>
      </c>
      <c r="AC87" s="193" t="s">
        <v>3125</v>
      </c>
      <c r="AD87" s="193" t="s">
        <v>3126</v>
      </c>
      <c r="AE87" s="193">
        <v>9421</v>
      </c>
      <c r="AF87" s="193" t="s">
        <v>3012</v>
      </c>
      <c r="AG87" s="193" t="s">
        <v>395</v>
      </c>
      <c r="AH87" s="193">
        <v>857</v>
      </c>
      <c r="AI87" s="193">
        <v>8564</v>
      </c>
      <c r="AJ87" s="193" t="s">
        <v>214</v>
      </c>
      <c r="AL87" s="197" t="s">
        <v>3177</v>
      </c>
      <c r="AM87" s="193">
        <v>1</v>
      </c>
      <c r="AN87" s="193">
        <v>0</v>
      </c>
      <c r="AO87" s="193">
        <v>0</v>
      </c>
      <c r="AP87" s="566">
        <v>0</v>
      </c>
      <c r="AQ87" s="193" t="s">
        <v>214</v>
      </c>
      <c r="AS87" s="565" t="s">
        <v>3012</v>
      </c>
      <c r="AT87" s="565" t="s">
        <v>395</v>
      </c>
      <c r="AV87" s="194">
        <v>0</v>
      </c>
      <c r="AW87" s="194">
        <v>0</v>
      </c>
      <c r="AX87" s="194">
        <v>0</v>
      </c>
      <c r="AY87" s="551">
        <v>0</v>
      </c>
      <c r="AZ87" s="194">
        <v>0</v>
      </c>
      <c r="BA87" s="194">
        <v>9421</v>
      </c>
      <c r="BB87" s="551">
        <v>9421</v>
      </c>
      <c r="BC87" s="551">
        <v>9421</v>
      </c>
      <c r="BD87" s="551">
        <v>0</v>
      </c>
      <c r="BF87" s="551">
        <f t="shared" si="43"/>
        <v>0</v>
      </c>
      <c r="BG87" s="551">
        <f t="shared" si="44"/>
        <v>0</v>
      </c>
      <c r="BH87" s="551">
        <f t="shared" si="45"/>
        <v>0</v>
      </c>
      <c r="BI87" s="551">
        <f t="shared" si="46"/>
        <v>0</v>
      </c>
      <c r="BJ87" s="551">
        <f t="shared" si="47"/>
        <v>0</v>
      </c>
      <c r="BK87" s="551">
        <f t="shared" si="48"/>
        <v>8565</v>
      </c>
      <c r="BL87" s="551">
        <f t="shared" si="49"/>
        <v>8565</v>
      </c>
      <c r="BM87" s="551">
        <f t="shared" si="50"/>
        <v>8565</v>
      </c>
      <c r="BN87" s="194"/>
      <c r="BO87" s="193">
        <f t="shared" si="51"/>
        <v>0</v>
      </c>
      <c r="BP87" s="193">
        <f t="shared" si="52"/>
        <v>0</v>
      </c>
      <c r="BQ87" s="193">
        <f t="shared" si="53"/>
        <v>0</v>
      </c>
      <c r="BR87" s="193">
        <f t="shared" si="54"/>
        <v>0</v>
      </c>
      <c r="BS87" s="193">
        <f t="shared" si="55"/>
        <v>0</v>
      </c>
      <c r="BT87" s="193">
        <f t="shared" si="56"/>
        <v>-0.45454545454595063</v>
      </c>
      <c r="BU87" s="193">
        <f t="shared" si="57"/>
        <v>-0.45454545454595063</v>
      </c>
    </row>
    <row r="88" spans="1:73">
      <c r="A88" s="193" t="s">
        <v>378</v>
      </c>
      <c r="B88" s="193" t="s">
        <v>379</v>
      </c>
      <c r="C88" s="193" t="s">
        <v>214</v>
      </c>
      <c r="D88" s="193" t="s">
        <v>1165</v>
      </c>
      <c r="E88" s="193" t="s">
        <v>1166</v>
      </c>
      <c r="F88" s="193" t="s">
        <v>963</v>
      </c>
      <c r="G88" s="193" t="s">
        <v>963</v>
      </c>
      <c r="H88" s="199" t="s">
        <v>3123</v>
      </c>
      <c r="I88" s="193" t="s">
        <v>1508</v>
      </c>
      <c r="J88" s="193" t="s">
        <v>3180</v>
      </c>
      <c r="K88" s="193" t="s">
        <v>386</v>
      </c>
      <c r="L88" s="193" t="s">
        <v>387</v>
      </c>
      <c r="M88" s="193" t="s">
        <v>378</v>
      </c>
      <c r="N88" s="193" t="s">
        <v>3028</v>
      </c>
      <c r="O88" s="193" t="s">
        <v>229</v>
      </c>
      <c r="P88" s="193" t="s">
        <v>228</v>
      </c>
      <c r="Q88" s="193" t="s">
        <v>27</v>
      </c>
      <c r="R88" s="193" t="s">
        <v>27</v>
      </c>
      <c r="S88" s="193" t="s">
        <v>214</v>
      </c>
      <c r="T88" s="193" t="s">
        <v>3029</v>
      </c>
      <c r="U88" s="193" t="s">
        <v>3030</v>
      </c>
      <c r="V88" s="193">
        <v>0</v>
      </c>
      <c r="W88" s="193">
        <v>0</v>
      </c>
      <c r="X88" s="193">
        <v>0</v>
      </c>
      <c r="Y88" s="194">
        <v>1529</v>
      </c>
      <c r="Z88" s="193" t="s">
        <v>3031</v>
      </c>
      <c r="AA88" s="193" t="s">
        <v>27</v>
      </c>
      <c r="AB88" s="193">
        <v>1529</v>
      </c>
      <c r="AC88" s="193" t="s">
        <v>3125</v>
      </c>
      <c r="AD88" s="193" t="s">
        <v>3126</v>
      </c>
      <c r="AE88" s="193">
        <v>1529</v>
      </c>
      <c r="AF88" s="193" t="s">
        <v>2993</v>
      </c>
      <c r="AG88" s="193" t="s">
        <v>395</v>
      </c>
      <c r="AH88" s="193">
        <v>139</v>
      </c>
      <c r="AI88" s="193">
        <v>1390</v>
      </c>
      <c r="AJ88" s="193" t="s">
        <v>214</v>
      </c>
      <c r="AL88" s="197" t="s">
        <v>3181</v>
      </c>
      <c r="AM88" s="193">
        <v>2</v>
      </c>
      <c r="AN88" s="193">
        <v>18</v>
      </c>
      <c r="AO88" s="193">
        <v>10</v>
      </c>
      <c r="AP88" s="566">
        <v>0</v>
      </c>
      <c r="AQ88" s="193" t="s">
        <v>214</v>
      </c>
      <c r="AS88" s="565">
        <v>18</v>
      </c>
      <c r="AT88" s="565">
        <v>10</v>
      </c>
      <c r="AV88" s="194">
        <v>0</v>
      </c>
      <c r="AW88" s="194">
        <v>0</v>
      </c>
      <c r="AX88" s="194">
        <v>0</v>
      </c>
      <c r="AY88" s="551">
        <v>0</v>
      </c>
      <c r="AZ88" s="194">
        <v>0</v>
      </c>
      <c r="BA88" s="194">
        <v>1529</v>
      </c>
      <c r="BB88" s="551">
        <v>1529</v>
      </c>
      <c r="BC88" s="551">
        <v>1529</v>
      </c>
      <c r="BD88" s="551">
        <v>0</v>
      </c>
      <c r="BF88" s="551">
        <f t="shared" si="43"/>
        <v>0</v>
      </c>
      <c r="BG88" s="551">
        <f t="shared" si="44"/>
        <v>0</v>
      </c>
      <c r="BH88" s="551">
        <f t="shared" si="45"/>
        <v>0</v>
      </c>
      <c r="BI88" s="551">
        <f t="shared" si="46"/>
        <v>0</v>
      </c>
      <c r="BJ88" s="551">
        <f t="shared" si="47"/>
        <v>0</v>
      </c>
      <c r="BK88" s="551">
        <f t="shared" si="48"/>
        <v>1390</v>
      </c>
      <c r="BL88" s="551">
        <f t="shared" si="49"/>
        <v>1390</v>
      </c>
      <c r="BM88" s="551">
        <f t="shared" si="50"/>
        <v>1390</v>
      </c>
      <c r="BN88" s="194"/>
      <c r="BO88" s="193">
        <f t="shared" si="51"/>
        <v>0</v>
      </c>
      <c r="BP88" s="193">
        <f t="shared" si="52"/>
        <v>0</v>
      </c>
      <c r="BQ88" s="193">
        <f t="shared" si="53"/>
        <v>0</v>
      </c>
      <c r="BR88" s="193">
        <f t="shared" si="54"/>
        <v>0</v>
      </c>
      <c r="BS88" s="193">
        <f t="shared" si="55"/>
        <v>0</v>
      </c>
      <c r="BT88" s="193">
        <f t="shared" si="56"/>
        <v>0</v>
      </c>
      <c r="BU88" s="193">
        <f t="shared" si="57"/>
        <v>0</v>
      </c>
    </row>
    <row r="89" spans="1:73" hidden="1">
      <c r="A89" s="193" t="s">
        <v>378</v>
      </c>
      <c r="B89" s="193" t="s">
        <v>379</v>
      </c>
      <c r="C89" s="193" t="s">
        <v>214</v>
      </c>
      <c r="D89" s="193" t="s">
        <v>1441</v>
      </c>
      <c r="E89" s="193" t="s">
        <v>1442</v>
      </c>
      <c r="F89" s="193" t="s">
        <v>431</v>
      </c>
      <c r="G89" s="193" t="s">
        <v>431</v>
      </c>
      <c r="H89" s="193" t="s">
        <v>3182</v>
      </c>
      <c r="I89" s="193" t="s">
        <v>2986</v>
      </c>
      <c r="J89" s="193" t="s">
        <v>3183</v>
      </c>
      <c r="K89" s="193" t="s">
        <v>386</v>
      </c>
      <c r="L89" s="193" t="s">
        <v>387</v>
      </c>
      <c r="M89" s="193" t="s">
        <v>378</v>
      </c>
      <c r="N89" s="193" t="s">
        <v>3028</v>
      </c>
      <c r="O89" s="193" t="s">
        <v>229</v>
      </c>
      <c r="P89" s="193" t="s">
        <v>228</v>
      </c>
      <c r="Q89" s="193" t="s">
        <v>27</v>
      </c>
      <c r="R89" s="193" t="s">
        <v>27</v>
      </c>
      <c r="S89" s="193" t="s">
        <v>214</v>
      </c>
      <c r="T89" s="193" t="s">
        <v>3184</v>
      </c>
      <c r="U89" s="193" t="s">
        <v>3185</v>
      </c>
      <c r="V89" s="193">
        <v>0</v>
      </c>
      <c r="W89" s="193">
        <v>0</v>
      </c>
      <c r="X89" s="193">
        <v>0</v>
      </c>
      <c r="Y89" s="194">
        <v>590</v>
      </c>
      <c r="Z89" s="193" t="s">
        <v>3031</v>
      </c>
      <c r="AA89" s="193" t="s">
        <v>27</v>
      </c>
      <c r="AB89" s="193">
        <v>590</v>
      </c>
      <c r="AC89" s="193" t="s">
        <v>2858</v>
      </c>
      <c r="AD89" s="193" t="s">
        <v>2859</v>
      </c>
      <c r="AE89" s="193">
        <v>590</v>
      </c>
      <c r="AF89" s="193" t="s">
        <v>3012</v>
      </c>
      <c r="AG89" s="193" t="s">
        <v>395</v>
      </c>
      <c r="AH89" s="193">
        <v>53</v>
      </c>
      <c r="AI89" s="193">
        <v>537</v>
      </c>
      <c r="AJ89" s="193" t="s">
        <v>721</v>
      </c>
      <c r="AL89" s="197" t="s">
        <v>3186</v>
      </c>
      <c r="AM89" s="193">
        <v>1</v>
      </c>
      <c r="AN89" s="193">
        <v>0</v>
      </c>
      <c r="AO89" s="193">
        <v>0</v>
      </c>
      <c r="AP89" s="566">
        <v>0</v>
      </c>
      <c r="AQ89" s="193" t="s">
        <v>214</v>
      </c>
      <c r="AS89" s="565" t="s">
        <v>3012</v>
      </c>
      <c r="AT89" s="565" t="s">
        <v>395</v>
      </c>
      <c r="AV89" s="194">
        <v>295</v>
      </c>
      <c r="AW89" s="194">
        <v>0</v>
      </c>
      <c r="AX89" s="194">
        <v>0</v>
      </c>
      <c r="AY89" s="551">
        <v>295</v>
      </c>
      <c r="AZ89" s="194">
        <v>0</v>
      </c>
      <c r="BA89" s="194">
        <v>295</v>
      </c>
      <c r="BB89" s="551">
        <v>295</v>
      </c>
      <c r="BC89" s="551">
        <v>590</v>
      </c>
      <c r="BD89" s="551">
        <v>0</v>
      </c>
      <c r="BF89" s="551">
        <f t="shared" si="43"/>
        <v>268</v>
      </c>
      <c r="BG89" s="551">
        <f t="shared" si="44"/>
        <v>0</v>
      </c>
      <c r="BH89" s="551">
        <f t="shared" si="45"/>
        <v>0</v>
      </c>
      <c r="BI89" s="551">
        <f t="shared" si="46"/>
        <v>268</v>
      </c>
      <c r="BJ89" s="551">
        <f t="shared" si="47"/>
        <v>0</v>
      </c>
      <c r="BK89" s="551">
        <f t="shared" si="48"/>
        <v>268</v>
      </c>
      <c r="BL89" s="551">
        <f t="shared" si="49"/>
        <v>268</v>
      </c>
      <c r="BM89" s="551">
        <f t="shared" si="50"/>
        <v>536</v>
      </c>
      <c r="BN89" s="194"/>
      <c r="BO89" s="193">
        <f t="shared" si="51"/>
        <v>0.18181818181818699</v>
      </c>
      <c r="BP89" s="193">
        <f t="shared" si="52"/>
        <v>0</v>
      </c>
      <c r="BQ89" s="193">
        <f t="shared" si="53"/>
        <v>0</v>
      </c>
      <c r="BR89" s="193">
        <f t="shared" si="54"/>
        <v>0.18181818181818699</v>
      </c>
      <c r="BS89" s="193">
        <f t="shared" si="55"/>
        <v>0</v>
      </c>
      <c r="BT89" s="193">
        <f t="shared" si="56"/>
        <v>0.18181818181818699</v>
      </c>
      <c r="BU89" s="193">
        <f t="shared" si="57"/>
        <v>0.18181818181818699</v>
      </c>
    </row>
    <row r="90" spans="1:73" hidden="1">
      <c r="A90" s="193" t="s">
        <v>378</v>
      </c>
      <c r="B90" s="193" t="s">
        <v>379</v>
      </c>
      <c r="C90" s="193" t="s">
        <v>214</v>
      </c>
      <c r="D90" s="193" t="s">
        <v>1098</v>
      </c>
      <c r="E90" s="193" t="s">
        <v>1099</v>
      </c>
      <c r="F90" s="193" t="s">
        <v>2311</v>
      </c>
      <c r="G90" s="193" t="s">
        <v>2311</v>
      </c>
      <c r="H90" s="193" t="s">
        <v>3187</v>
      </c>
      <c r="I90" s="193" t="s">
        <v>1508</v>
      </c>
      <c r="J90" s="193" t="s">
        <v>3188</v>
      </c>
      <c r="K90" s="193" t="s">
        <v>386</v>
      </c>
      <c r="L90" s="193" t="s">
        <v>387</v>
      </c>
      <c r="M90" s="193" t="s">
        <v>378</v>
      </c>
      <c r="N90" s="193" t="s">
        <v>3028</v>
      </c>
      <c r="O90" s="193" t="s">
        <v>229</v>
      </c>
      <c r="P90" s="193" t="s">
        <v>228</v>
      </c>
      <c r="Q90" s="193" t="s">
        <v>27</v>
      </c>
      <c r="R90" s="193" t="s">
        <v>27</v>
      </c>
      <c r="S90" s="193" t="s">
        <v>214</v>
      </c>
      <c r="T90" s="193" t="s">
        <v>3189</v>
      </c>
      <c r="U90" s="193" t="s">
        <v>3190</v>
      </c>
      <c r="V90" s="193">
        <v>0</v>
      </c>
      <c r="W90" s="193">
        <v>18180</v>
      </c>
      <c r="X90" s="193">
        <v>18180</v>
      </c>
      <c r="Y90" s="194">
        <v>18180</v>
      </c>
      <c r="Z90" s="193" t="s">
        <v>3031</v>
      </c>
      <c r="AA90" s="193" t="s">
        <v>27</v>
      </c>
      <c r="AB90" s="193">
        <v>18180</v>
      </c>
      <c r="AC90" s="193" t="s">
        <v>3191</v>
      </c>
      <c r="AD90" s="193" t="s">
        <v>3192</v>
      </c>
      <c r="AE90" s="193">
        <v>18180</v>
      </c>
      <c r="AF90" s="193" t="s">
        <v>1486</v>
      </c>
      <c r="AG90" s="193" t="s">
        <v>519</v>
      </c>
      <c r="AH90" s="193">
        <v>0</v>
      </c>
      <c r="AI90" s="193">
        <v>18180</v>
      </c>
      <c r="AJ90" s="193" t="s">
        <v>214</v>
      </c>
      <c r="AL90" s="197" t="s">
        <v>3193</v>
      </c>
      <c r="AM90" s="193">
        <v>1</v>
      </c>
      <c r="AN90" s="193">
        <v>0</v>
      </c>
      <c r="AO90" s="193">
        <v>0</v>
      </c>
      <c r="AP90" s="566">
        <v>0</v>
      </c>
      <c r="AQ90" s="193" t="s">
        <v>214</v>
      </c>
      <c r="AS90" s="565" t="s">
        <v>1486</v>
      </c>
      <c r="AT90" s="565" t="s">
        <v>519</v>
      </c>
      <c r="AV90" s="194">
        <v>3454</v>
      </c>
      <c r="AW90" s="194">
        <v>0</v>
      </c>
      <c r="AX90" s="194">
        <v>0</v>
      </c>
      <c r="AY90" s="551">
        <v>3454</v>
      </c>
      <c r="AZ90" s="194">
        <v>0</v>
      </c>
      <c r="BA90" s="194">
        <v>14726</v>
      </c>
      <c r="BB90" s="551">
        <v>14726</v>
      </c>
      <c r="BC90" s="551">
        <v>18180</v>
      </c>
      <c r="BD90" s="551">
        <v>0</v>
      </c>
      <c r="BF90" s="551">
        <f t="shared" si="43"/>
        <v>3454</v>
      </c>
      <c r="BG90" s="551">
        <f t="shared" si="44"/>
        <v>0</v>
      </c>
      <c r="BH90" s="551">
        <f t="shared" si="45"/>
        <v>0</v>
      </c>
      <c r="BI90" s="551">
        <f t="shared" si="46"/>
        <v>3454</v>
      </c>
      <c r="BJ90" s="551">
        <f t="shared" si="47"/>
        <v>0</v>
      </c>
      <c r="BK90" s="551">
        <f t="shared" si="48"/>
        <v>14726</v>
      </c>
      <c r="BL90" s="551">
        <f t="shared" si="49"/>
        <v>14726</v>
      </c>
      <c r="BM90" s="551">
        <f t="shared" si="50"/>
        <v>18180</v>
      </c>
      <c r="BN90" s="194"/>
      <c r="BO90" s="193">
        <f t="shared" si="51"/>
        <v>0</v>
      </c>
      <c r="BP90" s="193">
        <f t="shared" si="52"/>
        <v>0</v>
      </c>
      <c r="BQ90" s="193">
        <f t="shared" si="53"/>
        <v>0</v>
      </c>
      <c r="BR90" s="193">
        <f t="shared" si="54"/>
        <v>0</v>
      </c>
      <c r="BS90" s="193">
        <f t="shared" si="55"/>
        <v>0</v>
      </c>
      <c r="BT90" s="193">
        <f t="shared" si="56"/>
        <v>0</v>
      </c>
      <c r="BU90" s="193">
        <f t="shared" si="57"/>
        <v>0</v>
      </c>
    </row>
    <row r="91" spans="1:73">
      <c r="A91" s="193" t="s">
        <v>378</v>
      </c>
      <c r="B91" s="193" t="s">
        <v>379</v>
      </c>
      <c r="C91" s="193" t="s">
        <v>214</v>
      </c>
      <c r="D91" s="193" t="s">
        <v>1165</v>
      </c>
      <c r="E91" s="193" t="s">
        <v>1166</v>
      </c>
      <c r="F91" s="193" t="s">
        <v>1487</v>
      </c>
      <c r="G91" s="193" t="s">
        <v>1487</v>
      </c>
      <c r="H91" s="199" t="s">
        <v>3194</v>
      </c>
      <c r="I91" s="193" t="s">
        <v>1508</v>
      </c>
      <c r="J91" s="193" t="s">
        <v>3195</v>
      </c>
      <c r="K91" s="193" t="s">
        <v>386</v>
      </c>
      <c r="L91" s="193" t="s">
        <v>387</v>
      </c>
      <c r="M91" s="193" t="s">
        <v>378</v>
      </c>
      <c r="N91" s="193" t="s">
        <v>3028</v>
      </c>
      <c r="O91" s="193" t="s">
        <v>229</v>
      </c>
      <c r="P91" s="193" t="s">
        <v>228</v>
      </c>
      <c r="Q91" s="193" t="s">
        <v>27</v>
      </c>
      <c r="R91" s="193" t="s">
        <v>27</v>
      </c>
      <c r="S91" s="193" t="s">
        <v>214</v>
      </c>
      <c r="T91" s="193" t="s">
        <v>3029</v>
      </c>
      <c r="U91" s="193" t="s">
        <v>3030</v>
      </c>
      <c r="V91" s="193">
        <v>0</v>
      </c>
      <c r="W91" s="193">
        <v>0</v>
      </c>
      <c r="X91" s="193">
        <v>0</v>
      </c>
      <c r="Y91" s="194">
        <v>4690</v>
      </c>
      <c r="Z91" s="193" t="s">
        <v>3031</v>
      </c>
      <c r="AA91" s="193" t="s">
        <v>27</v>
      </c>
      <c r="AB91" s="193">
        <v>4690</v>
      </c>
      <c r="AC91" s="193" t="s">
        <v>2789</v>
      </c>
      <c r="AD91" s="193" t="s">
        <v>2790</v>
      </c>
      <c r="AE91" s="193">
        <v>4690</v>
      </c>
      <c r="AF91" s="193" t="s">
        <v>2993</v>
      </c>
      <c r="AG91" s="193" t="s">
        <v>2486</v>
      </c>
      <c r="AH91" s="193">
        <v>347</v>
      </c>
      <c r="AI91" s="193">
        <v>4343</v>
      </c>
      <c r="AJ91" s="193" t="s">
        <v>214</v>
      </c>
      <c r="AL91" s="197" t="s">
        <v>3196</v>
      </c>
      <c r="AM91" s="193">
        <v>1</v>
      </c>
      <c r="AN91" s="193">
        <v>0</v>
      </c>
      <c r="AO91" s="193">
        <v>0</v>
      </c>
      <c r="AP91" s="566">
        <v>0</v>
      </c>
      <c r="AQ91" s="193" t="s">
        <v>214</v>
      </c>
      <c r="AS91" s="565" t="s">
        <v>2993</v>
      </c>
      <c r="AT91" s="565" t="s">
        <v>2486</v>
      </c>
      <c r="AV91" s="194">
        <v>0</v>
      </c>
      <c r="AW91" s="194">
        <v>0</v>
      </c>
      <c r="AX91" s="194">
        <v>0</v>
      </c>
      <c r="AY91" s="551">
        <v>0</v>
      </c>
      <c r="AZ91" s="194">
        <v>0</v>
      </c>
      <c r="BA91" s="194">
        <v>4690</v>
      </c>
      <c r="BB91" s="551">
        <v>4690</v>
      </c>
      <c r="BC91" s="551">
        <v>4690</v>
      </c>
      <c r="BD91" s="551">
        <v>0</v>
      </c>
      <c r="BF91" s="551">
        <f t="shared" si="43"/>
        <v>0</v>
      </c>
      <c r="BG91" s="551">
        <f t="shared" si="44"/>
        <v>0</v>
      </c>
      <c r="BH91" s="551">
        <f t="shared" si="45"/>
        <v>0</v>
      </c>
      <c r="BI91" s="551">
        <f t="shared" si="46"/>
        <v>0</v>
      </c>
      <c r="BJ91" s="551">
        <f t="shared" si="47"/>
        <v>0</v>
      </c>
      <c r="BK91" s="551">
        <f t="shared" si="48"/>
        <v>4343</v>
      </c>
      <c r="BL91" s="551">
        <f t="shared" si="49"/>
        <v>4343</v>
      </c>
      <c r="BM91" s="551">
        <f t="shared" si="50"/>
        <v>4343</v>
      </c>
      <c r="BN91" s="194"/>
      <c r="BO91" s="193">
        <f t="shared" si="51"/>
        <v>0</v>
      </c>
      <c r="BP91" s="193">
        <f t="shared" si="52"/>
        <v>0</v>
      </c>
      <c r="BQ91" s="193">
        <f t="shared" si="53"/>
        <v>0</v>
      </c>
      <c r="BR91" s="193">
        <f t="shared" si="54"/>
        <v>0</v>
      </c>
      <c r="BS91" s="193">
        <f t="shared" si="55"/>
        <v>0</v>
      </c>
      <c r="BT91" s="193">
        <f t="shared" si="56"/>
        <v>-0.40740740740784531</v>
      </c>
      <c r="BU91" s="193">
        <f t="shared" si="57"/>
        <v>-0.40740740740784531</v>
      </c>
    </row>
    <row r="92" spans="1:73">
      <c r="A92" s="193" t="s">
        <v>378</v>
      </c>
      <c r="B92" s="193" t="s">
        <v>379</v>
      </c>
      <c r="C92" s="193" t="s">
        <v>214</v>
      </c>
      <c r="D92" s="193" t="s">
        <v>1165</v>
      </c>
      <c r="E92" s="193" t="s">
        <v>1166</v>
      </c>
      <c r="F92" s="193" t="s">
        <v>1339</v>
      </c>
      <c r="G92" s="193" t="s">
        <v>1339</v>
      </c>
      <c r="H92" s="199" t="s">
        <v>3197</v>
      </c>
      <c r="I92" s="193" t="s">
        <v>1508</v>
      </c>
      <c r="J92" s="193" t="s">
        <v>3198</v>
      </c>
      <c r="K92" s="193" t="s">
        <v>386</v>
      </c>
      <c r="L92" s="193" t="s">
        <v>387</v>
      </c>
      <c r="M92" s="193" t="s">
        <v>378</v>
      </c>
      <c r="N92" s="193" t="s">
        <v>3028</v>
      </c>
      <c r="O92" s="193" t="s">
        <v>229</v>
      </c>
      <c r="P92" s="193" t="s">
        <v>228</v>
      </c>
      <c r="Q92" s="193" t="s">
        <v>27</v>
      </c>
      <c r="R92" s="193" t="s">
        <v>27</v>
      </c>
      <c r="S92" s="193" t="s">
        <v>214</v>
      </c>
      <c r="T92" s="193" t="s">
        <v>3029</v>
      </c>
      <c r="U92" s="193" t="s">
        <v>3030</v>
      </c>
      <c r="V92" s="193">
        <v>0</v>
      </c>
      <c r="W92" s="193">
        <v>0</v>
      </c>
      <c r="X92" s="193">
        <v>0</v>
      </c>
      <c r="Y92" s="194">
        <v>1</v>
      </c>
      <c r="Z92" s="193" t="s">
        <v>3031</v>
      </c>
      <c r="AA92" s="193" t="s">
        <v>27</v>
      </c>
      <c r="AB92" s="193">
        <v>1</v>
      </c>
      <c r="AC92" s="193" t="s">
        <v>2820</v>
      </c>
      <c r="AD92" s="193" t="s">
        <v>2821</v>
      </c>
      <c r="AE92" s="193">
        <v>1</v>
      </c>
      <c r="AF92" s="193" t="s">
        <v>3012</v>
      </c>
      <c r="AG92" s="193" t="s">
        <v>395</v>
      </c>
      <c r="AH92" s="193">
        <v>0</v>
      </c>
      <c r="AI92" s="193">
        <v>1</v>
      </c>
      <c r="AJ92" s="193" t="s">
        <v>214</v>
      </c>
      <c r="AL92" s="197" t="s">
        <v>3199</v>
      </c>
      <c r="AM92" s="193">
        <v>1</v>
      </c>
      <c r="AN92" s="193">
        <v>0</v>
      </c>
      <c r="AO92" s="193">
        <v>0</v>
      </c>
      <c r="AP92" s="566">
        <v>0</v>
      </c>
      <c r="AQ92" s="193" t="s">
        <v>214</v>
      </c>
      <c r="AS92" s="565" t="s">
        <v>3012</v>
      </c>
      <c r="AT92" s="565" t="s">
        <v>395</v>
      </c>
      <c r="AV92" s="194">
        <v>0</v>
      </c>
      <c r="AW92" s="194">
        <v>0</v>
      </c>
      <c r="AX92" s="194">
        <v>0</v>
      </c>
      <c r="AY92" s="551">
        <v>0</v>
      </c>
      <c r="AZ92" s="194">
        <v>0</v>
      </c>
      <c r="BA92" s="194">
        <v>1</v>
      </c>
      <c r="BB92" s="551">
        <v>1</v>
      </c>
      <c r="BC92" s="551">
        <v>1</v>
      </c>
      <c r="BD92" s="551">
        <v>0</v>
      </c>
      <c r="BF92" s="551">
        <f t="shared" si="43"/>
        <v>0</v>
      </c>
      <c r="BG92" s="551">
        <f t="shared" si="44"/>
        <v>0</v>
      </c>
      <c r="BH92" s="551">
        <f t="shared" si="45"/>
        <v>0</v>
      </c>
      <c r="BI92" s="551">
        <f t="shared" si="46"/>
        <v>0</v>
      </c>
      <c r="BJ92" s="551">
        <f t="shared" si="47"/>
        <v>0</v>
      </c>
      <c r="BK92" s="551">
        <f t="shared" si="48"/>
        <v>1</v>
      </c>
      <c r="BL92" s="551">
        <f t="shared" si="49"/>
        <v>1</v>
      </c>
      <c r="BM92" s="551">
        <f t="shared" si="50"/>
        <v>1</v>
      </c>
      <c r="BN92" s="194"/>
      <c r="BO92" s="193">
        <f t="shared" si="51"/>
        <v>0</v>
      </c>
      <c r="BP92" s="193">
        <f t="shared" si="52"/>
        <v>0</v>
      </c>
      <c r="BQ92" s="193">
        <f t="shared" si="53"/>
        <v>0</v>
      </c>
      <c r="BR92" s="193">
        <f t="shared" si="54"/>
        <v>0</v>
      </c>
      <c r="BS92" s="193">
        <f t="shared" si="55"/>
        <v>0</v>
      </c>
      <c r="BT92" s="193">
        <f t="shared" si="56"/>
        <v>-9.0909090909090939E-2</v>
      </c>
      <c r="BU92" s="193">
        <f t="shared" si="57"/>
        <v>-9.0909090909090939E-2</v>
      </c>
    </row>
    <row r="93" spans="1:73">
      <c r="A93" s="193" t="s">
        <v>378</v>
      </c>
      <c r="B93" s="193" t="s">
        <v>379</v>
      </c>
      <c r="C93" s="193" t="s">
        <v>214</v>
      </c>
      <c r="D93" s="193" t="s">
        <v>1165</v>
      </c>
      <c r="E93" s="193" t="s">
        <v>1166</v>
      </c>
      <c r="F93" s="193" t="s">
        <v>1240</v>
      </c>
      <c r="G93" s="193" t="s">
        <v>1240</v>
      </c>
      <c r="H93" s="199" t="s">
        <v>3200</v>
      </c>
      <c r="I93" s="193" t="s">
        <v>1508</v>
      </c>
      <c r="J93" s="193" t="s">
        <v>3201</v>
      </c>
      <c r="K93" s="193" t="s">
        <v>386</v>
      </c>
      <c r="L93" s="193" t="s">
        <v>387</v>
      </c>
      <c r="M93" s="193" t="s">
        <v>378</v>
      </c>
      <c r="N93" s="193" t="s">
        <v>3028</v>
      </c>
      <c r="O93" s="193" t="s">
        <v>229</v>
      </c>
      <c r="P93" s="193" t="s">
        <v>228</v>
      </c>
      <c r="Q93" s="193" t="s">
        <v>27</v>
      </c>
      <c r="R93" s="193" t="s">
        <v>27</v>
      </c>
      <c r="S93" s="193" t="s">
        <v>214</v>
      </c>
      <c r="T93" s="193" t="s">
        <v>3029</v>
      </c>
      <c r="U93" s="193" t="s">
        <v>3030</v>
      </c>
      <c r="V93" s="193">
        <v>0</v>
      </c>
      <c r="W93" s="193">
        <v>0</v>
      </c>
      <c r="X93" s="193">
        <v>0</v>
      </c>
      <c r="Y93" s="194">
        <v>10672</v>
      </c>
      <c r="Z93" s="193" t="s">
        <v>3031</v>
      </c>
      <c r="AA93" s="193" t="s">
        <v>27</v>
      </c>
      <c r="AB93" s="193">
        <v>10672</v>
      </c>
      <c r="AC93" s="193" t="s">
        <v>2820</v>
      </c>
      <c r="AD93" s="193" t="s">
        <v>2821</v>
      </c>
      <c r="AE93" s="193">
        <v>10672</v>
      </c>
      <c r="AF93" s="193" t="s">
        <v>2993</v>
      </c>
      <c r="AG93" s="193" t="s">
        <v>395</v>
      </c>
      <c r="AH93" s="193">
        <v>970</v>
      </c>
      <c r="AI93" s="193">
        <v>9702</v>
      </c>
      <c r="AJ93" s="193" t="s">
        <v>214</v>
      </c>
      <c r="AL93" s="197" t="s">
        <v>3202</v>
      </c>
      <c r="AM93" s="193">
        <v>2</v>
      </c>
      <c r="AN93" s="193">
        <v>18</v>
      </c>
      <c r="AO93" s="193">
        <v>10</v>
      </c>
      <c r="AP93" s="566">
        <v>0</v>
      </c>
      <c r="AQ93" s="193" t="s">
        <v>214</v>
      </c>
      <c r="AS93" s="565">
        <v>18</v>
      </c>
      <c r="AT93" s="565">
        <v>10</v>
      </c>
      <c r="AV93" s="194">
        <v>0</v>
      </c>
      <c r="AW93" s="194">
        <v>0</v>
      </c>
      <c r="AX93" s="194">
        <v>0</v>
      </c>
      <c r="AY93" s="551">
        <v>0</v>
      </c>
      <c r="AZ93" s="194">
        <v>0</v>
      </c>
      <c r="BA93" s="194">
        <v>10672</v>
      </c>
      <c r="BB93" s="551">
        <v>10672</v>
      </c>
      <c r="BC93" s="551">
        <v>10672</v>
      </c>
      <c r="BD93" s="551">
        <v>0</v>
      </c>
      <c r="BF93" s="551">
        <f t="shared" si="43"/>
        <v>0</v>
      </c>
      <c r="BG93" s="551">
        <f t="shared" si="44"/>
        <v>0</v>
      </c>
      <c r="BH93" s="551">
        <f t="shared" si="45"/>
        <v>0</v>
      </c>
      <c r="BI93" s="551">
        <f t="shared" si="46"/>
        <v>0</v>
      </c>
      <c r="BJ93" s="551">
        <f t="shared" si="47"/>
        <v>0</v>
      </c>
      <c r="BK93" s="551">
        <f t="shared" si="48"/>
        <v>9702</v>
      </c>
      <c r="BL93" s="551">
        <f t="shared" si="49"/>
        <v>9702</v>
      </c>
      <c r="BM93" s="551">
        <f t="shared" si="50"/>
        <v>9702</v>
      </c>
      <c r="BN93" s="194"/>
      <c r="BO93" s="193">
        <f t="shared" si="51"/>
        <v>0</v>
      </c>
      <c r="BP93" s="193">
        <f t="shared" si="52"/>
        <v>0</v>
      </c>
      <c r="BQ93" s="193">
        <f t="shared" si="53"/>
        <v>0</v>
      </c>
      <c r="BR93" s="193">
        <f t="shared" si="54"/>
        <v>0</v>
      </c>
      <c r="BS93" s="193">
        <f t="shared" si="55"/>
        <v>0</v>
      </c>
      <c r="BT93" s="193">
        <f t="shared" si="56"/>
        <v>-0.18181818181801646</v>
      </c>
      <c r="BU93" s="193">
        <f t="shared" si="57"/>
        <v>-0.18181818181801646</v>
      </c>
    </row>
    <row r="94" spans="1:73">
      <c r="A94" s="193" t="s">
        <v>378</v>
      </c>
      <c r="B94" s="193" t="s">
        <v>379</v>
      </c>
      <c r="C94" s="193" t="s">
        <v>214</v>
      </c>
      <c r="D94" s="193" t="s">
        <v>1165</v>
      </c>
      <c r="E94" s="193" t="s">
        <v>1166</v>
      </c>
      <c r="F94" s="193" t="s">
        <v>2409</v>
      </c>
      <c r="G94" s="193" t="s">
        <v>2409</v>
      </c>
      <c r="H94" s="199" t="s">
        <v>3200</v>
      </c>
      <c r="I94" s="193" t="s">
        <v>1508</v>
      </c>
      <c r="J94" s="193" t="s">
        <v>3203</v>
      </c>
      <c r="K94" s="193" t="s">
        <v>386</v>
      </c>
      <c r="L94" s="193" t="s">
        <v>387</v>
      </c>
      <c r="M94" s="193" t="s">
        <v>378</v>
      </c>
      <c r="N94" s="193" t="s">
        <v>3028</v>
      </c>
      <c r="O94" s="193" t="s">
        <v>229</v>
      </c>
      <c r="P94" s="193" t="s">
        <v>228</v>
      </c>
      <c r="Q94" s="193" t="s">
        <v>27</v>
      </c>
      <c r="R94" s="193" t="s">
        <v>27</v>
      </c>
      <c r="S94" s="193" t="s">
        <v>214</v>
      </c>
      <c r="T94" s="193" t="s">
        <v>3029</v>
      </c>
      <c r="U94" s="193" t="s">
        <v>3030</v>
      </c>
      <c r="V94" s="193">
        <v>0</v>
      </c>
      <c r="W94" s="193">
        <v>0</v>
      </c>
      <c r="X94" s="193">
        <v>0</v>
      </c>
      <c r="Y94" s="194">
        <v>2057</v>
      </c>
      <c r="Z94" s="193" t="s">
        <v>3031</v>
      </c>
      <c r="AA94" s="193" t="s">
        <v>27</v>
      </c>
      <c r="AB94" s="193">
        <v>2057</v>
      </c>
      <c r="AC94" s="193" t="s">
        <v>2820</v>
      </c>
      <c r="AD94" s="193" t="s">
        <v>2821</v>
      </c>
      <c r="AE94" s="193">
        <v>2057</v>
      </c>
      <c r="AF94" s="193" t="s">
        <v>3012</v>
      </c>
      <c r="AG94" s="193" t="s">
        <v>395</v>
      </c>
      <c r="AH94" s="193">
        <v>187</v>
      </c>
      <c r="AI94" s="193">
        <v>1870</v>
      </c>
      <c r="AJ94" s="193" t="s">
        <v>214</v>
      </c>
      <c r="AL94" s="197" t="s">
        <v>3204</v>
      </c>
      <c r="AM94" s="193">
        <v>1</v>
      </c>
      <c r="AN94" s="193">
        <v>0</v>
      </c>
      <c r="AO94" s="193">
        <v>0</v>
      </c>
      <c r="AP94" s="566">
        <v>0</v>
      </c>
      <c r="AQ94" s="193" t="s">
        <v>214</v>
      </c>
      <c r="AS94" s="565" t="s">
        <v>3012</v>
      </c>
      <c r="AT94" s="565" t="s">
        <v>395</v>
      </c>
      <c r="AV94" s="194">
        <v>0</v>
      </c>
      <c r="AW94" s="194">
        <v>0</v>
      </c>
      <c r="AX94" s="194">
        <v>0</v>
      </c>
      <c r="AY94" s="551">
        <v>0</v>
      </c>
      <c r="AZ94" s="194">
        <v>0</v>
      </c>
      <c r="BA94" s="194">
        <v>2057</v>
      </c>
      <c r="BB94" s="551">
        <v>2057</v>
      </c>
      <c r="BC94" s="551">
        <v>2057</v>
      </c>
      <c r="BD94" s="551">
        <v>0</v>
      </c>
      <c r="BF94" s="551">
        <f t="shared" si="43"/>
        <v>0</v>
      </c>
      <c r="BG94" s="551">
        <f t="shared" si="44"/>
        <v>0</v>
      </c>
      <c r="BH94" s="551">
        <f t="shared" si="45"/>
        <v>0</v>
      </c>
      <c r="BI94" s="551">
        <f t="shared" si="46"/>
        <v>0</v>
      </c>
      <c r="BJ94" s="551">
        <f t="shared" si="47"/>
        <v>0</v>
      </c>
      <c r="BK94" s="551">
        <f t="shared" si="48"/>
        <v>1870</v>
      </c>
      <c r="BL94" s="551">
        <f t="shared" si="49"/>
        <v>1870</v>
      </c>
      <c r="BM94" s="551">
        <f t="shared" si="50"/>
        <v>1870</v>
      </c>
      <c r="BN94" s="194"/>
      <c r="BO94" s="193">
        <f t="shared" si="51"/>
        <v>0</v>
      </c>
      <c r="BP94" s="193">
        <f t="shared" si="52"/>
        <v>0</v>
      </c>
      <c r="BQ94" s="193">
        <f t="shared" si="53"/>
        <v>0</v>
      </c>
      <c r="BR94" s="193">
        <f t="shared" si="54"/>
        <v>0</v>
      </c>
      <c r="BS94" s="193">
        <f t="shared" si="55"/>
        <v>0</v>
      </c>
      <c r="BT94" s="193">
        <f t="shared" si="56"/>
        <v>0</v>
      </c>
      <c r="BU94" s="193">
        <f t="shared" si="57"/>
        <v>0</v>
      </c>
    </row>
    <row r="95" spans="1:73">
      <c r="A95" s="193" t="s">
        <v>378</v>
      </c>
      <c r="B95" s="193" t="s">
        <v>379</v>
      </c>
      <c r="C95" s="193" t="s">
        <v>214</v>
      </c>
      <c r="D95" s="193" t="s">
        <v>1165</v>
      </c>
      <c r="E95" s="193" t="s">
        <v>1166</v>
      </c>
      <c r="F95" s="193" t="s">
        <v>2776</v>
      </c>
      <c r="G95" s="193" t="s">
        <v>2776</v>
      </c>
      <c r="H95" s="199" t="s">
        <v>3200</v>
      </c>
      <c r="I95" s="193" t="s">
        <v>1508</v>
      </c>
      <c r="J95" s="193" t="s">
        <v>3205</v>
      </c>
      <c r="K95" s="193" t="s">
        <v>386</v>
      </c>
      <c r="L95" s="193" t="s">
        <v>387</v>
      </c>
      <c r="M95" s="193" t="s">
        <v>378</v>
      </c>
      <c r="N95" s="193" t="s">
        <v>3028</v>
      </c>
      <c r="O95" s="193" t="s">
        <v>229</v>
      </c>
      <c r="P95" s="193" t="s">
        <v>228</v>
      </c>
      <c r="Q95" s="193" t="s">
        <v>27</v>
      </c>
      <c r="R95" s="193" t="s">
        <v>27</v>
      </c>
      <c r="S95" s="193" t="s">
        <v>214</v>
      </c>
      <c r="T95" s="193" t="s">
        <v>3029</v>
      </c>
      <c r="U95" s="193" t="s">
        <v>3030</v>
      </c>
      <c r="V95" s="193">
        <v>0</v>
      </c>
      <c r="W95" s="193">
        <v>0</v>
      </c>
      <c r="X95" s="193">
        <v>0</v>
      </c>
      <c r="Y95" s="194">
        <v>1529</v>
      </c>
      <c r="Z95" s="193" t="s">
        <v>3031</v>
      </c>
      <c r="AA95" s="193" t="s">
        <v>27</v>
      </c>
      <c r="AB95" s="193">
        <v>1529</v>
      </c>
      <c r="AC95" s="193" t="s">
        <v>2820</v>
      </c>
      <c r="AD95" s="193" t="s">
        <v>2821</v>
      </c>
      <c r="AE95" s="193">
        <v>1529</v>
      </c>
      <c r="AF95" s="193" t="s">
        <v>3012</v>
      </c>
      <c r="AG95" s="193" t="s">
        <v>395</v>
      </c>
      <c r="AH95" s="193">
        <v>139</v>
      </c>
      <c r="AI95" s="193">
        <v>1390</v>
      </c>
      <c r="AJ95" s="193" t="s">
        <v>214</v>
      </c>
      <c r="AL95" s="197" t="s">
        <v>3206</v>
      </c>
      <c r="AM95" s="193">
        <v>1</v>
      </c>
      <c r="AN95" s="193">
        <v>0</v>
      </c>
      <c r="AO95" s="193">
        <v>0</v>
      </c>
      <c r="AP95" s="566">
        <v>0</v>
      </c>
      <c r="AQ95" s="193" t="s">
        <v>214</v>
      </c>
      <c r="AS95" s="565" t="s">
        <v>3012</v>
      </c>
      <c r="AT95" s="565" t="s">
        <v>395</v>
      </c>
      <c r="AV95" s="194">
        <v>0</v>
      </c>
      <c r="AW95" s="194">
        <v>0</v>
      </c>
      <c r="AX95" s="194">
        <v>0</v>
      </c>
      <c r="AY95" s="551">
        <v>0</v>
      </c>
      <c r="AZ95" s="194">
        <v>0</v>
      </c>
      <c r="BA95" s="194">
        <v>1529</v>
      </c>
      <c r="BB95" s="551">
        <v>1529</v>
      </c>
      <c r="BC95" s="551">
        <v>1529</v>
      </c>
      <c r="BD95" s="551">
        <v>0</v>
      </c>
      <c r="BF95" s="551">
        <f t="shared" si="43"/>
        <v>0</v>
      </c>
      <c r="BG95" s="551">
        <f t="shared" si="44"/>
        <v>0</v>
      </c>
      <c r="BH95" s="551">
        <f t="shared" si="45"/>
        <v>0</v>
      </c>
      <c r="BI95" s="551">
        <f t="shared" si="46"/>
        <v>0</v>
      </c>
      <c r="BJ95" s="551">
        <f t="shared" si="47"/>
        <v>0</v>
      </c>
      <c r="BK95" s="551">
        <f t="shared" si="48"/>
        <v>1390</v>
      </c>
      <c r="BL95" s="551">
        <f t="shared" si="49"/>
        <v>1390</v>
      </c>
      <c r="BM95" s="551">
        <f t="shared" si="50"/>
        <v>1390</v>
      </c>
      <c r="BN95" s="194"/>
      <c r="BO95" s="193">
        <f t="shared" si="51"/>
        <v>0</v>
      </c>
      <c r="BP95" s="193">
        <f t="shared" si="52"/>
        <v>0</v>
      </c>
      <c r="BQ95" s="193">
        <f t="shared" si="53"/>
        <v>0</v>
      </c>
      <c r="BR95" s="193">
        <f t="shared" si="54"/>
        <v>0</v>
      </c>
      <c r="BS95" s="193">
        <f t="shared" si="55"/>
        <v>0</v>
      </c>
      <c r="BT95" s="193">
        <f t="shared" si="56"/>
        <v>0</v>
      </c>
      <c r="BU95" s="193">
        <f t="shared" si="57"/>
        <v>0</v>
      </c>
    </row>
    <row r="96" spans="1:73">
      <c r="A96" s="193" t="s">
        <v>378</v>
      </c>
      <c r="B96" s="193" t="s">
        <v>379</v>
      </c>
      <c r="C96" s="193" t="s">
        <v>214</v>
      </c>
      <c r="D96" s="193" t="s">
        <v>1165</v>
      </c>
      <c r="E96" s="193" t="s">
        <v>1166</v>
      </c>
      <c r="F96" s="193" t="s">
        <v>2817</v>
      </c>
      <c r="G96" s="193" t="s">
        <v>2817</v>
      </c>
      <c r="H96" s="199" t="s">
        <v>3207</v>
      </c>
      <c r="I96" s="193" t="s">
        <v>1508</v>
      </c>
      <c r="J96" s="193" t="s">
        <v>3208</v>
      </c>
      <c r="K96" s="193" t="s">
        <v>386</v>
      </c>
      <c r="L96" s="193" t="s">
        <v>387</v>
      </c>
      <c r="M96" s="193" t="s">
        <v>378</v>
      </c>
      <c r="N96" s="193" t="s">
        <v>3028</v>
      </c>
      <c r="O96" s="193" t="s">
        <v>229</v>
      </c>
      <c r="P96" s="193" t="s">
        <v>228</v>
      </c>
      <c r="Q96" s="193" t="s">
        <v>27</v>
      </c>
      <c r="R96" s="193" t="s">
        <v>27</v>
      </c>
      <c r="S96" s="193" t="s">
        <v>214</v>
      </c>
      <c r="T96" s="193" t="s">
        <v>3029</v>
      </c>
      <c r="U96" s="193" t="s">
        <v>3030</v>
      </c>
      <c r="V96" s="193">
        <v>0</v>
      </c>
      <c r="W96" s="193">
        <v>0</v>
      </c>
      <c r="X96" s="193">
        <v>0</v>
      </c>
      <c r="Y96" s="194">
        <v>3822</v>
      </c>
      <c r="Z96" s="193" t="s">
        <v>3031</v>
      </c>
      <c r="AA96" s="193" t="s">
        <v>27</v>
      </c>
      <c r="AB96" s="193">
        <v>3822</v>
      </c>
      <c r="AC96" s="193" t="s">
        <v>2820</v>
      </c>
      <c r="AD96" s="193" t="s">
        <v>2821</v>
      </c>
      <c r="AE96" s="193">
        <v>3822</v>
      </c>
      <c r="AF96" s="193" t="s">
        <v>3012</v>
      </c>
      <c r="AG96" s="193" t="s">
        <v>395</v>
      </c>
      <c r="AH96" s="193">
        <v>347</v>
      </c>
      <c r="AI96" s="193">
        <v>3475</v>
      </c>
      <c r="AJ96" s="193" t="s">
        <v>214</v>
      </c>
      <c r="AL96" s="197" t="s">
        <v>3209</v>
      </c>
      <c r="AM96" s="193">
        <v>1</v>
      </c>
      <c r="AN96" s="193">
        <v>0</v>
      </c>
      <c r="AO96" s="193">
        <v>0</v>
      </c>
      <c r="AP96" s="566">
        <v>0</v>
      </c>
      <c r="AQ96" s="193" t="s">
        <v>214</v>
      </c>
      <c r="AS96" s="565" t="s">
        <v>3012</v>
      </c>
      <c r="AT96" s="565" t="s">
        <v>395</v>
      </c>
      <c r="AV96" s="194">
        <v>0</v>
      </c>
      <c r="AW96" s="194">
        <v>0</v>
      </c>
      <c r="AX96" s="194">
        <v>0</v>
      </c>
      <c r="AY96" s="551">
        <v>0</v>
      </c>
      <c r="AZ96" s="194">
        <v>0</v>
      </c>
      <c r="BA96" s="194">
        <v>3822</v>
      </c>
      <c r="BB96" s="551">
        <v>3822</v>
      </c>
      <c r="BC96" s="551">
        <v>3822</v>
      </c>
      <c r="BD96" s="551">
        <v>0</v>
      </c>
      <c r="BF96" s="551">
        <f t="shared" si="43"/>
        <v>0</v>
      </c>
      <c r="BG96" s="551">
        <f t="shared" si="44"/>
        <v>0</v>
      </c>
      <c r="BH96" s="551">
        <f t="shared" si="45"/>
        <v>0</v>
      </c>
      <c r="BI96" s="551">
        <f t="shared" si="46"/>
        <v>0</v>
      </c>
      <c r="BJ96" s="551">
        <f t="shared" si="47"/>
        <v>0</v>
      </c>
      <c r="BK96" s="551">
        <f t="shared" si="48"/>
        <v>3475</v>
      </c>
      <c r="BL96" s="551">
        <f t="shared" si="49"/>
        <v>3475</v>
      </c>
      <c r="BM96" s="551">
        <f t="shared" si="50"/>
        <v>3475</v>
      </c>
      <c r="BN96" s="194"/>
      <c r="BO96" s="193">
        <f t="shared" si="51"/>
        <v>0</v>
      </c>
      <c r="BP96" s="193">
        <f t="shared" si="52"/>
        <v>0</v>
      </c>
      <c r="BQ96" s="193">
        <f t="shared" si="53"/>
        <v>0</v>
      </c>
      <c r="BR96" s="193">
        <f t="shared" si="54"/>
        <v>0</v>
      </c>
      <c r="BS96" s="193">
        <f t="shared" si="55"/>
        <v>0</v>
      </c>
      <c r="BT96" s="193">
        <f t="shared" si="56"/>
        <v>-0.45454545454549589</v>
      </c>
      <c r="BU96" s="193">
        <f t="shared" si="57"/>
        <v>-0.45454545454549589</v>
      </c>
    </row>
    <row r="97" spans="1:73">
      <c r="A97" s="193" t="s">
        <v>378</v>
      </c>
      <c r="B97" s="193" t="s">
        <v>379</v>
      </c>
      <c r="C97" s="193" t="s">
        <v>214</v>
      </c>
      <c r="D97" s="193" t="s">
        <v>1165</v>
      </c>
      <c r="E97" s="193" t="s">
        <v>1166</v>
      </c>
      <c r="F97" s="193" t="s">
        <v>1487</v>
      </c>
      <c r="G97" s="193" t="s">
        <v>1487</v>
      </c>
      <c r="H97" s="199" t="s">
        <v>3210</v>
      </c>
      <c r="I97" s="193" t="s">
        <v>1508</v>
      </c>
      <c r="J97" s="193" t="s">
        <v>3211</v>
      </c>
      <c r="K97" s="193" t="s">
        <v>386</v>
      </c>
      <c r="L97" s="193" t="s">
        <v>387</v>
      </c>
      <c r="M97" s="193" t="s">
        <v>378</v>
      </c>
      <c r="N97" s="193" t="s">
        <v>3028</v>
      </c>
      <c r="O97" s="193" t="s">
        <v>229</v>
      </c>
      <c r="P97" s="193" t="s">
        <v>228</v>
      </c>
      <c r="Q97" s="193" t="s">
        <v>27</v>
      </c>
      <c r="R97" s="193" t="s">
        <v>27</v>
      </c>
      <c r="S97" s="193" t="s">
        <v>214</v>
      </c>
      <c r="T97" s="193" t="s">
        <v>3029</v>
      </c>
      <c r="U97" s="193" t="s">
        <v>3030</v>
      </c>
      <c r="V97" s="193">
        <v>0</v>
      </c>
      <c r="W97" s="193">
        <v>0</v>
      </c>
      <c r="X97" s="193">
        <v>0</v>
      </c>
      <c r="Y97" s="194">
        <v>3058</v>
      </c>
      <c r="Z97" s="193" t="s">
        <v>3031</v>
      </c>
      <c r="AA97" s="193" t="s">
        <v>27</v>
      </c>
      <c r="AB97" s="193">
        <v>3058</v>
      </c>
      <c r="AC97" s="193" t="s">
        <v>2839</v>
      </c>
      <c r="AD97" s="193" t="s">
        <v>2840</v>
      </c>
      <c r="AE97" s="193">
        <v>3058</v>
      </c>
      <c r="AF97" s="193" t="s">
        <v>3012</v>
      </c>
      <c r="AG97" s="193" t="s">
        <v>395</v>
      </c>
      <c r="AH97" s="193">
        <v>278</v>
      </c>
      <c r="AI97" s="193">
        <v>2780</v>
      </c>
      <c r="AJ97" s="193" t="s">
        <v>214</v>
      </c>
      <c r="AL97" s="197" t="s">
        <v>3212</v>
      </c>
      <c r="AM97" s="193">
        <v>1</v>
      </c>
      <c r="AN97" s="193">
        <v>0</v>
      </c>
      <c r="AO97" s="193">
        <v>0</v>
      </c>
      <c r="AP97" s="566">
        <v>0</v>
      </c>
      <c r="AQ97" s="193" t="s">
        <v>214</v>
      </c>
      <c r="AS97" s="565" t="s">
        <v>3012</v>
      </c>
      <c r="AT97" s="565" t="s">
        <v>395</v>
      </c>
      <c r="AV97" s="194">
        <v>0</v>
      </c>
      <c r="AW97" s="194">
        <v>0</v>
      </c>
      <c r="AX97" s="194">
        <v>0</v>
      </c>
      <c r="AY97" s="551">
        <v>0</v>
      </c>
      <c r="AZ97" s="194">
        <v>0</v>
      </c>
      <c r="BA97" s="194">
        <v>3058</v>
      </c>
      <c r="BB97" s="551">
        <v>3058</v>
      </c>
      <c r="BC97" s="551">
        <v>3058</v>
      </c>
      <c r="BD97" s="551">
        <v>0</v>
      </c>
      <c r="BF97" s="551">
        <f t="shared" si="43"/>
        <v>0</v>
      </c>
      <c r="BG97" s="551">
        <f t="shared" si="44"/>
        <v>0</v>
      </c>
      <c r="BH97" s="551">
        <f t="shared" si="45"/>
        <v>0</v>
      </c>
      <c r="BI97" s="551">
        <f t="shared" si="46"/>
        <v>0</v>
      </c>
      <c r="BJ97" s="551">
        <f t="shared" si="47"/>
        <v>0</v>
      </c>
      <c r="BK97" s="551">
        <f t="shared" si="48"/>
        <v>2780</v>
      </c>
      <c r="BL97" s="551">
        <f t="shared" si="49"/>
        <v>2780</v>
      </c>
      <c r="BM97" s="551">
        <f t="shared" si="50"/>
        <v>2780</v>
      </c>
      <c r="BN97" s="194"/>
      <c r="BO97" s="193">
        <f t="shared" si="51"/>
        <v>0</v>
      </c>
      <c r="BP97" s="193">
        <f t="shared" si="52"/>
        <v>0</v>
      </c>
      <c r="BQ97" s="193">
        <f t="shared" si="53"/>
        <v>0</v>
      </c>
      <c r="BR97" s="193">
        <f t="shared" si="54"/>
        <v>0</v>
      </c>
      <c r="BS97" s="193">
        <f t="shared" si="55"/>
        <v>0</v>
      </c>
      <c r="BT97" s="193">
        <f t="shared" si="56"/>
        <v>0</v>
      </c>
      <c r="BU97" s="193">
        <f t="shared" si="57"/>
        <v>0</v>
      </c>
    </row>
    <row r="98" spans="1:73" hidden="1">
      <c r="A98" s="193" t="s">
        <v>378</v>
      </c>
      <c r="B98" s="193" t="s">
        <v>379</v>
      </c>
      <c r="C98" s="193" t="s">
        <v>214</v>
      </c>
      <c r="D98" s="193" t="s">
        <v>1441</v>
      </c>
      <c r="E98" s="193" t="s">
        <v>1442</v>
      </c>
      <c r="F98" s="193" t="s">
        <v>915</v>
      </c>
      <c r="G98" s="193" t="s">
        <v>3213</v>
      </c>
      <c r="H98" s="193" t="s">
        <v>3214</v>
      </c>
      <c r="I98" s="193" t="s">
        <v>3215</v>
      </c>
      <c r="J98" s="193" t="s">
        <v>3216</v>
      </c>
      <c r="K98" s="193" t="s">
        <v>386</v>
      </c>
      <c r="L98" s="193" t="s">
        <v>387</v>
      </c>
      <c r="M98" s="193" t="s">
        <v>378</v>
      </c>
      <c r="N98" s="193" t="s">
        <v>3028</v>
      </c>
      <c r="O98" s="193" t="s">
        <v>229</v>
      </c>
      <c r="P98" s="193" t="s">
        <v>228</v>
      </c>
      <c r="Q98" s="193" t="s">
        <v>27</v>
      </c>
      <c r="R98" s="193" t="s">
        <v>27</v>
      </c>
      <c r="S98" s="193" t="s">
        <v>214</v>
      </c>
      <c r="T98" s="193" t="s">
        <v>3217</v>
      </c>
      <c r="U98" s="193" t="s">
        <v>3218</v>
      </c>
      <c r="V98" s="193">
        <v>0</v>
      </c>
      <c r="W98" s="193">
        <v>0</v>
      </c>
      <c r="X98" s="193">
        <v>0</v>
      </c>
      <c r="Y98" s="194">
        <v>3555</v>
      </c>
      <c r="Z98" s="193" t="s">
        <v>3031</v>
      </c>
      <c r="AA98" s="193" t="s">
        <v>27</v>
      </c>
      <c r="AB98" s="193">
        <v>3555</v>
      </c>
      <c r="AC98" s="193" t="s">
        <v>515</v>
      </c>
      <c r="AD98" s="193" t="s">
        <v>516</v>
      </c>
      <c r="AE98" s="193">
        <v>3555</v>
      </c>
      <c r="AF98" s="193" t="s">
        <v>518</v>
      </c>
      <c r="AG98" s="193" t="s">
        <v>519</v>
      </c>
      <c r="AH98" s="193">
        <v>0</v>
      </c>
      <c r="AI98" s="193">
        <v>3555</v>
      </c>
      <c r="AJ98" s="193" t="s">
        <v>3219</v>
      </c>
      <c r="AL98" s="197" t="s">
        <v>3220</v>
      </c>
      <c r="AM98" s="193">
        <v>1</v>
      </c>
      <c r="AN98" s="193">
        <v>0</v>
      </c>
      <c r="AO98" s="193">
        <v>0</v>
      </c>
      <c r="AP98" s="566" t="s">
        <v>3221</v>
      </c>
      <c r="AQ98" s="193" t="s">
        <v>214</v>
      </c>
      <c r="AS98" s="565" t="s">
        <v>518</v>
      </c>
      <c r="AT98" s="565" t="s">
        <v>519</v>
      </c>
      <c r="AV98" s="194">
        <v>1777</v>
      </c>
      <c r="AW98" s="194">
        <v>0</v>
      </c>
      <c r="AX98" s="194">
        <v>0</v>
      </c>
      <c r="AY98" s="551">
        <v>1777</v>
      </c>
      <c r="AZ98" s="194">
        <v>0</v>
      </c>
      <c r="BA98" s="194">
        <v>1778</v>
      </c>
      <c r="BB98" s="551">
        <v>1778</v>
      </c>
      <c r="BC98" s="551">
        <v>3555</v>
      </c>
      <c r="BD98" s="551">
        <v>0</v>
      </c>
      <c r="BF98" s="551">
        <f t="shared" si="43"/>
        <v>1777</v>
      </c>
      <c r="BG98" s="551">
        <f t="shared" si="44"/>
        <v>0</v>
      </c>
      <c r="BH98" s="551">
        <f t="shared" si="45"/>
        <v>0</v>
      </c>
      <c r="BI98" s="551">
        <f t="shared" si="46"/>
        <v>1777</v>
      </c>
      <c r="BJ98" s="551">
        <f t="shared" si="47"/>
        <v>0</v>
      </c>
      <c r="BK98" s="551">
        <f t="shared" si="48"/>
        <v>1778</v>
      </c>
      <c r="BL98" s="551">
        <f t="shared" si="49"/>
        <v>1778</v>
      </c>
      <c r="BM98" s="551">
        <f t="shared" si="50"/>
        <v>3555</v>
      </c>
      <c r="BN98" s="194"/>
      <c r="BO98" s="193">
        <f t="shared" si="51"/>
        <v>0</v>
      </c>
      <c r="BP98" s="193">
        <f t="shared" si="52"/>
        <v>0</v>
      </c>
      <c r="BQ98" s="193">
        <f t="shared" si="53"/>
        <v>0</v>
      </c>
      <c r="BR98" s="193">
        <f t="shared" si="54"/>
        <v>0</v>
      </c>
      <c r="BS98" s="193">
        <f t="shared" si="55"/>
        <v>0</v>
      </c>
      <c r="BT98" s="193">
        <f t="shared" si="56"/>
        <v>0</v>
      </c>
      <c r="BU98" s="193">
        <f t="shared" si="57"/>
        <v>0</v>
      </c>
    </row>
    <row r="99" spans="1:73" hidden="1">
      <c r="A99" s="193" t="s">
        <v>378</v>
      </c>
      <c r="B99" s="193" t="s">
        <v>379</v>
      </c>
      <c r="C99" s="193" t="s">
        <v>214</v>
      </c>
      <c r="D99" s="193" t="s">
        <v>1441</v>
      </c>
      <c r="E99" s="193" t="s">
        <v>1442</v>
      </c>
      <c r="F99" s="193" t="s">
        <v>894</v>
      </c>
      <c r="G99" s="193" t="s">
        <v>923</v>
      </c>
      <c r="H99" s="193" t="s">
        <v>3222</v>
      </c>
      <c r="I99" s="193" t="s">
        <v>3215</v>
      </c>
      <c r="J99" s="193" t="s">
        <v>3223</v>
      </c>
      <c r="K99" s="193" t="s">
        <v>386</v>
      </c>
      <c r="L99" s="193" t="s">
        <v>387</v>
      </c>
      <c r="M99" s="193" t="s">
        <v>378</v>
      </c>
      <c r="N99" s="193" t="s">
        <v>3028</v>
      </c>
      <c r="O99" s="193" t="s">
        <v>229</v>
      </c>
      <c r="P99" s="193" t="s">
        <v>228</v>
      </c>
      <c r="Q99" s="193" t="s">
        <v>27</v>
      </c>
      <c r="R99" s="193" t="s">
        <v>27</v>
      </c>
      <c r="S99" s="193" t="s">
        <v>214</v>
      </c>
      <c r="T99" s="193" t="s">
        <v>3217</v>
      </c>
      <c r="U99" s="193" t="s">
        <v>3218</v>
      </c>
      <c r="V99" s="193">
        <v>0</v>
      </c>
      <c r="W99" s="193">
        <v>0</v>
      </c>
      <c r="X99" s="193">
        <v>0</v>
      </c>
      <c r="Y99" s="194">
        <v>1193</v>
      </c>
      <c r="Z99" s="193" t="s">
        <v>3031</v>
      </c>
      <c r="AA99" s="193" t="s">
        <v>27</v>
      </c>
      <c r="AB99" s="193">
        <v>1193</v>
      </c>
      <c r="AC99" s="193" t="s">
        <v>515</v>
      </c>
      <c r="AD99" s="193" t="s">
        <v>516</v>
      </c>
      <c r="AE99" s="193">
        <v>1193</v>
      </c>
      <c r="AF99" s="193" t="s">
        <v>518</v>
      </c>
      <c r="AG99" s="193" t="s">
        <v>519</v>
      </c>
      <c r="AH99" s="193">
        <v>0</v>
      </c>
      <c r="AI99" s="193">
        <v>1193</v>
      </c>
      <c r="AJ99" s="193" t="s">
        <v>3219</v>
      </c>
      <c r="AL99" s="197" t="s">
        <v>3224</v>
      </c>
      <c r="AM99" s="193">
        <v>1</v>
      </c>
      <c r="AN99" s="193">
        <v>0</v>
      </c>
      <c r="AO99" s="193">
        <v>0</v>
      </c>
      <c r="AP99" s="566">
        <v>0</v>
      </c>
      <c r="AQ99" s="193" t="s">
        <v>214</v>
      </c>
      <c r="AS99" s="565" t="s">
        <v>518</v>
      </c>
      <c r="AT99" s="565" t="s">
        <v>519</v>
      </c>
      <c r="AV99" s="194">
        <v>596</v>
      </c>
      <c r="AW99" s="194">
        <v>0</v>
      </c>
      <c r="AX99" s="194">
        <v>0</v>
      </c>
      <c r="AY99" s="551">
        <v>596</v>
      </c>
      <c r="AZ99" s="194">
        <v>0</v>
      </c>
      <c r="BA99" s="194">
        <v>597</v>
      </c>
      <c r="BB99" s="551">
        <v>597</v>
      </c>
      <c r="BC99" s="551">
        <v>1193</v>
      </c>
      <c r="BD99" s="551">
        <v>0</v>
      </c>
      <c r="BF99" s="551">
        <f t="shared" si="43"/>
        <v>596</v>
      </c>
      <c r="BG99" s="551">
        <f t="shared" si="44"/>
        <v>0</v>
      </c>
      <c r="BH99" s="551">
        <f t="shared" si="45"/>
        <v>0</v>
      </c>
      <c r="BI99" s="551">
        <f t="shared" si="46"/>
        <v>596</v>
      </c>
      <c r="BJ99" s="551">
        <f t="shared" si="47"/>
        <v>0</v>
      </c>
      <c r="BK99" s="551">
        <f t="shared" si="48"/>
        <v>597</v>
      </c>
      <c r="BL99" s="551">
        <f t="shared" si="49"/>
        <v>597</v>
      </c>
      <c r="BM99" s="551">
        <f t="shared" si="50"/>
        <v>1193</v>
      </c>
      <c r="BN99" s="194"/>
      <c r="BO99" s="193">
        <f t="shared" si="51"/>
        <v>0</v>
      </c>
      <c r="BP99" s="193">
        <f t="shared" si="52"/>
        <v>0</v>
      </c>
      <c r="BQ99" s="193">
        <f t="shared" si="53"/>
        <v>0</v>
      </c>
      <c r="BR99" s="193">
        <f t="shared" si="54"/>
        <v>0</v>
      </c>
      <c r="BS99" s="193">
        <f t="shared" si="55"/>
        <v>0</v>
      </c>
      <c r="BT99" s="193">
        <f t="shared" si="56"/>
        <v>0</v>
      </c>
      <c r="BU99" s="193">
        <f t="shared" si="57"/>
        <v>0</v>
      </c>
    </row>
    <row r="100" spans="1:73">
      <c r="A100" s="193" t="s">
        <v>378</v>
      </c>
      <c r="B100" s="193" t="s">
        <v>379</v>
      </c>
      <c r="C100" s="193" t="s">
        <v>214</v>
      </c>
      <c r="D100" s="193" t="s">
        <v>1165</v>
      </c>
      <c r="E100" s="193" t="s">
        <v>1166</v>
      </c>
      <c r="F100" s="193" t="s">
        <v>841</v>
      </c>
      <c r="G100" s="193" t="s">
        <v>841</v>
      </c>
      <c r="H100" s="199" t="s">
        <v>3225</v>
      </c>
      <c r="I100" s="193" t="s">
        <v>1508</v>
      </c>
      <c r="J100" s="193" t="s">
        <v>3226</v>
      </c>
      <c r="K100" s="193" t="s">
        <v>386</v>
      </c>
      <c r="L100" s="193" t="s">
        <v>387</v>
      </c>
      <c r="M100" s="193" t="s">
        <v>378</v>
      </c>
      <c r="N100" s="193" t="s">
        <v>3028</v>
      </c>
      <c r="O100" s="193" t="s">
        <v>229</v>
      </c>
      <c r="P100" s="193" t="s">
        <v>228</v>
      </c>
      <c r="Q100" s="193" t="s">
        <v>27</v>
      </c>
      <c r="R100" s="193" t="s">
        <v>27</v>
      </c>
      <c r="S100" s="193" t="s">
        <v>214</v>
      </c>
      <c r="T100" s="193" t="s">
        <v>3029</v>
      </c>
      <c r="U100" s="193" t="s">
        <v>3030</v>
      </c>
      <c r="V100" s="193">
        <v>0</v>
      </c>
      <c r="W100" s="193">
        <v>0</v>
      </c>
      <c r="X100" s="193">
        <v>0</v>
      </c>
      <c r="Y100" s="194">
        <v>377391</v>
      </c>
      <c r="Z100" s="193" t="s">
        <v>3031</v>
      </c>
      <c r="AA100" s="193" t="s">
        <v>27</v>
      </c>
      <c r="AB100" s="193">
        <v>377391</v>
      </c>
      <c r="AC100" s="193" t="s">
        <v>2863</v>
      </c>
      <c r="AD100" s="193" t="s">
        <v>2864</v>
      </c>
      <c r="AE100" s="193">
        <v>377391</v>
      </c>
      <c r="AF100" s="193" t="s">
        <v>3012</v>
      </c>
      <c r="AG100" s="193" t="s">
        <v>395</v>
      </c>
      <c r="AH100" s="193">
        <v>34302</v>
      </c>
      <c r="AI100" s="193">
        <v>343089</v>
      </c>
      <c r="AJ100" s="193" t="s">
        <v>214</v>
      </c>
      <c r="AL100" s="197" t="s">
        <v>3227</v>
      </c>
      <c r="AM100" s="193">
        <v>1</v>
      </c>
      <c r="AN100" s="193">
        <v>0</v>
      </c>
      <c r="AO100" s="193">
        <v>0</v>
      </c>
      <c r="AP100" s="566">
        <v>0</v>
      </c>
      <c r="AQ100" s="193" t="s">
        <v>214</v>
      </c>
      <c r="AS100" s="565" t="s">
        <v>3012</v>
      </c>
      <c r="AT100" s="565" t="s">
        <v>395</v>
      </c>
      <c r="AV100" s="194">
        <v>0</v>
      </c>
      <c r="AW100" s="194">
        <v>0</v>
      </c>
      <c r="AX100" s="194">
        <v>0</v>
      </c>
      <c r="AY100" s="551">
        <v>0</v>
      </c>
      <c r="AZ100" s="194">
        <v>0</v>
      </c>
      <c r="BA100" s="194">
        <v>377391</v>
      </c>
      <c r="BB100" s="551">
        <v>377391</v>
      </c>
      <c r="BC100" s="551">
        <v>377391</v>
      </c>
      <c r="BD100" s="551">
        <v>0</v>
      </c>
      <c r="BF100" s="551">
        <f t="shared" si="43"/>
        <v>0</v>
      </c>
      <c r="BG100" s="551">
        <f t="shared" si="44"/>
        <v>0</v>
      </c>
      <c r="BH100" s="551">
        <f t="shared" si="45"/>
        <v>0</v>
      </c>
      <c r="BI100" s="551">
        <f t="shared" si="46"/>
        <v>0</v>
      </c>
      <c r="BJ100" s="551">
        <f t="shared" si="47"/>
        <v>0</v>
      </c>
      <c r="BK100" s="551">
        <f t="shared" si="48"/>
        <v>343083</v>
      </c>
      <c r="BL100" s="551">
        <f t="shared" si="49"/>
        <v>343083</v>
      </c>
      <c r="BM100" s="551">
        <f t="shared" si="50"/>
        <v>343083</v>
      </c>
      <c r="BN100" s="194"/>
      <c r="BO100" s="193">
        <f t="shared" si="51"/>
        <v>0</v>
      </c>
      <c r="BP100" s="193">
        <f t="shared" si="52"/>
        <v>0</v>
      </c>
      <c r="BQ100" s="193">
        <f t="shared" si="53"/>
        <v>0</v>
      </c>
      <c r="BR100" s="193">
        <f t="shared" si="54"/>
        <v>0</v>
      </c>
      <c r="BS100" s="193">
        <f t="shared" si="55"/>
        <v>0</v>
      </c>
      <c r="BT100" s="193">
        <f t="shared" si="56"/>
        <v>-0.27272727270610631</v>
      </c>
      <c r="BU100" s="193">
        <f t="shared" si="57"/>
        <v>-0.27272727270610631</v>
      </c>
    </row>
    <row r="101" spans="1:73">
      <c r="A101" s="193" t="s">
        <v>378</v>
      </c>
      <c r="B101" s="193" t="s">
        <v>379</v>
      </c>
      <c r="C101" s="193" t="s">
        <v>214</v>
      </c>
      <c r="D101" s="193" t="s">
        <v>1165</v>
      </c>
      <c r="E101" s="193" t="s">
        <v>1166</v>
      </c>
      <c r="F101" s="193" t="s">
        <v>2894</v>
      </c>
      <c r="G101" s="193" t="s">
        <v>2894</v>
      </c>
      <c r="H101" s="199" t="s">
        <v>3228</v>
      </c>
      <c r="I101" s="193" t="s">
        <v>1508</v>
      </c>
      <c r="J101" s="193" t="s">
        <v>3229</v>
      </c>
      <c r="K101" s="193" t="s">
        <v>386</v>
      </c>
      <c r="L101" s="193" t="s">
        <v>387</v>
      </c>
      <c r="M101" s="193" t="s">
        <v>378</v>
      </c>
      <c r="N101" s="193" t="s">
        <v>3028</v>
      </c>
      <c r="O101" s="193" t="s">
        <v>229</v>
      </c>
      <c r="P101" s="193" t="s">
        <v>228</v>
      </c>
      <c r="Q101" s="193" t="s">
        <v>27</v>
      </c>
      <c r="R101" s="193" t="s">
        <v>27</v>
      </c>
      <c r="S101" s="193" t="s">
        <v>214</v>
      </c>
      <c r="T101" s="193" t="s">
        <v>3029</v>
      </c>
      <c r="U101" s="193" t="s">
        <v>3030</v>
      </c>
      <c r="V101" s="193">
        <v>0</v>
      </c>
      <c r="W101" s="193">
        <v>0</v>
      </c>
      <c r="X101" s="193">
        <v>0</v>
      </c>
      <c r="Y101" s="194">
        <v>660527</v>
      </c>
      <c r="Z101" s="193" t="s">
        <v>3031</v>
      </c>
      <c r="AA101" s="193" t="s">
        <v>27</v>
      </c>
      <c r="AB101" s="193">
        <v>660527</v>
      </c>
      <c r="AC101" s="193" t="s">
        <v>2863</v>
      </c>
      <c r="AD101" s="193" t="s">
        <v>2864</v>
      </c>
      <c r="AE101" s="193">
        <v>660527</v>
      </c>
      <c r="AF101" s="193" t="s">
        <v>3012</v>
      </c>
      <c r="AG101" s="193" t="s">
        <v>395</v>
      </c>
      <c r="AH101" s="193">
        <v>60038</v>
      </c>
      <c r="AI101" s="193">
        <v>600489</v>
      </c>
      <c r="AJ101" s="193" t="s">
        <v>214</v>
      </c>
      <c r="AL101" s="197" t="s">
        <v>3230</v>
      </c>
      <c r="AM101" s="193">
        <v>1</v>
      </c>
      <c r="AN101" s="193">
        <v>0</v>
      </c>
      <c r="AO101" s="193">
        <v>0</v>
      </c>
      <c r="AP101" s="566">
        <v>0</v>
      </c>
      <c r="AQ101" s="193" t="s">
        <v>214</v>
      </c>
      <c r="AS101" s="565" t="s">
        <v>3012</v>
      </c>
      <c r="AT101" s="565" t="s">
        <v>395</v>
      </c>
      <c r="AV101" s="194">
        <v>0</v>
      </c>
      <c r="AW101" s="194">
        <v>0</v>
      </c>
      <c r="AX101" s="194">
        <v>0</v>
      </c>
      <c r="AY101" s="551">
        <v>0</v>
      </c>
      <c r="AZ101" s="194">
        <v>0</v>
      </c>
      <c r="BA101" s="194">
        <v>660527</v>
      </c>
      <c r="BB101" s="551">
        <v>660527</v>
      </c>
      <c r="BC101" s="551">
        <v>660527</v>
      </c>
      <c r="BD101" s="551">
        <v>0</v>
      </c>
      <c r="BF101" s="551">
        <f t="shared" si="43"/>
        <v>0</v>
      </c>
      <c r="BG101" s="551">
        <f t="shared" si="44"/>
        <v>0</v>
      </c>
      <c r="BH101" s="551">
        <f t="shared" si="45"/>
        <v>0</v>
      </c>
      <c r="BI101" s="551">
        <f t="shared" si="46"/>
        <v>0</v>
      </c>
      <c r="BJ101" s="551">
        <f t="shared" si="47"/>
        <v>0</v>
      </c>
      <c r="BK101" s="551">
        <f t="shared" si="48"/>
        <v>600479</v>
      </c>
      <c r="BL101" s="551">
        <f t="shared" si="49"/>
        <v>600479</v>
      </c>
      <c r="BM101" s="551">
        <f t="shared" si="50"/>
        <v>600479</v>
      </c>
      <c r="BN101" s="194"/>
      <c r="BO101" s="193">
        <f t="shared" si="51"/>
        <v>0</v>
      </c>
      <c r="BP101" s="193">
        <f t="shared" si="52"/>
        <v>0</v>
      </c>
      <c r="BQ101" s="193">
        <f t="shared" si="53"/>
        <v>0</v>
      </c>
      <c r="BR101" s="193">
        <f t="shared" si="54"/>
        <v>0</v>
      </c>
      <c r="BS101" s="193">
        <f t="shared" si="55"/>
        <v>0</v>
      </c>
      <c r="BT101" s="193">
        <f t="shared" si="56"/>
        <v>9.0909090940840542E-2</v>
      </c>
      <c r="BU101" s="193">
        <f t="shared" si="57"/>
        <v>9.0909090940840542E-2</v>
      </c>
    </row>
    <row r="102" spans="1:73">
      <c r="A102" s="193" t="s">
        <v>378</v>
      </c>
      <c r="B102" s="193" t="s">
        <v>379</v>
      </c>
      <c r="C102" s="193" t="s">
        <v>214</v>
      </c>
      <c r="D102" s="193" t="s">
        <v>1165</v>
      </c>
      <c r="E102" s="193" t="s">
        <v>1166</v>
      </c>
      <c r="F102" s="193" t="s">
        <v>2817</v>
      </c>
      <c r="G102" s="193" t="s">
        <v>2817</v>
      </c>
      <c r="H102" s="199" t="s">
        <v>3231</v>
      </c>
      <c r="I102" s="193" t="s">
        <v>1508</v>
      </c>
      <c r="J102" s="193" t="s">
        <v>3234</v>
      </c>
      <c r="K102" s="193" t="s">
        <v>386</v>
      </c>
      <c r="L102" s="193" t="s">
        <v>387</v>
      </c>
      <c r="M102" s="193" t="s">
        <v>378</v>
      </c>
      <c r="N102" s="193" t="s">
        <v>3028</v>
      </c>
      <c r="O102" s="193" t="s">
        <v>229</v>
      </c>
      <c r="P102" s="193" t="s">
        <v>228</v>
      </c>
      <c r="Q102" s="193" t="s">
        <v>27</v>
      </c>
      <c r="R102" s="193" t="s">
        <v>27</v>
      </c>
      <c r="S102" s="193" t="s">
        <v>214</v>
      </c>
      <c r="T102" s="193" t="s">
        <v>3029</v>
      </c>
      <c r="U102" s="193" t="s">
        <v>3030</v>
      </c>
      <c r="V102" s="193">
        <v>0</v>
      </c>
      <c r="W102" s="193">
        <v>0</v>
      </c>
      <c r="X102" s="193">
        <v>0</v>
      </c>
      <c r="Y102" s="194">
        <v>1529</v>
      </c>
      <c r="Z102" s="193" t="s">
        <v>3031</v>
      </c>
      <c r="AA102" s="193" t="s">
        <v>27</v>
      </c>
      <c r="AB102" s="193">
        <v>1529</v>
      </c>
      <c r="AC102" s="193" t="s">
        <v>2863</v>
      </c>
      <c r="AD102" s="193" t="s">
        <v>2864</v>
      </c>
      <c r="AE102" s="193">
        <v>1529</v>
      </c>
      <c r="AF102" s="193" t="s">
        <v>3012</v>
      </c>
      <c r="AG102" s="193" t="s">
        <v>395</v>
      </c>
      <c r="AH102" s="193">
        <v>139</v>
      </c>
      <c r="AI102" s="193">
        <v>1390</v>
      </c>
      <c r="AJ102" s="193" t="s">
        <v>214</v>
      </c>
      <c r="AL102" s="197" t="s">
        <v>3235</v>
      </c>
      <c r="AM102" s="193">
        <v>1</v>
      </c>
      <c r="AN102" s="193">
        <v>0</v>
      </c>
      <c r="AO102" s="193">
        <v>0</v>
      </c>
      <c r="AP102" s="566">
        <v>0</v>
      </c>
      <c r="AQ102" s="193" t="s">
        <v>214</v>
      </c>
      <c r="AS102" s="565" t="s">
        <v>3012</v>
      </c>
      <c r="AT102" s="565" t="s">
        <v>395</v>
      </c>
      <c r="AV102" s="194">
        <v>0</v>
      </c>
      <c r="AW102" s="194">
        <v>0</v>
      </c>
      <c r="AX102" s="194">
        <v>0</v>
      </c>
      <c r="AY102" s="551">
        <v>0</v>
      </c>
      <c r="AZ102" s="194">
        <v>0</v>
      </c>
      <c r="BA102" s="194">
        <v>1529</v>
      </c>
      <c r="BB102" s="551">
        <v>1529</v>
      </c>
      <c r="BC102" s="551">
        <v>1529</v>
      </c>
      <c r="BD102" s="551">
        <v>0</v>
      </c>
      <c r="BF102" s="551">
        <f t="shared" si="43"/>
        <v>0</v>
      </c>
      <c r="BG102" s="551">
        <f t="shared" si="44"/>
        <v>0</v>
      </c>
      <c r="BH102" s="551">
        <f t="shared" si="45"/>
        <v>0</v>
      </c>
      <c r="BI102" s="551">
        <f t="shared" si="46"/>
        <v>0</v>
      </c>
      <c r="BJ102" s="551">
        <f t="shared" si="47"/>
        <v>0</v>
      </c>
      <c r="BK102" s="551">
        <f t="shared" si="48"/>
        <v>1390</v>
      </c>
      <c r="BL102" s="551">
        <f t="shared" si="49"/>
        <v>1390</v>
      </c>
      <c r="BM102" s="551">
        <f t="shared" si="50"/>
        <v>1390</v>
      </c>
      <c r="BN102" s="194"/>
      <c r="BO102" s="193">
        <f t="shared" si="51"/>
        <v>0</v>
      </c>
      <c r="BP102" s="193">
        <f t="shared" si="52"/>
        <v>0</v>
      </c>
      <c r="BQ102" s="193">
        <f t="shared" si="53"/>
        <v>0</v>
      </c>
      <c r="BR102" s="193">
        <f t="shared" si="54"/>
        <v>0</v>
      </c>
      <c r="BS102" s="193">
        <f t="shared" si="55"/>
        <v>0</v>
      </c>
      <c r="BT102" s="193">
        <f t="shared" si="56"/>
        <v>0</v>
      </c>
      <c r="BU102" s="193">
        <f t="shared" si="57"/>
        <v>0</v>
      </c>
    </row>
    <row r="103" spans="1:73">
      <c r="A103" s="193" t="s">
        <v>378</v>
      </c>
      <c r="B103" s="193" t="s">
        <v>379</v>
      </c>
      <c r="C103" s="193" t="s">
        <v>214</v>
      </c>
      <c r="D103" s="193" t="s">
        <v>1165</v>
      </c>
      <c r="E103" s="193" t="s">
        <v>1166</v>
      </c>
      <c r="F103" s="193" t="s">
        <v>2817</v>
      </c>
      <c r="G103" s="193" t="s">
        <v>2817</v>
      </c>
      <c r="H103" s="199" t="s">
        <v>3231</v>
      </c>
      <c r="I103" s="193" t="s">
        <v>1508</v>
      </c>
      <c r="J103" s="193" t="s">
        <v>3232</v>
      </c>
      <c r="K103" s="193" t="s">
        <v>386</v>
      </c>
      <c r="L103" s="193" t="s">
        <v>387</v>
      </c>
      <c r="M103" s="193" t="s">
        <v>378</v>
      </c>
      <c r="N103" s="193" t="s">
        <v>3028</v>
      </c>
      <c r="O103" s="193" t="s">
        <v>229</v>
      </c>
      <c r="P103" s="193" t="s">
        <v>228</v>
      </c>
      <c r="Q103" s="193" t="s">
        <v>27</v>
      </c>
      <c r="R103" s="193" t="s">
        <v>27</v>
      </c>
      <c r="S103" s="193" t="s">
        <v>214</v>
      </c>
      <c r="T103" s="193" t="s">
        <v>3029</v>
      </c>
      <c r="U103" s="193" t="s">
        <v>3030</v>
      </c>
      <c r="V103" s="193">
        <v>0</v>
      </c>
      <c r="W103" s="193">
        <v>0</v>
      </c>
      <c r="X103" s="193">
        <v>0</v>
      </c>
      <c r="Y103" s="194">
        <v>1519</v>
      </c>
      <c r="Z103" s="193" t="s">
        <v>3031</v>
      </c>
      <c r="AA103" s="193" t="s">
        <v>27</v>
      </c>
      <c r="AB103" s="193">
        <v>1519</v>
      </c>
      <c r="AC103" s="193" t="s">
        <v>2863</v>
      </c>
      <c r="AD103" s="193" t="s">
        <v>2864</v>
      </c>
      <c r="AE103" s="193">
        <v>1519</v>
      </c>
      <c r="AF103" s="193" t="s">
        <v>3012</v>
      </c>
      <c r="AG103" s="193" t="s">
        <v>395</v>
      </c>
      <c r="AH103" s="193">
        <v>149</v>
      </c>
      <c r="AI103" s="193">
        <v>1370</v>
      </c>
      <c r="AJ103" s="193" t="s">
        <v>214</v>
      </c>
      <c r="AL103" s="197" t="s">
        <v>3233</v>
      </c>
      <c r="AM103" s="193">
        <v>1</v>
      </c>
      <c r="AN103" s="193">
        <v>0</v>
      </c>
      <c r="AO103" s="193">
        <v>0</v>
      </c>
      <c r="AP103" s="566">
        <v>0</v>
      </c>
      <c r="AQ103" s="193" t="s">
        <v>214</v>
      </c>
      <c r="AS103" s="565" t="s">
        <v>3012</v>
      </c>
      <c r="AT103" s="565" t="s">
        <v>395</v>
      </c>
      <c r="AV103" s="194">
        <v>0</v>
      </c>
      <c r="AW103" s="194">
        <v>0</v>
      </c>
      <c r="AX103" s="194">
        <v>0</v>
      </c>
      <c r="AY103" s="551">
        <v>0</v>
      </c>
      <c r="AZ103" s="194">
        <v>0</v>
      </c>
      <c r="BA103" s="194">
        <v>1519</v>
      </c>
      <c r="BB103" s="551">
        <v>1519</v>
      </c>
      <c r="BC103" s="551">
        <v>1519</v>
      </c>
      <c r="BD103" s="551">
        <v>0</v>
      </c>
      <c r="BF103" s="551">
        <f t="shared" si="43"/>
        <v>0</v>
      </c>
      <c r="BG103" s="551">
        <f t="shared" si="44"/>
        <v>0</v>
      </c>
      <c r="BH103" s="551">
        <f t="shared" si="45"/>
        <v>0</v>
      </c>
      <c r="BI103" s="551">
        <f t="shared" si="46"/>
        <v>0</v>
      </c>
      <c r="BJ103" s="551">
        <f t="shared" si="47"/>
        <v>0</v>
      </c>
      <c r="BK103" s="551">
        <f t="shared" si="48"/>
        <v>1381</v>
      </c>
      <c r="BL103" s="551">
        <f t="shared" si="49"/>
        <v>1381</v>
      </c>
      <c r="BM103" s="551">
        <f t="shared" si="50"/>
        <v>1381</v>
      </c>
      <c r="BN103" s="194"/>
      <c r="BO103" s="193">
        <f t="shared" si="51"/>
        <v>0</v>
      </c>
      <c r="BP103" s="193">
        <f t="shared" si="52"/>
        <v>0</v>
      </c>
      <c r="BQ103" s="193">
        <f t="shared" si="53"/>
        <v>0</v>
      </c>
      <c r="BR103" s="193">
        <f t="shared" si="54"/>
        <v>0</v>
      </c>
      <c r="BS103" s="193">
        <f t="shared" si="55"/>
        <v>0</v>
      </c>
      <c r="BT103" s="193">
        <f t="shared" si="56"/>
        <v>-9.0909090909008228E-2</v>
      </c>
      <c r="BU103" s="193">
        <f t="shared" si="57"/>
        <v>-9.0909090909008228E-2</v>
      </c>
    </row>
    <row r="104" spans="1:73">
      <c r="A104" s="193" t="s">
        <v>378</v>
      </c>
      <c r="B104" s="193" t="s">
        <v>379</v>
      </c>
      <c r="C104" s="193" t="s">
        <v>214</v>
      </c>
      <c r="D104" s="193" t="s">
        <v>1165</v>
      </c>
      <c r="E104" s="193" t="s">
        <v>1166</v>
      </c>
      <c r="F104" s="193" t="s">
        <v>2776</v>
      </c>
      <c r="G104" s="193" t="s">
        <v>2776</v>
      </c>
      <c r="H104" s="199" t="s">
        <v>3231</v>
      </c>
      <c r="I104" s="193" t="s">
        <v>1508</v>
      </c>
      <c r="J104" s="193" t="s">
        <v>3236</v>
      </c>
      <c r="K104" s="193" t="s">
        <v>386</v>
      </c>
      <c r="L104" s="193" t="s">
        <v>387</v>
      </c>
      <c r="M104" s="193" t="s">
        <v>378</v>
      </c>
      <c r="N104" s="193" t="s">
        <v>3028</v>
      </c>
      <c r="O104" s="193" t="s">
        <v>229</v>
      </c>
      <c r="P104" s="193" t="s">
        <v>228</v>
      </c>
      <c r="Q104" s="193" t="s">
        <v>27</v>
      </c>
      <c r="R104" s="193" t="s">
        <v>27</v>
      </c>
      <c r="S104" s="193" t="s">
        <v>214</v>
      </c>
      <c r="T104" s="193" t="s">
        <v>3029</v>
      </c>
      <c r="U104" s="193" t="s">
        <v>3030</v>
      </c>
      <c r="V104" s="193">
        <v>0</v>
      </c>
      <c r="W104" s="193">
        <v>0</v>
      </c>
      <c r="X104" s="193">
        <v>0</v>
      </c>
      <c r="Y104" s="193">
        <v>1540</v>
      </c>
      <c r="Z104" s="193" t="s">
        <v>3031</v>
      </c>
      <c r="AA104" s="193" t="s">
        <v>27</v>
      </c>
      <c r="AB104" s="193">
        <v>1540</v>
      </c>
      <c r="AC104" s="193" t="s">
        <v>2863</v>
      </c>
      <c r="AD104" s="193" t="s">
        <v>2864</v>
      </c>
      <c r="AE104" s="193">
        <v>1540</v>
      </c>
      <c r="AF104" s="193" t="s">
        <v>3012</v>
      </c>
      <c r="AG104" s="193" t="s">
        <v>395</v>
      </c>
      <c r="AH104" s="193">
        <v>140</v>
      </c>
      <c r="AI104" s="193">
        <v>1400</v>
      </c>
      <c r="AJ104" s="193" t="s">
        <v>214</v>
      </c>
      <c r="AL104" s="193" t="s">
        <v>3237</v>
      </c>
      <c r="AM104" s="193">
        <v>1</v>
      </c>
      <c r="AN104" s="193">
        <v>0</v>
      </c>
      <c r="AO104" s="193">
        <v>0</v>
      </c>
      <c r="AP104" s="566">
        <v>0</v>
      </c>
      <c r="AQ104" s="193" t="s">
        <v>214</v>
      </c>
      <c r="AS104" s="566" t="s">
        <v>3012</v>
      </c>
      <c r="AT104" s="566" t="s">
        <v>395</v>
      </c>
      <c r="AV104" s="194">
        <v>0</v>
      </c>
      <c r="AW104" s="194">
        <v>0</v>
      </c>
      <c r="AX104" s="194">
        <v>0</v>
      </c>
      <c r="AY104" s="551">
        <v>0</v>
      </c>
      <c r="AZ104" s="194">
        <v>0</v>
      </c>
      <c r="BA104" s="194">
        <v>1540</v>
      </c>
      <c r="BB104" s="551">
        <v>1540</v>
      </c>
      <c r="BC104" s="551">
        <v>1540</v>
      </c>
      <c r="BD104" s="551">
        <v>0</v>
      </c>
      <c r="BF104" s="551">
        <f t="shared" si="43"/>
        <v>0</v>
      </c>
      <c r="BG104" s="551">
        <f t="shared" si="44"/>
        <v>0</v>
      </c>
      <c r="BH104" s="551">
        <f t="shared" si="45"/>
        <v>0</v>
      </c>
      <c r="BI104" s="551">
        <f t="shared" si="46"/>
        <v>0</v>
      </c>
      <c r="BJ104" s="551">
        <f t="shared" si="47"/>
        <v>0</v>
      </c>
      <c r="BK104" s="551">
        <f t="shared" si="48"/>
        <v>1400</v>
      </c>
      <c r="BL104" s="551">
        <f t="shared" si="49"/>
        <v>1400</v>
      </c>
      <c r="BM104" s="551">
        <f t="shared" si="50"/>
        <v>1400</v>
      </c>
      <c r="BO104" s="193">
        <f t="shared" si="51"/>
        <v>0</v>
      </c>
      <c r="BP104" s="193">
        <f t="shared" si="52"/>
        <v>0</v>
      </c>
      <c r="BQ104" s="193">
        <f t="shared" si="53"/>
        <v>0</v>
      </c>
      <c r="BR104" s="193">
        <f t="shared" si="54"/>
        <v>0</v>
      </c>
      <c r="BS104" s="193">
        <f t="shared" si="55"/>
        <v>0</v>
      </c>
      <c r="BT104" s="193">
        <f t="shared" si="56"/>
        <v>0</v>
      </c>
      <c r="BU104" s="193">
        <f t="shared" si="57"/>
        <v>0</v>
      </c>
    </row>
    <row r="105" spans="1:73">
      <c r="A105" s="193" t="s">
        <v>378</v>
      </c>
      <c r="B105" s="193" t="s">
        <v>379</v>
      </c>
      <c r="C105" s="193" t="s">
        <v>214</v>
      </c>
      <c r="D105" s="193" t="s">
        <v>1165</v>
      </c>
      <c r="E105" s="193" t="s">
        <v>1166</v>
      </c>
      <c r="F105" s="193" t="s">
        <v>2776</v>
      </c>
      <c r="G105" s="193" t="s">
        <v>2776</v>
      </c>
      <c r="H105" s="199" t="s">
        <v>3231</v>
      </c>
      <c r="I105" s="193" t="s">
        <v>1508</v>
      </c>
      <c r="J105" s="193" t="s">
        <v>3238</v>
      </c>
      <c r="K105" s="193" t="s">
        <v>386</v>
      </c>
      <c r="L105" s="193" t="s">
        <v>387</v>
      </c>
      <c r="M105" s="193" t="s">
        <v>378</v>
      </c>
      <c r="N105" s="193" t="s">
        <v>3028</v>
      </c>
      <c r="O105" s="193" t="s">
        <v>229</v>
      </c>
      <c r="P105" s="193" t="s">
        <v>228</v>
      </c>
      <c r="Q105" s="193" t="s">
        <v>27</v>
      </c>
      <c r="R105" s="193" t="s">
        <v>27</v>
      </c>
      <c r="S105" s="193" t="s">
        <v>214</v>
      </c>
      <c r="T105" s="193" t="s">
        <v>3029</v>
      </c>
      <c r="U105" s="193" t="s">
        <v>3030</v>
      </c>
      <c r="V105" s="193">
        <v>0</v>
      </c>
      <c r="W105" s="193">
        <v>0</v>
      </c>
      <c r="X105" s="193">
        <v>0</v>
      </c>
      <c r="Y105" s="193">
        <v>10403</v>
      </c>
      <c r="Z105" s="193" t="s">
        <v>3031</v>
      </c>
      <c r="AA105" s="193" t="s">
        <v>27</v>
      </c>
      <c r="AB105" s="193">
        <v>10403</v>
      </c>
      <c r="AC105" s="193" t="s">
        <v>2863</v>
      </c>
      <c r="AD105" s="193" t="s">
        <v>2864</v>
      </c>
      <c r="AE105" s="193">
        <v>10403</v>
      </c>
      <c r="AF105" s="193" t="s">
        <v>3012</v>
      </c>
      <c r="AG105" s="193" t="s">
        <v>395</v>
      </c>
      <c r="AH105" s="193">
        <v>944</v>
      </c>
      <c r="AI105" s="193">
        <v>9459</v>
      </c>
      <c r="AJ105" s="193" t="s">
        <v>214</v>
      </c>
      <c r="AL105" s="193" t="s">
        <v>3239</v>
      </c>
      <c r="AM105" s="193">
        <v>1</v>
      </c>
      <c r="AN105" s="193">
        <v>0</v>
      </c>
      <c r="AO105" s="193">
        <v>0</v>
      </c>
      <c r="AP105" s="566">
        <v>0</v>
      </c>
      <c r="AQ105" s="193" t="s">
        <v>214</v>
      </c>
      <c r="AS105" s="566" t="s">
        <v>3012</v>
      </c>
      <c r="AT105" s="566" t="s">
        <v>395</v>
      </c>
      <c r="AV105" s="194">
        <v>0</v>
      </c>
      <c r="AW105" s="194">
        <v>0</v>
      </c>
      <c r="AX105" s="194">
        <v>0</v>
      </c>
      <c r="AY105" s="551">
        <v>0</v>
      </c>
      <c r="AZ105" s="194">
        <v>0</v>
      </c>
      <c r="BA105" s="194">
        <v>10403</v>
      </c>
      <c r="BB105" s="551">
        <v>10403</v>
      </c>
      <c r="BC105" s="551">
        <v>10403</v>
      </c>
      <c r="BD105" s="551">
        <v>0</v>
      </c>
      <c r="BF105" s="551">
        <f t="shared" si="43"/>
        <v>0</v>
      </c>
      <c r="BG105" s="551">
        <f t="shared" si="44"/>
        <v>0</v>
      </c>
      <c r="BH105" s="551">
        <f t="shared" si="45"/>
        <v>0</v>
      </c>
      <c r="BI105" s="551">
        <f t="shared" si="46"/>
        <v>0</v>
      </c>
      <c r="BJ105" s="551">
        <f t="shared" si="47"/>
        <v>0</v>
      </c>
      <c r="BK105" s="551">
        <f t="shared" si="48"/>
        <v>9457</v>
      </c>
      <c r="BL105" s="551">
        <f t="shared" si="49"/>
        <v>9457</v>
      </c>
      <c r="BM105" s="551">
        <f t="shared" si="50"/>
        <v>9457</v>
      </c>
      <c r="BO105" s="193">
        <f t="shared" si="51"/>
        <v>0</v>
      </c>
      <c r="BP105" s="193">
        <f t="shared" si="52"/>
        <v>0</v>
      </c>
      <c r="BQ105" s="193">
        <f t="shared" si="53"/>
        <v>0</v>
      </c>
      <c r="BR105" s="193">
        <f t="shared" si="54"/>
        <v>0</v>
      </c>
      <c r="BS105" s="193">
        <f t="shared" si="55"/>
        <v>0</v>
      </c>
      <c r="BT105" s="193">
        <f t="shared" si="56"/>
        <v>0.27272727272793418</v>
      </c>
      <c r="BU105" s="193">
        <f t="shared" si="57"/>
        <v>0.27272727272793418</v>
      </c>
    </row>
    <row r="106" spans="1:73">
      <c r="A106" s="193" t="s">
        <v>378</v>
      </c>
      <c r="B106" s="193" t="s">
        <v>379</v>
      </c>
      <c r="C106" s="193" t="s">
        <v>214</v>
      </c>
      <c r="D106" s="193" t="s">
        <v>1165</v>
      </c>
      <c r="E106" s="193" t="s">
        <v>1166</v>
      </c>
      <c r="F106" s="193" t="s">
        <v>1487</v>
      </c>
      <c r="G106" s="193" t="s">
        <v>1487</v>
      </c>
      <c r="H106" s="199" t="s">
        <v>3231</v>
      </c>
      <c r="I106" s="193" t="s">
        <v>1508</v>
      </c>
      <c r="J106" s="193" t="s">
        <v>3240</v>
      </c>
      <c r="K106" s="193" t="s">
        <v>386</v>
      </c>
      <c r="L106" s="193" t="s">
        <v>387</v>
      </c>
      <c r="M106" s="193" t="s">
        <v>378</v>
      </c>
      <c r="N106" s="193" t="s">
        <v>3028</v>
      </c>
      <c r="O106" s="193" t="s">
        <v>229</v>
      </c>
      <c r="P106" s="193" t="s">
        <v>228</v>
      </c>
      <c r="Q106" s="193" t="s">
        <v>27</v>
      </c>
      <c r="R106" s="193" t="s">
        <v>27</v>
      </c>
      <c r="S106" s="193" t="s">
        <v>214</v>
      </c>
      <c r="T106" s="193" t="s">
        <v>3029</v>
      </c>
      <c r="U106" s="193" t="s">
        <v>3030</v>
      </c>
      <c r="V106" s="193">
        <v>0</v>
      </c>
      <c r="W106" s="193">
        <v>0</v>
      </c>
      <c r="X106" s="193">
        <v>0</v>
      </c>
      <c r="Y106" s="193">
        <v>18931</v>
      </c>
      <c r="Z106" s="193" t="s">
        <v>3031</v>
      </c>
      <c r="AA106" s="193" t="s">
        <v>27</v>
      </c>
      <c r="AB106" s="193">
        <v>18931</v>
      </c>
      <c r="AC106" s="193" t="s">
        <v>2863</v>
      </c>
      <c r="AD106" s="193" t="s">
        <v>2864</v>
      </c>
      <c r="AE106" s="193">
        <v>18931</v>
      </c>
      <c r="AF106" s="193" t="s">
        <v>3012</v>
      </c>
      <c r="AG106" s="193" t="s">
        <v>395</v>
      </c>
      <c r="AH106" s="193">
        <v>1720</v>
      </c>
      <c r="AI106" s="193">
        <v>17211</v>
      </c>
      <c r="AJ106" s="193" t="s">
        <v>214</v>
      </c>
      <c r="AL106" s="193" t="s">
        <v>3241</v>
      </c>
      <c r="AM106" s="193">
        <v>1</v>
      </c>
      <c r="AN106" s="193">
        <v>0</v>
      </c>
      <c r="AO106" s="193">
        <v>0</v>
      </c>
      <c r="AP106" s="566">
        <v>0</v>
      </c>
      <c r="AQ106" s="193" t="s">
        <v>214</v>
      </c>
      <c r="AS106" s="566" t="s">
        <v>3012</v>
      </c>
      <c r="AT106" s="566" t="s">
        <v>395</v>
      </c>
      <c r="AV106" s="194">
        <v>0</v>
      </c>
      <c r="AW106" s="194">
        <v>0</v>
      </c>
      <c r="AX106" s="194">
        <v>0</v>
      </c>
      <c r="AY106" s="551">
        <v>0</v>
      </c>
      <c r="AZ106" s="194">
        <v>0</v>
      </c>
      <c r="BA106" s="194">
        <v>18931</v>
      </c>
      <c r="BB106" s="551">
        <v>18931</v>
      </c>
      <c r="BC106" s="551">
        <v>18931</v>
      </c>
      <c r="BD106" s="551">
        <v>0</v>
      </c>
      <c r="BF106" s="551">
        <f t="shared" si="43"/>
        <v>0</v>
      </c>
      <c r="BG106" s="551">
        <f t="shared" si="44"/>
        <v>0</v>
      </c>
      <c r="BH106" s="551">
        <f t="shared" si="45"/>
        <v>0</v>
      </c>
      <c r="BI106" s="551">
        <f t="shared" si="46"/>
        <v>0</v>
      </c>
      <c r="BJ106" s="551">
        <f t="shared" si="47"/>
        <v>0</v>
      </c>
      <c r="BK106" s="551">
        <f t="shared" si="48"/>
        <v>17210</v>
      </c>
      <c r="BL106" s="551">
        <f t="shared" si="49"/>
        <v>17210</v>
      </c>
      <c r="BM106" s="551">
        <f t="shared" si="50"/>
        <v>17210</v>
      </c>
      <c r="BO106" s="193">
        <f t="shared" si="51"/>
        <v>0</v>
      </c>
      <c r="BP106" s="193">
        <f t="shared" si="52"/>
        <v>0</v>
      </c>
      <c r="BQ106" s="193">
        <f t="shared" si="53"/>
        <v>0</v>
      </c>
      <c r="BR106" s="193">
        <f t="shared" si="54"/>
        <v>0</v>
      </c>
      <c r="BS106" s="193">
        <f t="shared" si="55"/>
        <v>0</v>
      </c>
      <c r="BT106" s="193">
        <f t="shared" si="56"/>
        <v>0</v>
      </c>
      <c r="BU106" s="193">
        <f t="shared" si="57"/>
        <v>0</v>
      </c>
    </row>
    <row r="107" spans="1:73">
      <c r="A107" s="193" t="s">
        <v>378</v>
      </c>
      <c r="B107" s="193" t="s">
        <v>379</v>
      </c>
      <c r="C107" s="193" t="s">
        <v>214</v>
      </c>
      <c r="D107" s="193" t="s">
        <v>1165</v>
      </c>
      <c r="E107" s="193" t="s">
        <v>1166</v>
      </c>
      <c r="F107" s="193" t="s">
        <v>2776</v>
      </c>
      <c r="G107" s="193" t="s">
        <v>2776</v>
      </c>
      <c r="H107" s="199" t="s">
        <v>3242</v>
      </c>
      <c r="I107" s="193" t="s">
        <v>1508</v>
      </c>
      <c r="J107" s="193" t="s">
        <v>3243</v>
      </c>
      <c r="K107" s="193" t="s">
        <v>386</v>
      </c>
      <c r="L107" s="193" t="s">
        <v>387</v>
      </c>
      <c r="M107" s="193" t="s">
        <v>378</v>
      </c>
      <c r="N107" s="193" t="s">
        <v>3028</v>
      </c>
      <c r="O107" s="193" t="s">
        <v>229</v>
      </c>
      <c r="P107" s="193" t="s">
        <v>228</v>
      </c>
      <c r="Q107" s="193" t="s">
        <v>27</v>
      </c>
      <c r="R107" s="193" t="s">
        <v>27</v>
      </c>
      <c r="S107" s="193" t="s">
        <v>214</v>
      </c>
      <c r="T107" s="193" t="s">
        <v>3029</v>
      </c>
      <c r="U107" s="193" t="s">
        <v>3030</v>
      </c>
      <c r="V107" s="193">
        <v>0</v>
      </c>
      <c r="W107" s="193">
        <v>0</v>
      </c>
      <c r="X107" s="193">
        <v>0</v>
      </c>
      <c r="Y107" s="193">
        <v>23778</v>
      </c>
      <c r="Z107" s="193" t="s">
        <v>3031</v>
      </c>
      <c r="AA107" s="193" t="s">
        <v>27</v>
      </c>
      <c r="AB107" s="193">
        <v>23778</v>
      </c>
      <c r="AC107" s="193" t="s">
        <v>2863</v>
      </c>
      <c r="AD107" s="193" t="s">
        <v>2864</v>
      </c>
      <c r="AE107" s="193">
        <v>23778</v>
      </c>
      <c r="AF107" s="193" t="s">
        <v>3012</v>
      </c>
      <c r="AG107" s="193" t="s">
        <v>395</v>
      </c>
      <c r="AH107" s="193">
        <v>2162</v>
      </c>
      <c r="AI107" s="193">
        <v>21616</v>
      </c>
      <c r="AJ107" s="193" t="s">
        <v>214</v>
      </c>
      <c r="AL107" s="193" t="s">
        <v>3244</v>
      </c>
      <c r="AM107" s="193">
        <v>1</v>
      </c>
      <c r="AN107" s="193">
        <v>0</v>
      </c>
      <c r="AO107" s="193">
        <v>0</v>
      </c>
      <c r="AP107" s="566">
        <v>0</v>
      </c>
      <c r="AQ107" s="193" t="s">
        <v>214</v>
      </c>
      <c r="AS107" s="566" t="s">
        <v>3012</v>
      </c>
      <c r="AT107" s="566" t="s">
        <v>395</v>
      </c>
      <c r="AV107" s="194">
        <v>0</v>
      </c>
      <c r="AW107" s="194">
        <v>0</v>
      </c>
      <c r="AX107" s="194">
        <v>0</v>
      </c>
      <c r="AY107" s="551">
        <v>0</v>
      </c>
      <c r="AZ107" s="194">
        <v>0</v>
      </c>
      <c r="BA107" s="194">
        <v>23778</v>
      </c>
      <c r="BB107" s="551">
        <v>23778</v>
      </c>
      <c r="BC107" s="551">
        <v>23778</v>
      </c>
      <c r="BD107" s="551">
        <v>0</v>
      </c>
      <c r="BF107" s="551">
        <f t="shared" si="43"/>
        <v>0</v>
      </c>
      <c r="BG107" s="551">
        <f t="shared" si="44"/>
        <v>0</v>
      </c>
      <c r="BH107" s="551">
        <f t="shared" si="45"/>
        <v>0</v>
      </c>
      <c r="BI107" s="551">
        <f t="shared" si="46"/>
        <v>0</v>
      </c>
      <c r="BJ107" s="551">
        <f t="shared" si="47"/>
        <v>0</v>
      </c>
      <c r="BK107" s="551">
        <f t="shared" si="48"/>
        <v>21616</v>
      </c>
      <c r="BL107" s="551">
        <f t="shared" si="49"/>
        <v>21616</v>
      </c>
      <c r="BM107" s="551">
        <f t="shared" si="50"/>
        <v>21616</v>
      </c>
      <c r="BO107" s="193">
        <f t="shared" si="51"/>
        <v>0</v>
      </c>
      <c r="BP107" s="193">
        <f t="shared" si="52"/>
        <v>0</v>
      </c>
      <c r="BQ107" s="193">
        <f t="shared" si="53"/>
        <v>0</v>
      </c>
      <c r="BR107" s="193">
        <f t="shared" si="54"/>
        <v>0</v>
      </c>
      <c r="BS107" s="193">
        <f t="shared" si="55"/>
        <v>0</v>
      </c>
      <c r="BT107" s="193">
        <f t="shared" si="56"/>
        <v>0.36363636363603291</v>
      </c>
      <c r="BU107" s="193">
        <f t="shared" si="57"/>
        <v>0.36363636363603291</v>
      </c>
    </row>
    <row r="108" spans="1:73">
      <c r="A108" s="193" t="s">
        <v>378</v>
      </c>
      <c r="B108" s="193" t="s">
        <v>379</v>
      </c>
      <c r="C108" s="193" t="s">
        <v>214</v>
      </c>
      <c r="D108" s="193" t="s">
        <v>1165</v>
      </c>
      <c r="E108" s="193" t="s">
        <v>1166</v>
      </c>
      <c r="F108" s="193" t="s">
        <v>2776</v>
      </c>
      <c r="G108" s="193" t="s">
        <v>2776</v>
      </c>
      <c r="H108" s="199" t="s">
        <v>3245</v>
      </c>
      <c r="I108" s="193" t="s">
        <v>1508</v>
      </c>
      <c r="J108" s="193" t="s">
        <v>3246</v>
      </c>
      <c r="K108" s="193" t="s">
        <v>386</v>
      </c>
      <c r="L108" s="193" t="s">
        <v>387</v>
      </c>
      <c r="M108" s="193" t="s">
        <v>378</v>
      </c>
      <c r="N108" s="193" t="s">
        <v>3028</v>
      </c>
      <c r="O108" s="193" t="s">
        <v>229</v>
      </c>
      <c r="P108" s="193" t="s">
        <v>228</v>
      </c>
      <c r="Q108" s="193" t="s">
        <v>27</v>
      </c>
      <c r="R108" s="193" t="s">
        <v>27</v>
      </c>
      <c r="S108" s="193" t="s">
        <v>214</v>
      </c>
      <c r="T108" s="193" t="s">
        <v>3029</v>
      </c>
      <c r="U108" s="193" t="s">
        <v>3030</v>
      </c>
      <c r="V108" s="193">
        <v>0</v>
      </c>
      <c r="W108" s="193">
        <v>0</v>
      </c>
      <c r="X108" s="193">
        <v>0</v>
      </c>
      <c r="Y108" s="193">
        <v>3822</v>
      </c>
      <c r="Z108" s="193" t="s">
        <v>3031</v>
      </c>
      <c r="AA108" s="193" t="s">
        <v>27</v>
      </c>
      <c r="AB108" s="193">
        <v>3822</v>
      </c>
      <c r="AC108" s="193" t="s">
        <v>2863</v>
      </c>
      <c r="AD108" s="193" t="s">
        <v>2864</v>
      </c>
      <c r="AE108" s="193">
        <v>3822</v>
      </c>
      <c r="AF108" s="193" t="s">
        <v>3012</v>
      </c>
      <c r="AG108" s="193" t="s">
        <v>395</v>
      </c>
      <c r="AH108" s="193">
        <v>347</v>
      </c>
      <c r="AI108" s="193">
        <v>3475</v>
      </c>
      <c r="AJ108" s="193" t="s">
        <v>214</v>
      </c>
      <c r="AL108" s="193" t="s">
        <v>3247</v>
      </c>
      <c r="AM108" s="193">
        <v>1</v>
      </c>
      <c r="AN108" s="193">
        <v>0</v>
      </c>
      <c r="AO108" s="193">
        <v>0</v>
      </c>
      <c r="AP108" s="566">
        <v>0</v>
      </c>
      <c r="AQ108" s="193" t="s">
        <v>214</v>
      </c>
      <c r="AS108" s="566" t="s">
        <v>3012</v>
      </c>
      <c r="AT108" s="566" t="s">
        <v>395</v>
      </c>
      <c r="AV108" s="194">
        <v>0</v>
      </c>
      <c r="AW108" s="194">
        <v>0</v>
      </c>
      <c r="AX108" s="194">
        <v>0</v>
      </c>
      <c r="AY108" s="551">
        <v>0</v>
      </c>
      <c r="AZ108" s="194">
        <v>0</v>
      </c>
      <c r="BA108" s="194">
        <v>3822</v>
      </c>
      <c r="BB108" s="551">
        <v>3822</v>
      </c>
      <c r="BC108" s="551">
        <v>3822</v>
      </c>
      <c r="BD108" s="551">
        <v>0</v>
      </c>
      <c r="BF108" s="551">
        <f t="shared" si="43"/>
        <v>0</v>
      </c>
      <c r="BG108" s="551">
        <f t="shared" si="44"/>
        <v>0</v>
      </c>
      <c r="BH108" s="551">
        <f t="shared" si="45"/>
        <v>0</v>
      </c>
      <c r="BI108" s="551">
        <f t="shared" si="46"/>
        <v>0</v>
      </c>
      <c r="BJ108" s="551">
        <f t="shared" si="47"/>
        <v>0</v>
      </c>
      <c r="BK108" s="551">
        <f t="shared" si="48"/>
        <v>3475</v>
      </c>
      <c r="BL108" s="551">
        <f t="shared" si="49"/>
        <v>3475</v>
      </c>
      <c r="BM108" s="551">
        <f t="shared" si="50"/>
        <v>3475</v>
      </c>
      <c r="BO108" s="193">
        <f t="shared" si="51"/>
        <v>0</v>
      </c>
      <c r="BP108" s="193">
        <f t="shared" si="52"/>
        <v>0</v>
      </c>
      <c r="BQ108" s="193">
        <f t="shared" si="53"/>
        <v>0</v>
      </c>
      <c r="BR108" s="193">
        <f t="shared" si="54"/>
        <v>0</v>
      </c>
      <c r="BS108" s="193">
        <f t="shared" si="55"/>
        <v>0</v>
      </c>
      <c r="BT108" s="193">
        <f t="shared" si="56"/>
        <v>-0.45454545454549589</v>
      </c>
      <c r="BU108" s="193">
        <f t="shared" si="57"/>
        <v>-0.45454545454549589</v>
      </c>
    </row>
    <row r="109" spans="1:73">
      <c r="A109" s="193" t="s">
        <v>378</v>
      </c>
      <c r="B109" s="193" t="s">
        <v>379</v>
      </c>
      <c r="C109" s="193" t="s">
        <v>214</v>
      </c>
      <c r="D109" s="193" t="s">
        <v>1165</v>
      </c>
      <c r="E109" s="193" t="s">
        <v>1166</v>
      </c>
      <c r="F109" s="193" t="s">
        <v>2776</v>
      </c>
      <c r="G109" s="193" t="s">
        <v>2776</v>
      </c>
      <c r="H109" s="199" t="s">
        <v>3248</v>
      </c>
      <c r="I109" s="193" t="s">
        <v>1508</v>
      </c>
      <c r="J109" s="193" t="s">
        <v>3249</v>
      </c>
      <c r="K109" s="193" t="s">
        <v>386</v>
      </c>
      <c r="L109" s="193" t="s">
        <v>387</v>
      </c>
      <c r="M109" s="193" t="s">
        <v>378</v>
      </c>
      <c r="N109" s="193" t="s">
        <v>3028</v>
      </c>
      <c r="O109" s="193" t="s">
        <v>229</v>
      </c>
      <c r="P109" s="193" t="s">
        <v>228</v>
      </c>
      <c r="Q109" s="193" t="s">
        <v>27</v>
      </c>
      <c r="R109" s="193" t="s">
        <v>27</v>
      </c>
      <c r="S109" s="193" t="s">
        <v>214</v>
      </c>
      <c r="T109" s="193" t="s">
        <v>3029</v>
      </c>
      <c r="U109" s="193" t="s">
        <v>3030</v>
      </c>
      <c r="V109" s="193">
        <v>0</v>
      </c>
      <c r="W109" s="193">
        <v>0</v>
      </c>
      <c r="X109" s="193">
        <v>0</v>
      </c>
      <c r="Y109" s="193">
        <v>286529</v>
      </c>
      <c r="Z109" s="193" t="s">
        <v>3031</v>
      </c>
      <c r="AA109" s="193" t="s">
        <v>27</v>
      </c>
      <c r="AB109" s="193">
        <v>286529</v>
      </c>
      <c r="AC109" s="193" t="s">
        <v>2863</v>
      </c>
      <c r="AD109" s="193" t="s">
        <v>2864</v>
      </c>
      <c r="AE109" s="193">
        <v>286529</v>
      </c>
      <c r="AF109" s="193" t="s">
        <v>3012</v>
      </c>
      <c r="AG109" s="193" t="s">
        <v>395</v>
      </c>
      <c r="AH109" s="193">
        <v>26048</v>
      </c>
      <c r="AI109" s="193">
        <v>260481</v>
      </c>
      <c r="AJ109" s="193" t="s">
        <v>214</v>
      </c>
      <c r="AL109" s="193" t="s">
        <v>3250</v>
      </c>
      <c r="AM109" s="193">
        <v>1</v>
      </c>
      <c r="AN109" s="193">
        <v>0</v>
      </c>
      <c r="AO109" s="193">
        <v>0</v>
      </c>
      <c r="AP109" s="566">
        <v>0</v>
      </c>
      <c r="AQ109" s="193" t="s">
        <v>214</v>
      </c>
      <c r="AS109" s="566" t="s">
        <v>3012</v>
      </c>
      <c r="AT109" s="566" t="s">
        <v>395</v>
      </c>
      <c r="AV109" s="194">
        <v>0</v>
      </c>
      <c r="AW109" s="194">
        <v>0</v>
      </c>
      <c r="AX109" s="194">
        <v>0</v>
      </c>
      <c r="AY109" s="551">
        <v>0</v>
      </c>
      <c r="AZ109" s="194">
        <v>0</v>
      </c>
      <c r="BA109" s="194">
        <v>286529</v>
      </c>
      <c r="BB109" s="551">
        <v>286529</v>
      </c>
      <c r="BC109" s="551">
        <v>286529</v>
      </c>
      <c r="BD109" s="551">
        <v>0</v>
      </c>
      <c r="BF109" s="551">
        <f t="shared" si="43"/>
        <v>0</v>
      </c>
      <c r="BG109" s="551">
        <f t="shared" si="44"/>
        <v>0</v>
      </c>
      <c r="BH109" s="551">
        <f t="shared" si="45"/>
        <v>0</v>
      </c>
      <c r="BI109" s="551">
        <f t="shared" si="46"/>
        <v>0</v>
      </c>
      <c r="BJ109" s="551">
        <f t="shared" si="47"/>
        <v>0</v>
      </c>
      <c r="BK109" s="551">
        <f t="shared" si="48"/>
        <v>260481</v>
      </c>
      <c r="BL109" s="551">
        <f t="shared" si="49"/>
        <v>260481</v>
      </c>
      <c r="BM109" s="551">
        <f t="shared" si="50"/>
        <v>260481</v>
      </c>
      <c r="BO109" s="193">
        <f t="shared" si="51"/>
        <v>0</v>
      </c>
      <c r="BP109" s="193">
        <f t="shared" si="52"/>
        <v>0</v>
      </c>
      <c r="BQ109" s="193">
        <f t="shared" si="53"/>
        <v>0</v>
      </c>
      <c r="BR109" s="193">
        <f t="shared" si="54"/>
        <v>0</v>
      </c>
      <c r="BS109" s="193">
        <f t="shared" si="55"/>
        <v>0</v>
      </c>
      <c r="BT109" s="193">
        <f t="shared" si="56"/>
        <v>-9.0909090911736712E-2</v>
      </c>
      <c r="BU109" s="193">
        <f t="shared" si="57"/>
        <v>-9.0909090911736712E-2</v>
      </c>
    </row>
    <row r="110" spans="1:73">
      <c r="A110" s="193" t="s">
        <v>378</v>
      </c>
      <c r="B110" s="193" t="s">
        <v>379</v>
      </c>
      <c r="C110" s="193" t="s">
        <v>214</v>
      </c>
      <c r="D110" s="193" t="s">
        <v>1165</v>
      </c>
      <c r="E110" s="193" t="s">
        <v>1166</v>
      </c>
      <c r="F110" s="193" t="s">
        <v>2776</v>
      </c>
      <c r="G110" s="193" t="s">
        <v>2776</v>
      </c>
      <c r="H110" s="199" t="s">
        <v>3248</v>
      </c>
      <c r="I110" s="193" t="s">
        <v>1508</v>
      </c>
      <c r="J110" s="193" t="s">
        <v>3251</v>
      </c>
      <c r="K110" s="193" t="s">
        <v>386</v>
      </c>
      <c r="L110" s="193" t="s">
        <v>387</v>
      </c>
      <c r="M110" s="193" t="s">
        <v>378</v>
      </c>
      <c r="N110" s="193" t="s">
        <v>3028</v>
      </c>
      <c r="O110" s="193" t="s">
        <v>229</v>
      </c>
      <c r="P110" s="193" t="s">
        <v>228</v>
      </c>
      <c r="Q110" s="193" t="s">
        <v>27</v>
      </c>
      <c r="R110" s="193" t="s">
        <v>27</v>
      </c>
      <c r="S110" s="193" t="s">
        <v>214</v>
      </c>
      <c r="T110" s="193" t="s">
        <v>3029</v>
      </c>
      <c r="U110" s="193" t="s">
        <v>3030</v>
      </c>
      <c r="V110" s="193">
        <v>0</v>
      </c>
      <c r="W110" s="193">
        <v>0</v>
      </c>
      <c r="X110" s="193">
        <v>0</v>
      </c>
      <c r="Y110" s="193">
        <v>647067</v>
      </c>
      <c r="Z110" s="193" t="s">
        <v>3031</v>
      </c>
      <c r="AA110" s="193" t="s">
        <v>27</v>
      </c>
      <c r="AB110" s="193">
        <v>647067</v>
      </c>
      <c r="AC110" s="193" t="s">
        <v>2863</v>
      </c>
      <c r="AD110" s="193" t="s">
        <v>2864</v>
      </c>
      <c r="AE110" s="193">
        <v>647067</v>
      </c>
      <c r="AF110" s="193" t="s">
        <v>3012</v>
      </c>
      <c r="AG110" s="193" t="s">
        <v>395</v>
      </c>
      <c r="AH110" s="193">
        <v>58850</v>
      </c>
      <c r="AI110" s="193">
        <v>588217</v>
      </c>
      <c r="AJ110" s="193" t="s">
        <v>214</v>
      </c>
      <c r="AL110" s="193" t="s">
        <v>3252</v>
      </c>
      <c r="AM110" s="193">
        <v>1</v>
      </c>
      <c r="AN110" s="193">
        <v>0</v>
      </c>
      <c r="AO110" s="193">
        <v>0</v>
      </c>
      <c r="AP110" s="566">
        <v>0</v>
      </c>
      <c r="AQ110" s="193" t="s">
        <v>214</v>
      </c>
      <c r="AS110" s="566" t="s">
        <v>3012</v>
      </c>
      <c r="AT110" s="566" t="s">
        <v>395</v>
      </c>
      <c r="AV110" s="194">
        <v>0</v>
      </c>
      <c r="AW110" s="194">
        <v>0</v>
      </c>
      <c r="AX110" s="194">
        <v>0</v>
      </c>
      <c r="AY110" s="551">
        <v>0</v>
      </c>
      <c r="AZ110" s="194">
        <v>0</v>
      </c>
      <c r="BA110" s="194">
        <v>647067</v>
      </c>
      <c r="BB110" s="551">
        <v>647067</v>
      </c>
      <c r="BC110" s="551">
        <v>647067</v>
      </c>
      <c r="BD110" s="551">
        <v>0</v>
      </c>
      <c r="BF110" s="551">
        <f t="shared" si="43"/>
        <v>0</v>
      </c>
      <c r="BG110" s="551">
        <f t="shared" si="44"/>
        <v>0</v>
      </c>
      <c r="BH110" s="551">
        <f t="shared" si="45"/>
        <v>0</v>
      </c>
      <c r="BI110" s="551">
        <f t="shared" si="46"/>
        <v>0</v>
      </c>
      <c r="BJ110" s="551">
        <f t="shared" si="47"/>
        <v>0</v>
      </c>
      <c r="BK110" s="551">
        <f t="shared" si="48"/>
        <v>588243</v>
      </c>
      <c r="BL110" s="551">
        <f t="shared" si="49"/>
        <v>588243</v>
      </c>
      <c r="BM110" s="551">
        <f t="shared" si="50"/>
        <v>588243</v>
      </c>
      <c r="BO110" s="193">
        <f t="shared" si="51"/>
        <v>0</v>
      </c>
      <c r="BP110" s="193">
        <f t="shared" si="52"/>
        <v>0</v>
      </c>
      <c r="BQ110" s="193">
        <f t="shared" si="53"/>
        <v>0</v>
      </c>
      <c r="BR110" s="193">
        <f t="shared" si="54"/>
        <v>0</v>
      </c>
      <c r="BS110" s="193">
        <f t="shared" si="55"/>
        <v>0</v>
      </c>
      <c r="BT110" s="193">
        <f t="shared" si="56"/>
        <v>-0.27272727270610631</v>
      </c>
      <c r="BU110" s="193">
        <f t="shared" si="57"/>
        <v>-0.27272727270610631</v>
      </c>
    </row>
    <row r="111" spans="1:73">
      <c r="A111" s="193" t="s">
        <v>378</v>
      </c>
      <c r="B111" s="193" t="s">
        <v>379</v>
      </c>
      <c r="C111" s="193" t="s">
        <v>214</v>
      </c>
      <c r="D111" s="193" t="s">
        <v>1165</v>
      </c>
      <c r="E111" s="193" t="s">
        <v>1166</v>
      </c>
      <c r="F111" s="193" t="s">
        <v>2776</v>
      </c>
      <c r="G111" s="193" t="s">
        <v>2776</v>
      </c>
      <c r="H111" s="199" t="s">
        <v>3253</v>
      </c>
      <c r="I111" s="193" t="s">
        <v>1508</v>
      </c>
      <c r="J111" s="193" t="s">
        <v>3254</v>
      </c>
      <c r="K111" s="193" t="s">
        <v>386</v>
      </c>
      <c r="L111" s="193" t="s">
        <v>387</v>
      </c>
      <c r="M111" s="193" t="s">
        <v>378</v>
      </c>
      <c r="N111" s="193" t="s">
        <v>3028</v>
      </c>
      <c r="O111" s="193" t="s">
        <v>229</v>
      </c>
      <c r="P111" s="193" t="s">
        <v>228</v>
      </c>
      <c r="Q111" s="193" t="s">
        <v>27</v>
      </c>
      <c r="R111" s="193" t="s">
        <v>27</v>
      </c>
      <c r="S111" s="193" t="s">
        <v>214</v>
      </c>
      <c r="T111" s="193" t="s">
        <v>3029</v>
      </c>
      <c r="U111" s="193" t="s">
        <v>3030</v>
      </c>
      <c r="V111" s="193">
        <v>0</v>
      </c>
      <c r="W111" s="193">
        <v>0</v>
      </c>
      <c r="X111" s="193">
        <v>0</v>
      </c>
      <c r="Y111" s="193">
        <v>27024</v>
      </c>
      <c r="Z111" s="193" t="s">
        <v>3031</v>
      </c>
      <c r="AA111" s="193" t="s">
        <v>27</v>
      </c>
      <c r="AB111" s="193">
        <v>27024</v>
      </c>
      <c r="AC111" s="193" t="s">
        <v>2863</v>
      </c>
      <c r="AD111" s="193" t="s">
        <v>2864</v>
      </c>
      <c r="AE111" s="193">
        <v>27024</v>
      </c>
      <c r="AF111" s="193" t="s">
        <v>3012</v>
      </c>
      <c r="AG111" s="193" t="s">
        <v>395</v>
      </c>
      <c r="AH111" s="193">
        <v>2456</v>
      </c>
      <c r="AI111" s="193">
        <v>24568</v>
      </c>
      <c r="AJ111" s="193" t="s">
        <v>214</v>
      </c>
      <c r="AL111" s="193" t="s">
        <v>3255</v>
      </c>
      <c r="AM111" s="193">
        <v>1</v>
      </c>
      <c r="AN111" s="193">
        <v>0</v>
      </c>
      <c r="AO111" s="193">
        <v>0</v>
      </c>
      <c r="AP111" s="566">
        <v>0</v>
      </c>
      <c r="AQ111" s="193" t="s">
        <v>214</v>
      </c>
      <c r="AS111" s="566" t="s">
        <v>3012</v>
      </c>
      <c r="AT111" s="566" t="s">
        <v>395</v>
      </c>
      <c r="AV111" s="194">
        <v>0</v>
      </c>
      <c r="AW111" s="194">
        <v>0</v>
      </c>
      <c r="AX111" s="194">
        <v>0</v>
      </c>
      <c r="AY111" s="551">
        <v>0</v>
      </c>
      <c r="AZ111" s="194">
        <v>0</v>
      </c>
      <c r="BA111" s="194">
        <v>27024</v>
      </c>
      <c r="BB111" s="551">
        <v>27024</v>
      </c>
      <c r="BC111" s="551">
        <v>27024</v>
      </c>
      <c r="BD111" s="551">
        <v>0</v>
      </c>
      <c r="BF111" s="551">
        <f t="shared" si="43"/>
        <v>0</v>
      </c>
      <c r="BG111" s="551">
        <f t="shared" si="44"/>
        <v>0</v>
      </c>
      <c r="BH111" s="551">
        <f t="shared" si="45"/>
        <v>0</v>
      </c>
      <c r="BI111" s="551">
        <f t="shared" si="46"/>
        <v>0</v>
      </c>
      <c r="BJ111" s="551">
        <f t="shared" si="47"/>
        <v>0</v>
      </c>
      <c r="BK111" s="551">
        <f t="shared" si="48"/>
        <v>24567</v>
      </c>
      <c r="BL111" s="551">
        <f t="shared" si="49"/>
        <v>24567</v>
      </c>
      <c r="BM111" s="551">
        <f t="shared" si="50"/>
        <v>24567</v>
      </c>
      <c r="BO111" s="193">
        <f t="shared" si="51"/>
        <v>0</v>
      </c>
      <c r="BP111" s="193">
        <f t="shared" si="52"/>
        <v>0</v>
      </c>
      <c r="BQ111" s="193">
        <f t="shared" si="53"/>
        <v>0</v>
      </c>
      <c r="BR111" s="193">
        <f t="shared" si="54"/>
        <v>0</v>
      </c>
      <c r="BS111" s="193">
        <f t="shared" si="55"/>
        <v>0</v>
      </c>
      <c r="BT111" s="193">
        <f t="shared" si="56"/>
        <v>0.27272727272793418</v>
      </c>
      <c r="BU111" s="193">
        <f t="shared" si="57"/>
        <v>0.27272727272793418</v>
      </c>
    </row>
    <row r="112" spans="1:73">
      <c r="A112" s="193" t="s">
        <v>378</v>
      </c>
      <c r="B112" s="193" t="s">
        <v>379</v>
      </c>
      <c r="C112" s="193" t="s">
        <v>214</v>
      </c>
      <c r="D112" s="193" t="s">
        <v>1165</v>
      </c>
      <c r="E112" s="193" t="s">
        <v>1166</v>
      </c>
      <c r="F112" s="193" t="s">
        <v>2939</v>
      </c>
      <c r="G112" s="193" t="s">
        <v>2939</v>
      </c>
      <c r="H112" s="199" t="s">
        <v>3256</v>
      </c>
      <c r="I112" s="193" t="s">
        <v>1508</v>
      </c>
      <c r="J112" s="193" t="s">
        <v>3257</v>
      </c>
      <c r="K112" s="193" t="s">
        <v>386</v>
      </c>
      <c r="L112" s="193" t="s">
        <v>387</v>
      </c>
      <c r="M112" s="193" t="s">
        <v>378</v>
      </c>
      <c r="N112" s="193" t="s">
        <v>3028</v>
      </c>
      <c r="O112" s="193" t="s">
        <v>229</v>
      </c>
      <c r="P112" s="193" t="s">
        <v>228</v>
      </c>
      <c r="Q112" s="193" t="s">
        <v>27</v>
      </c>
      <c r="R112" s="193" t="s">
        <v>27</v>
      </c>
      <c r="S112" s="193" t="s">
        <v>214</v>
      </c>
      <c r="T112" s="193" t="s">
        <v>3029</v>
      </c>
      <c r="U112" s="193" t="s">
        <v>3030</v>
      </c>
      <c r="V112" s="193">
        <v>0</v>
      </c>
      <c r="W112" s="193">
        <v>0</v>
      </c>
      <c r="X112" s="193">
        <v>0</v>
      </c>
      <c r="Y112" s="193">
        <v>268951</v>
      </c>
      <c r="Z112" s="193" t="s">
        <v>3031</v>
      </c>
      <c r="AA112" s="193" t="s">
        <v>27</v>
      </c>
      <c r="AB112" s="193">
        <v>268951</v>
      </c>
      <c r="AC112" s="193" t="s">
        <v>2863</v>
      </c>
      <c r="AD112" s="193" t="s">
        <v>2864</v>
      </c>
      <c r="AE112" s="193">
        <v>268951</v>
      </c>
      <c r="AF112" s="193" t="s">
        <v>3012</v>
      </c>
      <c r="AG112" s="193" t="s">
        <v>395</v>
      </c>
      <c r="AH112" s="193">
        <v>24446</v>
      </c>
      <c r="AI112" s="193">
        <v>244505</v>
      </c>
      <c r="AJ112" s="193" t="s">
        <v>214</v>
      </c>
      <c r="AL112" s="193" t="s">
        <v>3258</v>
      </c>
      <c r="AM112" s="193">
        <v>1</v>
      </c>
      <c r="AN112" s="193">
        <v>0</v>
      </c>
      <c r="AO112" s="193">
        <v>0</v>
      </c>
      <c r="AP112" s="566">
        <v>0</v>
      </c>
      <c r="AQ112" s="193" t="s">
        <v>214</v>
      </c>
      <c r="AS112" s="566" t="s">
        <v>3012</v>
      </c>
      <c r="AT112" s="566" t="s">
        <v>395</v>
      </c>
      <c r="AV112" s="194">
        <v>0</v>
      </c>
      <c r="AW112" s="194">
        <v>0</v>
      </c>
      <c r="AX112" s="194">
        <v>0</v>
      </c>
      <c r="AY112" s="551">
        <v>0</v>
      </c>
      <c r="AZ112" s="194">
        <v>0</v>
      </c>
      <c r="BA112" s="194">
        <v>268951</v>
      </c>
      <c r="BB112" s="551">
        <v>268951</v>
      </c>
      <c r="BC112" s="551">
        <v>268951</v>
      </c>
      <c r="BD112" s="551">
        <v>0</v>
      </c>
      <c r="BF112" s="551">
        <f t="shared" si="43"/>
        <v>0</v>
      </c>
      <c r="BG112" s="551">
        <f t="shared" si="44"/>
        <v>0</v>
      </c>
      <c r="BH112" s="551">
        <f t="shared" si="45"/>
        <v>0</v>
      </c>
      <c r="BI112" s="551">
        <f t="shared" si="46"/>
        <v>0</v>
      </c>
      <c r="BJ112" s="551">
        <f t="shared" si="47"/>
        <v>0</v>
      </c>
      <c r="BK112" s="551">
        <f t="shared" si="48"/>
        <v>244501</v>
      </c>
      <c r="BL112" s="551">
        <f t="shared" si="49"/>
        <v>244501</v>
      </c>
      <c r="BM112" s="551">
        <f t="shared" si="50"/>
        <v>244501</v>
      </c>
      <c r="BO112" s="193">
        <f t="shared" si="51"/>
        <v>0</v>
      </c>
      <c r="BP112" s="193">
        <f t="shared" si="52"/>
        <v>0</v>
      </c>
      <c r="BQ112" s="193">
        <f t="shared" si="53"/>
        <v>0</v>
      </c>
      <c r="BR112" s="193">
        <f t="shared" si="54"/>
        <v>0</v>
      </c>
      <c r="BS112" s="193">
        <f t="shared" si="55"/>
        <v>0</v>
      </c>
      <c r="BT112" s="193">
        <f t="shared" si="56"/>
        <v>-9.0909090911736712E-2</v>
      </c>
      <c r="BU112" s="193">
        <f t="shared" si="57"/>
        <v>-9.0909090911736712E-2</v>
      </c>
    </row>
    <row r="113" spans="1:73">
      <c r="A113" s="193" t="s">
        <v>378</v>
      </c>
      <c r="B113" s="193" t="s">
        <v>379</v>
      </c>
      <c r="C113" s="193" t="s">
        <v>214</v>
      </c>
      <c r="D113" s="193" t="s">
        <v>1165</v>
      </c>
      <c r="E113" s="193" t="s">
        <v>1166</v>
      </c>
      <c r="F113" s="193" t="s">
        <v>2776</v>
      </c>
      <c r="G113" s="193" t="s">
        <v>2776</v>
      </c>
      <c r="H113" s="199" t="s">
        <v>3259</v>
      </c>
      <c r="I113" s="193" t="s">
        <v>1508</v>
      </c>
      <c r="J113" s="193" t="s">
        <v>3260</v>
      </c>
      <c r="K113" s="193" t="s">
        <v>386</v>
      </c>
      <c r="L113" s="193" t="s">
        <v>387</v>
      </c>
      <c r="M113" s="193" t="s">
        <v>378</v>
      </c>
      <c r="N113" s="193" t="s">
        <v>3028</v>
      </c>
      <c r="O113" s="193" t="s">
        <v>229</v>
      </c>
      <c r="P113" s="193" t="s">
        <v>228</v>
      </c>
      <c r="Q113" s="193" t="s">
        <v>27</v>
      </c>
      <c r="R113" s="193" t="s">
        <v>27</v>
      </c>
      <c r="S113" s="193" t="s">
        <v>214</v>
      </c>
      <c r="T113" s="193" t="s">
        <v>3029</v>
      </c>
      <c r="U113" s="193" t="s">
        <v>3030</v>
      </c>
      <c r="V113" s="193">
        <v>0</v>
      </c>
      <c r="W113" s="193">
        <v>0</v>
      </c>
      <c r="X113" s="193">
        <v>0</v>
      </c>
      <c r="Y113" s="193">
        <v>41653</v>
      </c>
      <c r="Z113" s="193" t="s">
        <v>3031</v>
      </c>
      <c r="AA113" s="193" t="s">
        <v>27</v>
      </c>
      <c r="AB113" s="193">
        <v>41653</v>
      </c>
      <c r="AC113" s="193" t="s">
        <v>2863</v>
      </c>
      <c r="AD113" s="193" t="s">
        <v>2864</v>
      </c>
      <c r="AE113" s="193">
        <v>41653</v>
      </c>
      <c r="AF113" s="193" t="s">
        <v>3012</v>
      </c>
      <c r="AG113" s="193" t="s">
        <v>395</v>
      </c>
      <c r="AH113" s="193">
        <v>3785</v>
      </c>
      <c r="AI113" s="193">
        <v>37868</v>
      </c>
      <c r="AJ113" s="193" t="s">
        <v>214</v>
      </c>
      <c r="AL113" s="193" t="s">
        <v>3261</v>
      </c>
      <c r="AM113" s="193">
        <v>1</v>
      </c>
      <c r="AN113" s="193">
        <v>0</v>
      </c>
      <c r="AO113" s="193">
        <v>0</v>
      </c>
      <c r="AP113" s="566">
        <v>0</v>
      </c>
      <c r="AQ113" s="193" t="s">
        <v>214</v>
      </c>
      <c r="AS113" s="566" t="s">
        <v>3012</v>
      </c>
      <c r="AT113" s="566" t="s">
        <v>395</v>
      </c>
      <c r="AV113" s="194">
        <v>0</v>
      </c>
      <c r="AW113" s="194">
        <v>0</v>
      </c>
      <c r="AX113" s="194">
        <v>0</v>
      </c>
      <c r="AY113" s="551">
        <v>0</v>
      </c>
      <c r="AZ113" s="194">
        <v>0</v>
      </c>
      <c r="BA113" s="194">
        <v>41653</v>
      </c>
      <c r="BB113" s="551">
        <v>41653</v>
      </c>
      <c r="BC113" s="551">
        <v>41653</v>
      </c>
      <c r="BD113" s="551">
        <v>0</v>
      </c>
      <c r="BF113" s="551">
        <f t="shared" si="43"/>
        <v>0</v>
      </c>
      <c r="BG113" s="551">
        <f t="shared" si="44"/>
        <v>0</v>
      </c>
      <c r="BH113" s="551">
        <f t="shared" si="45"/>
        <v>0</v>
      </c>
      <c r="BI113" s="551">
        <f t="shared" si="46"/>
        <v>0</v>
      </c>
      <c r="BJ113" s="551">
        <f t="shared" si="47"/>
        <v>0</v>
      </c>
      <c r="BK113" s="551">
        <f t="shared" si="48"/>
        <v>37866</v>
      </c>
      <c r="BL113" s="551">
        <f t="shared" si="49"/>
        <v>37866</v>
      </c>
      <c r="BM113" s="551">
        <f t="shared" si="50"/>
        <v>37866</v>
      </c>
      <c r="BO113" s="193">
        <f t="shared" si="51"/>
        <v>0</v>
      </c>
      <c r="BP113" s="193">
        <f t="shared" si="52"/>
        <v>0</v>
      </c>
      <c r="BQ113" s="193">
        <f t="shared" si="53"/>
        <v>0</v>
      </c>
      <c r="BR113" s="193">
        <f t="shared" si="54"/>
        <v>0</v>
      </c>
      <c r="BS113" s="193">
        <f t="shared" si="55"/>
        <v>0</v>
      </c>
      <c r="BT113" s="193">
        <f t="shared" si="56"/>
        <v>0.36363636363967089</v>
      </c>
      <c r="BU113" s="193">
        <f t="shared" si="57"/>
        <v>0.36363636363967089</v>
      </c>
    </row>
    <row r="114" spans="1:73">
      <c r="A114" s="193" t="s">
        <v>378</v>
      </c>
      <c r="B114" s="193" t="s">
        <v>379</v>
      </c>
      <c r="C114" s="193" t="s">
        <v>214</v>
      </c>
      <c r="D114" s="193" t="s">
        <v>1165</v>
      </c>
      <c r="E114" s="193" t="s">
        <v>1166</v>
      </c>
      <c r="F114" s="193" t="s">
        <v>2776</v>
      </c>
      <c r="G114" s="193" t="s">
        <v>2776</v>
      </c>
      <c r="H114" s="199" t="s">
        <v>3259</v>
      </c>
      <c r="I114" s="193" t="s">
        <v>1508</v>
      </c>
      <c r="J114" s="193" t="s">
        <v>3262</v>
      </c>
      <c r="K114" s="193" t="s">
        <v>386</v>
      </c>
      <c r="L114" s="193" t="s">
        <v>387</v>
      </c>
      <c r="M114" s="193" t="s">
        <v>378</v>
      </c>
      <c r="N114" s="193" t="s">
        <v>3028</v>
      </c>
      <c r="O114" s="193" t="s">
        <v>229</v>
      </c>
      <c r="P114" s="193" t="s">
        <v>228</v>
      </c>
      <c r="Q114" s="193" t="s">
        <v>27</v>
      </c>
      <c r="R114" s="193" t="s">
        <v>27</v>
      </c>
      <c r="S114" s="193" t="s">
        <v>214</v>
      </c>
      <c r="T114" s="193" t="s">
        <v>3029</v>
      </c>
      <c r="U114" s="193" t="s">
        <v>3030</v>
      </c>
      <c r="V114" s="193">
        <v>0</v>
      </c>
      <c r="W114" s="193">
        <v>0</v>
      </c>
      <c r="X114" s="193">
        <v>0</v>
      </c>
      <c r="Y114" s="193">
        <v>2940580</v>
      </c>
      <c r="Z114" s="193" t="s">
        <v>3031</v>
      </c>
      <c r="AA114" s="193" t="s">
        <v>27</v>
      </c>
      <c r="AB114" s="193">
        <v>2940580</v>
      </c>
      <c r="AC114" s="193" t="s">
        <v>2863</v>
      </c>
      <c r="AD114" s="193" t="s">
        <v>2864</v>
      </c>
      <c r="AE114" s="193">
        <v>2940580</v>
      </c>
      <c r="AF114" s="193" t="s">
        <v>3012</v>
      </c>
      <c r="AG114" s="193" t="s">
        <v>395</v>
      </c>
      <c r="AH114" s="193">
        <v>267323</v>
      </c>
      <c r="AI114" s="193">
        <v>2673257</v>
      </c>
      <c r="AJ114" s="193" t="s">
        <v>214</v>
      </c>
      <c r="AL114" s="193" t="s">
        <v>3263</v>
      </c>
      <c r="AM114" s="193">
        <v>1</v>
      </c>
      <c r="AN114" s="193">
        <v>0</v>
      </c>
      <c r="AO114" s="193">
        <v>0</v>
      </c>
      <c r="AP114" s="566">
        <v>0</v>
      </c>
      <c r="AQ114" s="193" t="s">
        <v>214</v>
      </c>
      <c r="AS114" s="566" t="s">
        <v>3012</v>
      </c>
      <c r="AT114" s="566" t="s">
        <v>395</v>
      </c>
      <c r="AV114" s="194">
        <v>0</v>
      </c>
      <c r="AW114" s="194">
        <v>0</v>
      </c>
      <c r="AX114" s="194">
        <v>0</v>
      </c>
      <c r="AY114" s="551">
        <v>0</v>
      </c>
      <c r="AZ114" s="194">
        <v>0</v>
      </c>
      <c r="BA114" s="194">
        <v>2940580</v>
      </c>
      <c r="BB114" s="551">
        <v>2940580</v>
      </c>
      <c r="BC114" s="551">
        <v>2940580</v>
      </c>
      <c r="BD114" s="551">
        <v>0</v>
      </c>
      <c r="BF114" s="551">
        <f t="shared" si="43"/>
        <v>0</v>
      </c>
      <c r="BG114" s="551">
        <f t="shared" si="44"/>
        <v>0</v>
      </c>
      <c r="BH114" s="551">
        <f t="shared" si="45"/>
        <v>0</v>
      </c>
      <c r="BI114" s="551">
        <f t="shared" si="46"/>
        <v>0</v>
      </c>
      <c r="BJ114" s="551">
        <f t="shared" si="47"/>
        <v>0</v>
      </c>
      <c r="BK114" s="573">
        <f>+IFERROR(ROUND(BA114*100/(100+$AT114),0),BA114)-1</f>
        <v>2673254</v>
      </c>
      <c r="BL114" s="551">
        <f t="shared" si="49"/>
        <v>2673254</v>
      </c>
      <c r="BM114" s="551">
        <f t="shared" si="50"/>
        <v>2673254</v>
      </c>
      <c r="BO114" s="193">
        <f t="shared" si="51"/>
        <v>0</v>
      </c>
      <c r="BP114" s="193">
        <f t="shared" si="52"/>
        <v>0</v>
      </c>
      <c r="BQ114" s="193">
        <f t="shared" si="53"/>
        <v>0</v>
      </c>
      <c r="BR114" s="193">
        <f t="shared" si="54"/>
        <v>0</v>
      </c>
      <c r="BS114" s="193">
        <f t="shared" si="55"/>
        <v>0</v>
      </c>
      <c r="BT114" s="193">
        <f t="shared" si="56"/>
        <v>0.54545454541221261</v>
      </c>
      <c r="BU114" s="193">
        <f t="shared" si="57"/>
        <v>0.54545454541221261</v>
      </c>
    </row>
    <row r="115" spans="1:73">
      <c r="A115" s="193" t="s">
        <v>378</v>
      </c>
      <c r="B115" s="193" t="s">
        <v>379</v>
      </c>
      <c r="C115" s="193" t="s">
        <v>214</v>
      </c>
      <c r="D115" s="193" t="s">
        <v>1165</v>
      </c>
      <c r="E115" s="193" t="s">
        <v>1166</v>
      </c>
      <c r="F115" s="193" t="s">
        <v>1487</v>
      </c>
      <c r="G115" s="193" t="s">
        <v>1487</v>
      </c>
      <c r="H115" s="199" t="s">
        <v>3264</v>
      </c>
      <c r="I115" s="193" t="s">
        <v>1508</v>
      </c>
      <c r="J115" s="193" t="s">
        <v>3265</v>
      </c>
      <c r="K115" s="193" t="s">
        <v>386</v>
      </c>
      <c r="L115" s="193" t="s">
        <v>387</v>
      </c>
      <c r="M115" s="193" t="s">
        <v>378</v>
      </c>
      <c r="N115" s="193" t="s">
        <v>3028</v>
      </c>
      <c r="O115" s="193" t="s">
        <v>229</v>
      </c>
      <c r="P115" s="193" t="s">
        <v>228</v>
      </c>
      <c r="Q115" s="193" t="s">
        <v>27</v>
      </c>
      <c r="R115" s="193" t="s">
        <v>27</v>
      </c>
      <c r="S115" s="193" t="s">
        <v>214</v>
      </c>
      <c r="T115" s="193" t="s">
        <v>3029</v>
      </c>
      <c r="U115" s="193" t="s">
        <v>3030</v>
      </c>
      <c r="V115" s="193">
        <v>0</v>
      </c>
      <c r="W115" s="193">
        <v>0</v>
      </c>
      <c r="X115" s="193">
        <v>0</v>
      </c>
      <c r="Y115" s="193">
        <v>24551</v>
      </c>
      <c r="Z115" s="193" t="s">
        <v>3031</v>
      </c>
      <c r="AA115" s="193" t="s">
        <v>27</v>
      </c>
      <c r="AB115" s="193">
        <v>24551</v>
      </c>
      <c r="AC115" s="193" t="s">
        <v>2863</v>
      </c>
      <c r="AD115" s="193" t="s">
        <v>2864</v>
      </c>
      <c r="AE115" s="193">
        <v>24551</v>
      </c>
      <c r="AF115" s="193" t="s">
        <v>3012</v>
      </c>
      <c r="AG115" s="193" t="s">
        <v>395</v>
      </c>
      <c r="AH115" s="193">
        <v>2231</v>
      </c>
      <c r="AI115" s="193">
        <v>22320</v>
      </c>
      <c r="AJ115" s="193" t="s">
        <v>214</v>
      </c>
      <c r="AL115" s="193" t="s">
        <v>3266</v>
      </c>
      <c r="AM115" s="193">
        <v>1</v>
      </c>
      <c r="AN115" s="193">
        <v>0</v>
      </c>
      <c r="AO115" s="193">
        <v>0</v>
      </c>
      <c r="AP115" s="566">
        <v>0</v>
      </c>
      <c r="AQ115" s="193" t="s">
        <v>214</v>
      </c>
      <c r="AS115" s="566" t="s">
        <v>3012</v>
      </c>
      <c r="AT115" s="566" t="s">
        <v>395</v>
      </c>
      <c r="AV115" s="194">
        <v>0</v>
      </c>
      <c r="AW115" s="194">
        <v>0</v>
      </c>
      <c r="AX115" s="194">
        <v>0</v>
      </c>
      <c r="AY115" s="551">
        <v>0</v>
      </c>
      <c r="AZ115" s="194">
        <v>0</v>
      </c>
      <c r="BA115" s="194">
        <v>24551</v>
      </c>
      <c r="BB115" s="551">
        <v>24551</v>
      </c>
      <c r="BC115" s="551">
        <v>24551</v>
      </c>
      <c r="BD115" s="551">
        <v>0</v>
      </c>
      <c r="BF115" s="551">
        <f t="shared" si="43"/>
        <v>0</v>
      </c>
      <c r="BG115" s="551">
        <f t="shared" si="44"/>
        <v>0</v>
      </c>
      <c r="BH115" s="551">
        <f t="shared" si="45"/>
        <v>0</v>
      </c>
      <c r="BI115" s="551">
        <f t="shared" si="46"/>
        <v>0</v>
      </c>
      <c r="BJ115" s="551">
        <f t="shared" si="47"/>
        <v>0</v>
      </c>
      <c r="BK115" s="551">
        <f t="shared" si="48"/>
        <v>22319</v>
      </c>
      <c r="BL115" s="551">
        <f t="shared" si="49"/>
        <v>22319</v>
      </c>
      <c r="BM115" s="551">
        <f t="shared" si="50"/>
        <v>22319</v>
      </c>
      <c r="BO115" s="193">
        <f t="shared" si="51"/>
        <v>0</v>
      </c>
      <c r="BP115" s="193">
        <f t="shared" si="52"/>
        <v>0</v>
      </c>
      <c r="BQ115" s="193">
        <f t="shared" si="53"/>
        <v>0</v>
      </c>
      <c r="BR115" s="193">
        <f t="shared" si="54"/>
        <v>0</v>
      </c>
      <c r="BS115" s="193">
        <f t="shared" si="55"/>
        <v>0</v>
      </c>
      <c r="BT115" s="193">
        <f t="shared" si="56"/>
        <v>9.0909090908098733E-2</v>
      </c>
      <c r="BU115" s="193">
        <f t="shared" si="57"/>
        <v>9.0909090908098733E-2</v>
      </c>
    </row>
    <row r="116" spans="1:73">
      <c r="A116" s="193" t="s">
        <v>2340</v>
      </c>
      <c r="B116" s="193" t="s">
        <v>379</v>
      </c>
      <c r="C116" s="193" t="s">
        <v>214</v>
      </c>
      <c r="D116" s="193" t="s">
        <v>1165</v>
      </c>
      <c r="E116" s="193" t="s">
        <v>1166</v>
      </c>
      <c r="F116" s="193" t="s">
        <v>841</v>
      </c>
      <c r="G116" s="193" t="s">
        <v>841</v>
      </c>
      <c r="H116" s="199" t="s">
        <v>3267</v>
      </c>
      <c r="I116" s="193" t="s">
        <v>1508</v>
      </c>
      <c r="J116" s="193" t="s">
        <v>3268</v>
      </c>
      <c r="K116" s="193" t="s">
        <v>386</v>
      </c>
      <c r="L116" s="193" t="s">
        <v>387</v>
      </c>
      <c r="M116" s="193" t="s">
        <v>378</v>
      </c>
      <c r="N116" s="193" t="s">
        <v>3028</v>
      </c>
      <c r="O116" s="193" t="s">
        <v>229</v>
      </c>
      <c r="P116" s="193" t="s">
        <v>228</v>
      </c>
      <c r="Q116" s="193" t="s">
        <v>27</v>
      </c>
      <c r="R116" s="193" t="s">
        <v>27</v>
      </c>
      <c r="S116" s="193" t="s">
        <v>214</v>
      </c>
      <c r="T116" s="193" t="s">
        <v>3269</v>
      </c>
      <c r="U116" s="193" t="s">
        <v>3270</v>
      </c>
      <c r="V116" s="193">
        <v>0</v>
      </c>
      <c r="W116" s="193">
        <v>0</v>
      </c>
      <c r="X116" s="193">
        <v>0</v>
      </c>
      <c r="Y116" s="193">
        <v>160124</v>
      </c>
      <c r="Z116" s="193" t="s">
        <v>3031</v>
      </c>
      <c r="AA116" s="193" t="s">
        <v>27</v>
      </c>
      <c r="AB116" s="193">
        <v>160124</v>
      </c>
      <c r="AC116" s="193" t="s">
        <v>2863</v>
      </c>
      <c r="AD116" s="193" t="s">
        <v>2864</v>
      </c>
      <c r="AE116" s="193">
        <v>160124</v>
      </c>
      <c r="AF116" s="193" t="s">
        <v>3012</v>
      </c>
      <c r="AG116" s="193" t="s">
        <v>395</v>
      </c>
      <c r="AH116" s="193">
        <v>14556</v>
      </c>
      <c r="AI116" s="193">
        <v>145568</v>
      </c>
      <c r="AJ116" s="193" t="s">
        <v>214</v>
      </c>
      <c r="AL116" s="193" t="s">
        <v>3271</v>
      </c>
      <c r="AM116" s="193">
        <v>1</v>
      </c>
      <c r="AN116" s="193">
        <v>0</v>
      </c>
      <c r="AO116" s="193">
        <v>0</v>
      </c>
      <c r="AP116" s="566">
        <v>0</v>
      </c>
      <c r="AQ116" s="193" t="s">
        <v>214</v>
      </c>
      <c r="AS116" s="566" t="s">
        <v>3012</v>
      </c>
      <c r="AT116" s="566" t="s">
        <v>395</v>
      </c>
      <c r="AV116" s="194">
        <v>0</v>
      </c>
      <c r="AW116" s="194">
        <v>0</v>
      </c>
      <c r="AX116" s="194">
        <v>0</v>
      </c>
      <c r="AY116" s="551">
        <v>0</v>
      </c>
      <c r="AZ116" s="194">
        <v>0</v>
      </c>
      <c r="BA116" s="194">
        <v>160124</v>
      </c>
      <c r="BB116" s="551">
        <v>160124</v>
      </c>
      <c r="BC116" s="551">
        <v>160124</v>
      </c>
      <c r="BD116" s="551">
        <v>0</v>
      </c>
      <c r="BF116" s="551">
        <f t="shared" si="43"/>
        <v>0</v>
      </c>
      <c r="BG116" s="551">
        <f t="shared" si="44"/>
        <v>0</v>
      </c>
      <c r="BH116" s="551">
        <f t="shared" si="45"/>
        <v>0</v>
      </c>
      <c r="BI116" s="551">
        <f t="shared" si="46"/>
        <v>0</v>
      </c>
      <c r="BJ116" s="551">
        <f t="shared" si="47"/>
        <v>0</v>
      </c>
      <c r="BK116" s="551">
        <f t="shared" si="48"/>
        <v>145567</v>
      </c>
      <c r="BL116" s="551">
        <f t="shared" si="49"/>
        <v>145567</v>
      </c>
      <c r="BM116" s="551">
        <f t="shared" si="50"/>
        <v>145567</v>
      </c>
      <c r="BO116" s="193">
        <f t="shared" si="51"/>
        <v>0</v>
      </c>
      <c r="BP116" s="193">
        <f t="shared" si="52"/>
        <v>0</v>
      </c>
      <c r="BQ116" s="193">
        <f t="shared" si="53"/>
        <v>0</v>
      </c>
      <c r="BR116" s="193">
        <f t="shared" si="54"/>
        <v>0</v>
      </c>
      <c r="BS116" s="193">
        <f t="shared" si="55"/>
        <v>0</v>
      </c>
      <c r="BT116" s="193">
        <f t="shared" si="56"/>
        <v>0.27272727273521014</v>
      </c>
      <c r="BU116" s="193">
        <f t="shared" si="57"/>
        <v>0.27272727273521014</v>
      </c>
    </row>
    <row r="117" spans="1:73">
      <c r="A117" s="193" t="s">
        <v>1624</v>
      </c>
      <c r="B117" s="193" t="s">
        <v>379</v>
      </c>
      <c r="C117" s="193" t="s">
        <v>214</v>
      </c>
      <c r="D117" s="193" t="s">
        <v>1165</v>
      </c>
      <c r="E117" s="193" t="s">
        <v>1166</v>
      </c>
      <c r="F117" s="193" t="s">
        <v>841</v>
      </c>
      <c r="G117" s="193" t="s">
        <v>841</v>
      </c>
      <c r="H117" s="199" t="s">
        <v>3272</v>
      </c>
      <c r="I117" s="193" t="s">
        <v>1508</v>
      </c>
      <c r="J117" s="193" t="s">
        <v>3273</v>
      </c>
      <c r="K117" s="193" t="s">
        <v>386</v>
      </c>
      <c r="L117" s="193" t="s">
        <v>387</v>
      </c>
      <c r="M117" s="193" t="s">
        <v>378</v>
      </c>
      <c r="N117" s="193" t="s">
        <v>3028</v>
      </c>
      <c r="O117" s="193" t="s">
        <v>229</v>
      </c>
      <c r="P117" s="193" t="s">
        <v>228</v>
      </c>
      <c r="Q117" s="193" t="s">
        <v>27</v>
      </c>
      <c r="R117" s="193" t="s">
        <v>27</v>
      </c>
      <c r="S117" s="193" t="s">
        <v>214</v>
      </c>
      <c r="T117" s="193" t="s">
        <v>3274</v>
      </c>
      <c r="U117" s="193" t="s">
        <v>3275</v>
      </c>
      <c r="V117" s="193">
        <v>0</v>
      </c>
      <c r="W117" s="193">
        <v>0</v>
      </c>
      <c r="X117" s="193">
        <v>0</v>
      </c>
      <c r="Y117" s="193">
        <v>35499</v>
      </c>
      <c r="Z117" s="193" t="s">
        <v>3031</v>
      </c>
      <c r="AA117" s="193" t="s">
        <v>27</v>
      </c>
      <c r="AB117" s="193">
        <v>35499</v>
      </c>
      <c r="AC117" s="193" t="s">
        <v>2863</v>
      </c>
      <c r="AD117" s="193" t="s">
        <v>2864</v>
      </c>
      <c r="AE117" s="193">
        <v>35499</v>
      </c>
      <c r="AF117" s="193" t="s">
        <v>3012</v>
      </c>
      <c r="AG117" s="193" t="s">
        <v>395</v>
      </c>
      <c r="AH117" s="193">
        <v>3227</v>
      </c>
      <c r="AI117" s="193">
        <v>32272</v>
      </c>
      <c r="AJ117" s="193" t="s">
        <v>214</v>
      </c>
      <c r="AL117" s="193" t="s">
        <v>3276</v>
      </c>
      <c r="AM117" s="193">
        <v>1</v>
      </c>
      <c r="AN117" s="193">
        <v>0</v>
      </c>
      <c r="AO117" s="193">
        <v>0</v>
      </c>
      <c r="AP117" s="566">
        <v>0</v>
      </c>
      <c r="AQ117" s="193" t="s">
        <v>214</v>
      </c>
      <c r="AS117" s="566" t="s">
        <v>3012</v>
      </c>
      <c r="AT117" s="566" t="s">
        <v>395</v>
      </c>
      <c r="AV117" s="194">
        <v>0</v>
      </c>
      <c r="AW117" s="194">
        <v>0</v>
      </c>
      <c r="AX117" s="194">
        <v>0</v>
      </c>
      <c r="AY117" s="551">
        <v>0</v>
      </c>
      <c r="AZ117" s="194">
        <v>0</v>
      </c>
      <c r="BA117" s="194">
        <v>35499</v>
      </c>
      <c r="BB117" s="551">
        <v>35499</v>
      </c>
      <c r="BC117" s="551">
        <v>35499</v>
      </c>
      <c r="BD117" s="551">
        <v>0</v>
      </c>
      <c r="BF117" s="551">
        <f t="shared" si="43"/>
        <v>0</v>
      </c>
      <c r="BG117" s="551">
        <f t="shared" si="44"/>
        <v>0</v>
      </c>
      <c r="BH117" s="551">
        <f t="shared" si="45"/>
        <v>0</v>
      </c>
      <c r="BI117" s="551">
        <f t="shared" si="46"/>
        <v>0</v>
      </c>
      <c r="BJ117" s="551">
        <f t="shared" si="47"/>
        <v>0</v>
      </c>
      <c r="BK117" s="551">
        <f t="shared" si="48"/>
        <v>32272</v>
      </c>
      <c r="BL117" s="551">
        <f t="shared" si="49"/>
        <v>32272</v>
      </c>
      <c r="BM117" s="551">
        <f t="shared" si="50"/>
        <v>32272</v>
      </c>
      <c r="BO117" s="193">
        <f t="shared" si="51"/>
        <v>0</v>
      </c>
      <c r="BP117" s="193">
        <f t="shared" si="52"/>
        <v>0</v>
      </c>
      <c r="BQ117" s="193">
        <f t="shared" si="53"/>
        <v>0</v>
      </c>
      <c r="BR117" s="193">
        <f t="shared" si="54"/>
        <v>0</v>
      </c>
      <c r="BS117" s="193">
        <f t="shared" si="55"/>
        <v>0</v>
      </c>
      <c r="BT117" s="193">
        <f t="shared" si="56"/>
        <v>-0.18181818181983544</v>
      </c>
      <c r="BU117" s="193">
        <f t="shared" si="57"/>
        <v>-0.18181818181983544</v>
      </c>
    </row>
    <row r="118" spans="1:73" hidden="1">
      <c r="A118" s="193" t="s">
        <v>378</v>
      </c>
      <c r="B118" s="193" t="s">
        <v>379</v>
      </c>
      <c r="C118" s="193" t="s">
        <v>214</v>
      </c>
      <c r="D118" s="193" t="s">
        <v>1441</v>
      </c>
      <c r="E118" s="193" t="s">
        <v>1442</v>
      </c>
      <c r="F118" s="193" t="s">
        <v>3277</v>
      </c>
      <c r="G118" s="193" t="s">
        <v>1236</v>
      </c>
      <c r="H118" s="193" t="s">
        <v>3278</v>
      </c>
      <c r="I118" s="193" t="s">
        <v>3215</v>
      </c>
      <c r="J118" s="193" t="s">
        <v>3279</v>
      </c>
      <c r="K118" s="193" t="s">
        <v>386</v>
      </c>
      <c r="L118" s="193" t="s">
        <v>387</v>
      </c>
      <c r="M118" s="193" t="s">
        <v>378</v>
      </c>
      <c r="N118" s="193" t="s">
        <v>3028</v>
      </c>
      <c r="O118" s="193" t="s">
        <v>229</v>
      </c>
      <c r="P118" s="193" t="s">
        <v>228</v>
      </c>
      <c r="Q118" s="193" t="s">
        <v>27</v>
      </c>
      <c r="R118" s="193" t="s">
        <v>27</v>
      </c>
      <c r="S118" s="193" t="s">
        <v>214</v>
      </c>
      <c r="T118" s="193" t="s">
        <v>3217</v>
      </c>
      <c r="U118" s="193" t="s">
        <v>3218</v>
      </c>
      <c r="V118" s="193">
        <v>0</v>
      </c>
      <c r="W118" s="193">
        <v>0</v>
      </c>
      <c r="X118" s="193">
        <v>0</v>
      </c>
      <c r="Y118" s="193">
        <v>1275</v>
      </c>
      <c r="Z118" s="193" t="s">
        <v>3031</v>
      </c>
      <c r="AA118" s="193" t="s">
        <v>27</v>
      </c>
      <c r="AB118" s="193">
        <v>1275</v>
      </c>
      <c r="AC118" s="193" t="s">
        <v>515</v>
      </c>
      <c r="AD118" s="193" t="s">
        <v>516</v>
      </c>
      <c r="AE118" s="193">
        <v>1275</v>
      </c>
      <c r="AF118" s="193" t="s">
        <v>518</v>
      </c>
      <c r="AG118" s="193" t="s">
        <v>519</v>
      </c>
      <c r="AH118" s="193">
        <v>0</v>
      </c>
      <c r="AI118" s="193">
        <v>1275</v>
      </c>
      <c r="AJ118" s="193" t="s">
        <v>3219</v>
      </c>
      <c r="AL118" s="193" t="s">
        <v>3280</v>
      </c>
      <c r="AM118" s="193">
        <v>1</v>
      </c>
      <c r="AN118" s="193">
        <v>0</v>
      </c>
      <c r="AO118" s="193">
        <v>0</v>
      </c>
      <c r="AP118" s="566">
        <v>0</v>
      </c>
      <c r="AQ118" s="193" t="s">
        <v>214</v>
      </c>
      <c r="AS118" s="566" t="s">
        <v>518</v>
      </c>
      <c r="AT118" s="566" t="s">
        <v>519</v>
      </c>
      <c r="AV118" s="194">
        <v>638</v>
      </c>
      <c r="AW118" s="194">
        <v>0</v>
      </c>
      <c r="AX118" s="194">
        <v>0</v>
      </c>
      <c r="AY118" s="551">
        <v>638</v>
      </c>
      <c r="AZ118" s="194">
        <v>0</v>
      </c>
      <c r="BA118" s="194">
        <v>637</v>
      </c>
      <c r="BB118" s="551">
        <v>637</v>
      </c>
      <c r="BC118" s="551">
        <v>1275</v>
      </c>
      <c r="BD118" s="551">
        <v>0</v>
      </c>
      <c r="BF118" s="551">
        <f t="shared" si="43"/>
        <v>638</v>
      </c>
      <c r="BG118" s="551">
        <f t="shared" si="44"/>
        <v>0</v>
      </c>
      <c r="BH118" s="551">
        <f t="shared" si="45"/>
        <v>0</v>
      </c>
      <c r="BI118" s="551">
        <f t="shared" si="46"/>
        <v>638</v>
      </c>
      <c r="BJ118" s="551">
        <f t="shared" si="47"/>
        <v>0</v>
      </c>
      <c r="BK118" s="551">
        <f t="shared" si="48"/>
        <v>637</v>
      </c>
      <c r="BL118" s="551">
        <f t="shared" si="49"/>
        <v>637</v>
      </c>
      <c r="BM118" s="551">
        <f t="shared" si="50"/>
        <v>1275</v>
      </c>
      <c r="BO118" s="193">
        <f t="shared" si="51"/>
        <v>0</v>
      </c>
      <c r="BP118" s="193">
        <f t="shared" si="52"/>
        <v>0</v>
      </c>
      <c r="BQ118" s="193">
        <f t="shared" si="53"/>
        <v>0</v>
      </c>
      <c r="BR118" s="193">
        <f t="shared" si="54"/>
        <v>0</v>
      </c>
      <c r="BS118" s="193">
        <f t="shared" si="55"/>
        <v>0</v>
      </c>
      <c r="BT118" s="193">
        <f t="shared" si="56"/>
        <v>0</v>
      </c>
      <c r="BU118" s="193">
        <f t="shared" si="57"/>
        <v>0</v>
      </c>
    </row>
    <row r="119" spans="1:73">
      <c r="AY119" s="551"/>
      <c r="BB119" s="551"/>
      <c r="BC119" s="551"/>
      <c r="BD119" s="551"/>
      <c r="BF119" s="551"/>
      <c r="BG119" s="551"/>
      <c r="BH119" s="551"/>
      <c r="BI119" s="551"/>
      <c r="BJ119" s="551"/>
      <c r="BK119" s="551"/>
      <c r="BL119" s="551"/>
      <c r="BM119" s="551"/>
    </row>
    <row r="120" spans="1:73">
      <c r="AY120" s="551"/>
      <c r="BB120" s="551"/>
      <c r="BC120" s="551"/>
      <c r="BD120" s="551"/>
      <c r="BF120" s="551"/>
      <c r="BG120" s="551"/>
      <c r="BH120" s="551"/>
      <c r="BI120" s="551"/>
      <c r="BJ120" s="551"/>
      <c r="BK120" s="551"/>
      <c r="BL120" s="551"/>
      <c r="BM120" s="551"/>
    </row>
    <row r="121" spans="1:73">
      <c r="AY121" s="551"/>
      <c r="BB121" s="551"/>
      <c r="BC121" s="551"/>
      <c r="BD121" s="551"/>
      <c r="BF121" s="551"/>
      <c r="BG121" s="551"/>
      <c r="BH121" s="551"/>
      <c r="BI121" s="551"/>
      <c r="BJ121" s="551"/>
      <c r="BK121" s="551"/>
      <c r="BL121" s="551"/>
      <c r="BM121" s="551"/>
    </row>
    <row r="122" spans="1:73">
      <c r="AY122" s="551"/>
      <c r="BB122" s="551"/>
      <c r="BC122" s="551"/>
      <c r="BD122" s="551"/>
      <c r="BF122" s="551"/>
      <c r="BG122" s="551"/>
      <c r="BH122" s="551"/>
      <c r="BI122" s="551"/>
      <c r="BJ122" s="551"/>
      <c r="BK122" s="551"/>
      <c r="BL122" s="551"/>
      <c r="BM122" s="551"/>
    </row>
    <row r="123" spans="1:73">
      <c r="AY123" s="551"/>
      <c r="BB123" s="551"/>
      <c r="BC123" s="551"/>
      <c r="BD123" s="551"/>
      <c r="BF123" s="551"/>
      <c r="BG123" s="551"/>
      <c r="BH123" s="551"/>
      <c r="BI123" s="551"/>
      <c r="BJ123" s="551"/>
      <c r="BK123" s="551"/>
      <c r="BL123" s="551"/>
      <c r="BM123" s="551"/>
    </row>
    <row r="124" spans="1:73">
      <c r="AY124" s="551"/>
      <c r="BB124" s="551"/>
      <c r="BC124" s="551"/>
      <c r="BD124" s="551"/>
      <c r="BF124" s="551"/>
      <c r="BG124" s="551"/>
      <c r="BH124" s="551"/>
      <c r="BI124" s="551"/>
      <c r="BJ124" s="551"/>
      <c r="BK124" s="551"/>
      <c r="BL124" s="551"/>
      <c r="BM124" s="551"/>
    </row>
    <row r="125" spans="1:73">
      <c r="AY125" s="551"/>
      <c r="BB125" s="551"/>
      <c r="BC125" s="551"/>
      <c r="BD125" s="551"/>
      <c r="BF125" s="551"/>
      <c r="BG125" s="551"/>
      <c r="BH125" s="551"/>
      <c r="BI125" s="551"/>
      <c r="BJ125" s="551"/>
      <c r="BK125" s="551"/>
      <c r="BL125" s="551"/>
      <c r="BM125" s="551"/>
    </row>
    <row r="126" spans="1:73">
      <c r="AY126" s="551"/>
      <c r="BB126" s="551"/>
      <c r="BC126" s="551"/>
      <c r="BD126" s="551"/>
      <c r="BF126" s="551"/>
      <c r="BG126" s="551"/>
      <c r="BH126" s="551"/>
      <c r="BI126" s="551"/>
      <c r="BJ126" s="551"/>
      <c r="BK126" s="551"/>
      <c r="BL126" s="551"/>
      <c r="BM126" s="551"/>
    </row>
    <row r="127" spans="1:73">
      <c r="AY127" s="551"/>
      <c r="BB127" s="551"/>
      <c r="BC127" s="551"/>
      <c r="BD127" s="551"/>
      <c r="BF127" s="551"/>
      <c r="BG127" s="551"/>
      <c r="BH127" s="551"/>
      <c r="BI127" s="551"/>
      <c r="BJ127" s="551"/>
      <c r="BK127" s="551"/>
      <c r="BL127" s="551"/>
      <c r="BM127" s="551"/>
    </row>
    <row r="128" spans="1:73">
      <c r="AY128" s="551"/>
      <c r="BB128" s="551"/>
      <c r="BC128" s="551"/>
      <c r="BD128" s="551"/>
      <c r="BF128" s="551"/>
      <c r="BG128" s="551"/>
      <c r="BH128" s="551"/>
      <c r="BI128" s="551"/>
      <c r="BJ128" s="551"/>
      <c r="BK128" s="551"/>
      <c r="BL128" s="551"/>
      <c r="BM128" s="551"/>
    </row>
    <row r="129" spans="51:65">
      <c r="AY129" s="551"/>
      <c r="BB129" s="551"/>
      <c r="BC129" s="551"/>
      <c r="BD129" s="551"/>
      <c r="BF129" s="551"/>
      <c r="BG129" s="551"/>
      <c r="BH129" s="551"/>
      <c r="BI129" s="551"/>
      <c r="BJ129" s="551"/>
      <c r="BK129" s="551"/>
      <c r="BL129" s="551"/>
      <c r="BM129" s="551"/>
    </row>
    <row r="130" spans="51:65">
      <c r="AY130" s="551"/>
      <c r="BB130" s="551"/>
      <c r="BC130" s="551"/>
      <c r="BD130" s="551"/>
      <c r="BF130" s="551"/>
      <c r="BG130" s="551"/>
      <c r="BH130" s="551"/>
      <c r="BI130" s="551"/>
      <c r="BJ130" s="551"/>
      <c r="BK130" s="551"/>
      <c r="BL130" s="551"/>
      <c r="BM130" s="551"/>
    </row>
    <row r="131" spans="51:65">
      <c r="AY131" s="551"/>
      <c r="BB131" s="551"/>
      <c r="BC131" s="551"/>
      <c r="BD131" s="551"/>
      <c r="BF131" s="551"/>
      <c r="BG131" s="551"/>
      <c r="BH131" s="551"/>
      <c r="BI131" s="551"/>
      <c r="BJ131" s="551"/>
      <c r="BK131" s="551"/>
      <c r="BL131" s="551"/>
      <c r="BM131" s="551"/>
    </row>
    <row r="132" spans="51:65">
      <c r="AY132" s="551"/>
      <c r="BB132" s="551"/>
      <c r="BC132" s="551"/>
      <c r="BD132" s="551"/>
      <c r="BF132" s="551"/>
      <c r="BG132" s="551"/>
      <c r="BH132" s="551"/>
      <c r="BI132" s="551"/>
      <c r="BJ132" s="551"/>
      <c r="BK132" s="551"/>
      <c r="BL132" s="551"/>
      <c r="BM132" s="551"/>
    </row>
    <row r="133" spans="51:65">
      <c r="AY133" s="551"/>
      <c r="BB133" s="551"/>
      <c r="BC133" s="551"/>
      <c r="BD133" s="551"/>
      <c r="BF133" s="551"/>
      <c r="BG133" s="551"/>
      <c r="BH133" s="551"/>
      <c r="BI133" s="551"/>
      <c r="BJ133" s="551"/>
      <c r="BK133" s="551"/>
      <c r="BL133" s="551"/>
      <c r="BM133" s="551"/>
    </row>
    <row r="134" spans="51:65">
      <c r="AY134" s="551"/>
      <c r="BB134" s="551"/>
      <c r="BC134" s="551"/>
      <c r="BD134" s="551"/>
      <c r="BF134" s="551"/>
      <c r="BG134" s="551"/>
      <c r="BH134" s="551"/>
      <c r="BI134" s="551"/>
      <c r="BJ134" s="551"/>
      <c r="BK134" s="551"/>
      <c r="BL134" s="551"/>
      <c r="BM134" s="551"/>
    </row>
    <row r="135" spans="51:65">
      <c r="AY135" s="551"/>
      <c r="BB135" s="551"/>
      <c r="BC135" s="551"/>
      <c r="BD135" s="551"/>
      <c r="BF135" s="551"/>
      <c r="BG135" s="551"/>
      <c r="BH135" s="551"/>
      <c r="BI135" s="551"/>
      <c r="BJ135" s="551"/>
      <c r="BK135" s="551"/>
      <c r="BL135" s="551"/>
      <c r="BM135" s="551"/>
    </row>
  </sheetData>
  <autoFilter ref="A12:BU118">
    <filterColumn colId="7">
      <colorFilter dxfId="32"/>
    </filterColumn>
  </autoFilter>
  <sortState ref="A13:BS249">
    <sortCondition ref="N13:N249"/>
    <sortCondition ref="D13:D249"/>
    <sortCondition ref="H13:H249"/>
    <sortCondition ref="A13:A249"/>
    <sortCondition ref="G13:G249"/>
  </sortState>
  <mergeCells count="13">
    <mergeCell ref="BN1:BN2"/>
    <mergeCell ref="BO1:BO2"/>
    <mergeCell ref="BJ11:BL11"/>
    <mergeCell ref="BF11:BI11"/>
    <mergeCell ref="AV1:AY1"/>
    <mergeCell ref="AZ1:BB1"/>
    <mergeCell ref="BM1:BM2"/>
    <mergeCell ref="AV11:AY11"/>
    <mergeCell ref="AZ11:BB11"/>
    <mergeCell ref="BC1:BC2"/>
    <mergeCell ref="BD1:BD2"/>
    <mergeCell ref="BF1:BI1"/>
    <mergeCell ref="BJ1:BL1"/>
  </mergeCells>
  <phoneticPr fontId="2"/>
  <conditionalFormatting sqref="BD3:BD9 BN1:BN8 BD136:BD1048576">
    <cfRule type="cellIs" dxfId="31" priority="12" operator="notEqual">
      <formula>0</formula>
    </cfRule>
  </conditionalFormatting>
  <conditionalFormatting sqref="BD1:BD2">
    <cfRule type="cellIs" dxfId="30" priority="11" operator="notEqual">
      <formula>0</formula>
    </cfRule>
  </conditionalFormatting>
  <conditionalFormatting sqref="BD11:BD12">
    <cfRule type="cellIs" dxfId="29" priority="10" operator="notEqual">
      <formula>0</formula>
    </cfRule>
  </conditionalFormatting>
  <conditionalFormatting sqref="BD119:BD135">
    <cfRule type="cellIs" dxfId="28" priority="7" operator="notEqual">
      <formula>0</formula>
    </cfRule>
  </conditionalFormatting>
  <conditionalFormatting sqref="BD119:BD135">
    <cfRule type="cellIs" dxfId="27" priority="5" operator="notEqual">
      <formula>0</formula>
    </cfRule>
  </conditionalFormatting>
  <conditionalFormatting sqref="BD13:BD116">
    <cfRule type="cellIs" dxfId="26" priority="4" operator="notEqual">
      <formula>0</formula>
    </cfRule>
  </conditionalFormatting>
  <conditionalFormatting sqref="BD13:BD116">
    <cfRule type="cellIs" dxfId="25" priority="3" operator="notEqual">
      <formula>0</formula>
    </cfRule>
  </conditionalFormatting>
  <conditionalFormatting sqref="BD117:BD118">
    <cfRule type="cellIs" dxfId="24" priority="2" operator="notEqual">
      <formula>0</formula>
    </cfRule>
  </conditionalFormatting>
  <conditionalFormatting sqref="BD117:BD118">
    <cfRule type="cellIs" dxfId="23" priority="1" operator="notEqual">
      <formula>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sheetPr>
  <dimension ref="A1:AZ252"/>
  <sheetViews>
    <sheetView zoomScale="85" zoomScaleNormal="85" workbookViewId="0">
      <pane xSplit="8" topLeftCell="I1" activePane="topRight" state="frozen"/>
      <selection pane="topRight" activeCell="R35" sqref="R35"/>
    </sheetView>
  </sheetViews>
  <sheetFormatPr defaultColWidth="9" defaultRowHeight="13.5" outlineLevelCol="1"/>
  <cols>
    <col min="1" max="1" width="3.375" style="193" customWidth="1"/>
    <col min="2" max="4" width="2" style="193" customWidth="1" outlineLevel="1"/>
    <col min="5" max="5" width="5.625" style="193" customWidth="1"/>
    <col min="6" max="7" width="2" style="193" customWidth="1" outlineLevel="1"/>
    <col min="8" max="8" width="20.125" style="193" customWidth="1"/>
    <col min="9" max="9" width="9" style="193" customWidth="1" outlineLevel="1"/>
    <col min="10" max="12" width="3.75" style="193" customWidth="1" outlineLevel="1"/>
    <col min="13" max="13" width="4.25" style="193" customWidth="1" outlineLevel="1"/>
    <col min="14" max="14" width="4.125" style="193" customWidth="1"/>
    <col min="15" max="15" width="3.625" style="193" customWidth="1"/>
    <col min="16" max="16" width="5.75" style="193" customWidth="1"/>
    <col min="17" max="18" width="9" style="193"/>
    <col min="19" max="19" width="4.25" style="193" customWidth="1"/>
    <col min="20" max="20" width="6.375" style="193" customWidth="1" outlineLevel="1"/>
    <col min="21" max="24" width="9" style="193" customWidth="1" outlineLevel="1"/>
    <col min="25" max="25" width="9.25" style="193" bestFit="1" customWidth="1"/>
    <col min="26" max="26" width="4.25" style="193" customWidth="1" outlineLevel="1"/>
    <col min="27" max="27" width="9" style="193" customWidth="1" outlineLevel="1"/>
    <col min="28" max="28" width="7.875" style="193" customWidth="1" outlineLevel="1"/>
    <col min="29" max="29" width="4.25" style="193" customWidth="1" outlineLevel="1"/>
    <col min="30" max="30" width="9" style="193" customWidth="1" outlineLevel="1"/>
    <col min="31" max="31" width="7.875" style="193" customWidth="1" outlineLevel="1"/>
    <col min="32" max="32" width="8" style="193" customWidth="1" outlineLevel="1"/>
    <col min="33" max="33" width="5.75" style="193" customWidth="1" outlineLevel="1"/>
    <col min="34" max="34" width="7.375" style="193" bestFit="1" customWidth="1" outlineLevel="1"/>
    <col min="35" max="38" width="9" style="193" customWidth="1" outlineLevel="1"/>
    <col min="39" max="39" width="6.125" style="193" customWidth="1" outlineLevel="1"/>
    <col min="40" max="41" width="9" style="193" customWidth="1" outlineLevel="1"/>
    <col min="42" max="43" width="7.375" style="193" bestFit="1" customWidth="1" outlineLevel="1"/>
    <col min="44" max="44" width="3.75" style="193" customWidth="1" outlineLevel="1"/>
    <col min="45" max="16384" width="9" style="193"/>
  </cols>
  <sheetData>
    <row r="1" spans="1:52" ht="13.5" customHeight="1">
      <c r="R1" s="206" t="s">
        <v>242</v>
      </c>
    </row>
    <row r="2" spans="1:52">
      <c r="AU2" s="213" t="s">
        <v>248</v>
      </c>
      <c r="AV2" s="213"/>
      <c r="AW2" s="213"/>
      <c r="AX2" s="213"/>
      <c r="AY2" s="213"/>
    </row>
    <row r="3" spans="1:52">
      <c r="Y3" s="193" t="s">
        <v>247</v>
      </c>
      <c r="AU3" s="212">
        <v>3</v>
      </c>
      <c r="AV3" s="212">
        <v>5</v>
      </c>
      <c r="AW3" s="212">
        <v>8</v>
      </c>
      <c r="AX3" s="212">
        <v>10</v>
      </c>
      <c r="AY3" s="212">
        <v>0</v>
      </c>
      <c r="AZ3" s="193" t="s">
        <v>81</v>
      </c>
    </row>
    <row r="4" spans="1:52">
      <c r="N4" s="193">
        <v>1</v>
      </c>
      <c r="O4" s="193" t="s">
        <v>229</v>
      </c>
      <c r="P4" s="193" t="s">
        <v>244</v>
      </c>
      <c r="Q4" s="193" t="s">
        <v>65</v>
      </c>
      <c r="Y4" s="194">
        <f>+SUMIFS(Y$15:Y$45,$A$15:$A$45,$N4)</f>
        <v>0</v>
      </c>
      <c r="AU4" s="211">
        <f t="shared" ref="AU4:AY4" si="0">+ROUND(SUMIFS($Y$15:$Y$46,$A$15:$A$46,$N4,$AT$15:$AT$46,AU$3)*100/(100+AU$3),0)</f>
        <v>0</v>
      </c>
      <c r="AV4" s="211">
        <f t="shared" si="0"/>
        <v>0</v>
      </c>
      <c r="AW4" s="211">
        <f t="shared" si="0"/>
        <v>0</v>
      </c>
      <c r="AX4" s="211">
        <f t="shared" si="0"/>
        <v>0</v>
      </c>
      <c r="AY4" s="211">
        <f t="shared" si="0"/>
        <v>0</v>
      </c>
      <c r="AZ4" s="208">
        <f>SUM(AU4:AY4)</f>
        <v>0</v>
      </c>
    </row>
    <row r="5" spans="1:52">
      <c r="N5" s="204">
        <v>2</v>
      </c>
      <c r="O5" s="204" t="s">
        <v>229</v>
      </c>
      <c r="P5" s="204" t="s">
        <v>244</v>
      </c>
      <c r="Q5" s="204" t="s">
        <v>246</v>
      </c>
      <c r="R5" s="204"/>
      <c r="Y5" s="194">
        <f>+SUMIFS(Y$15:Y$45,$A$15:$A$45,$N5)</f>
        <v>0</v>
      </c>
      <c r="AU5" s="211">
        <f t="shared" ref="AU5:AW7" si="1">+ROUND(SUMIFS($Y$15:$Y$46,$A$15:$A$46,$N5,$AT$15:$AT$46,AU$3)*100/(100+AU$3),0)</f>
        <v>0</v>
      </c>
      <c r="AV5" s="211">
        <f t="shared" ref="AU5:AV7" si="2">+ROUNDUP(SUMIFS($Y$15:$Y$46,$A$15:$A$46,$N5,$AT$15:$AT$46,AV$3)*100/(100+AV$3),0)</f>
        <v>0</v>
      </c>
      <c r="AW5" s="211">
        <f>+ROUND(SUMIFS($Y$15:$Y$46,$A$15:$A$46,$N5,$AT$15:$AT$46,AW$3)*100/(100+AW$3),0)</f>
        <v>0</v>
      </c>
      <c r="AX5" s="211">
        <f t="shared" ref="AX5:AY7" si="3">+ROUNDUP(SUMIFS($Y$15:$Y$46,$A$15:$A$46,$N5,$AT$15:$AT$46,AX$3)*100/(100+AX$3),0)</f>
        <v>0</v>
      </c>
      <c r="AY5" s="211">
        <f t="shared" si="3"/>
        <v>0</v>
      </c>
      <c r="AZ5" s="208">
        <f>SUM(AU5:AY5)</f>
        <v>0</v>
      </c>
    </row>
    <row r="6" spans="1:52">
      <c r="N6" s="204">
        <v>3</v>
      </c>
      <c r="O6" s="204" t="s">
        <v>229</v>
      </c>
      <c r="P6" s="204" t="s">
        <v>244</v>
      </c>
      <c r="Q6" s="204" t="s">
        <v>245</v>
      </c>
      <c r="R6" s="204"/>
      <c r="Y6" s="194">
        <f>+SUMIFS(Y$15:Y$45,$A$15:$A$45,$N6)</f>
        <v>0</v>
      </c>
      <c r="AU6" s="211">
        <f t="shared" si="1"/>
        <v>0</v>
      </c>
      <c r="AV6" s="211">
        <f t="shared" si="2"/>
        <v>0</v>
      </c>
      <c r="AW6" s="211">
        <f t="shared" si="1"/>
        <v>0</v>
      </c>
      <c r="AX6" s="211">
        <f t="shared" si="3"/>
        <v>0</v>
      </c>
      <c r="AY6" s="211">
        <f t="shared" si="3"/>
        <v>0</v>
      </c>
      <c r="AZ6" s="208">
        <f>SUM(AU6:AY6)</f>
        <v>0</v>
      </c>
    </row>
    <row r="7" spans="1:52">
      <c r="N7" s="204">
        <v>4</v>
      </c>
      <c r="O7" s="204" t="s">
        <v>229</v>
      </c>
      <c r="P7" s="204" t="s">
        <v>244</v>
      </c>
      <c r="Q7" s="204" t="s">
        <v>243</v>
      </c>
      <c r="R7" s="204"/>
      <c r="Y7" s="194">
        <f>+SUMIFS(Y$15:Y$45,$A$15:$A$45,$N7)</f>
        <v>0</v>
      </c>
      <c r="AU7" s="211">
        <f t="shared" si="2"/>
        <v>0</v>
      </c>
      <c r="AV7" s="211">
        <f t="shared" si="2"/>
        <v>0</v>
      </c>
      <c r="AW7" s="211">
        <f t="shared" si="1"/>
        <v>0</v>
      </c>
      <c r="AX7" s="211">
        <f t="shared" si="3"/>
        <v>0</v>
      </c>
      <c r="AY7" s="211">
        <f t="shared" si="3"/>
        <v>0</v>
      </c>
      <c r="AZ7" s="208">
        <f>SUM(AU7:AY7)</f>
        <v>0</v>
      </c>
    </row>
    <row r="8" spans="1:52">
      <c r="N8" s="204"/>
      <c r="O8" s="204"/>
      <c r="P8" s="204"/>
      <c r="Q8" s="204"/>
      <c r="R8" s="204"/>
      <c r="Y8" s="194"/>
      <c r="AU8" s="211"/>
      <c r="AV8" s="211"/>
      <c r="AW8" s="211"/>
      <c r="AX8" s="211"/>
      <c r="AY8" s="211"/>
      <c r="AZ8" s="208"/>
    </row>
    <row r="9" spans="1:52">
      <c r="N9" s="204"/>
      <c r="O9" s="204"/>
      <c r="P9" s="204"/>
      <c r="Q9" s="204"/>
      <c r="R9" s="204"/>
      <c r="Y9" s="194"/>
      <c r="AU9" s="211"/>
      <c r="AV9" s="211"/>
      <c r="AW9" s="211"/>
      <c r="AX9" s="211"/>
      <c r="AY9" s="211"/>
      <c r="AZ9" s="208"/>
    </row>
    <row r="10" spans="1:52">
      <c r="N10" s="204"/>
      <c r="O10" s="204"/>
      <c r="P10" s="204"/>
      <c r="R10" s="204"/>
      <c r="Y10" s="194"/>
      <c r="AU10" s="211"/>
      <c r="AV10" s="211"/>
      <c r="AW10" s="211"/>
      <c r="AX10" s="211"/>
      <c r="AY10" s="211"/>
      <c r="AZ10" s="208"/>
    </row>
    <row r="11" spans="1:52">
      <c r="N11" s="204"/>
      <c r="O11" s="204"/>
      <c r="P11" s="204"/>
      <c r="Q11" s="204"/>
      <c r="R11" s="204"/>
      <c r="Y11" s="194"/>
      <c r="AU11" s="211"/>
      <c r="AV11" s="211"/>
      <c r="AW11" s="211"/>
      <c r="AX11" s="211"/>
      <c r="AY11" s="211"/>
      <c r="AZ11" s="208"/>
    </row>
    <row r="14" spans="1:52">
      <c r="V14" s="200"/>
      <c r="W14" s="200"/>
      <c r="X14" s="200"/>
      <c r="Y14" s="202"/>
      <c r="AB14" s="200"/>
      <c r="AE14" s="200"/>
      <c r="AG14" s="200"/>
      <c r="AH14" s="200"/>
      <c r="AI14" s="200"/>
      <c r="AL14" s="197" t="s">
        <v>215</v>
      </c>
      <c r="AQ14" s="193" t="s">
        <v>214</v>
      </c>
      <c r="AS14" s="197">
        <v>0</v>
      </c>
      <c r="AT14" s="197">
        <v>0</v>
      </c>
    </row>
    <row r="15" spans="1:52">
      <c r="A15" s="193" t="s">
        <v>206</v>
      </c>
      <c r="B15" s="193" t="s">
        <v>205</v>
      </c>
      <c r="C15" s="193" t="s">
        <v>204</v>
      </c>
      <c r="D15" s="193" t="s">
        <v>203</v>
      </c>
      <c r="E15" s="193" t="s">
        <v>202</v>
      </c>
      <c r="F15" s="193" t="s">
        <v>201</v>
      </c>
      <c r="G15" s="193" t="s">
        <v>200</v>
      </c>
      <c r="H15" s="193" t="s">
        <v>199</v>
      </c>
      <c r="I15" s="193" t="s">
        <v>198</v>
      </c>
      <c r="J15" s="193" t="s">
        <v>197</v>
      </c>
      <c r="K15" s="193" t="s">
        <v>196</v>
      </c>
      <c r="L15" s="193" t="s">
        <v>195</v>
      </c>
      <c r="M15" s="193" t="s">
        <v>194</v>
      </c>
      <c r="N15" s="193" t="s">
        <v>193</v>
      </c>
      <c r="O15" s="193" t="s">
        <v>192</v>
      </c>
      <c r="P15" s="193" t="s">
        <v>191</v>
      </c>
      <c r="Q15" s="193" t="s">
        <v>190</v>
      </c>
      <c r="R15" s="199" t="s">
        <v>189</v>
      </c>
      <c r="S15" s="193" t="s">
        <v>188</v>
      </c>
      <c r="T15" s="193" t="s">
        <v>187</v>
      </c>
      <c r="U15" s="193" t="s">
        <v>186</v>
      </c>
      <c r="V15" s="200" t="s">
        <v>185</v>
      </c>
      <c r="W15" s="200" t="s">
        <v>184</v>
      </c>
      <c r="X15" s="200" t="s">
        <v>183</v>
      </c>
      <c r="Y15" s="194" t="s">
        <v>182</v>
      </c>
      <c r="Z15" s="193" t="s">
        <v>181</v>
      </c>
      <c r="AA15" s="193" t="s">
        <v>180</v>
      </c>
      <c r="AB15" s="200" t="s">
        <v>179</v>
      </c>
      <c r="AC15" s="193" t="s">
        <v>178</v>
      </c>
      <c r="AD15" s="193" t="s">
        <v>177</v>
      </c>
      <c r="AE15" s="200" t="s">
        <v>176</v>
      </c>
      <c r="AF15" s="193" t="s">
        <v>175</v>
      </c>
      <c r="AG15" s="200" t="s">
        <v>174</v>
      </c>
      <c r="AH15" s="200" t="s">
        <v>173</v>
      </c>
      <c r="AI15" s="200" t="s">
        <v>172</v>
      </c>
      <c r="AJ15" s="193" t="s">
        <v>171</v>
      </c>
      <c r="AL15" s="195" t="s">
        <v>170</v>
      </c>
      <c r="AM15" s="195" t="s">
        <v>169</v>
      </c>
      <c r="AN15" s="199" t="s">
        <v>168</v>
      </c>
      <c r="AO15" s="199" t="s">
        <v>167</v>
      </c>
      <c r="AP15" s="195" t="s">
        <v>166</v>
      </c>
      <c r="AQ15" s="195" t="s">
        <v>165</v>
      </c>
      <c r="AS15" s="193" t="s">
        <v>164</v>
      </c>
      <c r="AT15" s="193" t="s">
        <v>163</v>
      </c>
    </row>
    <row r="16" spans="1:52" s="375" customFormat="1">
      <c r="V16" s="194"/>
      <c r="W16" s="194"/>
      <c r="X16" s="194"/>
      <c r="Y16" s="194"/>
    </row>
    <row r="17" spans="17:46" s="375" customFormat="1">
      <c r="V17" s="194"/>
      <c r="W17" s="194"/>
      <c r="X17" s="194"/>
      <c r="Y17" s="194"/>
    </row>
    <row r="18" spans="17:46" s="375" customFormat="1">
      <c r="Y18" s="194"/>
      <c r="AL18" s="376"/>
      <c r="AS18" s="376"/>
      <c r="AT18" s="376"/>
    </row>
    <row r="19" spans="17:46" s="375" customFormat="1">
      <c r="Y19" s="194"/>
      <c r="AL19" s="376"/>
      <c r="AS19" s="376"/>
      <c r="AT19" s="376"/>
    </row>
    <row r="20" spans="17:46" s="375" customFormat="1">
      <c r="Y20" s="194"/>
      <c r="AL20" s="376"/>
      <c r="AS20" s="376"/>
      <c r="AT20" s="376"/>
    </row>
    <row r="21" spans="17:46" s="375" customFormat="1">
      <c r="Y21" s="194"/>
      <c r="AL21" s="376"/>
      <c r="AS21" s="376"/>
      <c r="AT21" s="376"/>
    </row>
    <row r="22" spans="17:46" s="375" customFormat="1">
      <c r="Y22" s="194"/>
      <c r="AL22" s="376"/>
      <c r="AS22" s="376"/>
      <c r="AT22" s="376"/>
    </row>
    <row r="23" spans="17:46" s="375" customFormat="1">
      <c r="Y23" s="194"/>
      <c r="AL23" s="376"/>
      <c r="AS23" s="376"/>
      <c r="AT23" s="376"/>
    </row>
    <row r="24" spans="17:46" s="375" customFormat="1">
      <c r="Y24" s="194"/>
      <c r="AL24" s="376"/>
      <c r="AS24" s="376"/>
      <c r="AT24" s="376"/>
    </row>
    <row r="25" spans="17:46" s="375" customFormat="1">
      <c r="Y25" s="194"/>
      <c r="AL25" s="376"/>
      <c r="AS25" s="376"/>
      <c r="AT25" s="376"/>
    </row>
    <row r="26" spans="17:46" s="375" customFormat="1">
      <c r="Y26" s="194"/>
      <c r="AL26" s="376"/>
      <c r="AS26" s="376"/>
      <c r="AT26" s="376"/>
    </row>
    <row r="27" spans="17:46">
      <c r="Y27" s="194"/>
      <c r="AL27" s="197"/>
      <c r="AS27" s="197"/>
      <c r="AT27" s="197"/>
    </row>
    <row r="28" spans="17:46" s="204" customFormat="1">
      <c r="Y28" s="194"/>
      <c r="AL28" s="210"/>
      <c r="AS28" s="210"/>
      <c r="AT28" s="210"/>
    </row>
    <row r="29" spans="17:46">
      <c r="Y29" s="194"/>
      <c r="AL29" s="197"/>
      <c r="AS29" s="197"/>
      <c r="AT29" s="197"/>
    </row>
    <row r="30" spans="17:46">
      <c r="Y30" s="194"/>
      <c r="AL30" s="197"/>
      <c r="AS30" s="197"/>
      <c r="AT30" s="197"/>
    </row>
    <row r="31" spans="17:46">
      <c r="Q31" s="204"/>
      <c r="Y31" s="194"/>
      <c r="AL31" s="197"/>
      <c r="AS31" s="197"/>
      <c r="AT31" s="197"/>
    </row>
    <row r="32" spans="17:46">
      <c r="Q32" s="204"/>
      <c r="Y32" s="194"/>
      <c r="AL32" s="197"/>
      <c r="AS32" s="197"/>
      <c r="AT32" s="197"/>
    </row>
    <row r="33" spans="17:46">
      <c r="Q33" s="204"/>
      <c r="Y33" s="194"/>
      <c r="AL33" s="197"/>
      <c r="AS33" s="197"/>
      <c r="AT33" s="197"/>
    </row>
    <row r="34" spans="17:46">
      <c r="Q34" s="204"/>
      <c r="Y34" s="194"/>
      <c r="AL34" s="197"/>
      <c r="AS34" s="197"/>
      <c r="AT34" s="197"/>
    </row>
    <row r="35" spans="17:46">
      <c r="Q35" s="204"/>
      <c r="Y35" s="194"/>
      <c r="AL35" s="197"/>
      <c r="AS35" s="197"/>
      <c r="AT35" s="197"/>
    </row>
    <row r="36" spans="17:46">
      <c r="Q36" s="204"/>
      <c r="Y36" s="194"/>
      <c r="AL36" s="197"/>
      <c r="AS36" s="197"/>
      <c r="AT36" s="197"/>
    </row>
    <row r="37" spans="17:46">
      <c r="Q37" s="204"/>
      <c r="Y37" s="194"/>
      <c r="AL37" s="197"/>
      <c r="AS37" s="197"/>
      <c r="AT37" s="197"/>
    </row>
    <row r="38" spans="17:46">
      <c r="Y38" s="194"/>
      <c r="AL38" s="197"/>
      <c r="AS38" s="197"/>
      <c r="AT38" s="197"/>
    </row>
    <row r="39" spans="17:46">
      <c r="Q39" s="204"/>
      <c r="Y39" s="194"/>
      <c r="AL39" s="197"/>
      <c r="AS39" s="197"/>
      <c r="AT39" s="197"/>
    </row>
    <row r="40" spans="17:46">
      <c r="Y40" s="194"/>
      <c r="AL40" s="197"/>
      <c r="AS40" s="197"/>
      <c r="AT40" s="197"/>
    </row>
    <row r="41" spans="17:46">
      <c r="Y41" s="194"/>
      <c r="AL41" s="197"/>
      <c r="AS41" s="197"/>
      <c r="AT41" s="197"/>
    </row>
    <row r="42" spans="17:46">
      <c r="Y42" s="194"/>
      <c r="AL42" s="197"/>
      <c r="AS42" s="197"/>
      <c r="AT42" s="197"/>
    </row>
    <row r="43" spans="17:46">
      <c r="Y43" s="194"/>
      <c r="AL43" s="197"/>
      <c r="AS43" s="197"/>
      <c r="AT43" s="197"/>
    </row>
    <row r="44" spans="17:46">
      <c r="Y44" s="194"/>
      <c r="AL44" s="197"/>
      <c r="AS44" s="197"/>
      <c r="AT44" s="197"/>
    </row>
    <row r="45" spans="17:46">
      <c r="Y45" s="194"/>
      <c r="AL45" s="197"/>
      <c r="AS45" s="197"/>
      <c r="AT45" s="197"/>
    </row>
    <row r="46" spans="17:46">
      <c r="Y46" s="194"/>
      <c r="AL46" s="197"/>
      <c r="AS46" s="197"/>
      <c r="AT46" s="197"/>
    </row>
    <row r="47" spans="17:46">
      <c r="Y47" s="194"/>
      <c r="AL47" s="197"/>
      <c r="AS47" s="197"/>
      <c r="AT47" s="197"/>
    </row>
    <row r="48" spans="17:46">
      <c r="Y48" s="194"/>
      <c r="AL48" s="197"/>
      <c r="AS48" s="197"/>
      <c r="AT48" s="197"/>
    </row>
    <row r="49" spans="25:46">
      <c r="Y49" s="194"/>
      <c r="AL49" s="197"/>
      <c r="AS49" s="197"/>
      <c r="AT49" s="197"/>
    </row>
    <row r="50" spans="25:46">
      <c r="Y50" s="194"/>
      <c r="AL50" s="197"/>
      <c r="AS50" s="197"/>
      <c r="AT50" s="197"/>
    </row>
    <row r="51" spans="25:46">
      <c r="Y51" s="194"/>
      <c r="AL51" s="197"/>
      <c r="AS51" s="197"/>
      <c r="AT51" s="197"/>
    </row>
    <row r="52" spans="25:46">
      <c r="Y52" s="194"/>
      <c r="AL52" s="197"/>
      <c r="AS52" s="197"/>
      <c r="AT52" s="197"/>
    </row>
    <row r="53" spans="25:46">
      <c r="Y53" s="194"/>
      <c r="AL53" s="197"/>
      <c r="AS53" s="197"/>
      <c r="AT53" s="197"/>
    </row>
    <row r="54" spans="25:46">
      <c r="Y54" s="194"/>
      <c r="AL54" s="197"/>
      <c r="AS54" s="197"/>
      <c r="AT54" s="197"/>
    </row>
    <row r="55" spans="25:46">
      <c r="Y55" s="194"/>
      <c r="AL55" s="197"/>
      <c r="AS55" s="197"/>
      <c r="AT55" s="197"/>
    </row>
    <row r="56" spans="25:46">
      <c r="Y56" s="194"/>
      <c r="AL56" s="197"/>
      <c r="AS56" s="197"/>
      <c r="AT56" s="197"/>
    </row>
    <row r="57" spans="25:46">
      <c r="Y57" s="194"/>
      <c r="AL57" s="197"/>
      <c r="AS57" s="197"/>
      <c r="AT57" s="197"/>
    </row>
    <row r="58" spans="25:46">
      <c r="Y58" s="194"/>
      <c r="AL58" s="197"/>
      <c r="AS58" s="197"/>
      <c r="AT58" s="197"/>
    </row>
    <row r="59" spans="25:46">
      <c r="Y59" s="194"/>
      <c r="AL59" s="197"/>
      <c r="AS59" s="197"/>
      <c r="AT59" s="197"/>
    </row>
    <row r="60" spans="25:46">
      <c r="Y60" s="194"/>
      <c r="AL60" s="197"/>
      <c r="AS60" s="197"/>
      <c r="AT60" s="197"/>
    </row>
    <row r="61" spans="25:46">
      <c r="Y61" s="194"/>
      <c r="AL61" s="197"/>
      <c r="AS61" s="197"/>
      <c r="AT61" s="197"/>
    </row>
    <row r="62" spans="25:46">
      <c r="Y62" s="194"/>
      <c r="AL62" s="197"/>
      <c r="AS62" s="197"/>
      <c r="AT62" s="197"/>
    </row>
    <row r="63" spans="25:46">
      <c r="Y63" s="194"/>
      <c r="AL63" s="197"/>
      <c r="AS63" s="197"/>
      <c r="AT63" s="197"/>
    </row>
    <row r="64" spans="25:46">
      <c r="Y64" s="194"/>
      <c r="AL64" s="197"/>
      <c r="AS64" s="197"/>
      <c r="AT64" s="197"/>
    </row>
    <row r="65" spans="25:46">
      <c r="Y65" s="194"/>
      <c r="AL65" s="197"/>
      <c r="AS65" s="197"/>
      <c r="AT65" s="197"/>
    </row>
    <row r="66" spans="25:46">
      <c r="Y66" s="194"/>
      <c r="AL66" s="197"/>
      <c r="AS66" s="197"/>
      <c r="AT66" s="197"/>
    </row>
    <row r="67" spans="25:46">
      <c r="Y67" s="194"/>
      <c r="AL67" s="197"/>
      <c r="AS67" s="197"/>
      <c r="AT67" s="197"/>
    </row>
    <row r="68" spans="25:46">
      <c r="Y68" s="194"/>
      <c r="AL68" s="197"/>
      <c r="AS68" s="197"/>
      <c r="AT68" s="197"/>
    </row>
    <row r="69" spans="25:46">
      <c r="Y69" s="194"/>
      <c r="AL69" s="197"/>
      <c r="AS69" s="197"/>
      <c r="AT69" s="197"/>
    </row>
    <row r="70" spans="25:46">
      <c r="Y70" s="194"/>
      <c r="AL70" s="197"/>
      <c r="AS70" s="197"/>
      <c r="AT70" s="197"/>
    </row>
    <row r="71" spans="25:46">
      <c r="Y71" s="194"/>
      <c r="AL71" s="197"/>
      <c r="AS71" s="197"/>
      <c r="AT71" s="197"/>
    </row>
    <row r="72" spans="25:46">
      <c r="Y72" s="194"/>
      <c r="AL72" s="197"/>
      <c r="AS72" s="197"/>
      <c r="AT72" s="197"/>
    </row>
    <row r="73" spans="25:46">
      <c r="Y73" s="194"/>
      <c r="AL73" s="197"/>
      <c r="AS73" s="197"/>
      <c r="AT73" s="197"/>
    </row>
    <row r="74" spans="25:46">
      <c r="Y74" s="194"/>
      <c r="AL74" s="197"/>
      <c r="AS74" s="197"/>
      <c r="AT74" s="197"/>
    </row>
    <row r="75" spans="25:46">
      <c r="Y75" s="194"/>
      <c r="AL75" s="197"/>
      <c r="AS75" s="197"/>
      <c r="AT75" s="197"/>
    </row>
    <row r="76" spans="25:46">
      <c r="Y76" s="194"/>
      <c r="AL76" s="197"/>
      <c r="AS76" s="197"/>
      <c r="AT76" s="197"/>
    </row>
    <row r="77" spans="25:46">
      <c r="Y77" s="194"/>
      <c r="AL77" s="197"/>
      <c r="AS77" s="197"/>
      <c r="AT77" s="197"/>
    </row>
    <row r="78" spans="25:46">
      <c r="Y78" s="194"/>
      <c r="AL78" s="197"/>
      <c r="AS78" s="197"/>
      <c r="AT78" s="197"/>
    </row>
    <row r="79" spans="25:46">
      <c r="Y79" s="194"/>
      <c r="AL79" s="197"/>
      <c r="AS79" s="197"/>
      <c r="AT79" s="197"/>
    </row>
    <row r="80" spans="25:46">
      <c r="Y80" s="194"/>
      <c r="AL80" s="197"/>
      <c r="AS80" s="197"/>
      <c r="AT80" s="197"/>
    </row>
    <row r="81" spans="25:46">
      <c r="Y81" s="194"/>
      <c r="AL81" s="197"/>
      <c r="AS81" s="197"/>
      <c r="AT81" s="197"/>
    </row>
    <row r="82" spans="25:46">
      <c r="Y82" s="194"/>
      <c r="AL82" s="197"/>
      <c r="AS82" s="197"/>
      <c r="AT82" s="197"/>
    </row>
    <row r="83" spans="25:46">
      <c r="Y83" s="194"/>
      <c r="AL83" s="197"/>
      <c r="AS83" s="197"/>
      <c r="AT83" s="197"/>
    </row>
    <row r="84" spans="25:46">
      <c r="Y84" s="194"/>
      <c r="AL84" s="197"/>
      <c r="AS84" s="197"/>
      <c r="AT84" s="197"/>
    </row>
    <row r="85" spans="25:46">
      <c r="Y85" s="194"/>
      <c r="AL85" s="197"/>
      <c r="AS85" s="197"/>
      <c r="AT85" s="197"/>
    </row>
    <row r="86" spans="25:46">
      <c r="Y86" s="194"/>
      <c r="AL86" s="197"/>
      <c r="AS86" s="197"/>
      <c r="AT86" s="197"/>
    </row>
    <row r="87" spans="25:46">
      <c r="Y87" s="194"/>
      <c r="AL87" s="197"/>
      <c r="AS87" s="197"/>
      <c r="AT87" s="197"/>
    </row>
    <row r="88" spans="25:46">
      <c r="Y88" s="194"/>
      <c r="AL88" s="197"/>
      <c r="AS88" s="197"/>
      <c r="AT88" s="197"/>
    </row>
    <row r="89" spans="25:46">
      <c r="Y89" s="194"/>
      <c r="AL89" s="197"/>
      <c r="AS89" s="197"/>
      <c r="AT89" s="197"/>
    </row>
    <row r="90" spans="25:46">
      <c r="Y90" s="194"/>
      <c r="AL90" s="197"/>
      <c r="AS90" s="197"/>
      <c r="AT90" s="197"/>
    </row>
    <row r="91" spans="25:46">
      <c r="Y91" s="194"/>
      <c r="AL91" s="197"/>
      <c r="AS91" s="197"/>
      <c r="AT91" s="197"/>
    </row>
    <row r="92" spans="25:46">
      <c r="Y92" s="194"/>
      <c r="AL92" s="197"/>
      <c r="AS92" s="197"/>
      <c r="AT92" s="197"/>
    </row>
    <row r="93" spans="25:46">
      <c r="Y93" s="194"/>
      <c r="AL93" s="197"/>
      <c r="AS93" s="197"/>
      <c r="AT93" s="197"/>
    </row>
    <row r="94" spans="25:46">
      <c r="Y94" s="194"/>
      <c r="AL94" s="197"/>
      <c r="AS94" s="197"/>
      <c r="AT94" s="197"/>
    </row>
    <row r="95" spans="25:46">
      <c r="Y95" s="194"/>
      <c r="AL95" s="197"/>
      <c r="AS95" s="197"/>
      <c r="AT95" s="197"/>
    </row>
    <row r="96" spans="25:46">
      <c r="Y96" s="194"/>
      <c r="AL96" s="197"/>
      <c r="AS96" s="197"/>
      <c r="AT96" s="197"/>
    </row>
    <row r="97" spans="25:46">
      <c r="Y97" s="194"/>
      <c r="AL97" s="197"/>
      <c r="AS97" s="197"/>
      <c r="AT97" s="197"/>
    </row>
    <row r="98" spans="25:46">
      <c r="Y98" s="194"/>
      <c r="AL98" s="197"/>
      <c r="AS98" s="197"/>
      <c r="AT98" s="197"/>
    </row>
    <row r="99" spans="25:46">
      <c r="Y99" s="194"/>
      <c r="AL99" s="197"/>
      <c r="AS99" s="197"/>
      <c r="AT99" s="197"/>
    </row>
    <row r="100" spans="25:46">
      <c r="Y100" s="194"/>
      <c r="AL100" s="197"/>
      <c r="AS100" s="197"/>
      <c r="AT100" s="197"/>
    </row>
    <row r="101" spans="25:46">
      <c r="Y101" s="194"/>
      <c r="AL101" s="197"/>
      <c r="AS101" s="197"/>
      <c r="AT101" s="197"/>
    </row>
    <row r="102" spans="25:46">
      <c r="Y102" s="194"/>
      <c r="AL102" s="197"/>
      <c r="AS102" s="197"/>
      <c r="AT102" s="197"/>
    </row>
    <row r="103" spans="25:46">
      <c r="Y103" s="194"/>
      <c r="AL103" s="197"/>
      <c r="AS103" s="197"/>
      <c r="AT103" s="197"/>
    </row>
    <row r="104" spans="25:46">
      <c r="Y104" s="194"/>
      <c r="AL104" s="197"/>
      <c r="AS104" s="197"/>
      <c r="AT104" s="197"/>
    </row>
    <row r="105" spans="25:46">
      <c r="Y105" s="194"/>
      <c r="AL105" s="197"/>
      <c r="AS105" s="197"/>
      <c r="AT105" s="197"/>
    </row>
    <row r="106" spans="25:46">
      <c r="Y106" s="194"/>
      <c r="AL106" s="197"/>
      <c r="AS106" s="197"/>
      <c r="AT106" s="197"/>
    </row>
    <row r="107" spans="25:46">
      <c r="Y107" s="194"/>
      <c r="AL107" s="197"/>
      <c r="AS107" s="197"/>
      <c r="AT107" s="197"/>
    </row>
    <row r="108" spans="25:46">
      <c r="Y108" s="194"/>
      <c r="AL108" s="197"/>
      <c r="AS108" s="197"/>
      <c r="AT108" s="197"/>
    </row>
    <row r="109" spans="25:46">
      <c r="Y109" s="194"/>
      <c r="AL109" s="197"/>
      <c r="AS109" s="197"/>
      <c r="AT109" s="197"/>
    </row>
    <row r="110" spans="25:46">
      <c r="Y110" s="194"/>
      <c r="AL110" s="197"/>
      <c r="AS110" s="197"/>
      <c r="AT110" s="197"/>
    </row>
    <row r="111" spans="25:46">
      <c r="Y111" s="194"/>
      <c r="AL111" s="197"/>
      <c r="AS111" s="197"/>
      <c r="AT111" s="197"/>
    </row>
    <row r="112" spans="25:46">
      <c r="Y112" s="194"/>
      <c r="AL112" s="197"/>
      <c r="AS112" s="197"/>
      <c r="AT112" s="197"/>
    </row>
    <row r="113" spans="25:46">
      <c r="Y113" s="194"/>
      <c r="AL113" s="197"/>
      <c r="AS113" s="197"/>
      <c r="AT113" s="197"/>
    </row>
    <row r="114" spans="25:46">
      <c r="Y114" s="194"/>
      <c r="AL114" s="197"/>
      <c r="AS114" s="197"/>
      <c r="AT114" s="197"/>
    </row>
    <row r="115" spans="25:46">
      <c r="Y115" s="194"/>
      <c r="AL115" s="197"/>
      <c r="AS115" s="197"/>
      <c r="AT115" s="197"/>
    </row>
    <row r="116" spans="25:46">
      <c r="Y116" s="194"/>
      <c r="AL116" s="197"/>
      <c r="AS116" s="197"/>
      <c r="AT116" s="197"/>
    </row>
    <row r="117" spans="25:46">
      <c r="Y117" s="194"/>
      <c r="AL117" s="197"/>
      <c r="AS117" s="197"/>
      <c r="AT117" s="197"/>
    </row>
    <row r="118" spans="25:46">
      <c r="Y118" s="194"/>
      <c r="AL118" s="197"/>
      <c r="AS118" s="197"/>
      <c r="AT118" s="197"/>
    </row>
    <row r="119" spans="25:46">
      <c r="Y119" s="194"/>
      <c r="AL119" s="197"/>
      <c r="AS119" s="197"/>
      <c r="AT119" s="197"/>
    </row>
    <row r="120" spans="25:46">
      <c r="Y120" s="194"/>
      <c r="AL120" s="197"/>
      <c r="AS120" s="197"/>
      <c r="AT120" s="197"/>
    </row>
    <row r="121" spans="25:46">
      <c r="Y121" s="194"/>
      <c r="AL121" s="197"/>
      <c r="AS121" s="197"/>
      <c r="AT121" s="197"/>
    </row>
    <row r="122" spans="25:46">
      <c r="Y122" s="194"/>
      <c r="AL122" s="197"/>
      <c r="AS122" s="197"/>
      <c r="AT122" s="197"/>
    </row>
    <row r="123" spans="25:46">
      <c r="Y123" s="194"/>
      <c r="AL123" s="197"/>
      <c r="AS123" s="197"/>
      <c r="AT123" s="197"/>
    </row>
    <row r="124" spans="25:46">
      <c r="Y124" s="194"/>
      <c r="AL124" s="197"/>
      <c r="AS124" s="197"/>
      <c r="AT124" s="197"/>
    </row>
    <row r="125" spans="25:46">
      <c r="Y125" s="194"/>
      <c r="AL125" s="197"/>
      <c r="AS125" s="197"/>
      <c r="AT125" s="197"/>
    </row>
    <row r="126" spans="25:46">
      <c r="Y126" s="194"/>
      <c r="AL126" s="197"/>
      <c r="AS126" s="197"/>
      <c r="AT126" s="197"/>
    </row>
    <row r="127" spans="25:46">
      <c r="Y127" s="194"/>
      <c r="AL127" s="197"/>
      <c r="AS127" s="197"/>
      <c r="AT127" s="197"/>
    </row>
    <row r="128" spans="25:46">
      <c r="Y128" s="194"/>
      <c r="AL128" s="197"/>
      <c r="AS128" s="197"/>
      <c r="AT128" s="197"/>
    </row>
    <row r="129" spans="25:46">
      <c r="Y129" s="194"/>
      <c r="AL129" s="197"/>
      <c r="AS129" s="197"/>
      <c r="AT129" s="197"/>
    </row>
    <row r="130" spans="25:46">
      <c r="Y130" s="194"/>
      <c r="AL130" s="197"/>
      <c r="AS130" s="197"/>
      <c r="AT130" s="197"/>
    </row>
    <row r="131" spans="25:46">
      <c r="Y131" s="194"/>
      <c r="AL131" s="197"/>
      <c r="AS131" s="197"/>
      <c r="AT131" s="197"/>
    </row>
    <row r="132" spans="25:46">
      <c r="Y132" s="194"/>
      <c r="AL132" s="197"/>
      <c r="AS132" s="197"/>
      <c r="AT132" s="197"/>
    </row>
    <row r="133" spans="25:46">
      <c r="Y133" s="194"/>
      <c r="AL133" s="197"/>
      <c r="AS133" s="197"/>
      <c r="AT133" s="197"/>
    </row>
    <row r="134" spans="25:46">
      <c r="Y134" s="194"/>
      <c r="AL134" s="197"/>
      <c r="AS134" s="197"/>
      <c r="AT134" s="197"/>
    </row>
    <row r="135" spans="25:46">
      <c r="Y135" s="194"/>
      <c r="AL135" s="197"/>
      <c r="AS135" s="197"/>
      <c r="AT135" s="197"/>
    </row>
    <row r="136" spans="25:46">
      <c r="Y136" s="194"/>
      <c r="AL136" s="197"/>
      <c r="AS136" s="197"/>
      <c r="AT136" s="197"/>
    </row>
    <row r="137" spans="25:46">
      <c r="Y137" s="194"/>
      <c r="AL137" s="197"/>
      <c r="AS137" s="197"/>
      <c r="AT137" s="197"/>
    </row>
    <row r="138" spans="25:46">
      <c r="Y138" s="194"/>
      <c r="AL138" s="197"/>
      <c r="AS138" s="197"/>
      <c r="AT138" s="197"/>
    </row>
    <row r="139" spans="25:46">
      <c r="Y139" s="194"/>
      <c r="AL139" s="197"/>
      <c r="AS139" s="197"/>
      <c r="AT139" s="197"/>
    </row>
    <row r="140" spans="25:46">
      <c r="Y140" s="194"/>
      <c r="AL140" s="197"/>
      <c r="AS140" s="197"/>
      <c r="AT140" s="197"/>
    </row>
    <row r="141" spans="25:46">
      <c r="Y141" s="194"/>
      <c r="AL141" s="197"/>
      <c r="AS141" s="197"/>
      <c r="AT141" s="197"/>
    </row>
    <row r="142" spans="25:46">
      <c r="Y142" s="194"/>
      <c r="AL142" s="197"/>
      <c r="AS142" s="197"/>
      <c r="AT142" s="197"/>
    </row>
    <row r="143" spans="25:46">
      <c r="Y143" s="194"/>
      <c r="AL143" s="197"/>
      <c r="AS143" s="197"/>
      <c r="AT143" s="197"/>
    </row>
    <row r="144" spans="25:46">
      <c r="Y144" s="194"/>
      <c r="AL144" s="197"/>
      <c r="AS144" s="197"/>
      <c r="AT144" s="197"/>
    </row>
    <row r="145" spans="25:46">
      <c r="Y145" s="194"/>
      <c r="AL145" s="197"/>
      <c r="AS145" s="197"/>
      <c r="AT145" s="197"/>
    </row>
    <row r="146" spans="25:46">
      <c r="Y146" s="194"/>
      <c r="AL146" s="197"/>
      <c r="AS146" s="197"/>
      <c r="AT146" s="197"/>
    </row>
    <row r="147" spans="25:46">
      <c r="Y147" s="194"/>
      <c r="AL147" s="197"/>
      <c r="AS147" s="197"/>
      <c r="AT147" s="197"/>
    </row>
    <row r="148" spans="25:46">
      <c r="Y148" s="194"/>
      <c r="AL148" s="197"/>
      <c r="AS148" s="197"/>
      <c r="AT148" s="197"/>
    </row>
    <row r="149" spans="25:46">
      <c r="Y149" s="194"/>
      <c r="AL149" s="197"/>
      <c r="AS149" s="197"/>
      <c r="AT149" s="197"/>
    </row>
    <row r="150" spans="25:46">
      <c r="Y150" s="194"/>
      <c r="AL150" s="197"/>
      <c r="AS150" s="197"/>
      <c r="AT150" s="197"/>
    </row>
    <row r="151" spans="25:46">
      <c r="Y151" s="194"/>
      <c r="AL151" s="197"/>
      <c r="AS151" s="197"/>
      <c r="AT151" s="197"/>
    </row>
    <row r="152" spans="25:46">
      <c r="Y152" s="194"/>
      <c r="AL152" s="197"/>
      <c r="AS152" s="197"/>
      <c r="AT152" s="197"/>
    </row>
    <row r="153" spans="25:46">
      <c r="Y153" s="194"/>
      <c r="AL153" s="197"/>
      <c r="AS153" s="197"/>
      <c r="AT153" s="197"/>
    </row>
    <row r="154" spans="25:46">
      <c r="Y154" s="194"/>
      <c r="AL154" s="197"/>
      <c r="AS154" s="197"/>
      <c r="AT154" s="197"/>
    </row>
    <row r="155" spans="25:46">
      <c r="Y155" s="194"/>
      <c r="AL155" s="197"/>
      <c r="AS155" s="197"/>
      <c r="AT155" s="197"/>
    </row>
    <row r="156" spans="25:46">
      <c r="Y156" s="194"/>
      <c r="AL156" s="197"/>
      <c r="AS156" s="197"/>
      <c r="AT156" s="197"/>
    </row>
    <row r="157" spans="25:46">
      <c r="Y157" s="194"/>
      <c r="AL157" s="197"/>
      <c r="AS157" s="197"/>
      <c r="AT157" s="197"/>
    </row>
    <row r="158" spans="25:46">
      <c r="Y158" s="194"/>
      <c r="AL158" s="197"/>
      <c r="AS158" s="197"/>
      <c r="AT158" s="197"/>
    </row>
    <row r="159" spans="25:46">
      <c r="Y159" s="194"/>
      <c r="AL159" s="197"/>
      <c r="AS159" s="197"/>
      <c r="AT159" s="197"/>
    </row>
    <row r="160" spans="25:46">
      <c r="Y160" s="194"/>
      <c r="AL160" s="197"/>
      <c r="AS160" s="197"/>
      <c r="AT160" s="197"/>
    </row>
    <row r="161" spans="25:46">
      <c r="Y161" s="194"/>
      <c r="AL161" s="197"/>
      <c r="AS161" s="197"/>
      <c r="AT161" s="197"/>
    </row>
    <row r="162" spans="25:46">
      <c r="Y162" s="194"/>
      <c r="AL162" s="197"/>
      <c r="AS162" s="197"/>
      <c r="AT162" s="197"/>
    </row>
    <row r="163" spans="25:46">
      <c r="Y163" s="194"/>
      <c r="AL163" s="197"/>
      <c r="AS163" s="197"/>
      <c r="AT163" s="197"/>
    </row>
    <row r="164" spans="25:46">
      <c r="Y164" s="194"/>
      <c r="AL164" s="197"/>
      <c r="AS164" s="197"/>
      <c r="AT164" s="197"/>
    </row>
    <row r="165" spans="25:46">
      <c r="Y165" s="194"/>
      <c r="AL165" s="197"/>
      <c r="AS165" s="197"/>
      <c r="AT165" s="197"/>
    </row>
    <row r="166" spans="25:46">
      <c r="Y166" s="194"/>
      <c r="AL166" s="197"/>
      <c r="AS166" s="197"/>
      <c r="AT166" s="197"/>
    </row>
    <row r="167" spans="25:46">
      <c r="Y167" s="194"/>
      <c r="AL167" s="197"/>
      <c r="AS167" s="197"/>
      <c r="AT167" s="197"/>
    </row>
    <row r="168" spans="25:46">
      <c r="Y168" s="194"/>
      <c r="AL168" s="197"/>
      <c r="AS168" s="197"/>
      <c r="AT168" s="197"/>
    </row>
    <row r="169" spans="25:46">
      <c r="Y169" s="194"/>
      <c r="AL169" s="197"/>
      <c r="AS169" s="197"/>
      <c r="AT169" s="197"/>
    </row>
    <row r="170" spans="25:46">
      <c r="Y170" s="194"/>
      <c r="AL170" s="197"/>
      <c r="AS170" s="197"/>
      <c r="AT170" s="197"/>
    </row>
    <row r="171" spans="25:46">
      <c r="Y171" s="194"/>
      <c r="AL171" s="197"/>
      <c r="AS171" s="197"/>
      <c r="AT171" s="197"/>
    </row>
    <row r="172" spans="25:46">
      <c r="Y172" s="194"/>
      <c r="AL172" s="197"/>
      <c r="AS172" s="197"/>
      <c r="AT172" s="197"/>
    </row>
    <row r="173" spans="25:46">
      <c r="Y173" s="194"/>
      <c r="AL173" s="197"/>
      <c r="AS173" s="197"/>
      <c r="AT173" s="197"/>
    </row>
    <row r="174" spans="25:46">
      <c r="Y174" s="194"/>
      <c r="AL174" s="197"/>
      <c r="AS174" s="197"/>
      <c r="AT174" s="197"/>
    </row>
    <row r="175" spans="25:46">
      <c r="Y175" s="194"/>
      <c r="AL175" s="197"/>
      <c r="AS175" s="197"/>
      <c r="AT175" s="197"/>
    </row>
    <row r="176" spans="25:46">
      <c r="Y176" s="194"/>
      <c r="AL176" s="197"/>
      <c r="AS176" s="197"/>
      <c r="AT176" s="197"/>
    </row>
    <row r="177" spans="25:46">
      <c r="Y177" s="194"/>
      <c r="AL177" s="197"/>
      <c r="AS177" s="197"/>
      <c r="AT177" s="197"/>
    </row>
    <row r="178" spans="25:46">
      <c r="Y178" s="194"/>
      <c r="AL178" s="197"/>
      <c r="AS178" s="197"/>
      <c r="AT178" s="197"/>
    </row>
    <row r="179" spans="25:46">
      <c r="Y179" s="194"/>
      <c r="AL179" s="197"/>
      <c r="AS179" s="197"/>
      <c r="AT179" s="197"/>
    </row>
    <row r="180" spans="25:46">
      <c r="Y180" s="194"/>
      <c r="AL180" s="197"/>
      <c r="AS180" s="197"/>
      <c r="AT180" s="197"/>
    </row>
    <row r="181" spans="25:46">
      <c r="Y181" s="194"/>
      <c r="AL181" s="197"/>
      <c r="AS181" s="197"/>
      <c r="AT181" s="197"/>
    </row>
    <row r="182" spans="25:46">
      <c r="Y182" s="194"/>
      <c r="AL182" s="197"/>
      <c r="AS182" s="197"/>
      <c r="AT182" s="197"/>
    </row>
    <row r="183" spans="25:46">
      <c r="Y183" s="194"/>
      <c r="AL183" s="197"/>
      <c r="AS183" s="197"/>
      <c r="AT183" s="197"/>
    </row>
    <row r="184" spans="25:46">
      <c r="Y184" s="194"/>
      <c r="AL184" s="197"/>
      <c r="AS184" s="197"/>
      <c r="AT184" s="197"/>
    </row>
    <row r="185" spans="25:46">
      <c r="Y185" s="194"/>
      <c r="AL185" s="197"/>
      <c r="AS185" s="197"/>
      <c r="AT185" s="197"/>
    </row>
    <row r="186" spans="25:46">
      <c r="Y186" s="194"/>
      <c r="AL186" s="197"/>
      <c r="AS186" s="197"/>
      <c r="AT186" s="197"/>
    </row>
    <row r="187" spans="25:46">
      <c r="Y187" s="194"/>
      <c r="AL187" s="197"/>
      <c r="AS187" s="197"/>
      <c r="AT187" s="197"/>
    </row>
    <row r="188" spans="25:46">
      <c r="Y188" s="194"/>
      <c r="AL188" s="197"/>
      <c r="AS188" s="197"/>
      <c r="AT188" s="197"/>
    </row>
    <row r="189" spans="25:46">
      <c r="Y189" s="194"/>
      <c r="AL189" s="197"/>
      <c r="AS189" s="197"/>
      <c r="AT189" s="197"/>
    </row>
    <row r="190" spans="25:46">
      <c r="Y190" s="194"/>
      <c r="AL190" s="197"/>
      <c r="AS190" s="197"/>
      <c r="AT190" s="197"/>
    </row>
    <row r="191" spans="25:46">
      <c r="Y191" s="194"/>
      <c r="AL191" s="197"/>
      <c r="AS191" s="197"/>
      <c r="AT191" s="197"/>
    </row>
    <row r="192" spans="25:46">
      <c r="Y192" s="194"/>
      <c r="AL192" s="197"/>
      <c r="AS192" s="197"/>
      <c r="AT192" s="197"/>
    </row>
    <row r="193" spans="25:46">
      <c r="Y193" s="194"/>
      <c r="AL193" s="197"/>
      <c r="AS193" s="197"/>
      <c r="AT193" s="197"/>
    </row>
    <row r="194" spans="25:46">
      <c r="Y194" s="194"/>
      <c r="AL194" s="197"/>
      <c r="AS194" s="197"/>
      <c r="AT194" s="197"/>
    </row>
    <row r="195" spans="25:46">
      <c r="Y195" s="194"/>
      <c r="AL195" s="197"/>
      <c r="AS195" s="197"/>
      <c r="AT195" s="197"/>
    </row>
    <row r="196" spans="25:46">
      <c r="Y196" s="194"/>
      <c r="AL196" s="197"/>
      <c r="AS196" s="197"/>
      <c r="AT196" s="197"/>
    </row>
    <row r="197" spans="25:46">
      <c r="Y197" s="194"/>
      <c r="AL197" s="197"/>
      <c r="AS197" s="197"/>
      <c r="AT197" s="197"/>
    </row>
    <row r="198" spans="25:46">
      <c r="Y198" s="194"/>
      <c r="AL198" s="197"/>
      <c r="AS198" s="197"/>
      <c r="AT198" s="197"/>
    </row>
    <row r="199" spans="25:46">
      <c r="Y199" s="194"/>
      <c r="AL199" s="197"/>
      <c r="AS199" s="197"/>
      <c r="AT199" s="197"/>
    </row>
    <row r="200" spans="25:46">
      <c r="Y200" s="194"/>
      <c r="AL200" s="197"/>
      <c r="AS200" s="197"/>
      <c r="AT200" s="197"/>
    </row>
    <row r="201" spans="25:46">
      <c r="Y201" s="194"/>
      <c r="AL201" s="197"/>
      <c r="AS201" s="197"/>
      <c r="AT201" s="197"/>
    </row>
    <row r="202" spans="25:46">
      <c r="Y202" s="194"/>
      <c r="AL202" s="197"/>
      <c r="AS202" s="197"/>
      <c r="AT202" s="197"/>
    </row>
    <row r="203" spans="25:46">
      <c r="Y203" s="194"/>
      <c r="AL203" s="197"/>
      <c r="AS203" s="197"/>
      <c r="AT203" s="197"/>
    </row>
    <row r="204" spans="25:46">
      <c r="Y204" s="194"/>
      <c r="AL204" s="197"/>
      <c r="AS204" s="197"/>
      <c r="AT204" s="197"/>
    </row>
    <row r="205" spans="25:46">
      <c r="Y205" s="194"/>
      <c r="AL205" s="197"/>
      <c r="AS205" s="197"/>
      <c r="AT205" s="197"/>
    </row>
    <row r="206" spans="25:46">
      <c r="Y206" s="194"/>
      <c r="AL206" s="197"/>
      <c r="AS206" s="197"/>
      <c r="AT206" s="197"/>
    </row>
    <row r="207" spans="25:46">
      <c r="Y207" s="194"/>
      <c r="AL207" s="197"/>
      <c r="AS207" s="197"/>
      <c r="AT207" s="197"/>
    </row>
    <row r="208" spans="25:46">
      <c r="Y208" s="194"/>
      <c r="AL208" s="197"/>
      <c r="AS208" s="197"/>
      <c r="AT208" s="197"/>
    </row>
    <row r="209" spans="25:46">
      <c r="Y209" s="194"/>
      <c r="AL209" s="197"/>
      <c r="AS209" s="197"/>
      <c r="AT209" s="197"/>
    </row>
    <row r="210" spans="25:46">
      <c r="Y210" s="194"/>
      <c r="AL210" s="197"/>
      <c r="AS210" s="197"/>
      <c r="AT210" s="197"/>
    </row>
    <row r="211" spans="25:46">
      <c r="Y211" s="194"/>
      <c r="AL211" s="197"/>
      <c r="AS211" s="197"/>
      <c r="AT211" s="197"/>
    </row>
    <row r="212" spans="25:46">
      <c r="Y212" s="194"/>
      <c r="AL212" s="197"/>
      <c r="AS212" s="197"/>
      <c r="AT212" s="197"/>
    </row>
    <row r="213" spans="25:46">
      <c r="Y213" s="194"/>
      <c r="AL213" s="197"/>
      <c r="AS213" s="197"/>
      <c r="AT213" s="197"/>
    </row>
    <row r="214" spans="25:46">
      <c r="Y214" s="194"/>
      <c r="AL214" s="197"/>
      <c r="AS214" s="197"/>
      <c r="AT214" s="197"/>
    </row>
    <row r="215" spans="25:46">
      <c r="Y215" s="194"/>
      <c r="AL215" s="197"/>
      <c r="AS215" s="197"/>
      <c r="AT215" s="197"/>
    </row>
    <row r="216" spans="25:46">
      <c r="Y216" s="194"/>
      <c r="AL216" s="197"/>
      <c r="AS216" s="197"/>
      <c r="AT216" s="197"/>
    </row>
    <row r="217" spans="25:46">
      <c r="Y217" s="194"/>
      <c r="AL217" s="197"/>
      <c r="AS217" s="197"/>
      <c r="AT217" s="197"/>
    </row>
    <row r="218" spans="25:46">
      <c r="Y218" s="194"/>
      <c r="AL218" s="197"/>
      <c r="AS218" s="197"/>
      <c r="AT218" s="197"/>
    </row>
    <row r="219" spans="25:46">
      <c r="Y219" s="194"/>
      <c r="AL219" s="197"/>
      <c r="AS219" s="197"/>
      <c r="AT219" s="197"/>
    </row>
    <row r="220" spans="25:46">
      <c r="Y220" s="194"/>
      <c r="AL220" s="197"/>
      <c r="AS220" s="197"/>
      <c r="AT220" s="197"/>
    </row>
    <row r="221" spans="25:46">
      <c r="Y221" s="194"/>
      <c r="AL221" s="197"/>
      <c r="AS221" s="197"/>
      <c r="AT221" s="197"/>
    </row>
    <row r="222" spans="25:46">
      <c r="Y222" s="194"/>
      <c r="AL222" s="197"/>
      <c r="AS222" s="197"/>
      <c r="AT222" s="197"/>
    </row>
    <row r="223" spans="25:46">
      <c r="Y223" s="194"/>
      <c r="AL223" s="197"/>
      <c r="AS223" s="197"/>
      <c r="AT223" s="197"/>
    </row>
    <row r="224" spans="25:46">
      <c r="Y224" s="194"/>
      <c r="AL224" s="197"/>
      <c r="AS224" s="197"/>
      <c r="AT224" s="197"/>
    </row>
    <row r="225" spans="25:46">
      <c r="Y225" s="194"/>
      <c r="AL225" s="197"/>
      <c r="AS225" s="197"/>
      <c r="AT225" s="197"/>
    </row>
    <row r="226" spans="25:46">
      <c r="Y226" s="194"/>
      <c r="AL226" s="197"/>
      <c r="AS226" s="197"/>
      <c r="AT226" s="197"/>
    </row>
    <row r="227" spans="25:46">
      <c r="Y227" s="194"/>
      <c r="AL227" s="197"/>
      <c r="AS227" s="197"/>
      <c r="AT227" s="197"/>
    </row>
    <row r="228" spans="25:46">
      <c r="Y228" s="194"/>
      <c r="AL228" s="197"/>
      <c r="AS228" s="197"/>
      <c r="AT228" s="197"/>
    </row>
    <row r="229" spans="25:46">
      <c r="Y229" s="194"/>
      <c r="AL229" s="197"/>
      <c r="AS229" s="197"/>
      <c r="AT229" s="197"/>
    </row>
    <row r="230" spans="25:46">
      <c r="Y230" s="194"/>
      <c r="AL230" s="197"/>
      <c r="AS230" s="197"/>
      <c r="AT230" s="197"/>
    </row>
    <row r="231" spans="25:46">
      <c r="Y231" s="194"/>
      <c r="AL231" s="197"/>
      <c r="AS231" s="197"/>
      <c r="AT231" s="197"/>
    </row>
    <row r="232" spans="25:46">
      <c r="Y232" s="194"/>
      <c r="AL232" s="197"/>
      <c r="AS232" s="197"/>
      <c r="AT232" s="197"/>
    </row>
    <row r="233" spans="25:46">
      <c r="Y233" s="194"/>
      <c r="AL233" s="197"/>
      <c r="AS233" s="197"/>
      <c r="AT233" s="197"/>
    </row>
    <row r="234" spans="25:46">
      <c r="Y234" s="194"/>
      <c r="AL234" s="197"/>
      <c r="AS234" s="197"/>
      <c r="AT234" s="197"/>
    </row>
    <row r="235" spans="25:46">
      <c r="Y235" s="194"/>
      <c r="AL235" s="197"/>
      <c r="AS235" s="197"/>
      <c r="AT235" s="197"/>
    </row>
    <row r="236" spans="25:46">
      <c r="Y236" s="194"/>
      <c r="AL236" s="197"/>
      <c r="AS236" s="197"/>
      <c r="AT236" s="197"/>
    </row>
    <row r="237" spans="25:46">
      <c r="Y237" s="194"/>
      <c r="AL237" s="197"/>
      <c r="AS237" s="197"/>
      <c r="AT237" s="197"/>
    </row>
    <row r="238" spans="25:46">
      <c r="Y238" s="194"/>
      <c r="AL238" s="197"/>
      <c r="AS238" s="197"/>
      <c r="AT238" s="197"/>
    </row>
    <row r="239" spans="25:46">
      <c r="Y239" s="194"/>
      <c r="AL239" s="197"/>
      <c r="AS239" s="197"/>
      <c r="AT239" s="197"/>
    </row>
    <row r="240" spans="25:46">
      <c r="Y240" s="194"/>
      <c r="AL240" s="197"/>
      <c r="AS240" s="197"/>
      <c r="AT240" s="197"/>
    </row>
    <row r="241" spans="25:46">
      <c r="Y241" s="194"/>
      <c r="AL241" s="197"/>
      <c r="AS241" s="197"/>
      <c r="AT241" s="197"/>
    </row>
    <row r="242" spans="25:46">
      <c r="Y242" s="194"/>
      <c r="AL242" s="197"/>
      <c r="AS242" s="197"/>
      <c r="AT242" s="197"/>
    </row>
    <row r="243" spans="25:46">
      <c r="Y243" s="194"/>
      <c r="AL243" s="197"/>
      <c r="AS243" s="197"/>
      <c r="AT243" s="197"/>
    </row>
    <row r="244" spans="25:46">
      <c r="Y244" s="194"/>
      <c r="AL244" s="197"/>
      <c r="AS244" s="197"/>
      <c r="AT244" s="197"/>
    </row>
    <row r="245" spans="25:46">
      <c r="Y245" s="194"/>
      <c r="AL245" s="197"/>
      <c r="AS245" s="197"/>
      <c r="AT245" s="197"/>
    </row>
    <row r="246" spans="25:46">
      <c r="Y246" s="194"/>
    </row>
    <row r="247" spans="25:46">
      <c r="Y247" s="194"/>
    </row>
    <row r="248" spans="25:46">
      <c r="Y248" s="194"/>
    </row>
    <row r="249" spans="25:46">
      <c r="Y249" s="194"/>
    </row>
    <row r="250" spans="25:46">
      <c r="Y250" s="194"/>
    </row>
    <row r="251" spans="25:46">
      <c r="Y251" s="194"/>
    </row>
    <row r="252" spans="25:46">
      <c r="Y252" s="194"/>
    </row>
  </sheetData>
  <autoFilter ref="A15:AT244"/>
  <phoneticPr fontId="2"/>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T45"/>
  <sheetViews>
    <sheetView showGridLines="0" zoomScale="85" zoomScaleNormal="85" zoomScaleSheetLayoutView="100" workbookViewId="0">
      <pane xSplit="3" ySplit="5" topLeftCell="D6" activePane="bottomRight" state="frozen"/>
      <selection activeCell="AD147" sqref="AD147"/>
      <selection pane="topRight" activeCell="AD147" sqref="AD147"/>
      <selection pane="bottomLeft" activeCell="AD147" sqref="AD147"/>
      <selection pane="bottomRight" activeCell="D6" sqref="D6"/>
    </sheetView>
  </sheetViews>
  <sheetFormatPr defaultRowHeight="11.25"/>
  <cols>
    <col min="1" max="1" width="2.625" style="214" customWidth="1"/>
    <col min="2" max="2" width="1.25" style="214" customWidth="1"/>
    <col min="3" max="3" width="14.125" style="214" customWidth="1"/>
    <col min="4" max="5" width="13" style="214" customWidth="1"/>
    <col min="6" max="6" width="10.25" style="214" customWidth="1"/>
    <col min="7" max="7" width="11.375" style="214" customWidth="1"/>
    <col min="8" max="8" width="13" style="214" customWidth="1"/>
    <col min="9" max="9" width="12" style="214" customWidth="1"/>
    <col min="10" max="10" width="12.75" style="214" customWidth="1"/>
    <col min="11" max="11" width="13" style="214" customWidth="1"/>
    <col min="12" max="12" width="13.75" style="214" bestFit="1" customWidth="1"/>
    <col min="13" max="15" width="12.75" style="214" customWidth="1"/>
    <col min="16" max="16" width="3.625" style="214" customWidth="1"/>
    <col min="17" max="256" width="9" style="214"/>
    <col min="257" max="257" width="2.625" style="214" customWidth="1"/>
    <col min="258" max="258" width="1.25" style="214" customWidth="1"/>
    <col min="259" max="259" width="14.125" style="214" customWidth="1"/>
    <col min="260" max="261" width="13" style="214" customWidth="1"/>
    <col min="262" max="262" width="10.25" style="214" customWidth="1"/>
    <col min="263" max="263" width="11.375" style="214" customWidth="1"/>
    <col min="264" max="264" width="13" style="214" customWidth="1"/>
    <col min="265" max="265" width="12" style="214" customWidth="1"/>
    <col min="266" max="266" width="12.75" style="214" customWidth="1"/>
    <col min="267" max="267" width="13" style="214" customWidth="1"/>
    <col min="268" max="268" width="12.375" style="214" customWidth="1"/>
    <col min="269" max="269" width="11.75" style="214" customWidth="1"/>
    <col min="270" max="270" width="13" style="214" customWidth="1"/>
    <col min="271" max="271" width="14.125" style="214" bestFit="1" customWidth="1"/>
    <col min="272" max="272" width="3.625" style="214" customWidth="1"/>
    <col min="273" max="512" width="9" style="214"/>
    <col min="513" max="513" width="2.625" style="214" customWidth="1"/>
    <col min="514" max="514" width="1.25" style="214" customWidth="1"/>
    <col min="515" max="515" width="14.125" style="214" customWidth="1"/>
    <col min="516" max="517" width="13" style="214" customWidth="1"/>
    <col min="518" max="518" width="10.25" style="214" customWidth="1"/>
    <col min="519" max="519" width="11.375" style="214" customWidth="1"/>
    <col min="520" max="520" width="13" style="214" customWidth="1"/>
    <col min="521" max="521" width="12" style="214" customWidth="1"/>
    <col min="522" max="522" width="12.75" style="214" customWidth="1"/>
    <col min="523" max="523" width="13" style="214" customWidth="1"/>
    <col min="524" max="524" width="12.375" style="214" customWidth="1"/>
    <col min="525" max="525" width="11.75" style="214" customWidth="1"/>
    <col min="526" max="526" width="13" style="214" customWidth="1"/>
    <col min="527" max="527" width="14.125" style="214" bestFit="1" customWidth="1"/>
    <col min="528" max="528" width="3.625" style="214" customWidth="1"/>
    <col min="529" max="768" width="9" style="214"/>
    <col min="769" max="769" width="2.625" style="214" customWidth="1"/>
    <col min="770" max="770" width="1.25" style="214" customWidth="1"/>
    <col min="771" max="771" width="14.125" style="214" customWidth="1"/>
    <col min="772" max="773" width="13" style="214" customWidth="1"/>
    <col min="774" max="774" width="10.25" style="214" customWidth="1"/>
    <col min="775" max="775" width="11.375" style="214" customWidth="1"/>
    <col min="776" max="776" width="13" style="214" customWidth="1"/>
    <col min="777" max="777" width="12" style="214" customWidth="1"/>
    <col min="778" max="778" width="12.75" style="214" customWidth="1"/>
    <col min="779" max="779" width="13" style="214" customWidth="1"/>
    <col min="780" max="780" width="12.375" style="214" customWidth="1"/>
    <col min="781" max="781" width="11.75" style="214" customWidth="1"/>
    <col min="782" max="782" width="13" style="214" customWidth="1"/>
    <col min="783" max="783" width="14.125" style="214" bestFit="1" customWidth="1"/>
    <col min="784" max="784" width="3.625" style="214" customWidth="1"/>
    <col min="785" max="1024" width="9" style="214"/>
    <col min="1025" max="1025" width="2.625" style="214" customWidth="1"/>
    <col min="1026" max="1026" width="1.25" style="214" customWidth="1"/>
    <col min="1027" max="1027" width="14.125" style="214" customWidth="1"/>
    <col min="1028" max="1029" width="13" style="214" customWidth="1"/>
    <col min="1030" max="1030" width="10.25" style="214" customWidth="1"/>
    <col min="1031" max="1031" width="11.375" style="214" customWidth="1"/>
    <col min="1032" max="1032" width="13" style="214" customWidth="1"/>
    <col min="1033" max="1033" width="12" style="214" customWidth="1"/>
    <col min="1034" max="1034" width="12.75" style="214" customWidth="1"/>
    <col min="1035" max="1035" width="13" style="214" customWidth="1"/>
    <col min="1036" max="1036" width="12.375" style="214" customWidth="1"/>
    <col min="1037" max="1037" width="11.75" style="214" customWidth="1"/>
    <col min="1038" max="1038" width="13" style="214" customWidth="1"/>
    <col min="1039" max="1039" width="14.125" style="214" bestFit="1" customWidth="1"/>
    <col min="1040" max="1040" width="3.625" style="214" customWidth="1"/>
    <col min="1041" max="1280" width="9" style="214"/>
    <col min="1281" max="1281" width="2.625" style="214" customWidth="1"/>
    <col min="1282" max="1282" width="1.25" style="214" customWidth="1"/>
    <col min="1283" max="1283" width="14.125" style="214" customWidth="1"/>
    <col min="1284" max="1285" width="13" style="214" customWidth="1"/>
    <col min="1286" max="1286" width="10.25" style="214" customWidth="1"/>
    <col min="1287" max="1287" width="11.375" style="214" customWidth="1"/>
    <col min="1288" max="1288" width="13" style="214" customWidth="1"/>
    <col min="1289" max="1289" width="12" style="214" customWidth="1"/>
    <col min="1290" max="1290" width="12.75" style="214" customWidth="1"/>
    <col min="1291" max="1291" width="13" style="214" customWidth="1"/>
    <col min="1292" max="1292" width="12.375" style="214" customWidth="1"/>
    <col min="1293" max="1293" width="11.75" style="214" customWidth="1"/>
    <col min="1294" max="1294" width="13" style="214" customWidth="1"/>
    <col min="1295" max="1295" width="14.125" style="214" bestFit="1" customWidth="1"/>
    <col min="1296" max="1296" width="3.625" style="214" customWidth="1"/>
    <col min="1297" max="1536" width="9" style="214"/>
    <col min="1537" max="1537" width="2.625" style="214" customWidth="1"/>
    <col min="1538" max="1538" width="1.25" style="214" customWidth="1"/>
    <col min="1539" max="1539" width="14.125" style="214" customWidth="1"/>
    <col min="1540" max="1541" width="13" style="214" customWidth="1"/>
    <col min="1542" max="1542" width="10.25" style="214" customWidth="1"/>
    <col min="1543" max="1543" width="11.375" style="214" customWidth="1"/>
    <col min="1544" max="1544" width="13" style="214" customWidth="1"/>
    <col min="1545" max="1545" width="12" style="214" customWidth="1"/>
    <col min="1546" max="1546" width="12.75" style="214" customWidth="1"/>
    <col min="1547" max="1547" width="13" style="214" customWidth="1"/>
    <col min="1548" max="1548" width="12.375" style="214" customWidth="1"/>
    <col min="1549" max="1549" width="11.75" style="214" customWidth="1"/>
    <col min="1550" max="1550" width="13" style="214" customWidth="1"/>
    <col min="1551" max="1551" width="14.125" style="214" bestFit="1" customWidth="1"/>
    <col min="1552" max="1552" width="3.625" style="214" customWidth="1"/>
    <col min="1553" max="1792" width="9" style="214"/>
    <col min="1793" max="1793" width="2.625" style="214" customWidth="1"/>
    <col min="1794" max="1794" width="1.25" style="214" customWidth="1"/>
    <col min="1795" max="1795" width="14.125" style="214" customWidth="1"/>
    <col min="1796" max="1797" width="13" style="214" customWidth="1"/>
    <col min="1798" max="1798" width="10.25" style="214" customWidth="1"/>
    <col min="1799" max="1799" width="11.375" style="214" customWidth="1"/>
    <col min="1800" max="1800" width="13" style="214" customWidth="1"/>
    <col min="1801" max="1801" width="12" style="214" customWidth="1"/>
    <col min="1802" max="1802" width="12.75" style="214" customWidth="1"/>
    <col min="1803" max="1803" width="13" style="214" customWidth="1"/>
    <col min="1804" max="1804" width="12.375" style="214" customWidth="1"/>
    <col min="1805" max="1805" width="11.75" style="214" customWidth="1"/>
    <col min="1806" max="1806" width="13" style="214" customWidth="1"/>
    <col min="1807" max="1807" width="14.125" style="214" bestFit="1" customWidth="1"/>
    <col min="1808" max="1808" width="3.625" style="214" customWidth="1"/>
    <col min="1809" max="2048" width="9" style="214"/>
    <col min="2049" max="2049" width="2.625" style="214" customWidth="1"/>
    <col min="2050" max="2050" width="1.25" style="214" customWidth="1"/>
    <col min="2051" max="2051" width="14.125" style="214" customWidth="1"/>
    <col min="2052" max="2053" width="13" style="214" customWidth="1"/>
    <col min="2054" max="2054" width="10.25" style="214" customWidth="1"/>
    <col min="2055" max="2055" width="11.375" style="214" customWidth="1"/>
    <col min="2056" max="2056" width="13" style="214" customWidth="1"/>
    <col min="2057" max="2057" width="12" style="214" customWidth="1"/>
    <col min="2058" max="2058" width="12.75" style="214" customWidth="1"/>
    <col min="2059" max="2059" width="13" style="214" customWidth="1"/>
    <col min="2060" max="2060" width="12.375" style="214" customWidth="1"/>
    <col min="2061" max="2061" width="11.75" style="214" customWidth="1"/>
    <col min="2062" max="2062" width="13" style="214" customWidth="1"/>
    <col min="2063" max="2063" width="14.125" style="214" bestFit="1" customWidth="1"/>
    <col min="2064" max="2064" width="3.625" style="214" customWidth="1"/>
    <col min="2065" max="2304" width="9" style="214"/>
    <col min="2305" max="2305" width="2.625" style="214" customWidth="1"/>
    <col min="2306" max="2306" width="1.25" style="214" customWidth="1"/>
    <col min="2307" max="2307" width="14.125" style="214" customWidth="1"/>
    <col min="2308" max="2309" width="13" style="214" customWidth="1"/>
    <col min="2310" max="2310" width="10.25" style="214" customWidth="1"/>
    <col min="2311" max="2311" width="11.375" style="214" customWidth="1"/>
    <col min="2312" max="2312" width="13" style="214" customWidth="1"/>
    <col min="2313" max="2313" width="12" style="214" customWidth="1"/>
    <col min="2314" max="2314" width="12.75" style="214" customWidth="1"/>
    <col min="2315" max="2315" width="13" style="214" customWidth="1"/>
    <col min="2316" max="2316" width="12.375" style="214" customWidth="1"/>
    <col min="2317" max="2317" width="11.75" style="214" customWidth="1"/>
    <col min="2318" max="2318" width="13" style="214" customWidth="1"/>
    <col min="2319" max="2319" width="14.125" style="214" bestFit="1" customWidth="1"/>
    <col min="2320" max="2320" width="3.625" style="214" customWidth="1"/>
    <col min="2321" max="2560" width="9" style="214"/>
    <col min="2561" max="2561" width="2.625" style="214" customWidth="1"/>
    <col min="2562" max="2562" width="1.25" style="214" customWidth="1"/>
    <col min="2563" max="2563" width="14.125" style="214" customWidth="1"/>
    <col min="2564" max="2565" width="13" style="214" customWidth="1"/>
    <col min="2566" max="2566" width="10.25" style="214" customWidth="1"/>
    <col min="2567" max="2567" width="11.375" style="214" customWidth="1"/>
    <col min="2568" max="2568" width="13" style="214" customWidth="1"/>
    <col min="2569" max="2569" width="12" style="214" customWidth="1"/>
    <col min="2570" max="2570" width="12.75" style="214" customWidth="1"/>
    <col min="2571" max="2571" width="13" style="214" customWidth="1"/>
    <col min="2572" max="2572" width="12.375" style="214" customWidth="1"/>
    <col min="2573" max="2573" width="11.75" style="214" customWidth="1"/>
    <col min="2574" max="2574" width="13" style="214" customWidth="1"/>
    <col min="2575" max="2575" width="14.125" style="214" bestFit="1" customWidth="1"/>
    <col min="2576" max="2576" width="3.625" style="214" customWidth="1"/>
    <col min="2577" max="2816" width="9" style="214"/>
    <col min="2817" max="2817" width="2.625" style="214" customWidth="1"/>
    <col min="2818" max="2818" width="1.25" style="214" customWidth="1"/>
    <col min="2819" max="2819" width="14.125" style="214" customWidth="1"/>
    <col min="2820" max="2821" width="13" style="214" customWidth="1"/>
    <col min="2822" max="2822" width="10.25" style="214" customWidth="1"/>
    <col min="2823" max="2823" width="11.375" style="214" customWidth="1"/>
    <col min="2824" max="2824" width="13" style="214" customWidth="1"/>
    <col min="2825" max="2825" width="12" style="214" customWidth="1"/>
    <col min="2826" max="2826" width="12.75" style="214" customWidth="1"/>
    <col min="2827" max="2827" width="13" style="214" customWidth="1"/>
    <col min="2828" max="2828" width="12.375" style="214" customWidth="1"/>
    <col min="2829" max="2829" width="11.75" style="214" customWidth="1"/>
    <col min="2830" max="2830" width="13" style="214" customWidth="1"/>
    <col min="2831" max="2831" width="14.125" style="214" bestFit="1" customWidth="1"/>
    <col min="2832" max="2832" width="3.625" style="214" customWidth="1"/>
    <col min="2833" max="3072" width="9" style="214"/>
    <col min="3073" max="3073" width="2.625" style="214" customWidth="1"/>
    <col min="3074" max="3074" width="1.25" style="214" customWidth="1"/>
    <col min="3075" max="3075" width="14.125" style="214" customWidth="1"/>
    <col min="3076" max="3077" width="13" style="214" customWidth="1"/>
    <col min="3078" max="3078" width="10.25" style="214" customWidth="1"/>
    <col min="3079" max="3079" width="11.375" style="214" customWidth="1"/>
    <col min="3080" max="3080" width="13" style="214" customWidth="1"/>
    <col min="3081" max="3081" width="12" style="214" customWidth="1"/>
    <col min="3082" max="3082" width="12.75" style="214" customWidth="1"/>
    <col min="3083" max="3083" width="13" style="214" customWidth="1"/>
    <col min="3084" max="3084" width="12.375" style="214" customWidth="1"/>
    <col min="3085" max="3085" width="11.75" style="214" customWidth="1"/>
    <col min="3086" max="3086" width="13" style="214" customWidth="1"/>
    <col min="3087" max="3087" width="14.125" style="214" bestFit="1" customWidth="1"/>
    <col min="3088" max="3088" width="3.625" style="214" customWidth="1"/>
    <col min="3089" max="3328" width="9" style="214"/>
    <col min="3329" max="3329" width="2.625" style="214" customWidth="1"/>
    <col min="3330" max="3330" width="1.25" style="214" customWidth="1"/>
    <col min="3331" max="3331" width="14.125" style="214" customWidth="1"/>
    <col min="3332" max="3333" width="13" style="214" customWidth="1"/>
    <col min="3334" max="3334" width="10.25" style="214" customWidth="1"/>
    <col min="3335" max="3335" width="11.375" style="214" customWidth="1"/>
    <col min="3336" max="3336" width="13" style="214" customWidth="1"/>
    <col min="3337" max="3337" width="12" style="214" customWidth="1"/>
    <col min="3338" max="3338" width="12.75" style="214" customWidth="1"/>
    <col min="3339" max="3339" width="13" style="214" customWidth="1"/>
    <col min="3340" max="3340" width="12.375" style="214" customWidth="1"/>
    <col min="3341" max="3341" width="11.75" style="214" customWidth="1"/>
    <col min="3342" max="3342" width="13" style="214" customWidth="1"/>
    <col min="3343" max="3343" width="14.125" style="214" bestFit="1" customWidth="1"/>
    <col min="3344" max="3344" width="3.625" style="214" customWidth="1"/>
    <col min="3345" max="3584" width="9" style="214"/>
    <col min="3585" max="3585" width="2.625" style="214" customWidth="1"/>
    <col min="3586" max="3586" width="1.25" style="214" customWidth="1"/>
    <col min="3587" max="3587" width="14.125" style="214" customWidth="1"/>
    <col min="3588" max="3589" width="13" style="214" customWidth="1"/>
    <col min="3590" max="3590" width="10.25" style="214" customWidth="1"/>
    <col min="3591" max="3591" width="11.375" style="214" customWidth="1"/>
    <col min="3592" max="3592" width="13" style="214" customWidth="1"/>
    <col min="3593" max="3593" width="12" style="214" customWidth="1"/>
    <col min="3594" max="3594" width="12.75" style="214" customWidth="1"/>
    <col min="3595" max="3595" width="13" style="214" customWidth="1"/>
    <col min="3596" max="3596" width="12.375" style="214" customWidth="1"/>
    <col min="3597" max="3597" width="11.75" style="214" customWidth="1"/>
    <col min="3598" max="3598" width="13" style="214" customWidth="1"/>
    <col min="3599" max="3599" width="14.125" style="214" bestFit="1" customWidth="1"/>
    <col min="3600" max="3600" width="3.625" style="214" customWidth="1"/>
    <col min="3601" max="3840" width="9" style="214"/>
    <col min="3841" max="3841" width="2.625" style="214" customWidth="1"/>
    <col min="3842" max="3842" width="1.25" style="214" customWidth="1"/>
    <col min="3843" max="3843" width="14.125" style="214" customWidth="1"/>
    <col min="3844" max="3845" width="13" style="214" customWidth="1"/>
    <col min="3846" max="3846" width="10.25" style="214" customWidth="1"/>
    <col min="3847" max="3847" width="11.375" style="214" customWidth="1"/>
    <col min="3848" max="3848" width="13" style="214" customWidth="1"/>
    <col min="3849" max="3849" width="12" style="214" customWidth="1"/>
    <col min="3850" max="3850" width="12.75" style="214" customWidth="1"/>
    <col min="3851" max="3851" width="13" style="214" customWidth="1"/>
    <col min="3852" max="3852" width="12.375" style="214" customWidth="1"/>
    <col min="3853" max="3853" width="11.75" style="214" customWidth="1"/>
    <col min="3854" max="3854" width="13" style="214" customWidth="1"/>
    <col min="3855" max="3855" width="14.125" style="214" bestFit="1" customWidth="1"/>
    <col min="3856" max="3856" width="3.625" style="214" customWidth="1"/>
    <col min="3857" max="4096" width="9" style="214"/>
    <col min="4097" max="4097" width="2.625" style="214" customWidth="1"/>
    <col min="4098" max="4098" width="1.25" style="214" customWidth="1"/>
    <col min="4099" max="4099" width="14.125" style="214" customWidth="1"/>
    <col min="4100" max="4101" width="13" style="214" customWidth="1"/>
    <col min="4102" max="4102" width="10.25" style="214" customWidth="1"/>
    <col min="4103" max="4103" width="11.375" style="214" customWidth="1"/>
    <col min="4104" max="4104" width="13" style="214" customWidth="1"/>
    <col min="4105" max="4105" width="12" style="214" customWidth="1"/>
    <col min="4106" max="4106" width="12.75" style="214" customWidth="1"/>
    <col min="4107" max="4107" width="13" style="214" customWidth="1"/>
    <col min="4108" max="4108" width="12.375" style="214" customWidth="1"/>
    <col min="4109" max="4109" width="11.75" style="214" customWidth="1"/>
    <col min="4110" max="4110" width="13" style="214" customWidth="1"/>
    <col min="4111" max="4111" width="14.125" style="214" bestFit="1" customWidth="1"/>
    <col min="4112" max="4112" width="3.625" style="214" customWidth="1"/>
    <col min="4113" max="4352" width="9" style="214"/>
    <col min="4353" max="4353" width="2.625" style="214" customWidth="1"/>
    <col min="4354" max="4354" width="1.25" style="214" customWidth="1"/>
    <col min="4355" max="4355" width="14.125" style="214" customWidth="1"/>
    <col min="4356" max="4357" width="13" style="214" customWidth="1"/>
    <col min="4358" max="4358" width="10.25" style="214" customWidth="1"/>
    <col min="4359" max="4359" width="11.375" style="214" customWidth="1"/>
    <col min="4360" max="4360" width="13" style="214" customWidth="1"/>
    <col min="4361" max="4361" width="12" style="214" customWidth="1"/>
    <col min="4362" max="4362" width="12.75" style="214" customWidth="1"/>
    <col min="4363" max="4363" width="13" style="214" customWidth="1"/>
    <col min="4364" max="4364" width="12.375" style="214" customWidth="1"/>
    <col min="4365" max="4365" width="11.75" style="214" customWidth="1"/>
    <col min="4366" max="4366" width="13" style="214" customWidth="1"/>
    <col min="4367" max="4367" width="14.125" style="214" bestFit="1" customWidth="1"/>
    <col min="4368" max="4368" width="3.625" style="214" customWidth="1"/>
    <col min="4369" max="4608" width="9" style="214"/>
    <col min="4609" max="4609" width="2.625" style="214" customWidth="1"/>
    <col min="4610" max="4610" width="1.25" style="214" customWidth="1"/>
    <col min="4611" max="4611" width="14.125" style="214" customWidth="1"/>
    <col min="4612" max="4613" width="13" style="214" customWidth="1"/>
    <col min="4614" max="4614" width="10.25" style="214" customWidth="1"/>
    <col min="4615" max="4615" width="11.375" style="214" customWidth="1"/>
    <col min="4616" max="4616" width="13" style="214" customWidth="1"/>
    <col min="4617" max="4617" width="12" style="214" customWidth="1"/>
    <col min="4618" max="4618" width="12.75" style="214" customWidth="1"/>
    <col min="4619" max="4619" width="13" style="214" customWidth="1"/>
    <col min="4620" max="4620" width="12.375" style="214" customWidth="1"/>
    <col min="4621" max="4621" width="11.75" style="214" customWidth="1"/>
    <col min="4622" max="4622" width="13" style="214" customWidth="1"/>
    <col min="4623" max="4623" width="14.125" style="214" bestFit="1" customWidth="1"/>
    <col min="4624" max="4624" width="3.625" style="214" customWidth="1"/>
    <col min="4625" max="4864" width="9" style="214"/>
    <col min="4865" max="4865" width="2.625" style="214" customWidth="1"/>
    <col min="4866" max="4866" width="1.25" style="214" customWidth="1"/>
    <col min="4867" max="4867" width="14.125" style="214" customWidth="1"/>
    <col min="4868" max="4869" width="13" style="214" customWidth="1"/>
    <col min="4870" max="4870" width="10.25" style="214" customWidth="1"/>
    <col min="4871" max="4871" width="11.375" style="214" customWidth="1"/>
    <col min="4872" max="4872" width="13" style="214" customWidth="1"/>
    <col min="4873" max="4873" width="12" style="214" customWidth="1"/>
    <col min="4874" max="4874" width="12.75" style="214" customWidth="1"/>
    <col min="4875" max="4875" width="13" style="214" customWidth="1"/>
    <col min="4876" max="4876" width="12.375" style="214" customWidth="1"/>
    <col min="4877" max="4877" width="11.75" style="214" customWidth="1"/>
    <col min="4878" max="4878" width="13" style="214" customWidth="1"/>
    <col min="4879" max="4879" width="14.125" style="214" bestFit="1" customWidth="1"/>
    <col min="4880" max="4880" width="3.625" style="214" customWidth="1"/>
    <col min="4881" max="5120" width="9" style="214"/>
    <col min="5121" max="5121" width="2.625" style="214" customWidth="1"/>
    <col min="5122" max="5122" width="1.25" style="214" customWidth="1"/>
    <col min="5123" max="5123" width="14.125" style="214" customWidth="1"/>
    <col min="5124" max="5125" width="13" style="214" customWidth="1"/>
    <col min="5126" max="5126" width="10.25" style="214" customWidth="1"/>
    <col min="5127" max="5127" width="11.375" style="214" customWidth="1"/>
    <col min="5128" max="5128" width="13" style="214" customWidth="1"/>
    <col min="5129" max="5129" width="12" style="214" customWidth="1"/>
    <col min="5130" max="5130" width="12.75" style="214" customWidth="1"/>
    <col min="5131" max="5131" width="13" style="214" customWidth="1"/>
    <col min="5132" max="5132" width="12.375" style="214" customWidth="1"/>
    <col min="5133" max="5133" width="11.75" style="214" customWidth="1"/>
    <col min="5134" max="5134" width="13" style="214" customWidth="1"/>
    <col min="5135" max="5135" width="14.125" style="214" bestFit="1" customWidth="1"/>
    <col min="5136" max="5136" width="3.625" style="214" customWidth="1"/>
    <col min="5137" max="5376" width="9" style="214"/>
    <col min="5377" max="5377" width="2.625" style="214" customWidth="1"/>
    <col min="5378" max="5378" width="1.25" style="214" customWidth="1"/>
    <col min="5379" max="5379" width="14.125" style="214" customWidth="1"/>
    <col min="5380" max="5381" width="13" style="214" customWidth="1"/>
    <col min="5382" max="5382" width="10.25" style="214" customWidth="1"/>
    <col min="5383" max="5383" width="11.375" style="214" customWidth="1"/>
    <col min="5384" max="5384" width="13" style="214" customWidth="1"/>
    <col min="5385" max="5385" width="12" style="214" customWidth="1"/>
    <col min="5386" max="5386" width="12.75" style="214" customWidth="1"/>
    <col min="5387" max="5387" width="13" style="214" customWidth="1"/>
    <col min="5388" max="5388" width="12.375" style="214" customWidth="1"/>
    <col min="5389" max="5389" width="11.75" style="214" customWidth="1"/>
    <col min="5390" max="5390" width="13" style="214" customWidth="1"/>
    <col min="5391" max="5391" width="14.125" style="214" bestFit="1" customWidth="1"/>
    <col min="5392" max="5392" width="3.625" style="214" customWidth="1"/>
    <col min="5393" max="5632" width="9" style="214"/>
    <col min="5633" max="5633" width="2.625" style="214" customWidth="1"/>
    <col min="5634" max="5634" width="1.25" style="214" customWidth="1"/>
    <col min="5635" max="5635" width="14.125" style="214" customWidth="1"/>
    <col min="5636" max="5637" width="13" style="214" customWidth="1"/>
    <col min="5638" max="5638" width="10.25" style="214" customWidth="1"/>
    <col min="5639" max="5639" width="11.375" style="214" customWidth="1"/>
    <col min="5640" max="5640" width="13" style="214" customWidth="1"/>
    <col min="5641" max="5641" width="12" style="214" customWidth="1"/>
    <col min="5642" max="5642" width="12.75" style="214" customWidth="1"/>
    <col min="5643" max="5643" width="13" style="214" customWidth="1"/>
    <col min="5644" max="5644" width="12.375" style="214" customWidth="1"/>
    <col min="5645" max="5645" width="11.75" style="214" customWidth="1"/>
    <col min="5646" max="5646" width="13" style="214" customWidth="1"/>
    <col min="5647" max="5647" width="14.125" style="214" bestFit="1" customWidth="1"/>
    <col min="5648" max="5648" width="3.625" style="214" customWidth="1"/>
    <col min="5649" max="5888" width="9" style="214"/>
    <col min="5889" max="5889" width="2.625" style="214" customWidth="1"/>
    <col min="5890" max="5890" width="1.25" style="214" customWidth="1"/>
    <col min="5891" max="5891" width="14.125" style="214" customWidth="1"/>
    <col min="5892" max="5893" width="13" style="214" customWidth="1"/>
    <col min="5894" max="5894" width="10.25" style="214" customWidth="1"/>
    <col min="5895" max="5895" width="11.375" style="214" customWidth="1"/>
    <col min="5896" max="5896" width="13" style="214" customWidth="1"/>
    <col min="5897" max="5897" width="12" style="214" customWidth="1"/>
    <col min="5898" max="5898" width="12.75" style="214" customWidth="1"/>
    <col min="5899" max="5899" width="13" style="214" customWidth="1"/>
    <col min="5900" max="5900" width="12.375" style="214" customWidth="1"/>
    <col min="5901" max="5901" width="11.75" style="214" customWidth="1"/>
    <col min="5902" max="5902" width="13" style="214" customWidth="1"/>
    <col min="5903" max="5903" width="14.125" style="214" bestFit="1" customWidth="1"/>
    <col min="5904" max="5904" width="3.625" style="214" customWidth="1"/>
    <col min="5905" max="6144" width="9" style="214"/>
    <col min="6145" max="6145" width="2.625" style="214" customWidth="1"/>
    <col min="6146" max="6146" width="1.25" style="214" customWidth="1"/>
    <col min="6147" max="6147" width="14.125" style="214" customWidth="1"/>
    <col min="6148" max="6149" width="13" style="214" customWidth="1"/>
    <col min="6150" max="6150" width="10.25" style="214" customWidth="1"/>
    <col min="6151" max="6151" width="11.375" style="214" customWidth="1"/>
    <col min="6152" max="6152" width="13" style="214" customWidth="1"/>
    <col min="6153" max="6153" width="12" style="214" customWidth="1"/>
    <col min="6154" max="6154" width="12.75" style="214" customWidth="1"/>
    <col min="6155" max="6155" width="13" style="214" customWidth="1"/>
    <col min="6156" max="6156" width="12.375" style="214" customWidth="1"/>
    <col min="6157" max="6157" width="11.75" style="214" customWidth="1"/>
    <col min="6158" max="6158" width="13" style="214" customWidth="1"/>
    <col min="6159" max="6159" width="14.125" style="214" bestFit="1" customWidth="1"/>
    <col min="6160" max="6160" width="3.625" style="214" customWidth="1"/>
    <col min="6161" max="6400" width="9" style="214"/>
    <col min="6401" max="6401" width="2.625" style="214" customWidth="1"/>
    <col min="6402" max="6402" width="1.25" style="214" customWidth="1"/>
    <col min="6403" max="6403" width="14.125" style="214" customWidth="1"/>
    <col min="6404" max="6405" width="13" style="214" customWidth="1"/>
    <col min="6406" max="6406" width="10.25" style="214" customWidth="1"/>
    <col min="6407" max="6407" width="11.375" style="214" customWidth="1"/>
    <col min="6408" max="6408" width="13" style="214" customWidth="1"/>
    <col min="6409" max="6409" width="12" style="214" customWidth="1"/>
    <col min="6410" max="6410" width="12.75" style="214" customWidth="1"/>
    <col min="6411" max="6411" width="13" style="214" customWidth="1"/>
    <col min="6412" max="6412" width="12.375" style="214" customWidth="1"/>
    <col min="6413" max="6413" width="11.75" style="214" customWidth="1"/>
    <col min="6414" max="6414" width="13" style="214" customWidth="1"/>
    <col min="6415" max="6415" width="14.125" style="214" bestFit="1" customWidth="1"/>
    <col min="6416" max="6416" width="3.625" style="214" customWidth="1"/>
    <col min="6417" max="6656" width="9" style="214"/>
    <col min="6657" max="6657" width="2.625" style="214" customWidth="1"/>
    <col min="6658" max="6658" width="1.25" style="214" customWidth="1"/>
    <col min="6659" max="6659" width="14.125" style="214" customWidth="1"/>
    <col min="6660" max="6661" width="13" style="214" customWidth="1"/>
    <col min="6662" max="6662" width="10.25" style="214" customWidth="1"/>
    <col min="6663" max="6663" width="11.375" style="214" customWidth="1"/>
    <col min="6664" max="6664" width="13" style="214" customWidth="1"/>
    <col min="6665" max="6665" width="12" style="214" customWidth="1"/>
    <col min="6666" max="6666" width="12.75" style="214" customWidth="1"/>
    <col min="6667" max="6667" width="13" style="214" customWidth="1"/>
    <col min="6668" max="6668" width="12.375" style="214" customWidth="1"/>
    <col min="6669" max="6669" width="11.75" style="214" customWidth="1"/>
    <col min="6670" max="6670" width="13" style="214" customWidth="1"/>
    <col min="6671" max="6671" width="14.125" style="214" bestFit="1" customWidth="1"/>
    <col min="6672" max="6672" width="3.625" style="214" customWidth="1"/>
    <col min="6673" max="6912" width="9" style="214"/>
    <col min="6913" max="6913" width="2.625" style="214" customWidth="1"/>
    <col min="6914" max="6914" width="1.25" style="214" customWidth="1"/>
    <col min="6915" max="6915" width="14.125" style="214" customWidth="1"/>
    <col min="6916" max="6917" width="13" style="214" customWidth="1"/>
    <col min="6918" max="6918" width="10.25" style="214" customWidth="1"/>
    <col min="6919" max="6919" width="11.375" style="214" customWidth="1"/>
    <col min="6920" max="6920" width="13" style="214" customWidth="1"/>
    <col min="6921" max="6921" width="12" style="214" customWidth="1"/>
    <col min="6922" max="6922" width="12.75" style="214" customWidth="1"/>
    <col min="6923" max="6923" width="13" style="214" customWidth="1"/>
    <col min="6924" max="6924" width="12.375" style="214" customWidth="1"/>
    <col min="6925" max="6925" width="11.75" style="214" customWidth="1"/>
    <col min="6926" max="6926" width="13" style="214" customWidth="1"/>
    <col min="6927" max="6927" width="14.125" style="214" bestFit="1" customWidth="1"/>
    <col min="6928" max="6928" width="3.625" style="214" customWidth="1"/>
    <col min="6929" max="7168" width="9" style="214"/>
    <col min="7169" max="7169" width="2.625" style="214" customWidth="1"/>
    <col min="7170" max="7170" width="1.25" style="214" customWidth="1"/>
    <col min="7171" max="7171" width="14.125" style="214" customWidth="1"/>
    <col min="7172" max="7173" width="13" style="214" customWidth="1"/>
    <col min="7174" max="7174" width="10.25" style="214" customWidth="1"/>
    <col min="7175" max="7175" width="11.375" style="214" customWidth="1"/>
    <col min="7176" max="7176" width="13" style="214" customWidth="1"/>
    <col min="7177" max="7177" width="12" style="214" customWidth="1"/>
    <col min="7178" max="7178" width="12.75" style="214" customWidth="1"/>
    <col min="7179" max="7179" width="13" style="214" customWidth="1"/>
    <col min="7180" max="7180" width="12.375" style="214" customWidth="1"/>
    <col min="7181" max="7181" width="11.75" style="214" customWidth="1"/>
    <col min="7182" max="7182" width="13" style="214" customWidth="1"/>
    <col min="7183" max="7183" width="14.125" style="214" bestFit="1" customWidth="1"/>
    <col min="7184" max="7184" width="3.625" style="214" customWidth="1"/>
    <col min="7185" max="7424" width="9" style="214"/>
    <col min="7425" max="7425" width="2.625" style="214" customWidth="1"/>
    <col min="7426" max="7426" width="1.25" style="214" customWidth="1"/>
    <col min="7427" max="7427" width="14.125" style="214" customWidth="1"/>
    <col min="7428" max="7429" width="13" style="214" customWidth="1"/>
    <col min="7430" max="7430" width="10.25" style="214" customWidth="1"/>
    <col min="7431" max="7431" width="11.375" style="214" customWidth="1"/>
    <col min="7432" max="7432" width="13" style="214" customWidth="1"/>
    <col min="7433" max="7433" width="12" style="214" customWidth="1"/>
    <col min="7434" max="7434" width="12.75" style="214" customWidth="1"/>
    <col min="7435" max="7435" width="13" style="214" customWidth="1"/>
    <col min="7436" max="7436" width="12.375" style="214" customWidth="1"/>
    <col min="7437" max="7437" width="11.75" style="214" customWidth="1"/>
    <col min="7438" max="7438" width="13" style="214" customWidth="1"/>
    <col min="7439" max="7439" width="14.125" style="214" bestFit="1" customWidth="1"/>
    <col min="7440" max="7440" width="3.625" style="214" customWidth="1"/>
    <col min="7441" max="7680" width="9" style="214"/>
    <col min="7681" max="7681" width="2.625" style="214" customWidth="1"/>
    <col min="7682" max="7682" width="1.25" style="214" customWidth="1"/>
    <col min="7683" max="7683" width="14.125" style="214" customWidth="1"/>
    <col min="7684" max="7685" width="13" style="214" customWidth="1"/>
    <col min="7686" max="7686" width="10.25" style="214" customWidth="1"/>
    <col min="7687" max="7687" width="11.375" style="214" customWidth="1"/>
    <col min="7688" max="7688" width="13" style="214" customWidth="1"/>
    <col min="7689" max="7689" width="12" style="214" customWidth="1"/>
    <col min="7690" max="7690" width="12.75" style="214" customWidth="1"/>
    <col min="7691" max="7691" width="13" style="214" customWidth="1"/>
    <col min="7692" max="7692" width="12.375" style="214" customWidth="1"/>
    <col min="7693" max="7693" width="11.75" style="214" customWidth="1"/>
    <col min="7694" max="7694" width="13" style="214" customWidth="1"/>
    <col min="7695" max="7695" width="14.125" style="214" bestFit="1" customWidth="1"/>
    <col min="7696" max="7696" width="3.625" style="214" customWidth="1"/>
    <col min="7697" max="7936" width="9" style="214"/>
    <col min="7937" max="7937" width="2.625" style="214" customWidth="1"/>
    <col min="7938" max="7938" width="1.25" style="214" customWidth="1"/>
    <col min="7939" max="7939" width="14.125" style="214" customWidth="1"/>
    <col min="7940" max="7941" width="13" style="214" customWidth="1"/>
    <col min="7942" max="7942" width="10.25" style="214" customWidth="1"/>
    <col min="7943" max="7943" width="11.375" style="214" customWidth="1"/>
    <col min="7944" max="7944" width="13" style="214" customWidth="1"/>
    <col min="7945" max="7945" width="12" style="214" customWidth="1"/>
    <col min="7946" max="7946" width="12.75" style="214" customWidth="1"/>
    <col min="7947" max="7947" width="13" style="214" customWidth="1"/>
    <col min="7948" max="7948" width="12.375" style="214" customWidth="1"/>
    <col min="7949" max="7949" width="11.75" style="214" customWidth="1"/>
    <col min="7950" max="7950" width="13" style="214" customWidth="1"/>
    <col min="7951" max="7951" width="14.125" style="214" bestFit="1" customWidth="1"/>
    <col min="7952" max="7952" width="3.625" style="214" customWidth="1"/>
    <col min="7953" max="8192" width="9" style="214"/>
    <col min="8193" max="8193" width="2.625" style="214" customWidth="1"/>
    <col min="8194" max="8194" width="1.25" style="214" customWidth="1"/>
    <col min="8195" max="8195" width="14.125" style="214" customWidth="1"/>
    <col min="8196" max="8197" width="13" style="214" customWidth="1"/>
    <col min="8198" max="8198" width="10.25" style="214" customWidth="1"/>
    <col min="8199" max="8199" width="11.375" style="214" customWidth="1"/>
    <col min="8200" max="8200" width="13" style="214" customWidth="1"/>
    <col min="8201" max="8201" width="12" style="214" customWidth="1"/>
    <col min="8202" max="8202" width="12.75" style="214" customWidth="1"/>
    <col min="8203" max="8203" width="13" style="214" customWidth="1"/>
    <col min="8204" max="8204" width="12.375" style="214" customWidth="1"/>
    <col min="8205" max="8205" width="11.75" style="214" customWidth="1"/>
    <col min="8206" max="8206" width="13" style="214" customWidth="1"/>
    <col min="8207" max="8207" width="14.125" style="214" bestFit="1" customWidth="1"/>
    <col min="8208" max="8208" width="3.625" style="214" customWidth="1"/>
    <col min="8209" max="8448" width="9" style="214"/>
    <col min="8449" max="8449" width="2.625" style="214" customWidth="1"/>
    <col min="8450" max="8450" width="1.25" style="214" customWidth="1"/>
    <col min="8451" max="8451" width="14.125" style="214" customWidth="1"/>
    <col min="8452" max="8453" width="13" style="214" customWidth="1"/>
    <col min="8454" max="8454" width="10.25" style="214" customWidth="1"/>
    <col min="8455" max="8455" width="11.375" style="214" customWidth="1"/>
    <col min="8456" max="8456" width="13" style="214" customWidth="1"/>
    <col min="8457" max="8457" width="12" style="214" customWidth="1"/>
    <col min="8458" max="8458" width="12.75" style="214" customWidth="1"/>
    <col min="8459" max="8459" width="13" style="214" customWidth="1"/>
    <col min="8460" max="8460" width="12.375" style="214" customWidth="1"/>
    <col min="8461" max="8461" width="11.75" style="214" customWidth="1"/>
    <col min="8462" max="8462" width="13" style="214" customWidth="1"/>
    <col min="8463" max="8463" width="14.125" style="214" bestFit="1" customWidth="1"/>
    <col min="8464" max="8464" width="3.625" style="214" customWidth="1"/>
    <col min="8465" max="8704" width="9" style="214"/>
    <col min="8705" max="8705" width="2.625" style="214" customWidth="1"/>
    <col min="8706" max="8706" width="1.25" style="214" customWidth="1"/>
    <col min="8707" max="8707" width="14.125" style="214" customWidth="1"/>
    <col min="8708" max="8709" width="13" style="214" customWidth="1"/>
    <col min="8710" max="8710" width="10.25" style="214" customWidth="1"/>
    <col min="8711" max="8711" width="11.375" style="214" customWidth="1"/>
    <col min="8712" max="8712" width="13" style="214" customWidth="1"/>
    <col min="8713" max="8713" width="12" style="214" customWidth="1"/>
    <col min="8714" max="8714" width="12.75" style="214" customWidth="1"/>
    <col min="8715" max="8715" width="13" style="214" customWidth="1"/>
    <col min="8716" max="8716" width="12.375" style="214" customWidth="1"/>
    <col min="8717" max="8717" width="11.75" style="214" customWidth="1"/>
    <col min="8718" max="8718" width="13" style="214" customWidth="1"/>
    <col min="8719" max="8719" width="14.125" style="214" bestFit="1" customWidth="1"/>
    <col min="8720" max="8720" width="3.625" style="214" customWidth="1"/>
    <col min="8721" max="8960" width="9" style="214"/>
    <col min="8961" max="8961" width="2.625" style="214" customWidth="1"/>
    <col min="8962" max="8962" width="1.25" style="214" customWidth="1"/>
    <col min="8963" max="8963" width="14.125" style="214" customWidth="1"/>
    <col min="8964" max="8965" width="13" style="214" customWidth="1"/>
    <col min="8966" max="8966" width="10.25" style="214" customWidth="1"/>
    <col min="8967" max="8967" width="11.375" style="214" customWidth="1"/>
    <col min="8968" max="8968" width="13" style="214" customWidth="1"/>
    <col min="8969" max="8969" width="12" style="214" customWidth="1"/>
    <col min="8970" max="8970" width="12.75" style="214" customWidth="1"/>
    <col min="8971" max="8971" width="13" style="214" customWidth="1"/>
    <col min="8972" max="8972" width="12.375" style="214" customWidth="1"/>
    <col min="8973" max="8973" width="11.75" style="214" customWidth="1"/>
    <col min="8974" max="8974" width="13" style="214" customWidth="1"/>
    <col min="8975" max="8975" width="14.125" style="214" bestFit="1" customWidth="1"/>
    <col min="8976" max="8976" width="3.625" style="214" customWidth="1"/>
    <col min="8977" max="9216" width="9" style="214"/>
    <col min="9217" max="9217" width="2.625" style="214" customWidth="1"/>
    <col min="9218" max="9218" width="1.25" style="214" customWidth="1"/>
    <col min="9219" max="9219" width="14.125" style="214" customWidth="1"/>
    <col min="9220" max="9221" width="13" style="214" customWidth="1"/>
    <col min="9222" max="9222" width="10.25" style="214" customWidth="1"/>
    <col min="9223" max="9223" width="11.375" style="214" customWidth="1"/>
    <col min="9224" max="9224" width="13" style="214" customWidth="1"/>
    <col min="9225" max="9225" width="12" style="214" customWidth="1"/>
    <col min="9226" max="9226" width="12.75" style="214" customWidth="1"/>
    <col min="9227" max="9227" width="13" style="214" customWidth="1"/>
    <col min="9228" max="9228" width="12.375" style="214" customWidth="1"/>
    <col min="9229" max="9229" width="11.75" style="214" customWidth="1"/>
    <col min="9230" max="9230" width="13" style="214" customWidth="1"/>
    <col min="9231" max="9231" width="14.125" style="214" bestFit="1" customWidth="1"/>
    <col min="9232" max="9232" width="3.625" style="214" customWidth="1"/>
    <col min="9233" max="9472" width="9" style="214"/>
    <col min="9473" max="9473" width="2.625" style="214" customWidth="1"/>
    <col min="9474" max="9474" width="1.25" style="214" customWidth="1"/>
    <col min="9475" max="9475" width="14.125" style="214" customWidth="1"/>
    <col min="9476" max="9477" width="13" style="214" customWidth="1"/>
    <col min="9478" max="9478" width="10.25" style="214" customWidth="1"/>
    <col min="9479" max="9479" width="11.375" style="214" customWidth="1"/>
    <col min="9480" max="9480" width="13" style="214" customWidth="1"/>
    <col min="9481" max="9481" width="12" style="214" customWidth="1"/>
    <col min="9482" max="9482" width="12.75" style="214" customWidth="1"/>
    <col min="9483" max="9483" width="13" style="214" customWidth="1"/>
    <col min="9484" max="9484" width="12.375" style="214" customWidth="1"/>
    <col min="9485" max="9485" width="11.75" style="214" customWidth="1"/>
    <col min="9486" max="9486" width="13" style="214" customWidth="1"/>
    <col min="9487" max="9487" width="14.125" style="214" bestFit="1" customWidth="1"/>
    <col min="9488" max="9488" width="3.625" style="214" customWidth="1"/>
    <col min="9489" max="9728" width="9" style="214"/>
    <col min="9729" max="9729" width="2.625" style="214" customWidth="1"/>
    <col min="9730" max="9730" width="1.25" style="214" customWidth="1"/>
    <col min="9731" max="9731" width="14.125" style="214" customWidth="1"/>
    <col min="9732" max="9733" width="13" style="214" customWidth="1"/>
    <col min="9734" max="9734" width="10.25" style="214" customWidth="1"/>
    <col min="9735" max="9735" width="11.375" style="214" customWidth="1"/>
    <col min="9736" max="9736" width="13" style="214" customWidth="1"/>
    <col min="9737" max="9737" width="12" style="214" customWidth="1"/>
    <col min="9738" max="9738" width="12.75" style="214" customWidth="1"/>
    <col min="9739" max="9739" width="13" style="214" customWidth="1"/>
    <col min="9740" max="9740" width="12.375" style="214" customWidth="1"/>
    <col min="9741" max="9741" width="11.75" style="214" customWidth="1"/>
    <col min="9742" max="9742" width="13" style="214" customWidth="1"/>
    <col min="9743" max="9743" width="14.125" style="214" bestFit="1" customWidth="1"/>
    <col min="9744" max="9744" width="3.625" style="214" customWidth="1"/>
    <col min="9745" max="9984" width="9" style="214"/>
    <col min="9985" max="9985" width="2.625" style="214" customWidth="1"/>
    <col min="9986" max="9986" width="1.25" style="214" customWidth="1"/>
    <col min="9987" max="9987" width="14.125" style="214" customWidth="1"/>
    <col min="9988" max="9989" width="13" style="214" customWidth="1"/>
    <col min="9990" max="9990" width="10.25" style="214" customWidth="1"/>
    <col min="9991" max="9991" width="11.375" style="214" customWidth="1"/>
    <col min="9992" max="9992" width="13" style="214" customWidth="1"/>
    <col min="9993" max="9993" width="12" style="214" customWidth="1"/>
    <col min="9994" max="9994" width="12.75" style="214" customWidth="1"/>
    <col min="9995" max="9995" width="13" style="214" customWidth="1"/>
    <col min="9996" max="9996" width="12.375" style="214" customWidth="1"/>
    <col min="9997" max="9997" width="11.75" style="214" customWidth="1"/>
    <col min="9998" max="9998" width="13" style="214" customWidth="1"/>
    <col min="9999" max="9999" width="14.125" style="214" bestFit="1" customWidth="1"/>
    <col min="10000" max="10000" width="3.625" style="214" customWidth="1"/>
    <col min="10001" max="10240" width="9" style="214"/>
    <col min="10241" max="10241" width="2.625" style="214" customWidth="1"/>
    <col min="10242" max="10242" width="1.25" style="214" customWidth="1"/>
    <col min="10243" max="10243" width="14.125" style="214" customWidth="1"/>
    <col min="10244" max="10245" width="13" style="214" customWidth="1"/>
    <col min="10246" max="10246" width="10.25" style="214" customWidth="1"/>
    <col min="10247" max="10247" width="11.375" style="214" customWidth="1"/>
    <col min="10248" max="10248" width="13" style="214" customWidth="1"/>
    <col min="10249" max="10249" width="12" style="214" customWidth="1"/>
    <col min="10250" max="10250" width="12.75" style="214" customWidth="1"/>
    <col min="10251" max="10251" width="13" style="214" customWidth="1"/>
    <col min="10252" max="10252" width="12.375" style="214" customWidth="1"/>
    <col min="10253" max="10253" width="11.75" style="214" customWidth="1"/>
    <col min="10254" max="10254" width="13" style="214" customWidth="1"/>
    <col min="10255" max="10255" width="14.125" style="214" bestFit="1" customWidth="1"/>
    <col min="10256" max="10256" width="3.625" style="214" customWidth="1"/>
    <col min="10257" max="10496" width="9" style="214"/>
    <col min="10497" max="10497" width="2.625" style="214" customWidth="1"/>
    <col min="10498" max="10498" width="1.25" style="214" customWidth="1"/>
    <col min="10499" max="10499" width="14.125" style="214" customWidth="1"/>
    <col min="10500" max="10501" width="13" style="214" customWidth="1"/>
    <col min="10502" max="10502" width="10.25" style="214" customWidth="1"/>
    <col min="10503" max="10503" width="11.375" style="214" customWidth="1"/>
    <col min="10504" max="10504" width="13" style="214" customWidth="1"/>
    <col min="10505" max="10505" width="12" style="214" customWidth="1"/>
    <col min="10506" max="10506" width="12.75" style="214" customWidth="1"/>
    <col min="10507" max="10507" width="13" style="214" customWidth="1"/>
    <col min="10508" max="10508" width="12.375" style="214" customWidth="1"/>
    <col min="10509" max="10509" width="11.75" style="214" customWidth="1"/>
    <col min="10510" max="10510" width="13" style="214" customWidth="1"/>
    <col min="10511" max="10511" width="14.125" style="214" bestFit="1" customWidth="1"/>
    <col min="10512" max="10512" width="3.625" style="214" customWidth="1"/>
    <col min="10513" max="10752" width="9" style="214"/>
    <col min="10753" max="10753" width="2.625" style="214" customWidth="1"/>
    <col min="10754" max="10754" width="1.25" style="214" customWidth="1"/>
    <col min="10755" max="10755" width="14.125" style="214" customWidth="1"/>
    <col min="10756" max="10757" width="13" style="214" customWidth="1"/>
    <col min="10758" max="10758" width="10.25" style="214" customWidth="1"/>
    <col min="10759" max="10759" width="11.375" style="214" customWidth="1"/>
    <col min="10760" max="10760" width="13" style="214" customWidth="1"/>
    <col min="10761" max="10761" width="12" style="214" customWidth="1"/>
    <col min="10762" max="10762" width="12.75" style="214" customWidth="1"/>
    <col min="10763" max="10763" width="13" style="214" customWidth="1"/>
    <col min="10764" max="10764" width="12.375" style="214" customWidth="1"/>
    <col min="10765" max="10765" width="11.75" style="214" customWidth="1"/>
    <col min="10766" max="10766" width="13" style="214" customWidth="1"/>
    <col min="10767" max="10767" width="14.125" style="214" bestFit="1" customWidth="1"/>
    <col min="10768" max="10768" width="3.625" style="214" customWidth="1"/>
    <col min="10769" max="11008" width="9" style="214"/>
    <col min="11009" max="11009" width="2.625" style="214" customWidth="1"/>
    <col min="11010" max="11010" width="1.25" style="214" customWidth="1"/>
    <col min="11011" max="11011" width="14.125" style="214" customWidth="1"/>
    <col min="11012" max="11013" width="13" style="214" customWidth="1"/>
    <col min="11014" max="11014" width="10.25" style="214" customWidth="1"/>
    <col min="11015" max="11015" width="11.375" style="214" customWidth="1"/>
    <col min="11016" max="11016" width="13" style="214" customWidth="1"/>
    <col min="11017" max="11017" width="12" style="214" customWidth="1"/>
    <col min="11018" max="11018" width="12.75" style="214" customWidth="1"/>
    <col min="11019" max="11019" width="13" style="214" customWidth="1"/>
    <col min="11020" max="11020" width="12.375" style="214" customWidth="1"/>
    <col min="11021" max="11021" width="11.75" style="214" customWidth="1"/>
    <col min="11022" max="11022" width="13" style="214" customWidth="1"/>
    <col min="11023" max="11023" width="14.125" style="214" bestFit="1" customWidth="1"/>
    <col min="11024" max="11024" width="3.625" style="214" customWidth="1"/>
    <col min="11025" max="11264" width="9" style="214"/>
    <col min="11265" max="11265" width="2.625" style="214" customWidth="1"/>
    <col min="11266" max="11266" width="1.25" style="214" customWidth="1"/>
    <col min="11267" max="11267" width="14.125" style="214" customWidth="1"/>
    <col min="11268" max="11269" width="13" style="214" customWidth="1"/>
    <col min="11270" max="11270" width="10.25" style="214" customWidth="1"/>
    <col min="11271" max="11271" width="11.375" style="214" customWidth="1"/>
    <col min="11272" max="11272" width="13" style="214" customWidth="1"/>
    <col min="11273" max="11273" width="12" style="214" customWidth="1"/>
    <col min="11274" max="11274" width="12.75" style="214" customWidth="1"/>
    <col min="11275" max="11275" width="13" style="214" customWidth="1"/>
    <col min="11276" max="11276" width="12.375" style="214" customWidth="1"/>
    <col min="11277" max="11277" width="11.75" style="214" customWidth="1"/>
    <col min="11278" max="11278" width="13" style="214" customWidth="1"/>
    <col min="11279" max="11279" width="14.125" style="214" bestFit="1" customWidth="1"/>
    <col min="11280" max="11280" width="3.625" style="214" customWidth="1"/>
    <col min="11281" max="11520" width="9" style="214"/>
    <col min="11521" max="11521" width="2.625" style="214" customWidth="1"/>
    <col min="11522" max="11522" width="1.25" style="214" customWidth="1"/>
    <col min="11523" max="11523" width="14.125" style="214" customWidth="1"/>
    <col min="11524" max="11525" width="13" style="214" customWidth="1"/>
    <col min="11526" max="11526" width="10.25" style="214" customWidth="1"/>
    <col min="11527" max="11527" width="11.375" style="214" customWidth="1"/>
    <col min="11528" max="11528" width="13" style="214" customWidth="1"/>
    <col min="11529" max="11529" width="12" style="214" customWidth="1"/>
    <col min="11530" max="11530" width="12.75" style="214" customWidth="1"/>
    <col min="11531" max="11531" width="13" style="214" customWidth="1"/>
    <col min="11532" max="11532" width="12.375" style="214" customWidth="1"/>
    <col min="11533" max="11533" width="11.75" style="214" customWidth="1"/>
    <col min="11534" max="11534" width="13" style="214" customWidth="1"/>
    <col min="11535" max="11535" width="14.125" style="214" bestFit="1" customWidth="1"/>
    <col min="11536" max="11536" width="3.625" style="214" customWidth="1"/>
    <col min="11537" max="11776" width="9" style="214"/>
    <col min="11777" max="11777" width="2.625" style="214" customWidth="1"/>
    <col min="11778" max="11778" width="1.25" style="214" customWidth="1"/>
    <col min="11779" max="11779" width="14.125" style="214" customWidth="1"/>
    <col min="11780" max="11781" width="13" style="214" customWidth="1"/>
    <col min="11782" max="11782" width="10.25" style="214" customWidth="1"/>
    <col min="11783" max="11783" width="11.375" style="214" customWidth="1"/>
    <col min="11784" max="11784" width="13" style="214" customWidth="1"/>
    <col min="11785" max="11785" width="12" style="214" customWidth="1"/>
    <col min="11786" max="11786" width="12.75" style="214" customWidth="1"/>
    <col min="11787" max="11787" width="13" style="214" customWidth="1"/>
    <col min="11788" max="11788" width="12.375" style="214" customWidth="1"/>
    <col min="11789" max="11789" width="11.75" style="214" customWidth="1"/>
    <col min="11790" max="11790" width="13" style="214" customWidth="1"/>
    <col min="11791" max="11791" width="14.125" style="214" bestFit="1" customWidth="1"/>
    <col min="11792" max="11792" width="3.625" style="214" customWidth="1"/>
    <col min="11793" max="12032" width="9" style="214"/>
    <col min="12033" max="12033" width="2.625" style="214" customWidth="1"/>
    <col min="12034" max="12034" width="1.25" style="214" customWidth="1"/>
    <col min="12035" max="12035" width="14.125" style="214" customWidth="1"/>
    <col min="12036" max="12037" width="13" style="214" customWidth="1"/>
    <col min="12038" max="12038" width="10.25" style="214" customWidth="1"/>
    <col min="12039" max="12039" width="11.375" style="214" customWidth="1"/>
    <col min="12040" max="12040" width="13" style="214" customWidth="1"/>
    <col min="12041" max="12041" width="12" style="214" customWidth="1"/>
    <col min="12042" max="12042" width="12.75" style="214" customWidth="1"/>
    <col min="12043" max="12043" width="13" style="214" customWidth="1"/>
    <col min="12044" max="12044" width="12.375" style="214" customWidth="1"/>
    <col min="12045" max="12045" width="11.75" style="214" customWidth="1"/>
    <col min="12046" max="12046" width="13" style="214" customWidth="1"/>
    <col min="12047" max="12047" width="14.125" style="214" bestFit="1" customWidth="1"/>
    <col min="12048" max="12048" width="3.625" style="214" customWidth="1"/>
    <col min="12049" max="12288" width="9" style="214"/>
    <col min="12289" max="12289" width="2.625" style="214" customWidth="1"/>
    <col min="12290" max="12290" width="1.25" style="214" customWidth="1"/>
    <col min="12291" max="12291" width="14.125" style="214" customWidth="1"/>
    <col min="12292" max="12293" width="13" style="214" customWidth="1"/>
    <col min="12294" max="12294" width="10.25" style="214" customWidth="1"/>
    <col min="12295" max="12295" width="11.375" style="214" customWidth="1"/>
    <col min="12296" max="12296" width="13" style="214" customWidth="1"/>
    <col min="12297" max="12297" width="12" style="214" customWidth="1"/>
    <col min="12298" max="12298" width="12.75" style="214" customWidth="1"/>
    <col min="12299" max="12299" width="13" style="214" customWidth="1"/>
    <col min="12300" max="12300" width="12.375" style="214" customWidth="1"/>
    <col min="12301" max="12301" width="11.75" style="214" customWidth="1"/>
    <col min="12302" max="12302" width="13" style="214" customWidth="1"/>
    <col min="12303" max="12303" width="14.125" style="214" bestFit="1" customWidth="1"/>
    <col min="12304" max="12304" width="3.625" style="214" customWidth="1"/>
    <col min="12305" max="12544" width="9" style="214"/>
    <col min="12545" max="12545" width="2.625" style="214" customWidth="1"/>
    <col min="12546" max="12546" width="1.25" style="214" customWidth="1"/>
    <col min="12547" max="12547" width="14.125" style="214" customWidth="1"/>
    <col min="12548" max="12549" width="13" style="214" customWidth="1"/>
    <col min="12550" max="12550" width="10.25" style="214" customWidth="1"/>
    <col min="12551" max="12551" width="11.375" style="214" customWidth="1"/>
    <col min="12552" max="12552" width="13" style="214" customWidth="1"/>
    <col min="12553" max="12553" width="12" style="214" customWidth="1"/>
    <col min="12554" max="12554" width="12.75" style="214" customWidth="1"/>
    <col min="12555" max="12555" width="13" style="214" customWidth="1"/>
    <col min="12556" max="12556" width="12.375" style="214" customWidth="1"/>
    <col min="12557" max="12557" width="11.75" style="214" customWidth="1"/>
    <col min="12558" max="12558" width="13" style="214" customWidth="1"/>
    <col min="12559" max="12559" width="14.125" style="214" bestFit="1" customWidth="1"/>
    <col min="12560" max="12560" width="3.625" style="214" customWidth="1"/>
    <col min="12561" max="12800" width="9" style="214"/>
    <col min="12801" max="12801" width="2.625" style="214" customWidth="1"/>
    <col min="12802" max="12802" width="1.25" style="214" customWidth="1"/>
    <col min="12803" max="12803" width="14.125" style="214" customWidth="1"/>
    <col min="12804" max="12805" width="13" style="214" customWidth="1"/>
    <col min="12806" max="12806" width="10.25" style="214" customWidth="1"/>
    <col min="12807" max="12807" width="11.375" style="214" customWidth="1"/>
    <col min="12808" max="12808" width="13" style="214" customWidth="1"/>
    <col min="12809" max="12809" width="12" style="214" customWidth="1"/>
    <col min="12810" max="12810" width="12.75" style="214" customWidth="1"/>
    <col min="12811" max="12811" width="13" style="214" customWidth="1"/>
    <col min="12812" max="12812" width="12.375" style="214" customWidth="1"/>
    <col min="12813" max="12813" width="11.75" style="214" customWidth="1"/>
    <col min="12814" max="12814" width="13" style="214" customWidth="1"/>
    <col min="12815" max="12815" width="14.125" style="214" bestFit="1" customWidth="1"/>
    <col min="12816" max="12816" width="3.625" style="214" customWidth="1"/>
    <col min="12817" max="13056" width="9" style="214"/>
    <col min="13057" max="13057" width="2.625" style="214" customWidth="1"/>
    <col min="13058" max="13058" width="1.25" style="214" customWidth="1"/>
    <col min="13059" max="13059" width="14.125" style="214" customWidth="1"/>
    <col min="13060" max="13061" width="13" style="214" customWidth="1"/>
    <col min="13062" max="13062" width="10.25" style="214" customWidth="1"/>
    <col min="13063" max="13063" width="11.375" style="214" customWidth="1"/>
    <col min="13064" max="13064" width="13" style="214" customWidth="1"/>
    <col min="13065" max="13065" width="12" style="214" customWidth="1"/>
    <col min="13066" max="13066" width="12.75" style="214" customWidth="1"/>
    <col min="13067" max="13067" width="13" style="214" customWidth="1"/>
    <col min="13068" max="13068" width="12.375" style="214" customWidth="1"/>
    <col min="13069" max="13069" width="11.75" style="214" customWidth="1"/>
    <col min="13070" max="13070" width="13" style="214" customWidth="1"/>
    <col min="13071" max="13071" width="14.125" style="214" bestFit="1" customWidth="1"/>
    <col min="13072" max="13072" width="3.625" style="214" customWidth="1"/>
    <col min="13073" max="13312" width="9" style="214"/>
    <col min="13313" max="13313" width="2.625" style="214" customWidth="1"/>
    <col min="13314" max="13314" width="1.25" style="214" customWidth="1"/>
    <col min="13315" max="13315" width="14.125" style="214" customWidth="1"/>
    <col min="13316" max="13317" width="13" style="214" customWidth="1"/>
    <col min="13318" max="13318" width="10.25" style="214" customWidth="1"/>
    <col min="13319" max="13319" width="11.375" style="214" customWidth="1"/>
    <col min="13320" max="13320" width="13" style="214" customWidth="1"/>
    <col min="13321" max="13321" width="12" style="214" customWidth="1"/>
    <col min="13322" max="13322" width="12.75" style="214" customWidth="1"/>
    <col min="13323" max="13323" width="13" style="214" customWidth="1"/>
    <col min="13324" max="13324" width="12.375" style="214" customWidth="1"/>
    <col min="13325" max="13325" width="11.75" style="214" customWidth="1"/>
    <col min="13326" max="13326" width="13" style="214" customWidth="1"/>
    <col min="13327" max="13327" width="14.125" style="214" bestFit="1" customWidth="1"/>
    <col min="13328" max="13328" width="3.625" style="214" customWidth="1"/>
    <col min="13329" max="13568" width="9" style="214"/>
    <col min="13569" max="13569" width="2.625" style="214" customWidth="1"/>
    <col min="13570" max="13570" width="1.25" style="214" customWidth="1"/>
    <col min="13571" max="13571" width="14.125" style="214" customWidth="1"/>
    <col min="13572" max="13573" width="13" style="214" customWidth="1"/>
    <col min="13574" max="13574" width="10.25" style="214" customWidth="1"/>
    <col min="13575" max="13575" width="11.375" style="214" customWidth="1"/>
    <col min="13576" max="13576" width="13" style="214" customWidth="1"/>
    <col min="13577" max="13577" width="12" style="214" customWidth="1"/>
    <col min="13578" max="13578" width="12.75" style="214" customWidth="1"/>
    <col min="13579" max="13579" width="13" style="214" customWidth="1"/>
    <col min="13580" max="13580" width="12.375" style="214" customWidth="1"/>
    <col min="13581" max="13581" width="11.75" style="214" customWidth="1"/>
    <col min="13582" max="13582" width="13" style="214" customWidth="1"/>
    <col min="13583" max="13583" width="14.125" style="214" bestFit="1" customWidth="1"/>
    <col min="13584" max="13584" width="3.625" style="214" customWidth="1"/>
    <col min="13585" max="13824" width="9" style="214"/>
    <col min="13825" max="13825" width="2.625" style="214" customWidth="1"/>
    <col min="13826" max="13826" width="1.25" style="214" customWidth="1"/>
    <col min="13827" max="13827" width="14.125" style="214" customWidth="1"/>
    <col min="13828" max="13829" width="13" style="214" customWidth="1"/>
    <col min="13830" max="13830" width="10.25" style="214" customWidth="1"/>
    <col min="13831" max="13831" width="11.375" style="214" customWidth="1"/>
    <col min="13832" max="13832" width="13" style="214" customWidth="1"/>
    <col min="13833" max="13833" width="12" style="214" customWidth="1"/>
    <col min="13834" max="13834" width="12.75" style="214" customWidth="1"/>
    <col min="13835" max="13835" width="13" style="214" customWidth="1"/>
    <col min="13836" max="13836" width="12.375" style="214" customWidth="1"/>
    <col min="13837" max="13837" width="11.75" style="214" customWidth="1"/>
    <col min="13838" max="13838" width="13" style="214" customWidth="1"/>
    <col min="13839" max="13839" width="14.125" style="214" bestFit="1" customWidth="1"/>
    <col min="13840" max="13840" width="3.625" style="214" customWidth="1"/>
    <col min="13841" max="14080" width="9" style="214"/>
    <col min="14081" max="14081" width="2.625" style="214" customWidth="1"/>
    <col min="14082" max="14082" width="1.25" style="214" customWidth="1"/>
    <col min="14083" max="14083" width="14.125" style="214" customWidth="1"/>
    <col min="14084" max="14085" width="13" style="214" customWidth="1"/>
    <col min="14086" max="14086" width="10.25" style="214" customWidth="1"/>
    <col min="14087" max="14087" width="11.375" style="214" customWidth="1"/>
    <col min="14088" max="14088" width="13" style="214" customWidth="1"/>
    <col min="14089" max="14089" width="12" style="214" customWidth="1"/>
    <col min="14090" max="14090" width="12.75" style="214" customWidth="1"/>
    <col min="14091" max="14091" width="13" style="214" customWidth="1"/>
    <col min="14092" max="14092" width="12.375" style="214" customWidth="1"/>
    <col min="14093" max="14093" width="11.75" style="214" customWidth="1"/>
    <col min="14094" max="14094" width="13" style="214" customWidth="1"/>
    <col min="14095" max="14095" width="14.125" style="214" bestFit="1" customWidth="1"/>
    <col min="14096" max="14096" width="3.625" style="214" customWidth="1"/>
    <col min="14097" max="14336" width="9" style="214"/>
    <col min="14337" max="14337" width="2.625" style="214" customWidth="1"/>
    <col min="14338" max="14338" width="1.25" style="214" customWidth="1"/>
    <col min="14339" max="14339" width="14.125" style="214" customWidth="1"/>
    <col min="14340" max="14341" width="13" style="214" customWidth="1"/>
    <col min="14342" max="14342" width="10.25" style="214" customWidth="1"/>
    <col min="14343" max="14343" width="11.375" style="214" customWidth="1"/>
    <col min="14344" max="14344" width="13" style="214" customWidth="1"/>
    <col min="14345" max="14345" width="12" style="214" customWidth="1"/>
    <col min="14346" max="14346" width="12.75" style="214" customWidth="1"/>
    <col min="14347" max="14347" width="13" style="214" customWidth="1"/>
    <col min="14348" max="14348" width="12.375" style="214" customWidth="1"/>
    <col min="14349" max="14349" width="11.75" style="214" customWidth="1"/>
    <col min="14350" max="14350" width="13" style="214" customWidth="1"/>
    <col min="14351" max="14351" width="14.125" style="214" bestFit="1" customWidth="1"/>
    <col min="14352" max="14352" width="3.625" style="214" customWidth="1"/>
    <col min="14353" max="14592" width="9" style="214"/>
    <col min="14593" max="14593" width="2.625" style="214" customWidth="1"/>
    <col min="14594" max="14594" width="1.25" style="214" customWidth="1"/>
    <col min="14595" max="14595" width="14.125" style="214" customWidth="1"/>
    <col min="14596" max="14597" width="13" style="214" customWidth="1"/>
    <col min="14598" max="14598" width="10.25" style="214" customWidth="1"/>
    <col min="14599" max="14599" width="11.375" style="214" customWidth="1"/>
    <col min="14600" max="14600" width="13" style="214" customWidth="1"/>
    <col min="14601" max="14601" width="12" style="214" customWidth="1"/>
    <col min="14602" max="14602" width="12.75" style="214" customWidth="1"/>
    <col min="14603" max="14603" width="13" style="214" customWidth="1"/>
    <col min="14604" max="14604" width="12.375" style="214" customWidth="1"/>
    <col min="14605" max="14605" width="11.75" style="214" customWidth="1"/>
    <col min="14606" max="14606" width="13" style="214" customWidth="1"/>
    <col min="14607" max="14607" width="14.125" style="214" bestFit="1" customWidth="1"/>
    <col min="14608" max="14608" width="3.625" style="214" customWidth="1"/>
    <col min="14609" max="14848" width="9" style="214"/>
    <col min="14849" max="14849" width="2.625" style="214" customWidth="1"/>
    <col min="14850" max="14850" width="1.25" style="214" customWidth="1"/>
    <col min="14851" max="14851" width="14.125" style="214" customWidth="1"/>
    <col min="14852" max="14853" width="13" style="214" customWidth="1"/>
    <col min="14854" max="14854" width="10.25" style="214" customWidth="1"/>
    <col min="14855" max="14855" width="11.375" style="214" customWidth="1"/>
    <col min="14856" max="14856" width="13" style="214" customWidth="1"/>
    <col min="14857" max="14857" width="12" style="214" customWidth="1"/>
    <col min="14858" max="14858" width="12.75" style="214" customWidth="1"/>
    <col min="14859" max="14859" width="13" style="214" customWidth="1"/>
    <col min="14860" max="14860" width="12.375" style="214" customWidth="1"/>
    <col min="14861" max="14861" width="11.75" style="214" customWidth="1"/>
    <col min="14862" max="14862" width="13" style="214" customWidth="1"/>
    <col min="14863" max="14863" width="14.125" style="214" bestFit="1" customWidth="1"/>
    <col min="14864" max="14864" width="3.625" style="214" customWidth="1"/>
    <col min="14865" max="15104" width="9" style="214"/>
    <col min="15105" max="15105" width="2.625" style="214" customWidth="1"/>
    <col min="15106" max="15106" width="1.25" style="214" customWidth="1"/>
    <col min="15107" max="15107" width="14.125" style="214" customWidth="1"/>
    <col min="15108" max="15109" width="13" style="214" customWidth="1"/>
    <col min="15110" max="15110" width="10.25" style="214" customWidth="1"/>
    <col min="15111" max="15111" width="11.375" style="214" customWidth="1"/>
    <col min="15112" max="15112" width="13" style="214" customWidth="1"/>
    <col min="15113" max="15113" width="12" style="214" customWidth="1"/>
    <col min="15114" max="15114" width="12.75" style="214" customWidth="1"/>
    <col min="15115" max="15115" width="13" style="214" customWidth="1"/>
    <col min="15116" max="15116" width="12.375" style="214" customWidth="1"/>
    <col min="15117" max="15117" width="11.75" style="214" customWidth="1"/>
    <col min="15118" max="15118" width="13" style="214" customWidth="1"/>
    <col min="15119" max="15119" width="14.125" style="214" bestFit="1" customWidth="1"/>
    <col min="15120" max="15120" width="3.625" style="214" customWidth="1"/>
    <col min="15121" max="15360" width="9" style="214"/>
    <col min="15361" max="15361" width="2.625" style="214" customWidth="1"/>
    <col min="15362" max="15362" width="1.25" style="214" customWidth="1"/>
    <col min="15363" max="15363" width="14.125" style="214" customWidth="1"/>
    <col min="15364" max="15365" width="13" style="214" customWidth="1"/>
    <col min="15366" max="15366" width="10.25" style="214" customWidth="1"/>
    <col min="15367" max="15367" width="11.375" style="214" customWidth="1"/>
    <col min="15368" max="15368" width="13" style="214" customWidth="1"/>
    <col min="15369" max="15369" width="12" style="214" customWidth="1"/>
    <col min="15370" max="15370" width="12.75" style="214" customWidth="1"/>
    <col min="15371" max="15371" width="13" style="214" customWidth="1"/>
    <col min="15372" max="15372" width="12.375" style="214" customWidth="1"/>
    <col min="15373" max="15373" width="11.75" style="214" customWidth="1"/>
    <col min="15374" max="15374" width="13" style="214" customWidth="1"/>
    <col min="15375" max="15375" width="14.125" style="214" bestFit="1" customWidth="1"/>
    <col min="15376" max="15376" width="3.625" style="214" customWidth="1"/>
    <col min="15377" max="15616" width="9" style="214"/>
    <col min="15617" max="15617" width="2.625" style="214" customWidth="1"/>
    <col min="15618" max="15618" width="1.25" style="214" customWidth="1"/>
    <col min="15619" max="15619" width="14.125" style="214" customWidth="1"/>
    <col min="15620" max="15621" width="13" style="214" customWidth="1"/>
    <col min="15622" max="15622" width="10.25" style="214" customWidth="1"/>
    <col min="15623" max="15623" width="11.375" style="214" customWidth="1"/>
    <col min="15624" max="15624" width="13" style="214" customWidth="1"/>
    <col min="15625" max="15625" width="12" style="214" customWidth="1"/>
    <col min="15626" max="15626" width="12.75" style="214" customWidth="1"/>
    <col min="15627" max="15627" width="13" style="214" customWidth="1"/>
    <col min="15628" max="15628" width="12.375" style="214" customWidth="1"/>
    <col min="15629" max="15629" width="11.75" style="214" customWidth="1"/>
    <col min="15630" max="15630" width="13" style="214" customWidth="1"/>
    <col min="15631" max="15631" width="14.125" style="214" bestFit="1" customWidth="1"/>
    <col min="15632" max="15632" width="3.625" style="214" customWidth="1"/>
    <col min="15633" max="15872" width="9" style="214"/>
    <col min="15873" max="15873" width="2.625" style="214" customWidth="1"/>
    <col min="15874" max="15874" width="1.25" style="214" customWidth="1"/>
    <col min="15875" max="15875" width="14.125" style="214" customWidth="1"/>
    <col min="15876" max="15877" width="13" style="214" customWidth="1"/>
    <col min="15878" max="15878" width="10.25" style="214" customWidth="1"/>
    <col min="15879" max="15879" width="11.375" style="214" customWidth="1"/>
    <col min="15880" max="15880" width="13" style="214" customWidth="1"/>
    <col min="15881" max="15881" width="12" style="214" customWidth="1"/>
    <col min="15882" max="15882" width="12.75" style="214" customWidth="1"/>
    <col min="15883" max="15883" width="13" style="214" customWidth="1"/>
    <col min="15884" max="15884" width="12.375" style="214" customWidth="1"/>
    <col min="15885" max="15885" width="11.75" style="214" customWidth="1"/>
    <col min="15886" max="15886" width="13" style="214" customWidth="1"/>
    <col min="15887" max="15887" width="14.125" style="214" bestFit="1" customWidth="1"/>
    <col min="15888" max="15888" width="3.625" style="214" customWidth="1"/>
    <col min="15889" max="16128" width="9" style="214"/>
    <col min="16129" max="16129" width="2.625" style="214" customWidth="1"/>
    <col min="16130" max="16130" width="1.25" style="214" customWidth="1"/>
    <col min="16131" max="16131" width="14.125" style="214" customWidth="1"/>
    <col min="16132" max="16133" width="13" style="214" customWidth="1"/>
    <col min="16134" max="16134" width="10.25" style="214" customWidth="1"/>
    <col min="16135" max="16135" width="11.375" style="214" customWidth="1"/>
    <col min="16136" max="16136" width="13" style="214" customWidth="1"/>
    <col min="16137" max="16137" width="12" style="214" customWidth="1"/>
    <col min="16138" max="16138" width="12.75" style="214" customWidth="1"/>
    <col min="16139" max="16139" width="13" style="214" customWidth="1"/>
    <col min="16140" max="16140" width="12.375" style="214" customWidth="1"/>
    <col min="16141" max="16141" width="11.75" style="214" customWidth="1"/>
    <col min="16142" max="16142" width="13" style="214" customWidth="1"/>
    <col min="16143" max="16143" width="14.125" style="214" bestFit="1" customWidth="1"/>
    <col min="16144" max="16144" width="3.625" style="214" customWidth="1"/>
    <col min="16145" max="16384" width="9" style="214"/>
  </cols>
  <sheetData>
    <row r="1" spans="1:15" ht="24.95" customHeight="1">
      <c r="A1" s="298" t="s">
        <v>3292</v>
      </c>
    </row>
    <row r="2" spans="1:15" ht="24.95" customHeight="1" thickBot="1">
      <c r="A2" s="214" t="s">
        <v>293</v>
      </c>
      <c r="K2" s="259" t="s">
        <v>292</v>
      </c>
    </row>
    <row r="3" spans="1:15" ht="24.95" customHeight="1">
      <c r="A3" s="233" t="s">
        <v>291</v>
      </c>
      <c r="B3" s="232"/>
      <c r="C3" s="232"/>
      <c r="D3" s="297" t="s">
        <v>290</v>
      </c>
      <c r="E3" s="296" t="s">
        <v>289</v>
      </c>
      <c r="F3" s="294"/>
      <c r="G3" s="294"/>
      <c r="H3" s="293"/>
      <c r="I3" s="295" t="s">
        <v>288</v>
      </c>
      <c r="J3" s="294"/>
      <c r="K3" s="293"/>
    </row>
    <row r="4" spans="1:15" s="273" customFormat="1" ht="24.95" customHeight="1">
      <c r="A4" s="292"/>
      <c r="B4" s="291"/>
      <c r="C4" s="291"/>
      <c r="D4" s="290"/>
      <c r="E4" s="289" t="s">
        <v>287</v>
      </c>
      <c r="F4" s="288"/>
      <c r="G4" s="287" t="s">
        <v>286</v>
      </c>
      <c r="H4" s="284" t="s">
        <v>285</v>
      </c>
      <c r="I4" s="286" t="s">
        <v>287</v>
      </c>
      <c r="J4" s="285" t="s">
        <v>286</v>
      </c>
      <c r="K4" s="284" t="s">
        <v>285</v>
      </c>
    </row>
    <row r="5" spans="1:15" s="275" customFormat="1" ht="24.95" customHeight="1">
      <c r="A5" s="283"/>
      <c r="B5" s="282"/>
      <c r="C5" s="282"/>
      <c r="D5" s="281"/>
      <c r="E5" s="280" t="s">
        <v>282</v>
      </c>
      <c r="F5" s="277" t="s">
        <v>284</v>
      </c>
      <c r="G5" s="279" t="s">
        <v>283</v>
      </c>
      <c r="H5" s="276"/>
      <c r="I5" s="278" t="s">
        <v>282</v>
      </c>
      <c r="J5" s="277" t="s">
        <v>282</v>
      </c>
      <c r="K5" s="276"/>
    </row>
    <row r="6" spans="1:15" ht="24.95" customHeight="1">
      <c r="A6" s="265"/>
      <c r="B6" s="255" t="s">
        <v>244</v>
      </c>
      <c r="C6" s="258"/>
      <c r="D6" s="246">
        <f>SUM(D7:D20)</f>
        <v>11612284940</v>
      </c>
      <c r="E6" s="245">
        <f>SUM(E7:E20)</f>
        <v>2836808146</v>
      </c>
      <c r="F6" s="242">
        <f>SUM(F7:F20)</f>
        <v>270904224</v>
      </c>
      <c r="G6" s="242">
        <f>SUM(G7:G20)</f>
        <v>456300637</v>
      </c>
      <c r="H6" s="241">
        <f t="shared" ref="H6:H24" si="0">SUM(E6:G6)</f>
        <v>3564013007</v>
      </c>
      <c r="I6" s="243">
        <f>SUM(I7:I20)</f>
        <v>231363468</v>
      </c>
      <c r="J6" s="242">
        <f>SUM(J7:J20)</f>
        <v>7816908465</v>
      </c>
      <c r="K6" s="241">
        <f t="shared" ref="K6:K24" si="1">SUM(I6:J6)</f>
        <v>8048271933</v>
      </c>
      <c r="M6" s="214">
        <f t="shared" ref="M6:M24" si="2">D6-H6-K6</f>
        <v>0</v>
      </c>
    </row>
    <row r="7" spans="1:15" ht="24.95" customHeight="1">
      <c r="A7" s="252"/>
      <c r="B7" s="255"/>
      <c r="C7" s="255" t="s">
        <v>77</v>
      </c>
      <c r="D7" s="246">
        <f>+雨汚水!E7</f>
        <v>611819957</v>
      </c>
      <c r="E7" s="245">
        <f>+雨汚水!F7</f>
        <v>285727057</v>
      </c>
      <c r="F7" s="242">
        <f>+雨汚水!G7</f>
        <v>60054665</v>
      </c>
      <c r="G7" s="242">
        <f>+雨汚水!H7</f>
        <v>0</v>
      </c>
      <c r="H7" s="241">
        <f t="shared" si="0"/>
        <v>345781722</v>
      </c>
      <c r="I7" s="243">
        <f>+雨汚水!J7</f>
        <v>0</v>
      </c>
      <c r="J7" s="242">
        <f>+雨汚水!K7</f>
        <v>266038235</v>
      </c>
      <c r="K7" s="241">
        <f t="shared" si="1"/>
        <v>266038235</v>
      </c>
      <c r="M7" s="214">
        <f t="shared" si="2"/>
        <v>0</v>
      </c>
    </row>
    <row r="8" spans="1:15" ht="24.95" customHeight="1">
      <c r="A8" s="252"/>
      <c r="B8" s="256"/>
      <c r="C8" s="255" t="s">
        <v>74</v>
      </c>
      <c r="D8" s="246">
        <f>+雨汚水!E8</f>
        <v>52443869</v>
      </c>
      <c r="E8" s="245">
        <f>+雨汚水!F8</f>
        <v>0</v>
      </c>
      <c r="F8" s="242">
        <f>+雨汚水!G8</f>
        <v>0</v>
      </c>
      <c r="G8" s="242">
        <f>+雨汚水!H8</f>
        <v>0</v>
      </c>
      <c r="H8" s="241">
        <f t="shared" si="0"/>
        <v>0</v>
      </c>
      <c r="I8" s="243">
        <f>+雨汚水!J8</f>
        <v>52443869</v>
      </c>
      <c r="J8" s="242">
        <f>+雨汚水!K8</f>
        <v>0</v>
      </c>
      <c r="K8" s="241">
        <f t="shared" si="1"/>
        <v>52443869</v>
      </c>
      <c r="M8" s="214">
        <f t="shared" si="2"/>
        <v>0</v>
      </c>
    </row>
    <row r="9" spans="1:15" ht="24.95" customHeight="1">
      <c r="A9" s="252"/>
      <c r="B9" s="256"/>
      <c r="C9" s="255" t="s">
        <v>71</v>
      </c>
      <c r="D9" s="246">
        <f>+雨汚水!E9</f>
        <v>2356040225</v>
      </c>
      <c r="E9" s="245">
        <f>+雨汚水!F9</f>
        <v>1724925338</v>
      </c>
      <c r="F9" s="242">
        <f>+雨汚水!G9</f>
        <v>55051811</v>
      </c>
      <c r="G9" s="242">
        <f>+雨汚水!H9</f>
        <v>0</v>
      </c>
      <c r="H9" s="241">
        <f t="shared" si="0"/>
        <v>1779977149</v>
      </c>
      <c r="I9" s="243">
        <f>+雨汚水!J9</f>
        <v>0</v>
      </c>
      <c r="J9" s="242">
        <f>+雨汚水!K9</f>
        <v>576063076</v>
      </c>
      <c r="K9" s="241">
        <f t="shared" si="1"/>
        <v>576063076</v>
      </c>
      <c r="M9" s="214">
        <f t="shared" si="2"/>
        <v>0</v>
      </c>
    </row>
    <row r="10" spans="1:15" ht="24.95" customHeight="1">
      <c r="A10" s="252"/>
      <c r="B10" s="256"/>
      <c r="C10" s="255" t="s">
        <v>69</v>
      </c>
      <c r="D10" s="246">
        <f>+雨汚水!E10</f>
        <v>6557703864</v>
      </c>
      <c r="E10" s="245">
        <f>+雨汚水!F10</f>
        <v>703775367</v>
      </c>
      <c r="F10" s="242">
        <f>+雨汚水!G10</f>
        <v>144110894</v>
      </c>
      <c r="G10" s="242">
        <f>+雨汚水!H10</f>
        <v>445816778</v>
      </c>
      <c r="H10" s="241">
        <f t="shared" si="0"/>
        <v>1293703039</v>
      </c>
      <c r="I10" s="274">
        <f>+雨汚水!J10</f>
        <v>134494824</v>
      </c>
      <c r="J10" s="242">
        <f>+雨汚水!K10</f>
        <v>5129506001</v>
      </c>
      <c r="K10" s="241">
        <f t="shared" si="1"/>
        <v>5264000825</v>
      </c>
      <c r="M10" s="214">
        <f t="shared" si="2"/>
        <v>0</v>
      </c>
    </row>
    <row r="11" spans="1:15" ht="24.95" customHeight="1">
      <c r="A11" s="252"/>
      <c r="B11" s="256"/>
      <c r="C11" s="255" t="s">
        <v>67</v>
      </c>
      <c r="D11" s="246">
        <f>+雨汚水!E11</f>
        <v>0</v>
      </c>
      <c r="E11" s="245">
        <f>+雨汚水!F11</f>
        <v>0</v>
      </c>
      <c r="F11" s="242">
        <f>+雨汚水!G11</f>
        <v>0</v>
      </c>
      <c r="G11" s="242">
        <f>+雨汚水!H11</f>
        <v>0</v>
      </c>
      <c r="H11" s="241">
        <f t="shared" si="0"/>
        <v>0</v>
      </c>
      <c r="I11" s="243">
        <f>+雨汚水!J11</f>
        <v>0</v>
      </c>
      <c r="J11" s="242">
        <f>+雨汚水!K11</f>
        <v>0</v>
      </c>
      <c r="K11" s="241">
        <f t="shared" si="1"/>
        <v>0</v>
      </c>
      <c r="L11" s="273" t="s">
        <v>281</v>
      </c>
      <c r="M11" s="214">
        <f t="shared" si="2"/>
        <v>0</v>
      </c>
    </row>
    <row r="12" spans="1:15" ht="24.95" customHeight="1">
      <c r="A12" s="252"/>
      <c r="B12" s="256"/>
      <c r="C12" s="255" t="s">
        <v>65</v>
      </c>
      <c r="D12" s="246">
        <f>+雨汚水!E12</f>
        <v>88849549</v>
      </c>
      <c r="E12" s="245">
        <f>+雨汚水!F12</f>
        <v>0</v>
      </c>
      <c r="F12" s="242">
        <f>+雨汚水!G12</f>
        <v>0</v>
      </c>
      <c r="G12" s="242">
        <f>+雨汚水!H12</f>
        <v>0</v>
      </c>
      <c r="H12" s="241">
        <f t="shared" si="0"/>
        <v>0</v>
      </c>
      <c r="I12" s="243">
        <f>+雨汚水!J12</f>
        <v>44424775</v>
      </c>
      <c r="J12" s="242">
        <f>+雨汚水!K12</f>
        <v>44424774</v>
      </c>
      <c r="K12" s="241">
        <f t="shared" si="1"/>
        <v>88849549</v>
      </c>
      <c r="L12" s="214">
        <f>G12+I12</f>
        <v>44424775</v>
      </c>
      <c r="M12" s="214">
        <f t="shared" si="2"/>
        <v>0</v>
      </c>
    </row>
    <row r="13" spans="1:15" ht="24.95" customHeight="1">
      <c r="A13" s="252"/>
      <c r="B13" s="256"/>
      <c r="C13" s="270" t="s">
        <v>62</v>
      </c>
      <c r="D13" s="246">
        <f>+雨汚水!E13</f>
        <v>10483859</v>
      </c>
      <c r="E13" s="245">
        <f>+雨汚水!F13</f>
        <v>0</v>
      </c>
      <c r="F13" s="242">
        <f>+雨汚水!G13</f>
        <v>0</v>
      </c>
      <c r="G13" s="242">
        <f>+雨汚水!H13</f>
        <v>10483859</v>
      </c>
      <c r="H13" s="241">
        <f t="shared" si="0"/>
        <v>10483859</v>
      </c>
      <c r="I13" s="243">
        <f>+雨汚水!J13</f>
        <v>0</v>
      </c>
      <c r="J13" s="242">
        <f>+雨汚水!K13</f>
        <v>0</v>
      </c>
      <c r="K13" s="241">
        <f t="shared" si="1"/>
        <v>0</v>
      </c>
      <c r="L13" s="214" t="s">
        <v>280</v>
      </c>
      <c r="M13" s="214">
        <f t="shared" si="2"/>
        <v>0</v>
      </c>
    </row>
    <row r="14" spans="1:15" ht="24.95" customHeight="1">
      <c r="A14" s="252"/>
      <c r="B14" s="256"/>
      <c r="C14" s="255" t="s">
        <v>60</v>
      </c>
      <c r="D14" s="246">
        <f>+雨汚水!E14</f>
        <v>1019945143</v>
      </c>
      <c r="E14" s="245">
        <f>+雨汚水!F14</f>
        <v>0</v>
      </c>
      <c r="F14" s="242">
        <f>+雨汚水!G14</f>
        <v>0</v>
      </c>
      <c r="G14" s="242">
        <f>+雨汚水!H14</f>
        <v>0</v>
      </c>
      <c r="H14" s="241">
        <f t="shared" si="0"/>
        <v>0</v>
      </c>
      <c r="I14" s="243">
        <f>+雨汚水!J14</f>
        <v>0</v>
      </c>
      <c r="J14" s="242">
        <f>+雨汚水!K14</f>
        <v>1019945143</v>
      </c>
      <c r="K14" s="241">
        <f t="shared" si="1"/>
        <v>1019945143</v>
      </c>
      <c r="L14" s="214">
        <f>G13+G40</f>
        <v>10483859</v>
      </c>
      <c r="M14" s="214">
        <f t="shared" si="2"/>
        <v>0</v>
      </c>
      <c r="O14" s="272" t="s">
        <v>279</v>
      </c>
    </row>
    <row r="15" spans="1:15" ht="24.95" customHeight="1">
      <c r="A15" s="252"/>
      <c r="B15" s="256"/>
      <c r="C15" s="255" t="s">
        <v>58</v>
      </c>
      <c r="D15" s="246">
        <f>+雨汚水!E15</f>
        <v>483965214</v>
      </c>
      <c r="E15" s="245">
        <f>+雨汚水!F15</f>
        <v>122380384</v>
      </c>
      <c r="F15" s="242">
        <f>+雨汚水!G15</f>
        <v>11686854</v>
      </c>
      <c r="G15" s="242">
        <f>+雨汚水!H15</f>
        <v>0</v>
      </c>
      <c r="H15" s="241">
        <f t="shared" si="0"/>
        <v>134067238</v>
      </c>
      <c r="I15" s="243">
        <f>+雨汚水!J15</f>
        <v>0</v>
      </c>
      <c r="J15" s="242">
        <f>+雨汚水!K15</f>
        <v>349897976</v>
      </c>
      <c r="K15" s="241">
        <f t="shared" si="1"/>
        <v>349897976</v>
      </c>
      <c r="M15" s="214">
        <f t="shared" si="2"/>
        <v>0</v>
      </c>
      <c r="O15" s="271">
        <f>+[1]総係!E37-[1]総係!E36</f>
        <v>482288769</v>
      </c>
    </row>
    <row r="16" spans="1:15" ht="24.95" customHeight="1">
      <c r="A16" s="252"/>
      <c r="B16" s="256"/>
      <c r="C16" s="270" t="s">
        <v>278</v>
      </c>
      <c r="D16" s="246">
        <f>+雨汚水!E16</f>
        <v>106990906</v>
      </c>
      <c r="E16" s="245">
        <f>+雨汚水!F16</f>
        <v>0</v>
      </c>
      <c r="F16" s="242">
        <f>+雨汚水!G16</f>
        <v>0</v>
      </c>
      <c r="G16" s="242">
        <f>+雨汚水!H16</f>
        <v>0</v>
      </c>
      <c r="H16" s="241">
        <f t="shared" si="0"/>
        <v>0</v>
      </c>
      <c r="I16" s="243">
        <f>+雨汚水!J16</f>
        <v>0</v>
      </c>
      <c r="J16" s="242">
        <f>+雨汚水!K16</f>
        <v>106990906</v>
      </c>
      <c r="K16" s="241">
        <f t="shared" si="1"/>
        <v>106990906</v>
      </c>
      <c r="M16" s="214">
        <f t="shared" si="2"/>
        <v>0</v>
      </c>
    </row>
    <row r="17" spans="1:13" ht="24.95" customHeight="1">
      <c r="A17" s="252"/>
      <c r="B17" s="256"/>
      <c r="C17" s="255" t="s">
        <v>277</v>
      </c>
      <c r="D17" s="246">
        <f>+雨汚水!E17</f>
        <v>247654024</v>
      </c>
      <c r="E17" s="245">
        <f>+雨汚水!F17</f>
        <v>0</v>
      </c>
      <c r="F17" s="242">
        <f>+雨汚水!G17</f>
        <v>0</v>
      </c>
      <c r="G17" s="242">
        <f>+雨汚水!H17</f>
        <v>0</v>
      </c>
      <c r="H17" s="241">
        <f t="shared" si="0"/>
        <v>0</v>
      </c>
      <c r="I17" s="243">
        <f>+雨汚水!J17</f>
        <v>0</v>
      </c>
      <c r="J17" s="242">
        <f>+雨汚水!K17</f>
        <v>247654024</v>
      </c>
      <c r="K17" s="241">
        <f t="shared" si="1"/>
        <v>247654024</v>
      </c>
      <c r="M17" s="214">
        <f t="shared" si="2"/>
        <v>0</v>
      </c>
    </row>
    <row r="18" spans="1:13" ht="24.95" customHeight="1">
      <c r="A18" s="252"/>
      <c r="B18" s="256"/>
      <c r="C18" s="255" t="s">
        <v>276</v>
      </c>
      <c r="D18" s="246">
        <f>+雨汚水!E18</f>
        <v>76388330</v>
      </c>
      <c r="E18" s="245">
        <f>+雨汚水!F18</f>
        <v>0</v>
      </c>
      <c r="F18" s="242">
        <f>+雨汚水!G18</f>
        <v>0</v>
      </c>
      <c r="G18" s="242">
        <f>+雨汚水!H18</f>
        <v>0</v>
      </c>
      <c r="H18" s="241">
        <f t="shared" si="0"/>
        <v>0</v>
      </c>
      <c r="I18" s="243">
        <f>+雨汚水!J18</f>
        <v>0</v>
      </c>
      <c r="J18" s="242">
        <f>+雨汚水!K18</f>
        <v>76388330</v>
      </c>
      <c r="K18" s="241">
        <f t="shared" si="1"/>
        <v>76388330</v>
      </c>
      <c r="M18" s="214">
        <f t="shared" si="2"/>
        <v>0</v>
      </c>
    </row>
    <row r="19" spans="1:13" ht="24.95" customHeight="1">
      <c r="A19" s="252"/>
      <c r="B19" s="256"/>
      <c r="C19" s="255" t="s">
        <v>275</v>
      </c>
      <c r="D19" s="246">
        <f>+雨汚水!E19</f>
        <v>0</v>
      </c>
      <c r="E19" s="245">
        <f>+雨汚水!F19</f>
        <v>0</v>
      </c>
      <c r="F19" s="242">
        <f>+雨汚水!G19</f>
        <v>0</v>
      </c>
      <c r="G19" s="242">
        <f>+雨汚水!H19</f>
        <v>0</v>
      </c>
      <c r="H19" s="241">
        <f t="shared" si="0"/>
        <v>0</v>
      </c>
      <c r="I19" s="243">
        <f>+雨汚水!J19</f>
        <v>0</v>
      </c>
      <c r="J19" s="242">
        <f>+雨汚水!K19</f>
        <v>0</v>
      </c>
      <c r="K19" s="241">
        <f t="shared" si="1"/>
        <v>0</v>
      </c>
      <c r="M19" s="214">
        <f t="shared" si="2"/>
        <v>0</v>
      </c>
    </row>
    <row r="20" spans="1:13" ht="24.95" customHeight="1">
      <c r="A20" s="252"/>
      <c r="B20" s="256"/>
      <c r="C20" s="255" t="s">
        <v>274</v>
      </c>
      <c r="D20" s="246">
        <f>+雨汚水!E20</f>
        <v>0</v>
      </c>
      <c r="E20" s="245">
        <f>+雨汚水!F20</f>
        <v>0</v>
      </c>
      <c r="F20" s="242">
        <f>+雨汚水!G20</f>
        <v>0</v>
      </c>
      <c r="G20" s="242">
        <f>+雨汚水!H20</f>
        <v>0</v>
      </c>
      <c r="H20" s="241">
        <f t="shared" si="0"/>
        <v>0</v>
      </c>
      <c r="I20" s="243">
        <f>+雨汚水!J20</f>
        <v>0</v>
      </c>
      <c r="J20" s="242">
        <f>+雨汚水!K20</f>
        <v>0</v>
      </c>
      <c r="K20" s="241">
        <f t="shared" si="1"/>
        <v>0</v>
      </c>
      <c r="M20" s="214">
        <f t="shared" si="2"/>
        <v>0</v>
      </c>
    </row>
    <row r="21" spans="1:13" ht="24.95" customHeight="1">
      <c r="A21" s="252"/>
      <c r="B21" s="255" t="s">
        <v>232</v>
      </c>
      <c r="C21" s="255"/>
      <c r="D21" s="246">
        <f>SUM(D22:D25)</f>
        <v>9226652</v>
      </c>
      <c r="E21" s="245">
        <f>SUM(E22:E25)</f>
        <v>0</v>
      </c>
      <c r="F21" s="242">
        <f>SUM(F22:F25)</f>
        <v>0</v>
      </c>
      <c r="G21" s="242">
        <f>SUM(G22:G25)</f>
        <v>0</v>
      </c>
      <c r="H21" s="241">
        <f t="shared" si="0"/>
        <v>0</v>
      </c>
      <c r="I21" s="243">
        <f>SUM(I22:I25)</f>
        <v>0</v>
      </c>
      <c r="J21" s="242">
        <f>SUM(J22:J25)</f>
        <v>9226652</v>
      </c>
      <c r="K21" s="241">
        <f t="shared" si="1"/>
        <v>9226652</v>
      </c>
      <c r="M21" s="214">
        <f t="shared" si="2"/>
        <v>0</v>
      </c>
    </row>
    <row r="22" spans="1:13" ht="24.95" customHeight="1">
      <c r="A22" s="252"/>
      <c r="B22" s="255"/>
      <c r="C22" s="255" t="s">
        <v>273</v>
      </c>
      <c r="D22" s="246">
        <f>+雨汚水!E22</f>
        <v>2483</v>
      </c>
      <c r="E22" s="245">
        <f>+雨汚水!F22</f>
        <v>0</v>
      </c>
      <c r="F22" s="242">
        <f>+雨汚水!G22</f>
        <v>0</v>
      </c>
      <c r="G22" s="242">
        <f>+雨汚水!H22</f>
        <v>0</v>
      </c>
      <c r="H22" s="241">
        <f t="shared" si="0"/>
        <v>0</v>
      </c>
      <c r="I22" s="243">
        <f>+雨汚水!J22</f>
        <v>0</v>
      </c>
      <c r="J22" s="242">
        <f>+雨汚水!K22</f>
        <v>2483</v>
      </c>
      <c r="K22" s="241">
        <f t="shared" si="1"/>
        <v>2483</v>
      </c>
      <c r="M22" s="214">
        <f t="shared" si="2"/>
        <v>0</v>
      </c>
    </row>
    <row r="23" spans="1:13" ht="24.95" customHeight="1">
      <c r="A23" s="252"/>
      <c r="B23" s="256"/>
      <c r="C23" s="255" t="s">
        <v>231</v>
      </c>
      <c r="D23" s="246">
        <f>雨汚水!E23</f>
        <v>25896</v>
      </c>
      <c r="E23" s="245">
        <f>雨汚水!F23</f>
        <v>0</v>
      </c>
      <c r="F23" s="242">
        <f>雨汚水!G23</f>
        <v>0</v>
      </c>
      <c r="G23" s="242">
        <f>+雨汚水!H23</f>
        <v>0</v>
      </c>
      <c r="H23" s="241">
        <f t="shared" si="0"/>
        <v>0</v>
      </c>
      <c r="I23" s="243">
        <f>+雨汚水!J23</f>
        <v>0</v>
      </c>
      <c r="J23" s="242">
        <f>+雨汚水!K23</f>
        <v>25896</v>
      </c>
      <c r="K23" s="241">
        <f t="shared" si="1"/>
        <v>25896</v>
      </c>
      <c r="M23" s="214">
        <f t="shared" si="2"/>
        <v>0</v>
      </c>
    </row>
    <row r="24" spans="1:13" ht="24.95" customHeight="1">
      <c r="A24" s="252"/>
      <c r="B24" s="256"/>
      <c r="C24" s="270" t="s">
        <v>272</v>
      </c>
      <c r="D24" s="246">
        <f>雨汚水!E24</f>
        <v>9198273</v>
      </c>
      <c r="E24" s="245">
        <f>雨汚水!F24</f>
        <v>0</v>
      </c>
      <c r="F24" s="242">
        <f>雨汚水!G24</f>
        <v>0</v>
      </c>
      <c r="G24" s="242">
        <f>+雨汚水!H24</f>
        <v>0</v>
      </c>
      <c r="H24" s="241">
        <f t="shared" si="0"/>
        <v>0</v>
      </c>
      <c r="I24" s="243">
        <f>+雨汚水!J24</f>
        <v>0</v>
      </c>
      <c r="J24" s="242">
        <f>+雨汚水!K24</f>
        <v>9198273</v>
      </c>
      <c r="K24" s="241">
        <f t="shared" si="1"/>
        <v>9198273</v>
      </c>
      <c r="M24" s="214">
        <f t="shared" si="2"/>
        <v>0</v>
      </c>
    </row>
    <row r="25" spans="1:13" ht="24.95" customHeight="1">
      <c r="A25" s="252"/>
      <c r="B25" s="256"/>
      <c r="C25" s="270" t="s">
        <v>264</v>
      </c>
      <c r="D25" s="246"/>
      <c r="E25" s="245"/>
      <c r="F25" s="242"/>
      <c r="G25" s="242"/>
      <c r="H25" s="241"/>
      <c r="I25" s="269"/>
      <c r="J25" s="242"/>
      <c r="K25" s="241"/>
    </row>
    <row r="26" spans="1:13" ht="24.95" customHeight="1">
      <c r="A26" s="252"/>
      <c r="B26" s="255" t="s">
        <v>228</v>
      </c>
      <c r="C26" s="255"/>
      <c r="D26" s="246">
        <f>SUM(D27:D28)</f>
        <v>20995298</v>
      </c>
      <c r="E26" s="245">
        <f>SUM(E27:E28)</f>
        <v>6760</v>
      </c>
      <c r="F26" s="242">
        <f>SUM(F27:F28)</f>
        <v>0</v>
      </c>
      <c r="G26" s="242">
        <f>SUM(G27:G28)</f>
        <v>0</v>
      </c>
      <c r="H26" s="241">
        <f>SUM(E26:G26)</f>
        <v>6760</v>
      </c>
      <c r="I26" s="242">
        <f>SUM(I27:I28)</f>
        <v>0</v>
      </c>
      <c r="J26" s="242">
        <f>SUM(J27:J28)</f>
        <v>20988538</v>
      </c>
      <c r="K26" s="241">
        <f>SUM(I26:J26)</f>
        <v>20988538</v>
      </c>
      <c r="M26" s="214">
        <f t="shared" ref="M26:M37" si="3">D26-H26-K26</f>
        <v>0</v>
      </c>
    </row>
    <row r="27" spans="1:13" ht="24.95" customHeight="1">
      <c r="A27" s="252"/>
      <c r="B27" s="255"/>
      <c r="C27" s="268" t="s">
        <v>271</v>
      </c>
      <c r="D27" s="246">
        <f>+SUM(雨汚水!E28:E29)</f>
        <v>20995298</v>
      </c>
      <c r="E27" s="245">
        <f>+SUM(雨汚水!F28:F29)</f>
        <v>6760</v>
      </c>
      <c r="F27" s="242">
        <f>+SUM(雨汚水!G28:G29)</f>
        <v>0</v>
      </c>
      <c r="G27" s="242">
        <f>+SUM(雨汚水!H28:H29)</f>
        <v>0</v>
      </c>
      <c r="H27" s="241">
        <f>SUM(E27:G27)</f>
        <v>6760</v>
      </c>
      <c r="I27" s="243">
        <f>+SUM(雨汚水!J28:J29)</f>
        <v>0</v>
      </c>
      <c r="J27" s="242">
        <f>+SUM(雨汚水!K28:K29)</f>
        <v>20988538</v>
      </c>
      <c r="K27" s="241">
        <f>SUM(I27:J27)</f>
        <v>20988538</v>
      </c>
      <c r="M27" s="214">
        <f t="shared" si="3"/>
        <v>0</v>
      </c>
    </row>
    <row r="28" spans="1:13" ht="24.95" customHeight="1">
      <c r="A28" s="252"/>
      <c r="B28" s="256"/>
      <c r="C28" s="255" t="s">
        <v>10</v>
      </c>
      <c r="D28" s="246">
        <f>+雨汚水!E30</f>
        <v>0</v>
      </c>
      <c r="E28" s="245">
        <f>+雨汚水!F30</f>
        <v>0</v>
      </c>
      <c r="F28" s="242">
        <f>+雨汚水!G30</f>
        <v>0</v>
      </c>
      <c r="G28" s="242">
        <f>+雨汚水!H30</f>
        <v>0</v>
      </c>
      <c r="H28" s="241">
        <f>SUM(E28:G28)</f>
        <v>0</v>
      </c>
      <c r="I28" s="242">
        <f>+雨汚水!J30</f>
        <v>0</v>
      </c>
      <c r="J28" s="242">
        <f>+雨汚水!K30</f>
        <v>0</v>
      </c>
      <c r="K28" s="241">
        <f>SUM(I28:J28)</f>
        <v>0</v>
      </c>
      <c r="M28" s="214">
        <f t="shared" si="3"/>
        <v>0</v>
      </c>
    </row>
    <row r="29" spans="1:13" ht="24.95" customHeight="1">
      <c r="A29" s="252"/>
      <c r="B29" s="253" t="s">
        <v>270</v>
      </c>
      <c r="C29" s="242"/>
      <c r="D29" s="246">
        <v>0</v>
      </c>
      <c r="E29" s="245"/>
      <c r="F29" s="242"/>
      <c r="G29" s="242">
        <f>D29</f>
        <v>0</v>
      </c>
      <c r="H29" s="241">
        <f>SUM(E29:G29)</f>
        <v>0</v>
      </c>
      <c r="I29" s="243"/>
      <c r="J29" s="242"/>
      <c r="K29" s="241">
        <f>SUM(I29:J29)</f>
        <v>0</v>
      </c>
      <c r="M29" s="214">
        <f t="shared" si="3"/>
        <v>0</v>
      </c>
    </row>
    <row r="30" spans="1:13" ht="24.95" customHeight="1">
      <c r="A30" s="239"/>
      <c r="B30" s="216"/>
      <c r="C30" s="216"/>
      <c r="D30" s="246"/>
      <c r="E30" s="245"/>
      <c r="F30" s="242"/>
      <c r="G30" s="242"/>
      <c r="H30" s="241"/>
      <c r="I30" s="243"/>
      <c r="J30" s="242"/>
      <c r="K30" s="241"/>
      <c r="L30" s="259" t="s">
        <v>269</v>
      </c>
      <c r="M30" s="214">
        <f t="shared" si="3"/>
        <v>0</v>
      </c>
    </row>
    <row r="31" spans="1:13" ht="24.95" customHeight="1">
      <c r="A31" s="267"/>
      <c r="B31" s="224" t="s">
        <v>251</v>
      </c>
      <c r="C31" s="266"/>
      <c r="D31" s="238">
        <f t="shared" ref="D31:K31" si="4">D6+D21+D26+D29</f>
        <v>11642506890</v>
      </c>
      <c r="E31" s="237">
        <f t="shared" si="4"/>
        <v>2836814906</v>
      </c>
      <c r="F31" s="235">
        <f t="shared" si="4"/>
        <v>270904224</v>
      </c>
      <c r="G31" s="235">
        <f t="shared" si="4"/>
        <v>456300637</v>
      </c>
      <c r="H31" s="234">
        <f t="shared" si="4"/>
        <v>3564019767</v>
      </c>
      <c r="I31" s="236">
        <f t="shared" si="4"/>
        <v>231363468</v>
      </c>
      <c r="J31" s="235">
        <f t="shared" si="4"/>
        <v>7847123655</v>
      </c>
      <c r="K31" s="234">
        <f t="shared" si="4"/>
        <v>8078487123</v>
      </c>
      <c r="L31" s="214">
        <f>H31+I31-I8-L12-G13</f>
        <v>3688030732</v>
      </c>
      <c r="M31" s="214">
        <f t="shared" si="3"/>
        <v>0</v>
      </c>
    </row>
    <row r="32" spans="1:13" ht="24.95" customHeight="1">
      <c r="A32" s="265"/>
      <c r="B32" s="255" t="s">
        <v>244</v>
      </c>
      <c r="C32" s="264"/>
      <c r="D32" s="263">
        <f>SUM(D33:D34)</f>
        <v>27055204101</v>
      </c>
      <c r="E32" s="262">
        <f>SUM(E33:E34)</f>
        <v>12875255326</v>
      </c>
      <c r="F32" s="248">
        <f>SUM(F33:F34)</f>
        <v>125365824</v>
      </c>
      <c r="G32" s="248">
        <f>SUM(G33:G34)</f>
        <v>0</v>
      </c>
      <c r="H32" s="260">
        <f t="shared" ref="H32:H37" si="5">SUM(E32:G32)</f>
        <v>13000621150</v>
      </c>
      <c r="I32" s="261">
        <f>SUM(I33:I34)</f>
        <v>17206476</v>
      </c>
      <c r="J32" s="248">
        <f>SUM(J33:J34)</f>
        <v>14037376475</v>
      </c>
      <c r="K32" s="260">
        <f t="shared" ref="K32:K37" si="6">SUM(I32:J32)</f>
        <v>14054582951</v>
      </c>
      <c r="L32" s="259" t="s">
        <v>268</v>
      </c>
      <c r="M32" s="214">
        <f t="shared" si="3"/>
        <v>0</v>
      </c>
    </row>
    <row r="33" spans="1:20" ht="24.95" customHeight="1">
      <c r="A33" s="252"/>
      <c r="B33" s="255"/>
      <c r="C33" s="255" t="s">
        <v>23</v>
      </c>
      <c r="D33" s="246">
        <f>+雨汚水!E34</f>
        <v>26551442230</v>
      </c>
      <c r="E33" s="245">
        <f>+雨汚水!F34</f>
        <v>12571100990</v>
      </c>
      <c r="F33" s="242">
        <f>+雨汚水!G34</f>
        <v>122404286</v>
      </c>
      <c r="G33" s="242">
        <f>+雨汚水!H34</f>
        <v>0</v>
      </c>
      <c r="H33" s="241">
        <f t="shared" si="5"/>
        <v>12693505276</v>
      </c>
      <c r="I33" s="243">
        <f>+雨汚水!J34</f>
        <v>17206476</v>
      </c>
      <c r="J33" s="242">
        <f>+雨汚水!K34</f>
        <v>13840730478</v>
      </c>
      <c r="K33" s="241">
        <f t="shared" si="6"/>
        <v>13857936954</v>
      </c>
      <c r="L33" s="214">
        <f>E32+F32</f>
        <v>13000621150</v>
      </c>
      <c r="M33" s="214">
        <f t="shared" si="3"/>
        <v>0</v>
      </c>
    </row>
    <row r="34" spans="1:20" ht="24.95" customHeight="1">
      <c r="A34" s="252"/>
      <c r="B34" s="256"/>
      <c r="C34" s="255" t="s">
        <v>267</v>
      </c>
      <c r="D34" s="246">
        <f>+雨汚水!E35</f>
        <v>503761871</v>
      </c>
      <c r="E34" s="245">
        <f>+雨汚水!F35</f>
        <v>304154336</v>
      </c>
      <c r="F34" s="242">
        <f>+雨汚水!G35</f>
        <v>2961538</v>
      </c>
      <c r="G34" s="242">
        <f>+雨汚水!H35</f>
        <v>0</v>
      </c>
      <c r="H34" s="241">
        <f t="shared" si="5"/>
        <v>307115874</v>
      </c>
      <c r="I34" s="243">
        <f>+雨汚水!J35</f>
        <v>0</v>
      </c>
      <c r="J34" s="242">
        <f>+雨汚水!K35</f>
        <v>196645997</v>
      </c>
      <c r="K34" s="241">
        <f t="shared" si="6"/>
        <v>196645997</v>
      </c>
      <c r="M34" s="214">
        <f t="shared" si="3"/>
        <v>0</v>
      </c>
    </row>
    <row r="35" spans="1:20" ht="24.95" customHeight="1">
      <c r="A35" s="252"/>
      <c r="B35" s="258" t="s">
        <v>232</v>
      </c>
      <c r="C35" s="257"/>
      <c r="D35" s="246">
        <f>SUM(D36:D37)</f>
        <v>3945958666</v>
      </c>
      <c r="E35" s="245">
        <f>SUM(E36:E37)</f>
        <v>1668646349</v>
      </c>
      <c r="F35" s="242">
        <f>SUM(F36:F37)</f>
        <v>0</v>
      </c>
      <c r="G35" s="242">
        <f>SUM(G36:G37)</f>
        <v>36375158</v>
      </c>
      <c r="H35" s="241">
        <f t="shared" si="5"/>
        <v>1705021507</v>
      </c>
      <c r="I35" s="243">
        <f>SUM(I36:I37)</f>
        <v>315322238</v>
      </c>
      <c r="J35" s="242">
        <f>SUM(J36:J37)</f>
        <v>1925614921</v>
      </c>
      <c r="K35" s="241">
        <f t="shared" si="6"/>
        <v>2240937159</v>
      </c>
      <c r="M35" s="214">
        <f t="shared" si="3"/>
        <v>0</v>
      </c>
    </row>
    <row r="36" spans="1:20" ht="24.95" customHeight="1">
      <c r="A36" s="252"/>
      <c r="B36" s="255"/>
      <c r="C36" s="255" t="s">
        <v>266</v>
      </c>
      <c r="D36" s="246">
        <f>+SUM(雨汚水!E37:E38)</f>
        <v>3945958666</v>
      </c>
      <c r="E36" s="245">
        <f>+SUM(雨汚水!F37:F38)</f>
        <v>1668646349</v>
      </c>
      <c r="F36" s="242">
        <f>+SUM(雨汚水!G37:G38)</f>
        <v>0</v>
      </c>
      <c r="G36" s="242">
        <f>+SUM(雨汚水!H37:H38)</f>
        <v>36375158</v>
      </c>
      <c r="H36" s="241">
        <f t="shared" si="5"/>
        <v>1705021507</v>
      </c>
      <c r="I36" s="243">
        <f>+SUM(雨汚水!J37:J38)</f>
        <v>315322238</v>
      </c>
      <c r="J36" s="242">
        <f>+SUM(雨汚水!K37:K38)</f>
        <v>1925614921</v>
      </c>
      <c r="K36" s="241">
        <f t="shared" si="6"/>
        <v>2240937159</v>
      </c>
      <c r="M36" s="214">
        <f t="shared" si="3"/>
        <v>0</v>
      </c>
      <c r="Q36" s="610" t="s">
        <v>265</v>
      </c>
      <c r="R36" s="610"/>
      <c r="S36" s="610"/>
      <c r="T36" s="610"/>
    </row>
    <row r="37" spans="1:20" ht="24.95" customHeight="1">
      <c r="A37" s="252"/>
      <c r="B37" s="256"/>
      <c r="C37" s="255" t="s">
        <v>264</v>
      </c>
      <c r="D37" s="246"/>
      <c r="E37" s="245"/>
      <c r="F37" s="242"/>
      <c r="G37" s="242"/>
      <c r="H37" s="241">
        <f t="shared" si="5"/>
        <v>0</v>
      </c>
      <c r="I37" s="243"/>
      <c r="J37" s="242"/>
      <c r="K37" s="241">
        <f t="shared" si="6"/>
        <v>0</v>
      </c>
      <c r="M37" s="214">
        <f t="shared" si="3"/>
        <v>0</v>
      </c>
      <c r="N37" s="611" t="s">
        <v>263</v>
      </c>
      <c r="O37" s="611"/>
      <c r="Q37" s="610"/>
      <c r="R37" s="610"/>
      <c r="S37" s="610"/>
      <c r="T37" s="610"/>
    </row>
    <row r="38" spans="1:20" ht="24.95" customHeight="1">
      <c r="A38" s="252"/>
      <c r="B38" s="255" t="s">
        <v>228</v>
      </c>
      <c r="C38" s="255"/>
      <c r="D38" s="246">
        <f t="shared" ref="D38:K38" si="7">D39</f>
        <v>0</v>
      </c>
      <c r="E38" s="245">
        <f t="shared" si="7"/>
        <v>0</v>
      </c>
      <c r="F38" s="242">
        <f t="shared" si="7"/>
        <v>0</v>
      </c>
      <c r="G38" s="242">
        <f t="shared" si="7"/>
        <v>0</v>
      </c>
      <c r="H38" s="241">
        <f t="shared" si="7"/>
        <v>0</v>
      </c>
      <c r="I38" s="243">
        <f t="shared" si="7"/>
        <v>0</v>
      </c>
      <c r="J38" s="242">
        <f t="shared" si="7"/>
        <v>0</v>
      </c>
      <c r="K38" s="241">
        <f t="shared" si="7"/>
        <v>0</v>
      </c>
      <c r="N38" s="240" t="s">
        <v>253</v>
      </c>
      <c r="O38" s="240" t="s">
        <v>252</v>
      </c>
      <c r="Q38" s="612" t="s">
        <v>253</v>
      </c>
      <c r="R38" s="612"/>
      <c r="S38" s="612" t="s">
        <v>252</v>
      </c>
      <c r="T38" s="612"/>
    </row>
    <row r="39" spans="1:20" ht="24.95" customHeight="1">
      <c r="A39" s="252"/>
      <c r="B39" s="255"/>
      <c r="C39" s="254" t="s">
        <v>262</v>
      </c>
      <c r="D39" s="246">
        <f>+SUM(雨汚水!E42:E44)</f>
        <v>0</v>
      </c>
      <c r="E39" s="245">
        <f>+SUM(雨汚水!F42:F44)</f>
        <v>0</v>
      </c>
      <c r="F39" s="242">
        <f>+SUM(雨汚水!G42:G44)</f>
        <v>0</v>
      </c>
      <c r="G39" s="242">
        <f>+SUM(雨汚水!H42:H44)</f>
        <v>0</v>
      </c>
      <c r="H39" s="253">
        <f>SUM(E39:G39)</f>
        <v>0</v>
      </c>
      <c r="I39" s="243">
        <f>+SUM(雨汚水!J42:J44)</f>
        <v>0</v>
      </c>
      <c r="J39" s="242">
        <f>+SUM(雨汚水!K42:K44)</f>
        <v>0</v>
      </c>
      <c r="K39" s="241">
        <f>SUM(I39:J39)</f>
        <v>0</v>
      </c>
      <c r="M39" s="214">
        <f>D39-H39-K39</f>
        <v>0</v>
      </c>
      <c r="N39" s="217"/>
      <c r="O39" s="217"/>
      <c r="Q39" s="240" t="s">
        <v>261</v>
      </c>
      <c r="R39" s="240" t="s">
        <v>260</v>
      </c>
      <c r="S39" s="240" t="s">
        <v>259</v>
      </c>
      <c r="T39" s="240" t="s">
        <v>258</v>
      </c>
    </row>
    <row r="40" spans="1:20" ht="24.95" customHeight="1">
      <c r="A40" s="252"/>
      <c r="B40" s="251"/>
      <c r="C40" s="250"/>
      <c r="D40" s="246"/>
      <c r="E40" s="245"/>
      <c r="F40" s="244" t="s">
        <v>257</v>
      </c>
      <c r="G40" s="242">
        <v>0</v>
      </c>
      <c r="H40" s="241">
        <f>SUM(E40:G40)</f>
        <v>0</v>
      </c>
      <c r="I40" s="243"/>
      <c r="J40" s="242"/>
      <c r="K40" s="241">
        <f>SUM(I40:J40)</f>
        <v>0</v>
      </c>
      <c r="L40" s="214" t="s">
        <v>256</v>
      </c>
      <c r="N40" s="611" t="s">
        <v>255</v>
      </c>
      <c r="O40" s="611"/>
      <c r="Q40" s="249">
        <f>1-R40</f>
        <v>1</v>
      </c>
      <c r="R40" s="249"/>
      <c r="S40" s="249"/>
      <c r="T40" s="249"/>
    </row>
    <row r="41" spans="1:20" ht="24.95" customHeight="1">
      <c r="A41" s="239"/>
      <c r="B41" s="248"/>
      <c r="C41" s="247"/>
      <c r="D41" s="246"/>
      <c r="E41" s="245"/>
      <c r="F41" s="244" t="s">
        <v>254</v>
      </c>
      <c r="G41" s="242">
        <f>G35-G40</f>
        <v>36375158</v>
      </c>
      <c r="H41" s="241"/>
      <c r="I41" s="243"/>
      <c r="J41" s="242"/>
      <c r="K41" s="241"/>
      <c r="L41" s="214">
        <f>E36+F36+G41+I36</f>
        <v>2020343745</v>
      </c>
      <c r="M41" s="214">
        <f>D41-H41-K41</f>
        <v>0</v>
      </c>
      <c r="N41" s="240" t="s">
        <v>253</v>
      </c>
      <c r="O41" s="240" t="s">
        <v>252</v>
      </c>
    </row>
    <row r="42" spans="1:20" ht="24.95" customHeight="1">
      <c r="A42" s="239"/>
      <c r="B42" s="216" t="s">
        <v>251</v>
      </c>
      <c r="C42" s="216"/>
      <c r="D42" s="238">
        <f t="shared" ref="D42:K42" si="8">D32+D35+D38</f>
        <v>31001162767</v>
      </c>
      <c r="E42" s="237">
        <f t="shared" si="8"/>
        <v>14543901675</v>
      </c>
      <c r="F42" s="235">
        <f t="shared" si="8"/>
        <v>125365824</v>
      </c>
      <c r="G42" s="235">
        <f t="shared" si="8"/>
        <v>36375158</v>
      </c>
      <c r="H42" s="234">
        <f t="shared" si="8"/>
        <v>14705642657</v>
      </c>
      <c r="I42" s="236">
        <f t="shared" si="8"/>
        <v>332528714</v>
      </c>
      <c r="J42" s="235">
        <f t="shared" si="8"/>
        <v>15962991396</v>
      </c>
      <c r="K42" s="234">
        <f t="shared" si="8"/>
        <v>16295520110</v>
      </c>
      <c r="M42" s="214">
        <f>D42-H42-K42</f>
        <v>0</v>
      </c>
      <c r="N42" s="217"/>
      <c r="O42" s="217"/>
      <c r="Q42" s="610" t="s">
        <v>250</v>
      </c>
      <c r="R42" s="610"/>
      <c r="S42" s="610"/>
      <c r="T42" s="610"/>
    </row>
    <row r="43" spans="1:20" ht="24.95" customHeight="1">
      <c r="A43" s="233"/>
      <c r="B43" s="232"/>
      <c r="C43" s="232"/>
      <c r="D43" s="231"/>
      <c r="E43" s="230"/>
      <c r="F43" s="228"/>
      <c r="G43" s="228"/>
      <c r="H43" s="227"/>
      <c r="I43" s="229"/>
      <c r="J43" s="228"/>
      <c r="K43" s="227"/>
      <c r="M43" s="214">
        <f>D43-H43-K43</f>
        <v>0</v>
      </c>
      <c r="Q43" s="610"/>
      <c r="R43" s="610"/>
      <c r="S43" s="610"/>
      <c r="T43" s="610"/>
    </row>
    <row r="44" spans="1:20" ht="24.95" customHeight="1" thickBot="1">
      <c r="A44" s="226" t="s">
        <v>249</v>
      </c>
      <c r="B44" s="225"/>
      <c r="C44" s="224"/>
      <c r="D44" s="223">
        <f t="shared" ref="D44:K44" si="9">D31+D42</f>
        <v>42643669657</v>
      </c>
      <c r="E44" s="222">
        <f t="shared" si="9"/>
        <v>17380716581</v>
      </c>
      <c r="F44" s="219">
        <f t="shared" si="9"/>
        <v>396270048</v>
      </c>
      <c r="G44" s="222">
        <f t="shared" si="9"/>
        <v>492675795</v>
      </c>
      <c r="H44" s="221">
        <f t="shared" si="9"/>
        <v>18269662424</v>
      </c>
      <c r="I44" s="220">
        <f t="shared" si="9"/>
        <v>563892182</v>
      </c>
      <c r="J44" s="219">
        <f t="shared" si="9"/>
        <v>23810115051</v>
      </c>
      <c r="K44" s="218">
        <f t="shared" si="9"/>
        <v>24374007233</v>
      </c>
      <c r="M44" s="214">
        <f>D44-H44-K44</f>
        <v>0</v>
      </c>
      <c r="Q44" s="217">
        <v>0</v>
      </c>
    </row>
    <row r="45" spans="1:20" ht="21" customHeight="1">
      <c r="A45" s="216"/>
      <c r="B45" s="216"/>
      <c r="C45" s="216"/>
      <c r="D45" s="215"/>
      <c r="E45" s="215"/>
      <c r="F45" s="215"/>
      <c r="G45" s="215"/>
      <c r="H45" s="215"/>
      <c r="I45" s="215"/>
      <c r="J45" s="215"/>
      <c r="K45" s="215"/>
    </row>
  </sheetData>
  <mergeCells count="6">
    <mergeCell ref="Q42:T43"/>
    <mergeCell ref="Q36:T37"/>
    <mergeCell ref="N37:O37"/>
    <mergeCell ref="Q38:R38"/>
    <mergeCell ref="S38:T38"/>
    <mergeCell ref="N40:O40"/>
  </mergeCells>
  <phoneticPr fontId="2"/>
  <pageMargins left="0.94488188976377963" right="0.19685039370078741" top="0.59055118110236227" bottom="0.39370078740157483" header="0.19685039370078741" footer="0.19685039370078741"/>
  <pageSetup paperSize="9" scale="75" orientation="portrait" blackAndWhite="1" r:id="rId1"/>
  <headerFooter alignWithMargins="0">
    <oddHeader>&amp;L&amp;F &amp;A&amp;R&amp;8 &amp;D &amp;T</oddHeader>
    <oddFooter>&amp;L&amp;8&amp;F　&amp;A</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O45"/>
  <sheetViews>
    <sheetView zoomScale="85" zoomScaleNormal="85" zoomScaleSheetLayoutView="100" workbookViewId="0">
      <pane xSplit="3" ySplit="5" topLeftCell="D6" activePane="bottomRight" state="frozen"/>
      <selection activeCell="AD147" sqref="AD147"/>
      <selection pane="topRight" activeCell="AD147" sqref="AD147"/>
      <selection pane="bottomLeft" activeCell="AD147" sqref="AD147"/>
      <selection pane="bottomRight" activeCell="D6" sqref="D6"/>
    </sheetView>
  </sheetViews>
  <sheetFormatPr defaultRowHeight="11.25"/>
  <cols>
    <col min="1" max="1" width="2.625" style="214" customWidth="1"/>
    <col min="2" max="2" width="1.25" style="214" customWidth="1"/>
    <col min="3" max="3" width="14.125" style="214" customWidth="1"/>
    <col min="4" max="5" width="13" style="214" customWidth="1"/>
    <col min="6" max="6" width="10.25" style="214" customWidth="1"/>
    <col min="7" max="7" width="11.375" style="214" customWidth="1"/>
    <col min="8" max="8" width="13" style="214" customWidth="1"/>
    <col min="9" max="9" width="12" style="214" customWidth="1"/>
    <col min="10" max="10" width="12.75" style="214" customWidth="1"/>
    <col min="11" max="11" width="13" style="214" customWidth="1"/>
    <col min="12" max="15" width="12.75" style="214" customWidth="1"/>
    <col min="16" max="16" width="9" style="214" bestFit="1" customWidth="1"/>
    <col min="17" max="256" width="9" style="214"/>
    <col min="257" max="257" width="2.625" style="214" customWidth="1"/>
    <col min="258" max="258" width="1.25" style="214" customWidth="1"/>
    <col min="259" max="259" width="14.125" style="214" customWidth="1"/>
    <col min="260" max="261" width="13" style="214" customWidth="1"/>
    <col min="262" max="262" width="10.25" style="214" customWidth="1"/>
    <col min="263" max="263" width="11.375" style="214" customWidth="1"/>
    <col min="264" max="264" width="13" style="214" customWidth="1"/>
    <col min="265" max="265" width="12" style="214" customWidth="1"/>
    <col min="266" max="266" width="12.75" style="214" customWidth="1"/>
    <col min="267" max="267" width="13" style="214" customWidth="1"/>
    <col min="268" max="268" width="13" style="214" bestFit="1" customWidth="1"/>
    <col min="269" max="269" width="11.125" style="214" bestFit="1" customWidth="1"/>
    <col min="270" max="270" width="9.375" style="214" customWidth="1"/>
    <col min="271" max="271" width="14.125" style="214" bestFit="1" customWidth="1"/>
    <col min="272" max="272" width="9" style="214" bestFit="1" customWidth="1"/>
    <col min="273" max="512" width="9" style="214"/>
    <col min="513" max="513" width="2.625" style="214" customWidth="1"/>
    <col min="514" max="514" width="1.25" style="214" customWidth="1"/>
    <col min="515" max="515" width="14.125" style="214" customWidth="1"/>
    <col min="516" max="517" width="13" style="214" customWidth="1"/>
    <col min="518" max="518" width="10.25" style="214" customWidth="1"/>
    <col min="519" max="519" width="11.375" style="214" customWidth="1"/>
    <col min="520" max="520" width="13" style="214" customWidth="1"/>
    <col min="521" max="521" width="12" style="214" customWidth="1"/>
    <col min="522" max="522" width="12.75" style="214" customWidth="1"/>
    <col min="523" max="523" width="13" style="214" customWidth="1"/>
    <col min="524" max="524" width="13" style="214" bestFit="1" customWidth="1"/>
    <col min="525" max="525" width="11.125" style="214" bestFit="1" customWidth="1"/>
    <col min="526" max="526" width="9.375" style="214" customWidth="1"/>
    <col min="527" max="527" width="14.125" style="214" bestFit="1" customWidth="1"/>
    <col min="528" max="528" width="9" style="214" bestFit="1" customWidth="1"/>
    <col min="529" max="768" width="9" style="214"/>
    <col min="769" max="769" width="2.625" style="214" customWidth="1"/>
    <col min="770" max="770" width="1.25" style="214" customWidth="1"/>
    <col min="771" max="771" width="14.125" style="214" customWidth="1"/>
    <col min="772" max="773" width="13" style="214" customWidth="1"/>
    <col min="774" max="774" width="10.25" style="214" customWidth="1"/>
    <col min="775" max="775" width="11.375" style="214" customWidth="1"/>
    <col min="776" max="776" width="13" style="214" customWidth="1"/>
    <col min="777" max="777" width="12" style="214" customWidth="1"/>
    <col min="778" max="778" width="12.75" style="214" customWidth="1"/>
    <col min="779" max="779" width="13" style="214" customWidth="1"/>
    <col min="780" max="780" width="13" style="214" bestFit="1" customWidth="1"/>
    <col min="781" max="781" width="11.125" style="214" bestFit="1" customWidth="1"/>
    <col min="782" max="782" width="9.375" style="214" customWidth="1"/>
    <col min="783" max="783" width="14.125" style="214" bestFit="1" customWidth="1"/>
    <col min="784" max="784" width="9" style="214" bestFit="1" customWidth="1"/>
    <col min="785" max="1024" width="9" style="214"/>
    <col min="1025" max="1025" width="2.625" style="214" customWidth="1"/>
    <col min="1026" max="1026" width="1.25" style="214" customWidth="1"/>
    <col min="1027" max="1027" width="14.125" style="214" customWidth="1"/>
    <col min="1028" max="1029" width="13" style="214" customWidth="1"/>
    <col min="1030" max="1030" width="10.25" style="214" customWidth="1"/>
    <col min="1031" max="1031" width="11.375" style="214" customWidth="1"/>
    <col min="1032" max="1032" width="13" style="214" customWidth="1"/>
    <col min="1033" max="1033" width="12" style="214" customWidth="1"/>
    <col min="1034" max="1034" width="12.75" style="214" customWidth="1"/>
    <col min="1035" max="1035" width="13" style="214" customWidth="1"/>
    <col min="1036" max="1036" width="13" style="214" bestFit="1" customWidth="1"/>
    <col min="1037" max="1037" width="11.125" style="214" bestFit="1" customWidth="1"/>
    <col min="1038" max="1038" width="9.375" style="214" customWidth="1"/>
    <col min="1039" max="1039" width="14.125" style="214" bestFit="1" customWidth="1"/>
    <col min="1040" max="1040" width="9" style="214" bestFit="1" customWidth="1"/>
    <col min="1041" max="1280" width="9" style="214"/>
    <col min="1281" max="1281" width="2.625" style="214" customWidth="1"/>
    <col min="1282" max="1282" width="1.25" style="214" customWidth="1"/>
    <col min="1283" max="1283" width="14.125" style="214" customWidth="1"/>
    <col min="1284" max="1285" width="13" style="214" customWidth="1"/>
    <col min="1286" max="1286" width="10.25" style="214" customWidth="1"/>
    <col min="1287" max="1287" width="11.375" style="214" customWidth="1"/>
    <col min="1288" max="1288" width="13" style="214" customWidth="1"/>
    <col min="1289" max="1289" width="12" style="214" customWidth="1"/>
    <col min="1290" max="1290" width="12.75" style="214" customWidth="1"/>
    <col min="1291" max="1291" width="13" style="214" customWidth="1"/>
    <col min="1292" max="1292" width="13" style="214" bestFit="1" customWidth="1"/>
    <col min="1293" max="1293" width="11.125" style="214" bestFit="1" customWidth="1"/>
    <col min="1294" max="1294" width="9.375" style="214" customWidth="1"/>
    <col min="1295" max="1295" width="14.125" style="214" bestFit="1" customWidth="1"/>
    <col min="1296" max="1296" width="9" style="214" bestFit="1" customWidth="1"/>
    <col min="1297" max="1536" width="9" style="214"/>
    <col min="1537" max="1537" width="2.625" style="214" customWidth="1"/>
    <col min="1538" max="1538" width="1.25" style="214" customWidth="1"/>
    <col min="1539" max="1539" width="14.125" style="214" customWidth="1"/>
    <col min="1540" max="1541" width="13" style="214" customWidth="1"/>
    <col min="1542" max="1542" width="10.25" style="214" customWidth="1"/>
    <col min="1543" max="1543" width="11.375" style="214" customWidth="1"/>
    <col min="1544" max="1544" width="13" style="214" customWidth="1"/>
    <col min="1545" max="1545" width="12" style="214" customWidth="1"/>
    <col min="1546" max="1546" width="12.75" style="214" customWidth="1"/>
    <col min="1547" max="1547" width="13" style="214" customWidth="1"/>
    <col min="1548" max="1548" width="13" style="214" bestFit="1" customWidth="1"/>
    <col min="1549" max="1549" width="11.125" style="214" bestFit="1" customWidth="1"/>
    <col min="1550" max="1550" width="9.375" style="214" customWidth="1"/>
    <col min="1551" max="1551" width="14.125" style="214" bestFit="1" customWidth="1"/>
    <col min="1552" max="1552" width="9" style="214" bestFit="1" customWidth="1"/>
    <col min="1553" max="1792" width="9" style="214"/>
    <col min="1793" max="1793" width="2.625" style="214" customWidth="1"/>
    <col min="1794" max="1794" width="1.25" style="214" customWidth="1"/>
    <col min="1795" max="1795" width="14.125" style="214" customWidth="1"/>
    <col min="1796" max="1797" width="13" style="214" customWidth="1"/>
    <col min="1798" max="1798" width="10.25" style="214" customWidth="1"/>
    <col min="1799" max="1799" width="11.375" style="214" customWidth="1"/>
    <col min="1800" max="1800" width="13" style="214" customWidth="1"/>
    <col min="1801" max="1801" width="12" style="214" customWidth="1"/>
    <col min="1802" max="1802" width="12.75" style="214" customWidth="1"/>
    <col min="1803" max="1803" width="13" style="214" customWidth="1"/>
    <col min="1804" max="1804" width="13" style="214" bestFit="1" customWidth="1"/>
    <col min="1805" max="1805" width="11.125" style="214" bestFit="1" customWidth="1"/>
    <col min="1806" max="1806" width="9.375" style="214" customWidth="1"/>
    <col min="1807" max="1807" width="14.125" style="214" bestFit="1" customWidth="1"/>
    <col min="1808" max="1808" width="9" style="214" bestFit="1" customWidth="1"/>
    <col min="1809" max="2048" width="9" style="214"/>
    <col min="2049" max="2049" width="2.625" style="214" customWidth="1"/>
    <col min="2050" max="2050" width="1.25" style="214" customWidth="1"/>
    <col min="2051" max="2051" width="14.125" style="214" customWidth="1"/>
    <col min="2052" max="2053" width="13" style="214" customWidth="1"/>
    <col min="2054" max="2054" width="10.25" style="214" customWidth="1"/>
    <col min="2055" max="2055" width="11.375" style="214" customWidth="1"/>
    <col min="2056" max="2056" width="13" style="214" customWidth="1"/>
    <col min="2057" max="2057" width="12" style="214" customWidth="1"/>
    <col min="2058" max="2058" width="12.75" style="214" customWidth="1"/>
    <col min="2059" max="2059" width="13" style="214" customWidth="1"/>
    <col min="2060" max="2060" width="13" style="214" bestFit="1" customWidth="1"/>
    <col min="2061" max="2061" width="11.125" style="214" bestFit="1" customWidth="1"/>
    <col min="2062" max="2062" width="9.375" style="214" customWidth="1"/>
    <col min="2063" max="2063" width="14.125" style="214" bestFit="1" customWidth="1"/>
    <col min="2064" max="2064" width="9" style="214" bestFit="1" customWidth="1"/>
    <col min="2065" max="2304" width="9" style="214"/>
    <col min="2305" max="2305" width="2.625" style="214" customWidth="1"/>
    <col min="2306" max="2306" width="1.25" style="214" customWidth="1"/>
    <col min="2307" max="2307" width="14.125" style="214" customWidth="1"/>
    <col min="2308" max="2309" width="13" style="214" customWidth="1"/>
    <col min="2310" max="2310" width="10.25" style="214" customWidth="1"/>
    <col min="2311" max="2311" width="11.375" style="214" customWidth="1"/>
    <col min="2312" max="2312" width="13" style="214" customWidth="1"/>
    <col min="2313" max="2313" width="12" style="214" customWidth="1"/>
    <col min="2314" max="2314" width="12.75" style="214" customWidth="1"/>
    <col min="2315" max="2315" width="13" style="214" customWidth="1"/>
    <col min="2316" max="2316" width="13" style="214" bestFit="1" customWidth="1"/>
    <col min="2317" max="2317" width="11.125" style="214" bestFit="1" customWidth="1"/>
    <col min="2318" max="2318" width="9.375" style="214" customWidth="1"/>
    <col min="2319" max="2319" width="14.125" style="214" bestFit="1" customWidth="1"/>
    <col min="2320" max="2320" width="9" style="214" bestFit="1" customWidth="1"/>
    <col min="2321" max="2560" width="9" style="214"/>
    <col min="2561" max="2561" width="2.625" style="214" customWidth="1"/>
    <col min="2562" max="2562" width="1.25" style="214" customWidth="1"/>
    <col min="2563" max="2563" width="14.125" style="214" customWidth="1"/>
    <col min="2564" max="2565" width="13" style="214" customWidth="1"/>
    <col min="2566" max="2566" width="10.25" style="214" customWidth="1"/>
    <col min="2567" max="2567" width="11.375" style="214" customWidth="1"/>
    <col min="2568" max="2568" width="13" style="214" customWidth="1"/>
    <col min="2569" max="2569" width="12" style="214" customWidth="1"/>
    <col min="2570" max="2570" width="12.75" style="214" customWidth="1"/>
    <col min="2571" max="2571" width="13" style="214" customWidth="1"/>
    <col min="2572" max="2572" width="13" style="214" bestFit="1" customWidth="1"/>
    <col min="2573" max="2573" width="11.125" style="214" bestFit="1" customWidth="1"/>
    <col min="2574" max="2574" width="9.375" style="214" customWidth="1"/>
    <col min="2575" max="2575" width="14.125" style="214" bestFit="1" customWidth="1"/>
    <col min="2576" max="2576" width="9" style="214" bestFit="1" customWidth="1"/>
    <col min="2577" max="2816" width="9" style="214"/>
    <col min="2817" max="2817" width="2.625" style="214" customWidth="1"/>
    <col min="2818" max="2818" width="1.25" style="214" customWidth="1"/>
    <col min="2819" max="2819" width="14.125" style="214" customWidth="1"/>
    <col min="2820" max="2821" width="13" style="214" customWidth="1"/>
    <col min="2822" max="2822" width="10.25" style="214" customWidth="1"/>
    <col min="2823" max="2823" width="11.375" style="214" customWidth="1"/>
    <col min="2824" max="2824" width="13" style="214" customWidth="1"/>
    <col min="2825" max="2825" width="12" style="214" customWidth="1"/>
    <col min="2826" max="2826" width="12.75" style="214" customWidth="1"/>
    <col min="2827" max="2827" width="13" style="214" customWidth="1"/>
    <col min="2828" max="2828" width="13" style="214" bestFit="1" customWidth="1"/>
    <col min="2829" max="2829" width="11.125" style="214" bestFit="1" customWidth="1"/>
    <col min="2830" max="2830" width="9.375" style="214" customWidth="1"/>
    <col min="2831" max="2831" width="14.125" style="214" bestFit="1" customWidth="1"/>
    <col min="2832" max="2832" width="9" style="214" bestFit="1" customWidth="1"/>
    <col min="2833" max="3072" width="9" style="214"/>
    <col min="3073" max="3073" width="2.625" style="214" customWidth="1"/>
    <col min="3074" max="3074" width="1.25" style="214" customWidth="1"/>
    <col min="3075" max="3075" width="14.125" style="214" customWidth="1"/>
    <col min="3076" max="3077" width="13" style="214" customWidth="1"/>
    <col min="3078" max="3078" width="10.25" style="214" customWidth="1"/>
    <col min="3079" max="3079" width="11.375" style="214" customWidth="1"/>
    <col min="3080" max="3080" width="13" style="214" customWidth="1"/>
    <col min="3081" max="3081" width="12" style="214" customWidth="1"/>
    <col min="3082" max="3082" width="12.75" style="214" customWidth="1"/>
    <col min="3083" max="3083" width="13" style="214" customWidth="1"/>
    <col min="3084" max="3084" width="13" style="214" bestFit="1" customWidth="1"/>
    <col min="3085" max="3085" width="11.125" style="214" bestFit="1" customWidth="1"/>
    <col min="3086" max="3086" width="9.375" style="214" customWidth="1"/>
    <col min="3087" max="3087" width="14.125" style="214" bestFit="1" customWidth="1"/>
    <col min="3088" max="3088" width="9" style="214" bestFit="1" customWidth="1"/>
    <col min="3089" max="3328" width="9" style="214"/>
    <col min="3329" max="3329" width="2.625" style="214" customWidth="1"/>
    <col min="3330" max="3330" width="1.25" style="214" customWidth="1"/>
    <col min="3331" max="3331" width="14.125" style="214" customWidth="1"/>
    <col min="3332" max="3333" width="13" style="214" customWidth="1"/>
    <col min="3334" max="3334" width="10.25" style="214" customWidth="1"/>
    <col min="3335" max="3335" width="11.375" style="214" customWidth="1"/>
    <col min="3336" max="3336" width="13" style="214" customWidth="1"/>
    <col min="3337" max="3337" width="12" style="214" customWidth="1"/>
    <col min="3338" max="3338" width="12.75" style="214" customWidth="1"/>
    <col min="3339" max="3339" width="13" style="214" customWidth="1"/>
    <col min="3340" max="3340" width="13" style="214" bestFit="1" customWidth="1"/>
    <col min="3341" max="3341" width="11.125" style="214" bestFit="1" customWidth="1"/>
    <col min="3342" max="3342" width="9.375" style="214" customWidth="1"/>
    <col min="3343" max="3343" width="14.125" style="214" bestFit="1" customWidth="1"/>
    <col min="3344" max="3344" width="9" style="214" bestFit="1" customWidth="1"/>
    <col min="3345" max="3584" width="9" style="214"/>
    <col min="3585" max="3585" width="2.625" style="214" customWidth="1"/>
    <col min="3586" max="3586" width="1.25" style="214" customWidth="1"/>
    <col min="3587" max="3587" width="14.125" style="214" customWidth="1"/>
    <col min="3588" max="3589" width="13" style="214" customWidth="1"/>
    <col min="3590" max="3590" width="10.25" style="214" customWidth="1"/>
    <col min="3591" max="3591" width="11.375" style="214" customWidth="1"/>
    <col min="3592" max="3592" width="13" style="214" customWidth="1"/>
    <col min="3593" max="3593" width="12" style="214" customWidth="1"/>
    <col min="3594" max="3594" width="12.75" style="214" customWidth="1"/>
    <col min="3595" max="3595" width="13" style="214" customWidth="1"/>
    <col min="3596" max="3596" width="13" style="214" bestFit="1" customWidth="1"/>
    <col min="3597" max="3597" width="11.125" style="214" bestFit="1" customWidth="1"/>
    <col min="3598" max="3598" width="9.375" style="214" customWidth="1"/>
    <col min="3599" max="3599" width="14.125" style="214" bestFit="1" customWidth="1"/>
    <col min="3600" max="3600" width="9" style="214" bestFit="1" customWidth="1"/>
    <col min="3601" max="3840" width="9" style="214"/>
    <col min="3841" max="3841" width="2.625" style="214" customWidth="1"/>
    <col min="3842" max="3842" width="1.25" style="214" customWidth="1"/>
    <col min="3843" max="3843" width="14.125" style="214" customWidth="1"/>
    <col min="3844" max="3845" width="13" style="214" customWidth="1"/>
    <col min="3846" max="3846" width="10.25" style="214" customWidth="1"/>
    <col min="3847" max="3847" width="11.375" style="214" customWidth="1"/>
    <col min="3848" max="3848" width="13" style="214" customWidth="1"/>
    <col min="3849" max="3849" width="12" style="214" customWidth="1"/>
    <col min="3850" max="3850" width="12.75" style="214" customWidth="1"/>
    <col min="3851" max="3851" width="13" style="214" customWidth="1"/>
    <col min="3852" max="3852" width="13" style="214" bestFit="1" customWidth="1"/>
    <col min="3853" max="3853" width="11.125" style="214" bestFit="1" customWidth="1"/>
    <col min="3854" max="3854" width="9.375" style="214" customWidth="1"/>
    <col min="3855" max="3855" width="14.125" style="214" bestFit="1" customWidth="1"/>
    <col min="3856" max="3856" width="9" style="214" bestFit="1" customWidth="1"/>
    <col min="3857" max="4096" width="9" style="214"/>
    <col min="4097" max="4097" width="2.625" style="214" customWidth="1"/>
    <col min="4098" max="4098" width="1.25" style="214" customWidth="1"/>
    <col min="4099" max="4099" width="14.125" style="214" customWidth="1"/>
    <col min="4100" max="4101" width="13" style="214" customWidth="1"/>
    <col min="4102" max="4102" width="10.25" style="214" customWidth="1"/>
    <col min="4103" max="4103" width="11.375" style="214" customWidth="1"/>
    <col min="4104" max="4104" width="13" style="214" customWidth="1"/>
    <col min="4105" max="4105" width="12" style="214" customWidth="1"/>
    <col min="4106" max="4106" width="12.75" style="214" customWidth="1"/>
    <col min="4107" max="4107" width="13" style="214" customWidth="1"/>
    <col min="4108" max="4108" width="13" style="214" bestFit="1" customWidth="1"/>
    <col min="4109" max="4109" width="11.125" style="214" bestFit="1" customWidth="1"/>
    <col min="4110" max="4110" width="9.375" style="214" customWidth="1"/>
    <col min="4111" max="4111" width="14.125" style="214" bestFit="1" customWidth="1"/>
    <col min="4112" max="4112" width="9" style="214" bestFit="1" customWidth="1"/>
    <col min="4113" max="4352" width="9" style="214"/>
    <col min="4353" max="4353" width="2.625" style="214" customWidth="1"/>
    <col min="4354" max="4354" width="1.25" style="214" customWidth="1"/>
    <col min="4355" max="4355" width="14.125" style="214" customWidth="1"/>
    <col min="4356" max="4357" width="13" style="214" customWidth="1"/>
    <col min="4358" max="4358" width="10.25" style="214" customWidth="1"/>
    <col min="4359" max="4359" width="11.375" style="214" customWidth="1"/>
    <col min="4360" max="4360" width="13" style="214" customWidth="1"/>
    <col min="4361" max="4361" width="12" style="214" customWidth="1"/>
    <col min="4362" max="4362" width="12.75" style="214" customWidth="1"/>
    <col min="4363" max="4363" width="13" style="214" customWidth="1"/>
    <col min="4364" max="4364" width="13" style="214" bestFit="1" customWidth="1"/>
    <col min="4365" max="4365" width="11.125" style="214" bestFit="1" customWidth="1"/>
    <col min="4366" max="4366" width="9.375" style="214" customWidth="1"/>
    <col min="4367" max="4367" width="14.125" style="214" bestFit="1" customWidth="1"/>
    <col min="4368" max="4368" width="9" style="214" bestFit="1" customWidth="1"/>
    <col min="4369" max="4608" width="9" style="214"/>
    <col min="4609" max="4609" width="2.625" style="214" customWidth="1"/>
    <col min="4610" max="4610" width="1.25" style="214" customWidth="1"/>
    <col min="4611" max="4611" width="14.125" style="214" customWidth="1"/>
    <col min="4612" max="4613" width="13" style="214" customWidth="1"/>
    <col min="4614" max="4614" width="10.25" style="214" customWidth="1"/>
    <col min="4615" max="4615" width="11.375" style="214" customWidth="1"/>
    <col min="4616" max="4616" width="13" style="214" customWidth="1"/>
    <col min="4617" max="4617" width="12" style="214" customWidth="1"/>
    <col min="4618" max="4618" width="12.75" style="214" customWidth="1"/>
    <col min="4619" max="4619" width="13" style="214" customWidth="1"/>
    <col min="4620" max="4620" width="13" style="214" bestFit="1" customWidth="1"/>
    <col min="4621" max="4621" width="11.125" style="214" bestFit="1" customWidth="1"/>
    <col min="4622" max="4622" width="9.375" style="214" customWidth="1"/>
    <col min="4623" max="4623" width="14.125" style="214" bestFit="1" customWidth="1"/>
    <col min="4624" max="4624" width="9" style="214" bestFit="1" customWidth="1"/>
    <col min="4625" max="4864" width="9" style="214"/>
    <col min="4865" max="4865" width="2.625" style="214" customWidth="1"/>
    <col min="4866" max="4866" width="1.25" style="214" customWidth="1"/>
    <col min="4867" max="4867" width="14.125" style="214" customWidth="1"/>
    <col min="4868" max="4869" width="13" style="214" customWidth="1"/>
    <col min="4870" max="4870" width="10.25" style="214" customWidth="1"/>
    <col min="4871" max="4871" width="11.375" style="214" customWidth="1"/>
    <col min="4872" max="4872" width="13" style="214" customWidth="1"/>
    <col min="4873" max="4873" width="12" style="214" customWidth="1"/>
    <col min="4874" max="4874" width="12.75" style="214" customWidth="1"/>
    <col min="4875" max="4875" width="13" style="214" customWidth="1"/>
    <col min="4876" max="4876" width="13" style="214" bestFit="1" customWidth="1"/>
    <col min="4877" max="4877" width="11.125" style="214" bestFit="1" customWidth="1"/>
    <col min="4878" max="4878" width="9.375" style="214" customWidth="1"/>
    <col min="4879" max="4879" width="14.125" style="214" bestFit="1" customWidth="1"/>
    <col min="4880" max="4880" width="9" style="214" bestFit="1" customWidth="1"/>
    <col min="4881" max="5120" width="9" style="214"/>
    <col min="5121" max="5121" width="2.625" style="214" customWidth="1"/>
    <col min="5122" max="5122" width="1.25" style="214" customWidth="1"/>
    <col min="5123" max="5123" width="14.125" style="214" customWidth="1"/>
    <col min="5124" max="5125" width="13" style="214" customWidth="1"/>
    <col min="5126" max="5126" width="10.25" style="214" customWidth="1"/>
    <col min="5127" max="5127" width="11.375" style="214" customWidth="1"/>
    <col min="5128" max="5128" width="13" style="214" customWidth="1"/>
    <col min="5129" max="5129" width="12" style="214" customWidth="1"/>
    <col min="5130" max="5130" width="12.75" style="214" customWidth="1"/>
    <col min="5131" max="5131" width="13" style="214" customWidth="1"/>
    <col min="5132" max="5132" width="13" style="214" bestFit="1" customWidth="1"/>
    <col min="5133" max="5133" width="11.125" style="214" bestFit="1" customWidth="1"/>
    <col min="5134" max="5134" width="9.375" style="214" customWidth="1"/>
    <col min="5135" max="5135" width="14.125" style="214" bestFit="1" customWidth="1"/>
    <col min="5136" max="5136" width="9" style="214" bestFit="1" customWidth="1"/>
    <col min="5137" max="5376" width="9" style="214"/>
    <col min="5377" max="5377" width="2.625" style="214" customWidth="1"/>
    <col min="5378" max="5378" width="1.25" style="214" customWidth="1"/>
    <col min="5379" max="5379" width="14.125" style="214" customWidth="1"/>
    <col min="5380" max="5381" width="13" style="214" customWidth="1"/>
    <col min="5382" max="5382" width="10.25" style="214" customWidth="1"/>
    <col min="5383" max="5383" width="11.375" style="214" customWidth="1"/>
    <col min="5384" max="5384" width="13" style="214" customWidth="1"/>
    <col min="5385" max="5385" width="12" style="214" customWidth="1"/>
    <col min="5386" max="5386" width="12.75" style="214" customWidth="1"/>
    <col min="5387" max="5387" width="13" style="214" customWidth="1"/>
    <col min="5388" max="5388" width="13" style="214" bestFit="1" customWidth="1"/>
    <col min="5389" max="5389" width="11.125" style="214" bestFit="1" customWidth="1"/>
    <col min="5390" max="5390" width="9.375" style="214" customWidth="1"/>
    <col min="5391" max="5391" width="14.125" style="214" bestFit="1" customWidth="1"/>
    <col min="5392" max="5392" width="9" style="214" bestFit="1" customWidth="1"/>
    <col min="5393" max="5632" width="9" style="214"/>
    <col min="5633" max="5633" width="2.625" style="214" customWidth="1"/>
    <col min="5634" max="5634" width="1.25" style="214" customWidth="1"/>
    <col min="5635" max="5635" width="14.125" style="214" customWidth="1"/>
    <col min="5636" max="5637" width="13" style="214" customWidth="1"/>
    <col min="5638" max="5638" width="10.25" style="214" customWidth="1"/>
    <col min="5639" max="5639" width="11.375" style="214" customWidth="1"/>
    <col min="5640" max="5640" width="13" style="214" customWidth="1"/>
    <col min="5641" max="5641" width="12" style="214" customWidth="1"/>
    <col min="5642" max="5642" width="12.75" style="214" customWidth="1"/>
    <col min="5643" max="5643" width="13" style="214" customWidth="1"/>
    <col min="5644" max="5644" width="13" style="214" bestFit="1" customWidth="1"/>
    <col min="5645" max="5645" width="11.125" style="214" bestFit="1" customWidth="1"/>
    <col min="5646" max="5646" width="9.375" style="214" customWidth="1"/>
    <col min="5647" max="5647" width="14.125" style="214" bestFit="1" customWidth="1"/>
    <col min="5648" max="5648" width="9" style="214" bestFit="1" customWidth="1"/>
    <col min="5649" max="5888" width="9" style="214"/>
    <col min="5889" max="5889" width="2.625" style="214" customWidth="1"/>
    <col min="5890" max="5890" width="1.25" style="214" customWidth="1"/>
    <col min="5891" max="5891" width="14.125" style="214" customWidth="1"/>
    <col min="5892" max="5893" width="13" style="214" customWidth="1"/>
    <col min="5894" max="5894" width="10.25" style="214" customWidth="1"/>
    <col min="5895" max="5895" width="11.375" style="214" customWidth="1"/>
    <col min="5896" max="5896" width="13" style="214" customWidth="1"/>
    <col min="5897" max="5897" width="12" style="214" customWidth="1"/>
    <col min="5898" max="5898" width="12.75" style="214" customWidth="1"/>
    <col min="5899" max="5899" width="13" style="214" customWidth="1"/>
    <col min="5900" max="5900" width="13" style="214" bestFit="1" customWidth="1"/>
    <col min="5901" max="5901" width="11.125" style="214" bestFit="1" customWidth="1"/>
    <col min="5902" max="5902" width="9.375" style="214" customWidth="1"/>
    <col min="5903" max="5903" width="14.125" style="214" bestFit="1" customWidth="1"/>
    <col min="5904" max="5904" width="9" style="214" bestFit="1" customWidth="1"/>
    <col min="5905" max="6144" width="9" style="214"/>
    <col min="6145" max="6145" width="2.625" style="214" customWidth="1"/>
    <col min="6146" max="6146" width="1.25" style="214" customWidth="1"/>
    <col min="6147" max="6147" width="14.125" style="214" customWidth="1"/>
    <col min="6148" max="6149" width="13" style="214" customWidth="1"/>
    <col min="6150" max="6150" width="10.25" style="214" customWidth="1"/>
    <col min="6151" max="6151" width="11.375" style="214" customWidth="1"/>
    <col min="6152" max="6152" width="13" style="214" customWidth="1"/>
    <col min="6153" max="6153" width="12" style="214" customWidth="1"/>
    <col min="6154" max="6154" width="12.75" style="214" customWidth="1"/>
    <col min="6155" max="6155" width="13" style="214" customWidth="1"/>
    <col min="6156" max="6156" width="13" style="214" bestFit="1" customWidth="1"/>
    <col min="6157" max="6157" width="11.125" style="214" bestFit="1" customWidth="1"/>
    <col min="6158" max="6158" width="9.375" style="214" customWidth="1"/>
    <col min="6159" max="6159" width="14.125" style="214" bestFit="1" customWidth="1"/>
    <col min="6160" max="6160" width="9" style="214" bestFit="1" customWidth="1"/>
    <col min="6161" max="6400" width="9" style="214"/>
    <col min="6401" max="6401" width="2.625" style="214" customWidth="1"/>
    <col min="6402" max="6402" width="1.25" style="214" customWidth="1"/>
    <col min="6403" max="6403" width="14.125" style="214" customWidth="1"/>
    <col min="6404" max="6405" width="13" style="214" customWidth="1"/>
    <col min="6406" max="6406" width="10.25" style="214" customWidth="1"/>
    <col min="6407" max="6407" width="11.375" style="214" customWidth="1"/>
    <col min="6408" max="6408" width="13" style="214" customWidth="1"/>
    <col min="6409" max="6409" width="12" style="214" customWidth="1"/>
    <col min="6410" max="6410" width="12.75" style="214" customWidth="1"/>
    <col min="6411" max="6411" width="13" style="214" customWidth="1"/>
    <col min="6412" max="6412" width="13" style="214" bestFit="1" customWidth="1"/>
    <col min="6413" max="6413" width="11.125" style="214" bestFit="1" customWidth="1"/>
    <col min="6414" max="6414" width="9.375" style="214" customWidth="1"/>
    <col min="6415" max="6415" width="14.125" style="214" bestFit="1" customWidth="1"/>
    <col min="6416" max="6416" width="9" style="214" bestFit="1" customWidth="1"/>
    <col min="6417" max="6656" width="9" style="214"/>
    <col min="6657" max="6657" width="2.625" style="214" customWidth="1"/>
    <col min="6658" max="6658" width="1.25" style="214" customWidth="1"/>
    <col min="6659" max="6659" width="14.125" style="214" customWidth="1"/>
    <col min="6660" max="6661" width="13" style="214" customWidth="1"/>
    <col min="6662" max="6662" width="10.25" style="214" customWidth="1"/>
    <col min="6663" max="6663" width="11.375" style="214" customWidth="1"/>
    <col min="6664" max="6664" width="13" style="214" customWidth="1"/>
    <col min="6665" max="6665" width="12" style="214" customWidth="1"/>
    <col min="6666" max="6666" width="12.75" style="214" customWidth="1"/>
    <col min="6667" max="6667" width="13" style="214" customWidth="1"/>
    <col min="6668" max="6668" width="13" style="214" bestFit="1" customWidth="1"/>
    <col min="6669" max="6669" width="11.125" style="214" bestFit="1" customWidth="1"/>
    <col min="6670" max="6670" width="9.375" style="214" customWidth="1"/>
    <col min="6671" max="6671" width="14.125" style="214" bestFit="1" customWidth="1"/>
    <col min="6672" max="6672" width="9" style="214" bestFit="1" customWidth="1"/>
    <col min="6673" max="6912" width="9" style="214"/>
    <col min="6913" max="6913" width="2.625" style="214" customWidth="1"/>
    <col min="6914" max="6914" width="1.25" style="214" customWidth="1"/>
    <col min="6915" max="6915" width="14.125" style="214" customWidth="1"/>
    <col min="6916" max="6917" width="13" style="214" customWidth="1"/>
    <col min="6918" max="6918" width="10.25" style="214" customWidth="1"/>
    <col min="6919" max="6919" width="11.375" style="214" customWidth="1"/>
    <col min="6920" max="6920" width="13" style="214" customWidth="1"/>
    <col min="6921" max="6921" width="12" style="214" customWidth="1"/>
    <col min="6922" max="6922" width="12.75" style="214" customWidth="1"/>
    <col min="6923" max="6923" width="13" style="214" customWidth="1"/>
    <col min="6924" max="6924" width="13" style="214" bestFit="1" customWidth="1"/>
    <col min="6925" max="6925" width="11.125" style="214" bestFit="1" customWidth="1"/>
    <col min="6926" max="6926" width="9.375" style="214" customWidth="1"/>
    <col min="6927" max="6927" width="14.125" style="214" bestFit="1" customWidth="1"/>
    <col min="6928" max="6928" width="9" style="214" bestFit="1" customWidth="1"/>
    <col min="6929" max="7168" width="9" style="214"/>
    <col min="7169" max="7169" width="2.625" style="214" customWidth="1"/>
    <col min="7170" max="7170" width="1.25" style="214" customWidth="1"/>
    <col min="7171" max="7171" width="14.125" style="214" customWidth="1"/>
    <col min="7172" max="7173" width="13" style="214" customWidth="1"/>
    <col min="7174" max="7174" width="10.25" style="214" customWidth="1"/>
    <col min="7175" max="7175" width="11.375" style="214" customWidth="1"/>
    <col min="7176" max="7176" width="13" style="214" customWidth="1"/>
    <col min="7177" max="7177" width="12" style="214" customWidth="1"/>
    <col min="7178" max="7178" width="12.75" style="214" customWidth="1"/>
    <col min="7179" max="7179" width="13" style="214" customWidth="1"/>
    <col min="7180" max="7180" width="13" style="214" bestFit="1" customWidth="1"/>
    <col min="7181" max="7181" width="11.125" style="214" bestFit="1" customWidth="1"/>
    <col min="7182" max="7182" width="9.375" style="214" customWidth="1"/>
    <col min="7183" max="7183" width="14.125" style="214" bestFit="1" customWidth="1"/>
    <col min="7184" max="7184" width="9" style="214" bestFit="1" customWidth="1"/>
    <col min="7185" max="7424" width="9" style="214"/>
    <col min="7425" max="7425" width="2.625" style="214" customWidth="1"/>
    <col min="7426" max="7426" width="1.25" style="214" customWidth="1"/>
    <col min="7427" max="7427" width="14.125" style="214" customWidth="1"/>
    <col min="7428" max="7429" width="13" style="214" customWidth="1"/>
    <col min="7430" max="7430" width="10.25" style="214" customWidth="1"/>
    <col min="7431" max="7431" width="11.375" style="214" customWidth="1"/>
    <col min="7432" max="7432" width="13" style="214" customWidth="1"/>
    <col min="7433" max="7433" width="12" style="214" customWidth="1"/>
    <col min="7434" max="7434" width="12.75" style="214" customWidth="1"/>
    <col min="7435" max="7435" width="13" style="214" customWidth="1"/>
    <col min="7436" max="7436" width="13" style="214" bestFit="1" customWidth="1"/>
    <col min="7437" max="7437" width="11.125" style="214" bestFit="1" customWidth="1"/>
    <col min="7438" max="7438" width="9.375" style="214" customWidth="1"/>
    <col min="7439" max="7439" width="14.125" style="214" bestFit="1" customWidth="1"/>
    <col min="7440" max="7440" width="9" style="214" bestFit="1" customWidth="1"/>
    <col min="7441" max="7680" width="9" style="214"/>
    <col min="7681" max="7681" width="2.625" style="214" customWidth="1"/>
    <col min="7682" max="7682" width="1.25" style="214" customWidth="1"/>
    <col min="7683" max="7683" width="14.125" style="214" customWidth="1"/>
    <col min="7684" max="7685" width="13" style="214" customWidth="1"/>
    <col min="7686" max="7686" width="10.25" style="214" customWidth="1"/>
    <col min="7687" max="7687" width="11.375" style="214" customWidth="1"/>
    <col min="7688" max="7688" width="13" style="214" customWidth="1"/>
    <col min="7689" max="7689" width="12" style="214" customWidth="1"/>
    <col min="7690" max="7690" width="12.75" style="214" customWidth="1"/>
    <col min="7691" max="7691" width="13" style="214" customWidth="1"/>
    <col min="7692" max="7692" width="13" style="214" bestFit="1" customWidth="1"/>
    <col min="7693" max="7693" width="11.125" style="214" bestFit="1" customWidth="1"/>
    <col min="7694" max="7694" width="9.375" style="214" customWidth="1"/>
    <col min="7695" max="7695" width="14.125" style="214" bestFit="1" customWidth="1"/>
    <col min="7696" max="7696" width="9" style="214" bestFit="1" customWidth="1"/>
    <col min="7697" max="7936" width="9" style="214"/>
    <col min="7937" max="7937" width="2.625" style="214" customWidth="1"/>
    <col min="7938" max="7938" width="1.25" style="214" customWidth="1"/>
    <col min="7939" max="7939" width="14.125" style="214" customWidth="1"/>
    <col min="7940" max="7941" width="13" style="214" customWidth="1"/>
    <col min="7942" max="7942" width="10.25" style="214" customWidth="1"/>
    <col min="7943" max="7943" width="11.375" style="214" customWidth="1"/>
    <col min="7944" max="7944" width="13" style="214" customWidth="1"/>
    <col min="7945" max="7945" width="12" style="214" customWidth="1"/>
    <col min="7946" max="7946" width="12.75" style="214" customWidth="1"/>
    <col min="7947" max="7947" width="13" style="214" customWidth="1"/>
    <col min="7948" max="7948" width="13" style="214" bestFit="1" customWidth="1"/>
    <col min="7949" max="7949" width="11.125" style="214" bestFit="1" customWidth="1"/>
    <col min="7950" max="7950" width="9.375" style="214" customWidth="1"/>
    <col min="7951" max="7951" width="14.125" style="214" bestFit="1" customWidth="1"/>
    <col min="7952" max="7952" width="9" style="214" bestFit="1" customWidth="1"/>
    <col min="7953" max="8192" width="9" style="214"/>
    <col min="8193" max="8193" width="2.625" style="214" customWidth="1"/>
    <col min="8194" max="8194" width="1.25" style="214" customWidth="1"/>
    <col min="8195" max="8195" width="14.125" style="214" customWidth="1"/>
    <col min="8196" max="8197" width="13" style="214" customWidth="1"/>
    <col min="8198" max="8198" width="10.25" style="214" customWidth="1"/>
    <col min="8199" max="8199" width="11.375" style="214" customWidth="1"/>
    <col min="8200" max="8200" width="13" style="214" customWidth="1"/>
    <col min="8201" max="8201" width="12" style="214" customWidth="1"/>
    <col min="8202" max="8202" width="12.75" style="214" customWidth="1"/>
    <col min="8203" max="8203" width="13" style="214" customWidth="1"/>
    <col min="8204" max="8204" width="13" style="214" bestFit="1" customWidth="1"/>
    <col min="8205" max="8205" width="11.125" style="214" bestFit="1" customWidth="1"/>
    <col min="8206" max="8206" width="9.375" style="214" customWidth="1"/>
    <col min="8207" max="8207" width="14.125" style="214" bestFit="1" customWidth="1"/>
    <col min="8208" max="8208" width="9" style="214" bestFit="1" customWidth="1"/>
    <col min="8209" max="8448" width="9" style="214"/>
    <col min="8449" max="8449" width="2.625" style="214" customWidth="1"/>
    <col min="8450" max="8450" width="1.25" style="214" customWidth="1"/>
    <col min="8451" max="8451" width="14.125" style="214" customWidth="1"/>
    <col min="8452" max="8453" width="13" style="214" customWidth="1"/>
    <col min="8454" max="8454" width="10.25" style="214" customWidth="1"/>
    <col min="8455" max="8455" width="11.375" style="214" customWidth="1"/>
    <col min="8456" max="8456" width="13" style="214" customWidth="1"/>
    <col min="8457" max="8457" width="12" style="214" customWidth="1"/>
    <col min="8458" max="8458" width="12.75" style="214" customWidth="1"/>
    <col min="8459" max="8459" width="13" style="214" customWidth="1"/>
    <col min="8460" max="8460" width="13" style="214" bestFit="1" customWidth="1"/>
    <col min="8461" max="8461" width="11.125" style="214" bestFit="1" customWidth="1"/>
    <col min="8462" max="8462" width="9.375" style="214" customWidth="1"/>
    <col min="8463" max="8463" width="14.125" style="214" bestFit="1" customWidth="1"/>
    <col min="8464" max="8464" width="9" style="214" bestFit="1" customWidth="1"/>
    <col min="8465" max="8704" width="9" style="214"/>
    <col min="8705" max="8705" width="2.625" style="214" customWidth="1"/>
    <col min="8706" max="8706" width="1.25" style="214" customWidth="1"/>
    <col min="8707" max="8707" width="14.125" style="214" customWidth="1"/>
    <col min="8708" max="8709" width="13" style="214" customWidth="1"/>
    <col min="8710" max="8710" width="10.25" style="214" customWidth="1"/>
    <col min="8711" max="8711" width="11.375" style="214" customWidth="1"/>
    <col min="8712" max="8712" width="13" style="214" customWidth="1"/>
    <col min="8713" max="8713" width="12" style="214" customWidth="1"/>
    <col min="8714" max="8714" width="12.75" style="214" customWidth="1"/>
    <col min="8715" max="8715" width="13" style="214" customWidth="1"/>
    <col min="8716" max="8716" width="13" style="214" bestFit="1" customWidth="1"/>
    <col min="8717" max="8717" width="11.125" style="214" bestFit="1" customWidth="1"/>
    <col min="8718" max="8718" width="9.375" style="214" customWidth="1"/>
    <col min="8719" max="8719" width="14.125" style="214" bestFit="1" customWidth="1"/>
    <col min="8720" max="8720" width="9" style="214" bestFit="1" customWidth="1"/>
    <col min="8721" max="8960" width="9" style="214"/>
    <col min="8961" max="8961" width="2.625" style="214" customWidth="1"/>
    <col min="8962" max="8962" width="1.25" style="214" customWidth="1"/>
    <col min="8963" max="8963" width="14.125" style="214" customWidth="1"/>
    <col min="8964" max="8965" width="13" style="214" customWidth="1"/>
    <col min="8966" max="8966" width="10.25" style="214" customWidth="1"/>
    <col min="8967" max="8967" width="11.375" style="214" customWidth="1"/>
    <col min="8968" max="8968" width="13" style="214" customWidth="1"/>
    <col min="8969" max="8969" width="12" style="214" customWidth="1"/>
    <col min="8970" max="8970" width="12.75" style="214" customWidth="1"/>
    <col min="8971" max="8971" width="13" style="214" customWidth="1"/>
    <col min="8972" max="8972" width="13" style="214" bestFit="1" customWidth="1"/>
    <col min="8973" max="8973" width="11.125" style="214" bestFit="1" customWidth="1"/>
    <col min="8974" max="8974" width="9.375" style="214" customWidth="1"/>
    <col min="8975" max="8975" width="14.125" style="214" bestFit="1" customWidth="1"/>
    <col min="8976" max="8976" width="9" style="214" bestFit="1" customWidth="1"/>
    <col min="8977" max="9216" width="9" style="214"/>
    <col min="9217" max="9217" width="2.625" style="214" customWidth="1"/>
    <col min="9218" max="9218" width="1.25" style="214" customWidth="1"/>
    <col min="9219" max="9219" width="14.125" style="214" customWidth="1"/>
    <col min="9220" max="9221" width="13" style="214" customWidth="1"/>
    <col min="9222" max="9222" width="10.25" style="214" customWidth="1"/>
    <col min="9223" max="9223" width="11.375" style="214" customWidth="1"/>
    <col min="9224" max="9224" width="13" style="214" customWidth="1"/>
    <col min="9225" max="9225" width="12" style="214" customWidth="1"/>
    <col min="9226" max="9226" width="12.75" style="214" customWidth="1"/>
    <col min="9227" max="9227" width="13" style="214" customWidth="1"/>
    <col min="9228" max="9228" width="13" style="214" bestFit="1" customWidth="1"/>
    <col min="9229" max="9229" width="11.125" style="214" bestFit="1" customWidth="1"/>
    <col min="9230" max="9230" width="9.375" style="214" customWidth="1"/>
    <col min="9231" max="9231" width="14.125" style="214" bestFit="1" customWidth="1"/>
    <col min="9232" max="9232" width="9" style="214" bestFit="1" customWidth="1"/>
    <col min="9233" max="9472" width="9" style="214"/>
    <col min="9473" max="9473" width="2.625" style="214" customWidth="1"/>
    <col min="9474" max="9474" width="1.25" style="214" customWidth="1"/>
    <col min="9475" max="9475" width="14.125" style="214" customWidth="1"/>
    <col min="9476" max="9477" width="13" style="214" customWidth="1"/>
    <col min="9478" max="9478" width="10.25" style="214" customWidth="1"/>
    <col min="9479" max="9479" width="11.375" style="214" customWidth="1"/>
    <col min="9480" max="9480" width="13" style="214" customWidth="1"/>
    <col min="9481" max="9481" width="12" style="214" customWidth="1"/>
    <col min="9482" max="9482" width="12.75" style="214" customWidth="1"/>
    <col min="9483" max="9483" width="13" style="214" customWidth="1"/>
    <col min="9484" max="9484" width="13" style="214" bestFit="1" customWidth="1"/>
    <col min="9485" max="9485" width="11.125" style="214" bestFit="1" customWidth="1"/>
    <col min="9486" max="9486" width="9.375" style="214" customWidth="1"/>
    <col min="9487" max="9487" width="14.125" style="214" bestFit="1" customWidth="1"/>
    <col min="9488" max="9488" width="9" style="214" bestFit="1" customWidth="1"/>
    <col min="9489" max="9728" width="9" style="214"/>
    <col min="9729" max="9729" width="2.625" style="214" customWidth="1"/>
    <col min="9730" max="9730" width="1.25" style="214" customWidth="1"/>
    <col min="9731" max="9731" width="14.125" style="214" customWidth="1"/>
    <col min="9732" max="9733" width="13" style="214" customWidth="1"/>
    <col min="9734" max="9734" width="10.25" style="214" customWidth="1"/>
    <col min="9735" max="9735" width="11.375" style="214" customWidth="1"/>
    <col min="9736" max="9736" width="13" style="214" customWidth="1"/>
    <col min="9737" max="9737" width="12" style="214" customWidth="1"/>
    <col min="9738" max="9738" width="12.75" style="214" customWidth="1"/>
    <col min="9739" max="9739" width="13" style="214" customWidth="1"/>
    <col min="9740" max="9740" width="13" style="214" bestFit="1" customWidth="1"/>
    <col min="9741" max="9741" width="11.125" style="214" bestFit="1" customWidth="1"/>
    <col min="9742" max="9742" width="9.375" style="214" customWidth="1"/>
    <col min="9743" max="9743" width="14.125" style="214" bestFit="1" customWidth="1"/>
    <col min="9744" max="9744" width="9" style="214" bestFit="1" customWidth="1"/>
    <col min="9745" max="9984" width="9" style="214"/>
    <col min="9985" max="9985" width="2.625" style="214" customWidth="1"/>
    <col min="9986" max="9986" width="1.25" style="214" customWidth="1"/>
    <col min="9987" max="9987" width="14.125" style="214" customWidth="1"/>
    <col min="9988" max="9989" width="13" style="214" customWidth="1"/>
    <col min="9990" max="9990" width="10.25" style="214" customWidth="1"/>
    <col min="9991" max="9991" width="11.375" style="214" customWidth="1"/>
    <col min="9992" max="9992" width="13" style="214" customWidth="1"/>
    <col min="9993" max="9993" width="12" style="214" customWidth="1"/>
    <col min="9994" max="9994" width="12.75" style="214" customWidth="1"/>
    <col min="9995" max="9995" width="13" style="214" customWidth="1"/>
    <col min="9996" max="9996" width="13" style="214" bestFit="1" customWidth="1"/>
    <col min="9997" max="9997" width="11.125" style="214" bestFit="1" customWidth="1"/>
    <col min="9998" max="9998" width="9.375" style="214" customWidth="1"/>
    <col min="9999" max="9999" width="14.125" style="214" bestFit="1" customWidth="1"/>
    <col min="10000" max="10000" width="9" style="214" bestFit="1" customWidth="1"/>
    <col min="10001" max="10240" width="9" style="214"/>
    <col min="10241" max="10241" width="2.625" style="214" customWidth="1"/>
    <col min="10242" max="10242" width="1.25" style="214" customWidth="1"/>
    <col min="10243" max="10243" width="14.125" style="214" customWidth="1"/>
    <col min="10244" max="10245" width="13" style="214" customWidth="1"/>
    <col min="10246" max="10246" width="10.25" style="214" customWidth="1"/>
    <col min="10247" max="10247" width="11.375" style="214" customWidth="1"/>
    <col min="10248" max="10248" width="13" style="214" customWidth="1"/>
    <col min="10249" max="10249" width="12" style="214" customWidth="1"/>
    <col min="10250" max="10250" width="12.75" style="214" customWidth="1"/>
    <col min="10251" max="10251" width="13" style="214" customWidth="1"/>
    <col min="10252" max="10252" width="13" style="214" bestFit="1" customWidth="1"/>
    <col min="10253" max="10253" width="11.125" style="214" bestFit="1" customWidth="1"/>
    <col min="10254" max="10254" width="9.375" style="214" customWidth="1"/>
    <col min="10255" max="10255" width="14.125" style="214" bestFit="1" customWidth="1"/>
    <col min="10256" max="10256" width="9" style="214" bestFit="1" customWidth="1"/>
    <col min="10257" max="10496" width="9" style="214"/>
    <col min="10497" max="10497" width="2.625" style="214" customWidth="1"/>
    <col min="10498" max="10498" width="1.25" style="214" customWidth="1"/>
    <col min="10499" max="10499" width="14.125" style="214" customWidth="1"/>
    <col min="10500" max="10501" width="13" style="214" customWidth="1"/>
    <col min="10502" max="10502" width="10.25" style="214" customWidth="1"/>
    <col min="10503" max="10503" width="11.375" style="214" customWidth="1"/>
    <col min="10504" max="10504" width="13" style="214" customWidth="1"/>
    <col min="10505" max="10505" width="12" style="214" customWidth="1"/>
    <col min="10506" max="10506" width="12.75" style="214" customWidth="1"/>
    <col min="10507" max="10507" width="13" style="214" customWidth="1"/>
    <col min="10508" max="10508" width="13" style="214" bestFit="1" customWidth="1"/>
    <col min="10509" max="10509" width="11.125" style="214" bestFit="1" customWidth="1"/>
    <col min="10510" max="10510" width="9.375" style="214" customWidth="1"/>
    <col min="10511" max="10511" width="14.125" style="214" bestFit="1" customWidth="1"/>
    <col min="10512" max="10512" width="9" style="214" bestFit="1" customWidth="1"/>
    <col min="10513" max="10752" width="9" style="214"/>
    <col min="10753" max="10753" width="2.625" style="214" customWidth="1"/>
    <col min="10754" max="10754" width="1.25" style="214" customWidth="1"/>
    <col min="10755" max="10755" width="14.125" style="214" customWidth="1"/>
    <col min="10756" max="10757" width="13" style="214" customWidth="1"/>
    <col min="10758" max="10758" width="10.25" style="214" customWidth="1"/>
    <col min="10759" max="10759" width="11.375" style="214" customWidth="1"/>
    <col min="10760" max="10760" width="13" style="214" customWidth="1"/>
    <col min="10761" max="10761" width="12" style="214" customWidth="1"/>
    <col min="10762" max="10762" width="12.75" style="214" customWidth="1"/>
    <col min="10763" max="10763" width="13" style="214" customWidth="1"/>
    <col min="10764" max="10764" width="13" style="214" bestFit="1" customWidth="1"/>
    <col min="10765" max="10765" width="11.125" style="214" bestFit="1" customWidth="1"/>
    <col min="10766" max="10766" width="9.375" style="214" customWidth="1"/>
    <col min="10767" max="10767" width="14.125" style="214" bestFit="1" customWidth="1"/>
    <col min="10768" max="10768" width="9" style="214" bestFit="1" customWidth="1"/>
    <col min="10769" max="11008" width="9" style="214"/>
    <col min="11009" max="11009" width="2.625" style="214" customWidth="1"/>
    <col min="11010" max="11010" width="1.25" style="214" customWidth="1"/>
    <col min="11011" max="11011" width="14.125" style="214" customWidth="1"/>
    <col min="11012" max="11013" width="13" style="214" customWidth="1"/>
    <col min="11014" max="11014" width="10.25" style="214" customWidth="1"/>
    <col min="11015" max="11015" width="11.375" style="214" customWidth="1"/>
    <col min="11016" max="11016" width="13" style="214" customWidth="1"/>
    <col min="11017" max="11017" width="12" style="214" customWidth="1"/>
    <col min="11018" max="11018" width="12.75" style="214" customWidth="1"/>
    <col min="11019" max="11019" width="13" style="214" customWidth="1"/>
    <col min="11020" max="11020" width="13" style="214" bestFit="1" customWidth="1"/>
    <col min="11021" max="11021" width="11.125" style="214" bestFit="1" customWidth="1"/>
    <col min="11022" max="11022" width="9.375" style="214" customWidth="1"/>
    <col min="11023" max="11023" width="14.125" style="214" bestFit="1" customWidth="1"/>
    <col min="11024" max="11024" width="9" style="214" bestFit="1" customWidth="1"/>
    <col min="11025" max="11264" width="9" style="214"/>
    <col min="11265" max="11265" width="2.625" style="214" customWidth="1"/>
    <col min="11266" max="11266" width="1.25" style="214" customWidth="1"/>
    <col min="11267" max="11267" width="14.125" style="214" customWidth="1"/>
    <col min="11268" max="11269" width="13" style="214" customWidth="1"/>
    <col min="11270" max="11270" width="10.25" style="214" customWidth="1"/>
    <col min="11271" max="11271" width="11.375" style="214" customWidth="1"/>
    <col min="11272" max="11272" width="13" style="214" customWidth="1"/>
    <col min="11273" max="11273" width="12" style="214" customWidth="1"/>
    <col min="11274" max="11274" width="12.75" style="214" customWidth="1"/>
    <col min="11275" max="11275" width="13" style="214" customWidth="1"/>
    <col min="11276" max="11276" width="13" style="214" bestFit="1" customWidth="1"/>
    <col min="11277" max="11277" width="11.125" style="214" bestFit="1" customWidth="1"/>
    <col min="11278" max="11278" width="9.375" style="214" customWidth="1"/>
    <col min="11279" max="11279" width="14.125" style="214" bestFit="1" customWidth="1"/>
    <col min="11280" max="11280" width="9" style="214" bestFit="1" customWidth="1"/>
    <col min="11281" max="11520" width="9" style="214"/>
    <col min="11521" max="11521" width="2.625" style="214" customWidth="1"/>
    <col min="11522" max="11522" width="1.25" style="214" customWidth="1"/>
    <col min="11523" max="11523" width="14.125" style="214" customWidth="1"/>
    <col min="11524" max="11525" width="13" style="214" customWidth="1"/>
    <col min="11526" max="11526" width="10.25" style="214" customWidth="1"/>
    <col min="11527" max="11527" width="11.375" style="214" customWidth="1"/>
    <col min="11528" max="11528" width="13" style="214" customWidth="1"/>
    <col min="11529" max="11529" width="12" style="214" customWidth="1"/>
    <col min="11530" max="11530" width="12.75" style="214" customWidth="1"/>
    <col min="11531" max="11531" width="13" style="214" customWidth="1"/>
    <col min="11532" max="11532" width="13" style="214" bestFit="1" customWidth="1"/>
    <col min="11533" max="11533" width="11.125" style="214" bestFit="1" customWidth="1"/>
    <col min="11534" max="11534" width="9.375" style="214" customWidth="1"/>
    <col min="11535" max="11535" width="14.125" style="214" bestFit="1" customWidth="1"/>
    <col min="11536" max="11536" width="9" style="214" bestFit="1" customWidth="1"/>
    <col min="11537" max="11776" width="9" style="214"/>
    <col min="11777" max="11777" width="2.625" style="214" customWidth="1"/>
    <col min="11778" max="11778" width="1.25" style="214" customWidth="1"/>
    <col min="11779" max="11779" width="14.125" style="214" customWidth="1"/>
    <col min="11780" max="11781" width="13" style="214" customWidth="1"/>
    <col min="11782" max="11782" width="10.25" style="214" customWidth="1"/>
    <col min="11783" max="11783" width="11.375" style="214" customWidth="1"/>
    <col min="11784" max="11784" width="13" style="214" customWidth="1"/>
    <col min="11785" max="11785" width="12" style="214" customWidth="1"/>
    <col min="11786" max="11786" width="12.75" style="214" customWidth="1"/>
    <col min="11787" max="11787" width="13" style="214" customWidth="1"/>
    <col min="11788" max="11788" width="13" style="214" bestFit="1" customWidth="1"/>
    <col min="11789" max="11789" width="11.125" style="214" bestFit="1" customWidth="1"/>
    <col min="11790" max="11790" width="9.375" style="214" customWidth="1"/>
    <col min="11791" max="11791" width="14.125" style="214" bestFit="1" customWidth="1"/>
    <col min="11792" max="11792" width="9" style="214" bestFit="1" customWidth="1"/>
    <col min="11793" max="12032" width="9" style="214"/>
    <col min="12033" max="12033" width="2.625" style="214" customWidth="1"/>
    <col min="12034" max="12034" width="1.25" style="214" customWidth="1"/>
    <col min="12035" max="12035" width="14.125" style="214" customWidth="1"/>
    <col min="12036" max="12037" width="13" style="214" customWidth="1"/>
    <col min="12038" max="12038" width="10.25" style="214" customWidth="1"/>
    <col min="12039" max="12039" width="11.375" style="214" customWidth="1"/>
    <col min="12040" max="12040" width="13" style="214" customWidth="1"/>
    <col min="12041" max="12041" width="12" style="214" customWidth="1"/>
    <col min="12042" max="12042" width="12.75" style="214" customWidth="1"/>
    <col min="12043" max="12043" width="13" style="214" customWidth="1"/>
    <col min="12044" max="12044" width="13" style="214" bestFit="1" customWidth="1"/>
    <col min="12045" max="12045" width="11.125" style="214" bestFit="1" customWidth="1"/>
    <col min="12046" max="12046" width="9.375" style="214" customWidth="1"/>
    <col min="12047" max="12047" width="14.125" style="214" bestFit="1" customWidth="1"/>
    <col min="12048" max="12048" width="9" style="214" bestFit="1" customWidth="1"/>
    <col min="12049" max="12288" width="9" style="214"/>
    <col min="12289" max="12289" width="2.625" style="214" customWidth="1"/>
    <col min="12290" max="12290" width="1.25" style="214" customWidth="1"/>
    <col min="12291" max="12291" width="14.125" style="214" customWidth="1"/>
    <col min="12292" max="12293" width="13" style="214" customWidth="1"/>
    <col min="12294" max="12294" width="10.25" style="214" customWidth="1"/>
    <col min="12295" max="12295" width="11.375" style="214" customWidth="1"/>
    <col min="12296" max="12296" width="13" style="214" customWidth="1"/>
    <col min="12297" max="12297" width="12" style="214" customWidth="1"/>
    <col min="12298" max="12298" width="12.75" style="214" customWidth="1"/>
    <col min="12299" max="12299" width="13" style="214" customWidth="1"/>
    <col min="12300" max="12300" width="13" style="214" bestFit="1" customWidth="1"/>
    <col min="12301" max="12301" width="11.125" style="214" bestFit="1" customWidth="1"/>
    <col min="12302" max="12302" width="9.375" style="214" customWidth="1"/>
    <col min="12303" max="12303" width="14.125" style="214" bestFit="1" customWidth="1"/>
    <col min="12304" max="12304" width="9" style="214" bestFit="1" customWidth="1"/>
    <col min="12305" max="12544" width="9" style="214"/>
    <col min="12545" max="12545" width="2.625" style="214" customWidth="1"/>
    <col min="12546" max="12546" width="1.25" style="214" customWidth="1"/>
    <col min="12547" max="12547" width="14.125" style="214" customWidth="1"/>
    <col min="12548" max="12549" width="13" style="214" customWidth="1"/>
    <col min="12550" max="12550" width="10.25" style="214" customWidth="1"/>
    <col min="12551" max="12551" width="11.375" style="214" customWidth="1"/>
    <col min="12552" max="12552" width="13" style="214" customWidth="1"/>
    <col min="12553" max="12553" width="12" style="214" customWidth="1"/>
    <col min="12554" max="12554" width="12.75" style="214" customWidth="1"/>
    <col min="12555" max="12555" width="13" style="214" customWidth="1"/>
    <col min="12556" max="12556" width="13" style="214" bestFit="1" customWidth="1"/>
    <col min="12557" max="12557" width="11.125" style="214" bestFit="1" customWidth="1"/>
    <col min="12558" max="12558" width="9.375" style="214" customWidth="1"/>
    <col min="12559" max="12559" width="14.125" style="214" bestFit="1" customWidth="1"/>
    <col min="12560" max="12560" width="9" style="214" bestFit="1" customWidth="1"/>
    <col min="12561" max="12800" width="9" style="214"/>
    <col min="12801" max="12801" width="2.625" style="214" customWidth="1"/>
    <col min="12802" max="12802" width="1.25" style="214" customWidth="1"/>
    <col min="12803" max="12803" width="14.125" style="214" customWidth="1"/>
    <col min="12804" max="12805" width="13" style="214" customWidth="1"/>
    <col min="12806" max="12806" width="10.25" style="214" customWidth="1"/>
    <col min="12807" max="12807" width="11.375" style="214" customWidth="1"/>
    <col min="12808" max="12808" width="13" style="214" customWidth="1"/>
    <col min="12809" max="12809" width="12" style="214" customWidth="1"/>
    <col min="12810" max="12810" width="12.75" style="214" customWidth="1"/>
    <col min="12811" max="12811" width="13" style="214" customWidth="1"/>
    <col min="12812" max="12812" width="13" style="214" bestFit="1" customWidth="1"/>
    <col min="12813" max="12813" width="11.125" style="214" bestFit="1" customWidth="1"/>
    <col min="12814" max="12814" width="9.375" style="214" customWidth="1"/>
    <col min="12815" max="12815" width="14.125" style="214" bestFit="1" customWidth="1"/>
    <col min="12816" max="12816" width="9" style="214" bestFit="1" customWidth="1"/>
    <col min="12817" max="13056" width="9" style="214"/>
    <col min="13057" max="13057" width="2.625" style="214" customWidth="1"/>
    <col min="13058" max="13058" width="1.25" style="214" customWidth="1"/>
    <col min="13059" max="13059" width="14.125" style="214" customWidth="1"/>
    <col min="13060" max="13061" width="13" style="214" customWidth="1"/>
    <col min="13062" max="13062" width="10.25" style="214" customWidth="1"/>
    <col min="13063" max="13063" width="11.375" style="214" customWidth="1"/>
    <col min="13064" max="13064" width="13" style="214" customWidth="1"/>
    <col min="13065" max="13065" width="12" style="214" customWidth="1"/>
    <col min="13066" max="13066" width="12.75" style="214" customWidth="1"/>
    <col min="13067" max="13067" width="13" style="214" customWidth="1"/>
    <col min="13068" max="13068" width="13" style="214" bestFit="1" customWidth="1"/>
    <col min="13069" max="13069" width="11.125" style="214" bestFit="1" customWidth="1"/>
    <col min="13070" max="13070" width="9.375" style="214" customWidth="1"/>
    <col min="13071" max="13071" width="14.125" style="214" bestFit="1" customWidth="1"/>
    <col min="13072" max="13072" width="9" style="214" bestFit="1" customWidth="1"/>
    <col min="13073" max="13312" width="9" style="214"/>
    <col min="13313" max="13313" width="2.625" style="214" customWidth="1"/>
    <col min="13314" max="13314" width="1.25" style="214" customWidth="1"/>
    <col min="13315" max="13315" width="14.125" style="214" customWidth="1"/>
    <col min="13316" max="13317" width="13" style="214" customWidth="1"/>
    <col min="13318" max="13318" width="10.25" style="214" customWidth="1"/>
    <col min="13319" max="13319" width="11.375" style="214" customWidth="1"/>
    <col min="13320" max="13320" width="13" style="214" customWidth="1"/>
    <col min="13321" max="13321" width="12" style="214" customWidth="1"/>
    <col min="13322" max="13322" width="12.75" style="214" customWidth="1"/>
    <col min="13323" max="13323" width="13" style="214" customWidth="1"/>
    <col min="13324" max="13324" width="13" style="214" bestFit="1" customWidth="1"/>
    <col min="13325" max="13325" width="11.125" style="214" bestFit="1" customWidth="1"/>
    <col min="13326" max="13326" width="9.375" style="214" customWidth="1"/>
    <col min="13327" max="13327" width="14.125" style="214" bestFit="1" customWidth="1"/>
    <col min="13328" max="13328" width="9" style="214" bestFit="1" customWidth="1"/>
    <col min="13329" max="13568" width="9" style="214"/>
    <col min="13569" max="13569" width="2.625" style="214" customWidth="1"/>
    <col min="13570" max="13570" width="1.25" style="214" customWidth="1"/>
    <col min="13571" max="13571" width="14.125" style="214" customWidth="1"/>
    <col min="13572" max="13573" width="13" style="214" customWidth="1"/>
    <col min="13574" max="13574" width="10.25" style="214" customWidth="1"/>
    <col min="13575" max="13575" width="11.375" style="214" customWidth="1"/>
    <col min="13576" max="13576" width="13" style="214" customWidth="1"/>
    <col min="13577" max="13577" width="12" style="214" customWidth="1"/>
    <col min="13578" max="13578" width="12.75" style="214" customWidth="1"/>
    <col min="13579" max="13579" width="13" style="214" customWidth="1"/>
    <col min="13580" max="13580" width="13" style="214" bestFit="1" customWidth="1"/>
    <col min="13581" max="13581" width="11.125" style="214" bestFit="1" customWidth="1"/>
    <col min="13582" max="13582" width="9.375" style="214" customWidth="1"/>
    <col min="13583" max="13583" width="14.125" style="214" bestFit="1" customWidth="1"/>
    <col min="13584" max="13584" width="9" style="214" bestFit="1" customWidth="1"/>
    <col min="13585" max="13824" width="9" style="214"/>
    <col min="13825" max="13825" width="2.625" style="214" customWidth="1"/>
    <col min="13826" max="13826" width="1.25" style="214" customWidth="1"/>
    <col min="13827" max="13827" width="14.125" style="214" customWidth="1"/>
    <col min="13828" max="13829" width="13" style="214" customWidth="1"/>
    <col min="13830" max="13830" width="10.25" style="214" customWidth="1"/>
    <col min="13831" max="13831" width="11.375" style="214" customWidth="1"/>
    <col min="13832" max="13832" width="13" style="214" customWidth="1"/>
    <col min="13833" max="13833" width="12" style="214" customWidth="1"/>
    <col min="13834" max="13834" width="12.75" style="214" customWidth="1"/>
    <col min="13835" max="13835" width="13" style="214" customWidth="1"/>
    <col min="13836" max="13836" width="13" style="214" bestFit="1" customWidth="1"/>
    <col min="13837" max="13837" width="11.125" style="214" bestFit="1" customWidth="1"/>
    <col min="13838" max="13838" width="9.375" style="214" customWidth="1"/>
    <col min="13839" max="13839" width="14.125" style="214" bestFit="1" customWidth="1"/>
    <col min="13840" max="13840" width="9" style="214" bestFit="1" customWidth="1"/>
    <col min="13841" max="14080" width="9" style="214"/>
    <col min="14081" max="14081" width="2.625" style="214" customWidth="1"/>
    <col min="14082" max="14082" width="1.25" style="214" customWidth="1"/>
    <col min="14083" max="14083" width="14.125" style="214" customWidth="1"/>
    <col min="14084" max="14085" width="13" style="214" customWidth="1"/>
    <col min="14086" max="14086" width="10.25" style="214" customWidth="1"/>
    <col min="14087" max="14087" width="11.375" style="214" customWidth="1"/>
    <col min="14088" max="14088" width="13" style="214" customWidth="1"/>
    <col min="14089" max="14089" width="12" style="214" customWidth="1"/>
    <col min="14090" max="14090" width="12.75" style="214" customWidth="1"/>
    <col min="14091" max="14091" width="13" style="214" customWidth="1"/>
    <col min="14092" max="14092" width="13" style="214" bestFit="1" customWidth="1"/>
    <col min="14093" max="14093" width="11.125" style="214" bestFit="1" customWidth="1"/>
    <col min="14094" max="14094" width="9.375" style="214" customWidth="1"/>
    <col min="14095" max="14095" width="14.125" style="214" bestFit="1" customWidth="1"/>
    <col min="14096" max="14096" width="9" style="214" bestFit="1" customWidth="1"/>
    <col min="14097" max="14336" width="9" style="214"/>
    <col min="14337" max="14337" width="2.625" style="214" customWidth="1"/>
    <col min="14338" max="14338" width="1.25" style="214" customWidth="1"/>
    <col min="14339" max="14339" width="14.125" style="214" customWidth="1"/>
    <col min="14340" max="14341" width="13" style="214" customWidth="1"/>
    <col min="14342" max="14342" width="10.25" style="214" customWidth="1"/>
    <col min="14343" max="14343" width="11.375" style="214" customWidth="1"/>
    <col min="14344" max="14344" width="13" style="214" customWidth="1"/>
    <col min="14345" max="14345" width="12" style="214" customWidth="1"/>
    <col min="14346" max="14346" width="12.75" style="214" customWidth="1"/>
    <col min="14347" max="14347" width="13" style="214" customWidth="1"/>
    <col min="14348" max="14348" width="13" style="214" bestFit="1" customWidth="1"/>
    <col min="14349" max="14349" width="11.125" style="214" bestFit="1" customWidth="1"/>
    <col min="14350" max="14350" width="9.375" style="214" customWidth="1"/>
    <col min="14351" max="14351" width="14.125" style="214" bestFit="1" customWidth="1"/>
    <col min="14352" max="14352" width="9" style="214" bestFit="1" customWidth="1"/>
    <col min="14353" max="14592" width="9" style="214"/>
    <col min="14593" max="14593" width="2.625" style="214" customWidth="1"/>
    <col min="14594" max="14594" width="1.25" style="214" customWidth="1"/>
    <col min="14595" max="14595" width="14.125" style="214" customWidth="1"/>
    <col min="14596" max="14597" width="13" style="214" customWidth="1"/>
    <col min="14598" max="14598" width="10.25" style="214" customWidth="1"/>
    <col min="14599" max="14599" width="11.375" style="214" customWidth="1"/>
    <col min="14600" max="14600" width="13" style="214" customWidth="1"/>
    <col min="14601" max="14601" width="12" style="214" customWidth="1"/>
    <col min="14602" max="14602" width="12.75" style="214" customWidth="1"/>
    <col min="14603" max="14603" width="13" style="214" customWidth="1"/>
    <col min="14604" max="14604" width="13" style="214" bestFit="1" customWidth="1"/>
    <col min="14605" max="14605" width="11.125" style="214" bestFit="1" customWidth="1"/>
    <col min="14606" max="14606" width="9.375" style="214" customWidth="1"/>
    <col min="14607" max="14607" width="14.125" style="214" bestFit="1" customWidth="1"/>
    <col min="14608" max="14608" width="9" style="214" bestFit="1" customWidth="1"/>
    <col min="14609" max="14848" width="9" style="214"/>
    <col min="14849" max="14849" width="2.625" style="214" customWidth="1"/>
    <col min="14850" max="14850" width="1.25" style="214" customWidth="1"/>
    <col min="14851" max="14851" width="14.125" style="214" customWidth="1"/>
    <col min="14852" max="14853" width="13" style="214" customWidth="1"/>
    <col min="14854" max="14854" width="10.25" style="214" customWidth="1"/>
    <col min="14855" max="14855" width="11.375" style="214" customWidth="1"/>
    <col min="14856" max="14856" width="13" style="214" customWidth="1"/>
    <col min="14857" max="14857" width="12" style="214" customWidth="1"/>
    <col min="14858" max="14858" width="12.75" style="214" customWidth="1"/>
    <col min="14859" max="14859" width="13" style="214" customWidth="1"/>
    <col min="14860" max="14860" width="13" style="214" bestFit="1" customWidth="1"/>
    <col min="14861" max="14861" width="11.125" style="214" bestFit="1" customWidth="1"/>
    <col min="14862" max="14862" width="9.375" style="214" customWidth="1"/>
    <col min="14863" max="14863" width="14.125" style="214" bestFit="1" customWidth="1"/>
    <col min="14864" max="14864" width="9" style="214" bestFit="1" customWidth="1"/>
    <col min="14865" max="15104" width="9" style="214"/>
    <col min="15105" max="15105" width="2.625" style="214" customWidth="1"/>
    <col min="15106" max="15106" width="1.25" style="214" customWidth="1"/>
    <col min="15107" max="15107" width="14.125" style="214" customWidth="1"/>
    <col min="15108" max="15109" width="13" style="214" customWidth="1"/>
    <col min="15110" max="15110" width="10.25" style="214" customWidth="1"/>
    <col min="15111" max="15111" width="11.375" style="214" customWidth="1"/>
    <col min="15112" max="15112" width="13" style="214" customWidth="1"/>
    <col min="15113" max="15113" width="12" style="214" customWidth="1"/>
    <col min="15114" max="15114" width="12.75" style="214" customWidth="1"/>
    <col min="15115" max="15115" width="13" style="214" customWidth="1"/>
    <col min="15116" max="15116" width="13" style="214" bestFit="1" customWidth="1"/>
    <col min="15117" max="15117" width="11.125" style="214" bestFit="1" customWidth="1"/>
    <col min="15118" max="15118" width="9.375" style="214" customWidth="1"/>
    <col min="15119" max="15119" width="14.125" style="214" bestFit="1" customWidth="1"/>
    <col min="15120" max="15120" width="9" style="214" bestFit="1" customWidth="1"/>
    <col min="15121" max="15360" width="9" style="214"/>
    <col min="15361" max="15361" width="2.625" style="214" customWidth="1"/>
    <col min="15362" max="15362" width="1.25" style="214" customWidth="1"/>
    <col min="15363" max="15363" width="14.125" style="214" customWidth="1"/>
    <col min="15364" max="15365" width="13" style="214" customWidth="1"/>
    <col min="15366" max="15366" width="10.25" style="214" customWidth="1"/>
    <col min="15367" max="15367" width="11.375" style="214" customWidth="1"/>
    <col min="15368" max="15368" width="13" style="214" customWidth="1"/>
    <col min="15369" max="15369" width="12" style="214" customWidth="1"/>
    <col min="15370" max="15370" width="12.75" style="214" customWidth="1"/>
    <col min="15371" max="15371" width="13" style="214" customWidth="1"/>
    <col min="15372" max="15372" width="13" style="214" bestFit="1" customWidth="1"/>
    <col min="15373" max="15373" width="11.125" style="214" bestFit="1" customWidth="1"/>
    <col min="15374" max="15374" width="9.375" style="214" customWidth="1"/>
    <col min="15375" max="15375" width="14.125" style="214" bestFit="1" customWidth="1"/>
    <col min="15376" max="15376" width="9" style="214" bestFit="1" customWidth="1"/>
    <col min="15377" max="15616" width="9" style="214"/>
    <col min="15617" max="15617" width="2.625" style="214" customWidth="1"/>
    <col min="15618" max="15618" width="1.25" style="214" customWidth="1"/>
    <col min="15619" max="15619" width="14.125" style="214" customWidth="1"/>
    <col min="15620" max="15621" width="13" style="214" customWidth="1"/>
    <col min="15622" max="15622" width="10.25" style="214" customWidth="1"/>
    <col min="15623" max="15623" width="11.375" style="214" customWidth="1"/>
    <col min="15624" max="15624" width="13" style="214" customWidth="1"/>
    <col min="15625" max="15625" width="12" style="214" customWidth="1"/>
    <col min="15626" max="15626" width="12.75" style="214" customWidth="1"/>
    <col min="15627" max="15627" width="13" style="214" customWidth="1"/>
    <col min="15628" max="15628" width="13" style="214" bestFit="1" customWidth="1"/>
    <col min="15629" max="15629" width="11.125" style="214" bestFit="1" customWidth="1"/>
    <col min="15630" max="15630" width="9.375" style="214" customWidth="1"/>
    <col min="15631" max="15631" width="14.125" style="214" bestFit="1" customWidth="1"/>
    <col min="15632" max="15632" width="9" style="214" bestFit="1" customWidth="1"/>
    <col min="15633" max="15872" width="9" style="214"/>
    <col min="15873" max="15873" width="2.625" style="214" customWidth="1"/>
    <col min="15874" max="15874" width="1.25" style="214" customWidth="1"/>
    <col min="15875" max="15875" width="14.125" style="214" customWidth="1"/>
    <col min="15876" max="15877" width="13" style="214" customWidth="1"/>
    <col min="15878" max="15878" width="10.25" style="214" customWidth="1"/>
    <col min="15879" max="15879" width="11.375" style="214" customWidth="1"/>
    <col min="15880" max="15880" width="13" style="214" customWidth="1"/>
    <col min="15881" max="15881" width="12" style="214" customWidth="1"/>
    <col min="15882" max="15882" width="12.75" style="214" customWidth="1"/>
    <col min="15883" max="15883" width="13" style="214" customWidth="1"/>
    <col min="15884" max="15884" width="13" style="214" bestFit="1" customWidth="1"/>
    <col min="15885" max="15885" width="11.125" style="214" bestFit="1" customWidth="1"/>
    <col min="15886" max="15886" width="9.375" style="214" customWidth="1"/>
    <col min="15887" max="15887" width="14.125" style="214" bestFit="1" customWidth="1"/>
    <col min="15888" max="15888" width="9" style="214" bestFit="1" customWidth="1"/>
    <col min="15889" max="16128" width="9" style="214"/>
    <col min="16129" max="16129" width="2.625" style="214" customWidth="1"/>
    <col min="16130" max="16130" width="1.25" style="214" customWidth="1"/>
    <col min="16131" max="16131" width="14.125" style="214" customWidth="1"/>
    <col min="16132" max="16133" width="13" style="214" customWidth="1"/>
    <col min="16134" max="16134" width="10.25" style="214" customWidth="1"/>
    <col min="16135" max="16135" width="11.375" style="214" customWidth="1"/>
    <col min="16136" max="16136" width="13" style="214" customWidth="1"/>
    <col min="16137" max="16137" width="12" style="214" customWidth="1"/>
    <col min="16138" max="16138" width="12.75" style="214" customWidth="1"/>
    <col min="16139" max="16139" width="13" style="214" customWidth="1"/>
    <col min="16140" max="16140" width="13" style="214" bestFit="1" customWidth="1"/>
    <col min="16141" max="16141" width="11.125" style="214" bestFit="1" customWidth="1"/>
    <col min="16142" max="16142" width="9.375" style="214" customWidth="1"/>
    <col min="16143" max="16143" width="14.125" style="214" bestFit="1" customWidth="1"/>
    <col min="16144" max="16144" width="9" style="214" bestFit="1" customWidth="1"/>
    <col min="16145" max="16384" width="9" style="214"/>
  </cols>
  <sheetData>
    <row r="1" spans="1:15" ht="24.75" customHeight="1">
      <c r="A1" s="298" t="str">
        <f>+LEFT('3条税込み'!A1,2)&amp;"年度経費（雨水・汚水）区分調 (決算・税抜き)"</f>
        <v>令和年度経費（雨水・汚水）区分調 (決算・税抜き)</v>
      </c>
    </row>
    <row r="2" spans="1:15" ht="24.75" customHeight="1" thickBot="1">
      <c r="A2" s="214" t="s">
        <v>293</v>
      </c>
      <c r="K2" s="259" t="s">
        <v>292</v>
      </c>
    </row>
    <row r="3" spans="1:15" ht="24.75" customHeight="1">
      <c r="A3" s="233" t="s">
        <v>291</v>
      </c>
      <c r="B3" s="232"/>
      <c r="C3" s="232"/>
      <c r="D3" s="297" t="s">
        <v>290</v>
      </c>
      <c r="E3" s="296" t="s">
        <v>289</v>
      </c>
      <c r="F3" s="294"/>
      <c r="G3" s="294"/>
      <c r="H3" s="293"/>
      <c r="I3" s="295" t="s">
        <v>288</v>
      </c>
      <c r="J3" s="294"/>
      <c r="K3" s="293"/>
    </row>
    <row r="4" spans="1:15" s="273" customFormat="1" ht="24.75" customHeight="1">
      <c r="A4" s="292"/>
      <c r="B4" s="291"/>
      <c r="C4" s="291"/>
      <c r="D4" s="290"/>
      <c r="E4" s="289" t="s">
        <v>287</v>
      </c>
      <c r="F4" s="288"/>
      <c r="G4" s="287" t="s">
        <v>286</v>
      </c>
      <c r="H4" s="284" t="s">
        <v>285</v>
      </c>
      <c r="I4" s="286" t="s">
        <v>287</v>
      </c>
      <c r="J4" s="285" t="s">
        <v>286</v>
      </c>
      <c r="K4" s="284" t="s">
        <v>285</v>
      </c>
    </row>
    <row r="5" spans="1:15" s="275" customFormat="1" ht="24.75" customHeight="1">
      <c r="A5" s="283"/>
      <c r="B5" s="282"/>
      <c r="C5" s="282"/>
      <c r="D5" s="281"/>
      <c r="E5" s="280" t="s">
        <v>282</v>
      </c>
      <c r="F5" s="277" t="s">
        <v>284</v>
      </c>
      <c r="G5" s="279" t="s">
        <v>283</v>
      </c>
      <c r="H5" s="276"/>
      <c r="I5" s="278" t="s">
        <v>282</v>
      </c>
      <c r="J5" s="277" t="s">
        <v>282</v>
      </c>
      <c r="K5" s="276"/>
      <c r="M5" s="314" t="s">
        <v>295</v>
      </c>
    </row>
    <row r="6" spans="1:15" ht="24.75" customHeight="1">
      <c r="A6" s="265"/>
      <c r="B6" s="255" t="s">
        <v>244</v>
      </c>
      <c r="C6" s="258"/>
      <c r="D6" s="246">
        <f>SUM(D7:D20)</f>
        <v>10791340439</v>
      </c>
      <c r="E6" s="245">
        <f>SUM(E7:E20)</f>
        <v>2679944458</v>
      </c>
      <c r="F6" s="311">
        <f>SUM(F7:F20)</f>
        <v>251984734</v>
      </c>
      <c r="G6" s="242">
        <f>SUM(G7:G20)</f>
        <v>420868760</v>
      </c>
      <c r="H6" s="241">
        <f t="shared" ref="H6:H24" si="0">SUM(E6:G6)</f>
        <v>3352797952</v>
      </c>
      <c r="I6" s="243">
        <f>SUM(I7:I20)</f>
        <v>218712415</v>
      </c>
      <c r="J6" s="242">
        <f>SUM(J7:J20)</f>
        <v>7219830072</v>
      </c>
      <c r="K6" s="241">
        <f t="shared" ref="K6:K24" si="1">SUM(I6:J6)</f>
        <v>7438542487</v>
      </c>
      <c r="M6" s="214">
        <f>SUM(M7:M20)</f>
        <v>820944501</v>
      </c>
      <c r="N6" s="214">
        <f t="shared" ref="N6:N24" si="2">D6-H6-K6</f>
        <v>0</v>
      </c>
    </row>
    <row r="7" spans="1:15" ht="24.75" customHeight="1">
      <c r="A7" s="252"/>
      <c r="B7" s="255"/>
      <c r="C7" s="255" t="s">
        <v>77</v>
      </c>
      <c r="D7" s="246">
        <f>+雨汚水!O7</f>
        <v>564664608</v>
      </c>
      <c r="E7" s="245">
        <f>+雨汚水!P7</f>
        <v>263704959</v>
      </c>
      <c r="F7" s="311">
        <f>+雨汚水!Q7</f>
        <v>55426018</v>
      </c>
      <c r="G7" s="242">
        <f>+雨汚水!R7</f>
        <v>0</v>
      </c>
      <c r="H7" s="241">
        <f t="shared" si="0"/>
        <v>319130977</v>
      </c>
      <c r="I7" s="243">
        <f>+雨汚水!T7</f>
        <v>0</v>
      </c>
      <c r="J7" s="242">
        <f>+雨汚水!U7</f>
        <v>245533631</v>
      </c>
      <c r="K7" s="241">
        <f t="shared" si="1"/>
        <v>245533631</v>
      </c>
      <c r="M7" s="214">
        <f>'3条税込み'!D7-'3条税抜き'!D7</f>
        <v>47155349</v>
      </c>
      <c r="N7" s="214">
        <f t="shared" si="2"/>
        <v>0</v>
      </c>
    </row>
    <row r="8" spans="1:15" ht="24.75" customHeight="1">
      <c r="A8" s="252"/>
      <c r="B8" s="256"/>
      <c r="C8" s="255" t="s">
        <v>74</v>
      </c>
      <c r="D8" s="246">
        <f>+雨汚水!O8</f>
        <v>51313295</v>
      </c>
      <c r="E8" s="245">
        <f>+雨汚水!P8</f>
        <v>0</v>
      </c>
      <c r="F8" s="311">
        <f>+雨汚水!Q8</f>
        <v>0</v>
      </c>
      <c r="G8" s="242">
        <f>+雨汚水!R8</f>
        <v>0</v>
      </c>
      <c r="H8" s="241">
        <f t="shared" si="0"/>
        <v>0</v>
      </c>
      <c r="I8" s="243">
        <f>+雨汚水!T8</f>
        <v>51313295</v>
      </c>
      <c r="J8" s="242">
        <f>+雨汚水!U8</f>
        <v>0</v>
      </c>
      <c r="K8" s="241">
        <f t="shared" si="1"/>
        <v>51313295</v>
      </c>
      <c r="M8" s="214">
        <f>'3条税込み'!D8-'3条税抜き'!D8</f>
        <v>1130574</v>
      </c>
      <c r="N8" s="214">
        <f t="shared" si="2"/>
        <v>0</v>
      </c>
    </row>
    <row r="9" spans="1:15" ht="24.75" customHeight="1">
      <c r="A9" s="252"/>
      <c r="B9" s="256"/>
      <c r="C9" s="255" t="s">
        <v>71</v>
      </c>
      <c r="D9" s="246">
        <f>+雨汚水!O9</f>
        <v>2251657967</v>
      </c>
      <c r="E9" s="245">
        <f>+雨汚水!P9</f>
        <v>1648504061</v>
      </c>
      <c r="F9" s="311">
        <f>+雨汚水!Q9</f>
        <v>52612790</v>
      </c>
      <c r="G9" s="242">
        <f>+雨汚水!R9</f>
        <v>0</v>
      </c>
      <c r="H9" s="241">
        <f t="shared" si="0"/>
        <v>1701116851</v>
      </c>
      <c r="I9" s="243">
        <f>+雨汚水!T9</f>
        <v>0</v>
      </c>
      <c r="J9" s="242">
        <f>+雨汚水!U9</f>
        <v>550541116</v>
      </c>
      <c r="K9" s="241">
        <f t="shared" si="1"/>
        <v>550541116</v>
      </c>
      <c r="M9" s="214">
        <f>'3条税込み'!D9-'3条税抜き'!D9</f>
        <v>104382258</v>
      </c>
      <c r="N9" s="214">
        <f t="shared" si="2"/>
        <v>0</v>
      </c>
    </row>
    <row r="10" spans="1:15" ht="24.75" customHeight="1">
      <c r="A10" s="252"/>
      <c r="B10" s="256"/>
      <c r="C10" s="255" t="s">
        <v>69</v>
      </c>
      <c r="D10" s="246">
        <f>+雨汚水!O10</f>
        <v>6037810078</v>
      </c>
      <c r="E10" s="245">
        <f>+雨汚水!P10</f>
        <v>647980161</v>
      </c>
      <c r="F10" s="311">
        <f>+雨汚水!Q10</f>
        <v>132685804</v>
      </c>
      <c r="G10" s="242">
        <f>+雨汚水!R10</f>
        <v>410472490</v>
      </c>
      <c r="H10" s="241">
        <f t="shared" si="0"/>
        <v>1191138455</v>
      </c>
      <c r="I10" s="274">
        <f>+雨汚水!T10</f>
        <v>123832094</v>
      </c>
      <c r="J10" s="242">
        <f>+雨汚水!U10</f>
        <v>4722839529</v>
      </c>
      <c r="K10" s="241">
        <f t="shared" si="1"/>
        <v>4846671623</v>
      </c>
      <c r="M10" s="214">
        <f>'3条税込み'!D10-'3条税抜き'!D10</f>
        <v>519893786</v>
      </c>
      <c r="N10" s="214">
        <f t="shared" si="2"/>
        <v>0</v>
      </c>
    </row>
    <row r="11" spans="1:15" ht="24.75" customHeight="1">
      <c r="A11" s="252"/>
      <c r="B11" s="256"/>
      <c r="C11" s="255" t="s">
        <v>67</v>
      </c>
      <c r="D11" s="246">
        <f>+雨汚水!O11</f>
        <v>0</v>
      </c>
      <c r="E11" s="245">
        <f>+雨汚水!P11</f>
        <v>0</v>
      </c>
      <c r="F11" s="242">
        <f>+雨汚水!Q11</f>
        <v>0</v>
      </c>
      <c r="G11" s="242">
        <f>+雨汚水!R11</f>
        <v>0</v>
      </c>
      <c r="H11" s="241">
        <f t="shared" si="0"/>
        <v>0</v>
      </c>
      <c r="I11" s="243">
        <f>+雨汚水!T11</f>
        <v>0</v>
      </c>
      <c r="J11" s="242">
        <f>+雨汚水!U11</f>
        <v>0</v>
      </c>
      <c r="K11" s="241">
        <f t="shared" si="1"/>
        <v>0</v>
      </c>
      <c r="L11" s="273" t="s">
        <v>281</v>
      </c>
      <c r="M11" s="214">
        <f>'3条税込み'!D11-'3条税抜き'!D11</f>
        <v>0</v>
      </c>
      <c r="N11" s="214">
        <f t="shared" si="2"/>
        <v>0</v>
      </c>
    </row>
    <row r="12" spans="1:15" ht="24.75" customHeight="1">
      <c r="A12" s="252"/>
      <c r="B12" s="256"/>
      <c r="C12" s="255" t="s">
        <v>65</v>
      </c>
      <c r="D12" s="246">
        <f>+雨汚水!O12</f>
        <v>87134052</v>
      </c>
      <c r="E12" s="245">
        <f>+雨汚水!P12</f>
        <v>0</v>
      </c>
      <c r="F12" s="242">
        <f>+雨汚水!Q12</f>
        <v>0</v>
      </c>
      <c r="G12" s="242">
        <f>+雨汚水!R12</f>
        <v>0</v>
      </c>
      <c r="H12" s="241">
        <f t="shared" si="0"/>
        <v>0</v>
      </c>
      <c r="I12" s="243">
        <f>+雨汚水!T12</f>
        <v>43567026</v>
      </c>
      <c r="J12" s="242">
        <f>+雨汚水!U12</f>
        <v>43567026</v>
      </c>
      <c r="K12" s="241">
        <f t="shared" si="1"/>
        <v>87134052</v>
      </c>
      <c r="L12" s="214">
        <f>G12+I12</f>
        <v>43567026</v>
      </c>
      <c r="M12" s="214">
        <f>'3条税込み'!D12-'3条税抜き'!D12</f>
        <v>1715497</v>
      </c>
      <c r="N12" s="214">
        <f t="shared" si="2"/>
        <v>0</v>
      </c>
    </row>
    <row r="13" spans="1:15" ht="24.75" customHeight="1">
      <c r="A13" s="252"/>
      <c r="B13" s="256"/>
      <c r="C13" s="270" t="s">
        <v>62</v>
      </c>
      <c r="D13" s="246">
        <f>+雨汚水!O13</f>
        <v>10396270</v>
      </c>
      <c r="E13" s="245">
        <f>+雨汚水!P13</f>
        <v>0</v>
      </c>
      <c r="F13" s="242">
        <f>+雨汚水!Q13</f>
        <v>0</v>
      </c>
      <c r="G13" s="242">
        <f>+雨汚水!R13</f>
        <v>10396270</v>
      </c>
      <c r="H13" s="241">
        <f t="shared" si="0"/>
        <v>10396270</v>
      </c>
      <c r="I13" s="243">
        <f>+雨汚水!T13</f>
        <v>0</v>
      </c>
      <c r="J13" s="242">
        <f>+雨汚水!U13</f>
        <v>0</v>
      </c>
      <c r="K13" s="241">
        <f t="shared" si="1"/>
        <v>0</v>
      </c>
      <c r="M13" s="214">
        <f>'3条税込み'!D13-'3条税抜き'!D13</f>
        <v>87589</v>
      </c>
      <c r="N13" s="214">
        <f t="shared" si="2"/>
        <v>0</v>
      </c>
    </row>
    <row r="14" spans="1:15" ht="24.75" customHeight="1">
      <c r="A14" s="252"/>
      <c r="B14" s="256"/>
      <c r="C14" s="255" t="s">
        <v>60</v>
      </c>
      <c r="D14" s="246">
        <f>+雨汚水!O14</f>
        <v>929691714</v>
      </c>
      <c r="E14" s="245">
        <f>+雨汚水!P14</f>
        <v>0</v>
      </c>
      <c r="F14" s="242">
        <f>+雨汚水!Q14</f>
        <v>0</v>
      </c>
      <c r="G14" s="242">
        <f>+雨汚水!R14</f>
        <v>0</v>
      </c>
      <c r="H14" s="241">
        <f t="shared" si="0"/>
        <v>0</v>
      </c>
      <c r="I14" s="243">
        <f>+雨汚水!T14</f>
        <v>0</v>
      </c>
      <c r="J14" s="242">
        <f>+雨汚水!U14</f>
        <v>929691714</v>
      </c>
      <c r="K14" s="241">
        <f t="shared" si="1"/>
        <v>929691714</v>
      </c>
      <c r="M14" s="214">
        <f>'3条税込み'!D14-'3条税抜き'!D14</f>
        <v>90253429</v>
      </c>
      <c r="N14" s="214">
        <f t="shared" si="2"/>
        <v>0</v>
      </c>
      <c r="O14" s="272" t="s">
        <v>279</v>
      </c>
    </row>
    <row r="15" spans="1:15" ht="24.75" customHeight="1">
      <c r="A15" s="252"/>
      <c r="B15" s="256"/>
      <c r="C15" s="255" t="s">
        <v>58</v>
      </c>
      <c r="D15" s="246">
        <f>+雨汚水!O15</f>
        <v>466286409</v>
      </c>
      <c r="E15" s="245">
        <f>+雨汚水!P15</f>
        <v>119755277</v>
      </c>
      <c r="F15" s="242">
        <f>+雨汚水!Q15</f>
        <v>11260122</v>
      </c>
      <c r="G15" s="242">
        <f>+雨汚水!R15</f>
        <v>0</v>
      </c>
      <c r="H15" s="241">
        <f t="shared" si="0"/>
        <v>131015399</v>
      </c>
      <c r="I15" s="243">
        <f>+雨汚水!T15</f>
        <v>0</v>
      </c>
      <c r="J15" s="242">
        <f>+雨汚水!U15</f>
        <v>335271010</v>
      </c>
      <c r="K15" s="241">
        <f t="shared" si="1"/>
        <v>335271010</v>
      </c>
      <c r="M15" s="214">
        <f>'3条税込み'!D15-'3条税抜き'!D15</f>
        <v>17678805</v>
      </c>
      <c r="N15" s="214">
        <f t="shared" si="2"/>
        <v>0</v>
      </c>
      <c r="O15" s="271">
        <f>+[1]総係!T36-[1]総係!T35</f>
        <v>-14495555</v>
      </c>
    </row>
    <row r="16" spans="1:15" ht="24.75" customHeight="1">
      <c r="A16" s="252"/>
      <c r="B16" s="256"/>
      <c r="C16" s="270" t="s">
        <v>278</v>
      </c>
      <c r="D16" s="246">
        <f>+雨汚水!O16</f>
        <v>97276922</v>
      </c>
      <c r="E16" s="245">
        <f>+雨汚水!P16</f>
        <v>0</v>
      </c>
      <c r="F16" s="242">
        <f>+雨汚水!Q16</f>
        <v>0</v>
      </c>
      <c r="G16" s="242">
        <f>+雨汚水!R16</f>
        <v>0</v>
      </c>
      <c r="H16" s="241">
        <f t="shared" si="0"/>
        <v>0</v>
      </c>
      <c r="I16" s="243">
        <f>+雨汚水!T16</f>
        <v>0</v>
      </c>
      <c r="J16" s="242">
        <f>+雨汚水!U16</f>
        <v>97276922</v>
      </c>
      <c r="K16" s="241">
        <f t="shared" si="1"/>
        <v>97276922</v>
      </c>
      <c r="M16" s="214">
        <f>'3条税込み'!D16-'3条税抜き'!D16</f>
        <v>9713984</v>
      </c>
      <c r="N16" s="214">
        <f t="shared" si="2"/>
        <v>0</v>
      </c>
    </row>
    <row r="17" spans="1:14" ht="24.75" customHeight="1">
      <c r="A17" s="252"/>
      <c r="B17" s="256"/>
      <c r="C17" s="255" t="s">
        <v>277</v>
      </c>
      <c r="D17" s="246">
        <f>+雨汚水!O17</f>
        <v>225167795</v>
      </c>
      <c r="E17" s="245">
        <f>+雨汚水!P17</f>
        <v>0</v>
      </c>
      <c r="F17" s="242">
        <f>+雨汚水!Q17</f>
        <v>0</v>
      </c>
      <c r="G17" s="242">
        <f>+雨汚水!R17</f>
        <v>0</v>
      </c>
      <c r="H17" s="241">
        <f t="shared" si="0"/>
        <v>0</v>
      </c>
      <c r="I17" s="243">
        <f>+雨汚水!T17</f>
        <v>0</v>
      </c>
      <c r="J17" s="242">
        <f>+雨汚水!U17</f>
        <v>225167795</v>
      </c>
      <c r="K17" s="241">
        <f t="shared" si="1"/>
        <v>225167795</v>
      </c>
      <c r="M17" s="214">
        <f>'3条税込み'!D17-'3条税抜き'!D17</f>
        <v>22486229</v>
      </c>
      <c r="N17" s="214">
        <f t="shared" si="2"/>
        <v>0</v>
      </c>
    </row>
    <row r="18" spans="1:14" ht="24.75" customHeight="1">
      <c r="A18" s="252"/>
      <c r="B18" s="256"/>
      <c r="C18" s="255" t="s">
        <v>276</v>
      </c>
      <c r="D18" s="246">
        <f>+雨汚水!O18</f>
        <v>69941329</v>
      </c>
      <c r="E18" s="245">
        <f>+雨汚水!P18</f>
        <v>0</v>
      </c>
      <c r="F18" s="242">
        <f>+雨汚水!Q18</f>
        <v>0</v>
      </c>
      <c r="G18" s="242">
        <f>+雨汚水!R18</f>
        <v>0</v>
      </c>
      <c r="H18" s="241">
        <f t="shared" si="0"/>
        <v>0</v>
      </c>
      <c r="I18" s="243">
        <f>+雨汚水!T18</f>
        <v>0</v>
      </c>
      <c r="J18" s="242">
        <f>+雨汚水!U18</f>
        <v>69941329</v>
      </c>
      <c r="K18" s="241">
        <f t="shared" si="1"/>
        <v>69941329</v>
      </c>
      <c r="M18" s="214">
        <f>'3条税込み'!D18-'3条税抜き'!D18</f>
        <v>6447001</v>
      </c>
      <c r="N18" s="214">
        <f t="shared" si="2"/>
        <v>0</v>
      </c>
    </row>
    <row r="19" spans="1:14" ht="24.75" customHeight="1">
      <c r="A19" s="252"/>
      <c r="B19" s="256"/>
      <c r="C19" s="255" t="s">
        <v>275</v>
      </c>
      <c r="D19" s="246">
        <f>+雨汚水!O19</f>
        <v>0</v>
      </c>
      <c r="E19" s="245">
        <f>+雨汚水!P19</f>
        <v>0</v>
      </c>
      <c r="F19" s="242">
        <f>+雨汚水!Q19</f>
        <v>0</v>
      </c>
      <c r="G19" s="242">
        <f>+雨汚水!R19</f>
        <v>0</v>
      </c>
      <c r="H19" s="241">
        <f t="shared" si="0"/>
        <v>0</v>
      </c>
      <c r="I19" s="243">
        <f>+雨汚水!T19</f>
        <v>0</v>
      </c>
      <c r="J19" s="242">
        <f>+雨汚水!U19</f>
        <v>0</v>
      </c>
      <c r="K19" s="241">
        <f t="shared" si="1"/>
        <v>0</v>
      </c>
      <c r="M19" s="214">
        <f>'3条税込み'!D19-'3条税抜き'!D19</f>
        <v>0</v>
      </c>
      <c r="N19" s="214">
        <f t="shared" si="2"/>
        <v>0</v>
      </c>
    </row>
    <row r="20" spans="1:14" ht="24.75" customHeight="1">
      <c r="A20" s="252"/>
      <c r="B20" s="256"/>
      <c r="C20" s="255" t="s">
        <v>274</v>
      </c>
      <c r="D20" s="246">
        <f>+雨汚水!O20</f>
        <v>0</v>
      </c>
      <c r="E20" s="245">
        <f>+雨汚水!P20</f>
        <v>0</v>
      </c>
      <c r="F20" s="242">
        <f>+雨汚水!Q20</f>
        <v>0</v>
      </c>
      <c r="G20" s="242">
        <f>+雨汚水!R20</f>
        <v>0</v>
      </c>
      <c r="H20" s="241">
        <f t="shared" si="0"/>
        <v>0</v>
      </c>
      <c r="I20" s="243">
        <f>+雨汚水!T20</f>
        <v>0</v>
      </c>
      <c r="J20" s="242">
        <f>+雨汚水!U20</f>
        <v>0</v>
      </c>
      <c r="K20" s="241">
        <f t="shared" si="1"/>
        <v>0</v>
      </c>
      <c r="M20" s="214">
        <f>'3条税込み'!D20-'3条税抜き'!D20</f>
        <v>0</v>
      </c>
      <c r="N20" s="214">
        <f t="shared" si="2"/>
        <v>0</v>
      </c>
    </row>
    <row r="21" spans="1:14" ht="24.75" customHeight="1">
      <c r="A21" s="252"/>
      <c r="B21" s="255" t="s">
        <v>232</v>
      </c>
      <c r="C21" s="255"/>
      <c r="D21" s="246">
        <f>SUM(D22:D25)</f>
        <v>8736830</v>
      </c>
      <c r="E21" s="245">
        <f>SUM(E22:E25)</f>
        <v>0</v>
      </c>
      <c r="F21" s="242">
        <f>SUM(F22:F25)</f>
        <v>0</v>
      </c>
      <c r="G21" s="242">
        <f>SUM(G22:G25)</f>
        <v>0</v>
      </c>
      <c r="H21" s="241">
        <f t="shared" si="0"/>
        <v>0</v>
      </c>
      <c r="I21" s="243">
        <f>SUM(I22:I25)</f>
        <v>0</v>
      </c>
      <c r="J21" s="242">
        <f>SUM(J22:J25)</f>
        <v>8736830</v>
      </c>
      <c r="K21" s="241">
        <f t="shared" si="1"/>
        <v>8736830</v>
      </c>
      <c r="M21" s="214">
        <f>SUM(M22:M24)</f>
        <v>489822</v>
      </c>
      <c r="N21" s="214">
        <f t="shared" si="2"/>
        <v>0</v>
      </c>
    </row>
    <row r="22" spans="1:14" ht="24.75" customHeight="1">
      <c r="A22" s="252"/>
      <c r="B22" s="255"/>
      <c r="C22" s="255" t="s">
        <v>273</v>
      </c>
      <c r="D22" s="246">
        <f>+雨汚水!O22</f>
        <v>2483</v>
      </c>
      <c r="E22" s="245">
        <f>+雨汚水!P22</f>
        <v>0</v>
      </c>
      <c r="F22" s="242">
        <f>+雨汚水!Q22</f>
        <v>0</v>
      </c>
      <c r="G22" s="242">
        <f>+雨汚水!R22</f>
        <v>0</v>
      </c>
      <c r="H22" s="241">
        <f t="shared" si="0"/>
        <v>0</v>
      </c>
      <c r="I22" s="243">
        <f>+雨汚水!T22</f>
        <v>0</v>
      </c>
      <c r="J22" s="242">
        <f>+雨汚水!U22</f>
        <v>2483</v>
      </c>
      <c r="K22" s="241">
        <f t="shared" si="1"/>
        <v>2483</v>
      </c>
      <c r="M22" s="214">
        <f>'3条税込み'!D22-'3条税抜き'!D22</f>
        <v>0</v>
      </c>
      <c r="N22" s="214">
        <f t="shared" si="2"/>
        <v>0</v>
      </c>
    </row>
    <row r="23" spans="1:14" ht="24.75" customHeight="1">
      <c r="A23" s="252"/>
      <c r="B23" s="256"/>
      <c r="C23" s="255" t="s">
        <v>231</v>
      </c>
      <c r="D23" s="246">
        <f>+雨汚水!O23</f>
        <v>24123</v>
      </c>
      <c r="E23" s="245">
        <f>+雨汚水!P23</f>
        <v>0</v>
      </c>
      <c r="F23" s="242">
        <f>+雨汚水!Q23</f>
        <v>0</v>
      </c>
      <c r="G23" s="242">
        <f>+雨汚水!R23</f>
        <v>0</v>
      </c>
      <c r="H23" s="241">
        <f t="shared" si="0"/>
        <v>0</v>
      </c>
      <c r="I23" s="243">
        <f>+雨汚水!T23</f>
        <v>0</v>
      </c>
      <c r="J23" s="242">
        <f>+雨汚水!U23</f>
        <v>24123</v>
      </c>
      <c r="K23" s="241">
        <f t="shared" si="1"/>
        <v>24123</v>
      </c>
      <c r="M23" s="214">
        <f>'3条税込み'!D23-'3条税抜き'!D23</f>
        <v>1773</v>
      </c>
      <c r="N23" s="214">
        <f t="shared" si="2"/>
        <v>0</v>
      </c>
    </row>
    <row r="24" spans="1:14" ht="24.75" customHeight="1">
      <c r="A24" s="252"/>
      <c r="B24" s="256"/>
      <c r="C24" s="270" t="s">
        <v>272</v>
      </c>
      <c r="D24" s="246">
        <f>+雨汚水!O24</f>
        <v>8710224</v>
      </c>
      <c r="E24" s="245">
        <f>+雨汚水!P24</f>
        <v>0</v>
      </c>
      <c r="F24" s="242">
        <f>+雨汚水!Q24</f>
        <v>0</v>
      </c>
      <c r="G24" s="242">
        <f>+雨汚水!R24</f>
        <v>0</v>
      </c>
      <c r="H24" s="241">
        <f t="shared" si="0"/>
        <v>0</v>
      </c>
      <c r="I24" s="243">
        <f>+雨汚水!T24</f>
        <v>0</v>
      </c>
      <c r="J24" s="242">
        <f>+雨汚水!U24</f>
        <v>8710224</v>
      </c>
      <c r="K24" s="241">
        <f t="shared" si="1"/>
        <v>8710224</v>
      </c>
      <c r="M24" s="214">
        <f>'3条税込み'!D24-'3条税抜き'!D24</f>
        <v>488049</v>
      </c>
      <c r="N24" s="214">
        <f t="shared" si="2"/>
        <v>0</v>
      </c>
    </row>
    <row r="25" spans="1:14" ht="24.75" customHeight="1">
      <c r="A25" s="252"/>
      <c r="B25" s="256"/>
      <c r="C25" s="270" t="s">
        <v>264</v>
      </c>
      <c r="D25" s="246"/>
      <c r="E25" s="245"/>
      <c r="F25" s="242"/>
      <c r="G25" s="242"/>
      <c r="H25" s="241"/>
      <c r="I25" s="269"/>
      <c r="J25" s="242"/>
      <c r="K25" s="241"/>
    </row>
    <row r="26" spans="1:14" ht="24.75" customHeight="1">
      <c r="A26" s="252"/>
      <c r="B26" s="255" t="s">
        <v>228</v>
      </c>
      <c r="C26" s="255"/>
      <c r="D26" s="246">
        <f>SUM(D27:D28)</f>
        <v>20026854</v>
      </c>
      <c r="E26" s="245">
        <f>SUM(E27:E28)</f>
        <v>6733</v>
      </c>
      <c r="F26" s="242">
        <f>SUM(F27:F28)</f>
        <v>0</v>
      </c>
      <c r="G26" s="242">
        <f>SUM(G27:G28)</f>
        <v>0</v>
      </c>
      <c r="H26" s="241">
        <f>SUM(E26:G26)</f>
        <v>6733</v>
      </c>
      <c r="I26" s="242">
        <f>SUM(I27:I28)</f>
        <v>0</v>
      </c>
      <c r="J26" s="242">
        <f>SUM(J27:J28)</f>
        <v>20020121</v>
      </c>
      <c r="K26" s="241">
        <f>SUM(I26:J26)</f>
        <v>20020121</v>
      </c>
      <c r="M26" s="214">
        <f>SUM(M27:M28)</f>
        <v>968444</v>
      </c>
      <c r="N26" s="214">
        <f t="shared" ref="N26:N37" si="3">D26-H26-K26</f>
        <v>0</v>
      </c>
    </row>
    <row r="27" spans="1:14" ht="24.75" customHeight="1">
      <c r="A27" s="252"/>
      <c r="B27" s="255"/>
      <c r="C27" s="268" t="s">
        <v>271</v>
      </c>
      <c r="D27" s="246">
        <f>+SUM(雨汚水!O28:O29)</f>
        <v>20026854</v>
      </c>
      <c r="E27" s="245">
        <f>+SUM(雨汚水!P28:P29)</f>
        <v>6733</v>
      </c>
      <c r="F27" s="242">
        <f>+SUM(雨汚水!Q28:Q29)</f>
        <v>0</v>
      </c>
      <c r="G27" s="242">
        <f>+SUM(雨汚水!R28:R29)</f>
        <v>0</v>
      </c>
      <c r="H27" s="241">
        <f>SUM(E27:G27)</f>
        <v>6733</v>
      </c>
      <c r="I27" s="243">
        <f>+SUM(雨汚水!T28:T29)</f>
        <v>0</v>
      </c>
      <c r="J27" s="242">
        <f>+SUM(雨汚水!U28:U29)</f>
        <v>20020121</v>
      </c>
      <c r="K27" s="241">
        <f>SUM(I27:J27)</f>
        <v>20020121</v>
      </c>
      <c r="M27" s="214">
        <f>'3条税込み'!D27-'3条税抜き'!D27</f>
        <v>968444</v>
      </c>
      <c r="N27" s="214">
        <f t="shared" si="3"/>
        <v>0</v>
      </c>
    </row>
    <row r="28" spans="1:14" ht="24.75" customHeight="1">
      <c r="A28" s="252"/>
      <c r="B28" s="256"/>
      <c r="C28" s="255" t="s">
        <v>10</v>
      </c>
      <c r="D28" s="246">
        <f>+雨汚水!O30</f>
        <v>0</v>
      </c>
      <c r="E28" s="245">
        <f>+雨汚水!P30</f>
        <v>0</v>
      </c>
      <c r="F28" s="242">
        <f>+雨汚水!Q30</f>
        <v>0</v>
      </c>
      <c r="G28" s="242">
        <f>+雨汚水!R30</f>
        <v>0</v>
      </c>
      <c r="H28" s="241">
        <f>SUM(E28:G28)</f>
        <v>0</v>
      </c>
      <c r="I28" s="243">
        <f>+雨汚水!T30</f>
        <v>0</v>
      </c>
      <c r="J28" s="242">
        <f>+雨汚水!U30</f>
        <v>0</v>
      </c>
      <c r="K28" s="241">
        <f>SUM(I28:J28)</f>
        <v>0</v>
      </c>
      <c r="M28" s="214">
        <f>'3条税込み'!D28-'3条税抜き'!D28</f>
        <v>0</v>
      </c>
      <c r="N28" s="214">
        <f t="shared" si="3"/>
        <v>0</v>
      </c>
    </row>
    <row r="29" spans="1:14" ht="24.75" customHeight="1">
      <c r="A29" s="252"/>
      <c r="B29" s="253" t="s">
        <v>270</v>
      </c>
      <c r="C29" s="242"/>
      <c r="D29" s="246"/>
      <c r="E29" s="245"/>
      <c r="F29" s="242"/>
      <c r="G29" s="242"/>
      <c r="H29" s="241">
        <f>SUM(E29:G29)</f>
        <v>0</v>
      </c>
      <c r="I29" s="243"/>
      <c r="J29" s="242"/>
      <c r="K29" s="241">
        <f>SUM(I29:J29)</f>
        <v>0</v>
      </c>
      <c r="M29" s="214">
        <f>'3条税込み'!D29-'3条税抜き'!D29</f>
        <v>0</v>
      </c>
      <c r="N29" s="214">
        <f t="shared" si="3"/>
        <v>0</v>
      </c>
    </row>
    <row r="30" spans="1:14" ht="24.75" customHeight="1">
      <c r="A30" s="239"/>
      <c r="B30" s="216"/>
      <c r="C30" s="216"/>
      <c r="D30" s="246"/>
      <c r="E30" s="245"/>
      <c r="F30" s="242"/>
      <c r="G30" s="242"/>
      <c r="H30" s="241"/>
      <c r="I30" s="243"/>
      <c r="J30" s="242"/>
      <c r="K30" s="241"/>
      <c r="L30" s="259" t="s">
        <v>269</v>
      </c>
      <c r="N30" s="214">
        <f t="shared" si="3"/>
        <v>0</v>
      </c>
    </row>
    <row r="31" spans="1:14" ht="24.75" customHeight="1">
      <c r="A31" s="267"/>
      <c r="B31" s="224" t="s">
        <v>251</v>
      </c>
      <c r="C31" s="266"/>
      <c r="D31" s="238">
        <f t="shared" ref="D31:K31" si="4">D6+D21+D26+D29</f>
        <v>10820104123</v>
      </c>
      <c r="E31" s="237">
        <f t="shared" si="4"/>
        <v>2679951191</v>
      </c>
      <c r="F31" s="306">
        <f t="shared" si="4"/>
        <v>251984734</v>
      </c>
      <c r="G31" s="235">
        <f t="shared" si="4"/>
        <v>420868760</v>
      </c>
      <c r="H31" s="234">
        <f t="shared" si="4"/>
        <v>3352804685</v>
      </c>
      <c r="I31" s="236">
        <f t="shared" si="4"/>
        <v>218712415</v>
      </c>
      <c r="J31" s="235">
        <f t="shared" si="4"/>
        <v>7248587023</v>
      </c>
      <c r="K31" s="234">
        <f t="shared" si="4"/>
        <v>7467299438</v>
      </c>
      <c r="L31" s="214">
        <f>H31+I31-I8-L12-G13</f>
        <v>3466240509</v>
      </c>
      <c r="M31" s="214">
        <f>M6+M21+M26+M29</f>
        <v>822402767</v>
      </c>
      <c r="N31" s="214">
        <f t="shared" si="3"/>
        <v>0</v>
      </c>
    </row>
    <row r="32" spans="1:14" ht="24.75" customHeight="1">
      <c r="A32" s="265"/>
      <c r="B32" s="255" t="s">
        <v>244</v>
      </c>
      <c r="C32" s="264"/>
      <c r="D32" s="263">
        <f>SUM(D33:D34)</f>
        <v>27055204101</v>
      </c>
      <c r="E32" s="262">
        <f>SUM(E33:E34)</f>
        <v>12875255326</v>
      </c>
      <c r="F32" s="313">
        <f>SUM(F33:F34)</f>
        <v>125365824</v>
      </c>
      <c r="G32" s="248">
        <f>SUM(G33:G34)</f>
        <v>0</v>
      </c>
      <c r="H32" s="260">
        <f t="shared" ref="H32:H37" si="5">SUM(E32:G32)</f>
        <v>13000621150</v>
      </c>
      <c r="I32" s="261">
        <f>SUM(I33:I34)</f>
        <v>17206476</v>
      </c>
      <c r="J32" s="248">
        <f>SUM(J33:J34)</f>
        <v>14037376475</v>
      </c>
      <c r="K32" s="260">
        <f t="shared" ref="K32:K37" si="6">SUM(I32:J32)</f>
        <v>14054582951</v>
      </c>
      <c r="L32" s="259" t="s">
        <v>294</v>
      </c>
      <c r="M32" s="214">
        <f>SUM(M33:M34)</f>
        <v>0</v>
      </c>
      <c r="N32" s="312">
        <f t="shared" si="3"/>
        <v>0</v>
      </c>
    </row>
    <row r="33" spans="1:14" ht="24.75" customHeight="1">
      <c r="A33" s="252"/>
      <c r="B33" s="255"/>
      <c r="C33" s="255" t="s">
        <v>23</v>
      </c>
      <c r="D33" s="246">
        <f>+雨汚水!O34</f>
        <v>26551442230</v>
      </c>
      <c r="E33" s="245">
        <f>+雨汚水!P34</f>
        <v>12571100990</v>
      </c>
      <c r="F33" s="311">
        <f>+雨汚水!Q34</f>
        <v>122404286</v>
      </c>
      <c r="G33" s="311">
        <f>+雨汚水!R34</f>
        <v>0</v>
      </c>
      <c r="H33" s="241">
        <f t="shared" si="5"/>
        <v>12693505276</v>
      </c>
      <c r="I33" s="242">
        <f>+雨汚水!T34</f>
        <v>17206476</v>
      </c>
      <c r="J33" s="242">
        <f>+雨汚水!U34</f>
        <v>13840730478</v>
      </c>
      <c r="K33" s="241">
        <f t="shared" si="6"/>
        <v>13857936954</v>
      </c>
      <c r="L33" s="214">
        <f>E32+F32</f>
        <v>13000621150</v>
      </c>
      <c r="M33" s="214">
        <f>'3条税込み'!D33-'3条税抜き'!D33</f>
        <v>0</v>
      </c>
      <c r="N33" s="312">
        <f t="shared" si="3"/>
        <v>0</v>
      </c>
    </row>
    <row r="34" spans="1:14" ht="24.75" customHeight="1">
      <c r="A34" s="252"/>
      <c r="B34" s="256"/>
      <c r="C34" s="255" t="s">
        <v>267</v>
      </c>
      <c r="D34" s="246">
        <f>+雨汚水!O35</f>
        <v>503761871</v>
      </c>
      <c r="E34" s="245">
        <f>+雨汚水!P35</f>
        <v>304154336</v>
      </c>
      <c r="F34" s="311">
        <f>+雨汚水!Q35</f>
        <v>2961538</v>
      </c>
      <c r="G34" s="311">
        <f>+雨汚水!R35</f>
        <v>0</v>
      </c>
      <c r="H34" s="241">
        <f t="shared" si="5"/>
        <v>307115874</v>
      </c>
      <c r="I34" s="243">
        <f>+雨汚水!T35</f>
        <v>0</v>
      </c>
      <c r="J34" s="242">
        <f>+雨汚水!U35</f>
        <v>196645997</v>
      </c>
      <c r="K34" s="241">
        <f t="shared" si="6"/>
        <v>196645997</v>
      </c>
      <c r="M34" s="214">
        <f>'3条税込み'!D34-'3条税抜き'!D34</f>
        <v>0</v>
      </c>
      <c r="N34" s="214">
        <f t="shared" si="3"/>
        <v>0</v>
      </c>
    </row>
    <row r="35" spans="1:14" ht="24.75" customHeight="1">
      <c r="A35" s="252"/>
      <c r="B35" s="258" t="s">
        <v>232</v>
      </c>
      <c r="C35" s="257"/>
      <c r="D35" s="246">
        <f>SUM(D36:D37)</f>
        <v>3940339234</v>
      </c>
      <c r="E35" s="245">
        <f>SUM(E36:E37)</f>
        <v>1665866876</v>
      </c>
      <c r="F35" s="242">
        <f>SUM(F36:F37)</f>
        <v>0</v>
      </c>
      <c r="G35" s="242">
        <f>SUM(G36:G37)</f>
        <v>36375158</v>
      </c>
      <c r="H35" s="241">
        <f t="shared" si="5"/>
        <v>1702242034</v>
      </c>
      <c r="I35" s="310">
        <f>SUM(I36:I37)</f>
        <v>315322238</v>
      </c>
      <c r="J35" s="242">
        <f>SUM(J36:J37)</f>
        <v>1922774962</v>
      </c>
      <c r="K35" s="241">
        <f t="shared" si="6"/>
        <v>2238097200</v>
      </c>
      <c r="M35" s="214">
        <f>SUM(M36:M37)</f>
        <v>5619432</v>
      </c>
      <c r="N35" s="214">
        <f t="shared" si="3"/>
        <v>0</v>
      </c>
    </row>
    <row r="36" spans="1:14" ht="24.75" customHeight="1">
      <c r="A36" s="252"/>
      <c r="B36" s="255"/>
      <c r="C36" s="255" t="s">
        <v>266</v>
      </c>
      <c r="D36" s="246">
        <f>+SUM(雨汚水!O37:O38)</f>
        <v>3940339234</v>
      </c>
      <c r="E36" s="245">
        <f>+SUM(雨汚水!P37:P38)</f>
        <v>1665866876</v>
      </c>
      <c r="F36" s="242">
        <f>+SUM(雨汚水!Q37:Q38)</f>
        <v>0</v>
      </c>
      <c r="G36" s="242">
        <f>+SUM(雨汚水!R37:R38)</f>
        <v>36375158</v>
      </c>
      <c r="H36" s="241">
        <f t="shared" si="5"/>
        <v>1702242034</v>
      </c>
      <c r="I36" s="310">
        <f>+SUM(雨汚水!T37:T38)</f>
        <v>315322238</v>
      </c>
      <c r="J36" s="242">
        <f>+SUM(雨汚水!U37:U38)</f>
        <v>1922774962</v>
      </c>
      <c r="K36" s="241">
        <f t="shared" si="6"/>
        <v>2238097200</v>
      </c>
      <c r="M36" s="214">
        <f>'3条税込み'!D36-'3条税抜き'!D36</f>
        <v>5619432</v>
      </c>
      <c r="N36" s="214">
        <f t="shared" si="3"/>
        <v>0</v>
      </c>
    </row>
    <row r="37" spans="1:14" ht="24.75" customHeight="1">
      <c r="A37" s="252"/>
      <c r="B37" s="256"/>
      <c r="C37" s="255" t="s">
        <v>264</v>
      </c>
      <c r="D37" s="246"/>
      <c r="E37" s="245"/>
      <c r="F37" s="242"/>
      <c r="G37" s="242"/>
      <c r="H37" s="241">
        <f t="shared" si="5"/>
        <v>0</v>
      </c>
      <c r="I37" s="243"/>
      <c r="J37" s="242"/>
      <c r="K37" s="241">
        <f t="shared" si="6"/>
        <v>0</v>
      </c>
      <c r="M37" s="214">
        <f>'3条税込み'!D37-'3条税抜き'!D37</f>
        <v>0</v>
      </c>
      <c r="N37" s="214">
        <f t="shared" si="3"/>
        <v>0</v>
      </c>
    </row>
    <row r="38" spans="1:14" ht="24.75" customHeight="1">
      <c r="A38" s="252"/>
      <c r="B38" s="255" t="s">
        <v>228</v>
      </c>
      <c r="C38" s="255"/>
      <c r="D38" s="246">
        <f t="shared" ref="D38:K38" si="7">D39</f>
        <v>0</v>
      </c>
      <c r="E38" s="245">
        <f t="shared" si="7"/>
        <v>0</v>
      </c>
      <c r="F38" s="242">
        <f t="shared" si="7"/>
        <v>0</v>
      </c>
      <c r="G38" s="242">
        <f t="shared" si="7"/>
        <v>0</v>
      </c>
      <c r="H38" s="241">
        <f t="shared" si="7"/>
        <v>0</v>
      </c>
      <c r="I38" s="243">
        <f t="shared" si="7"/>
        <v>0</v>
      </c>
      <c r="J38" s="242">
        <f t="shared" si="7"/>
        <v>0</v>
      </c>
      <c r="K38" s="241">
        <f t="shared" si="7"/>
        <v>0</v>
      </c>
    </row>
    <row r="39" spans="1:14" ht="24.75" customHeight="1">
      <c r="A39" s="252"/>
      <c r="B39" s="255"/>
      <c r="C39" s="254" t="s">
        <v>262</v>
      </c>
      <c r="D39" s="246">
        <f>+SUM(雨汚水!O42:O44)</f>
        <v>0</v>
      </c>
      <c r="E39" s="245">
        <f>+SUM(雨汚水!P42:P44)</f>
        <v>0</v>
      </c>
      <c r="F39" s="242">
        <f>+SUM(雨汚水!Q42:Q44)</f>
        <v>0</v>
      </c>
      <c r="G39" s="242">
        <f>+SUM(雨汚水!R42:R44)</f>
        <v>0</v>
      </c>
      <c r="H39" s="241">
        <f>SUM(E39:G39)</f>
        <v>0</v>
      </c>
      <c r="I39" s="243">
        <f>+SUM(雨汚水!T42:T44)</f>
        <v>0</v>
      </c>
      <c r="J39" s="242">
        <f>+SUM(雨汚水!U42:U44)</f>
        <v>0</v>
      </c>
      <c r="K39" s="241">
        <f>SUM(I39:J39)</f>
        <v>0</v>
      </c>
      <c r="M39" s="214">
        <f>D39-H39-K39</f>
        <v>0</v>
      </c>
    </row>
    <row r="40" spans="1:14" ht="24.75" customHeight="1">
      <c r="A40" s="252"/>
      <c r="B40" s="251"/>
      <c r="C40" s="250"/>
      <c r="D40" s="246"/>
      <c r="E40" s="245"/>
      <c r="F40" s="244" t="s">
        <v>257</v>
      </c>
      <c r="G40" s="242">
        <f>'3条税込み'!G40</f>
        <v>0</v>
      </c>
      <c r="H40" s="241">
        <f>SUM(E40:G40)</f>
        <v>0</v>
      </c>
      <c r="I40" s="243"/>
      <c r="J40" s="242"/>
      <c r="K40" s="241">
        <f>SUM(I40:J40)</f>
        <v>0</v>
      </c>
      <c r="L40" s="214" t="s">
        <v>256</v>
      </c>
    </row>
    <row r="41" spans="1:14" ht="24.75" customHeight="1">
      <c r="A41" s="239"/>
      <c r="B41" s="248"/>
      <c r="C41" s="247"/>
      <c r="D41" s="246"/>
      <c r="E41" s="245"/>
      <c r="F41" s="244" t="s">
        <v>254</v>
      </c>
      <c r="G41" s="242">
        <f>G36-G40</f>
        <v>36375158</v>
      </c>
      <c r="H41" s="241"/>
      <c r="I41" s="243"/>
      <c r="J41" s="242"/>
      <c r="K41" s="241"/>
      <c r="L41" s="214">
        <f>E36+F36+G41+I36</f>
        <v>2017564272</v>
      </c>
      <c r="N41" s="214">
        <f>D41-H41-K41</f>
        <v>0</v>
      </c>
    </row>
    <row r="42" spans="1:14" ht="24.75" customHeight="1">
      <c r="A42" s="239"/>
      <c r="B42" s="216" t="s">
        <v>251</v>
      </c>
      <c r="C42" s="216"/>
      <c r="D42" s="309">
        <f t="shared" ref="D42:K42" si="8">D32+D35+D38</f>
        <v>30995543335</v>
      </c>
      <c r="E42" s="308">
        <f t="shared" si="8"/>
        <v>14541122202</v>
      </c>
      <c r="F42" s="306">
        <f t="shared" si="8"/>
        <v>125365824</v>
      </c>
      <c r="G42" s="306">
        <f t="shared" si="8"/>
        <v>36375158</v>
      </c>
      <c r="H42" s="305">
        <f t="shared" si="8"/>
        <v>14702863184</v>
      </c>
      <c r="I42" s="307">
        <f t="shared" si="8"/>
        <v>332528714</v>
      </c>
      <c r="J42" s="306">
        <f t="shared" si="8"/>
        <v>15960151437</v>
      </c>
      <c r="K42" s="305">
        <f t="shared" si="8"/>
        <v>16292680151</v>
      </c>
      <c r="M42" s="214">
        <f>M32+M35</f>
        <v>5619432</v>
      </c>
      <c r="N42" s="214">
        <f>D42-H42-K42</f>
        <v>0</v>
      </c>
    </row>
    <row r="43" spans="1:14" ht="24.75" customHeight="1">
      <c r="A43" s="233"/>
      <c r="B43" s="232"/>
      <c r="C43" s="232"/>
      <c r="D43" s="231"/>
      <c r="E43" s="230"/>
      <c r="F43" s="228"/>
      <c r="G43" s="228"/>
      <c r="H43" s="227"/>
      <c r="I43" s="229"/>
      <c r="J43" s="228"/>
      <c r="K43" s="227"/>
      <c r="N43" s="214">
        <f>D43-H43-K43</f>
        <v>0</v>
      </c>
    </row>
    <row r="44" spans="1:14" ht="24.75" customHeight="1" thickBot="1">
      <c r="A44" s="226" t="s">
        <v>249</v>
      </c>
      <c r="B44" s="225"/>
      <c r="C44" s="224"/>
      <c r="D44" s="304">
        <f t="shared" ref="D44:K44" si="9">D31+D42</f>
        <v>41815647458</v>
      </c>
      <c r="E44" s="303">
        <f t="shared" si="9"/>
        <v>17221073393</v>
      </c>
      <c r="F44" s="300">
        <f t="shared" si="9"/>
        <v>377350558</v>
      </c>
      <c r="G44" s="303">
        <f t="shared" si="9"/>
        <v>457243918</v>
      </c>
      <c r="H44" s="302">
        <f t="shared" si="9"/>
        <v>18055667869</v>
      </c>
      <c r="I44" s="301">
        <f t="shared" si="9"/>
        <v>551241129</v>
      </c>
      <c r="J44" s="300">
        <f t="shared" si="9"/>
        <v>23208738460</v>
      </c>
      <c r="K44" s="299">
        <f t="shared" si="9"/>
        <v>23759979589</v>
      </c>
      <c r="M44" s="214">
        <f>M31+M42</f>
        <v>828022199</v>
      </c>
      <c r="N44" s="214">
        <f>D44-H44-K44</f>
        <v>0</v>
      </c>
    </row>
    <row r="45" spans="1:14" ht="21" customHeight="1">
      <c r="A45" s="216"/>
      <c r="B45" s="216"/>
      <c r="C45" s="216"/>
      <c r="D45" s="215"/>
      <c r="E45" s="215"/>
      <c r="F45" s="215"/>
      <c r="G45" s="215"/>
      <c r="H45" s="215"/>
      <c r="I45" s="215"/>
      <c r="J45" s="215"/>
      <c r="K45" s="215"/>
    </row>
  </sheetData>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O56"/>
  <sheetViews>
    <sheetView zoomScale="85" zoomScaleNormal="85" zoomScaleSheetLayoutView="90" workbookViewId="0">
      <pane xSplit="3" ySplit="5" topLeftCell="D6" activePane="bottomRight" state="frozen"/>
      <selection activeCell="AD147" sqref="AD147"/>
      <selection pane="topRight" activeCell="AD147" sqref="AD147"/>
      <selection pane="bottomLeft" activeCell="AD147" sqref="AD147"/>
      <selection pane="bottomRight" activeCell="D6" sqref="D6"/>
    </sheetView>
  </sheetViews>
  <sheetFormatPr defaultRowHeight="11.25"/>
  <cols>
    <col min="1" max="1" width="2.625" style="214" customWidth="1"/>
    <col min="2" max="2" width="1.25" style="214" customWidth="1"/>
    <col min="3" max="3" width="14.125" style="214" customWidth="1"/>
    <col min="4" max="5" width="13" style="214" customWidth="1"/>
    <col min="6" max="6" width="10.25" style="214" customWidth="1"/>
    <col min="7" max="7" width="11.375" style="214" customWidth="1"/>
    <col min="8" max="8" width="12.875" style="214" customWidth="1"/>
    <col min="9" max="9" width="12" style="214" customWidth="1"/>
    <col min="10" max="10" width="12.75" style="214" customWidth="1"/>
    <col min="11" max="11" width="13" style="214" customWidth="1"/>
    <col min="12" max="15" width="12.75" style="214" customWidth="1"/>
    <col min="16" max="256" width="9" style="214"/>
    <col min="257" max="257" width="2.625" style="214" customWidth="1"/>
    <col min="258" max="258" width="1.25" style="214" customWidth="1"/>
    <col min="259" max="259" width="14.125" style="214" customWidth="1"/>
    <col min="260" max="261" width="13" style="214" customWidth="1"/>
    <col min="262" max="262" width="10.25" style="214" customWidth="1"/>
    <col min="263" max="263" width="11.375" style="214" customWidth="1"/>
    <col min="264" max="264" width="12.875" style="214" customWidth="1"/>
    <col min="265" max="265" width="12" style="214" customWidth="1"/>
    <col min="266" max="266" width="12.75" style="214" customWidth="1"/>
    <col min="267" max="267" width="13" style="214" customWidth="1"/>
    <col min="268" max="268" width="13.75" style="214" bestFit="1" customWidth="1"/>
    <col min="269" max="269" width="11.375" style="214" customWidth="1"/>
    <col min="270" max="270" width="11.875" style="214" customWidth="1"/>
    <col min="271" max="271" width="16" style="214" bestFit="1" customWidth="1"/>
    <col min="272" max="512" width="9" style="214"/>
    <col min="513" max="513" width="2.625" style="214" customWidth="1"/>
    <col min="514" max="514" width="1.25" style="214" customWidth="1"/>
    <col min="515" max="515" width="14.125" style="214" customWidth="1"/>
    <col min="516" max="517" width="13" style="214" customWidth="1"/>
    <col min="518" max="518" width="10.25" style="214" customWidth="1"/>
    <col min="519" max="519" width="11.375" style="214" customWidth="1"/>
    <col min="520" max="520" width="12.875" style="214" customWidth="1"/>
    <col min="521" max="521" width="12" style="214" customWidth="1"/>
    <col min="522" max="522" width="12.75" style="214" customWidth="1"/>
    <col min="523" max="523" width="13" style="214" customWidth="1"/>
    <col min="524" max="524" width="13.75" style="214" bestFit="1" customWidth="1"/>
    <col min="525" max="525" width="11.375" style="214" customWidth="1"/>
    <col min="526" max="526" width="11.875" style="214" customWidth="1"/>
    <col min="527" max="527" width="16" style="214" bestFit="1" customWidth="1"/>
    <col min="528" max="768" width="9" style="214"/>
    <col min="769" max="769" width="2.625" style="214" customWidth="1"/>
    <col min="770" max="770" width="1.25" style="214" customWidth="1"/>
    <col min="771" max="771" width="14.125" style="214" customWidth="1"/>
    <col min="772" max="773" width="13" style="214" customWidth="1"/>
    <col min="774" max="774" width="10.25" style="214" customWidth="1"/>
    <col min="775" max="775" width="11.375" style="214" customWidth="1"/>
    <col min="776" max="776" width="12.875" style="214" customWidth="1"/>
    <col min="777" max="777" width="12" style="214" customWidth="1"/>
    <col min="778" max="778" width="12.75" style="214" customWidth="1"/>
    <col min="779" max="779" width="13" style="214" customWidth="1"/>
    <col min="780" max="780" width="13.75" style="214" bestFit="1" customWidth="1"/>
    <col min="781" max="781" width="11.375" style="214" customWidth="1"/>
    <col min="782" max="782" width="11.875" style="214" customWidth="1"/>
    <col min="783" max="783" width="16" style="214" bestFit="1" customWidth="1"/>
    <col min="784" max="1024" width="9" style="214"/>
    <col min="1025" max="1025" width="2.625" style="214" customWidth="1"/>
    <col min="1026" max="1026" width="1.25" style="214" customWidth="1"/>
    <col min="1027" max="1027" width="14.125" style="214" customWidth="1"/>
    <col min="1028" max="1029" width="13" style="214" customWidth="1"/>
    <col min="1030" max="1030" width="10.25" style="214" customWidth="1"/>
    <col min="1031" max="1031" width="11.375" style="214" customWidth="1"/>
    <col min="1032" max="1032" width="12.875" style="214" customWidth="1"/>
    <col min="1033" max="1033" width="12" style="214" customWidth="1"/>
    <col min="1034" max="1034" width="12.75" style="214" customWidth="1"/>
    <col min="1035" max="1035" width="13" style="214" customWidth="1"/>
    <col min="1036" max="1036" width="13.75" style="214" bestFit="1" customWidth="1"/>
    <col min="1037" max="1037" width="11.375" style="214" customWidth="1"/>
    <col min="1038" max="1038" width="11.875" style="214" customWidth="1"/>
    <col min="1039" max="1039" width="16" style="214" bestFit="1" customWidth="1"/>
    <col min="1040" max="1280" width="9" style="214"/>
    <col min="1281" max="1281" width="2.625" style="214" customWidth="1"/>
    <col min="1282" max="1282" width="1.25" style="214" customWidth="1"/>
    <col min="1283" max="1283" width="14.125" style="214" customWidth="1"/>
    <col min="1284" max="1285" width="13" style="214" customWidth="1"/>
    <col min="1286" max="1286" width="10.25" style="214" customWidth="1"/>
    <col min="1287" max="1287" width="11.375" style="214" customWidth="1"/>
    <col min="1288" max="1288" width="12.875" style="214" customWidth="1"/>
    <col min="1289" max="1289" width="12" style="214" customWidth="1"/>
    <col min="1290" max="1290" width="12.75" style="214" customWidth="1"/>
    <col min="1291" max="1291" width="13" style="214" customWidth="1"/>
    <col min="1292" max="1292" width="13.75" style="214" bestFit="1" customWidth="1"/>
    <col min="1293" max="1293" width="11.375" style="214" customWidth="1"/>
    <col min="1294" max="1294" width="11.875" style="214" customWidth="1"/>
    <col min="1295" max="1295" width="16" style="214" bestFit="1" customWidth="1"/>
    <col min="1296" max="1536" width="9" style="214"/>
    <col min="1537" max="1537" width="2.625" style="214" customWidth="1"/>
    <col min="1538" max="1538" width="1.25" style="214" customWidth="1"/>
    <col min="1539" max="1539" width="14.125" style="214" customWidth="1"/>
    <col min="1540" max="1541" width="13" style="214" customWidth="1"/>
    <col min="1542" max="1542" width="10.25" style="214" customWidth="1"/>
    <col min="1543" max="1543" width="11.375" style="214" customWidth="1"/>
    <col min="1544" max="1544" width="12.875" style="214" customWidth="1"/>
    <col min="1545" max="1545" width="12" style="214" customWidth="1"/>
    <col min="1546" max="1546" width="12.75" style="214" customWidth="1"/>
    <col min="1547" max="1547" width="13" style="214" customWidth="1"/>
    <col min="1548" max="1548" width="13.75" style="214" bestFit="1" customWidth="1"/>
    <col min="1549" max="1549" width="11.375" style="214" customWidth="1"/>
    <col min="1550" max="1550" width="11.875" style="214" customWidth="1"/>
    <col min="1551" max="1551" width="16" style="214" bestFit="1" customWidth="1"/>
    <col min="1552" max="1792" width="9" style="214"/>
    <col min="1793" max="1793" width="2.625" style="214" customWidth="1"/>
    <col min="1794" max="1794" width="1.25" style="214" customWidth="1"/>
    <col min="1795" max="1795" width="14.125" style="214" customWidth="1"/>
    <col min="1796" max="1797" width="13" style="214" customWidth="1"/>
    <col min="1798" max="1798" width="10.25" style="214" customWidth="1"/>
    <col min="1799" max="1799" width="11.375" style="214" customWidth="1"/>
    <col min="1800" max="1800" width="12.875" style="214" customWidth="1"/>
    <col min="1801" max="1801" width="12" style="214" customWidth="1"/>
    <col min="1802" max="1802" width="12.75" style="214" customWidth="1"/>
    <col min="1803" max="1803" width="13" style="214" customWidth="1"/>
    <col min="1804" max="1804" width="13.75" style="214" bestFit="1" customWidth="1"/>
    <col min="1805" max="1805" width="11.375" style="214" customWidth="1"/>
    <col min="1806" max="1806" width="11.875" style="214" customWidth="1"/>
    <col min="1807" max="1807" width="16" style="214" bestFit="1" customWidth="1"/>
    <col min="1808" max="2048" width="9" style="214"/>
    <col min="2049" max="2049" width="2.625" style="214" customWidth="1"/>
    <col min="2050" max="2050" width="1.25" style="214" customWidth="1"/>
    <col min="2051" max="2051" width="14.125" style="214" customWidth="1"/>
    <col min="2052" max="2053" width="13" style="214" customWidth="1"/>
    <col min="2054" max="2054" width="10.25" style="214" customWidth="1"/>
    <col min="2055" max="2055" width="11.375" style="214" customWidth="1"/>
    <col min="2056" max="2056" width="12.875" style="214" customWidth="1"/>
    <col min="2057" max="2057" width="12" style="214" customWidth="1"/>
    <col min="2058" max="2058" width="12.75" style="214" customWidth="1"/>
    <col min="2059" max="2059" width="13" style="214" customWidth="1"/>
    <col min="2060" max="2060" width="13.75" style="214" bestFit="1" customWidth="1"/>
    <col min="2061" max="2061" width="11.375" style="214" customWidth="1"/>
    <col min="2062" max="2062" width="11.875" style="214" customWidth="1"/>
    <col min="2063" max="2063" width="16" style="214" bestFit="1" customWidth="1"/>
    <col min="2064" max="2304" width="9" style="214"/>
    <col min="2305" max="2305" width="2.625" style="214" customWidth="1"/>
    <col min="2306" max="2306" width="1.25" style="214" customWidth="1"/>
    <col min="2307" max="2307" width="14.125" style="214" customWidth="1"/>
    <col min="2308" max="2309" width="13" style="214" customWidth="1"/>
    <col min="2310" max="2310" width="10.25" style="214" customWidth="1"/>
    <col min="2311" max="2311" width="11.375" style="214" customWidth="1"/>
    <col min="2312" max="2312" width="12.875" style="214" customWidth="1"/>
    <col min="2313" max="2313" width="12" style="214" customWidth="1"/>
    <col min="2314" max="2314" width="12.75" style="214" customWidth="1"/>
    <col min="2315" max="2315" width="13" style="214" customWidth="1"/>
    <col min="2316" max="2316" width="13.75" style="214" bestFit="1" customWidth="1"/>
    <col min="2317" max="2317" width="11.375" style="214" customWidth="1"/>
    <col min="2318" max="2318" width="11.875" style="214" customWidth="1"/>
    <col min="2319" max="2319" width="16" style="214" bestFit="1" customWidth="1"/>
    <col min="2320" max="2560" width="9" style="214"/>
    <col min="2561" max="2561" width="2.625" style="214" customWidth="1"/>
    <col min="2562" max="2562" width="1.25" style="214" customWidth="1"/>
    <col min="2563" max="2563" width="14.125" style="214" customWidth="1"/>
    <col min="2564" max="2565" width="13" style="214" customWidth="1"/>
    <col min="2566" max="2566" width="10.25" style="214" customWidth="1"/>
    <col min="2567" max="2567" width="11.375" style="214" customWidth="1"/>
    <col min="2568" max="2568" width="12.875" style="214" customWidth="1"/>
    <col min="2569" max="2569" width="12" style="214" customWidth="1"/>
    <col min="2570" max="2570" width="12.75" style="214" customWidth="1"/>
    <col min="2571" max="2571" width="13" style="214" customWidth="1"/>
    <col min="2572" max="2572" width="13.75" style="214" bestFit="1" customWidth="1"/>
    <col min="2573" max="2573" width="11.375" style="214" customWidth="1"/>
    <col min="2574" max="2574" width="11.875" style="214" customWidth="1"/>
    <col min="2575" max="2575" width="16" style="214" bestFit="1" customWidth="1"/>
    <col min="2576" max="2816" width="9" style="214"/>
    <col min="2817" max="2817" width="2.625" style="214" customWidth="1"/>
    <col min="2818" max="2818" width="1.25" style="214" customWidth="1"/>
    <col min="2819" max="2819" width="14.125" style="214" customWidth="1"/>
    <col min="2820" max="2821" width="13" style="214" customWidth="1"/>
    <col min="2822" max="2822" width="10.25" style="214" customWidth="1"/>
    <col min="2823" max="2823" width="11.375" style="214" customWidth="1"/>
    <col min="2824" max="2824" width="12.875" style="214" customWidth="1"/>
    <col min="2825" max="2825" width="12" style="214" customWidth="1"/>
    <col min="2826" max="2826" width="12.75" style="214" customWidth="1"/>
    <col min="2827" max="2827" width="13" style="214" customWidth="1"/>
    <col min="2828" max="2828" width="13.75" style="214" bestFit="1" customWidth="1"/>
    <col min="2829" max="2829" width="11.375" style="214" customWidth="1"/>
    <col min="2830" max="2830" width="11.875" style="214" customWidth="1"/>
    <col min="2831" max="2831" width="16" style="214" bestFit="1" customWidth="1"/>
    <col min="2832" max="3072" width="9" style="214"/>
    <col min="3073" max="3073" width="2.625" style="214" customWidth="1"/>
    <col min="3074" max="3074" width="1.25" style="214" customWidth="1"/>
    <col min="3075" max="3075" width="14.125" style="214" customWidth="1"/>
    <col min="3076" max="3077" width="13" style="214" customWidth="1"/>
    <col min="3078" max="3078" width="10.25" style="214" customWidth="1"/>
    <col min="3079" max="3079" width="11.375" style="214" customWidth="1"/>
    <col min="3080" max="3080" width="12.875" style="214" customWidth="1"/>
    <col min="3081" max="3081" width="12" style="214" customWidth="1"/>
    <col min="3082" max="3082" width="12.75" style="214" customWidth="1"/>
    <col min="3083" max="3083" width="13" style="214" customWidth="1"/>
    <col min="3084" max="3084" width="13.75" style="214" bestFit="1" customWidth="1"/>
    <col min="3085" max="3085" width="11.375" style="214" customWidth="1"/>
    <col min="3086" max="3086" width="11.875" style="214" customWidth="1"/>
    <col min="3087" max="3087" width="16" style="214" bestFit="1" customWidth="1"/>
    <col min="3088" max="3328" width="9" style="214"/>
    <col min="3329" max="3329" width="2.625" style="214" customWidth="1"/>
    <col min="3330" max="3330" width="1.25" style="214" customWidth="1"/>
    <col min="3331" max="3331" width="14.125" style="214" customWidth="1"/>
    <col min="3332" max="3333" width="13" style="214" customWidth="1"/>
    <col min="3334" max="3334" width="10.25" style="214" customWidth="1"/>
    <col min="3335" max="3335" width="11.375" style="214" customWidth="1"/>
    <col min="3336" max="3336" width="12.875" style="214" customWidth="1"/>
    <col min="3337" max="3337" width="12" style="214" customWidth="1"/>
    <col min="3338" max="3338" width="12.75" style="214" customWidth="1"/>
    <col min="3339" max="3339" width="13" style="214" customWidth="1"/>
    <col min="3340" max="3340" width="13.75" style="214" bestFit="1" customWidth="1"/>
    <col min="3341" max="3341" width="11.375" style="214" customWidth="1"/>
    <col min="3342" max="3342" width="11.875" style="214" customWidth="1"/>
    <col min="3343" max="3343" width="16" style="214" bestFit="1" customWidth="1"/>
    <col min="3344" max="3584" width="9" style="214"/>
    <col min="3585" max="3585" width="2.625" style="214" customWidth="1"/>
    <col min="3586" max="3586" width="1.25" style="214" customWidth="1"/>
    <col min="3587" max="3587" width="14.125" style="214" customWidth="1"/>
    <col min="3588" max="3589" width="13" style="214" customWidth="1"/>
    <col min="3590" max="3590" width="10.25" style="214" customWidth="1"/>
    <col min="3591" max="3591" width="11.375" style="214" customWidth="1"/>
    <col min="3592" max="3592" width="12.875" style="214" customWidth="1"/>
    <col min="3593" max="3593" width="12" style="214" customWidth="1"/>
    <col min="3594" max="3594" width="12.75" style="214" customWidth="1"/>
    <col min="3595" max="3595" width="13" style="214" customWidth="1"/>
    <col min="3596" max="3596" width="13.75" style="214" bestFit="1" customWidth="1"/>
    <col min="3597" max="3597" width="11.375" style="214" customWidth="1"/>
    <col min="3598" max="3598" width="11.875" style="214" customWidth="1"/>
    <col min="3599" max="3599" width="16" style="214" bestFit="1" customWidth="1"/>
    <col min="3600" max="3840" width="9" style="214"/>
    <col min="3841" max="3841" width="2.625" style="214" customWidth="1"/>
    <col min="3842" max="3842" width="1.25" style="214" customWidth="1"/>
    <col min="3843" max="3843" width="14.125" style="214" customWidth="1"/>
    <col min="3844" max="3845" width="13" style="214" customWidth="1"/>
    <col min="3846" max="3846" width="10.25" style="214" customWidth="1"/>
    <col min="3847" max="3847" width="11.375" style="214" customWidth="1"/>
    <col min="3848" max="3848" width="12.875" style="214" customWidth="1"/>
    <col min="3849" max="3849" width="12" style="214" customWidth="1"/>
    <col min="3850" max="3850" width="12.75" style="214" customWidth="1"/>
    <col min="3851" max="3851" width="13" style="214" customWidth="1"/>
    <col min="3852" max="3852" width="13.75" style="214" bestFit="1" customWidth="1"/>
    <col min="3853" max="3853" width="11.375" style="214" customWidth="1"/>
    <col min="3854" max="3854" width="11.875" style="214" customWidth="1"/>
    <col min="3855" max="3855" width="16" style="214" bestFit="1" customWidth="1"/>
    <col min="3856" max="4096" width="9" style="214"/>
    <col min="4097" max="4097" width="2.625" style="214" customWidth="1"/>
    <col min="4098" max="4098" width="1.25" style="214" customWidth="1"/>
    <col min="4099" max="4099" width="14.125" style="214" customWidth="1"/>
    <col min="4100" max="4101" width="13" style="214" customWidth="1"/>
    <col min="4102" max="4102" width="10.25" style="214" customWidth="1"/>
    <col min="4103" max="4103" width="11.375" style="214" customWidth="1"/>
    <col min="4104" max="4104" width="12.875" style="214" customWidth="1"/>
    <col min="4105" max="4105" width="12" style="214" customWidth="1"/>
    <col min="4106" max="4106" width="12.75" style="214" customWidth="1"/>
    <col min="4107" max="4107" width="13" style="214" customWidth="1"/>
    <col min="4108" max="4108" width="13.75" style="214" bestFit="1" customWidth="1"/>
    <col min="4109" max="4109" width="11.375" style="214" customWidth="1"/>
    <col min="4110" max="4110" width="11.875" style="214" customWidth="1"/>
    <col min="4111" max="4111" width="16" style="214" bestFit="1" customWidth="1"/>
    <col min="4112" max="4352" width="9" style="214"/>
    <col min="4353" max="4353" width="2.625" style="214" customWidth="1"/>
    <col min="4354" max="4354" width="1.25" style="214" customWidth="1"/>
    <col min="4355" max="4355" width="14.125" style="214" customWidth="1"/>
    <col min="4356" max="4357" width="13" style="214" customWidth="1"/>
    <col min="4358" max="4358" width="10.25" style="214" customWidth="1"/>
    <col min="4359" max="4359" width="11.375" style="214" customWidth="1"/>
    <col min="4360" max="4360" width="12.875" style="214" customWidth="1"/>
    <col min="4361" max="4361" width="12" style="214" customWidth="1"/>
    <col min="4362" max="4362" width="12.75" style="214" customWidth="1"/>
    <col min="4363" max="4363" width="13" style="214" customWidth="1"/>
    <col min="4364" max="4364" width="13.75" style="214" bestFit="1" customWidth="1"/>
    <col min="4365" max="4365" width="11.375" style="214" customWidth="1"/>
    <col min="4366" max="4366" width="11.875" style="214" customWidth="1"/>
    <col min="4367" max="4367" width="16" style="214" bestFit="1" customWidth="1"/>
    <col min="4368" max="4608" width="9" style="214"/>
    <col min="4609" max="4609" width="2.625" style="214" customWidth="1"/>
    <col min="4610" max="4610" width="1.25" style="214" customWidth="1"/>
    <col min="4611" max="4611" width="14.125" style="214" customWidth="1"/>
    <col min="4612" max="4613" width="13" style="214" customWidth="1"/>
    <col min="4614" max="4614" width="10.25" style="214" customWidth="1"/>
    <col min="4615" max="4615" width="11.375" style="214" customWidth="1"/>
    <col min="4616" max="4616" width="12.875" style="214" customWidth="1"/>
    <col min="4617" max="4617" width="12" style="214" customWidth="1"/>
    <col min="4618" max="4618" width="12.75" style="214" customWidth="1"/>
    <col min="4619" max="4619" width="13" style="214" customWidth="1"/>
    <col min="4620" max="4620" width="13.75" style="214" bestFit="1" customWidth="1"/>
    <col min="4621" max="4621" width="11.375" style="214" customWidth="1"/>
    <col min="4622" max="4622" width="11.875" style="214" customWidth="1"/>
    <col min="4623" max="4623" width="16" style="214" bestFit="1" customWidth="1"/>
    <col min="4624" max="4864" width="9" style="214"/>
    <col min="4865" max="4865" width="2.625" style="214" customWidth="1"/>
    <col min="4866" max="4866" width="1.25" style="214" customWidth="1"/>
    <col min="4867" max="4867" width="14.125" style="214" customWidth="1"/>
    <col min="4868" max="4869" width="13" style="214" customWidth="1"/>
    <col min="4870" max="4870" width="10.25" style="214" customWidth="1"/>
    <col min="4871" max="4871" width="11.375" style="214" customWidth="1"/>
    <col min="4872" max="4872" width="12.875" style="214" customWidth="1"/>
    <col min="4873" max="4873" width="12" style="214" customWidth="1"/>
    <col min="4874" max="4874" width="12.75" style="214" customWidth="1"/>
    <col min="4875" max="4875" width="13" style="214" customWidth="1"/>
    <col min="4876" max="4876" width="13.75" style="214" bestFit="1" customWidth="1"/>
    <col min="4877" max="4877" width="11.375" style="214" customWidth="1"/>
    <col min="4878" max="4878" width="11.875" style="214" customWidth="1"/>
    <col min="4879" max="4879" width="16" style="214" bestFit="1" customWidth="1"/>
    <col min="4880" max="5120" width="9" style="214"/>
    <col min="5121" max="5121" width="2.625" style="214" customWidth="1"/>
    <col min="5122" max="5122" width="1.25" style="214" customWidth="1"/>
    <col min="5123" max="5123" width="14.125" style="214" customWidth="1"/>
    <col min="5124" max="5125" width="13" style="214" customWidth="1"/>
    <col min="5126" max="5126" width="10.25" style="214" customWidth="1"/>
    <col min="5127" max="5127" width="11.375" style="214" customWidth="1"/>
    <col min="5128" max="5128" width="12.875" style="214" customWidth="1"/>
    <col min="5129" max="5129" width="12" style="214" customWidth="1"/>
    <col min="5130" max="5130" width="12.75" style="214" customWidth="1"/>
    <col min="5131" max="5131" width="13" style="214" customWidth="1"/>
    <col min="5132" max="5132" width="13.75" style="214" bestFit="1" customWidth="1"/>
    <col min="5133" max="5133" width="11.375" style="214" customWidth="1"/>
    <col min="5134" max="5134" width="11.875" style="214" customWidth="1"/>
    <col min="5135" max="5135" width="16" style="214" bestFit="1" customWidth="1"/>
    <col min="5136" max="5376" width="9" style="214"/>
    <col min="5377" max="5377" width="2.625" style="214" customWidth="1"/>
    <col min="5378" max="5378" width="1.25" style="214" customWidth="1"/>
    <col min="5379" max="5379" width="14.125" style="214" customWidth="1"/>
    <col min="5380" max="5381" width="13" style="214" customWidth="1"/>
    <col min="5382" max="5382" width="10.25" style="214" customWidth="1"/>
    <col min="5383" max="5383" width="11.375" style="214" customWidth="1"/>
    <col min="5384" max="5384" width="12.875" style="214" customWidth="1"/>
    <col min="5385" max="5385" width="12" style="214" customWidth="1"/>
    <col min="5386" max="5386" width="12.75" style="214" customWidth="1"/>
    <col min="5387" max="5387" width="13" style="214" customWidth="1"/>
    <col min="5388" max="5388" width="13.75" style="214" bestFit="1" customWidth="1"/>
    <col min="5389" max="5389" width="11.375" style="214" customWidth="1"/>
    <col min="5390" max="5390" width="11.875" style="214" customWidth="1"/>
    <col min="5391" max="5391" width="16" style="214" bestFit="1" customWidth="1"/>
    <col min="5392" max="5632" width="9" style="214"/>
    <col min="5633" max="5633" width="2.625" style="214" customWidth="1"/>
    <col min="5634" max="5634" width="1.25" style="214" customWidth="1"/>
    <col min="5635" max="5635" width="14.125" style="214" customWidth="1"/>
    <col min="5636" max="5637" width="13" style="214" customWidth="1"/>
    <col min="5638" max="5638" width="10.25" style="214" customWidth="1"/>
    <col min="5639" max="5639" width="11.375" style="214" customWidth="1"/>
    <col min="5640" max="5640" width="12.875" style="214" customWidth="1"/>
    <col min="5641" max="5641" width="12" style="214" customWidth="1"/>
    <col min="5642" max="5642" width="12.75" style="214" customWidth="1"/>
    <col min="5643" max="5643" width="13" style="214" customWidth="1"/>
    <col min="5644" max="5644" width="13.75" style="214" bestFit="1" customWidth="1"/>
    <col min="5645" max="5645" width="11.375" style="214" customWidth="1"/>
    <col min="5646" max="5646" width="11.875" style="214" customWidth="1"/>
    <col min="5647" max="5647" width="16" style="214" bestFit="1" customWidth="1"/>
    <col min="5648" max="5888" width="9" style="214"/>
    <col min="5889" max="5889" width="2.625" style="214" customWidth="1"/>
    <col min="5890" max="5890" width="1.25" style="214" customWidth="1"/>
    <col min="5891" max="5891" width="14.125" style="214" customWidth="1"/>
    <col min="5892" max="5893" width="13" style="214" customWidth="1"/>
    <col min="5894" max="5894" width="10.25" style="214" customWidth="1"/>
    <col min="5895" max="5895" width="11.375" style="214" customWidth="1"/>
    <col min="5896" max="5896" width="12.875" style="214" customWidth="1"/>
    <col min="5897" max="5897" width="12" style="214" customWidth="1"/>
    <col min="5898" max="5898" width="12.75" style="214" customWidth="1"/>
    <col min="5899" max="5899" width="13" style="214" customWidth="1"/>
    <col min="5900" max="5900" width="13.75" style="214" bestFit="1" customWidth="1"/>
    <col min="5901" max="5901" width="11.375" style="214" customWidth="1"/>
    <col min="5902" max="5902" width="11.875" style="214" customWidth="1"/>
    <col min="5903" max="5903" width="16" style="214" bestFit="1" customWidth="1"/>
    <col min="5904" max="6144" width="9" style="214"/>
    <col min="6145" max="6145" width="2.625" style="214" customWidth="1"/>
    <col min="6146" max="6146" width="1.25" style="214" customWidth="1"/>
    <col min="6147" max="6147" width="14.125" style="214" customWidth="1"/>
    <col min="6148" max="6149" width="13" style="214" customWidth="1"/>
    <col min="6150" max="6150" width="10.25" style="214" customWidth="1"/>
    <col min="6151" max="6151" width="11.375" style="214" customWidth="1"/>
    <col min="6152" max="6152" width="12.875" style="214" customWidth="1"/>
    <col min="6153" max="6153" width="12" style="214" customWidth="1"/>
    <col min="6154" max="6154" width="12.75" style="214" customWidth="1"/>
    <col min="6155" max="6155" width="13" style="214" customWidth="1"/>
    <col min="6156" max="6156" width="13.75" style="214" bestFit="1" customWidth="1"/>
    <col min="6157" max="6157" width="11.375" style="214" customWidth="1"/>
    <col min="6158" max="6158" width="11.875" style="214" customWidth="1"/>
    <col min="6159" max="6159" width="16" style="214" bestFit="1" customWidth="1"/>
    <col min="6160" max="6400" width="9" style="214"/>
    <col min="6401" max="6401" width="2.625" style="214" customWidth="1"/>
    <col min="6402" max="6402" width="1.25" style="214" customWidth="1"/>
    <col min="6403" max="6403" width="14.125" style="214" customWidth="1"/>
    <col min="6404" max="6405" width="13" style="214" customWidth="1"/>
    <col min="6406" max="6406" width="10.25" style="214" customWidth="1"/>
    <col min="6407" max="6407" width="11.375" style="214" customWidth="1"/>
    <col min="6408" max="6408" width="12.875" style="214" customWidth="1"/>
    <col min="6409" max="6409" width="12" style="214" customWidth="1"/>
    <col min="6410" max="6410" width="12.75" style="214" customWidth="1"/>
    <col min="6411" max="6411" width="13" style="214" customWidth="1"/>
    <col min="6412" max="6412" width="13.75" style="214" bestFit="1" customWidth="1"/>
    <col min="6413" max="6413" width="11.375" style="214" customWidth="1"/>
    <col min="6414" max="6414" width="11.875" style="214" customWidth="1"/>
    <col min="6415" max="6415" width="16" style="214" bestFit="1" customWidth="1"/>
    <col min="6416" max="6656" width="9" style="214"/>
    <col min="6657" max="6657" width="2.625" style="214" customWidth="1"/>
    <col min="6658" max="6658" width="1.25" style="214" customWidth="1"/>
    <col min="6659" max="6659" width="14.125" style="214" customWidth="1"/>
    <col min="6660" max="6661" width="13" style="214" customWidth="1"/>
    <col min="6662" max="6662" width="10.25" style="214" customWidth="1"/>
    <col min="6663" max="6663" width="11.375" style="214" customWidth="1"/>
    <col min="6664" max="6664" width="12.875" style="214" customWidth="1"/>
    <col min="6665" max="6665" width="12" style="214" customWidth="1"/>
    <col min="6666" max="6666" width="12.75" style="214" customWidth="1"/>
    <col min="6667" max="6667" width="13" style="214" customWidth="1"/>
    <col min="6668" max="6668" width="13.75" style="214" bestFit="1" customWidth="1"/>
    <col min="6669" max="6669" width="11.375" style="214" customWidth="1"/>
    <col min="6670" max="6670" width="11.875" style="214" customWidth="1"/>
    <col min="6671" max="6671" width="16" style="214" bestFit="1" customWidth="1"/>
    <col min="6672" max="6912" width="9" style="214"/>
    <col min="6913" max="6913" width="2.625" style="214" customWidth="1"/>
    <col min="6914" max="6914" width="1.25" style="214" customWidth="1"/>
    <col min="6915" max="6915" width="14.125" style="214" customWidth="1"/>
    <col min="6916" max="6917" width="13" style="214" customWidth="1"/>
    <col min="6918" max="6918" width="10.25" style="214" customWidth="1"/>
    <col min="6919" max="6919" width="11.375" style="214" customWidth="1"/>
    <col min="6920" max="6920" width="12.875" style="214" customWidth="1"/>
    <col min="6921" max="6921" width="12" style="214" customWidth="1"/>
    <col min="6922" max="6922" width="12.75" style="214" customWidth="1"/>
    <col min="6923" max="6923" width="13" style="214" customWidth="1"/>
    <col min="6924" max="6924" width="13.75" style="214" bestFit="1" customWidth="1"/>
    <col min="6925" max="6925" width="11.375" style="214" customWidth="1"/>
    <col min="6926" max="6926" width="11.875" style="214" customWidth="1"/>
    <col min="6927" max="6927" width="16" style="214" bestFit="1" customWidth="1"/>
    <col min="6928" max="7168" width="9" style="214"/>
    <col min="7169" max="7169" width="2.625" style="214" customWidth="1"/>
    <col min="7170" max="7170" width="1.25" style="214" customWidth="1"/>
    <col min="7171" max="7171" width="14.125" style="214" customWidth="1"/>
    <col min="7172" max="7173" width="13" style="214" customWidth="1"/>
    <col min="7174" max="7174" width="10.25" style="214" customWidth="1"/>
    <col min="7175" max="7175" width="11.375" style="214" customWidth="1"/>
    <col min="7176" max="7176" width="12.875" style="214" customWidth="1"/>
    <col min="7177" max="7177" width="12" style="214" customWidth="1"/>
    <col min="7178" max="7178" width="12.75" style="214" customWidth="1"/>
    <col min="7179" max="7179" width="13" style="214" customWidth="1"/>
    <col min="7180" max="7180" width="13.75" style="214" bestFit="1" customWidth="1"/>
    <col min="7181" max="7181" width="11.375" style="214" customWidth="1"/>
    <col min="7182" max="7182" width="11.875" style="214" customWidth="1"/>
    <col min="7183" max="7183" width="16" style="214" bestFit="1" customWidth="1"/>
    <col min="7184" max="7424" width="9" style="214"/>
    <col min="7425" max="7425" width="2.625" style="214" customWidth="1"/>
    <col min="7426" max="7426" width="1.25" style="214" customWidth="1"/>
    <col min="7427" max="7427" width="14.125" style="214" customWidth="1"/>
    <col min="7428" max="7429" width="13" style="214" customWidth="1"/>
    <col min="7430" max="7430" width="10.25" style="214" customWidth="1"/>
    <col min="7431" max="7431" width="11.375" style="214" customWidth="1"/>
    <col min="7432" max="7432" width="12.875" style="214" customWidth="1"/>
    <col min="7433" max="7433" width="12" style="214" customWidth="1"/>
    <col min="7434" max="7434" width="12.75" style="214" customWidth="1"/>
    <col min="7435" max="7435" width="13" style="214" customWidth="1"/>
    <col min="7436" max="7436" width="13.75" style="214" bestFit="1" customWidth="1"/>
    <col min="7437" max="7437" width="11.375" style="214" customWidth="1"/>
    <col min="7438" max="7438" width="11.875" style="214" customWidth="1"/>
    <col min="7439" max="7439" width="16" style="214" bestFit="1" customWidth="1"/>
    <col min="7440" max="7680" width="9" style="214"/>
    <col min="7681" max="7681" width="2.625" style="214" customWidth="1"/>
    <col min="7682" max="7682" width="1.25" style="214" customWidth="1"/>
    <col min="7683" max="7683" width="14.125" style="214" customWidth="1"/>
    <col min="7684" max="7685" width="13" style="214" customWidth="1"/>
    <col min="7686" max="7686" width="10.25" style="214" customWidth="1"/>
    <col min="7687" max="7687" width="11.375" style="214" customWidth="1"/>
    <col min="7688" max="7688" width="12.875" style="214" customWidth="1"/>
    <col min="7689" max="7689" width="12" style="214" customWidth="1"/>
    <col min="7690" max="7690" width="12.75" style="214" customWidth="1"/>
    <col min="7691" max="7691" width="13" style="214" customWidth="1"/>
    <col min="7692" max="7692" width="13.75" style="214" bestFit="1" customWidth="1"/>
    <col min="7693" max="7693" width="11.375" style="214" customWidth="1"/>
    <col min="7694" max="7694" width="11.875" style="214" customWidth="1"/>
    <col min="7695" max="7695" width="16" style="214" bestFit="1" customWidth="1"/>
    <col min="7696" max="7936" width="9" style="214"/>
    <col min="7937" max="7937" width="2.625" style="214" customWidth="1"/>
    <col min="7938" max="7938" width="1.25" style="214" customWidth="1"/>
    <col min="7939" max="7939" width="14.125" style="214" customWidth="1"/>
    <col min="7940" max="7941" width="13" style="214" customWidth="1"/>
    <col min="7942" max="7942" width="10.25" style="214" customWidth="1"/>
    <col min="7943" max="7943" width="11.375" style="214" customWidth="1"/>
    <col min="7944" max="7944" width="12.875" style="214" customWidth="1"/>
    <col min="7945" max="7945" width="12" style="214" customWidth="1"/>
    <col min="7946" max="7946" width="12.75" style="214" customWidth="1"/>
    <col min="7947" max="7947" width="13" style="214" customWidth="1"/>
    <col min="7948" max="7948" width="13.75" style="214" bestFit="1" customWidth="1"/>
    <col min="7949" max="7949" width="11.375" style="214" customWidth="1"/>
    <col min="7950" max="7950" width="11.875" style="214" customWidth="1"/>
    <col min="7951" max="7951" width="16" style="214" bestFit="1" customWidth="1"/>
    <col min="7952" max="8192" width="9" style="214"/>
    <col min="8193" max="8193" width="2.625" style="214" customWidth="1"/>
    <col min="8194" max="8194" width="1.25" style="214" customWidth="1"/>
    <col min="8195" max="8195" width="14.125" style="214" customWidth="1"/>
    <col min="8196" max="8197" width="13" style="214" customWidth="1"/>
    <col min="8198" max="8198" width="10.25" style="214" customWidth="1"/>
    <col min="8199" max="8199" width="11.375" style="214" customWidth="1"/>
    <col min="8200" max="8200" width="12.875" style="214" customWidth="1"/>
    <col min="8201" max="8201" width="12" style="214" customWidth="1"/>
    <col min="8202" max="8202" width="12.75" style="214" customWidth="1"/>
    <col min="8203" max="8203" width="13" style="214" customWidth="1"/>
    <col min="8204" max="8204" width="13.75" style="214" bestFit="1" customWidth="1"/>
    <col min="8205" max="8205" width="11.375" style="214" customWidth="1"/>
    <col min="8206" max="8206" width="11.875" style="214" customWidth="1"/>
    <col min="8207" max="8207" width="16" style="214" bestFit="1" customWidth="1"/>
    <col min="8208" max="8448" width="9" style="214"/>
    <col min="8449" max="8449" width="2.625" style="214" customWidth="1"/>
    <col min="8450" max="8450" width="1.25" style="214" customWidth="1"/>
    <col min="8451" max="8451" width="14.125" style="214" customWidth="1"/>
    <col min="8452" max="8453" width="13" style="214" customWidth="1"/>
    <col min="8454" max="8454" width="10.25" style="214" customWidth="1"/>
    <col min="8455" max="8455" width="11.375" style="214" customWidth="1"/>
    <col min="8456" max="8456" width="12.875" style="214" customWidth="1"/>
    <col min="8457" max="8457" width="12" style="214" customWidth="1"/>
    <col min="8458" max="8458" width="12.75" style="214" customWidth="1"/>
    <col min="8459" max="8459" width="13" style="214" customWidth="1"/>
    <col min="8460" max="8460" width="13.75" style="214" bestFit="1" customWidth="1"/>
    <col min="8461" max="8461" width="11.375" style="214" customWidth="1"/>
    <col min="8462" max="8462" width="11.875" style="214" customWidth="1"/>
    <col min="8463" max="8463" width="16" style="214" bestFit="1" customWidth="1"/>
    <col min="8464" max="8704" width="9" style="214"/>
    <col min="8705" max="8705" width="2.625" style="214" customWidth="1"/>
    <col min="8706" max="8706" width="1.25" style="214" customWidth="1"/>
    <col min="8707" max="8707" width="14.125" style="214" customWidth="1"/>
    <col min="8708" max="8709" width="13" style="214" customWidth="1"/>
    <col min="8710" max="8710" width="10.25" style="214" customWidth="1"/>
    <col min="8711" max="8711" width="11.375" style="214" customWidth="1"/>
    <col min="8712" max="8712" width="12.875" style="214" customWidth="1"/>
    <col min="8713" max="8713" width="12" style="214" customWidth="1"/>
    <col min="8714" max="8714" width="12.75" style="214" customWidth="1"/>
    <col min="8715" max="8715" width="13" style="214" customWidth="1"/>
    <col min="8716" max="8716" width="13.75" style="214" bestFit="1" customWidth="1"/>
    <col min="8717" max="8717" width="11.375" style="214" customWidth="1"/>
    <col min="8718" max="8718" width="11.875" style="214" customWidth="1"/>
    <col min="8719" max="8719" width="16" style="214" bestFit="1" customWidth="1"/>
    <col min="8720" max="8960" width="9" style="214"/>
    <col min="8961" max="8961" width="2.625" style="214" customWidth="1"/>
    <col min="8962" max="8962" width="1.25" style="214" customWidth="1"/>
    <col min="8963" max="8963" width="14.125" style="214" customWidth="1"/>
    <col min="8964" max="8965" width="13" style="214" customWidth="1"/>
    <col min="8966" max="8966" width="10.25" style="214" customWidth="1"/>
    <col min="8967" max="8967" width="11.375" style="214" customWidth="1"/>
    <col min="8968" max="8968" width="12.875" style="214" customWidth="1"/>
    <col min="8969" max="8969" width="12" style="214" customWidth="1"/>
    <col min="8970" max="8970" width="12.75" style="214" customWidth="1"/>
    <col min="8971" max="8971" width="13" style="214" customWidth="1"/>
    <col min="8972" max="8972" width="13.75" style="214" bestFit="1" customWidth="1"/>
    <col min="8973" max="8973" width="11.375" style="214" customWidth="1"/>
    <col min="8974" max="8974" width="11.875" style="214" customWidth="1"/>
    <col min="8975" max="8975" width="16" style="214" bestFit="1" customWidth="1"/>
    <col min="8976" max="9216" width="9" style="214"/>
    <col min="9217" max="9217" width="2.625" style="214" customWidth="1"/>
    <col min="9218" max="9218" width="1.25" style="214" customWidth="1"/>
    <col min="9219" max="9219" width="14.125" style="214" customWidth="1"/>
    <col min="9220" max="9221" width="13" style="214" customWidth="1"/>
    <col min="9222" max="9222" width="10.25" style="214" customWidth="1"/>
    <col min="9223" max="9223" width="11.375" style="214" customWidth="1"/>
    <col min="9224" max="9224" width="12.875" style="214" customWidth="1"/>
    <col min="9225" max="9225" width="12" style="214" customWidth="1"/>
    <col min="9226" max="9226" width="12.75" style="214" customWidth="1"/>
    <col min="9227" max="9227" width="13" style="214" customWidth="1"/>
    <col min="9228" max="9228" width="13.75" style="214" bestFit="1" customWidth="1"/>
    <col min="9229" max="9229" width="11.375" style="214" customWidth="1"/>
    <col min="9230" max="9230" width="11.875" style="214" customWidth="1"/>
    <col min="9231" max="9231" width="16" style="214" bestFit="1" customWidth="1"/>
    <col min="9232" max="9472" width="9" style="214"/>
    <col min="9473" max="9473" width="2.625" style="214" customWidth="1"/>
    <col min="9474" max="9474" width="1.25" style="214" customWidth="1"/>
    <col min="9475" max="9475" width="14.125" style="214" customWidth="1"/>
    <col min="9476" max="9477" width="13" style="214" customWidth="1"/>
    <col min="9478" max="9478" width="10.25" style="214" customWidth="1"/>
    <col min="9479" max="9479" width="11.375" style="214" customWidth="1"/>
    <col min="9480" max="9480" width="12.875" style="214" customWidth="1"/>
    <col min="9481" max="9481" width="12" style="214" customWidth="1"/>
    <col min="9482" max="9482" width="12.75" style="214" customWidth="1"/>
    <col min="9483" max="9483" width="13" style="214" customWidth="1"/>
    <col min="9484" max="9484" width="13.75" style="214" bestFit="1" customWidth="1"/>
    <col min="9485" max="9485" width="11.375" style="214" customWidth="1"/>
    <col min="9486" max="9486" width="11.875" style="214" customWidth="1"/>
    <col min="9487" max="9487" width="16" style="214" bestFit="1" customWidth="1"/>
    <col min="9488" max="9728" width="9" style="214"/>
    <col min="9729" max="9729" width="2.625" style="214" customWidth="1"/>
    <col min="9730" max="9730" width="1.25" style="214" customWidth="1"/>
    <col min="9731" max="9731" width="14.125" style="214" customWidth="1"/>
    <col min="9732" max="9733" width="13" style="214" customWidth="1"/>
    <col min="9734" max="9734" width="10.25" style="214" customWidth="1"/>
    <col min="9735" max="9735" width="11.375" style="214" customWidth="1"/>
    <col min="9736" max="9736" width="12.875" style="214" customWidth="1"/>
    <col min="9737" max="9737" width="12" style="214" customWidth="1"/>
    <col min="9738" max="9738" width="12.75" style="214" customWidth="1"/>
    <col min="9739" max="9739" width="13" style="214" customWidth="1"/>
    <col min="9740" max="9740" width="13.75" style="214" bestFit="1" customWidth="1"/>
    <col min="9741" max="9741" width="11.375" style="214" customWidth="1"/>
    <col min="9742" max="9742" width="11.875" style="214" customWidth="1"/>
    <col min="9743" max="9743" width="16" style="214" bestFit="1" customWidth="1"/>
    <col min="9744" max="9984" width="9" style="214"/>
    <col min="9985" max="9985" width="2.625" style="214" customWidth="1"/>
    <col min="9986" max="9986" width="1.25" style="214" customWidth="1"/>
    <col min="9987" max="9987" width="14.125" style="214" customWidth="1"/>
    <col min="9988" max="9989" width="13" style="214" customWidth="1"/>
    <col min="9990" max="9990" width="10.25" style="214" customWidth="1"/>
    <col min="9991" max="9991" width="11.375" style="214" customWidth="1"/>
    <col min="9992" max="9992" width="12.875" style="214" customWidth="1"/>
    <col min="9993" max="9993" width="12" style="214" customWidth="1"/>
    <col min="9994" max="9994" width="12.75" style="214" customWidth="1"/>
    <col min="9995" max="9995" width="13" style="214" customWidth="1"/>
    <col min="9996" max="9996" width="13.75" style="214" bestFit="1" customWidth="1"/>
    <col min="9997" max="9997" width="11.375" style="214" customWidth="1"/>
    <col min="9998" max="9998" width="11.875" style="214" customWidth="1"/>
    <col min="9999" max="9999" width="16" style="214" bestFit="1" customWidth="1"/>
    <col min="10000" max="10240" width="9" style="214"/>
    <col min="10241" max="10241" width="2.625" style="214" customWidth="1"/>
    <col min="10242" max="10242" width="1.25" style="214" customWidth="1"/>
    <col min="10243" max="10243" width="14.125" style="214" customWidth="1"/>
    <col min="10244" max="10245" width="13" style="214" customWidth="1"/>
    <col min="10246" max="10246" width="10.25" style="214" customWidth="1"/>
    <col min="10247" max="10247" width="11.375" style="214" customWidth="1"/>
    <col min="10248" max="10248" width="12.875" style="214" customWidth="1"/>
    <col min="10249" max="10249" width="12" style="214" customWidth="1"/>
    <col min="10250" max="10250" width="12.75" style="214" customWidth="1"/>
    <col min="10251" max="10251" width="13" style="214" customWidth="1"/>
    <col min="10252" max="10252" width="13.75" style="214" bestFit="1" customWidth="1"/>
    <col min="10253" max="10253" width="11.375" style="214" customWidth="1"/>
    <col min="10254" max="10254" width="11.875" style="214" customWidth="1"/>
    <col min="10255" max="10255" width="16" style="214" bestFit="1" customWidth="1"/>
    <col min="10256" max="10496" width="9" style="214"/>
    <col min="10497" max="10497" width="2.625" style="214" customWidth="1"/>
    <col min="10498" max="10498" width="1.25" style="214" customWidth="1"/>
    <col min="10499" max="10499" width="14.125" style="214" customWidth="1"/>
    <col min="10500" max="10501" width="13" style="214" customWidth="1"/>
    <col min="10502" max="10502" width="10.25" style="214" customWidth="1"/>
    <col min="10503" max="10503" width="11.375" style="214" customWidth="1"/>
    <col min="10504" max="10504" width="12.875" style="214" customWidth="1"/>
    <col min="10505" max="10505" width="12" style="214" customWidth="1"/>
    <col min="10506" max="10506" width="12.75" style="214" customWidth="1"/>
    <col min="10507" max="10507" width="13" style="214" customWidth="1"/>
    <col min="10508" max="10508" width="13.75" style="214" bestFit="1" customWidth="1"/>
    <col min="10509" max="10509" width="11.375" style="214" customWidth="1"/>
    <col min="10510" max="10510" width="11.875" style="214" customWidth="1"/>
    <col min="10511" max="10511" width="16" style="214" bestFit="1" customWidth="1"/>
    <col min="10512" max="10752" width="9" style="214"/>
    <col min="10753" max="10753" width="2.625" style="214" customWidth="1"/>
    <col min="10754" max="10754" width="1.25" style="214" customWidth="1"/>
    <col min="10755" max="10755" width="14.125" style="214" customWidth="1"/>
    <col min="10756" max="10757" width="13" style="214" customWidth="1"/>
    <col min="10758" max="10758" width="10.25" style="214" customWidth="1"/>
    <col min="10759" max="10759" width="11.375" style="214" customWidth="1"/>
    <col min="10760" max="10760" width="12.875" style="214" customWidth="1"/>
    <col min="10761" max="10761" width="12" style="214" customWidth="1"/>
    <col min="10762" max="10762" width="12.75" style="214" customWidth="1"/>
    <col min="10763" max="10763" width="13" style="214" customWidth="1"/>
    <col min="10764" max="10764" width="13.75" style="214" bestFit="1" customWidth="1"/>
    <col min="10765" max="10765" width="11.375" style="214" customWidth="1"/>
    <col min="10766" max="10766" width="11.875" style="214" customWidth="1"/>
    <col min="10767" max="10767" width="16" style="214" bestFit="1" customWidth="1"/>
    <col min="10768" max="11008" width="9" style="214"/>
    <col min="11009" max="11009" width="2.625" style="214" customWidth="1"/>
    <col min="11010" max="11010" width="1.25" style="214" customWidth="1"/>
    <col min="11011" max="11011" width="14.125" style="214" customWidth="1"/>
    <col min="11012" max="11013" width="13" style="214" customWidth="1"/>
    <col min="11014" max="11014" width="10.25" style="214" customWidth="1"/>
    <col min="11015" max="11015" width="11.375" style="214" customWidth="1"/>
    <col min="11016" max="11016" width="12.875" style="214" customWidth="1"/>
    <col min="11017" max="11017" width="12" style="214" customWidth="1"/>
    <col min="11018" max="11018" width="12.75" style="214" customWidth="1"/>
    <col min="11019" max="11019" width="13" style="214" customWidth="1"/>
    <col min="11020" max="11020" width="13.75" style="214" bestFit="1" customWidth="1"/>
    <col min="11021" max="11021" width="11.375" style="214" customWidth="1"/>
    <col min="11022" max="11022" width="11.875" style="214" customWidth="1"/>
    <col min="11023" max="11023" width="16" style="214" bestFit="1" customWidth="1"/>
    <col min="11024" max="11264" width="9" style="214"/>
    <col min="11265" max="11265" width="2.625" style="214" customWidth="1"/>
    <col min="11266" max="11266" width="1.25" style="214" customWidth="1"/>
    <col min="11267" max="11267" width="14.125" style="214" customWidth="1"/>
    <col min="11268" max="11269" width="13" style="214" customWidth="1"/>
    <col min="11270" max="11270" width="10.25" style="214" customWidth="1"/>
    <col min="11271" max="11271" width="11.375" style="214" customWidth="1"/>
    <col min="11272" max="11272" width="12.875" style="214" customWidth="1"/>
    <col min="11273" max="11273" width="12" style="214" customWidth="1"/>
    <col min="11274" max="11274" width="12.75" style="214" customWidth="1"/>
    <col min="11275" max="11275" width="13" style="214" customWidth="1"/>
    <col min="11276" max="11276" width="13.75" style="214" bestFit="1" customWidth="1"/>
    <col min="11277" max="11277" width="11.375" style="214" customWidth="1"/>
    <col min="11278" max="11278" width="11.875" style="214" customWidth="1"/>
    <col min="11279" max="11279" width="16" style="214" bestFit="1" customWidth="1"/>
    <col min="11280" max="11520" width="9" style="214"/>
    <col min="11521" max="11521" width="2.625" style="214" customWidth="1"/>
    <col min="11522" max="11522" width="1.25" style="214" customWidth="1"/>
    <col min="11523" max="11523" width="14.125" style="214" customWidth="1"/>
    <col min="11524" max="11525" width="13" style="214" customWidth="1"/>
    <col min="11526" max="11526" width="10.25" style="214" customWidth="1"/>
    <col min="11527" max="11527" width="11.375" style="214" customWidth="1"/>
    <col min="11528" max="11528" width="12.875" style="214" customWidth="1"/>
    <col min="11529" max="11529" width="12" style="214" customWidth="1"/>
    <col min="11530" max="11530" width="12.75" style="214" customWidth="1"/>
    <col min="11531" max="11531" width="13" style="214" customWidth="1"/>
    <col min="11532" max="11532" width="13.75" style="214" bestFit="1" customWidth="1"/>
    <col min="11533" max="11533" width="11.375" style="214" customWidth="1"/>
    <col min="11534" max="11534" width="11.875" style="214" customWidth="1"/>
    <col min="11535" max="11535" width="16" style="214" bestFit="1" customWidth="1"/>
    <col min="11536" max="11776" width="9" style="214"/>
    <col min="11777" max="11777" width="2.625" style="214" customWidth="1"/>
    <col min="11778" max="11778" width="1.25" style="214" customWidth="1"/>
    <col min="11779" max="11779" width="14.125" style="214" customWidth="1"/>
    <col min="11780" max="11781" width="13" style="214" customWidth="1"/>
    <col min="11782" max="11782" width="10.25" style="214" customWidth="1"/>
    <col min="11783" max="11783" width="11.375" style="214" customWidth="1"/>
    <col min="11784" max="11784" width="12.875" style="214" customWidth="1"/>
    <col min="11785" max="11785" width="12" style="214" customWidth="1"/>
    <col min="11786" max="11786" width="12.75" style="214" customWidth="1"/>
    <col min="11787" max="11787" width="13" style="214" customWidth="1"/>
    <col min="11788" max="11788" width="13.75" style="214" bestFit="1" customWidth="1"/>
    <col min="11789" max="11789" width="11.375" style="214" customWidth="1"/>
    <col min="11790" max="11790" width="11.875" style="214" customWidth="1"/>
    <col min="11791" max="11791" width="16" style="214" bestFit="1" customWidth="1"/>
    <col min="11792" max="12032" width="9" style="214"/>
    <col min="12033" max="12033" width="2.625" style="214" customWidth="1"/>
    <col min="12034" max="12034" width="1.25" style="214" customWidth="1"/>
    <col min="12035" max="12035" width="14.125" style="214" customWidth="1"/>
    <col min="12036" max="12037" width="13" style="214" customWidth="1"/>
    <col min="12038" max="12038" width="10.25" style="214" customWidth="1"/>
    <col min="12039" max="12039" width="11.375" style="214" customWidth="1"/>
    <col min="12040" max="12040" width="12.875" style="214" customWidth="1"/>
    <col min="12041" max="12041" width="12" style="214" customWidth="1"/>
    <col min="12042" max="12042" width="12.75" style="214" customWidth="1"/>
    <col min="12043" max="12043" width="13" style="214" customWidth="1"/>
    <col min="12044" max="12044" width="13.75" style="214" bestFit="1" customWidth="1"/>
    <col min="12045" max="12045" width="11.375" style="214" customWidth="1"/>
    <col min="12046" max="12046" width="11.875" style="214" customWidth="1"/>
    <col min="12047" max="12047" width="16" style="214" bestFit="1" customWidth="1"/>
    <col min="12048" max="12288" width="9" style="214"/>
    <col min="12289" max="12289" width="2.625" style="214" customWidth="1"/>
    <col min="12290" max="12290" width="1.25" style="214" customWidth="1"/>
    <col min="12291" max="12291" width="14.125" style="214" customWidth="1"/>
    <col min="12292" max="12293" width="13" style="214" customWidth="1"/>
    <col min="12294" max="12294" width="10.25" style="214" customWidth="1"/>
    <col min="12295" max="12295" width="11.375" style="214" customWidth="1"/>
    <col min="12296" max="12296" width="12.875" style="214" customWidth="1"/>
    <col min="12297" max="12297" width="12" style="214" customWidth="1"/>
    <col min="12298" max="12298" width="12.75" style="214" customWidth="1"/>
    <col min="12299" max="12299" width="13" style="214" customWidth="1"/>
    <col min="12300" max="12300" width="13.75" style="214" bestFit="1" customWidth="1"/>
    <col min="12301" max="12301" width="11.375" style="214" customWidth="1"/>
    <col min="12302" max="12302" width="11.875" style="214" customWidth="1"/>
    <col min="12303" max="12303" width="16" style="214" bestFit="1" customWidth="1"/>
    <col min="12304" max="12544" width="9" style="214"/>
    <col min="12545" max="12545" width="2.625" style="214" customWidth="1"/>
    <col min="12546" max="12546" width="1.25" style="214" customWidth="1"/>
    <col min="12547" max="12547" width="14.125" style="214" customWidth="1"/>
    <col min="12548" max="12549" width="13" style="214" customWidth="1"/>
    <col min="12550" max="12550" width="10.25" style="214" customWidth="1"/>
    <col min="12551" max="12551" width="11.375" style="214" customWidth="1"/>
    <col min="12552" max="12552" width="12.875" style="214" customWidth="1"/>
    <col min="12553" max="12553" width="12" style="214" customWidth="1"/>
    <col min="12554" max="12554" width="12.75" style="214" customWidth="1"/>
    <col min="12555" max="12555" width="13" style="214" customWidth="1"/>
    <col min="12556" max="12556" width="13.75" style="214" bestFit="1" customWidth="1"/>
    <col min="12557" max="12557" width="11.375" style="214" customWidth="1"/>
    <col min="12558" max="12558" width="11.875" style="214" customWidth="1"/>
    <col min="12559" max="12559" width="16" style="214" bestFit="1" customWidth="1"/>
    <col min="12560" max="12800" width="9" style="214"/>
    <col min="12801" max="12801" width="2.625" style="214" customWidth="1"/>
    <col min="12802" max="12802" width="1.25" style="214" customWidth="1"/>
    <col min="12803" max="12803" width="14.125" style="214" customWidth="1"/>
    <col min="12804" max="12805" width="13" style="214" customWidth="1"/>
    <col min="12806" max="12806" width="10.25" style="214" customWidth="1"/>
    <col min="12807" max="12807" width="11.375" style="214" customWidth="1"/>
    <col min="12808" max="12808" width="12.875" style="214" customWidth="1"/>
    <col min="12809" max="12809" width="12" style="214" customWidth="1"/>
    <col min="12810" max="12810" width="12.75" style="214" customWidth="1"/>
    <col min="12811" max="12811" width="13" style="214" customWidth="1"/>
    <col min="12812" max="12812" width="13.75" style="214" bestFit="1" customWidth="1"/>
    <col min="12813" max="12813" width="11.375" style="214" customWidth="1"/>
    <col min="12814" max="12814" width="11.875" style="214" customWidth="1"/>
    <col min="12815" max="12815" width="16" style="214" bestFit="1" customWidth="1"/>
    <col min="12816" max="13056" width="9" style="214"/>
    <col min="13057" max="13057" width="2.625" style="214" customWidth="1"/>
    <col min="13058" max="13058" width="1.25" style="214" customWidth="1"/>
    <col min="13059" max="13059" width="14.125" style="214" customWidth="1"/>
    <col min="13060" max="13061" width="13" style="214" customWidth="1"/>
    <col min="13062" max="13062" width="10.25" style="214" customWidth="1"/>
    <col min="13063" max="13063" width="11.375" style="214" customWidth="1"/>
    <col min="13064" max="13064" width="12.875" style="214" customWidth="1"/>
    <col min="13065" max="13065" width="12" style="214" customWidth="1"/>
    <col min="13066" max="13066" width="12.75" style="214" customWidth="1"/>
    <col min="13067" max="13067" width="13" style="214" customWidth="1"/>
    <col min="13068" max="13068" width="13.75" style="214" bestFit="1" customWidth="1"/>
    <col min="13069" max="13069" width="11.375" style="214" customWidth="1"/>
    <col min="13070" max="13070" width="11.875" style="214" customWidth="1"/>
    <col min="13071" max="13071" width="16" style="214" bestFit="1" customWidth="1"/>
    <col min="13072" max="13312" width="9" style="214"/>
    <col min="13313" max="13313" width="2.625" style="214" customWidth="1"/>
    <col min="13314" max="13314" width="1.25" style="214" customWidth="1"/>
    <col min="13315" max="13315" width="14.125" style="214" customWidth="1"/>
    <col min="13316" max="13317" width="13" style="214" customWidth="1"/>
    <col min="13318" max="13318" width="10.25" style="214" customWidth="1"/>
    <col min="13319" max="13319" width="11.375" style="214" customWidth="1"/>
    <col min="13320" max="13320" width="12.875" style="214" customWidth="1"/>
    <col min="13321" max="13321" width="12" style="214" customWidth="1"/>
    <col min="13322" max="13322" width="12.75" style="214" customWidth="1"/>
    <col min="13323" max="13323" width="13" style="214" customWidth="1"/>
    <col min="13324" max="13324" width="13.75" style="214" bestFit="1" customWidth="1"/>
    <col min="13325" max="13325" width="11.375" style="214" customWidth="1"/>
    <col min="13326" max="13326" width="11.875" style="214" customWidth="1"/>
    <col min="13327" max="13327" width="16" style="214" bestFit="1" customWidth="1"/>
    <col min="13328" max="13568" width="9" style="214"/>
    <col min="13569" max="13569" width="2.625" style="214" customWidth="1"/>
    <col min="13570" max="13570" width="1.25" style="214" customWidth="1"/>
    <col min="13571" max="13571" width="14.125" style="214" customWidth="1"/>
    <col min="13572" max="13573" width="13" style="214" customWidth="1"/>
    <col min="13574" max="13574" width="10.25" style="214" customWidth="1"/>
    <col min="13575" max="13575" width="11.375" style="214" customWidth="1"/>
    <col min="13576" max="13576" width="12.875" style="214" customWidth="1"/>
    <col min="13577" max="13577" width="12" style="214" customWidth="1"/>
    <col min="13578" max="13578" width="12.75" style="214" customWidth="1"/>
    <col min="13579" max="13579" width="13" style="214" customWidth="1"/>
    <col min="13580" max="13580" width="13.75" style="214" bestFit="1" customWidth="1"/>
    <col min="13581" max="13581" width="11.375" style="214" customWidth="1"/>
    <col min="13582" max="13582" width="11.875" style="214" customWidth="1"/>
    <col min="13583" max="13583" width="16" style="214" bestFit="1" customWidth="1"/>
    <col min="13584" max="13824" width="9" style="214"/>
    <col min="13825" max="13825" width="2.625" style="214" customWidth="1"/>
    <col min="13826" max="13826" width="1.25" style="214" customWidth="1"/>
    <col min="13827" max="13827" width="14.125" style="214" customWidth="1"/>
    <col min="13828" max="13829" width="13" style="214" customWidth="1"/>
    <col min="13830" max="13830" width="10.25" style="214" customWidth="1"/>
    <col min="13831" max="13831" width="11.375" style="214" customWidth="1"/>
    <col min="13832" max="13832" width="12.875" style="214" customWidth="1"/>
    <col min="13833" max="13833" width="12" style="214" customWidth="1"/>
    <col min="13834" max="13834" width="12.75" style="214" customWidth="1"/>
    <col min="13835" max="13835" width="13" style="214" customWidth="1"/>
    <col min="13836" max="13836" width="13.75" style="214" bestFit="1" customWidth="1"/>
    <col min="13837" max="13837" width="11.375" style="214" customWidth="1"/>
    <col min="13838" max="13838" width="11.875" style="214" customWidth="1"/>
    <col min="13839" max="13839" width="16" style="214" bestFit="1" customWidth="1"/>
    <col min="13840" max="14080" width="9" style="214"/>
    <col min="14081" max="14081" width="2.625" style="214" customWidth="1"/>
    <col min="14082" max="14082" width="1.25" style="214" customWidth="1"/>
    <col min="14083" max="14083" width="14.125" style="214" customWidth="1"/>
    <col min="14084" max="14085" width="13" style="214" customWidth="1"/>
    <col min="14086" max="14086" width="10.25" style="214" customWidth="1"/>
    <col min="14087" max="14087" width="11.375" style="214" customWidth="1"/>
    <col min="14088" max="14088" width="12.875" style="214" customWidth="1"/>
    <col min="14089" max="14089" width="12" style="214" customWidth="1"/>
    <col min="14090" max="14090" width="12.75" style="214" customWidth="1"/>
    <col min="14091" max="14091" width="13" style="214" customWidth="1"/>
    <col min="14092" max="14092" width="13.75" style="214" bestFit="1" customWidth="1"/>
    <col min="14093" max="14093" width="11.375" style="214" customWidth="1"/>
    <col min="14094" max="14094" width="11.875" style="214" customWidth="1"/>
    <col min="14095" max="14095" width="16" style="214" bestFit="1" customWidth="1"/>
    <col min="14096" max="14336" width="9" style="214"/>
    <col min="14337" max="14337" width="2.625" style="214" customWidth="1"/>
    <col min="14338" max="14338" width="1.25" style="214" customWidth="1"/>
    <col min="14339" max="14339" width="14.125" style="214" customWidth="1"/>
    <col min="14340" max="14341" width="13" style="214" customWidth="1"/>
    <col min="14342" max="14342" width="10.25" style="214" customWidth="1"/>
    <col min="14343" max="14343" width="11.375" style="214" customWidth="1"/>
    <col min="14344" max="14344" width="12.875" style="214" customWidth="1"/>
    <col min="14345" max="14345" width="12" style="214" customWidth="1"/>
    <col min="14346" max="14346" width="12.75" style="214" customWidth="1"/>
    <col min="14347" max="14347" width="13" style="214" customWidth="1"/>
    <col min="14348" max="14348" width="13.75" style="214" bestFit="1" customWidth="1"/>
    <col min="14349" max="14349" width="11.375" style="214" customWidth="1"/>
    <col min="14350" max="14350" width="11.875" style="214" customWidth="1"/>
    <col min="14351" max="14351" width="16" style="214" bestFit="1" customWidth="1"/>
    <col min="14352" max="14592" width="9" style="214"/>
    <col min="14593" max="14593" width="2.625" style="214" customWidth="1"/>
    <col min="14594" max="14594" width="1.25" style="214" customWidth="1"/>
    <col min="14595" max="14595" width="14.125" style="214" customWidth="1"/>
    <col min="14596" max="14597" width="13" style="214" customWidth="1"/>
    <col min="14598" max="14598" width="10.25" style="214" customWidth="1"/>
    <col min="14599" max="14599" width="11.375" style="214" customWidth="1"/>
    <col min="14600" max="14600" width="12.875" style="214" customWidth="1"/>
    <col min="14601" max="14601" width="12" style="214" customWidth="1"/>
    <col min="14602" max="14602" width="12.75" style="214" customWidth="1"/>
    <col min="14603" max="14603" width="13" style="214" customWidth="1"/>
    <col min="14604" max="14604" width="13.75" style="214" bestFit="1" customWidth="1"/>
    <col min="14605" max="14605" width="11.375" style="214" customWidth="1"/>
    <col min="14606" max="14606" width="11.875" style="214" customWidth="1"/>
    <col min="14607" max="14607" width="16" style="214" bestFit="1" customWidth="1"/>
    <col min="14608" max="14848" width="9" style="214"/>
    <col min="14849" max="14849" width="2.625" style="214" customWidth="1"/>
    <col min="14850" max="14850" width="1.25" style="214" customWidth="1"/>
    <col min="14851" max="14851" width="14.125" style="214" customWidth="1"/>
    <col min="14852" max="14853" width="13" style="214" customWidth="1"/>
    <col min="14854" max="14854" width="10.25" style="214" customWidth="1"/>
    <col min="14855" max="14855" width="11.375" style="214" customWidth="1"/>
    <col min="14856" max="14856" width="12.875" style="214" customWidth="1"/>
    <col min="14857" max="14857" width="12" style="214" customWidth="1"/>
    <col min="14858" max="14858" width="12.75" style="214" customWidth="1"/>
    <col min="14859" max="14859" width="13" style="214" customWidth="1"/>
    <col min="14860" max="14860" width="13.75" style="214" bestFit="1" customWidth="1"/>
    <col min="14861" max="14861" width="11.375" style="214" customWidth="1"/>
    <col min="14862" max="14862" width="11.875" style="214" customWidth="1"/>
    <col min="14863" max="14863" width="16" style="214" bestFit="1" customWidth="1"/>
    <col min="14864" max="15104" width="9" style="214"/>
    <col min="15105" max="15105" width="2.625" style="214" customWidth="1"/>
    <col min="15106" max="15106" width="1.25" style="214" customWidth="1"/>
    <col min="15107" max="15107" width="14.125" style="214" customWidth="1"/>
    <col min="15108" max="15109" width="13" style="214" customWidth="1"/>
    <col min="15110" max="15110" width="10.25" style="214" customWidth="1"/>
    <col min="15111" max="15111" width="11.375" style="214" customWidth="1"/>
    <col min="15112" max="15112" width="12.875" style="214" customWidth="1"/>
    <col min="15113" max="15113" width="12" style="214" customWidth="1"/>
    <col min="15114" max="15114" width="12.75" style="214" customWidth="1"/>
    <col min="15115" max="15115" width="13" style="214" customWidth="1"/>
    <col min="15116" max="15116" width="13.75" style="214" bestFit="1" customWidth="1"/>
    <col min="15117" max="15117" width="11.375" style="214" customWidth="1"/>
    <col min="15118" max="15118" width="11.875" style="214" customWidth="1"/>
    <col min="15119" max="15119" width="16" style="214" bestFit="1" customWidth="1"/>
    <col min="15120" max="15360" width="9" style="214"/>
    <col min="15361" max="15361" width="2.625" style="214" customWidth="1"/>
    <col min="15362" max="15362" width="1.25" style="214" customWidth="1"/>
    <col min="15363" max="15363" width="14.125" style="214" customWidth="1"/>
    <col min="15364" max="15365" width="13" style="214" customWidth="1"/>
    <col min="15366" max="15366" width="10.25" style="214" customWidth="1"/>
    <col min="15367" max="15367" width="11.375" style="214" customWidth="1"/>
    <col min="15368" max="15368" width="12.875" style="214" customWidth="1"/>
    <col min="15369" max="15369" width="12" style="214" customWidth="1"/>
    <col min="15370" max="15370" width="12.75" style="214" customWidth="1"/>
    <col min="15371" max="15371" width="13" style="214" customWidth="1"/>
    <col min="15372" max="15372" width="13.75" style="214" bestFit="1" customWidth="1"/>
    <col min="15373" max="15373" width="11.375" style="214" customWidth="1"/>
    <col min="15374" max="15374" width="11.875" style="214" customWidth="1"/>
    <col min="15375" max="15375" width="16" style="214" bestFit="1" customWidth="1"/>
    <col min="15376" max="15616" width="9" style="214"/>
    <col min="15617" max="15617" width="2.625" style="214" customWidth="1"/>
    <col min="15618" max="15618" width="1.25" style="214" customWidth="1"/>
    <col min="15619" max="15619" width="14.125" style="214" customWidth="1"/>
    <col min="15620" max="15621" width="13" style="214" customWidth="1"/>
    <col min="15622" max="15622" width="10.25" style="214" customWidth="1"/>
    <col min="15623" max="15623" width="11.375" style="214" customWidth="1"/>
    <col min="15624" max="15624" width="12.875" style="214" customWidth="1"/>
    <col min="15625" max="15625" width="12" style="214" customWidth="1"/>
    <col min="15626" max="15626" width="12.75" style="214" customWidth="1"/>
    <col min="15627" max="15627" width="13" style="214" customWidth="1"/>
    <col min="15628" max="15628" width="13.75" style="214" bestFit="1" customWidth="1"/>
    <col min="15629" max="15629" width="11.375" style="214" customWidth="1"/>
    <col min="15630" max="15630" width="11.875" style="214" customWidth="1"/>
    <col min="15631" max="15631" width="16" style="214" bestFit="1" customWidth="1"/>
    <col min="15632" max="15872" width="9" style="214"/>
    <col min="15873" max="15873" width="2.625" style="214" customWidth="1"/>
    <col min="15874" max="15874" width="1.25" style="214" customWidth="1"/>
    <col min="15875" max="15875" width="14.125" style="214" customWidth="1"/>
    <col min="15876" max="15877" width="13" style="214" customWidth="1"/>
    <col min="15878" max="15878" width="10.25" style="214" customWidth="1"/>
    <col min="15879" max="15879" width="11.375" style="214" customWidth="1"/>
    <col min="15880" max="15880" width="12.875" style="214" customWidth="1"/>
    <col min="15881" max="15881" width="12" style="214" customWidth="1"/>
    <col min="15882" max="15882" width="12.75" style="214" customWidth="1"/>
    <col min="15883" max="15883" width="13" style="214" customWidth="1"/>
    <col min="15884" max="15884" width="13.75" style="214" bestFit="1" customWidth="1"/>
    <col min="15885" max="15885" width="11.375" style="214" customWidth="1"/>
    <col min="15886" max="15886" width="11.875" style="214" customWidth="1"/>
    <col min="15887" max="15887" width="16" style="214" bestFit="1" customWidth="1"/>
    <col min="15888" max="16128" width="9" style="214"/>
    <col min="16129" max="16129" width="2.625" style="214" customWidth="1"/>
    <col min="16130" max="16130" width="1.25" style="214" customWidth="1"/>
    <col min="16131" max="16131" width="14.125" style="214" customWidth="1"/>
    <col min="16132" max="16133" width="13" style="214" customWidth="1"/>
    <col min="16134" max="16134" width="10.25" style="214" customWidth="1"/>
    <col min="16135" max="16135" width="11.375" style="214" customWidth="1"/>
    <col min="16136" max="16136" width="12.875" style="214" customWidth="1"/>
    <col min="16137" max="16137" width="12" style="214" customWidth="1"/>
    <col min="16138" max="16138" width="12.75" style="214" customWidth="1"/>
    <col min="16139" max="16139" width="13" style="214" customWidth="1"/>
    <col min="16140" max="16140" width="13.75" style="214" bestFit="1" customWidth="1"/>
    <col min="16141" max="16141" width="11.375" style="214" customWidth="1"/>
    <col min="16142" max="16142" width="11.875" style="214" customWidth="1"/>
    <col min="16143" max="16143" width="16" style="214" bestFit="1" customWidth="1"/>
    <col min="16144" max="16384" width="9" style="214"/>
  </cols>
  <sheetData>
    <row r="1" spans="1:15" ht="24.75" customHeight="1">
      <c r="A1" s="298" t="str">
        <f>+LEFT('3条税込み'!A1,2)&amp;"年度経費（雨水・汚水）区分調 (決算・税抜き・消費税分雑支出加算後)"</f>
        <v>令和年度経費（雨水・汚水）区分調 (決算・税抜き・消費税分雑支出加算後)</v>
      </c>
    </row>
    <row r="2" spans="1:15" ht="24.75" customHeight="1" thickBot="1">
      <c r="A2" s="214" t="s">
        <v>293</v>
      </c>
      <c r="K2" s="259" t="s">
        <v>292</v>
      </c>
    </row>
    <row r="3" spans="1:15" ht="24.75" customHeight="1">
      <c r="A3" s="233" t="s">
        <v>291</v>
      </c>
      <c r="B3" s="232"/>
      <c r="C3" s="232"/>
      <c r="D3" s="297" t="s">
        <v>290</v>
      </c>
      <c r="E3" s="296" t="s">
        <v>289</v>
      </c>
      <c r="F3" s="294"/>
      <c r="G3" s="294"/>
      <c r="H3" s="293"/>
      <c r="I3" s="295" t="s">
        <v>288</v>
      </c>
      <c r="J3" s="294"/>
      <c r="K3" s="293"/>
    </row>
    <row r="4" spans="1:15" s="273" customFormat="1" ht="24.75" customHeight="1">
      <c r="A4" s="292"/>
      <c r="B4" s="291"/>
      <c r="C4" s="291"/>
      <c r="D4" s="290"/>
      <c r="E4" s="289" t="s">
        <v>287</v>
      </c>
      <c r="F4" s="288"/>
      <c r="G4" s="287" t="s">
        <v>286</v>
      </c>
      <c r="H4" s="284" t="s">
        <v>285</v>
      </c>
      <c r="I4" s="286" t="s">
        <v>287</v>
      </c>
      <c r="J4" s="285" t="s">
        <v>286</v>
      </c>
      <c r="K4" s="284" t="s">
        <v>285</v>
      </c>
    </row>
    <row r="5" spans="1:15" s="275" customFormat="1" ht="24.75" customHeight="1">
      <c r="A5" s="283"/>
      <c r="B5" s="282"/>
      <c r="C5" s="282"/>
      <c r="D5" s="281"/>
      <c r="E5" s="280" t="s">
        <v>282</v>
      </c>
      <c r="F5" s="277" t="s">
        <v>284</v>
      </c>
      <c r="G5" s="279" t="s">
        <v>283</v>
      </c>
      <c r="H5" s="276"/>
      <c r="I5" s="278" t="s">
        <v>282</v>
      </c>
      <c r="J5" s="277" t="s">
        <v>282</v>
      </c>
      <c r="K5" s="276"/>
      <c r="M5" s="314" t="s">
        <v>295</v>
      </c>
    </row>
    <row r="6" spans="1:15" ht="24.75" customHeight="1">
      <c r="A6" s="265"/>
      <c r="B6" s="255" t="s">
        <v>244</v>
      </c>
      <c r="C6" s="258"/>
      <c r="D6" s="246">
        <f>SUM(D7:D20)</f>
        <v>10791340439</v>
      </c>
      <c r="E6" s="245">
        <f>SUM(E7:E20)</f>
        <v>2679944458</v>
      </c>
      <c r="F6" s="242">
        <f>SUM(F7:F20)</f>
        <v>251984734</v>
      </c>
      <c r="G6" s="242">
        <f>SUM(G7:G20)</f>
        <v>420868760</v>
      </c>
      <c r="H6" s="241">
        <f t="shared" ref="H6:H29" si="0">SUM(E6:G6)</f>
        <v>3352797952</v>
      </c>
      <c r="I6" s="243">
        <f>SUM(I7:I20)</f>
        <v>218712415</v>
      </c>
      <c r="J6" s="242">
        <f>SUM(J7:J20)</f>
        <v>7219830072</v>
      </c>
      <c r="K6" s="241">
        <f t="shared" ref="K6:K29" si="1">SUM(I6:J6)</f>
        <v>7438542487</v>
      </c>
      <c r="M6" s="214">
        <f>SUM(M7:M20)</f>
        <v>820944501</v>
      </c>
      <c r="N6" s="214">
        <f t="shared" ref="N6:N24" si="2">D6-H6-K6</f>
        <v>0</v>
      </c>
    </row>
    <row r="7" spans="1:15" ht="24.75" customHeight="1">
      <c r="A7" s="252"/>
      <c r="B7" s="255"/>
      <c r="C7" s="255" t="s">
        <v>77</v>
      </c>
      <c r="D7" s="246">
        <f>+'3条税抜き'!D7</f>
        <v>564664608</v>
      </c>
      <c r="E7" s="245">
        <f>+'3条税抜き'!E7</f>
        <v>263704959</v>
      </c>
      <c r="F7" s="242">
        <f>+'3条税抜き'!F7</f>
        <v>55426018</v>
      </c>
      <c r="G7" s="242">
        <f>+'3条税抜き'!G7</f>
        <v>0</v>
      </c>
      <c r="H7" s="241">
        <f t="shared" si="0"/>
        <v>319130977</v>
      </c>
      <c r="I7" s="243">
        <f>+'3条税抜き'!I7</f>
        <v>0</v>
      </c>
      <c r="J7" s="242">
        <f>+'3条税抜き'!J7</f>
        <v>245533631</v>
      </c>
      <c r="K7" s="241">
        <f t="shared" si="1"/>
        <v>245533631</v>
      </c>
      <c r="M7" s="214">
        <f>'3条税込み'!D7-'3条税抜き (消費税雑支出加算)'!D7</f>
        <v>47155349</v>
      </c>
      <c r="N7" s="214">
        <f t="shared" si="2"/>
        <v>0</v>
      </c>
    </row>
    <row r="8" spans="1:15" ht="24.75" customHeight="1">
      <c r="A8" s="252"/>
      <c r="B8" s="256"/>
      <c r="C8" s="255" t="s">
        <v>74</v>
      </c>
      <c r="D8" s="246">
        <f>+'3条税抜き'!D8</f>
        <v>51313295</v>
      </c>
      <c r="E8" s="245">
        <f>+'3条税抜き'!E8</f>
        <v>0</v>
      </c>
      <c r="F8" s="242">
        <f>+'3条税抜き'!F8</f>
        <v>0</v>
      </c>
      <c r="G8" s="242">
        <f>+'3条税抜き'!G8</f>
        <v>0</v>
      </c>
      <c r="H8" s="241">
        <f t="shared" si="0"/>
        <v>0</v>
      </c>
      <c r="I8" s="243">
        <f>+'3条税抜き'!I8</f>
        <v>51313295</v>
      </c>
      <c r="J8" s="242">
        <f>+'3条税抜き'!J8</f>
        <v>0</v>
      </c>
      <c r="K8" s="241">
        <f t="shared" si="1"/>
        <v>51313295</v>
      </c>
      <c r="M8" s="214">
        <f>'3条税込み'!D8-'3条税抜き (消費税雑支出加算)'!D8</f>
        <v>1130574</v>
      </c>
      <c r="N8" s="214">
        <f t="shared" si="2"/>
        <v>0</v>
      </c>
    </row>
    <row r="9" spans="1:15" ht="24.75" customHeight="1">
      <c r="A9" s="252"/>
      <c r="B9" s="256"/>
      <c r="C9" s="255" t="s">
        <v>71</v>
      </c>
      <c r="D9" s="246">
        <f>+'3条税抜き'!D9</f>
        <v>2251657967</v>
      </c>
      <c r="E9" s="245">
        <f>+'3条税抜き'!E9</f>
        <v>1648504061</v>
      </c>
      <c r="F9" s="242">
        <f>+'3条税抜き'!F9</f>
        <v>52612790</v>
      </c>
      <c r="G9" s="242">
        <f>+'3条税抜き'!G9</f>
        <v>0</v>
      </c>
      <c r="H9" s="241">
        <f t="shared" si="0"/>
        <v>1701116851</v>
      </c>
      <c r="I9" s="243">
        <f>+'3条税抜き'!I9</f>
        <v>0</v>
      </c>
      <c r="J9" s="242">
        <f>+'3条税抜き'!J9</f>
        <v>550541116</v>
      </c>
      <c r="K9" s="241">
        <f t="shared" si="1"/>
        <v>550541116</v>
      </c>
      <c r="M9" s="214">
        <f>'3条税込み'!D9-'3条税抜き (消費税雑支出加算)'!D9</f>
        <v>104382258</v>
      </c>
      <c r="N9" s="214">
        <f t="shared" si="2"/>
        <v>0</v>
      </c>
    </row>
    <row r="10" spans="1:15" ht="24.75" customHeight="1">
      <c r="A10" s="252"/>
      <c r="B10" s="256"/>
      <c r="C10" s="255" t="s">
        <v>69</v>
      </c>
      <c r="D10" s="246">
        <f>+'3条税抜き'!D10</f>
        <v>6037810078</v>
      </c>
      <c r="E10" s="245">
        <f>+'3条税抜き'!E10</f>
        <v>647980161</v>
      </c>
      <c r="F10" s="242">
        <f>+'3条税抜き'!F10</f>
        <v>132685804</v>
      </c>
      <c r="G10" s="242">
        <f>+'3条税抜き'!G10</f>
        <v>410472490</v>
      </c>
      <c r="H10" s="241">
        <f t="shared" si="0"/>
        <v>1191138455</v>
      </c>
      <c r="I10" s="274">
        <f>+'3条税抜き'!I10</f>
        <v>123832094</v>
      </c>
      <c r="J10" s="242">
        <f>+'3条税抜き'!J10</f>
        <v>4722839529</v>
      </c>
      <c r="K10" s="241">
        <f t="shared" si="1"/>
        <v>4846671623</v>
      </c>
      <c r="M10" s="214">
        <f>'3条税込み'!D10-'3条税抜き (消費税雑支出加算)'!D10</f>
        <v>519893786</v>
      </c>
      <c r="N10" s="214">
        <f t="shared" si="2"/>
        <v>0</v>
      </c>
    </row>
    <row r="11" spans="1:15" ht="24.75" customHeight="1">
      <c r="A11" s="252"/>
      <c r="B11" s="256"/>
      <c r="C11" s="255" t="s">
        <v>67</v>
      </c>
      <c r="D11" s="246">
        <f>+'3条税抜き'!D11</f>
        <v>0</v>
      </c>
      <c r="E11" s="245">
        <f>+'3条税抜き'!E11</f>
        <v>0</v>
      </c>
      <c r="F11" s="242">
        <f>+'3条税抜き'!F11</f>
        <v>0</v>
      </c>
      <c r="G11" s="242">
        <f>+'3条税抜き'!G11</f>
        <v>0</v>
      </c>
      <c r="H11" s="241">
        <f t="shared" si="0"/>
        <v>0</v>
      </c>
      <c r="I11" s="243">
        <f>+'3条税抜き'!I11</f>
        <v>0</v>
      </c>
      <c r="J11" s="242">
        <f>+'3条税抜き'!J11</f>
        <v>0</v>
      </c>
      <c r="K11" s="241">
        <f t="shared" si="1"/>
        <v>0</v>
      </c>
      <c r="L11" s="273" t="s">
        <v>281</v>
      </c>
      <c r="M11" s="214">
        <f>'3条税込み'!D11-'3条税抜き (消費税雑支出加算)'!D11</f>
        <v>0</v>
      </c>
      <c r="N11" s="214">
        <f t="shared" si="2"/>
        <v>0</v>
      </c>
    </row>
    <row r="12" spans="1:15" ht="24.75" customHeight="1">
      <c r="A12" s="252"/>
      <c r="B12" s="256"/>
      <c r="C12" s="255" t="s">
        <v>65</v>
      </c>
      <c r="D12" s="246">
        <f>+'3条税抜き'!D12</f>
        <v>87134052</v>
      </c>
      <c r="E12" s="245">
        <f>+'3条税抜き'!E12</f>
        <v>0</v>
      </c>
      <c r="F12" s="242">
        <f>+'3条税抜き'!F12</f>
        <v>0</v>
      </c>
      <c r="G12" s="242">
        <f>+'3条税抜き'!G12</f>
        <v>0</v>
      </c>
      <c r="H12" s="241">
        <f t="shared" si="0"/>
        <v>0</v>
      </c>
      <c r="I12" s="243">
        <f>+'3条税抜き'!I12</f>
        <v>43567026</v>
      </c>
      <c r="J12" s="242">
        <f>+'3条税抜き'!J12</f>
        <v>43567026</v>
      </c>
      <c r="K12" s="241">
        <f t="shared" si="1"/>
        <v>87134052</v>
      </c>
      <c r="L12" s="214">
        <f>G12+I12</f>
        <v>43567026</v>
      </c>
      <c r="M12" s="214">
        <f>'3条税込み'!D12-'3条税抜き (消費税雑支出加算)'!D12</f>
        <v>1715497</v>
      </c>
      <c r="N12" s="214">
        <f t="shared" si="2"/>
        <v>0</v>
      </c>
    </row>
    <row r="13" spans="1:15" ht="24.75" customHeight="1">
      <c r="A13" s="252"/>
      <c r="B13" s="256"/>
      <c r="C13" s="270" t="s">
        <v>62</v>
      </c>
      <c r="D13" s="246">
        <f>+'3条税抜き'!D13</f>
        <v>10396270</v>
      </c>
      <c r="E13" s="245">
        <f>+'3条税抜き'!E13</f>
        <v>0</v>
      </c>
      <c r="F13" s="242">
        <f>+'3条税抜き'!F13</f>
        <v>0</v>
      </c>
      <c r="G13" s="242">
        <f>+'3条税抜き'!G13</f>
        <v>10396270</v>
      </c>
      <c r="H13" s="241">
        <f t="shared" si="0"/>
        <v>10396270</v>
      </c>
      <c r="I13" s="243">
        <f>+'3条税抜き'!I13</f>
        <v>0</v>
      </c>
      <c r="J13" s="242">
        <f>+'3条税抜き'!J13</f>
        <v>0</v>
      </c>
      <c r="K13" s="241">
        <f t="shared" si="1"/>
        <v>0</v>
      </c>
      <c r="M13" s="214">
        <f>'3条税込み'!D13-'3条税抜き (消費税雑支出加算)'!D13</f>
        <v>87589</v>
      </c>
      <c r="N13" s="214">
        <f t="shared" si="2"/>
        <v>0</v>
      </c>
    </row>
    <row r="14" spans="1:15" ht="24.75" customHeight="1">
      <c r="A14" s="252"/>
      <c r="B14" s="256"/>
      <c r="C14" s="255" t="s">
        <v>60</v>
      </c>
      <c r="D14" s="246">
        <f>+'3条税抜き'!D14</f>
        <v>929691714</v>
      </c>
      <c r="E14" s="245">
        <f>+'3条税抜き'!E14</f>
        <v>0</v>
      </c>
      <c r="F14" s="242">
        <f>+'3条税抜き'!F14</f>
        <v>0</v>
      </c>
      <c r="G14" s="242">
        <f>+'3条税抜き'!G14</f>
        <v>0</v>
      </c>
      <c r="H14" s="241">
        <f t="shared" si="0"/>
        <v>0</v>
      </c>
      <c r="I14" s="243">
        <f>+'3条税抜き'!I14</f>
        <v>0</v>
      </c>
      <c r="J14" s="242">
        <f>+'3条税抜き'!J14</f>
        <v>929691714</v>
      </c>
      <c r="K14" s="241">
        <f t="shared" si="1"/>
        <v>929691714</v>
      </c>
      <c r="M14" s="214">
        <f>'3条税込み'!D14-'3条税抜き (消費税雑支出加算)'!D14</f>
        <v>90253429</v>
      </c>
      <c r="N14" s="214">
        <f t="shared" si="2"/>
        <v>0</v>
      </c>
      <c r="O14" s="272" t="s">
        <v>279</v>
      </c>
    </row>
    <row r="15" spans="1:15" ht="24.75" customHeight="1">
      <c r="A15" s="252"/>
      <c r="B15" s="256"/>
      <c r="C15" s="255" t="s">
        <v>58</v>
      </c>
      <c r="D15" s="246">
        <f>+'3条税抜き'!D15</f>
        <v>466286409</v>
      </c>
      <c r="E15" s="245">
        <f>+'3条税抜き'!E15</f>
        <v>119755277</v>
      </c>
      <c r="F15" s="242">
        <f>+'3条税抜き'!F15</f>
        <v>11260122</v>
      </c>
      <c r="G15" s="242">
        <f>+'3条税抜き'!G15</f>
        <v>0</v>
      </c>
      <c r="H15" s="241">
        <f t="shared" si="0"/>
        <v>131015399</v>
      </c>
      <c r="I15" s="243">
        <f>+'3条税抜き'!I15</f>
        <v>0</v>
      </c>
      <c r="J15" s="242">
        <f>+'3条税抜き'!J15</f>
        <v>335271010</v>
      </c>
      <c r="K15" s="241">
        <f t="shared" si="1"/>
        <v>335271010</v>
      </c>
      <c r="M15" s="214">
        <f>'3条税込み'!D15-'3条税抜き (消費税雑支出加算)'!D15</f>
        <v>17678805</v>
      </c>
      <c r="N15" s="214">
        <f t="shared" si="2"/>
        <v>0</v>
      </c>
      <c r="O15" s="271">
        <f>+'3条税抜き'!O15</f>
        <v>-14495555</v>
      </c>
    </row>
    <row r="16" spans="1:15" ht="24.75" customHeight="1">
      <c r="A16" s="252"/>
      <c r="B16" s="256"/>
      <c r="C16" s="270" t="s">
        <v>278</v>
      </c>
      <c r="D16" s="246">
        <f>+'3条税抜き'!D16</f>
        <v>97276922</v>
      </c>
      <c r="E16" s="245">
        <f>+'3条税抜き'!E16</f>
        <v>0</v>
      </c>
      <c r="F16" s="242">
        <f>+'3条税抜き'!F16</f>
        <v>0</v>
      </c>
      <c r="G16" s="242">
        <f>+'3条税抜き'!G16</f>
        <v>0</v>
      </c>
      <c r="H16" s="241">
        <f t="shared" si="0"/>
        <v>0</v>
      </c>
      <c r="I16" s="243">
        <f>+'3条税抜き'!I16</f>
        <v>0</v>
      </c>
      <c r="J16" s="242">
        <f>+'3条税抜き'!J16</f>
        <v>97276922</v>
      </c>
      <c r="K16" s="241">
        <f t="shared" si="1"/>
        <v>97276922</v>
      </c>
      <c r="M16" s="214">
        <f>'3条税込み'!D16-'3条税抜き (消費税雑支出加算)'!D16</f>
        <v>9713984</v>
      </c>
      <c r="N16" s="214">
        <f t="shared" si="2"/>
        <v>0</v>
      </c>
    </row>
    <row r="17" spans="1:14" ht="24.75" customHeight="1">
      <c r="A17" s="252"/>
      <c r="B17" s="256"/>
      <c r="C17" s="255" t="s">
        <v>277</v>
      </c>
      <c r="D17" s="246">
        <f>+'3条税抜き'!D17</f>
        <v>225167795</v>
      </c>
      <c r="E17" s="245">
        <f>+'3条税抜き'!E17</f>
        <v>0</v>
      </c>
      <c r="F17" s="242">
        <f>+'3条税抜き'!F17</f>
        <v>0</v>
      </c>
      <c r="G17" s="242">
        <f>+'3条税抜き'!G17</f>
        <v>0</v>
      </c>
      <c r="H17" s="241">
        <f t="shared" si="0"/>
        <v>0</v>
      </c>
      <c r="I17" s="243">
        <f>+'3条税抜き'!I17</f>
        <v>0</v>
      </c>
      <c r="J17" s="242">
        <f>+'3条税抜き'!J17</f>
        <v>225167795</v>
      </c>
      <c r="K17" s="241">
        <f t="shared" si="1"/>
        <v>225167795</v>
      </c>
      <c r="M17" s="214">
        <f>'3条税込み'!D17-'3条税抜き (消費税雑支出加算)'!D17</f>
        <v>22486229</v>
      </c>
      <c r="N17" s="214">
        <f t="shared" si="2"/>
        <v>0</v>
      </c>
    </row>
    <row r="18" spans="1:14" ht="24.75" customHeight="1">
      <c r="A18" s="252"/>
      <c r="B18" s="256"/>
      <c r="C18" s="255" t="s">
        <v>276</v>
      </c>
      <c r="D18" s="246">
        <f>+'3条税抜き'!D18</f>
        <v>69941329</v>
      </c>
      <c r="E18" s="245">
        <f>+'3条税抜き'!E18</f>
        <v>0</v>
      </c>
      <c r="F18" s="242">
        <f>+'3条税抜き'!F18</f>
        <v>0</v>
      </c>
      <c r="G18" s="242">
        <f>+'3条税抜き'!G18</f>
        <v>0</v>
      </c>
      <c r="H18" s="241">
        <f t="shared" si="0"/>
        <v>0</v>
      </c>
      <c r="I18" s="243">
        <f>+'3条税抜き'!I18</f>
        <v>0</v>
      </c>
      <c r="J18" s="242">
        <f>+'3条税抜き'!J18</f>
        <v>69941329</v>
      </c>
      <c r="K18" s="241">
        <f t="shared" si="1"/>
        <v>69941329</v>
      </c>
      <c r="M18" s="214">
        <f>'3条税込み'!D18-'3条税抜き (消費税雑支出加算)'!D18</f>
        <v>6447001</v>
      </c>
      <c r="N18" s="214">
        <f t="shared" si="2"/>
        <v>0</v>
      </c>
    </row>
    <row r="19" spans="1:14" ht="24.75" customHeight="1">
      <c r="A19" s="252"/>
      <c r="B19" s="256"/>
      <c r="C19" s="255" t="s">
        <v>275</v>
      </c>
      <c r="D19" s="246">
        <f>+'3条税抜き'!D19</f>
        <v>0</v>
      </c>
      <c r="E19" s="245">
        <f>+'3条税抜き'!E19</f>
        <v>0</v>
      </c>
      <c r="F19" s="242">
        <f>+'3条税抜き'!F19</f>
        <v>0</v>
      </c>
      <c r="G19" s="242">
        <f>+'3条税抜き'!G19</f>
        <v>0</v>
      </c>
      <c r="H19" s="241">
        <f t="shared" si="0"/>
        <v>0</v>
      </c>
      <c r="I19" s="243">
        <f>+'3条税抜き'!I19</f>
        <v>0</v>
      </c>
      <c r="J19" s="242">
        <f>+'3条税抜き'!J19</f>
        <v>0</v>
      </c>
      <c r="K19" s="241">
        <f t="shared" si="1"/>
        <v>0</v>
      </c>
      <c r="M19" s="214">
        <f>'3条税込み'!D19-'3条税抜き (消費税雑支出加算)'!D19</f>
        <v>0</v>
      </c>
      <c r="N19" s="214">
        <f t="shared" si="2"/>
        <v>0</v>
      </c>
    </row>
    <row r="20" spans="1:14" ht="24.75" customHeight="1">
      <c r="A20" s="252"/>
      <c r="B20" s="256"/>
      <c r="C20" s="255" t="s">
        <v>274</v>
      </c>
      <c r="D20" s="246">
        <f>+'3条税抜き'!D20</f>
        <v>0</v>
      </c>
      <c r="E20" s="245">
        <f>+'3条税抜き'!E20</f>
        <v>0</v>
      </c>
      <c r="F20" s="242">
        <f>+'3条税抜き'!F20</f>
        <v>0</v>
      </c>
      <c r="G20" s="242">
        <f>+'3条税抜き'!G20</f>
        <v>0</v>
      </c>
      <c r="H20" s="241">
        <f t="shared" si="0"/>
        <v>0</v>
      </c>
      <c r="I20" s="243">
        <f>+'3条税抜き'!I20</f>
        <v>0</v>
      </c>
      <c r="J20" s="242">
        <f>+'3条税抜き'!J20</f>
        <v>0</v>
      </c>
      <c r="K20" s="241">
        <f t="shared" si="1"/>
        <v>0</v>
      </c>
      <c r="M20" s="214">
        <f>'3条税込み'!D20-'3条税抜き (消費税雑支出加算)'!D20</f>
        <v>0</v>
      </c>
      <c r="N20" s="214">
        <f t="shared" si="2"/>
        <v>0</v>
      </c>
    </row>
    <row r="21" spans="1:14" ht="24.75" customHeight="1">
      <c r="A21" s="252"/>
      <c r="B21" s="255" t="s">
        <v>232</v>
      </c>
      <c r="C21" s="255"/>
      <c r="D21" s="246">
        <f>SUM(D22:D25)</f>
        <v>218670668</v>
      </c>
      <c r="E21" s="245">
        <f>SUM(E22:E25)</f>
        <v>161840742</v>
      </c>
      <c r="F21" s="242">
        <f>SUM(F22:F25)</f>
        <v>15449991</v>
      </c>
      <c r="G21" s="242">
        <f>SUM(G22:G25)</f>
        <v>23053301</v>
      </c>
      <c r="H21" s="241">
        <f t="shared" si="0"/>
        <v>200344034</v>
      </c>
      <c r="I21" s="243">
        <f>SUM(I22:I25)</f>
        <v>9576435</v>
      </c>
      <c r="J21" s="242">
        <f>SUM(J22:J25)</f>
        <v>8750199</v>
      </c>
      <c r="K21" s="241">
        <f t="shared" si="1"/>
        <v>18326634</v>
      </c>
      <c r="M21" s="214">
        <f>SUM(M22:M24)</f>
        <v>489822</v>
      </c>
      <c r="N21" s="214">
        <f t="shared" si="2"/>
        <v>0</v>
      </c>
    </row>
    <row r="22" spans="1:14" ht="24.75" customHeight="1">
      <c r="A22" s="252"/>
      <c r="B22" s="255"/>
      <c r="C22" s="255" t="s">
        <v>273</v>
      </c>
      <c r="D22" s="246">
        <f>+'3条税抜き'!D22</f>
        <v>2483</v>
      </c>
      <c r="E22" s="245">
        <f>+'3条税抜き'!E22</f>
        <v>0</v>
      </c>
      <c r="F22" s="242">
        <f>+'3条税抜き'!F22</f>
        <v>0</v>
      </c>
      <c r="G22" s="242">
        <f>+'3条税抜き'!G22</f>
        <v>0</v>
      </c>
      <c r="H22" s="241">
        <f t="shared" si="0"/>
        <v>0</v>
      </c>
      <c r="I22" s="243">
        <f>+'3条税抜き'!I22</f>
        <v>0</v>
      </c>
      <c r="J22" s="242">
        <f>+'3条税抜き'!J22</f>
        <v>2483</v>
      </c>
      <c r="K22" s="241">
        <f t="shared" si="1"/>
        <v>2483</v>
      </c>
      <c r="M22" s="214">
        <f>'3条税込み'!D22-'3条税抜き (消費税雑支出加算)'!D22</f>
        <v>0</v>
      </c>
      <c r="N22" s="214">
        <f t="shared" si="2"/>
        <v>0</v>
      </c>
    </row>
    <row r="23" spans="1:14" ht="24.75" customHeight="1">
      <c r="A23" s="252"/>
      <c r="B23" s="256"/>
      <c r="C23" s="255" t="s">
        <v>231</v>
      </c>
      <c r="D23" s="246">
        <f>+'3条税抜き'!D23</f>
        <v>24123</v>
      </c>
      <c r="E23" s="245">
        <f>+'3条税抜き'!E23</f>
        <v>0</v>
      </c>
      <c r="F23" s="242">
        <f>+'3条税抜き'!F23</f>
        <v>0</v>
      </c>
      <c r="G23" s="242">
        <f>+'3条税抜き'!G23</f>
        <v>0</v>
      </c>
      <c r="H23" s="241">
        <f t="shared" si="0"/>
        <v>0</v>
      </c>
      <c r="I23" s="243">
        <f>+'3条税抜き'!I23</f>
        <v>0</v>
      </c>
      <c r="J23" s="242">
        <f>+'3条税抜き'!J23</f>
        <v>24123</v>
      </c>
      <c r="K23" s="241">
        <f t="shared" si="1"/>
        <v>24123</v>
      </c>
      <c r="M23" s="214">
        <f>'3条税込み'!D23-'3条税抜き (消費税雑支出加算)'!D23</f>
        <v>1773</v>
      </c>
      <c r="N23" s="214">
        <f t="shared" si="2"/>
        <v>0</v>
      </c>
    </row>
    <row r="24" spans="1:14" ht="24.75" customHeight="1">
      <c r="A24" s="252"/>
      <c r="B24" s="256"/>
      <c r="C24" s="270" t="s">
        <v>272</v>
      </c>
      <c r="D24" s="246">
        <f>+'3条税抜き'!D24</f>
        <v>8710224</v>
      </c>
      <c r="E24" s="245">
        <f>+'3条税抜き'!E24</f>
        <v>0</v>
      </c>
      <c r="F24" s="242">
        <f>+'3条税抜き'!F24</f>
        <v>0</v>
      </c>
      <c r="G24" s="242">
        <f>+'3条税抜き'!G24</f>
        <v>0</v>
      </c>
      <c r="H24" s="241">
        <f t="shared" si="0"/>
        <v>0</v>
      </c>
      <c r="I24" s="243">
        <f>+'3条税抜き'!I24</f>
        <v>0</v>
      </c>
      <c r="J24" s="242">
        <f>+'3条税抜き'!J24</f>
        <v>8710224</v>
      </c>
      <c r="K24" s="241">
        <f t="shared" si="1"/>
        <v>8710224</v>
      </c>
      <c r="M24" s="214">
        <f>'3条税込み'!D24-'3条税抜き (消費税雑支出加算)'!D24</f>
        <v>488049</v>
      </c>
      <c r="N24" s="214">
        <f t="shared" si="2"/>
        <v>0</v>
      </c>
    </row>
    <row r="25" spans="1:14" ht="24.75" customHeight="1">
      <c r="A25" s="252"/>
      <c r="B25" s="256"/>
      <c r="C25" s="270" t="s">
        <v>264</v>
      </c>
      <c r="D25" s="323">
        <f>+SUM(雨汚水!AD25:AD26)</f>
        <v>209933838</v>
      </c>
      <c r="E25" s="331">
        <f>+SUM(雨汚水!AE25:AE26)</f>
        <v>161840742</v>
      </c>
      <c r="F25" s="330">
        <f>+SUM(雨汚水!AF25:AF26)</f>
        <v>15449991</v>
      </c>
      <c r="G25" s="330">
        <f>+SUM(雨汚水!AG25:AG26)</f>
        <v>23053301</v>
      </c>
      <c r="H25" s="327">
        <f t="shared" si="0"/>
        <v>200344034</v>
      </c>
      <c r="I25" s="329">
        <f>+SUM(雨汚水!AI25:AI26)</f>
        <v>9576435</v>
      </c>
      <c r="J25" s="328">
        <f>+SUM(雨汚水!AJ25:AJ26)</f>
        <v>13369</v>
      </c>
      <c r="K25" s="327">
        <f t="shared" si="1"/>
        <v>9589804</v>
      </c>
    </row>
    <row r="26" spans="1:14" ht="24.75" customHeight="1">
      <c r="A26" s="252"/>
      <c r="B26" s="255" t="s">
        <v>228</v>
      </c>
      <c r="C26" s="255"/>
      <c r="D26" s="246">
        <f>SUM(D27:D28)</f>
        <v>20026854</v>
      </c>
      <c r="E26" s="245">
        <f>SUM(E27:E28)</f>
        <v>6733</v>
      </c>
      <c r="F26" s="242">
        <f>SUM(F27:F28)</f>
        <v>0</v>
      </c>
      <c r="G26" s="242">
        <f>SUM(G27:G28)</f>
        <v>0</v>
      </c>
      <c r="H26" s="241">
        <f t="shared" si="0"/>
        <v>6733</v>
      </c>
      <c r="I26" s="242">
        <f>SUM(I27:I28)</f>
        <v>0</v>
      </c>
      <c r="J26" s="242">
        <f>SUM(J27:J28)</f>
        <v>20020121</v>
      </c>
      <c r="K26" s="241">
        <f t="shared" si="1"/>
        <v>20020121</v>
      </c>
      <c r="M26" s="214">
        <f>SUM(M27:M28)</f>
        <v>968444</v>
      </c>
      <c r="N26" s="214">
        <f t="shared" ref="N26:N37" si="3">D26-H26-K26</f>
        <v>0</v>
      </c>
    </row>
    <row r="27" spans="1:14" ht="24.75" customHeight="1">
      <c r="A27" s="252"/>
      <c r="B27" s="255"/>
      <c r="C27" s="268" t="s">
        <v>271</v>
      </c>
      <c r="D27" s="246">
        <f>+'3条税抜き'!D27</f>
        <v>20026854</v>
      </c>
      <c r="E27" s="245">
        <f>+'3条税抜き'!E27</f>
        <v>6733</v>
      </c>
      <c r="F27" s="242">
        <f>+'3条税抜き'!F27</f>
        <v>0</v>
      </c>
      <c r="G27" s="242">
        <f>+'3条税抜き'!G27</f>
        <v>0</v>
      </c>
      <c r="H27" s="241">
        <f t="shared" si="0"/>
        <v>6733</v>
      </c>
      <c r="I27" s="243">
        <f>+'3条税抜き'!I27</f>
        <v>0</v>
      </c>
      <c r="J27" s="242">
        <f>+'3条税抜き'!J27</f>
        <v>20020121</v>
      </c>
      <c r="K27" s="241">
        <f t="shared" si="1"/>
        <v>20020121</v>
      </c>
      <c r="M27" s="214">
        <f>'3条税込み'!D27-'3条税抜き (消費税雑支出加算)'!D27</f>
        <v>968444</v>
      </c>
      <c r="N27" s="214">
        <f t="shared" si="3"/>
        <v>0</v>
      </c>
    </row>
    <row r="28" spans="1:14" ht="24.75" customHeight="1">
      <c r="A28" s="252"/>
      <c r="B28" s="256"/>
      <c r="C28" s="255" t="s">
        <v>10</v>
      </c>
      <c r="D28" s="246">
        <f>+'3条税抜き'!D28</f>
        <v>0</v>
      </c>
      <c r="E28" s="245">
        <f>+'3条税抜き'!E28</f>
        <v>0</v>
      </c>
      <c r="F28" s="242">
        <f>+'3条税抜き'!F28</f>
        <v>0</v>
      </c>
      <c r="G28" s="242">
        <f>+'3条税抜き'!G28</f>
        <v>0</v>
      </c>
      <c r="H28" s="241">
        <f t="shared" si="0"/>
        <v>0</v>
      </c>
      <c r="I28" s="243">
        <f>+'3条税抜き'!I28</f>
        <v>0</v>
      </c>
      <c r="J28" s="242">
        <f>+'3条税抜き'!J28</f>
        <v>0</v>
      </c>
      <c r="K28" s="241">
        <f t="shared" si="1"/>
        <v>0</v>
      </c>
      <c r="M28" s="214">
        <f>'3条税込み'!D28-'3条税抜き (消費税雑支出加算)'!D28</f>
        <v>0</v>
      </c>
      <c r="N28" s="214">
        <f t="shared" si="3"/>
        <v>0</v>
      </c>
    </row>
    <row r="29" spans="1:14" ht="24.75" customHeight="1">
      <c r="A29" s="252"/>
      <c r="B29" s="253" t="s">
        <v>270</v>
      </c>
      <c r="C29" s="242"/>
      <c r="D29" s="246">
        <f>+'3条税抜き'!D29</f>
        <v>0</v>
      </c>
      <c r="E29" s="245">
        <f>+'3条税抜き'!E29</f>
        <v>0</v>
      </c>
      <c r="F29" s="242">
        <f>+'3条税抜き'!F29</f>
        <v>0</v>
      </c>
      <c r="G29" s="242">
        <f>+'3条税抜き'!G29</f>
        <v>0</v>
      </c>
      <c r="H29" s="241">
        <f t="shared" si="0"/>
        <v>0</v>
      </c>
      <c r="I29" s="243">
        <f>+'3条税抜き'!I29</f>
        <v>0</v>
      </c>
      <c r="J29" s="242">
        <f>+'3条税抜き'!J29</f>
        <v>0</v>
      </c>
      <c r="K29" s="241">
        <f t="shared" si="1"/>
        <v>0</v>
      </c>
      <c r="M29" s="214">
        <f>'3条税込み'!D29-'3条税抜き (消費税雑支出加算)'!D29</f>
        <v>0</v>
      </c>
      <c r="N29" s="214">
        <f t="shared" si="3"/>
        <v>0</v>
      </c>
    </row>
    <row r="30" spans="1:14" ht="24.75" customHeight="1">
      <c r="A30" s="239"/>
      <c r="B30" s="216"/>
      <c r="C30" s="216"/>
      <c r="D30" s="246"/>
      <c r="E30" s="245"/>
      <c r="F30" s="242"/>
      <c r="G30" s="242"/>
      <c r="H30" s="241"/>
      <c r="I30" s="243"/>
      <c r="J30" s="242"/>
      <c r="K30" s="241"/>
      <c r="L30" s="259" t="s">
        <v>269</v>
      </c>
      <c r="N30" s="214">
        <f t="shared" si="3"/>
        <v>0</v>
      </c>
    </row>
    <row r="31" spans="1:14" ht="24.75" customHeight="1">
      <c r="A31" s="267"/>
      <c r="B31" s="224" t="s">
        <v>251</v>
      </c>
      <c r="C31" s="266"/>
      <c r="D31" s="238">
        <f t="shared" ref="D31:K31" si="4">D6+D21+D26+D29</f>
        <v>11030037961</v>
      </c>
      <c r="E31" s="237">
        <f t="shared" si="4"/>
        <v>2841791933</v>
      </c>
      <c r="F31" s="235">
        <f t="shared" si="4"/>
        <v>267434725</v>
      </c>
      <c r="G31" s="235">
        <f t="shared" si="4"/>
        <v>443922061</v>
      </c>
      <c r="H31" s="234">
        <f t="shared" si="4"/>
        <v>3553148719</v>
      </c>
      <c r="I31" s="236">
        <f t="shared" si="4"/>
        <v>228288850</v>
      </c>
      <c r="J31" s="235">
        <f t="shared" si="4"/>
        <v>7248600392</v>
      </c>
      <c r="K31" s="234">
        <f t="shared" si="4"/>
        <v>7476889242</v>
      </c>
      <c r="L31" s="214">
        <f>H31+I31-I8-L12-G13</f>
        <v>3676160978</v>
      </c>
      <c r="M31" s="214">
        <f>M6+M21+M26+M29</f>
        <v>822402767</v>
      </c>
      <c r="N31" s="214">
        <f t="shared" si="3"/>
        <v>0</v>
      </c>
    </row>
    <row r="32" spans="1:14" ht="24.75" customHeight="1">
      <c r="A32" s="265"/>
      <c r="B32" s="255" t="s">
        <v>244</v>
      </c>
      <c r="C32" s="264"/>
      <c r="D32" s="263">
        <f t="shared" ref="D32:K32" si="5">D33+D34</f>
        <v>27055204101</v>
      </c>
      <c r="E32" s="326">
        <f t="shared" si="5"/>
        <v>12875255326</v>
      </c>
      <c r="F32" s="248">
        <f t="shared" si="5"/>
        <v>125365824</v>
      </c>
      <c r="G32" s="324">
        <f t="shared" si="5"/>
        <v>0</v>
      </c>
      <c r="H32" s="325">
        <f t="shared" si="5"/>
        <v>13000621150</v>
      </c>
      <c r="I32" s="261">
        <f t="shared" si="5"/>
        <v>17206476</v>
      </c>
      <c r="J32" s="324">
        <f t="shared" si="5"/>
        <v>14037376475</v>
      </c>
      <c r="K32" s="324">
        <f t="shared" si="5"/>
        <v>14054582951</v>
      </c>
      <c r="L32" s="259" t="s">
        <v>294</v>
      </c>
      <c r="M32" s="214">
        <f>SUM(M33:M34)</f>
        <v>0</v>
      </c>
      <c r="N32" s="214">
        <f t="shared" si="3"/>
        <v>0</v>
      </c>
    </row>
    <row r="33" spans="1:14" ht="24.75" customHeight="1">
      <c r="A33" s="252"/>
      <c r="B33" s="255"/>
      <c r="C33" s="255" t="s">
        <v>23</v>
      </c>
      <c r="D33" s="246">
        <f>+'3条税抜き'!D33</f>
        <v>26551442230</v>
      </c>
      <c r="E33" s="245">
        <f>+'3条税抜き'!E33</f>
        <v>12571100990</v>
      </c>
      <c r="F33" s="242">
        <f>+'3条税抜き'!F33</f>
        <v>122404286</v>
      </c>
      <c r="G33" s="242">
        <f>+'3条税抜き'!G33</f>
        <v>0</v>
      </c>
      <c r="H33" s="241">
        <f>SUM(E33:G33)</f>
        <v>12693505276</v>
      </c>
      <c r="I33" s="243">
        <f>+'3条税抜き'!I33</f>
        <v>17206476</v>
      </c>
      <c r="J33" s="242">
        <f>+'3条税抜き'!J33</f>
        <v>13840730478</v>
      </c>
      <c r="K33" s="241">
        <f>SUM(I33:J33)</f>
        <v>13857936954</v>
      </c>
      <c r="L33" s="214">
        <f>E32+F32</f>
        <v>13000621150</v>
      </c>
      <c r="M33" s="214">
        <f>'3条税込み'!D33-'3条税抜き (消費税雑支出加算)'!D33</f>
        <v>0</v>
      </c>
      <c r="N33" s="214">
        <f t="shared" si="3"/>
        <v>0</v>
      </c>
    </row>
    <row r="34" spans="1:14" ht="24.75" customHeight="1">
      <c r="A34" s="252"/>
      <c r="B34" s="256"/>
      <c r="C34" s="255" t="s">
        <v>267</v>
      </c>
      <c r="D34" s="246">
        <f>+'3条税抜き'!D34</f>
        <v>503761871</v>
      </c>
      <c r="E34" s="245">
        <f>+'3条税抜き'!E34</f>
        <v>304154336</v>
      </c>
      <c r="F34" s="242">
        <f>+'3条税抜き'!F34</f>
        <v>2961538</v>
      </c>
      <c r="G34" s="242">
        <f>+'3条税抜き'!G34</f>
        <v>0</v>
      </c>
      <c r="H34" s="241">
        <f>SUM(E34:G34)</f>
        <v>307115874</v>
      </c>
      <c r="I34" s="243">
        <f>+'3条税抜き'!I34</f>
        <v>0</v>
      </c>
      <c r="J34" s="242">
        <f>+'3条税抜き'!J34</f>
        <v>196645997</v>
      </c>
      <c r="K34" s="241">
        <f>SUM(I34:J34)</f>
        <v>196645997</v>
      </c>
      <c r="M34" s="214">
        <f>'3条税込み'!D34-'3条税抜き (消費税雑支出加算)'!D34</f>
        <v>0</v>
      </c>
      <c r="N34" s="214">
        <f t="shared" si="3"/>
        <v>0</v>
      </c>
    </row>
    <row r="35" spans="1:14" ht="24.75" customHeight="1">
      <c r="A35" s="252"/>
      <c r="B35" s="258" t="s">
        <v>232</v>
      </c>
      <c r="C35" s="257"/>
      <c r="D35" s="246">
        <f t="shared" ref="D35:K35" si="6">D36+D37</f>
        <v>3942892873</v>
      </c>
      <c r="E35" s="245">
        <f t="shared" si="6"/>
        <v>1668420515</v>
      </c>
      <c r="F35" s="242">
        <f t="shared" si="6"/>
        <v>0</v>
      </c>
      <c r="G35" s="242">
        <f t="shared" si="6"/>
        <v>36375158</v>
      </c>
      <c r="H35" s="241">
        <f t="shared" si="6"/>
        <v>1704795673</v>
      </c>
      <c r="I35" s="243">
        <f t="shared" si="6"/>
        <v>315322238</v>
      </c>
      <c r="J35" s="242">
        <f t="shared" si="6"/>
        <v>1922774962</v>
      </c>
      <c r="K35" s="241">
        <f t="shared" si="6"/>
        <v>2238097200</v>
      </c>
      <c r="M35" s="214">
        <f>SUM(M36:M37)</f>
        <v>5619432</v>
      </c>
      <c r="N35" s="214">
        <f t="shared" si="3"/>
        <v>0</v>
      </c>
    </row>
    <row r="36" spans="1:14" ht="24.75" customHeight="1">
      <c r="A36" s="252"/>
      <c r="B36" s="255"/>
      <c r="C36" s="255" t="s">
        <v>266</v>
      </c>
      <c r="D36" s="246">
        <f>'3条税抜き'!D36</f>
        <v>3940339234</v>
      </c>
      <c r="E36" s="245">
        <f>+'3条税抜き'!E36</f>
        <v>1665866876</v>
      </c>
      <c r="F36" s="242">
        <f>+'3条税抜き'!F36</f>
        <v>0</v>
      </c>
      <c r="G36" s="242">
        <f>+'3条税抜き'!G36</f>
        <v>36375158</v>
      </c>
      <c r="H36" s="241">
        <f>SUM(E36:G36)</f>
        <v>1702242034</v>
      </c>
      <c r="I36" s="243">
        <f>+'3条税抜き'!I36</f>
        <v>315322238</v>
      </c>
      <c r="J36" s="242">
        <f>+'3条税抜き'!J36</f>
        <v>1922774962</v>
      </c>
      <c r="K36" s="241">
        <f>SUM(I36:J36)</f>
        <v>2238097200</v>
      </c>
      <c r="M36" s="214">
        <f>'3条税込み'!D36-'3条税抜き (消費税雑支出加算)'!D36</f>
        <v>5619432</v>
      </c>
      <c r="N36" s="214">
        <f t="shared" si="3"/>
        <v>0</v>
      </c>
    </row>
    <row r="37" spans="1:14" ht="24.75" customHeight="1">
      <c r="A37" s="252"/>
      <c r="B37" s="256"/>
      <c r="C37" s="255" t="s">
        <v>264</v>
      </c>
      <c r="D37" s="323">
        <f>+雨汚水!AD39</f>
        <v>2553639</v>
      </c>
      <c r="E37" s="322">
        <f>+雨汚水!AE39</f>
        <v>2553639</v>
      </c>
      <c r="F37" s="319">
        <f>+雨汚水!AF39</f>
        <v>0</v>
      </c>
      <c r="G37" s="319">
        <f>+雨汚水!AG39</f>
        <v>0</v>
      </c>
      <c r="H37" s="321">
        <f>SUM(E37:G37)</f>
        <v>2553639</v>
      </c>
      <c r="I37" s="320">
        <f>+雨汚水!AI39</f>
        <v>0</v>
      </c>
      <c r="J37" s="319">
        <f>+雨汚水!AJ39</f>
        <v>0</v>
      </c>
      <c r="K37" s="241">
        <f>SUM(I37:J37)</f>
        <v>0</v>
      </c>
      <c r="N37" s="214">
        <f t="shared" si="3"/>
        <v>0</v>
      </c>
    </row>
    <row r="38" spans="1:14" ht="24.75" customHeight="1">
      <c r="A38" s="252"/>
      <c r="B38" s="255" t="s">
        <v>228</v>
      </c>
      <c r="C38" s="255"/>
      <c r="D38" s="246">
        <f t="shared" ref="D38:K38" si="7">D39</f>
        <v>0</v>
      </c>
      <c r="E38" s="245">
        <f t="shared" si="7"/>
        <v>0</v>
      </c>
      <c r="F38" s="242">
        <f t="shared" si="7"/>
        <v>0</v>
      </c>
      <c r="G38" s="242">
        <f t="shared" si="7"/>
        <v>0</v>
      </c>
      <c r="H38" s="241">
        <f t="shared" si="7"/>
        <v>0</v>
      </c>
      <c r="I38" s="243">
        <f t="shared" si="7"/>
        <v>0</v>
      </c>
      <c r="J38" s="242">
        <f t="shared" si="7"/>
        <v>0</v>
      </c>
      <c r="K38" s="241">
        <f t="shared" si="7"/>
        <v>0</v>
      </c>
    </row>
    <row r="39" spans="1:14" ht="24.75" customHeight="1">
      <c r="A39" s="252"/>
      <c r="B39" s="255"/>
      <c r="C39" s="254" t="s">
        <v>262</v>
      </c>
      <c r="D39" s="246">
        <f>'3条税抜き'!D39</f>
        <v>0</v>
      </c>
      <c r="E39" s="245">
        <f>+'3条税抜き'!E39</f>
        <v>0</v>
      </c>
      <c r="F39" s="242">
        <f>+'3条税抜き'!F39</f>
        <v>0</v>
      </c>
      <c r="G39" s="242">
        <f>+'3条税抜き'!G39</f>
        <v>0</v>
      </c>
      <c r="H39" s="241">
        <f>SUM(E39:G39)</f>
        <v>0</v>
      </c>
      <c r="I39" s="243">
        <f>+'3条税抜き'!I39</f>
        <v>0</v>
      </c>
      <c r="J39" s="242">
        <f>+'3条税抜き'!J39</f>
        <v>0</v>
      </c>
      <c r="K39" s="241">
        <f>SUM(I39:J39)</f>
        <v>0</v>
      </c>
      <c r="M39" s="214">
        <f>D39-H39-K39</f>
        <v>0</v>
      </c>
    </row>
    <row r="40" spans="1:14" ht="24.75" customHeight="1">
      <c r="A40" s="252"/>
      <c r="B40" s="251"/>
      <c r="C40" s="250"/>
      <c r="D40" s="246"/>
      <c r="E40" s="245"/>
      <c r="F40" s="244" t="s">
        <v>257</v>
      </c>
      <c r="G40" s="242">
        <f>'3条税込み'!G40</f>
        <v>0</v>
      </c>
      <c r="H40" s="241">
        <f>SUM(E40:G40)</f>
        <v>0</v>
      </c>
      <c r="I40" s="243"/>
      <c r="J40" s="242"/>
      <c r="K40" s="241">
        <f>SUM(I40:J40)</f>
        <v>0</v>
      </c>
      <c r="L40" s="214" t="s">
        <v>256</v>
      </c>
      <c r="N40" s="312">
        <f>D40-H40-K40</f>
        <v>0</v>
      </c>
    </row>
    <row r="41" spans="1:14" ht="24.75" customHeight="1">
      <c r="A41" s="239"/>
      <c r="B41" s="248"/>
      <c r="C41" s="247"/>
      <c r="D41" s="246"/>
      <c r="E41" s="245"/>
      <c r="F41" s="244" t="s">
        <v>254</v>
      </c>
      <c r="G41" s="242">
        <f>G36-G40</f>
        <v>36375158</v>
      </c>
      <c r="H41" s="241"/>
      <c r="I41" s="243"/>
      <c r="J41" s="242"/>
      <c r="K41" s="241"/>
      <c r="L41" s="214">
        <f>E36+F36+G41+I36</f>
        <v>2017564272</v>
      </c>
      <c r="N41" s="214">
        <f>D41-H41-K41</f>
        <v>0</v>
      </c>
    </row>
    <row r="42" spans="1:14" ht="24.75" customHeight="1">
      <c r="A42" s="239"/>
      <c r="B42" s="216" t="s">
        <v>251</v>
      </c>
      <c r="C42" s="216"/>
      <c r="D42" s="246">
        <f t="shared" ref="D42:K42" si="8">D32+D35+D38</f>
        <v>30998096974</v>
      </c>
      <c r="E42" s="245">
        <f t="shared" si="8"/>
        <v>14543675841</v>
      </c>
      <c r="F42" s="242">
        <f t="shared" si="8"/>
        <v>125365824</v>
      </c>
      <c r="G42" s="242">
        <f t="shared" si="8"/>
        <v>36375158</v>
      </c>
      <c r="H42" s="241">
        <f t="shared" si="8"/>
        <v>14705416823</v>
      </c>
      <c r="I42" s="243">
        <f t="shared" si="8"/>
        <v>332528714</v>
      </c>
      <c r="J42" s="242">
        <f t="shared" si="8"/>
        <v>15960151437</v>
      </c>
      <c r="K42" s="241">
        <f t="shared" si="8"/>
        <v>16292680151</v>
      </c>
      <c r="M42" s="214">
        <f>M32+M35</f>
        <v>5619432</v>
      </c>
      <c r="N42" s="214">
        <f>D42-H42-K42</f>
        <v>0</v>
      </c>
    </row>
    <row r="43" spans="1:14" ht="24.75" customHeight="1">
      <c r="A43" s="233"/>
      <c r="B43" s="232"/>
      <c r="C43" s="232"/>
      <c r="D43" s="246"/>
      <c r="E43" s="245"/>
      <c r="F43" s="242"/>
      <c r="G43" s="242"/>
      <c r="H43" s="241"/>
      <c r="I43" s="243"/>
      <c r="J43" s="242"/>
      <c r="K43" s="241"/>
      <c r="N43" s="214">
        <f>D43-H43-K43</f>
        <v>0</v>
      </c>
    </row>
    <row r="44" spans="1:14" ht="24.75" customHeight="1" thickBot="1">
      <c r="A44" s="226" t="s">
        <v>249</v>
      </c>
      <c r="B44" s="225"/>
      <c r="C44" s="224"/>
      <c r="D44" s="318">
        <f t="shared" ref="D44:K44" si="9">D31+D42</f>
        <v>42028134935</v>
      </c>
      <c r="E44" s="317">
        <f t="shared" si="9"/>
        <v>17385467774</v>
      </c>
      <c r="F44" s="235">
        <f t="shared" si="9"/>
        <v>392800549</v>
      </c>
      <c r="G44" s="317">
        <f t="shared" si="9"/>
        <v>480297219</v>
      </c>
      <c r="H44" s="234">
        <f t="shared" si="9"/>
        <v>18258565542</v>
      </c>
      <c r="I44" s="316">
        <f t="shared" si="9"/>
        <v>560817564</v>
      </c>
      <c r="J44" s="235">
        <f t="shared" si="9"/>
        <v>23208751829</v>
      </c>
      <c r="K44" s="315">
        <f t="shared" si="9"/>
        <v>23769569393</v>
      </c>
      <c r="M44" s="214">
        <f>M31+M42</f>
        <v>828022199</v>
      </c>
      <c r="N44" s="214">
        <f>D44-H44-K44</f>
        <v>0</v>
      </c>
    </row>
    <row r="45" spans="1:14" ht="21" customHeight="1">
      <c r="A45" s="216"/>
      <c r="B45" s="216"/>
      <c r="C45" s="216"/>
      <c r="D45" s="215">
        <f>D44-'[1]3条支出'!T41</f>
        <v>0</v>
      </c>
      <c r="E45" s="215"/>
      <c r="F45" s="215"/>
      <c r="G45" s="215"/>
      <c r="H45" s="215"/>
      <c r="I45" s="215"/>
      <c r="J45" s="215"/>
      <c r="K45" s="215"/>
    </row>
    <row r="46" spans="1:14" ht="21" customHeight="1"/>
    <row r="47" spans="1:14" ht="21" customHeight="1">
      <c r="G47" s="215"/>
    </row>
    <row r="48" spans="1:14" ht="21" customHeight="1"/>
    <row r="49" ht="21" customHeight="1"/>
    <row r="50" ht="21" customHeight="1"/>
    <row r="51" ht="21" customHeight="1"/>
    <row r="52" ht="21" customHeight="1"/>
    <row r="53" ht="21" customHeight="1"/>
    <row r="54" ht="21" customHeight="1"/>
    <row r="55" ht="21" customHeight="1"/>
    <row r="56" ht="21" customHeight="1"/>
  </sheetData>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Z62"/>
  <sheetViews>
    <sheetView zoomScale="90" zoomScaleNormal="90" zoomScaleSheetLayoutView="80" workbookViewId="0">
      <pane xSplit="3" ySplit="5" topLeftCell="D6" activePane="bottomRight" state="frozen"/>
      <selection activeCell="B46" sqref="A1:XFD1048576"/>
      <selection pane="topRight" activeCell="B46" sqref="A1:XFD1048576"/>
      <selection pane="bottomLeft" activeCell="B46" sqref="A1:XFD1048576"/>
      <selection pane="bottomRight" activeCell="D6" sqref="D6"/>
    </sheetView>
  </sheetViews>
  <sheetFormatPr defaultRowHeight="11.25"/>
  <cols>
    <col min="1" max="1" width="2.375" style="214" customWidth="1"/>
    <col min="2" max="2" width="11.875" style="214" customWidth="1"/>
    <col min="3" max="3" width="13" style="214" customWidth="1"/>
    <col min="4" max="5" width="11.625" style="214" customWidth="1"/>
    <col min="6" max="6" width="11.375" style="214" customWidth="1"/>
    <col min="7" max="7" width="11.625" style="214" customWidth="1"/>
    <col min="8" max="8" width="10.875" style="214" customWidth="1"/>
    <col min="9" max="9" width="12.75" style="214" customWidth="1"/>
    <col min="10" max="10" width="13.125" style="214" customWidth="1"/>
    <col min="11" max="11" width="9.875" style="214" customWidth="1"/>
    <col min="12" max="15" width="2.625" style="214" customWidth="1"/>
    <col min="16" max="16" width="8.125" style="214" customWidth="1"/>
    <col min="17" max="17" width="14.125" style="214" customWidth="1"/>
    <col min="18" max="23" width="13.125" style="214" customWidth="1"/>
    <col min="24" max="24" width="2.25" style="214" customWidth="1"/>
    <col min="25" max="25" width="14.375" style="214" customWidth="1"/>
    <col min="26" max="26" width="12.875" style="214" customWidth="1"/>
    <col min="27" max="255" width="9" style="214"/>
    <col min="256" max="256" width="2.375" style="214" customWidth="1"/>
    <col min="257" max="257" width="11.875" style="214" customWidth="1"/>
    <col min="258" max="258" width="13" style="214" customWidth="1"/>
    <col min="259" max="260" width="11.625" style="214" customWidth="1"/>
    <col min="261" max="261" width="11.375" style="214" customWidth="1"/>
    <col min="262" max="262" width="11.625" style="214" customWidth="1"/>
    <col min="263" max="263" width="10.875" style="214" customWidth="1"/>
    <col min="264" max="264" width="12.75" style="214" customWidth="1"/>
    <col min="265" max="265" width="13.125" style="214" customWidth="1"/>
    <col min="266" max="266" width="9.875" style="214" customWidth="1"/>
    <col min="267" max="267" width="2.875" style="214" customWidth="1"/>
    <col min="268" max="269" width="1.375" style="214" customWidth="1"/>
    <col min="270" max="270" width="1.75" style="214" customWidth="1"/>
    <col min="271" max="271" width="7" style="214" customWidth="1"/>
    <col min="272" max="272" width="9" style="214"/>
    <col min="273" max="274" width="13.75" style="214" customWidth="1"/>
    <col min="275" max="279" width="13.875" style="214" customWidth="1"/>
    <col min="280" max="280" width="2.25" style="214" customWidth="1"/>
    <col min="281" max="281" width="14.375" style="214" customWidth="1"/>
    <col min="282" max="282" width="12.875" style="214" customWidth="1"/>
    <col min="283" max="511" width="9" style="214"/>
    <col min="512" max="512" width="2.375" style="214" customWidth="1"/>
    <col min="513" max="513" width="11.875" style="214" customWidth="1"/>
    <col min="514" max="514" width="13" style="214" customWidth="1"/>
    <col min="515" max="516" width="11.625" style="214" customWidth="1"/>
    <col min="517" max="517" width="11.375" style="214" customWidth="1"/>
    <col min="518" max="518" width="11.625" style="214" customWidth="1"/>
    <col min="519" max="519" width="10.875" style="214" customWidth="1"/>
    <col min="520" max="520" width="12.75" style="214" customWidth="1"/>
    <col min="521" max="521" width="13.125" style="214" customWidth="1"/>
    <col min="522" max="522" width="9.875" style="214" customWidth="1"/>
    <col min="523" max="523" width="2.875" style="214" customWidth="1"/>
    <col min="524" max="525" width="1.375" style="214" customWidth="1"/>
    <col min="526" max="526" width="1.75" style="214" customWidth="1"/>
    <col min="527" max="527" width="7" style="214" customWidth="1"/>
    <col min="528" max="528" width="9" style="214"/>
    <col min="529" max="530" width="13.75" style="214" customWidth="1"/>
    <col min="531" max="535" width="13.875" style="214" customWidth="1"/>
    <col min="536" max="536" width="2.25" style="214" customWidth="1"/>
    <col min="537" max="537" width="14.375" style="214" customWidth="1"/>
    <col min="538" max="538" width="12.875" style="214" customWidth="1"/>
    <col min="539" max="767" width="9" style="214"/>
    <col min="768" max="768" width="2.375" style="214" customWidth="1"/>
    <col min="769" max="769" width="11.875" style="214" customWidth="1"/>
    <col min="770" max="770" width="13" style="214" customWidth="1"/>
    <col min="771" max="772" width="11.625" style="214" customWidth="1"/>
    <col min="773" max="773" width="11.375" style="214" customWidth="1"/>
    <col min="774" max="774" width="11.625" style="214" customWidth="1"/>
    <col min="775" max="775" width="10.875" style="214" customWidth="1"/>
    <col min="776" max="776" width="12.75" style="214" customWidth="1"/>
    <col min="777" max="777" width="13.125" style="214" customWidth="1"/>
    <col min="778" max="778" width="9.875" style="214" customWidth="1"/>
    <col min="779" max="779" width="2.875" style="214" customWidth="1"/>
    <col min="780" max="781" width="1.375" style="214" customWidth="1"/>
    <col min="782" max="782" width="1.75" style="214" customWidth="1"/>
    <col min="783" max="783" width="7" style="214" customWidth="1"/>
    <col min="784" max="784" width="9" style="214"/>
    <col min="785" max="786" width="13.75" style="214" customWidth="1"/>
    <col min="787" max="791" width="13.875" style="214" customWidth="1"/>
    <col min="792" max="792" width="2.25" style="214" customWidth="1"/>
    <col min="793" max="793" width="14.375" style="214" customWidth="1"/>
    <col min="794" max="794" width="12.875" style="214" customWidth="1"/>
    <col min="795" max="1023" width="9" style="214"/>
    <col min="1024" max="1024" width="2.375" style="214" customWidth="1"/>
    <col min="1025" max="1025" width="11.875" style="214" customWidth="1"/>
    <col min="1026" max="1026" width="13" style="214" customWidth="1"/>
    <col min="1027" max="1028" width="11.625" style="214" customWidth="1"/>
    <col min="1029" max="1029" width="11.375" style="214" customWidth="1"/>
    <col min="1030" max="1030" width="11.625" style="214" customWidth="1"/>
    <col min="1031" max="1031" width="10.875" style="214" customWidth="1"/>
    <col min="1032" max="1032" width="12.75" style="214" customWidth="1"/>
    <col min="1033" max="1033" width="13.125" style="214" customWidth="1"/>
    <col min="1034" max="1034" width="9.875" style="214" customWidth="1"/>
    <col min="1035" max="1035" width="2.875" style="214" customWidth="1"/>
    <col min="1036" max="1037" width="1.375" style="214" customWidth="1"/>
    <col min="1038" max="1038" width="1.75" style="214" customWidth="1"/>
    <col min="1039" max="1039" width="7" style="214" customWidth="1"/>
    <col min="1040" max="1040" width="9" style="214"/>
    <col min="1041" max="1042" width="13.75" style="214" customWidth="1"/>
    <col min="1043" max="1047" width="13.875" style="214" customWidth="1"/>
    <col min="1048" max="1048" width="2.25" style="214" customWidth="1"/>
    <col min="1049" max="1049" width="14.375" style="214" customWidth="1"/>
    <col min="1050" max="1050" width="12.875" style="214" customWidth="1"/>
    <col min="1051" max="1279" width="9" style="214"/>
    <col min="1280" max="1280" width="2.375" style="214" customWidth="1"/>
    <col min="1281" max="1281" width="11.875" style="214" customWidth="1"/>
    <col min="1282" max="1282" width="13" style="214" customWidth="1"/>
    <col min="1283" max="1284" width="11.625" style="214" customWidth="1"/>
    <col min="1285" max="1285" width="11.375" style="214" customWidth="1"/>
    <col min="1286" max="1286" width="11.625" style="214" customWidth="1"/>
    <col min="1287" max="1287" width="10.875" style="214" customWidth="1"/>
    <col min="1288" max="1288" width="12.75" style="214" customWidth="1"/>
    <col min="1289" max="1289" width="13.125" style="214" customWidth="1"/>
    <col min="1290" max="1290" width="9.875" style="214" customWidth="1"/>
    <col min="1291" max="1291" width="2.875" style="214" customWidth="1"/>
    <col min="1292" max="1293" width="1.375" style="214" customWidth="1"/>
    <col min="1294" max="1294" width="1.75" style="214" customWidth="1"/>
    <col min="1295" max="1295" width="7" style="214" customWidth="1"/>
    <col min="1296" max="1296" width="9" style="214"/>
    <col min="1297" max="1298" width="13.75" style="214" customWidth="1"/>
    <col min="1299" max="1303" width="13.875" style="214" customWidth="1"/>
    <col min="1304" max="1304" width="2.25" style="214" customWidth="1"/>
    <col min="1305" max="1305" width="14.375" style="214" customWidth="1"/>
    <col min="1306" max="1306" width="12.875" style="214" customWidth="1"/>
    <col min="1307" max="1535" width="9" style="214"/>
    <col min="1536" max="1536" width="2.375" style="214" customWidth="1"/>
    <col min="1537" max="1537" width="11.875" style="214" customWidth="1"/>
    <col min="1538" max="1538" width="13" style="214" customWidth="1"/>
    <col min="1539" max="1540" width="11.625" style="214" customWidth="1"/>
    <col min="1541" max="1541" width="11.375" style="214" customWidth="1"/>
    <col min="1542" max="1542" width="11.625" style="214" customWidth="1"/>
    <col min="1543" max="1543" width="10.875" style="214" customWidth="1"/>
    <col min="1544" max="1544" width="12.75" style="214" customWidth="1"/>
    <col min="1545" max="1545" width="13.125" style="214" customWidth="1"/>
    <col min="1546" max="1546" width="9.875" style="214" customWidth="1"/>
    <col min="1547" max="1547" width="2.875" style="214" customWidth="1"/>
    <col min="1548" max="1549" width="1.375" style="214" customWidth="1"/>
    <col min="1550" max="1550" width="1.75" style="214" customWidth="1"/>
    <col min="1551" max="1551" width="7" style="214" customWidth="1"/>
    <col min="1552" max="1552" width="9" style="214"/>
    <col min="1553" max="1554" width="13.75" style="214" customWidth="1"/>
    <col min="1555" max="1559" width="13.875" style="214" customWidth="1"/>
    <col min="1560" max="1560" width="2.25" style="214" customWidth="1"/>
    <col min="1561" max="1561" width="14.375" style="214" customWidth="1"/>
    <col min="1562" max="1562" width="12.875" style="214" customWidth="1"/>
    <col min="1563" max="1791" width="9" style="214"/>
    <col min="1792" max="1792" width="2.375" style="214" customWidth="1"/>
    <col min="1793" max="1793" width="11.875" style="214" customWidth="1"/>
    <col min="1794" max="1794" width="13" style="214" customWidth="1"/>
    <col min="1795" max="1796" width="11.625" style="214" customWidth="1"/>
    <col min="1797" max="1797" width="11.375" style="214" customWidth="1"/>
    <col min="1798" max="1798" width="11.625" style="214" customWidth="1"/>
    <col min="1799" max="1799" width="10.875" style="214" customWidth="1"/>
    <col min="1800" max="1800" width="12.75" style="214" customWidth="1"/>
    <col min="1801" max="1801" width="13.125" style="214" customWidth="1"/>
    <col min="1802" max="1802" width="9.875" style="214" customWidth="1"/>
    <col min="1803" max="1803" width="2.875" style="214" customWidth="1"/>
    <col min="1804" max="1805" width="1.375" style="214" customWidth="1"/>
    <col min="1806" max="1806" width="1.75" style="214" customWidth="1"/>
    <col min="1807" max="1807" width="7" style="214" customWidth="1"/>
    <col min="1808" max="1808" width="9" style="214"/>
    <col min="1809" max="1810" width="13.75" style="214" customWidth="1"/>
    <col min="1811" max="1815" width="13.875" style="214" customWidth="1"/>
    <col min="1816" max="1816" width="2.25" style="214" customWidth="1"/>
    <col min="1817" max="1817" width="14.375" style="214" customWidth="1"/>
    <col min="1818" max="1818" width="12.875" style="214" customWidth="1"/>
    <col min="1819" max="2047" width="9" style="214"/>
    <col min="2048" max="2048" width="2.375" style="214" customWidth="1"/>
    <col min="2049" max="2049" width="11.875" style="214" customWidth="1"/>
    <col min="2050" max="2050" width="13" style="214" customWidth="1"/>
    <col min="2051" max="2052" width="11.625" style="214" customWidth="1"/>
    <col min="2053" max="2053" width="11.375" style="214" customWidth="1"/>
    <col min="2054" max="2054" width="11.625" style="214" customWidth="1"/>
    <col min="2055" max="2055" width="10.875" style="214" customWidth="1"/>
    <col min="2056" max="2056" width="12.75" style="214" customWidth="1"/>
    <col min="2057" max="2057" width="13.125" style="214" customWidth="1"/>
    <col min="2058" max="2058" width="9.875" style="214" customWidth="1"/>
    <col min="2059" max="2059" width="2.875" style="214" customWidth="1"/>
    <col min="2060" max="2061" width="1.375" style="214" customWidth="1"/>
    <col min="2062" max="2062" width="1.75" style="214" customWidth="1"/>
    <col min="2063" max="2063" width="7" style="214" customWidth="1"/>
    <col min="2064" max="2064" width="9" style="214"/>
    <col min="2065" max="2066" width="13.75" style="214" customWidth="1"/>
    <col min="2067" max="2071" width="13.875" style="214" customWidth="1"/>
    <col min="2072" max="2072" width="2.25" style="214" customWidth="1"/>
    <col min="2073" max="2073" width="14.375" style="214" customWidth="1"/>
    <col min="2074" max="2074" width="12.875" style="214" customWidth="1"/>
    <col min="2075" max="2303" width="9" style="214"/>
    <col min="2304" max="2304" width="2.375" style="214" customWidth="1"/>
    <col min="2305" max="2305" width="11.875" style="214" customWidth="1"/>
    <col min="2306" max="2306" width="13" style="214" customWidth="1"/>
    <col min="2307" max="2308" width="11.625" style="214" customWidth="1"/>
    <col min="2309" max="2309" width="11.375" style="214" customWidth="1"/>
    <col min="2310" max="2310" width="11.625" style="214" customWidth="1"/>
    <col min="2311" max="2311" width="10.875" style="214" customWidth="1"/>
    <col min="2312" max="2312" width="12.75" style="214" customWidth="1"/>
    <col min="2313" max="2313" width="13.125" style="214" customWidth="1"/>
    <col min="2314" max="2314" width="9.875" style="214" customWidth="1"/>
    <col min="2315" max="2315" width="2.875" style="214" customWidth="1"/>
    <col min="2316" max="2317" width="1.375" style="214" customWidth="1"/>
    <col min="2318" max="2318" width="1.75" style="214" customWidth="1"/>
    <col min="2319" max="2319" width="7" style="214" customWidth="1"/>
    <col min="2320" max="2320" width="9" style="214"/>
    <col min="2321" max="2322" width="13.75" style="214" customWidth="1"/>
    <col min="2323" max="2327" width="13.875" style="214" customWidth="1"/>
    <col min="2328" max="2328" width="2.25" style="214" customWidth="1"/>
    <col min="2329" max="2329" width="14.375" style="214" customWidth="1"/>
    <col min="2330" max="2330" width="12.875" style="214" customWidth="1"/>
    <col min="2331" max="2559" width="9" style="214"/>
    <col min="2560" max="2560" width="2.375" style="214" customWidth="1"/>
    <col min="2561" max="2561" width="11.875" style="214" customWidth="1"/>
    <col min="2562" max="2562" width="13" style="214" customWidth="1"/>
    <col min="2563" max="2564" width="11.625" style="214" customWidth="1"/>
    <col min="2565" max="2565" width="11.375" style="214" customWidth="1"/>
    <col min="2566" max="2566" width="11.625" style="214" customWidth="1"/>
    <col min="2567" max="2567" width="10.875" style="214" customWidth="1"/>
    <col min="2568" max="2568" width="12.75" style="214" customWidth="1"/>
    <col min="2569" max="2569" width="13.125" style="214" customWidth="1"/>
    <col min="2570" max="2570" width="9.875" style="214" customWidth="1"/>
    <col min="2571" max="2571" width="2.875" style="214" customWidth="1"/>
    <col min="2572" max="2573" width="1.375" style="214" customWidth="1"/>
    <col min="2574" max="2574" width="1.75" style="214" customWidth="1"/>
    <col min="2575" max="2575" width="7" style="214" customWidth="1"/>
    <col min="2576" max="2576" width="9" style="214"/>
    <col min="2577" max="2578" width="13.75" style="214" customWidth="1"/>
    <col min="2579" max="2583" width="13.875" style="214" customWidth="1"/>
    <col min="2584" max="2584" width="2.25" style="214" customWidth="1"/>
    <col min="2585" max="2585" width="14.375" style="214" customWidth="1"/>
    <col min="2586" max="2586" width="12.875" style="214" customWidth="1"/>
    <col min="2587" max="2815" width="9" style="214"/>
    <col min="2816" max="2816" width="2.375" style="214" customWidth="1"/>
    <col min="2817" max="2817" width="11.875" style="214" customWidth="1"/>
    <col min="2818" max="2818" width="13" style="214" customWidth="1"/>
    <col min="2819" max="2820" width="11.625" style="214" customWidth="1"/>
    <col min="2821" max="2821" width="11.375" style="214" customWidth="1"/>
    <col min="2822" max="2822" width="11.625" style="214" customWidth="1"/>
    <col min="2823" max="2823" width="10.875" style="214" customWidth="1"/>
    <col min="2824" max="2824" width="12.75" style="214" customWidth="1"/>
    <col min="2825" max="2825" width="13.125" style="214" customWidth="1"/>
    <col min="2826" max="2826" width="9.875" style="214" customWidth="1"/>
    <col min="2827" max="2827" width="2.875" style="214" customWidth="1"/>
    <col min="2828" max="2829" width="1.375" style="214" customWidth="1"/>
    <col min="2830" max="2830" width="1.75" style="214" customWidth="1"/>
    <col min="2831" max="2831" width="7" style="214" customWidth="1"/>
    <col min="2832" max="2832" width="9" style="214"/>
    <col min="2833" max="2834" width="13.75" style="214" customWidth="1"/>
    <col min="2835" max="2839" width="13.875" style="214" customWidth="1"/>
    <col min="2840" max="2840" width="2.25" style="214" customWidth="1"/>
    <col min="2841" max="2841" width="14.375" style="214" customWidth="1"/>
    <col min="2842" max="2842" width="12.875" style="214" customWidth="1"/>
    <col min="2843" max="3071" width="9" style="214"/>
    <col min="3072" max="3072" width="2.375" style="214" customWidth="1"/>
    <col min="3073" max="3073" width="11.875" style="214" customWidth="1"/>
    <col min="3074" max="3074" width="13" style="214" customWidth="1"/>
    <col min="3075" max="3076" width="11.625" style="214" customWidth="1"/>
    <col min="3077" max="3077" width="11.375" style="214" customWidth="1"/>
    <col min="3078" max="3078" width="11.625" style="214" customWidth="1"/>
    <col min="3079" max="3079" width="10.875" style="214" customWidth="1"/>
    <col min="3080" max="3080" width="12.75" style="214" customWidth="1"/>
    <col min="3081" max="3081" width="13.125" style="214" customWidth="1"/>
    <col min="3082" max="3082" width="9.875" style="214" customWidth="1"/>
    <col min="3083" max="3083" width="2.875" style="214" customWidth="1"/>
    <col min="3084" max="3085" width="1.375" style="214" customWidth="1"/>
    <col min="3086" max="3086" width="1.75" style="214" customWidth="1"/>
    <col min="3087" max="3087" width="7" style="214" customWidth="1"/>
    <col min="3088" max="3088" width="9" style="214"/>
    <col min="3089" max="3090" width="13.75" style="214" customWidth="1"/>
    <col min="3091" max="3095" width="13.875" style="214" customWidth="1"/>
    <col min="3096" max="3096" width="2.25" style="214" customWidth="1"/>
    <col min="3097" max="3097" width="14.375" style="214" customWidth="1"/>
    <col min="3098" max="3098" width="12.875" style="214" customWidth="1"/>
    <col min="3099" max="3327" width="9" style="214"/>
    <col min="3328" max="3328" width="2.375" style="214" customWidth="1"/>
    <col min="3329" max="3329" width="11.875" style="214" customWidth="1"/>
    <col min="3330" max="3330" width="13" style="214" customWidth="1"/>
    <col min="3331" max="3332" width="11.625" style="214" customWidth="1"/>
    <col min="3333" max="3333" width="11.375" style="214" customWidth="1"/>
    <col min="3334" max="3334" width="11.625" style="214" customWidth="1"/>
    <col min="3335" max="3335" width="10.875" style="214" customWidth="1"/>
    <col min="3336" max="3336" width="12.75" style="214" customWidth="1"/>
    <col min="3337" max="3337" width="13.125" style="214" customWidth="1"/>
    <col min="3338" max="3338" width="9.875" style="214" customWidth="1"/>
    <col min="3339" max="3339" width="2.875" style="214" customWidth="1"/>
    <col min="3340" max="3341" width="1.375" style="214" customWidth="1"/>
    <col min="3342" max="3342" width="1.75" style="214" customWidth="1"/>
    <col min="3343" max="3343" width="7" style="214" customWidth="1"/>
    <col min="3344" max="3344" width="9" style="214"/>
    <col min="3345" max="3346" width="13.75" style="214" customWidth="1"/>
    <col min="3347" max="3351" width="13.875" style="214" customWidth="1"/>
    <col min="3352" max="3352" width="2.25" style="214" customWidth="1"/>
    <col min="3353" max="3353" width="14.375" style="214" customWidth="1"/>
    <col min="3354" max="3354" width="12.875" style="214" customWidth="1"/>
    <col min="3355" max="3583" width="9" style="214"/>
    <col min="3584" max="3584" width="2.375" style="214" customWidth="1"/>
    <col min="3585" max="3585" width="11.875" style="214" customWidth="1"/>
    <col min="3586" max="3586" width="13" style="214" customWidth="1"/>
    <col min="3587" max="3588" width="11.625" style="214" customWidth="1"/>
    <col min="3589" max="3589" width="11.375" style="214" customWidth="1"/>
    <col min="3590" max="3590" width="11.625" style="214" customWidth="1"/>
    <col min="3591" max="3591" width="10.875" style="214" customWidth="1"/>
    <col min="3592" max="3592" width="12.75" style="214" customWidth="1"/>
    <col min="3593" max="3593" width="13.125" style="214" customWidth="1"/>
    <col min="3594" max="3594" width="9.875" style="214" customWidth="1"/>
    <col min="3595" max="3595" width="2.875" style="214" customWidth="1"/>
    <col min="3596" max="3597" width="1.375" style="214" customWidth="1"/>
    <col min="3598" max="3598" width="1.75" style="214" customWidth="1"/>
    <col min="3599" max="3599" width="7" style="214" customWidth="1"/>
    <col min="3600" max="3600" width="9" style="214"/>
    <col min="3601" max="3602" width="13.75" style="214" customWidth="1"/>
    <col min="3603" max="3607" width="13.875" style="214" customWidth="1"/>
    <col min="3608" max="3608" width="2.25" style="214" customWidth="1"/>
    <col min="3609" max="3609" width="14.375" style="214" customWidth="1"/>
    <col min="3610" max="3610" width="12.875" style="214" customWidth="1"/>
    <col min="3611" max="3839" width="9" style="214"/>
    <col min="3840" max="3840" width="2.375" style="214" customWidth="1"/>
    <col min="3841" max="3841" width="11.875" style="214" customWidth="1"/>
    <col min="3842" max="3842" width="13" style="214" customWidth="1"/>
    <col min="3843" max="3844" width="11.625" style="214" customWidth="1"/>
    <col min="3845" max="3845" width="11.375" style="214" customWidth="1"/>
    <col min="3846" max="3846" width="11.625" style="214" customWidth="1"/>
    <col min="3847" max="3847" width="10.875" style="214" customWidth="1"/>
    <col min="3848" max="3848" width="12.75" style="214" customWidth="1"/>
    <col min="3849" max="3849" width="13.125" style="214" customWidth="1"/>
    <col min="3850" max="3850" width="9.875" style="214" customWidth="1"/>
    <col min="3851" max="3851" width="2.875" style="214" customWidth="1"/>
    <col min="3852" max="3853" width="1.375" style="214" customWidth="1"/>
    <col min="3854" max="3854" width="1.75" style="214" customWidth="1"/>
    <col min="3855" max="3855" width="7" style="214" customWidth="1"/>
    <col min="3856" max="3856" width="9" style="214"/>
    <col min="3857" max="3858" width="13.75" style="214" customWidth="1"/>
    <col min="3859" max="3863" width="13.875" style="214" customWidth="1"/>
    <col min="3864" max="3864" width="2.25" style="214" customWidth="1"/>
    <col min="3865" max="3865" width="14.375" style="214" customWidth="1"/>
    <col min="3866" max="3866" width="12.875" style="214" customWidth="1"/>
    <col min="3867" max="4095" width="9" style="214"/>
    <col min="4096" max="4096" width="2.375" style="214" customWidth="1"/>
    <col min="4097" max="4097" width="11.875" style="214" customWidth="1"/>
    <col min="4098" max="4098" width="13" style="214" customWidth="1"/>
    <col min="4099" max="4100" width="11.625" style="214" customWidth="1"/>
    <col min="4101" max="4101" width="11.375" style="214" customWidth="1"/>
    <col min="4102" max="4102" width="11.625" style="214" customWidth="1"/>
    <col min="4103" max="4103" width="10.875" style="214" customWidth="1"/>
    <col min="4104" max="4104" width="12.75" style="214" customWidth="1"/>
    <col min="4105" max="4105" width="13.125" style="214" customWidth="1"/>
    <col min="4106" max="4106" width="9.875" style="214" customWidth="1"/>
    <col min="4107" max="4107" width="2.875" style="214" customWidth="1"/>
    <col min="4108" max="4109" width="1.375" style="214" customWidth="1"/>
    <col min="4110" max="4110" width="1.75" style="214" customWidth="1"/>
    <col min="4111" max="4111" width="7" style="214" customWidth="1"/>
    <col min="4112" max="4112" width="9" style="214"/>
    <col min="4113" max="4114" width="13.75" style="214" customWidth="1"/>
    <col min="4115" max="4119" width="13.875" style="214" customWidth="1"/>
    <col min="4120" max="4120" width="2.25" style="214" customWidth="1"/>
    <col min="4121" max="4121" width="14.375" style="214" customWidth="1"/>
    <col min="4122" max="4122" width="12.875" style="214" customWidth="1"/>
    <col min="4123" max="4351" width="9" style="214"/>
    <col min="4352" max="4352" width="2.375" style="214" customWidth="1"/>
    <col min="4353" max="4353" width="11.875" style="214" customWidth="1"/>
    <col min="4354" max="4354" width="13" style="214" customWidth="1"/>
    <col min="4355" max="4356" width="11.625" style="214" customWidth="1"/>
    <col min="4357" max="4357" width="11.375" style="214" customWidth="1"/>
    <col min="4358" max="4358" width="11.625" style="214" customWidth="1"/>
    <col min="4359" max="4359" width="10.875" style="214" customWidth="1"/>
    <col min="4360" max="4360" width="12.75" style="214" customWidth="1"/>
    <col min="4361" max="4361" width="13.125" style="214" customWidth="1"/>
    <col min="4362" max="4362" width="9.875" style="214" customWidth="1"/>
    <col min="4363" max="4363" width="2.875" style="214" customWidth="1"/>
    <col min="4364" max="4365" width="1.375" style="214" customWidth="1"/>
    <col min="4366" max="4366" width="1.75" style="214" customWidth="1"/>
    <col min="4367" max="4367" width="7" style="214" customWidth="1"/>
    <col min="4368" max="4368" width="9" style="214"/>
    <col min="4369" max="4370" width="13.75" style="214" customWidth="1"/>
    <col min="4371" max="4375" width="13.875" style="214" customWidth="1"/>
    <col min="4376" max="4376" width="2.25" style="214" customWidth="1"/>
    <col min="4377" max="4377" width="14.375" style="214" customWidth="1"/>
    <col min="4378" max="4378" width="12.875" style="214" customWidth="1"/>
    <col min="4379" max="4607" width="9" style="214"/>
    <col min="4608" max="4608" width="2.375" style="214" customWidth="1"/>
    <col min="4609" max="4609" width="11.875" style="214" customWidth="1"/>
    <col min="4610" max="4610" width="13" style="214" customWidth="1"/>
    <col min="4611" max="4612" width="11.625" style="214" customWidth="1"/>
    <col min="4613" max="4613" width="11.375" style="214" customWidth="1"/>
    <col min="4614" max="4614" width="11.625" style="214" customWidth="1"/>
    <col min="4615" max="4615" width="10.875" style="214" customWidth="1"/>
    <col min="4616" max="4616" width="12.75" style="214" customWidth="1"/>
    <col min="4617" max="4617" width="13.125" style="214" customWidth="1"/>
    <col min="4618" max="4618" width="9.875" style="214" customWidth="1"/>
    <col min="4619" max="4619" width="2.875" style="214" customWidth="1"/>
    <col min="4620" max="4621" width="1.375" style="214" customWidth="1"/>
    <col min="4622" max="4622" width="1.75" style="214" customWidth="1"/>
    <col min="4623" max="4623" width="7" style="214" customWidth="1"/>
    <col min="4624" max="4624" width="9" style="214"/>
    <col min="4625" max="4626" width="13.75" style="214" customWidth="1"/>
    <col min="4627" max="4631" width="13.875" style="214" customWidth="1"/>
    <col min="4632" max="4632" width="2.25" style="214" customWidth="1"/>
    <col min="4633" max="4633" width="14.375" style="214" customWidth="1"/>
    <col min="4634" max="4634" width="12.875" style="214" customWidth="1"/>
    <col min="4635" max="4863" width="9" style="214"/>
    <col min="4864" max="4864" width="2.375" style="214" customWidth="1"/>
    <col min="4865" max="4865" width="11.875" style="214" customWidth="1"/>
    <col min="4866" max="4866" width="13" style="214" customWidth="1"/>
    <col min="4867" max="4868" width="11.625" style="214" customWidth="1"/>
    <col min="4869" max="4869" width="11.375" style="214" customWidth="1"/>
    <col min="4870" max="4870" width="11.625" style="214" customWidth="1"/>
    <col min="4871" max="4871" width="10.875" style="214" customWidth="1"/>
    <col min="4872" max="4872" width="12.75" style="214" customWidth="1"/>
    <col min="4873" max="4873" width="13.125" style="214" customWidth="1"/>
    <col min="4874" max="4874" width="9.875" style="214" customWidth="1"/>
    <col min="4875" max="4875" width="2.875" style="214" customWidth="1"/>
    <col min="4876" max="4877" width="1.375" style="214" customWidth="1"/>
    <col min="4878" max="4878" width="1.75" style="214" customWidth="1"/>
    <col min="4879" max="4879" width="7" style="214" customWidth="1"/>
    <col min="4880" max="4880" width="9" style="214"/>
    <col min="4881" max="4882" width="13.75" style="214" customWidth="1"/>
    <col min="4883" max="4887" width="13.875" style="214" customWidth="1"/>
    <col min="4888" max="4888" width="2.25" style="214" customWidth="1"/>
    <col min="4889" max="4889" width="14.375" style="214" customWidth="1"/>
    <col min="4890" max="4890" width="12.875" style="214" customWidth="1"/>
    <col min="4891" max="5119" width="9" style="214"/>
    <col min="5120" max="5120" width="2.375" style="214" customWidth="1"/>
    <col min="5121" max="5121" width="11.875" style="214" customWidth="1"/>
    <col min="5122" max="5122" width="13" style="214" customWidth="1"/>
    <col min="5123" max="5124" width="11.625" style="214" customWidth="1"/>
    <col min="5125" max="5125" width="11.375" style="214" customWidth="1"/>
    <col min="5126" max="5126" width="11.625" style="214" customWidth="1"/>
    <col min="5127" max="5127" width="10.875" style="214" customWidth="1"/>
    <col min="5128" max="5128" width="12.75" style="214" customWidth="1"/>
    <col min="5129" max="5129" width="13.125" style="214" customWidth="1"/>
    <col min="5130" max="5130" width="9.875" style="214" customWidth="1"/>
    <col min="5131" max="5131" width="2.875" style="214" customWidth="1"/>
    <col min="5132" max="5133" width="1.375" style="214" customWidth="1"/>
    <col min="5134" max="5134" width="1.75" style="214" customWidth="1"/>
    <col min="5135" max="5135" width="7" style="214" customWidth="1"/>
    <col min="5136" max="5136" width="9" style="214"/>
    <col min="5137" max="5138" width="13.75" style="214" customWidth="1"/>
    <col min="5139" max="5143" width="13.875" style="214" customWidth="1"/>
    <col min="5144" max="5144" width="2.25" style="214" customWidth="1"/>
    <col min="5145" max="5145" width="14.375" style="214" customWidth="1"/>
    <col min="5146" max="5146" width="12.875" style="214" customWidth="1"/>
    <col min="5147" max="5375" width="9" style="214"/>
    <col min="5376" max="5376" width="2.375" style="214" customWidth="1"/>
    <col min="5377" max="5377" width="11.875" style="214" customWidth="1"/>
    <col min="5378" max="5378" width="13" style="214" customWidth="1"/>
    <col min="5379" max="5380" width="11.625" style="214" customWidth="1"/>
    <col min="5381" max="5381" width="11.375" style="214" customWidth="1"/>
    <col min="5382" max="5382" width="11.625" style="214" customWidth="1"/>
    <col min="5383" max="5383" width="10.875" style="214" customWidth="1"/>
    <col min="5384" max="5384" width="12.75" style="214" customWidth="1"/>
    <col min="5385" max="5385" width="13.125" style="214" customWidth="1"/>
    <col min="5386" max="5386" width="9.875" style="214" customWidth="1"/>
    <col min="5387" max="5387" width="2.875" style="214" customWidth="1"/>
    <col min="5388" max="5389" width="1.375" style="214" customWidth="1"/>
    <col min="5390" max="5390" width="1.75" style="214" customWidth="1"/>
    <col min="5391" max="5391" width="7" style="214" customWidth="1"/>
    <col min="5392" max="5392" width="9" style="214"/>
    <col min="5393" max="5394" width="13.75" style="214" customWidth="1"/>
    <col min="5395" max="5399" width="13.875" style="214" customWidth="1"/>
    <col min="5400" max="5400" width="2.25" style="214" customWidth="1"/>
    <col min="5401" max="5401" width="14.375" style="214" customWidth="1"/>
    <col min="5402" max="5402" width="12.875" style="214" customWidth="1"/>
    <col min="5403" max="5631" width="9" style="214"/>
    <col min="5632" max="5632" width="2.375" style="214" customWidth="1"/>
    <col min="5633" max="5633" width="11.875" style="214" customWidth="1"/>
    <col min="5634" max="5634" width="13" style="214" customWidth="1"/>
    <col min="5635" max="5636" width="11.625" style="214" customWidth="1"/>
    <col min="5637" max="5637" width="11.375" style="214" customWidth="1"/>
    <col min="5638" max="5638" width="11.625" style="214" customWidth="1"/>
    <col min="5639" max="5639" width="10.875" style="214" customWidth="1"/>
    <col min="5640" max="5640" width="12.75" style="214" customWidth="1"/>
    <col min="5641" max="5641" width="13.125" style="214" customWidth="1"/>
    <col min="5642" max="5642" width="9.875" style="214" customWidth="1"/>
    <col min="5643" max="5643" width="2.875" style="214" customWidth="1"/>
    <col min="5644" max="5645" width="1.375" style="214" customWidth="1"/>
    <col min="5646" max="5646" width="1.75" style="214" customWidth="1"/>
    <col min="5647" max="5647" width="7" style="214" customWidth="1"/>
    <col min="5648" max="5648" width="9" style="214"/>
    <col min="5649" max="5650" width="13.75" style="214" customWidth="1"/>
    <col min="5651" max="5655" width="13.875" style="214" customWidth="1"/>
    <col min="5656" max="5656" width="2.25" style="214" customWidth="1"/>
    <col min="5657" max="5657" width="14.375" style="214" customWidth="1"/>
    <col min="5658" max="5658" width="12.875" style="214" customWidth="1"/>
    <col min="5659" max="5887" width="9" style="214"/>
    <col min="5888" max="5888" width="2.375" style="214" customWidth="1"/>
    <col min="5889" max="5889" width="11.875" style="214" customWidth="1"/>
    <col min="5890" max="5890" width="13" style="214" customWidth="1"/>
    <col min="5891" max="5892" width="11.625" style="214" customWidth="1"/>
    <col min="5893" max="5893" width="11.375" style="214" customWidth="1"/>
    <col min="5894" max="5894" width="11.625" style="214" customWidth="1"/>
    <col min="5895" max="5895" width="10.875" style="214" customWidth="1"/>
    <col min="5896" max="5896" width="12.75" style="214" customWidth="1"/>
    <col min="5897" max="5897" width="13.125" style="214" customWidth="1"/>
    <col min="5898" max="5898" width="9.875" style="214" customWidth="1"/>
    <col min="5899" max="5899" width="2.875" style="214" customWidth="1"/>
    <col min="5900" max="5901" width="1.375" style="214" customWidth="1"/>
    <col min="5902" max="5902" width="1.75" style="214" customWidth="1"/>
    <col min="5903" max="5903" width="7" style="214" customWidth="1"/>
    <col min="5904" max="5904" width="9" style="214"/>
    <col min="5905" max="5906" width="13.75" style="214" customWidth="1"/>
    <col min="5907" max="5911" width="13.875" style="214" customWidth="1"/>
    <col min="5912" max="5912" width="2.25" style="214" customWidth="1"/>
    <col min="5913" max="5913" width="14.375" style="214" customWidth="1"/>
    <col min="5914" max="5914" width="12.875" style="214" customWidth="1"/>
    <col min="5915" max="6143" width="9" style="214"/>
    <col min="6144" max="6144" width="2.375" style="214" customWidth="1"/>
    <col min="6145" max="6145" width="11.875" style="214" customWidth="1"/>
    <col min="6146" max="6146" width="13" style="214" customWidth="1"/>
    <col min="6147" max="6148" width="11.625" style="214" customWidth="1"/>
    <col min="6149" max="6149" width="11.375" style="214" customWidth="1"/>
    <col min="6150" max="6150" width="11.625" style="214" customWidth="1"/>
    <col min="6151" max="6151" width="10.875" style="214" customWidth="1"/>
    <col min="6152" max="6152" width="12.75" style="214" customWidth="1"/>
    <col min="6153" max="6153" width="13.125" style="214" customWidth="1"/>
    <col min="6154" max="6154" width="9.875" style="214" customWidth="1"/>
    <col min="6155" max="6155" width="2.875" style="214" customWidth="1"/>
    <col min="6156" max="6157" width="1.375" style="214" customWidth="1"/>
    <col min="6158" max="6158" width="1.75" style="214" customWidth="1"/>
    <col min="6159" max="6159" width="7" style="214" customWidth="1"/>
    <col min="6160" max="6160" width="9" style="214"/>
    <col min="6161" max="6162" width="13.75" style="214" customWidth="1"/>
    <col min="6163" max="6167" width="13.875" style="214" customWidth="1"/>
    <col min="6168" max="6168" width="2.25" style="214" customWidth="1"/>
    <col min="6169" max="6169" width="14.375" style="214" customWidth="1"/>
    <col min="6170" max="6170" width="12.875" style="214" customWidth="1"/>
    <col min="6171" max="6399" width="9" style="214"/>
    <col min="6400" max="6400" width="2.375" style="214" customWidth="1"/>
    <col min="6401" max="6401" width="11.875" style="214" customWidth="1"/>
    <col min="6402" max="6402" width="13" style="214" customWidth="1"/>
    <col min="6403" max="6404" width="11.625" style="214" customWidth="1"/>
    <col min="6405" max="6405" width="11.375" style="214" customWidth="1"/>
    <col min="6406" max="6406" width="11.625" style="214" customWidth="1"/>
    <col min="6407" max="6407" width="10.875" style="214" customWidth="1"/>
    <col min="6408" max="6408" width="12.75" style="214" customWidth="1"/>
    <col min="6409" max="6409" width="13.125" style="214" customWidth="1"/>
    <col min="6410" max="6410" width="9.875" style="214" customWidth="1"/>
    <col min="6411" max="6411" width="2.875" style="214" customWidth="1"/>
    <col min="6412" max="6413" width="1.375" style="214" customWidth="1"/>
    <col min="6414" max="6414" width="1.75" style="214" customWidth="1"/>
    <col min="6415" max="6415" width="7" style="214" customWidth="1"/>
    <col min="6416" max="6416" width="9" style="214"/>
    <col min="6417" max="6418" width="13.75" style="214" customWidth="1"/>
    <col min="6419" max="6423" width="13.875" style="214" customWidth="1"/>
    <col min="6424" max="6424" width="2.25" style="214" customWidth="1"/>
    <col min="6425" max="6425" width="14.375" style="214" customWidth="1"/>
    <col min="6426" max="6426" width="12.875" style="214" customWidth="1"/>
    <col min="6427" max="6655" width="9" style="214"/>
    <col min="6656" max="6656" width="2.375" style="214" customWidth="1"/>
    <col min="6657" max="6657" width="11.875" style="214" customWidth="1"/>
    <col min="6658" max="6658" width="13" style="214" customWidth="1"/>
    <col min="6659" max="6660" width="11.625" style="214" customWidth="1"/>
    <col min="6661" max="6661" width="11.375" style="214" customWidth="1"/>
    <col min="6662" max="6662" width="11.625" style="214" customWidth="1"/>
    <col min="6663" max="6663" width="10.875" style="214" customWidth="1"/>
    <col min="6664" max="6664" width="12.75" style="214" customWidth="1"/>
    <col min="6665" max="6665" width="13.125" style="214" customWidth="1"/>
    <col min="6666" max="6666" width="9.875" style="214" customWidth="1"/>
    <col min="6667" max="6667" width="2.875" style="214" customWidth="1"/>
    <col min="6668" max="6669" width="1.375" style="214" customWidth="1"/>
    <col min="6670" max="6670" width="1.75" style="214" customWidth="1"/>
    <col min="6671" max="6671" width="7" style="214" customWidth="1"/>
    <col min="6672" max="6672" width="9" style="214"/>
    <col min="6673" max="6674" width="13.75" style="214" customWidth="1"/>
    <col min="6675" max="6679" width="13.875" style="214" customWidth="1"/>
    <col min="6680" max="6680" width="2.25" style="214" customWidth="1"/>
    <col min="6681" max="6681" width="14.375" style="214" customWidth="1"/>
    <col min="6682" max="6682" width="12.875" style="214" customWidth="1"/>
    <col min="6683" max="6911" width="9" style="214"/>
    <col min="6912" max="6912" width="2.375" style="214" customWidth="1"/>
    <col min="6913" max="6913" width="11.875" style="214" customWidth="1"/>
    <col min="6914" max="6914" width="13" style="214" customWidth="1"/>
    <col min="6915" max="6916" width="11.625" style="214" customWidth="1"/>
    <col min="6917" max="6917" width="11.375" style="214" customWidth="1"/>
    <col min="6918" max="6918" width="11.625" style="214" customWidth="1"/>
    <col min="6919" max="6919" width="10.875" style="214" customWidth="1"/>
    <col min="6920" max="6920" width="12.75" style="214" customWidth="1"/>
    <col min="6921" max="6921" width="13.125" style="214" customWidth="1"/>
    <col min="6922" max="6922" width="9.875" style="214" customWidth="1"/>
    <col min="6923" max="6923" width="2.875" style="214" customWidth="1"/>
    <col min="6924" max="6925" width="1.375" style="214" customWidth="1"/>
    <col min="6926" max="6926" width="1.75" style="214" customWidth="1"/>
    <col min="6927" max="6927" width="7" style="214" customWidth="1"/>
    <col min="6928" max="6928" width="9" style="214"/>
    <col min="6929" max="6930" width="13.75" style="214" customWidth="1"/>
    <col min="6931" max="6935" width="13.875" style="214" customWidth="1"/>
    <col min="6936" max="6936" width="2.25" style="214" customWidth="1"/>
    <col min="6937" max="6937" width="14.375" style="214" customWidth="1"/>
    <col min="6938" max="6938" width="12.875" style="214" customWidth="1"/>
    <col min="6939" max="7167" width="9" style="214"/>
    <col min="7168" max="7168" width="2.375" style="214" customWidth="1"/>
    <col min="7169" max="7169" width="11.875" style="214" customWidth="1"/>
    <col min="7170" max="7170" width="13" style="214" customWidth="1"/>
    <col min="7171" max="7172" width="11.625" style="214" customWidth="1"/>
    <col min="7173" max="7173" width="11.375" style="214" customWidth="1"/>
    <col min="7174" max="7174" width="11.625" style="214" customWidth="1"/>
    <col min="7175" max="7175" width="10.875" style="214" customWidth="1"/>
    <col min="7176" max="7176" width="12.75" style="214" customWidth="1"/>
    <col min="7177" max="7177" width="13.125" style="214" customWidth="1"/>
    <col min="7178" max="7178" width="9.875" style="214" customWidth="1"/>
    <col min="7179" max="7179" width="2.875" style="214" customWidth="1"/>
    <col min="7180" max="7181" width="1.375" style="214" customWidth="1"/>
    <col min="7182" max="7182" width="1.75" style="214" customWidth="1"/>
    <col min="7183" max="7183" width="7" style="214" customWidth="1"/>
    <col min="7184" max="7184" width="9" style="214"/>
    <col min="7185" max="7186" width="13.75" style="214" customWidth="1"/>
    <col min="7187" max="7191" width="13.875" style="214" customWidth="1"/>
    <col min="7192" max="7192" width="2.25" style="214" customWidth="1"/>
    <col min="7193" max="7193" width="14.375" style="214" customWidth="1"/>
    <col min="7194" max="7194" width="12.875" style="214" customWidth="1"/>
    <col min="7195" max="7423" width="9" style="214"/>
    <col min="7424" max="7424" width="2.375" style="214" customWidth="1"/>
    <col min="7425" max="7425" width="11.875" style="214" customWidth="1"/>
    <col min="7426" max="7426" width="13" style="214" customWidth="1"/>
    <col min="7427" max="7428" width="11.625" style="214" customWidth="1"/>
    <col min="7429" max="7429" width="11.375" style="214" customWidth="1"/>
    <col min="7430" max="7430" width="11.625" style="214" customWidth="1"/>
    <col min="7431" max="7431" width="10.875" style="214" customWidth="1"/>
    <col min="7432" max="7432" width="12.75" style="214" customWidth="1"/>
    <col min="7433" max="7433" width="13.125" style="214" customWidth="1"/>
    <col min="7434" max="7434" width="9.875" style="214" customWidth="1"/>
    <col min="7435" max="7435" width="2.875" style="214" customWidth="1"/>
    <col min="7436" max="7437" width="1.375" style="214" customWidth="1"/>
    <col min="7438" max="7438" width="1.75" style="214" customWidth="1"/>
    <col min="7439" max="7439" width="7" style="214" customWidth="1"/>
    <col min="7440" max="7440" width="9" style="214"/>
    <col min="7441" max="7442" width="13.75" style="214" customWidth="1"/>
    <col min="7443" max="7447" width="13.875" style="214" customWidth="1"/>
    <col min="7448" max="7448" width="2.25" style="214" customWidth="1"/>
    <col min="7449" max="7449" width="14.375" style="214" customWidth="1"/>
    <col min="7450" max="7450" width="12.875" style="214" customWidth="1"/>
    <col min="7451" max="7679" width="9" style="214"/>
    <col min="7680" max="7680" width="2.375" style="214" customWidth="1"/>
    <col min="7681" max="7681" width="11.875" style="214" customWidth="1"/>
    <col min="7682" max="7682" width="13" style="214" customWidth="1"/>
    <col min="7683" max="7684" width="11.625" style="214" customWidth="1"/>
    <col min="7685" max="7685" width="11.375" style="214" customWidth="1"/>
    <col min="7686" max="7686" width="11.625" style="214" customWidth="1"/>
    <col min="7687" max="7687" width="10.875" style="214" customWidth="1"/>
    <col min="7688" max="7688" width="12.75" style="214" customWidth="1"/>
    <col min="7689" max="7689" width="13.125" style="214" customWidth="1"/>
    <col min="7690" max="7690" width="9.875" style="214" customWidth="1"/>
    <col min="7691" max="7691" width="2.875" style="214" customWidth="1"/>
    <col min="7692" max="7693" width="1.375" style="214" customWidth="1"/>
    <col min="7694" max="7694" width="1.75" style="214" customWidth="1"/>
    <col min="7695" max="7695" width="7" style="214" customWidth="1"/>
    <col min="7696" max="7696" width="9" style="214"/>
    <col min="7697" max="7698" width="13.75" style="214" customWidth="1"/>
    <col min="7699" max="7703" width="13.875" style="214" customWidth="1"/>
    <col min="7704" max="7704" width="2.25" style="214" customWidth="1"/>
    <col min="7705" max="7705" width="14.375" style="214" customWidth="1"/>
    <col min="7706" max="7706" width="12.875" style="214" customWidth="1"/>
    <col min="7707" max="7935" width="9" style="214"/>
    <col min="7936" max="7936" width="2.375" style="214" customWidth="1"/>
    <col min="7937" max="7937" width="11.875" style="214" customWidth="1"/>
    <col min="7938" max="7938" width="13" style="214" customWidth="1"/>
    <col min="7939" max="7940" width="11.625" style="214" customWidth="1"/>
    <col min="7941" max="7941" width="11.375" style="214" customWidth="1"/>
    <col min="7942" max="7942" width="11.625" style="214" customWidth="1"/>
    <col min="7943" max="7943" width="10.875" style="214" customWidth="1"/>
    <col min="7944" max="7944" width="12.75" style="214" customWidth="1"/>
    <col min="7945" max="7945" width="13.125" style="214" customWidth="1"/>
    <col min="7946" max="7946" width="9.875" style="214" customWidth="1"/>
    <col min="7947" max="7947" width="2.875" style="214" customWidth="1"/>
    <col min="7948" max="7949" width="1.375" style="214" customWidth="1"/>
    <col min="7950" max="7950" width="1.75" style="214" customWidth="1"/>
    <col min="7951" max="7951" width="7" style="214" customWidth="1"/>
    <col min="7952" max="7952" width="9" style="214"/>
    <col min="7953" max="7954" width="13.75" style="214" customWidth="1"/>
    <col min="7955" max="7959" width="13.875" style="214" customWidth="1"/>
    <col min="7960" max="7960" width="2.25" style="214" customWidth="1"/>
    <col min="7961" max="7961" width="14.375" style="214" customWidth="1"/>
    <col min="7962" max="7962" width="12.875" style="214" customWidth="1"/>
    <col min="7963" max="8191" width="9" style="214"/>
    <col min="8192" max="8192" width="2.375" style="214" customWidth="1"/>
    <col min="8193" max="8193" width="11.875" style="214" customWidth="1"/>
    <col min="8194" max="8194" width="13" style="214" customWidth="1"/>
    <col min="8195" max="8196" width="11.625" style="214" customWidth="1"/>
    <col min="8197" max="8197" width="11.375" style="214" customWidth="1"/>
    <col min="8198" max="8198" width="11.625" style="214" customWidth="1"/>
    <col min="8199" max="8199" width="10.875" style="214" customWidth="1"/>
    <col min="8200" max="8200" width="12.75" style="214" customWidth="1"/>
    <col min="8201" max="8201" width="13.125" style="214" customWidth="1"/>
    <col min="8202" max="8202" width="9.875" style="214" customWidth="1"/>
    <col min="8203" max="8203" width="2.875" style="214" customWidth="1"/>
    <col min="8204" max="8205" width="1.375" style="214" customWidth="1"/>
    <col min="8206" max="8206" width="1.75" style="214" customWidth="1"/>
    <col min="8207" max="8207" width="7" style="214" customWidth="1"/>
    <col min="8208" max="8208" width="9" style="214"/>
    <col min="8209" max="8210" width="13.75" style="214" customWidth="1"/>
    <col min="8211" max="8215" width="13.875" style="214" customWidth="1"/>
    <col min="8216" max="8216" width="2.25" style="214" customWidth="1"/>
    <col min="8217" max="8217" width="14.375" style="214" customWidth="1"/>
    <col min="8218" max="8218" width="12.875" style="214" customWidth="1"/>
    <col min="8219" max="8447" width="9" style="214"/>
    <col min="8448" max="8448" width="2.375" style="214" customWidth="1"/>
    <col min="8449" max="8449" width="11.875" style="214" customWidth="1"/>
    <col min="8450" max="8450" width="13" style="214" customWidth="1"/>
    <col min="8451" max="8452" width="11.625" style="214" customWidth="1"/>
    <col min="8453" max="8453" width="11.375" style="214" customWidth="1"/>
    <col min="8454" max="8454" width="11.625" style="214" customWidth="1"/>
    <col min="8455" max="8455" width="10.875" style="214" customWidth="1"/>
    <col min="8456" max="8456" width="12.75" style="214" customWidth="1"/>
    <col min="8457" max="8457" width="13.125" style="214" customWidth="1"/>
    <col min="8458" max="8458" width="9.875" style="214" customWidth="1"/>
    <col min="8459" max="8459" width="2.875" style="214" customWidth="1"/>
    <col min="8460" max="8461" width="1.375" style="214" customWidth="1"/>
    <col min="8462" max="8462" width="1.75" style="214" customWidth="1"/>
    <col min="8463" max="8463" width="7" style="214" customWidth="1"/>
    <col min="8464" max="8464" width="9" style="214"/>
    <col min="8465" max="8466" width="13.75" style="214" customWidth="1"/>
    <col min="8467" max="8471" width="13.875" style="214" customWidth="1"/>
    <col min="8472" max="8472" width="2.25" style="214" customWidth="1"/>
    <col min="8473" max="8473" width="14.375" style="214" customWidth="1"/>
    <col min="8474" max="8474" width="12.875" style="214" customWidth="1"/>
    <col min="8475" max="8703" width="9" style="214"/>
    <col min="8704" max="8704" width="2.375" style="214" customWidth="1"/>
    <col min="8705" max="8705" width="11.875" style="214" customWidth="1"/>
    <col min="8706" max="8706" width="13" style="214" customWidth="1"/>
    <col min="8707" max="8708" width="11.625" style="214" customWidth="1"/>
    <col min="8709" max="8709" width="11.375" style="214" customWidth="1"/>
    <col min="8710" max="8710" width="11.625" style="214" customWidth="1"/>
    <col min="8711" max="8711" width="10.875" style="214" customWidth="1"/>
    <col min="8712" max="8712" width="12.75" style="214" customWidth="1"/>
    <col min="8713" max="8713" width="13.125" style="214" customWidth="1"/>
    <col min="8714" max="8714" width="9.875" style="214" customWidth="1"/>
    <col min="8715" max="8715" width="2.875" style="214" customWidth="1"/>
    <col min="8716" max="8717" width="1.375" style="214" customWidth="1"/>
    <col min="8718" max="8718" width="1.75" style="214" customWidth="1"/>
    <col min="8719" max="8719" width="7" style="214" customWidth="1"/>
    <col min="8720" max="8720" width="9" style="214"/>
    <col min="8721" max="8722" width="13.75" style="214" customWidth="1"/>
    <col min="8723" max="8727" width="13.875" style="214" customWidth="1"/>
    <col min="8728" max="8728" width="2.25" style="214" customWidth="1"/>
    <col min="8729" max="8729" width="14.375" style="214" customWidth="1"/>
    <col min="8730" max="8730" width="12.875" style="214" customWidth="1"/>
    <col min="8731" max="8959" width="9" style="214"/>
    <col min="8960" max="8960" width="2.375" style="214" customWidth="1"/>
    <col min="8961" max="8961" width="11.875" style="214" customWidth="1"/>
    <col min="8962" max="8962" width="13" style="214" customWidth="1"/>
    <col min="8963" max="8964" width="11.625" style="214" customWidth="1"/>
    <col min="8965" max="8965" width="11.375" style="214" customWidth="1"/>
    <col min="8966" max="8966" width="11.625" style="214" customWidth="1"/>
    <col min="8967" max="8967" width="10.875" style="214" customWidth="1"/>
    <col min="8968" max="8968" width="12.75" style="214" customWidth="1"/>
    <col min="8969" max="8969" width="13.125" style="214" customWidth="1"/>
    <col min="8970" max="8970" width="9.875" style="214" customWidth="1"/>
    <col min="8971" max="8971" width="2.875" style="214" customWidth="1"/>
    <col min="8972" max="8973" width="1.375" style="214" customWidth="1"/>
    <col min="8974" max="8974" width="1.75" style="214" customWidth="1"/>
    <col min="8975" max="8975" width="7" style="214" customWidth="1"/>
    <col min="8976" max="8976" width="9" style="214"/>
    <col min="8977" max="8978" width="13.75" style="214" customWidth="1"/>
    <col min="8979" max="8983" width="13.875" style="214" customWidth="1"/>
    <col min="8984" max="8984" width="2.25" style="214" customWidth="1"/>
    <col min="8985" max="8985" width="14.375" style="214" customWidth="1"/>
    <col min="8986" max="8986" width="12.875" style="214" customWidth="1"/>
    <col min="8987" max="9215" width="9" style="214"/>
    <col min="9216" max="9216" width="2.375" style="214" customWidth="1"/>
    <col min="9217" max="9217" width="11.875" style="214" customWidth="1"/>
    <col min="9218" max="9218" width="13" style="214" customWidth="1"/>
    <col min="9219" max="9220" width="11.625" style="214" customWidth="1"/>
    <col min="9221" max="9221" width="11.375" style="214" customWidth="1"/>
    <col min="9222" max="9222" width="11.625" style="214" customWidth="1"/>
    <col min="9223" max="9223" width="10.875" style="214" customWidth="1"/>
    <col min="9224" max="9224" width="12.75" style="214" customWidth="1"/>
    <col min="9225" max="9225" width="13.125" style="214" customWidth="1"/>
    <col min="9226" max="9226" width="9.875" style="214" customWidth="1"/>
    <col min="9227" max="9227" width="2.875" style="214" customWidth="1"/>
    <col min="9228" max="9229" width="1.375" style="214" customWidth="1"/>
    <col min="9230" max="9230" width="1.75" style="214" customWidth="1"/>
    <col min="9231" max="9231" width="7" style="214" customWidth="1"/>
    <col min="9232" max="9232" width="9" style="214"/>
    <col min="9233" max="9234" width="13.75" style="214" customWidth="1"/>
    <col min="9235" max="9239" width="13.875" style="214" customWidth="1"/>
    <col min="9240" max="9240" width="2.25" style="214" customWidth="1"/>
    <col min="9241" max="9241" width="14.375" style="214" customWidth="1"/>
    <col min="9242" max="9242" width="12.875" style="214" customWidth="1"/>
    <col min="9243" max="9471" width="9" style="214"/>
    <col min="9472" max="9472" width="2.375" style="214" customWidth="1"/>
    <col min="9473" max="9473" width="11.875" style="214" customWidth="1"/>
    <col min="9474" max="9474" width="13" style="214" customWidth="1"/>
    <col min="9475" max="9476" width="11.625" style="214" customWidth="1"/>
    <col min="9477" max="9477" width="11.375" style="214" customWidth="1"/>
    <col min="9478" max="9478" width="11.625" style="214" customWidth="1"/>
    <col min="9479" max="9479" width="10.875" style="214" customWidth="1"/>
    <col min="9480" max="9480" width="12.75" style="214" customWidth="1"/>
    <col min="9481" max="9481" width="13.125" style="214" customWidth="1"/>
    <col min="9482" max="9482" width="9.875" style="214" customWidth="1"/>
    <col min="9483" max="9483" width="2.875" style="214" customWidth="1"/>
    <col min="9484" max="9485" width="1.375" style="214" customWidth="1"/>
    <col min="9486" max="9486" width="1.75" style="214" customWidth="1"/>
    <col min="9487" max="9487" width="7" style="214" customWidth="1"/>
    <col min="9488" max="9488" width="9" style="214"/>
    <col min="9489" max="9490" width="13.75" style="214" customWidth="1"/>
    <col min="9491" max="9495" width="13.875" style="214" customWidth="1"/>
    <col min="9496" max="9496" width="2.25" style="214" customWidth="1"/>
    <col min="9497" max="9497" width="14.375" style="214" customWidth="1"/>
    <col min="9498" max="9498" width="12.875" style="214" customWidth="1"/>
    <col min="9499" max="9727" width="9" style="214"/>
    <col min="9728" max="9728" width="2.375" style="214" customWidth="1"/>
    <col min="9729" max="9729" width="11.875" style="214" customWidth="1"/>
    <col min="9730" max="9730" width="13" style="214" customWidth="1"/>
    <col min="9731" max="9732" width="11.625" style="214" customWidth="1"/>
    <col min="9733" max="9733" width="11.375" style="214" customWidth="1"/>
    <col min="9734" max="9734" width="11.625" style="214" customWidth="1"/>
    <col min="9735" max="9735" width="10.875" style="214" customWidth="1"/>
    <col min="9736" max="9736" width="12.75" style="214" customWidth="1"/>
    <col min="9737" max="9737" width="13.125" style="214" customWidth="1"/>
    <col min="9738" max="9738" width="9.875" style="214" customWidth="1"/>
    <col min="9739" max="9739" width="2.875" style="214" customWidth="1"/>
    <col min="9740" max="9741" width="1.375" style="214" customWidth="1"/>
    <col min="9742" max="9742" width="1.75" style="214" customWidth="1"/>
    <col min="9743" max="9743" width="7" style="214" customWidth="1"/>
    <col min="9744" max="9744" width="9" style="214"/>
    <col min="9745" max="9746" width="13.75" style="214" customWidth="1"/>
    <col min="9747" max="9751" width="13.875" style="214" customWidth="1"/>
    <col min="9752" max="9752" width="2.25" style="214" customWidth="1"/>
    <col min="9753" max="9753" width="14.375" style="214" customWidth="1"/>
    <col min="9754" max="9754" width="12.875" style="214" customWidth="1"/>
    <col min="9755" max="9983" width="9" style="214"/>
    <col min="9984" max="9984" width="2.375" style="214" customWidth="1"/>
    <col min="9985" max="9985" width="11.875" style="214" customWidth="1"/>
    <col min="9986" max="9986" width="13" style="214" customWidth="1"/>
    <col min="9987" max="9988" width="11.625" style="214" customWidth="1"/>
    <col min="9989" max="9989" width="11.375" style="214" customWidth="1"/>
    <col min="9990" max="9990" width="11.625" style="214" customWidth="1"/>
    <col min="9991" max="9991" width="10.875" style="214" customWidth="1"/>
    <col min="9992" max="9992" width="12.75" style="214" customWidth="1"/>
    <col min="9993" max="9993" width="13.125" style="214" customWidth="1"/>
    <col min="9994" max="9994" width="9.875" style="214" customWidth="1"/>
    <col min="9995" max="9995" width="2.875" style="214" customWidth="1"/>
    <col min="9996" max="9997" width="1.375" style="214" customWidth="1"/>
    <col min="9998" max="9998" width="1.75" style="214" customWidth="1"/>
    <col min="9999" max="9999" width="7" style="214" customWidth="1"/>
    <col min="10000" max="10000" width="9" style="214"/>
    <col min="10001" max="10002" width="13.75" style="214" customWidth="1"/>
    <col min="10003" max="10007" width="13.875" style="214" customWidth="1"/>
    <col min="10008" max="10008" width="2.25" style="214" customWidth="1"/>
    <col min="10009" max="10009" width="14.375" style="214" customWidth="1"/>
    <col min="10010" max="10010" width="12.875" style="214" customWidth="1"/>
    <col min="10011" max="10239" width="9" style="214"/>
    <col min="10240" max="10240" width="2.375" style="214" customWidth="1"/>
    <col min="10241" max="10241" width="11.875" style="214" customWidth="1"/>
    <col min="10242" max="10242" width="13" style="214" customWidth="1"/>
    <col min="10243" max="10244" width="11.625" style="214" customWidth="1"/>
    <col min="10245" max="10245" width="11.375" style="214" customWidth="1"/>
    <col min="10246" max="10246" width="11.625" style="214" customWidth="1"/>
    <col min="10247" max="10247" width="10.875" style="214" customWidth="1"/>
    <col min="10248" max="10248" width="12.75" style="214" customWidth="1"/>
    <col min="10249" max="10249" width="13.125" style="214" customWidth="1"/>
    <col min="10250" max="10250" width="9.875" style="214" customWidth="1"/>
    <col min="10251" max="10251" width="2.875" style="214" customWidth="1"/>
    <col min="10252" max="10253" width="1.375" style="214" customWidth="1"/>
    <col min="10254" max="10254" width="1.75" style="214" customWidth="1"/>
    <col min="10255" max="10255" width="7" style="214" customWidth="1"/>
    <col min="10256" max="10256" width="9" style="214"/>
    <col min="10257" max="10258" width="13.75" style="214" customWidth="1"/>
    <col min="10259" max="10263" width="13.875" style="214" customWidth="1"/>
    <col min="10264" max="10264" width="2.25" style="214" customWidth="1"/>
    <col min="10265" max="10265" width="14.375" style="214" customWidth="1"/>
    <col min="10266" max="10266" width="12.875" style="214" customWidth="1"/>
    <col min="10267" max="10495" width="9" style="214"/>
    <col min="10496" max="10496" width="2.375" style="214" customWidth="1"/>
    <col min="10497" max="10497" width="11.875" style="214" customWidth="1"/>
    <col min="10498" max="10498" width="13" style="214" customWidth="1"/>
    <col min="10499" max="10500" width="11.625" style="214" customWidth="1"/>
    <col min="10501" max="10501" width="11.375" style="214" customWidth="1"/>
    <col min="10502" max="10502" width="11.625" style="214" customWidth="1"/>
    <col min="10503" max="10503" width="10.875" style="214" customWidth="1"/>
    <col min="10504" max="10504" width="12.75" style="214" customWidth="1"/>
    <col min="10505" max="10505" width="13.125" style="214" customWidth="1"/>
    <col min="10506" max="10506" width="9.875" style="214" customWidth="1"/>
    <col min="10507" max="10507" width="2.875" style="214" customWidth="1"/>
    <col min="10508" max="10509" width="1.375" style="214" customWidth="1"/>
    <col min="10510" max="10510" width="1.75" style="214" customWidth="1"/>
    <col min="10511" max="10511" width="7" style="214" customWidth="1"/>
    <col min="10512" max="10512" width="9" style="214"/>
    <col min="10513" max="10514" width="13.75" style="214" customWidth="1"/>
    <col min="10515" max="10519" width="13.875" style="214" customWidth="1"/>
    <col min="10520" max="10520" width="2.25" style="214" customWidth="1"/>
    <col min="10521" max="10521" width="14.375" style="214" customWidth="1"/>
    <col min="10522" max="10522" width="12.875" style="214" customWidth="1"/>
    <col min="10523" max="10751" width="9" style="214"/>
    <col min="10752" max="10752" width="2.375" style="214" customWidth="1"/>
    <col min="10753" max="10753" width="11.875" style="214" customWidth="1"/>
    <col min="10754" max="10754" width="13" style="214" customWidth="1"/>
    <col min="10755" max="10756" width="11.625" style="214" customWidth="1"/>
    <col min="10757" max="10757" width="11.375" style="214" customWidth="1"/>
    <col min="10758" max="10758" width="11.625" style="214" customWidth="1"/>
    <col min="10759" max="10759" width="10.875" style="214" customWidth="1"/>
    <col min="10760" max="10760" width="12.75" style="214" customWidth="1"/>
    <col min="10761" max="10761" width="13.125" style="214" customWidth="1"/>
    <col min="10762" max="10762" width="9.875" style="214" customWidth="1"/>
    <col min="10763" max="10763" width="2.875" style="214" customWidth="1"/>
    <col min="10764" max="10765" width="1.375" style="214" customWidth="1"/>
    <col min="10766" max="10766" width="1.75" style="214" customWidth="1"/>
    <col min="10767" max="10767" width="7" style="214" customWidth="1"/>
    <col min="10768" max="10768" width="9" style="214"/>
    <col min="10769" max="10770" width="13.75" style="214" customWidth="1"/>
    <col min="10771" max="10775" width="13.875" style="214" customWidth="1"/>
    <col min="10776" max="10776" width="2.25" style="214" customWidth="1"/>
    <col min="10777" max="10777" width="14.375" style="214" customWidth="1"/>
    <col min="10778" max="10778" width="12.875" style="214" customWidth="1"/>
    <col min="10779" max="11007" width="9" style="214"/>
    <col min="11008" max="11008" width="2.375" style="214" customWidth="1"/>
    <col min="11009" max="11009" width="11.875" style="214" customWidth="1"/>
    <col min="11010" max="11010" width="13" style="214" customWidth="1"/>
    <col min="11011" max="11012" width="11.625" style="214" customWidth="1"/>
    <col min="11013" max="11013" width="11.375" style="214" customWidth="1"/>
    <col min="11014" max="11014" width="11.625" style="214" customWidth="1"/>
    <col min="11015" max="11015" width="10.875" style="214" customWidth="1"/>
    <col min="11016" max="11016" width="12.75" style="214" customWidth="1"/>
    <col min="11017" max="11017" width="13.125" style="214" customWidth="1"/>
    <col min="11018" max="11018" width="9.875" style="214" customWidth="1"/>
    <col min="11019" max="11019" width="2.875" style="214" customWidth="1"/>
    <col min="11020" max="11021" width="1.375" style="214" customWidth="1"/>
    <col min="11022" max="11022" width="1.75" style="214" customWidth="1"/>
    <col min="11023" max="11023" width="7" style="214" customWidth="1"/>
    <col min="11024" max="11024" width="9" style="214"/>
    <col min="11025" max="11026" width="13.75" style="214" customWidth="1"/>
    <col min="11027" max="11031" width="13.875" style="214" customWidth="1"/>
    <col min="11032" max="11032" width="2.25" style="214" customWidth="1"/>
    <col min="11033" max="11033" width="14.375" style="214" customWidth="1"/>
    <col min="11034" max="11034" width="12.875" style="214" customWidth="1"/>
    <col min="11035" max="11263" width="9" style="214"/>
    <col min="11264" max="11264" width="2.375" style="214" customWidth="1"/>
    <col min="11265" max="11265" width="11.875" style="214" customWidth="1"/>
    <col min="11266" max="11266" width="13" style="214" customWidth="1"/>
    <col min="11267" max="11268" width="11.625" style="214" customWidth="1"/>
    <col min="11269" max="11269" width="11.375" style="214" customWidth="1"/>
    <col min="11270" max="11270" width="11.625" style="214" customWidth="1"/>
    <col min="11271" max="11271" width="10.875" style="214" customWidth="1"/>
    <col min="11272" max="11272" width="12.75" style="214" customWidth="1"/>
    <col min="11273" max="11273" width="13.125" style="214" customWidth="1"/>
    <col min="11274" max="11274" width="9.875" style="214" customWidth="1"/>
    <col min="11275" max="11275" width="2.875" style="214" customWidth="1"/>
    <col min="11276" max="11277" width="1.375" style="214" customWidth="1"/>
    <col min="11278" max="11278" width="1.75" style="214" customWidth="1"/>
    <col min="11279" max="11279" width="7" style="214" customWidth="1"/>
    <col min="11280" max="11280" width="9" style="214"/>
    <col min="11281" max="11282" width="13.75" style="214" customWidth="1"/>
    <col min="11283" max="11287" width="13.875" style="214" customWidth="1"/>
    <col min="11288" max="11288" width="2.25" style="214" customWidth="1"/>
    <col min="11289" max="11289" width="14.375" style="214" customWidth="1"/>
    <col min="11290" max="11290" width="12.875" style="214" customWidth="1"/>
    <col min="11291" max="11519" width="9" style="214"/>
    <col min="11520" max="11520" width="2.375" style="214" customWidth="1"/>
    <col min="11521" max="11521" width="11.875" style="214" customWidth="1"/>
    <col min="11522" max="11522" width="13" style="214" customWidth="1"/>
    <col min="11523" max="11524" width="11.625" style="214" customWidth="1"/>
    <col min="11525" max="11525" width="11.375" style="214" customWidth="1"/>
    <col min="11526" max="11526" width="11.625" style="214" customWidth="1"/>
    <col min="11527" max="11527" width="10.875" style="214" customWidth="1"/>
    <col min="11528" max="11528" width="12.75" style="214" customWidth="1"/>
    <col min="11529" max="11529" width="13.125" style="214" customWidth="1"/>
    <col min="11530" max="11530" width="9.875" style="214" customWidth="1"/>
    <col min="11531" max="11531" width="2.875" style="214" customWidth="1"/>
    <col min="11532" max="11533" width="1.375" style="214" customWidth="1"/>
    <col min="11534" max="11534" width="1.75" style="214" customWidth="1"/>
    <col min="11535" max="11535" width="7" style="214" customWidth="1"/>
    <col min="11536" max="11536" width="9" style="214"/>
    <col min="11537" max="11538" width="13.75" style="214" customWidth="1"/>
    <col min="11539" max="11543" width="13.875" style="214" customWidth="1"/>
    <col min="11544" max="11544" width="2.25" style="214" customWidth="1"/>
    <col min="11545" max="11545" width="14.375" style="214" customWidth="1"/>
    <col min="11546" max="11546" width="12.875" style="214" customWidth="1"/>
    <col min="11547" max="11775" width="9" style="214"/>
    <col min="11776" max="11776" width="2.375" style="214" customWidth="1"/>
    <col min="11777" max="11777" width="11.875" style="214" customWidth="1"/>
    <col min="11778" max="11778" width="13" style="214" customWidth="1"/>
    <col min="11779" max="11780" width="11.625" style="214" customWidth="1"/>
    <col min="11781" max="11781" width="11.375" style="214" customWidth="1"/>
    <col min="11782" max="11782" width="11.625" style="214" customWidth="1"/>
    <col min="11783" max="11783" width="10.875" style="214" customWidth="1"/>
    <col min="11784" max="11784" width="12.75" style="214" customWidth="1"/>
    <col min="11785" max="11785" width="13.125" style="214" customWidth="1"/>
    <col min="11786" max="11786" width="9.875" style="214" customWidth="1"/>
    <col min="11787" max="11787" width="2.875" style="214" customWidth="1"/>
    <col min="11788" max="11789" width="1.375" style="214" customWidth="1"/>
    <col min="11790" max="11790" width="1.75" style="214" customWidth="1"/>
    <col min="11791" max="11791" width="7" style="214" customWidth="1"/>
    <col min="11792" max="11792" width="9" style="214"/>
    <col min="11793" max="11794" width="13.75" style="214" customWidth="1"/>
    <col min="11795" max="11799" width="13.875" style="214" customWidth="1"/>
    <col min="11800" max="11800" width="2.25" style="214" customWidth="1"/>
    <col min="11801" max="11801" width="14.375" style="214" customWidth="1"/>
    <col min="11802" max="11802" width="12.875" style="214" customWidth="1"/>
    <col min="11803" max="12031" width="9" style="214"/>
    <col min="12032" max="12032" width="2.375" style="214" customWidth="1"/>
    <col min="12033" max="12033" width="11.875" style="214" customWidth="1"/>
    <col min="12034" max="12034" width="13" style="214" customWidth="1"/>
    <col min="12035" max="12036" width="11.625" style="214" customWidth="1"/>
    <col min="12037" max="12037" width="11.375" style="214" customWidth="1"/>
    <col min="12038" max="12038" width="11.625" style="214" customWidth="1"/>
    <col min="12039" max="12039" width="10.875" style="214" customWidth="1"/>
    <col min="12040" max="12040" width="12.75" style="214" customWidth="1"/>
    <col min="12041" max="12041" width="13.125" style="214" customWidth="1"/>
    <col min="12042" max="12042" width="9.875" style="214" customWidth="1"/>
    <col min="12043" max="12043" width="2.875" style="214" customWidth="1"/>
    <col min="12044" max="12045" width="1.375" style="214" customWidth="1"/>
    <col min="12046" max="12046" width="1.75" style="214" customWidth="1"/>
    <col min="12047" max="12047" width="7" style="214" customWidth="1"/>
    <col min="12048" max="12048" width="9" style="214"/>
    <col min="12049" max="12050" width="13.75" style="214" customWidth="1"/>
    <col min="12051" max="12055" width="13.875" style="214" customWidth="1"/>
    <col min="12056" max="12056" width="2.25" style="214" customWidth="1"/>
    <col min="12057" max="12057" width="14.375" style="214" customWidth="1"/>
    <col min="12058" max="12058" width="12.875" style="214" customWidth="1"/>
    <col min="12059" max="12287" width="9" style="214"/>
    <col min="12288" max="12288" width="2.375" style="214" customWidth="1"/>
    <col min="12289" max="12289" width="11.875" style="214" customWidth="1"/>
    <col min="12290" max="12290" width="13" style="214" customWidth="1"/>
    <col min="12291" max="12292" width="11.625" style="214" customWidth="1"/>
    <col min="12293" max="12293" width="11.375" style="214" customWidth="1"/>
    <col min="12294" max="12294" width="11.625" style="214" customWidth="1"/>
    <col min="12295" max="12295" width="10.875" style="214" customWidth="1"/>
    <col min="12296" max="12296" width="12.75" style="214" customWidth="1"/>
    <col min="12297" max="12297" width="13.125" style="214" customWidth="1"/>
    <col min="12298" max="12298" width="9.875" style="214" customWidth="1"/>
    <col min="12299" max="12299" width="2.875" style="214" customWidth="1"/>
    <col min="12300" max="12301" width="1.375" style="214" customWidth="1"/>
    <col min="12302" max="12302" width="1.75" style="214" customWidth="1"/>
    <col min="12303" max="12303" width="7" style="214" customWidth="1"/>
    <col min="12304" max="12304" width="9" style="214"/>
    <col min="12305" max="12306" width="13.75" style="214" customWidth="1"/>
    <col min="12307" max="12311" width="13.875" style="214" customWidth="1"/>
    <col min="12312" max="12312" width="2.25" style="214" customWidth="1"/>
    <col min="12313" max="12313" width="14.375" style="214" customWidth="1"/>
    <col min="12314" max="12314" width="12.875" style="214" customWidth="1"/>
    <col min="12315" max="12543" width="9" style="214"/>
    <col min="12544" max="12544" width="2.375" style="214" customWidth="1"/>
    <col min="12545" max="12545" width="11.875" style="214" customWidth="1"/>
    <col min="12546" max="12546" width="13" style="214" customWidth="1"/>
    <col min="12547" max="12548" width="11.625" style="214" customWidth="1"/>
    <col min="12549" max="12549" width="11.375" style="214" customWidth="1"/>
    <col min="12550" max="12550" width="11.625" style="214" customWidth="1"/>
    <col min="12551" max="12551" width="10.875" style="214" customWidth="1"/>
    <col min="12552" max="12552" width="12.75" style="214" customWidth="1"/>
    <col min="12553" max="12553" width="13.125" style="214" customWidth="1"/>
    <col min="12554" max="12554" width="9.875" style="214" customWidth="1"/>
    <col min="12555" max="12555" width="2.875" style="214" customWidth="1"/>
    <col min="12556" max="12557" width="1.375" style="214" customWidth="1"/>
    <col min="12558" max="12558" width="1.75" style="214" customWidth="1"/>
    <col min="12559" max="12559" width="7" style="214" customWidth="1"/>
    <col min="12560" max="12560" width="9" style="214"/>
    <col min="12561" max="12562" width="13.75" style="214" customWidth="1"/>
    <col min="12563" max="12567" width="13.875" style="214" customWidth="1"/>
    <col min="12568" max="12568" width="2.25" style="214" customWidth="1"/>
    <col min="12569" max="12569" width="14.375" style="214" customWidth="1"/>
    <col min="12570" max="12570" width="12.875" style="214" customWidth="1"/>
    <col min="12571" max="12799" width="9" style="214"/>
    <col min="12800" max="12800" width="2.375" style="214" customWidth="1"/>
    <col min="12801" max="12801" width="11.875" style="214" customWidth="1"/>
    <col min="12802" max="12802" width="13" style="214" customWidth="1"/>
    <col min="12803" max="12804" width="11.625" style="214" customWidth="1"/>
    <col min="12805" max="12805" width="11.375" style="214" customWidth="1"/>
    <col min="12806" max="12806" width="11.625" style="214" customWidth="1"/>
    <col min="12807" max="12807" width="10.875" style="214" customWidth="1"/>
    <col min="12808" max="12808" width="12.75" style="214" customWidth="1"/>
    <col min="12809" max="12809" width="13.125" style="214" customWidth="1"/>
    <col min="12810" max="12810" width="9.875" style="214" customWidth="1"/>
    <col min="12811" max="12811" width="2.875" style="214" customWidth="1"/>
    <col min="12812" max="12813" width="1.375" style="214" customWidth="1"/>
    <col min="12814" max="12814" width="1.75" style="214" customWidth="1"/>
    <col min="12815" max="12815" width="7" style="214" customWidth="1"/>
    <col min="12816" max="12816" width="9" style="214"/>
    <col min="12817" max="12818" width="13.75" style="214" customWidth="1"/>
    <col min="12819" max="12823" width="13.875" style="214" customWidth="1"/>
    <col min="12824" max="12824" width="2.25" style="214" customWidth="1"/>
    <col min="12825" max="12825" width="14.375" style="214" customWidth="1"/>
    <col min="12826" max="12826" width="12.875" style="214" customWidth="1"/>
    <col min="12827" max="13055" width="9" style="214"/>
    <col min="13056" max="13056" width="2.375" style="214" customWidth="1"/>
    <col min="13057" max="13057" width="11.875" style="214" customWidth="1"/>
    <col min="13058" max="13058" width="13" style="214" customWidth="1"/>
    <col min="13059" max="13060" width="11.625" style="214" customWidth="1"/>
    <col min="13061" max="13061" width="11.375" style="214" customWidth="1"/>
    <col min="13062" max="13062" width="11.625" style="214" customWidth="1"/>
    <col min="13063" max="13063" width="10.875" style="214" customWidth="1"/>
    <col min="13064" max="13064" width="12.75" style="214" customWidth="1"/>
    <col min="13065" max="13065" width="13.125" style="214" customWidth="1"/>
    <col min="13066" max="13066" width="9.875" style="214" customWidth="1"/>
    <col min="13067" max="13067" width="2.875" style="214" customWidth="1"/>
    <col min="13068" max="13069" width="1.375" style="214" customWidth="1"/>
    <col min="13070" max="13070" width="1.75" style="214" customWidth="1"/>
    <col min="13071" max="13071" width="7" style="214" customWidth="1"/>
    <col min="13072" max="13072" width="9" style="214"/>
    <col min="13073" max="13074" width="13.75" style="214" customWidth="1"/>
    <col min="13075" max="13079" width="13.875" style="214" customWidth="1"/>
    <col min="13080" max="13080" width="2.25" style="214" customWidth="1"/>
    <col min="13081" max="13081" width="14.375" style="214" customWidth="1"/>
    <col min="13082" max="13082" width="12.875" style="214" customWidth="1"/>
    <col min="13083" max="13311" width="9" style="214"/>
    <col min="13312" max="13312" width="2.375" style="214" customWidth="1"/>
    <col min="13313" max="13313" width="11.875" style="214" customWidth="1"/>
    <col min="13314" max="13314" width="13" style="214" customWidth="1"/>
    <col min="13315" max="13316" width="11.625" style="214" customWidth="1"/>
    <col min="13317" max="13317" width="11.375" style="214" customWidth="1"/>
    <col min="13318" max="13318" width="11.625" style="214" customWidth="1"/>
    <col min="13319" max="13319" width="10.875" style="214" customWidth="1"/>
    <col min="13320" max="13320" width="12.75" style="214" customWidth="1"/>
    <col min="13321" max="13321" width="13.125" style="214" customWidth="1"/>
    <col min="13322" max="13322" width="9.875" style="214" customWidth="1"/>
    <col min="13323" max="13323" width="2.875" style="214" customWidth="1"/>
    <col min="13324" max="13325" width="1.375" style="214" customWidth="1"/>
    <col min="13326" max="13326" width="1.75" style="214" customWidth="1"/>
    <col min="13327" max="13327" width="7" style="214" customWidth="1"/>
    <col min="13328" max="13328" width="9" style="214"/>
    <col min="13329" max="13330" width="13.75" style="214" customWidth="1"/>
    <col min="13331" max="13335" width="13.875" style="214" customWidth="1"/>
    <col min="13336" max="13336" width="2.25" style="214" customWidth="1"/>
    <col min="13337" max="13337" width="14.375" style="214" customWidth="1"/>
    <col min="13338" max="13338" width="12.875" style="214" customWidth="1"/>
    <col min="13339" max="13567" width="9" style="214"/>
    <col min="13568" max="13568" width="2.375" style="214" customWidth="1"/>
    <col min="13569" max="13569" width="11.875" style="214" customWidth="1"/>
    <col min="13570" max="13570" width="13" style="214" customWidth="1"/>
    <col min="13571" max="13572" width="11.625" style="214" customWidth="1"/>
    <col min="13573" max="13573" width="11.375" style="214" customWidth="1"/>
    <col min="13574" max="13574" width="11.625" style="214" customWidth="1"/>
    <col min="13575" max="13575" width="10.875" style="214" customWidth="1"/>
    <col min="13576" max="13576" width="12.75" style="214" customWidth="1"/>
    <col min="13577" max="13577" width="13.125" style="214" customWidth="1"/>
    <col min="13578" max="13578" width="9.875" style="214" customWidth="1"/>
    <col min="13579" max="13579" width="2.875" style="214" customWidth="1"/>
    <col min="13580" max="13581" width="1.375" style="214" customWidth="1"/>
    <col min="13582" max="13582" width="1.75" style="214" customWidth="1"/>
    <col min="13583" max="13583" width="7" style="214" customWidth="1"/>
    <col min="13584" max="13584" width="9" style="214"/>
    <col min="13585" max="13586" width="13.75" style="214" customWidth="1"/>
    <col min="13587" max="13591" width="13.875" style="214" customWidth="1"/>
    <col min="13592" max="13592" width="2.25" style="214" customWidth="1"/>
    <col min="13593" max="13593" width="14.375" style="214" customWidth="1"/>
    <col min="13594" max="13594" width="12.875" style="214" customWidth="1"/>
    <col min="13595" max="13823" width="9" style="214"/>
    <col min="13824" max="13824" width="2.375" style="214" customWidth="1"/>
    <col min="13825" max="13825" width="11.875" style="214" customWidth="1"/>
    <col min="13826" max="13826" width="13" style="214" customWidth="1"/>
    <col min="13827" max="13828" width="11.625" style="214" customWidth="1"/>
    <col min="13829" max="13829" width="11.375" style="214" customWidth="1"/>
    <col min="13830" max="13830" width="11.625" style="214" customWidth="1"/>
    <col min="13831" max="13831" width="10.875" style="214" customWidth="1"/>
    <col min="13832" max="13832" width="12.75" style="214" customWidth="1"/>
    <col min="13833" max="13833" width="13.125" style="214" customWidth="1"/>
    <col min="13834" max="13834" width="9.875" style="214" customWidth="1"/>
    <col min="13835" max="13835" width="2.875" style="214" customWidth="1"/>
    <col min="13836" max="13837" width="1.375" style="214" customWidth="1"/>
    <col min="13838" max="13838" width="1.75" style="214" customWidth="1"/>
    <col min="13839" max="13839" width="7" style="214" customWidth="1"/>
    <col min="13840" max="13840" width="9" style="214"/>
    <col min="13841" max="13842" width="13.75" style="214" customWidth="1"/>
    <col min="13843" max="13847" width="13.875" style="214" customWidth="1"/>
    <col min="13848" max="13848" width="2.25" style="214" customWidth="1"/>
    <col min="13849" max="13849" width="14.375" style="214" customWidth="1"/>
    <col min="13850" max="13850" width="12.875" style="214" customWidth="1"/>
    <col min="13851" max="14079" width="9" style="214"/>
    <col min="14080" max="14080" width="2.375" style="214" customWidth="1"/>
    <col min="14081" max="14081" width="11.875" style="214" customWidth="1"/>
    <col min="14082" max="14082" width="13" style="214" customWidth="1"/>
    <col min="14083" max="14084" width="11.625" style="214" customWidth="1"/>
    <col min="14085" max="14085" width="11.375" style="214" customWidth="1"/>
    <col min="14086" max="14086" width="11.625" style="214" customWidth="1"/>
    <col min="14087" max="14087" width="10.875" style="214" customWidth="1"/>
    <col min="14088" max="14088" width="12.75" style="214" customWidth="1"/>
    <col min="14089" max="14089" width="13.125" style="214" customWidth="1"/>
    <col min="14090" max="14090" width="9.875" style="214" customWidth="1"/>
    <col min="14091" max="14091" width="2.875" style="214" customWidth="1"/>
    <col min="14092" max="14093" width="1.375" style="214" customWidth="1"/>
    <col min="14094" max="14094" width="1.75" style="214" customWidth="1"/>
    <col min="14095" max="14095" width="7" style="214" customWidth="1"/>
    <col min="14096" max="14096" width="9" style="214"/>
    <col min="14097" max="14098" width="13.75" style="214" customWidth="1"/>
    <col min="14099" max="14103" width="13.875" style="214" customWidth="1"/>
    <col min="14104" max="14104" width="2.25" style="214" customWidth="1"/>
    <col min="14105" max="14105" width="14.375" style="214" customWidth="1"/>
    <col min="14106" max="14106" width="12.875" style="214" customWidth="1"/>
    <col min="14107" max="14335" width="9" style="214"/>
    <col min="14336" max="14336" width="2.375" style="214" customWidth="1"/>
    <col min="14337" max="14337" width="11.875" style="214" customWidth="1"/>
    <col min="14338" max="14338" width="13" style="214" customWidth="1"/>
    <col min="14339" max="14340" width="11.625" style="214" customWidth="1"/>
    <col min="14341" max="14341" width="11.375" style="214" customWidth="1"/>
    <col min="14342" max="14342" width="11.625" style="214" customWidth="1"/>
    <col min="14343" max="14343" width="10.875" style="214" customWidth="1"/>
    <col min="14344" max="14344" width="12.75" style="214" customWidth="1"/>
    <col min="14345" max="14345" width="13.125" style="214" customWidth="1"/>
    <col min="14346" max="14346" width="9.875" style="214" customWidth="1"/>
    <col min="14347" max="14347" width="2.875" style="214" customWidth="1"/>
    <col min="14348" max="14349" width="1.375" style="214" customWidth="1"/>
    <col min="14350" max="14350" width="1.75" style="214" customWidth="1"/>
    <col min="14351" max="14351" width="7" style="214" customWidth="1"/>
    <col min="14352" max="14352" width="9" style="214"/>
    <col min="14353" max="14354" width="13.75" style="214" customWidth="1"/>
    <col min="14355" max="14359" width="13.875" style="214" customWidth="1"/>
    <col min="14360" max="14360" width="2.25" style="214" customWidth="1"/>
    <col min="14361" max="14361" width="14.375" style="214" customWidth="1"/>
    <col min="14362" max="14362" width="12.875" style="214" customWidth="1"/>
    <col min="14363" max="14591" width="9" style="214"/>
    <col min="14592" max="14592" width="2.375" style="214" customWidth="1"/>
    <col min="14593" max="14593" width="11.875" style="214" customWidth="1"/>
    <col min="14594" max="14594" width="13" style="214" customWidth="1"/>
    <col min="14595" max="14596" width="11.625" style="214" customWidth="1"/>
    <col min="14597" max="14597" width="11.375" style="214" customWidth="1"/>
    <col min="14598" max="14598" width="11.625" style="214" customWidth="1"/>
    <col min="14599" max="14599" width="10.875" style="214" customWidth="1"/>
    <col min="14600" max="14600" width="12.75" style="214" customWidth="1"/>
    <col min="14601" max="14601" width="13.125" style="214" customWidth="1"/>
    <col min="14602" max="14602" width="9.875" style="214" customWidth="1"/>
    <col min="14603" max="14603" width="2.875" style="214" customWidth="1"/>
    <col min="14604" max="14605" width="1.375" style="214" customWidth="1"/>
    <col min="14606" max="14606" width="1.75" style="214" customWidth="1"/>
    <col min="14607" max="14607" width="7" style="214" customWidth="1"/>
    <col min="14608" max="14608" width="9" style="214"/>
    <col min="14609" max="14610" width="13.75" style="214" customWidth="1"/>
    <col min="14611" max="14615" width="13.875" style="214" customWidth="1"/>
    <col min="14616" max="14616" width="2.25" style="214" customWidth="1"/>
    <col min="14617" max="14617" width="14.375" style="214" customWidth="1"/>
    <col min="14618" max="14618" width="12.875" style="214" customWidth="1"/>
    <col min="14619" max="14847" width="9" style="214"/>
    <col min="14848" max="14848" width="2.375" style="214" customWidth="1"/>
    <col min="14849" max="14849" width="11.875" style="214" customWidth="1"/>
    <col min="14850" max="14850" width="13" style="214" customWidth="1"/>
    <col min="14851" max="14852" width="11.625" style="214" customWidth="1"/>
    <col min="14853" max="14853" width="11.375" style="214" customWidth="1"/>
    <col min="14854" max="14854" width="11.625" style="214" customWidth="1"/>
    <col min="14855" max="14855" width="10.875" style="214" customWidth="1"/>
    <col min="14856" max="14856" width="12.75" style="214" customWidth="1"/>
    <col min="14857" max="14857" width="13.125" style="214" customWidth="1"/>
    <col min="14858" max="14858" width="9.875" style="214" customWidth="1"/>
    <col min="14859" max="14859" width="2.875" style="214" customWidth="1"/>
    <col min="14860" max="14861" width="1.375" style="214" customWidth="1"/>
    <col min="14862" max="14862" width="1.75" style="214" customWidth="1"/>
    <col min="14863" max="14863" width="7" style="214" customWidth="1"/>
    <col min="14864" max="14864" width="9" style="214"/>
    <col min="14865" max="14866" width="13.75" style="214" customWidth="1"/>
    <col min="14867" max="14871" width="13.875" style="214" customWidth="1"/>
    <col min="14872" max="14872" width="2.25" style="214" customWidth="1"/>
    <col min="14873" max="14873" width="14.375" style="214" customWidth="1"/>
    <col min="14874" max="14874" width="12.875" style="214" customWidth="1"/>
    <col min="14875" max="15103" width="9" style="214"/>
    <col min="15104" max="15104" width="2.375" style="214" customWidth="1"/>
    <col min="15105" max="15105" width="11.875" style="214" customWidth="1"/>
    <col min="15106" max="15106" width="13" style="214" customWidth="1"/>
    <col min="15107" max="15108" width="11.625" style="214" customWidth="1"/>
    <col min="15109" max="15109" width="11.375" style="214" customWidth="1"/>
    <col min="15110" max="15110" width="11.625" style="214" customWidth="1"/>
    <col min="15111" max="15111" width="10.875" style="214" customWidth="1"/>
    <col min="15112" max="15112" width="12.75" style="214" customWidth="1"/>
    <col min="15113" max="15113" width="13.125" style="214" customWidth="1"/>
    <col min="15114" max="15114" width="9.875" style="214" customWidth="1"/>
    <col min="15115" max="15115" width="2.875" style="214" customWidth="1"/>
    <col min="15116" max="15117" width="1.375" style="214" customWidth="1"/>
    <col min="15118" max="15118" width="1.75" style="214" customWidth="1"/>
    <col min="15119" max="15119" width="7" style="214" customWidth="1"/>
    <col min="15120" max="15120" width="9" style="214"/>
    <col min="15121" max="15122" width="13.75" style="214" customWidth="1"/>
    <col min="15123" max="15127" width="13.875" style="214" customWidth="1"/>
    <col min="15128" max="15128" width="2.25" style="214" customWidth="1"/>
    <col min="15129" max="15129" width="14.375" style="214" customWidth="1"/>
    <col min="15130" max="15130" width="12.875" style="214" customWidth="1"/>
    <col min="15131" max="15359" width="9" style="214"/>
    <col min="15360" max="15360" width="2.375" style="214" customWidth="1"/>
    <col min="15361" max="15361" width="11.875" style="214" customWidth="1"/>
    <col min="15362" max="15362" width="13" style="214" customWidth="1"/>
    <col min="15363" max="15364" width="11.625" style="214" customWidth="1"/>
    <col min="15365" max="15365" width="11.375" style="214" customWidth="1"/>
    <col min="15366" max="15366" width="11.625" style="214" customWidth="1"/>
    <col min="15367" max="15367" width="10.875" style="214" customWidth="1"/>
    <col min="15368" max="15368" width="12.75" style="214" customWidth="1"/>
    <col min="15369" max="15369" width="13.125" style="214" customWidth="1"/>
    <col min="15370" max="15370" width="9.875" style="214" customWidth="1"/>
    <col min="15371" max="15371" width="2.875" style="214" customWidth="1"/>
    <col min="15372" max="15373" width="1.375" style="214" customWidth="1"/>
    <col min="15374" max="15374" width="1.75" style="214" customWidth="1"/>
    <col min="15375" max="15375" width="7" style="214" customWidth="1"/>
    <col min="15376" max="15376" width="9" style="214"/>
    <col min="15377" max="15378" width="13.75" style="214" customWidth="1"/>
    <col min="15379" max="15383" width="13.875" style="214" customWidth="1"/>
    <col min="15384" max="15384" width="2.25" style="214" customWidth="1"/>
    <col min="15385" max="15385" width="14.375" style="214" customWidth="1"/>
    <col min="15386" max="15386" width="12.875" style="214" customWidth="1"/>
    <col min="15387" max="15615" width="9" style="214"/>
    <col min="15616" max="15616" width="2.375" style="214" customWidth="1"/>
    <col min="15617" max="15617" width="11.875" style="214" customWidth="1"/>
    <col min="15618" max="15618" width="13" style="214" customWidth="1"/>
    <col min="15619" max="15620" width="11.625" style="214" customWidth="1"/>
    <col min="15621" max="15621" width="11.375" style="214" customWidth="1"/>
    <col min="15622" max="15622" width="11.625" style="214" customWidth="1"/>
    <col min="15623" max="15623" width="10.875" style="214" customWidth="1"/>
    <col min="15624" max="15624" width="12.75" style="214" customWidth="1"/>
    <col min="15625" max="15625" width="13.125" style="214" customWidth="1"/>
    <col min="15626" max="15626" width="9.875" style="214" customWidth="1"/>
    <col min="15627" max="15627" width="2.875" style="214" customWidth="1"/>
    <col min="15628" max="15629" width="1.375" style="214" customWidth="1"/>
    <col min="15630" max="15630" width="1.75" style="214" customWidth="1"/>
    <col min="15631" max="15631" width="7" style="214" customWidth="1"/>
    <col min="15632" max="15632" width="9" style="214"/>
    <col min="15633" max="15634" width="13.75" style="214" customWidth="1"/>
    <col min="15635" max="15639" width="13.875" style="214" customWidth="1"/>
    <col min="15640" max="15640" width="2.25" style="214" customWidth="1"/>
    <col min="15641" max="15641" width="14.375" style="214" customWidth="1"/>
    <col min="15642" max="15642" width="12.875" style="214" customWidth="1"/>
    <col min="15643" max="15871" width="9" style="214"/>
    <col min="15872" max="15872" width="2.375" style="214" customWidth="1"/>
    <col min="15873" max="15873" width="11.875" style="214" customWidth="1"/>
    <col min="15874" max="15874" width="13" style="214" customWidth="1"/>
    <col min="15875" max="15876" width="11.625" style="214" customWidth="1"/>
    <col min="15877" max="15877" width="11.375" style="214" customWidth="1"/>
    <col min="15878" max="15878" width="11.625" style="214" customWidth="1"/>
    <col min="15879" max="15879" width="10.875" style="214" customWidth="1"/>
    <col min="15880" max="15880" width="12.75" style="214" customWidth="1"/>
    <col min="15881" max="15881" width="13.125" style="214" customWidth="1"/>
    <col min="15882" max="15882" width="9.875" style="214" customWidth="1"/>
    <col min="15883" max="15883" width="2.875" style="214" customWidth="1"/>
    <col min="15884" max="15885" width="1.375" style="214" customWidth="1"/>
    <col min="15886" max="15886" width="1.75" style="214" customWidth="1"/>
    <col min="15887" max="15887" width="7" style="214" customWidth="1"/>
    <col min="15888" max="15888" width="9" style="214"/>
    <col min="15889" max="15890" width="13.75" style="214" customWidth="1"/>
    <col min="15891" max="15895" width="13.875" style="214" customWidth="1"/>
    <col min="15896" max="15896" width="2.25" style="214" customWidth="1"/>
    <col min="15897" max="15897" width="14.375" style="214" customWidth="1"/>
    <col min="15898" max="15898" width="12.875" style="214" customWidth="1"/>
    <col min="15899" max="16127" width="9" style="214"/>
    <col min="16128" max="16128" width="2.375" style="214" customWidth="1"/>
    <col min="16129" max="16129" width="11.875" style="214" customWidth="1"/>
    <col min="16130" max="16130" width="13" style="214" customWidth="1"/>
    <col min="16131" max="16132" width="11.625" style="214" customWidth="1"/>
    <col min="16133" max="16133" width="11.375" style="214" customWidth="1"/>
    <col min="16134" max="16134" width="11.625" style="214" customWidth="1"/>
    <col min="16135" max="16135" width="10.875" style="214" customWidth="1"/>
    <col min="16136" max="16136" width="12.75" style="214" customWidth="1"/>
    <col min="16137" max="16137" width="13.125" style="214" customWidth="1"/>
    <col min="16138" max="16138" width="9.875" style="214" customWidth="1"/>
    <col min="16139" max="16139" width="2.875" style="214" customWidth="1"/>
    <col min="16140" max="16141" width="1.375" style="214" customWidth="1"/>
    <col min="16142" max="16142" width="1.75" style="214" customWidth="1"/>
    <col min="16143" max="16143" width="7" style="214" customWidth="1"/>
    <col min="16144" max="16144" width="9" style="214"/>
    <col min="16145" max="16146" width="13.75" style="214" customWidth="1"/>
    <col min="16147" max="16151" width="13.875" style="214" customWidth="1"/>
    <col min="16152" max="16152" width="2.25" style="214" customWidth="1"/>
    <col min="16153" max="16153" width="14.375" style="214" customWidth="1"/>
    <col min="16154" max="16154" width="12.875" style="214" customWidth="1"/>
    <col min="16155" max="16384" width="9" style="214"/>
  </cols>
  <sheetData>
    <row r="1" spans="1:24" ht="27" customHeight="1">
      <c r="A1" s="214" t="str">
        <f>+LEFT('3条税込み'!A1,2)&amp;"年度経費（雨水・汚水）区分調（収入決算・税込み）"</f>
        <v>令和年度経費（雨水・汚水）区分調（収入決算・税込み）</v>
      </c>
      <c r="O1" s="214" t="s">
        <v>349</v>
      </c>
    </row>
    <row r="2" spans="1:24" ht="27" customHeight="1" thickBot="1">
      <c r="A2" s="214" t="s">
        <v>348</v>
      </c>
      <c r="J2" s="259" t="s">
        <v>347</v>
      </c>
      <c r="O2" s="373"/>
      <c r="R2" s="214">
        <f>'3条税抜き'!H44+'3条税抜き'!I44-収入税抜き!G26-収入税抜き!H26-収入税込!R4-R33</f>
        <v>0</v>
      </c>
      <c r="S2" s="214">
        <f>[1]営外!T17+[1]営外!T18+[1]営外!$T$19-S4-S23-S33-S34</f>
        <v>629</v>
      </c>
    </row>
    <row r="3" spans="1:24" ht="27" customHeight="1" thickBot="1">
      <c r="A3" s="233" t="s">
        <v>346</v>
      </c>
      <c r="B3" s="232"/>
      <c r="C3" s="297" t="s">
        <v>290</v>
      </c>
      <c r="D3" s="296" t="s">
        <v>289</v>
      </c>
      <c r="E3" s="294"/>
      <c r="F3" s="294"/>
      <c r="G3" s="293"/>
      <c r="H3" s="295" t="s">
        <v>288</v>
      </c>
      <c r="I3" s="294"/>
      <c r="J3" s="293"/>
      <c r="O3" s="615" t="s">
        <v>75</v>
      </c>
      <c r="P3" s="616"/>
      <c r="Q3" s="617"/>
      <c r="R3" s="371" t="s">
        <v>345</v>
      </c>
      <c r="S3" s="371" t="s">
        <v>344</v>
      </c>
      <c r="T3" s="273" t="s">
        <v>343</v>
      </c>
      <c r="U3" s="371" t="s">
        <v>342</v>
      </c>
      <c r="V3" s="372" t="s">
        <v>341</v>
      </c>
      <c r="W3" s="371" t="s">
        <v>340</v>
      </c>
    </row>
    <row r="4" spans="1:24" s="273" customFormat="1" ht="27" customHeight="1">
      <c r="A4" s="370"/>
      <c r="B4" s="291"/>
      <c r="C4" s="290"/>
      <c r="D4" s="289" t="s">
        <v>287</v>
      </c>
      <c r="E4" s="288"/>
      <c r="F4" s="287" t="s">
        <v>286</v>
      </c>
      <c r="G4" s="284" t="s">
        <v>285</v>
      </c>
      <c r="H4" s="286" t="s">
        <v>287</v>
      </c>
      <c r="I4" s="285" t="s">
        <v>286</v>
      </c>
      <c r="J4" s="284" t="s">
        <v>285</v>
      </c>
      <c r="O4" s="618"/>
      <c r="P4" s="619"/>
      <c r="Q4" s="620"/>
      <c r="R4" s="214">
        <f t="shared" ref="R4:W4" si="0">R6+R15+R17+R19</f>
        <v>13974628227</v>
      </c>
      <c r="S4" s="214">
        <f t="shared" si="0"/>
        <v>211980874</v>
      </c>
      <c r="T4" s="214">
        <f t="shared" si="0"/>
        <v>14186609101</v>
      </c>
      <c r="U4" s="214">
        <f t="shared" si="0"/>
        <v>-8705039</v>
      </c>
      <c r="V4" s="214">
        <f t="shared" si="0"/>
        <v>14177904062</v>
      </c>
      <c r="W4" s="214">
        <f t="shared" si="0"/>
        <v>203275835</v>
      </c>
      <c r="X4" s="214"/>
    </row>
    <row r="5" spans="1:24" s="275" customFormat="1" ht="27" customHeight="1">
      <c r="A5" s="283"/>
      <c r="B5" s="282"/>
      <c r="C5" s="281"/>
      <c r="D5" s="280" t="s">
        <v>282</v>
      </c>
      <c r="E5" s="277" t="s">
        <v>284</v>
      </c>
      <c r="F5" s="279" t="s">
        <v>283</v>
      </c>
      <c r="G5" s="276"/>
      <c r="H5" s="278" t="s">
        <v>282</v>
      </c>
      <c r="I5" s="277" t="s">
        <v>282</v>
      </c>
      <c r="J5" s="276"/>
      <c r="O5" s="339"/>
      <c r="P5" s="621" t="s">
        <v>339</v>
      </c>
      <c r="Q5" s="622"/>
      <c r="R5" s="369"/>
      <c r="S5" s="369"/>
      <c r="T5" s="369"/>
      <c r="U5" s="369"/>
      <c r="V5" s="369"/>
      <c r="W5" s="369"/>
      <c r="X5" s="369"/>
    </row>
    <row r="6" spans="1:24" ht="27" customHeight="1" thickBot="1">
      <c r="A6" s="236" t="s">
        <v>338</v>
      </c>
      <c r="B6" s="368"/>
      <c r="C6" s="246">
        <f>+雨汚水!E58</f>
        <v>20488962528</v>
      </c>
      <c r="D6" s="237">
        <f>+雨汚水!F58</f>
        <v>0</v>
      </c>
      <c r="E6" s="235">
        <f>+雨汚水!G58</f>
        <v>0</v>
      </c>
      <c r="F6" s="235">
        <f>+雨汚水!H58</f>
        <v>0</v>
      </c>
      <c r="G6" s="234">
        <f t="shared" ref="G6:G15" si="1">SUM(D6:F6)</f>
        <v>0</v>
      </c>
      <c r="H6" s="236">
        <f>+雨汚水!J58</f>
        <v>0</v>
      </c>
      <c r="I6" s="235">
        <f>+雨汚水!K58</f>
        <v>20488962528</v>
      </c>
      <c r="J6" s="234">
        <f t="shared" ref="J6:J15" si="2">SUM(H6:I6)</f>
        <v>20488962528</v>
      </c>
      <c r="L6" s="214">
        <f t="shared" ref="L6:L12" si="3">C6-G5:G6-I6</f>
        <v>0</v>
      </c>
      <c r="O6" s="339"/>
      <c r="P6" s="623"/>
      <c r="Q6" s="620"/>
      <c r="R6" s="214">
        <f t="shared" ref="R6:W6" si="4">R7+R9+R12</f>
        <v>13869351636</v>
      </c>
      <c r="S6" s="214">
        <f t="shared" si="4"/>
        <v>209925016</v>
      </c>
      <c r="T6" s="214">
        <f t="shared" si="4"/>
        <v>14079276652</v>
      </c>
      <c r="U6" s="333">
        <f t="shared" si="4"/>
        <v>-8725093</v>
      </c>
      <c r="V6" s="214">
        <f t="shared" si="4"/>
        <v>14070551559</v>
      </c>
      <c r="W6" s="214">
        <f t="shared" si="4"/>
        <v>201199923</v>
      </c>
    </row>
    <row r="7" spans="1:24" ht="27" customHeight="1" thickBot="1">
      <c r="A7" s="361" t="s">
        <v>337</v>
      </c>
      <c r="B7" s="255" t="s">
        <v>336</v>
      </c>
      <c r="C7" s="360">
        <f>+雨汚水!E60</f>
        <v>0</v>
      </c>
      <c r="D7" s="359">
        <f>+雨汚水!F60</f>
        <v>0</v>
      </c>
      <c r="E7" s="357">
        <f>+雨汚水!G60</f>
        <v>0</v>
      </c>
      <c r="F7" s="357">
        <f>+雨汚水!H60</f>
        <v>0</v>
      </c>
      <c r="G7" s="356">
        <f t="shared" si="1"/>
        <v>0</v>
      </c>
      <c r="H7" s="358">
        <f>+雨汚水!J60</f>
        <v>0</v>
      </c>
      <c r="I7" s="357">
        <f>+雨汚水!K60</f>
        <v>0</v>
      </c>
      <c r="J7" s="356">
        <f t="shared" si="2"/>
        <v>0</v>
      </c>
      <c r="L7" s="214">
        <f t="shared" si="3"/>
        <v>0</v>
      </c>
      <c r="O7" s="339"/>
      <c r="P7" s="338"/>
      <c r="Q7" s="624" t="s">
        <v>335</v>
      </c>
      <c r="R7" s="214">
        <f>'3条税抜き'!H31+'3条税抜き'!I31-'3条税抜き'!I8-'3条税抜き'!G13-'3条税抜き'!L12-収入税抜き!G17-(収入税抜き!H17-収入税抜き!H13)-R33</f>
        <v>3383678341</v>
      </c>
      <c r="S7" s="367">
        <f>+雨汚水!AD130-収入税込!S12-収入税込!S15-収入税込!S17-収入税込!S19-収入税込!S33-収入税込!S34</f>
        <v>207371377</v>
      </c>
      <c r="T7" s="214">
        <f>R7+S7</f>
        <v>3591049718</v>
      </c>
      <c r="U7" s="333">
        <f>(U15+U17+U19+U33)*-1</f>
        <v>-8725093</v>
      </c>
      <c r="V7" s="214">
        <f>T7+U7</f>
        <v>3582324625</v>
      </c>
      <c r="W7" s="214">
        <f>S7+U7</f>
        <v>198646284</v>
      </c>
    </row>
    <row r="8" spans="1:24" ht="27" customHeight="1">
      <c r="A8" s="354" t="s">
        <v>334</v>
      </c>
      <c r="B8" s="255" t="s">
        <v>149</v>
      </c>
      <c r="C8" s="246">
        <f>+SUM(雨汚水!E61:E64)</f>
        <v>189846869</v>
      </c>
      <c r="D8" s="242">
        <f>+SUM(雨汚水!F61:F64)</f>
        <v>935365</v>
      </c>
      <c r="E8" s="242">
        <f>+SUM(雨汚水!G61:G64)</f>
        <v>507311</v>
      </c>
      <c r="F8" s="242">
        <f>+SUM(雨汚水!H61:H64)</f>
        <v>37753060</v>
      </c>
      <c r="G8" s="364">
        <f t="shared" si="1"/>
        <v>39195736</v>
      </c>
      <c r="H8" s="243">
        <f>+SUM(雨汚水!J61:J64)</f>
        <v>269500</v>
      </c>
      <c r="I8" s="242">
        <f>+SUM(雨汚水!K61:K64)</f>
        <v>150381633</v>
      </c>
      <c r="J8" s="241">
        <f t="shared" si="2"/>
        <v>150651133</v>
      </c>
      <c r="L8" s="214">
        <f t="shared" si="3"/>
        <v>269500</v>
      </c>
      <c r="O8" s="339"/>
      <c r="P8" s="338"/>
      <c r="Q8" s="625"/>
      <c r="U8" s="333"/>
    </row>
    <row r="9" spans="1:24" ht="27" customHeight="1">
      <c r="A9" s="354" t="s">
        <v>333</v>
      </c>
      <c r="B9" s="255" t="s">
        <v>42</v>
      </c>
      <c r="C9" s="246">
        <f>+雨汚水!E68</f>
        <v>88770</v>
      </c>
      <c r="D9" s="245">
        <f>+雨汚水!F68</f>
        <v>44385</v>
      </c>
      <c r="E9" s="242">
        <f>+雨汚水!G68</f>
        <v>0</v>
      </c>
      <c r="F9" s="242">
        <f>+雨汚水!H68</f>
        <v>0</v>
      </c>
      <c r="G9" s="241">
        <f t="shared" si="1"/>
        <v>44385</v>
      </c>
      <c r="H9" s="243">
        <f>+雨汚水!J68</f>
        <v>0</v>
      </c>
      <c r="I9" s="242">
        <f>+雨汚水!K68</f>
        <v>44385</v>
      </c>
      <c r="J9" s="241">
        <f t="shared" si="2"/>
        <v>44385</v>
      </c>
      <c r="L9" s="214">
        <f t="shared" si="3"/>
        <v>0</v>
      </c>
      <c r="O9" s="339"/>
      <c r="P9" s="338"/>
      <c r="Q9" s="624" t="s">
        <v>32</v>
      </c>
      <c r="R9" s="214">
        <f>'3条税抜き'!H32+'3条税抜き'!H38+'3条税抜き'!I32+'3条税抜き'!I38-G21-H21-G22-G23-H23-H22</f>
        <v>8476549651</v>
      </c>
      <c r="T9" s="214">
        <f>R9+S9</f>
        <v>8476549651</v>
      </c>
      <c r="U9" s="333"/>
      <c r="V9" s="214">
        <f>T9</f>
        <v>8476549651</v>
      </c>
      <c r="W9" s="214">
        <f>S9+U9</f>
        <v>0</v>
      </c>
    </row>
    <row r="10" spans="1:24" ht="27" customHeight="1">
      <c r="A10" s="354" t="s">
        <v>332</v>
      </c>
      <c r="B10" s="255" t="s">
        <v>141</v>
      </c>
      <c r="C10" s="246">
        <f>+雨汚水!E70</f>
        <v>37016600</v>
      </c>
      <c r="D10" s="242">
        <f>+雨汚水!F70</f>
        <v>36785219</v>
      </c>
      <c r="E10" s="242">
        <f>+雨汚水!G70</f>
        <v>0</v>
      </c>
      <c r="F10" s="242">
        <f>+雨汚水!H70</f>
        <v>0</v>
      </c>
      <c r="G10" s="241">
        <f t="shared" si="1"/>
        <v>36785219</v>
      </c>
      <c r="H10" s="243">
        <f>+雨汚水!J70</f>
        <v>0</v>
      </c>
      <c r="I10" s="242">
        <f>+雨汚水!K70</f>
        <v>231381</v>
      </c>
      <c r="J10" s="241">
        <f t="shared" si="2"/>
        <v>231381</v>
      </c>
      <c r="L10" s="214">
        <f t="shared" si="3"/>
        <v>0</v>
      </c>
      <c r="O10" s="339"/>
      <c r="P10" s="338"/>
      <c r="Q10" s="626"/>
      <c r="U10" s="333"/>
    </row>
    <row r="11" spans="1:24" ht="27" customHeight="1">
      <c r="A11" s="252" t="s">
        <v>322</v>
      </c>
      <c r="B11" s="255" t="s">
        <v>137</v>
      </c>
      <c r="C11" s="246">
        <f>+雨汚水!E65+雨汚水!E75+雨汚水!E76</f>
        <v>36460334</v>
      </c>
      <c r="D11" s="242">
        <f>+雨汚水!F65+雨汚水!F75+雨汚水!F76</f>
        <v>10360569</v>
      </c>
      <c r="E11" s="242">
        <f>+雨汚水!G65+雨汚水!G75+雨汚水!G76</f>
        <v>0</v>
      </c>
      <c r="F11" s="242">
        <f>+雨汚水!H65+雨汚水!H75+雨汚水!H76</f>
        <v>1807770</v>
      </c>
      <c r="G11" s="241">
        <f t="shared" si="1"/>
        <v>12168339</v>
      </c>
      <c r="H11" s="243">
        <f>+雨汚水!J65+雨汚水!J75+雨汚水!J76</f>
        <v>0</v>
      </c>
      <c r="I11" s="242">
        <f>+雨汚水!K65+雨汚水!K75+雨汚水!K76</f>
        <v>24291995</v>
      </c>
      <c r="J11" s="241">
        <f t="shared" si="2"/>
        <v>24291995</v>
      </c>
      <c r="K11" s="273"/>
      <c r="L11" s="214">
        <f t="shared" si="3"/>
        <v>0</v>
      </c>
      <c r="O11" s="339"/>
      <c r="P11" s="338"/>
      <c r="Q11" s="624" t="s">
        <v>31</v>
      </c>
      <c r="U11" s="333"/>
    </row>
    <row r="12" spans="1:24" ht="27" customHeight="1">
      <c r="A12" s="354" t="s">
        <v>320</v>
      </c>
      <c r="B12" s="366" t="s">
        <v>331</v>
      </c>
      <c r="C12" s="246">
        <f>+SUM(雨汚水!E79:E83)</f>
        <v>3864779</v>
      </c>
      <c r="D12" s="242">
        <f>+SUM(雨汚水!F79:F83)</f>
        <v>713461</v>
      </c>
      <c r="E12" s="242">
        <f>+SUM(雨汚水!G79:G83)</f>
        <v>0</v>
      </c>
      <c r="F12" s="242">
        <f>+SUM(雨汚水!H79:H83)</f>
        <v>504308</v>
      </c>
      <c r="G12" s="241">
        <f t="shared" si="1"/>
        <v>1217769</v>
      </c>
      <c r="H12" s="243">
        <f>+SUM(雨汚水!J79:J83)</f>
        <v>29260</v>
      </c>
      <c r="I12" s="242">
        <f>+SUM(雨汚水!K79:K83)</f>
        <v>2617750</v>
      </c>
      <c r="J12" s="241">
        <f t="shared" si="2"/>
        <v>2647010</v>
      </c>
      <c r="L12" s="214">
        <f t="shared" si="3"/>
        <v>29260</v>
      </c>
      <c r="O12" s="339"/>
      <c r="P12" s="338"/>
      <c r="Q12" s="627"/>
      <c r="R12" s="214">
        <f>'3条税抜き'!H36-'3条税抜き'!G40+'3条税抜き'!I36-収入税抜き!G19-収入税抜き!H19</f>
        <v>2009123644</v>
      </c>
      <c r="S12" s="214">
        <f>+雨汚水!Z113+雨汚水!AA113</f>
        <v>2553639</v>
      </c>
      <c r="T12" s="214">
        <f>R12+S12</f>
        <v>2011677283</v>
      </c>
      <c r="U12" s="333">
        <f>V12-T12</f>
        <v>0</v>
      </c>
      <c r="V12" s="214">
        <f>T12</f>
        <v>2011677283</v>
      </c>
      <c r="W12" s="214">
        <f>S12+U12</f>
        <v>2553639</v>
      </c>
    </row>
    <row r="13" spans="1:24" ht="27" customHeight="1">
      <c r="A13" s="354" t="s">
        <v>318</v>
      </c>
      <c r="B13" s="365" t="s">
        <v>330</v>
      </c>
      <c r="C13" s="246">
        <f>+雨汚水!E69</f>
        <v>0</v>
      </c>
      <c r="D13" s="245">
        <f>+雨汚水!F69</f>
        <v>0</v>
      </c>
      <c r="E13" s="242">
        <f>+雨汚水!G69</f>
        <v>0</v>
      </c>
      <c r="F13" s="242">
        <f>+雨汚水!H69</f>
        <v>0</v>
      </c>
      <c r="G13" s="241">
        <f t="shared" si="1"/>
        <v>0</v>
      </c>
      <c r="H13" s="243">
        <f>+雨汚水!J69</f>
        <v>0</v>
      </c>
      <c r="I13" s="242">
        <f>+雨汚水!K69</f>
        <v>0</v>
      </c>
      <c r="J13" s="241">
        <f t="shared" si="2"/>
        <v>0</v>
      </c>
      <c r="L13" s="214">
        <f>C13-G13-J13</f>
        <v>0</v>
      </c>
      <c r="O13" s="339"/>
      <c r="P13" s="338"/>
      <c r="Q13" s="627"/>
      <c r="U13" s="333"/>
    </row>
    <row r="14" spans="1:24" ht="27" customHeight="1" thickBot="1">
      <c r="A14" s="354" t="s">
        <v>316</v>
      </c>
      <c r="B14" s="254" t="s">
        <v>361</v>
      </c>
      <c r="C14" s="246"/>
      <c r="D14" s="253"/>
      <c r="E14" s="242"/>
      <c r="F14" s="242"/>
      <c r="G14" s="364">
        <f t="shared" si="1"/>
        <v>0</v>
      </c>
      <c r="H14" s="243"/>
      <c r="I14" s="242"/>
      <c r="J14" s="241">
        <f t="shared" si="2"/>
        <v>0</v>
      </c>
      <c r="L14" s="214">
        <f>C14-G14-J14</f>
        <v>0</v>
      </c>
      <c r="O14" s="339"/>
      <c r="P14" s="338"/>
      <c r="Q14" s="628"/>
      <c r="U14" s="333"/>
    </row>
    <row r="15" spans="1:24" ht="27" customHeight="1">
      <c r="A15" s="354" t="s">
        <v>313</v>
      </c>
      <c r="B15" s="242" t="s">
        <v>329</v>
      </c>
      <c r="C15" s="246"/>
      <c r="D15" s="245"/>
      <c r="E15" s="242"/>
      <c r="F15" s="242"/>
      <c r="G15" s="241">
        <f t="shared" si="1"/>
        <v>0</v>
      </c>
      <c r="H15" s="243"/>
      <c r="I15" s="242"/>
      <c r="J15" s="241">
        <f t="shared" si="2"/>
        <v>0</v>
      </c>
      <c r="L15" s="214">
        <f>C15-G14:G15-I15</f>
        <v>0</v>
      </c>
      <c r="O15" s="339"/>
      <c r="P15" s="613" t="s">
        <v>328</v>
      </c>
      <c r="Q15" s="614"/>
      <c r="R15" s="214">
        <f>'3条税抜き'!I8</f>
        <v>51313295</v>
      </c>
      <c r="S15" s="363">
        <f>+雨汚水!Z116+雨汚水!AA116</f>
        <v>1117953</v>
      </c>
      <c r="T15" s="214">
        <f>R15+S15</f>
        <v>52431248</v>
      </c>
      <c r="U15" s="333">
        <f>V15-T15</f>
        <v>12621</v>
      </c>
      <c r="V15" s="214">
        <f>'3条税込み'!I8</f>
        <v>52443869</v>
      </c>
      <c r="W15" s="214">
        <f>S15+U15</f>
        <v>1130574</v>
      </c>
    </row>
    <row r="16" spans="1:24" ht="27" customHeight="1">
      <c r="A16" s="292"/>
      <c r="B16" s="362"/>
      <c r="C16" s="246"/>
      <c r="D16" s="245"/>
      <c r="E16" s="242"/>
      <c r="F16" s="242"/>
      <c r="G16" s="241"/>
      <c r="H16" s="243"/>
      <c r="I16" s="242"/>
      <c r="J16" s="241"/>
      <c r="K16" s="259" t="s">
        <v>269</v>
      </c>
      <c r="L16" s="214">
        <f>C16-G15:G16-I16</f>
        <v>0</v>
      </c>
      <c r="O16" s="339"/>
      <c r="P16" s="613"/>
      <c r="Q16" s="614"/>
      <c r="S16" s="355"/>
      <c r="U16" s="333"/>
    </row>
    <row r="17" spans="1:26" ht="27" customHeight="1">
      <c r="A17" s="226" t="s">
        <v>251</v>
      </c>
      <c r="B17" s="266"/>
      <c r="C17" s="238">
        <f t="shared" ref="C17:J17" si="5">SUM(C7:C16)</f>
        <v>267277352</v>
      </c>
      <c r="D17" s="237">
        <f t="shared" si="5"/>
        <v>48838999</v>
      </c>
      <c r="E17" s="235">
        <f t="shared" si="5"/>
        <v>507311</v>
      </c>
      <c r="F17" s="235">
        <f t="shared" si="5"/>
        <v>40065138</v>
      </c>
      <c r="G17" s="234">
        <f t="shared" si="5"/>
        <v>89411448</v>
      </c>
      <c r="H17" s="236">
        <f t="shared" si="5"/>
        <v>298760</v>
      </c>
      <c r="I17" s="235">
        <f t="shared" si="5"/>
        <v>177567144</v>
      </c>
      <c r="J17" s="234">
        <f t="shared" si="5"/>
        <v>177865904</v>
      </c>
      <c r="K17" s="214">
        <f>G17-F13</f>
        <v>89411448</v>
      </c>
      <c r="L17" s="214">
        <f>C17-G17-J17</f>
        <v>0</v>
      </c>
      <c r="O17" s="339"/>
      <c r="P17" s="613" t="s">
        <v>327</v>
      </c>
      <c r="Q17" s="614"/>
      <c r="R17" s="214">
        <f>'3条税抜き'!L12-収入税抜き!H13</f>
        <v>43567026</v>
      </c>
      <c r="S17" s="355">
        <f>+雨汚水!Z117+雨汚水!AA117</f>
        <v>850124</v>
      </c>
      <c r="T17" s="214">
        <f>R17+S17</f>
        <v>44417150</v>
      </c>
      <c r="U17" s="333">
        <f>V17-T17</f>
        <v>7625</v>
      </c>
      <c r="V17" s="214">
        <f>'3条税込み'!L12</f>
        <v>44424775</v>
      </c>
      <c r="W17" s="214">
        <f>S17+U17</f>
        <v>857749</v>
      </c>
    </row>
    <row r="18" spans="1:26" ht="27" customHeight="1">
      <c r="A18" s="361" t="s">
        <v>326</v>
      </c>
      <c r="B18" s="264" t="s">
        <v>325</v>
      </c>
      <c r="C18" s="360"/>
      <c r="D18" s="359"/>
      <c r="E18" s="357"/>
      <c r="F18" s="357"/>
      <c r="G18" s="356">
        <f>SUM(D18:F18)</f>
        <v>0</v>
      </c>
      <c r="H18" s="358"/>
      <c r="I18" s="357"/>
      <c r="J18" s="356">
        <f>SUM(H18:I18)</f>
        <v>0</v>
      </c>
      <c r="K18" s="259"/>
      <c r="L18" s="214">
        <f>C18-G17:G18-I18</f>
        <v>0</v>
      </c>
      <c r="O18" s="339"/>
      <c r="P18" s="613"/>
      <c r="Q18" s="614"/>
      <c r="S18" s="355"/>
      <c r="U18" s="333"/>
    </row>
    <row r="19" spans="1:26" ht="27" customHeight="1" thickBot="1">
      <c r="A19" s="354" t="s">
        <v>324</v>
      </c>
      <c r="B19" s="255" t="s">
        <v>141</v>
      </c>
      <c r="C19" s="246">
        <f>+SUM(雨汚水!E88:E89)</f>
        <v>16476593</v>
      </c>
      <c r="D19" s="245">
        <f>+SUM(雨汚水!F88:F89)</f>
        <v>8440628</v>
      </c>
      <c r="E19" s="242">
        <f>+SUM(雨汚水!G88:G89)</f>
        <v>0</v>
      </c>
      <c r="F19" s="242">
        <f>+SUM(雨汚水!H88:H89)</f>
        <v>0</v>
      </c>
      <c r="G19" s="241">
        <f>SUM(D19:F19)</f>
        <v>8440628</v>
      </c>
      <c r="H19" s="243">
        <f>+SUM(雨汚水!J88:J89)</f>
        <v>0</v>
      </c>
      <c r="I19" s="242">
        <f>+SUM(雨汚水!K88:K89)</f>
        <v>8035965</v>
      </c>
      <c r="J19" s="241">
        <f>SUM(H19:I19)</f>
        <v>8035965</v>
      </c>
      <c r="L19" s="214">
        <f>C19-G18:G19-I19</f>
        <v>0</v>
      </c>
      <c r="O19" s="339"/>
      <c r="P19" s="629" t="s">
        <v>323</v>
      </c>
      <c r="Q19" s="614"/>
      <c r="R19" s="214">
        <f>'3条税抜き'!G13+'3条税抜き'!G40</f>
        <v>10396270</v>
      </c>
      <c r="S19" s="223">
        <f>+雨汚水!Z118+雨汚水!AA118</f>
        <v>87781</v>
      </c>
      <c r="T19" s="214">
        <f>R19+S19</f>
        <v>10484051</v>
      </c>
      <c r="U19" s="333">
        <f>V19-T19</f>
        <v>-192</v>
      </c>
      <c r="V19" s="214">
        <f>'3条税込み'!L14</f>
        <v>10483859</v>
      </c>
      <c r="W19" s="214">
        <f>S19+U19</f>
        <v>87589</v>
      </c>
    </row>
    <row r="20" spans="1:26" ht="27" customHeight="1" thickBot="1">
      <c r="A20" s="252" t="s">
        <v>322</v>
      </c>
      <c r="B20" s="255" t="s">
        <v>321</v>
      </c>
      <c r="C20" s="246"/>
      <c r="D20" s="245"/>
      <c r="E20" s="242"/>
      <c r="F20" s="242"/>
      <c r="G20" s="241"/>
      <c r="H20" s="243"/>
      <c r="I20" s="242"/>
      <c r="J20" s="241"/>
      <c r="L20" s="214">
        <f>C20-G19:G20-I20</f>
        <v>0</v>
      </c>
      <c r="O20" s="353"/>
      <c r="P20" s="630"/>
      <c r="Q20" s="631"/>
      <c r="R20" s="214">
        <f>'3条税抜き'!G13</f>
        <v>10396270</v>
      </c>
      <c r="U20" s="333"/>
    </row>
    <row r="21" spans="1:26" ht="27" customHeight="1">
      <c r="A21" s="351" t="s">
        <v>320</v>
      </c>
      <c r="B21" s="352" t="s">
        <v>319</v>
      </c>
      <c r="C21" s="246">
        <f>+雨汚水!E85</f>
        <v>9364620277</v>
      </c>
      <c r="D21" s="245">
        <f>+雨汚水!F85</f>
        <v>4482094461</v>
      </c>
      <c r="E21" s="242">
        <f>+雨汚水!G85</f>
        <v>2428480</v>
      </c>
      <c r="F21" s="242">
        <f>+雨汚水!H85</f>
        <v>0</v>
      </c>
      <c r="G21" s="241">
        <f>SUM(D21:F21)</f>
        <v>4484522941</v>
      </c>
      <c r="H21" s="243">
        <f>+雨汚水!J85</f>
        <v>6059291</v>
      </c>
      <c r="I21" s="242">
        <f>+雨汚水!K85</f>
        <v>4874038045</v>
      </c>
      <c r="J21" s="241">
        <f>SUM(H21:I21)</f>
        <v>4880097336</v>
      </c>
      <c r="L21" s="214">
        <f>C21-G20:G21-I21-H21</f>
        <v>0</v>
      </c>
      <c r="O21" s="632" t="s">
        <v>52</v>
      </c>
      <c r="P21" s="633"/>
      <c r="Q21" s="622"/>
    </row>
    <row r="22" spans="1:26" ht="27" customHeight="1">
      <c r="A22" s="351" t="s">
        <v>318</v>
      </c>
      <c r="B22" s="268" t="s">
        <v>317</v>
      </c>
      <c r="C22" s="246">
        <f>+雨汚水!E86</f>
        <v>120734725</v>
      </c>
      <c r="D22" s="245">
        <f>+雨汚水!F86</f>
        <v>49928323</v>
      </c>
      <c r="E22" s="242">
        <f>+雨汚水!G86</f>
        <v>486150</v>
      </c>
      <c r="F22" s="242">
        <f>+雨汚水!H86</f>
        <v>0</v>
      </c>
      <c r="G22" s="241">
        <f>SUM(D22:F22)</f>
        <v>50414473</v>
      </c>
      <c r="H22" s="243">
        <f>+雨汚水!J86</f>
        <v>0</v>
      </c>
      <c r="I22" s="242">
        <f>+雨汚水!K86</f>
        <v>70320252</v>
      </c>
      <c r="J22" s="241">
        <f>SUM(H22:I22)</f>
        <v>70320252</v>
      </c>
      <c r="L22" s="214">
        <f>C22-G21:G22-I22-H22</f>
        <v>0</v>
      </c>
      <c r="O22" s="618"/>
      <c r="P22" s="619"/>
      <c r="Q22" s="620"/>
      <c r="R22" s="214">
        <f>'3条税抜き'!J44-収入税抜き!I26-収入税込!R23+R31+Y22+R33</f>
        <v>57930</v>
      </c>
      <c r="Y22" s="340">
        <v>1046057695</v>
      </c>
      <c r="Z22" s="214">
        <f>R23-R22+Y22+R33</f>
        <v>1559167760</v>
      </c>
    </row>
    <row r="23" spans="1:26" ht="27" customHeight="1">
      <c r="A23" s="351" t="s">
        <v>316</v>
      </c>
      <c r="B23" s="247" t="s">
        <v>315</v>
      </c>
      <c r="C23" s="246">
        <f>+SUM(雨汚水!E93:E95)</f>
        <v>334220</v>
      </c>
      <c r="D23" s="242">
        <f>+SUM(雨汚水!F93:F95)</f>
        <v>281270</v>
      </c>
      <c r="E23" s="242">
        <f>+SUM(雨汚水!G93:G95)</f>
        <v>0</v>
      </c>
      <c r="F23" s="242">
        <f>+SUM(雨汚水!H93:H95)</f>
        <v>0</v>
      </c>
      <c r="G23" s="241">
        <f>SUM(D23:F23)</f>
        <v>281270</v>
      </c>
      <c r="H23" s="243">
        <f>+SUM(雨汚水!J93:J95)</f>
        <v>0</v>
      </c>
      <c r="I23" s="242">
        <f>+SUM(雨汚水!K93:K95)</f>
        <v>52950</v>
      </c>
      <c r="J23" s="241">
        <f>SUM(H23:I23)</f>
        <v>52950</v>
      </c>
      <c r="K23" s="259" t="s">
        <v>294</v>
      </c>
      <c r="L23" s="214">
        <f>C23-G22:G23-I23-H23</f>
        <v>0</v>
      </c>
      <c r="O23" s="339"/>
      <c r="P23" s="621" t="s">
        <v>314</v>
      </c>
      <c r="Q23" s="622"/>
      <c r="R23" s="214">
        <f t="shared" ref="R23:W23" si="6">R25+R27+R31</f>
        <v>513167995</v>
      </c>
      <c r="S23" s="214">
        <f t="shared" si="6"/>
        <v>0</v>
      </c>
      <c r="T23" s="214">
        <f t="shared" si="6"/>
        <v>513167995</v>
      </c>
      <c r="U23" s="214">
        <f t="shared" si="6"/>
        <v>0</v>
      </c>
      <c r="V23" s="214">
        <f t="shared" si="6"/>
        <v>513167995</v>
      </c>
      <c r="W23" s="214">
        <f t="shared" si="6"/>
        <v>0</v>
      </c>
    </row>
    <row r="24" spans="1:26" ht="27" customHeight="1">
      <c r="A24" s="350" t="s">
        <v>313</v>
      </c>
      <c r="B24" s="349" t="s">
        <v>251</v>
      </c>
      <c r="C24" s="348">
        <f t="shared" ref="C24:J24" si="7">SUM(C18:C23)</f>
        <v>9502165815</v>
      </c>
      <c r="D24" s="347">
        <f t="shared" si="7"/>
        <v>4540744682</v>
      </c>
      <c r="E24" s="345">
        <f t="shared" si="7"/>
        <v>2914630</v>
      </c>
      <c r="F24" s="345">
        <f t="shared" si="7"/>
        <v>0</v>
      </c>
      <c r="G24" s="344">
        <f t="shared" si="7"/>
        <v>4543659312</v>
      </c>
      <c r="H24" s="346">
        <f t="shared" si="7"/>
        <v>6059291</v>
      </c>
      <c r="I24" s="345">
        <f t="shared" si="7"/>
        <v>4952447212</v>
      </c>
      <c r="J24" s="344">
        <f t="shared" si="7"/>
        <v>4958506503</v>
      </c>
      <c r="K24" s="312">
        <f>D24+E24</f>
        <v>4543659312</v>
      </c>
      <c r="L24" s="214">
        <f>C24-G23:G24-I24-H24</f>
        <v>0</v>
      </c>
      <c r="O24" s="339"/>
      <c r="P24" s="623"/>
      <c r="Q24" s="620"/>
    </row>
    <row r="25" spans="1:26" ht="27" customHeight="1">
      <c r="A25" s="233"/>
      <c r="B25" s="232"/>
      <c r="C25" s="231"/>
      <c r="D25" s="230"/>
      <c r="E25" s="228"/>
      <c r="F25" s="228"/>
      <c r="G25" s="227"/>
      <c r="H25" s="229"/>
      <c r="I25" s="228"/>
      <c r="J25" s="227"/>
      <c r="L25" s="214">
        <f>C25-G24:G25-I25</f>
        <v>0</v>
      </c>
      <c r="O25" s="339"/>
      <c r="P25" s="338"/>
      <c r="Q25" s="624" t="s">
        <v>32</v>
      </c>
      <c r="R25" s="214">
        <f>R36-R40-R45-R51+Y25</f>
        <v>386362778</v>
      </c>
      <c r="S25" s="343"/>
      <c r="T25" s="214">
        <f>R25+S25</f>
        <v>386362778</v>
      </c>
      <c r="U25" s="342"/>
      <c r="V25" s="214">
        <f>T25</f>
        <v>386362778</v>
      </c>
      <c r="W25" s="214">
        <f>S25+U25</f>
        <v>0</v>
      </c>
      <c r="Y25" s="340">
        <v>826565023</v>
      </c>
      <c r="Z25" s="214">
        <f>Y25-R25</f>
        <v>440202245</v>
      </c>
    </row>
    <row r="26" spans="1:26" ht="27" customHeight="1" thickBot="1">
      <c r="A26" s="341" t="s">
        <v>249</v>
      </c>
      <c r="B26" s="224"/>
      <c r="C26" s="223">
        <f t="shared" ref="C26:J26" si="8">C6+C17+C24</f>
        <v>30258405695</v>
      </c>
      <c r="D26" s="222">
        <f t="shared" si="8"/>
        <v>4589583681</v>
      </c>
      <c r="E26" s="219">
        <f t="shared" si="8"/>
        <v>3421941</v>
      </c>
      <c r="F26" s="222">
        <f t="shared" si="8"/>
        <v>40065138</v>
      </c>
      <c r="G26" s="221">
        <f t="shared" si="8"/>
        <v>4633070760</v>
      </c>
      <c r="H26" s="220">
        <f t="shared" si="8"/>
        <v>6358051</v>
      </c>
      <c r="I26" s="219">
        <f t="shared" si="8"/>
        <v>25618976884</v>
      </c>
      <c r="J26" s="218">
        <f t="shared" si="8"/>
        <v>25625334935</v>
      </c>
      <c r="L26" s="214">
        <f>C26-G26-J26</f>
        <v>0</v>
      </c>
      <c r="O26" s="339"/>
      <c r="P26" s="338"/>
      <c r="Q26" s="625"/>
    </row>
    <row r="27" spans="1:26" ht="21" customHeight="1">
      <c r="O27" s="339"/>
      <c r="P27" s="338"/>
      <c r="Q27" s="624" t="s">
        <v>31</v>
      </c>
      <c r="R27" s="214">
        <f>R37-R41-R46+Y27</f>
        <v>126800237</v>
      </c>
      <c r="T27" s="214">
        <f>R27+S27</f>
        <v>126800237</v>
      </c>
      <c r="V27" s="214">
        <f>T27</f>
        <v>126800237</v>
      </c>
      <c r="W27" s="214">
        <f>S27+U27</f>
        <v>0</v>
      </c>
      <c r="Y27" s="340">
        <v>219492672</v>
      </c>
      <c r="Z27" s="214">
        <f>Y27-R27</f>
        <v>92692435</v>
      </c>
    </row>
    <row r="28" spans="1:26">
      <c r="O28" s="339"/>
      <c r="P28" s="338"/>
      <c r="Q28" s="625"/>
    </row>
    <row r="29" spans="1:26">
      <c r="O29" s="339"/>
      <c r="P29" s="338"/>
      <c r="Q29" s="625"/>
    </row>
    <row r="30" spans="1:26">
      <c r="O30" s="339"/>
      <c r="P30" s="338"/>
      <c r="Q30" s="626"/>
    </row>
    <row r="31" spans="1:26">
      <c r="O31" s="339"/>
      <c r="P31" s="338"/>
      <c r="Q31" s="625" t="s">
        <v>312</v>
      </c>
      <c r="R31" s="214">
        <f>+'[2]3条収入'!$E$47</f>
        <v>4980</v>
      </c>
      <c r="T31" s="214">
        <f>R31+S31</f>
        <v>4980</v>
      </c>
      <c r="V31" s="214">
        <f>T31</f>
        <v>4980</v>
      </c>
      <c r="W31" s="214">
        <f>S31+U31</f>
        <v>0</v>
      </c>
    </row>
    <row r="32" spans="1:26">
      <c r="O32" s="339"/>
      <c r="P32" s="338"/>
      <c r="Q32" s="625"/>
      <c r="S32" s="337" t="s">
        <v>311</v>
      </c>
    </row>
    <row r="33" spans="15:23" ht="27.75" customHeight="1" thickBot="1">
      <c r="O33" s="336"/>
      <c r="P33" s="335" t="s">
        <v>310</v>
      </c>
      <c r="Q33" s="334"/>
      <c r="R33" s="214">
        <f>+雨汚水!R126</f>
        <v>0</v>
      </c>
      <c r="S33" s="214">
        <f>+雨汚水!Z126+雨汚水!AA126</f>
        <v>493234</v>
      </c>
      <c r="T33" s="214">
        <f>R33+S33</f>
        <v>493234</v>
      </c>
      <c r="U33" s="333">
        <f>V33-T33</f>
        <v>8705039</v>
      </c>
      <c r="V33" s="214">
        <f>+'3条税込み'!D24</f>
        <v>9198273</v>
      </c>
      <c r="W33" s="214">
        <f>S33+U33</f>
        <v>9198273</v>
      </c>
    </row>
    <row r="34" spans="15:23" ht="27.75" customHeight="1">
      <c r="Q34" s="214" t="s">
        <v>309</v>
      </c>
      <c r="S34" s="214">
        <f>+雨汚水!Z128+雨汚水!AA128</f>
        <v>12740</v>
      </c>
      <c r="T34" s="214">
        <f>R34+S34</f>
        <v>12740</v>
      </c>
      <c r="U34" s="333">
        <f>V34-T34</f>
        <v>0</v>
      </c>
      <c r="V34" s="214">
        <f>T34</f>
        <v>12740</v>
      </c>
      <c r="W34" s="214">
        <f>S34+U34</f>
        <v>12740</v>
      </c>
    </row>
    <row r="35" spans="15:23">
      <c r="O35" s="214" t="s">
        <v>308</v>
      </c>
      <c r="R35" s="214">
        <f>収入税抜き!I6-('3条税抜き'!J31-収入税抜き!I17)</f>
        <v>11540540975</v>
      </c>
    </row>
    <row r="36" spans="15:23">
      <c r="P36" s="214" t="s">
        <v>307</v>
      </c>
      <c r="R36" s="214">
        <f>'3条税抜き'!J32+'3条税抜き'!J38-収入税抜き!I21-収入税抜き!I22-収入税抜き!I23</f>
        <v>9092965228</v>
      </c>
    </row>
    <row r="37" spans="15:23">
      <c r="P37" s="214" t="s">
        <v>306</v>
      </c>
      <c r="R37" s="214">
        <f>'3条税抜き'!J35-収入税抜き!I19-収入税抜き!I20-収入税抜き!I23</f>
        <v>1914686047</v>
      </c>
    </row>
    <row r="38" spans="15:23">
      <c r="P38" s="214" t="s">
        <v>305</v>
      </c>
      <c r="R38" s="214">
        <f>R36+R37</f>
        <v>11007651275</v>
      </c>
      <c r="S38" s="332"/>
    </row>
    <row r="39" spans="15:23">
      <c r="O39" s="214" t="s">
        <v>304</v>
      </c>
    </row>
    <row r="40" spans="15:23">
      <c r="P40" s="214" t="s">
        <v>303</v>
      </c>
      <c r="R40" s="214">
        <f>ROUND(R35*R36/R38,0)</f>
        <v>9533163359</v>
      </c>
    </row>
    <row r="41" spans="15:23">
      <c r="P41" s="214" t="s">
        <v>302</v>
      </c>
      <c r="R41" s="214">
        <f>ROUND(R35*R37/R38,0)</f>
        <v>2007377616</v>
      </c>
    </row>
    <row r="42" spans="15:23">
      <c r="P42" s="214" t="s">
        <v>297</v>
      </c>
      <c r="R42" s="214">
        <f>R40+R41</f>
        <v>11540540975</v>
      </c>
      <c r="T42" s="214" t="s">
        <v>301</v>
      </c>
    </row>
    <row r="43" spans="15:23">
      <c r="R43" s="214">
        <f>R35-R42</f>
        <v>0</v>
      </c>
    </row>
    <row r="44" spans="15:23">
      <c r="O44" s="214" t="s">
        <v>300</v>
      </c>
      <c r="R44" s="214">
        <f>R31</f>
        <v>4980</v>
      </c>
    </row>
    <row r="45" spans="15:23">
      <c r="P45" s="214" t="s">
        <v>299</v>
      </c>
      <c r="R45" s="214">
        <f>ROUND(R44*R36/R38,0)</f>
        <v>4114</v>
      </c>
    </row>
    <row r="46" spans="15:23">
      <c r="P46" s="214" t="s">
        <v>298</v>
      </c>
      <c r="R46" s="214">
        <f>ROUND(R44*R37/R38,0)</f>
        <v>866</v>
      </c>
    </row>
    <row r="47" spans="15:23">
      <c r="P47" s="214" t="s">
        <v>297</v>
      </c>
      <c r="R47" s="214">
        <f>R44-R45-R46</f>
        <v>0</v>
      </c>
    </row>
    <row r="51" spans="2:3" ht="24.75" customHeight="1"/>
    <row r="52" spans="2:3" ht="24.75" customHeight="1">
      <c r="B52" s="611" t="s">
        <v>263</v>
      </c>
      <c r="C52" s="611"/>
    </row>
    <row r="53" spans="2:3" ht="24.75" customHeight="1">
      <c r="B53" s="240" t="s">
        <v>253</v>
      </c>
      <c r="C53" s="240" t="s">
        <v>252</v>
      </c>
    </row>
    <row r="54" spans="2:3" ht="24.75" customHeight="1">
      <c r="B54" s="217"/>
      <c r="C54" s="217"/>
    </row>
    <row r="55" spans="2:3" ht="24.75" customHeight="1">
      <c r="B55" s="611" t="s">
        <v>296</v>
      </c>
      <c r="C55" s="611"/>
    </row>
    <row r="56" spans="2:3" ht="24.75" customHeight="1">
      <c r="B56" s="240" t="s">
        <v>253</v>
      </c>
      <c r="C56" s="240" t="s">
        <v>252</v>
      </c>
    </row>
    <row r="57" spans="2:3" ht="24.75" customHeight="1">
      <c r="B57" s="217"/>
      <c r="C57" s="217"/>
    </row>
    <row r="58" spans="2:3" ht="24.75" customHeight="1"/>
    <row r="59" spans="2:3" ht="24.75" customHeight="1"/>
    <row r="60" spans="2:3" ht="24.75" customHeight="1"/>
    <row r="61" spans="2:3" ht="24.75" customHeight="1"/>
    <row r="62" spans="2:3" ht="24.75" customHeight="1"/>
  </sheetData>
  <mergeCells count="15">
    <mergeCell ref="Q31:Q32"/>
    <mergeCell ref="B52:C52"/>
    <mergeCell ref="B55:C55"/>
    <mergeCell ref="P17:Q18"/>
    <mergeCell ref="P19:Q20"/>
    <mergeCell ref="O21:Q22"/>
    <mergeCell ref="P23:Q24"/>
    <mergeCell ref="Q25:Q26"/>
    <mergeCell ref="Q27:Q30"/>
    <mergeCell ref="P15:Q16"/>
    <mergeCell ref="O3:Q4"/>
    <mergeCell ref="P5:Q6"/>
    <mergeCell ref="Q7:Q8"/>
    <mergeCell ref="Q9:Q10"/>
    <mergeCell ref="Q11:Q14"/>
  </mergeCells>
  <phoneticPr fontId="2"/>
  <pageMargins left="0.9055118110236221" right="0.19685039370078741" top="0.78740157480314965" bottom="0.39370078740157483" header="0.19685039370078741" footer="0.19685039370078741"/>
  <pageSetup paperSize="9" scale="80" orientation="portrait" blackAndWhite="1" r:id="rId1"/>
  <headerFooter alignWithMargins="0">
    <oddHeader>&amp;L&amp;F &amp;A&amp;R&amp;8 &amp;D &amp;T</oddHeader>
    <oddFooter>&amp;L&amp;8&amp;F　&amp;A</oddFooter>
  </headerFooter>
  <colBreaks count="1" manualBreakCount="1">
    <brk id="10" max="46" man="1"/>
  </col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BJ47"/>
  <sheetViews>
    <sheetView zoomScale="80" zoomScaleNormal="80" zoomScaleSheetLayoutView="80" workbookViewId="0"/>
  </sheetViews>
  <sheetFormatPr defaultRowHeight="11.25"/>
  <cols>
    <col min="1" max="1" width="2.375" style="214" customWidth="1"/>
    <col min="2" max="2" width="11.875" style="214" customWidth="1"/>
    <col min="3" max="3" width="13" style="214" customWidth="1"/>
    <col min="4" max="5" width="11.625" style="214" customWidth="1"/>
    <col min="6" max="6" width="11.375" style="214" customWidth="1"/>
    <col min="7" max="7" width="11.625" style="214" customWidth="1"/>
    <col min="8" max="8" width="10.875" style="214" customWidth="1"/>
    <col min="9" max="9" width="12.75" style="214" customWidth="1"/>
    <col min="10" max="10" width="13.125" style="214" customWidth="1"/>
    <col min="11" max="11" width="9.875" style="214" customWidth="1"/>
    <col min="12" max="15" width="2.625" style="214" customWidth="1"/>
    <col min="16" max="16" width="8.125" style="214" customWidth="1"/>
    <col min="17" max="17" width="14.125" style="214" customWidth="1"/>
    <col min="18" max="23" width="13.125" style="214" customWidth="1"/>
    <col min="24" max="256" width="9" style="214"/>
    <col min="257" max="257" width="2.375" style="214" customWidth="1"/>
    <col min="258" max="258" width="11.875" style="214" customWidth="1"/>
    <col min="259" max="259" width="13" style="214" customWidth="1"/>
    <col min="260" max="261" width="11.625" style="214" customWidth="1"/>
    <col min="262" max="262" width="11.375" style="214" customWidth="1"/>
    <col min="263" max="263" width="11.625" style="214" customWidth="1"/>
    <col min="264" max="264" width="10.875" style="214" customWidth="1"/>
    <col min="265" max="265" width="12.75" style="214" customWidth="1"/>
    <col min="266" max="266" width="13.125" style="214" customWidth="1"/>
    <col min="267" max="267" width="9.875" style="214" customWidth="1"/>
    <col min="268" max="268" width="12" style="214" bestFit="1" customWidth="1"/>
    <col min="269" max="270" width="5.25" style="214" customWidth="1"/>
    <col min="271" max="271" width="9" style="214"/>
    <col min="272" max="272" width="10.25" style="214" customWidth="1"/>
    <col min="273" max="273" width="10.75" style="214" customWidth="1"/>
    <col min="274" max="275" width="12.875" style="214" customWidth="1"/>
    <col min="276" max="276" width="9" style="214"/>
    <col min="277" max="277" width="1.875" style="214" customWidth="1"/>
    <col min="278" max="278" width="12.375" style="214" customWidth="1"/>
    <col min="279" max="279" width="11.625" style="214" customWidth="1"/>
    <col min="280" max="512" width="9" style="214"/>
    <col min="513" max="513" width="2.375" style="214" customWidth="1"/>
    <col min="514" max="514" width="11.875" style="214" customWidth="1"/>
    <col min="515" max="515" width="13" style="214" customWidth="1"/>
    <col min="516" max="517" width="11.625" style="214" customWidth="1"/>
    <col min="518" max="518" width="11.375" style="214" customWidth="1"/>
    <col min="519" max="519" width="11.625" style="214" customWidth="1"/>
    <col min="520" max="520" width="10.875" style="214" customWidth="1"/>
    <col min="521" max="521" width="12.75" style="214" customWidth="1"/>
    <col min="522" max="522" width="13.125" style="214" customWidth="1"/>
    <col min="523" max="523" width="9.875" style="214" customWidth="1"/>
    <col min="524" max="524" width="12" style="214" bestFit="1" customWidth="1"/>
    <col min="525" max="526" width="5.25" style="214" customWidth="1"/>
    <col min="527" max="527" width="9" style="214"/>
    <col min="528" max="528" width="10.25" style="214" customWidth="1"/>
    <col min="529" max="529" width="10.75" style="214" customWidth="1"/>
    <col min="530" max="531" width="12.875" style="214" customWidth="1"/>
    <col min="532" max="532" width="9" style="214"/>
    <col min="533" max="533" width="1.875" style="214" customWidth="1"/>
    <col min="534" max="534" width="12.375" style="214" customWidth="1"/>
    <col min="535" max="535" width="11.625" style="214" customWidth="1"/>
    <col min="536" max="768" width="9" style="214"/>
    <col min="769" max="769" width="2.375" style="214" customWidth="1"/>
    <col min="770" max="770" width="11.875" style="214" customWidth="1"/>
    <col min="771" max="771" width="13" style="214" customWidth="1"/>
    <col min="772" max="773" width="11.625" style="214" customWidth="1"/>
    <col min="774" max="774" width="11.375" style="214" customWidth="1"/>
    <col min="775" max="775" width="11.625" style="214" customWidth="1"/>
    <col min="776" max="776" width="10.875" style="214" customWidth="1"/>
    <col min="777" max="777" width="12.75" style="214" customWidth="1"/>
    <col min="778" max="778" width="13.125" style="214" customWidth="1"/>
    <col min="779" max="779" width="9.875" style="214" customWidth="1"/>
    <col min="780" max="780" width="12" style="214" bestFit="1" customWidth="1"/>
    <col min="781" max="782" width="5.25" style="214" customWidth="1"/>
    <col min="783" max="783" width="9" style="214"/>
    <col min="784" max="784" width="10.25" style="214" customWidth="1"/>
    <col min="785" max="785" width="10.75" style="214" customWidth="1"/>
    <col min="786" max="787" width="12.875" style="214" customWidth="1"/>
    <col min="788" max="788" width="9" style="214"/>
    <col min="789" max="789" width="1.875" style="214" customWidth="1"/>
    <col min="790" max="790" width="12.375" style="214" customWidth="1"/>
    <col min="791" max="791" width="11.625" style="214" customWidth="1"/>
    <col min="792" max="1024" width="9" style="214"/>
    <col min="1025" max="1025" width="2.375" style="214" customWidth="1"/>
    <col min="1026" max="1026" width="11.875" style="214" customWidth="1"/>
    <col min="1027" max="1027" width="13" style="214" customWidth="1"/>
    <col min="1028" max="1029" width="11.625" style="214" customWidth="1"/>
    <col min="1030" max="1030" width="11.375" style="214" customWidth="1"/>
    <col min="1031" max="1031" width="11.625" style="214" customWidth="1"/>
    <col min="1032" max="1032" width="10.875" style="214" customWidth="1"/>
    <col min="1033" max="1033" width="12.75" style="214" customWidth="1"/>
    <col min="1034" max="1034" width="13.125" style="214" customWidth="1"/>
    <col min="1035" max="1035" width="9.875" style="214" customWidth="1"/>
    <col min="1036" max="1036" width="12" style="214" bestFit="1" customWidth="1"/>
    <col min="1037" max="1038" width="5.25" style="214" customWidth="1"/>
    <col min="1039" max="1039" width="9" style="214"/>
    <col min="1040" max="1040" width="10.25" style="214" customWidth="1"/>
    <col min="1041" max="1041" width="10.75" style="214" customWidth="1"/>
    <col min="1042" max="1043" width="12.875" style="214" customWidth="1"/>
    <col min="1044" max="1044" width="9" style="214"/>
    <col min="1045" max="1045" width="1.875" style="214" customWidth="1"/>
    <col min="1046" max="1046" width="12.375" style="214" customWidth="1"/>
    <col min="1047" max="1047" width="11.625" style="214" customWidth="1"/>
    <col min="1048" max="1280" width="9" style="214"/>
    <col min="1281" max="1281" width="2.375" style="214" customWidth="1"/>
    <col min="1282" max="1282" width="11.875" style="214" customWidth="1"/>
    <col min="1283" max="1283" width="13" style="214" customWidth="1"/>
    <col min="1284" max="1285" width="11.625" style="214" customWidth="1"/>
    <col min="1286" max="1286" width="11.375" style="214" customWidth="1"/>
    <col min="1287" max="1287" width="11.625" style="214" customWidth="1"/>
    <col min="1288" max="1288" width="10.875" style="214" customWidth="1"/>
    <col min="1289" max="1289" width="12.75" style="214" customWidth="1"/>
    <col min="1290" max="1290" width="13.125" style="214" customWidth="1"/>
    <col min="1291" max="1291" width="9.875" style="214" customWidth="1"/>
    <col min="1292" max="1292" width="12" style="214" bestFit="1" customWidth="1"/>
    <col min="1293" max="1294" width="5.25" style="214" customWidth="1"/>
    <col min="1295" max="1295" width="9" style="214"/>
    <col min="1296" max="1296" width="10.25" style="214" customWidth="1"/>
    <col min="1297" max="1297" width="10.75" style="214" customWidth="1"/>
    <col min="1298" max="1299" width="12.875" style="214" customWidth="1"/>
    <col min="1300" max="1300" width="9" style="214"/>
    <col min="1301" max="1301" width="1.875" style="214" customWidth="1"/>
    <col min="1302" max="1302" width="12.375" style="214" customWidth="1"/>
    <col min="1303" max="1303" width="11.625" style="214" customWidth="1"/>
    <col min="1304" max="1536" width="9" style="214"/>
    <col min="1537" max="1537" width="2.375" style="214" customWidth="1"/>
    <col min="1538" max="1538" width="11.875" style="214" customWidth="1"/>
    <col min="1539" max="1539" width="13" style="214" customWidth="1"/>
    <col min="1540" max="1541" width="11.625" style="214" customWidth="1"/>
    <col min="1542" max="1542" width="11.375" style="214" customWidth="1"/>
    <col min="1543" max="1543" width="11.625" style="214" customWidth="1"/>
    <col min="1544" max="1544" width="10.875" style="214" customWidth="1"/>
    <col min="1545" max="1545" width="12.75" style="214" customWidth="1"/>
    <col min="1546" max="1546" width="13.125" style="214" customWidth="1"/>
    <col min="1547" max="1547" width="9.875" style="214" customWidth="1"/>
    <col min="1548" max="1548" width="12" style="214" bestFit="1" customWidth="1"/>
    <col min="1549" max="1550" width="5.25" style="214" customWidth="1"/>
    <col min="1551" max="1551" width="9" style="214"/>
    <col min="1552" max="1552" width="10.25" style="214" customWidth="1"/>
    <col min="1553" max="1553" width="10.75" style="214" customWidth="1"/>
    <col min="1554" max="1555" width="12.875" style="214" customWidth="1"/>
    <col min="1556" max="1556" width="9" style="214"/>
    <col min="1557" max="1557" width="1.875" style="214" customWidth="1"/>
    <col min="1558" max="1558" width="12.375" style="214" customWidth="1"/>
    <col min="1559" max="1559" width="11.625" style="214" customWidth="1"/>
    <col min="1560" max="1792" width="9" style="214"/>
    <col min="1793" max="1793" width="2.375" style="214" customWidth="1"/>
    <col min="1794" max="1794" width="11.875" style="214" customWidth="1"/>
    <col min="1795" max="1795" width="13" style="214" customWidth="1"/>
    <col min="1796" max="1797" width="11.625" style="214" customWidth="1"/>
    <col min="1798" max="1798" width="11.375" style="214" customWidth="1"/>
    <col min="1799" max="1799" width="11.625" style="214" customWidth="1"/>
    <col min="1800" max="1800" width="10.875" style="214" customWidth="1"/>
    <col min="1801" max="1801" width="12.75" style="214" customWidth="1"/>
    <col min="1802" max="1802" width="13.125" style="214" customWidth="1"/>
    <col min="1803" max="1803" width="9.875" style="214" customWidth="1"/>
    <col min="1804" max="1804" width="12" style="214" bestFit="1" customWidth="1"/>
    <col min="1805" max="1806" width="5.25" style="214" customWidth="1"/>
    <col min="1807" max="1807" width="9" style="214"/>
    <col min="1808" max="1808" width="10.25" style="214" customWidth="1"/>
    <col min="1809" max="1809" width="10.75" style="214" customWidth="1"/>
    <col min="1810" max="1811" width="12.875" style="214" customWidth="1"/>
    <col min="1812" max="1812" width="9" style="214"/>
    <col min="1813" max="1813" width="1.875" style="214" customWidth="1"/>
    <col min="1814" max="1814" width="12.375" style="214" customWidth="1"/>
    <col min="1815" max="1815" width="11.625" style="214" customWidth="1"/>
    <col min="1816" max="2048" width="9" style="214"/>
    <col min="2049" max="2049" width="2.375" style="214" customWidth="1"/>
    <col min="2050" max="2050" width="11.875" style="214" customWidth="1"/>
    <col min="2051" max="2051" width="13" style="214" customWidth="1"/>
    <col min="2052" max="2053" width="11.625" style="214" customWidth="1"/>
    <col min="2054" max="2054" width="11.375" style="214" customWidth="1"/>
    <col min="2055" max="2055" width="11.625" style="214" customWidth="1"/>
    <col min="2056" max="2056" width="10.875" style="214" customWidth="1"/>
    <col min="2057" max="2057" width="12.75" style="214" customWidth="1"/>
    <col min="2058" max="2058" width="13.125" style="214" customWidth="1"/>
    <col min="2059" max="2059" width="9.875" style="214" customWidth="1"/>
    <col min="2060" max="2060" width="12" style="214" bestFit="1" customWidth="1"/>
    <col min="2061" max="2062" width="5.25" style="214" customWidth="1"/>
    <col min="2063" max="2063" width="9" style="214"/>
    <col min="2064" max="2064" width="10.25" style="214" customWidth="1"/>
    <col min="2065" max="2065" width="10.75" style="214" customWidth="1"/>
    <col min="2066" max="2067" width="12.875" style="214" customWidth="1"/>
    <col min="2068" max="2068" width="9" style="214"/>
    <col min="2069" max="2069" width="1.875" style="214" customWidth="1"/>
    <col min="2070" max="2070" width="12.375" style="214" customWidth="1"/>
    <col min="2071" max="2071" width="11.625" style="214" customWidth="1"/>
    <col min="2072" max="2304" width="9" style="214"/>
    <col min="2305" max="2305" width="2.375" style="214" customWidth="1"/>
    <col min="2306" max="2306" width="11.875" style="214" customWidth="1"/>
    <col min="2307" max="2307" width="13" style="214" customWidth="1"/>
    <col min="2308" max="2309" width="11.625" style="214" customWidth="1"/>
    <col min="2310" max="2310" width="11.375" style="214" customWidth="1"/>
    <col min="2311" max="2311" width="11.625" style="214" customWidth="1"/>
    <col min="2312" max="2312" width="10.875" style="214" customWidth="1"/>
    <col min="2313" max="2313" width="12.75" style="214" customWidth="1"/>
    <col min="2314" max="2314" width="13.125" style="214" customWidth="1"/>
    <col min="2315" max="2315" width="9.875" style="214" customWidth="1"/>
    <col min="2316" max="2316" width="12" style="214" bestFit="1" customWidth="1"/>
    <col min="2317" max="2318" width="5.25" style="214" customWidth="1"/>
    <col min="2319" max="2319" width="9" style="214"/>
    <col min="2320" max="2320" width="10.25" style="214" customWidth="1"/>
    <col min="2321" max="2321" width="10.75" style="214" customWidth="1"/>
    <col min="2322" max="2323" width="12.875" style="214" customWidth="1"/>
    <col min="2324" max="2324" width="9" style="214"/>
    <col min="2325" max="2325" width="1.875" style="214" customWidth="1"/>
    <col min="2326" max="2326" width="12.375" style="214" customWidth="1"/>
    <col min="2327" max="2327" width="11.625" style="214" customWidth="1"/>
    <col min="2328" max="2560" width="9" style="214"/>
    <col min="2561" max="2561" width="2.375" style="214" customWidth="1"/>
    <col min="2562" max="2562" width="11.875" style="214" customWidth="1"/>
    <col min="2563" max="2563" width="13" style="214" customWidth="1"/>
    <col min="2564" max="2565" width="11.625" style="214" customWidth="1"/>
    <col min="2566" max="2566" width="11.375" style="214" customWidth="1"/>
    <col min="2567" max="2567" width="11.625" style="214" customWidth="1"/>
    <col min="2568" max="2568" width="10.875" style="214" customWidth="1"/>
    <col min="2569" max="2569" width="12.75" style="214" customWidth="1"/>
    <col min="2570" max="2570" width="13.125" style="214" customWidth="1"/>
    <col min="2571" max="2571" width="9.875" style="214" customWidth="1"/>
    <col min="2572" max="2572" width="12" style="214" bestFit="1" customWidth="1"/>
    <col min="2573" max="2574" width="5.25" style="214" customWidth="1"/>
    <col min="2575" max="2575" width="9" style="214"/>
    <col min="2576" max="2576" width="10.25" style="214" customWidth="1"/>
    <col min="2577" max="2577" width="10.75" style="214" customWidth="1"/>
    <col min="2578" max="2579" width="12.875" style="214" customWidth="1"/>
    <col min="2580" max="2580" width="9" style="214"/>
    <col min="2581" max="2581" width="1.875" style="214" customWidth="1"/>
    <col min="2582" max="2582" width="12.375" style="214" customWidth="1"/>
    <col min="2583" max="2583" width="11.625" style="214" customWidth="1"/>
    <col min="2584" max="2816" width="9" style="214"/>
    <col min="2817" max="2817" width="2.375" style="214" customWidth="1"/>
    <col min="2818" max="2818" width="11.875" style="214" customWidth="1"/>
    <col min="2819" max="2819" width="13" style="214" customWidth="1"/>
    <col min="2820" max="2821" width="11.625" style="214" customWidth="1"/>
    <col min="2822" max="2822" width="11.375" style="214" customWidth="1"/>
    <col min="2823" max="2823" width="11.625" style="214" customWidth="1"/>
    <col min="2824" max="2824" width="10.875" style="214" customWidth="1"/>
    <col min="2825" max="2825" width="12.75" style="214" customWidth="1"/>
    <col min="2826" max="2826" width="13.125" style="214" customWidth="1"/>
    <col min="2827" max="2827" width="9.875" style="214" customWidth="1"/>
    <col min="2828" max="2828" width="12" style="214" bestFit="1" customWidth="1"/>
    <col min="2829" max="2830" width="5.25" style="214" customWidth="1"/>
    <col min="2831" max="2831" width="9" style="214"/>
    <col min="2832" max="2832" width="10.25" style="214" customWidth="1"/>
    <col min="2833" max="2833" width="10.75" style="214" customWidth="1"/>
    <col min="2834" max="2835" width="12.875" style="214" customWidth="1"/>
    <col min="2836" max="2836" width="9" style="214"/>
    <col min="2837" max="2837" width="1.875" style="214" customWidth="1"/>
    <col min="2838" max="2838" width="12.375" style="214" customWidth="1"/>
    <col min="2839" max="2839" width="11.625" style="214" customWidth="1"/>
    <col min="2840" max="3072" width="9" style="214"/>
    <col min="3073" max="3073" width="2.375" style="214" customWidth="1"/>
    <col min="3074" max="3074" width="11.875" style="214" customWidth="1"/>
    <col min="3075" max="3075" width="13" style="214" customWidth="1"/>
    <col min="3076" max="3077" width="11.625" style="214" customWidth="1"/>
    <col min="3078" max="3078" width="11.375" style="214" customWidth="1"/>
    <col min="3079" max="3079" width="11.625" style="214" customWidth="1"/>
    <col min="3080" max="3080" width="10.875" style="214" customWidth="1"/>
    <col min="3081" max="3081" width="12.75" style="214" customWidth="1"/>
    <col min="3082" max="3082" width="13.125" style="214" customWidth="1"/>
    <col min="3083" max="3083" width="9.875" style="214" customWidth="1"/>
    <col min="3084" max="3084" width="12" style="214" bestFit="1" customWidth="1"/>
    <col min="3085" max="3086" width="5.25" style="214" customWidth="1"/>
    <col min="3087" max="3087" width="9" style="214"/>
    <col min="3088" max="3088" width="10.25" style="214" customWidth="1"/>
    <col min="3089" max="3089" width="10.75" style="214" customWidth="1"/>
    <col min="3090" max="3091" width="12.875" style="214" customWidth="1"/>
    <col min="3092" max="3092" width="9" style="214"/>
    <col min="3093" max="3093" width="1.875" style="214" customWidth="1"/>
    <col min="3094" max="3094" width="12.375" style="214" customWidth="1"/>
    <col min="3095" max="3095" width="11.625" style="214" customWidth="1"/>
    <col min="3096" max="3328" width="9" style="214"/>
    <col min="3329" max="3329" width="2.375" style="214" customWidth="1"/>
    <col min="3330" max="3330" width="11.875" style="214" customWidth="1"/>
    <col min="3331" max="3331" width="13" style="214" customWidth="1"/>
    <col min="3332" max="3333" width="11.625" style="214" customWidth="1"/>
    <col min="3334" max="3334" width="11.375" style="214" customWidth="1"/>
    <col min="3335" max="3335" width="11.625" style="214" customWidth="1"/>
    <col min="3336" max="3336" width="10.875" style="214" customWidth="1"/>
    <col min="3337" max="3337" width="12.75" style="214" customWidth="1"/>
    <col min="3338" max="3338" width="13.125" style="214" customWidth="1"/>
    <col min="3339" max="3339" width="9.875" style="214" customWidth="1"/>
    <col min="3340" max="3340" width="12" style="214" bestFit="1" customWidth="1"/>
    <col min="3341" max="3342" width="5.25" style="214" customWidth="1"/>
    <col min="3343" max="3343" width="9" style="214"/>
    <col min="3344" max="3344" width="10.25" style="214" customWidth="1"/>
    <col min="3345" max="3345" width="10.75" style="214" customWidth="1"/>
    <col min="3346" max="3347" width="12.875" style="214" customWidth="1"/>
    <col min="3348" max="3348" width="9" style="214"/>
    <col min="3349" max="3349" width="1.875" style="214" customWidth="1"/>
    <col min="3350" max="3350" width="12.375" style="214" customWidth="1"/>
    <col min="3351" max="3351" width="11.625" style="214" customWidth="1"/>
    <col min="3352" max="3584" width="9" style="214"/>
    <col min="3585" max="3585" width="2.375" style="214" customWidth="1"/>
    <col min="3586" max="3586" width="11.875" style="214" customWidth="1"/>
    <col min="3587" max="3587" width="13" style="214" customWidth="1"/>
    <col min="3588" max="3589" width="11.625" style="214" customWidth="1"/>
    <col min="3590" max="3590" width="11.375" style="214" customWidth="1"/>
    <col min="3591" max="3591" width="11.625" style="214" customWidth="1"/>
    <col min="3592" max="3592" width="10.875" style="214" customWidth="1"/>
    <col min="3593" max="3593" width="12.75" style="214" customWidth="1"/>
    <col min="3594" max="3594" width="13.125" style="214" customWidth="1"/>
    <col min="3595" max="3595" width="9.875" style="214" customWidth="1"/>
    <col min="3596" max="3596" width="12" style="214" bestFit="1" customWidth="1"/>
    <col min="3597" max="3598" width="5.25" style="214" customWidth="1"/>
    <col min="3599" max="3599" width="9" style="214"/>
    <col min="3600" max="3600" width="10.25" style="214" customWidth="1"/>
    <col min="3601" max="3601" width="10.75" style="214" customWidth="1"/>
    <col min="3602" max="3603" width="12.875" style="214" customWidth="1"/>
    <col min="3604" max="3604" width="9" style="214"/>
    <col min="3605" max="3605" width="1.875" style="214" customWidth="1"/>
    <col min="3606" max="3606" width="12.375" style="214" customWidth="1"/>
    <col min="3607" max="3607" width="11.625" style="214" customWidth="1"/>
    <col min="3608" max="3840" width="9" style="214"/>
    <col min="3841" max="3841" width="2.375" style="214" customWidth="1"/>
    <col min="3842" max="3842" width="11.875" style="214" customWidth="1"/>
    <col min="3843" max="3843" width="13" style="214" customWidth="1"/>
    <col min="3844" max="3845" width="11.625" style="214" customWidth="1"/>
    <col min="3846" max="3846" width="11.375" style="214" customWidth="1"/>
    <col min="3847" max="3847" width="11.625" style="214" customWidth="1"/>
    <col min="3848" max="3848" width="10.875" style="214" customWidth="1"/>
    <col min="3849" max="3849" width="12.75" style="214" customWidth="1"/>
    <col min="3850" max="3850" width="13.125" style="214" customWidth="1"/>
    <col min="3851" max="3851" width="9.875" style="214" customWidth="1"/>
    <col min="3852" max="3852" width="12" style="214" bestFit="1" customWidth="1"/>
    <col min="3853" max="3854" width="5.25" style="214" customWidth="1"/>
    <col min="3855" max="3855" width="9" style="214"/>
    <col min="3856" max="3856" width="10.25" style="214" customWidth="1"/>
    <col min="3857" max="3857" width="10.75" style="214" customWidth="1"/>
    <col min="3858" max="3859" width="12.875" style="214" customWidth="1"/>
    <col min="3860" max="3860" width="9" style="214"/>
    <col min="3861" max="3861" width="1.875" style="214" customWidth="1"/>
    <col min="3862" max="3862" width="12.375" style="214" customWidth="1"/>
    <col min="3863" max="3863" width="11.625" style="214" customWidth="1"/>
    <col min="3864" max="4096" width="9" style="214"/>
    <col min="4097" max="4097" width="2.375" style="214" customWidth="1"/>
    <col min="4098" max="4098" width="11.875" style="214" customWidth="1"/>
    <col min="4099" max="4099" width="13" style="214" customWidth="1"/>
    <col min="4100" max="4101" width="11.625" style="214" customWidth="1"/>
    <col min="4102" max="4102" width="11.375" style="214" customWidth="1"/>
    <col min="4103" max="4103" width="11.625" style="214" customWidth="1"/>
    <col min="4104" max="4104" width="10.875" style="214" customWidth="1"/>
    <col min="4105" max="4105" width="12.75" style="214" customWidth="1"/>
    <col min="4106" max="4106" width="13.125" style="214" customWidth="1"/>
    <col min="4107" max="4107" width="9.875" style="214" customWidth="1"/>
    <col min="4108" max="4108" width="12" style="214" bestFit="1" customWidth="1"/>
    <col min="4109" max="4110" width="5.25" style="214" customWidth="1"/>
    <col min="4111" max="4111" width="9" style="214"/>
    <col min="4112" max="4112" width="10.25" style="214" customWidth="1"/>
    <col min="4113" max="4113" width="10.75" style="214" customWidth="1"/>
    <col min="4114" max="4115" width="12.875" style="214" customWidth="1"/>
    <col min="4116" max="4116" width="9" style="214"/>
    <col min="4117" max="4117" width="1.875" style="214" customWidth="1"/>
    <col min="4118" max="4118" width="12.375" style="214" customWidth="1"/>
    <col min="4119" max="4119" width="11.625" style="214" customWidth="1"/>
    <col min="4120" max="4352" width="9" style="214"/>
    <col min="4353" max="4353" width="2.375" style="214" customWidth="1"/>
    <col min="4354" max="4354" width="11.875" style="214" customWidth="1"/>
    <col min="4355" max="4355" width="13" style="214" customWidth="1"/>
    <col min="4356" max="4357" width="11.625" style="214" customWidth="1"/>
    <col min="4358" max="4358" width="11.375" style="214" customWidth="1"/>
    <col min="4359" max="4359" width="11.625" style="214" customWidth="1"/>
    <col min="4360" max="4360" width="10.875" style="214" customWidth="1"/>
    <col min="4361" max="4361" width="12.75" style="214" customWidth="1"/>
    <col min="4362" max="4362" width="13.125" style="214" customWidth="1"/>
    <col min="4363" max="4363" width="9.875" style="214" customWidth="1"/>
    <col min="4364" max="4364" width="12" style="214" bestFit="1" customWidth="1"/>
    <col min="4365" max="4366" width="5.25" style="214" customWidth="1"/>
    <col min="4367" max="4367" width="9" style="214"/>
    <col min="4368" max="4368" width="10.25" style="214" customWidth="1"/>
    <col min="4369" max="4369" width="10.75" style="214" customWidth="1"/>
    <col min="4370" max="4371" width="12.875" style="214" customWidth="1"/>
    <col min="4372" max="4372" width="9" style="214"/>
    <col min="4373" max="4373" width="1.875" style="214" customWidth="1"/>
    <col min="4374" max="4374" width="12.375" style="214" customWidth="1"/>
    <col min="4375" max="4375" width="11.625" style="214" customWidth="1"/>
    <col min="4376" max="4608" width="9" style="214"/>
    <col min="4609" max="4609" width="2.375" style="214" customWidth="1"/>
    <col min="4610" max="4610" width="11.875" style="214" customWidth="1"/>
    <col min="4611" max="4611" width="13" style="214" customWidth="1"/>
    <col min="4612" max="4613" width="11.625" style="214" customWidth="1"/>
    <col min="4614" max="4614" width="11.375" style="214" customWidth="1"/>
    <col min="4615" max="4615" width="11.625" style="214" customWidth="1"/>
    <col min="4616" max="4616" width="10.875" style="214" customWidth="1"/>
    <col min="4617" max="4617" width="12.75" style="214" customWidth="1"/>
    <col min="4618" max="4618" width="13.125" style="214" customWidth="1"/>
    <col min="4619" max="4619" width="9.875" style="214" customWidth="1"/>
    <col min="4620" max="4620" width="12" style="214" bestFit="1" customWidth="1"/>
    <col min="4621" max="4622" width="5.25" style="214" customWidth="1"/>
    <col min="4623" max="4623" width="9" style="214"/>
    <col min="4624" max="4624" width="10.25" style="214" customWidth="1"/>
    <col min="4625" max="4625" width="10.75" style="214" customWidth="1"/>
    <col min="4626" max="4627" width="12.875" style="214" customWidth="1"/>
    <col min="4628" max="4628" width="9" style="214"/>
    <col min="4629" max="4629" width="1.875" style="214" customWidth="1"/>
    <col min="4630" max="4630" width="12.375" style="214" customWidth="1"/>
    <col min="4631" max="4631" width="11.625" style="214" customWidth="1"/>
    <col min="4632" max="4864" width="9" style="214"/>
    <col min="4865" max="4865" width="2.375" style="214" customWidth="1"/>
    <col min="4866" max="4866" width="11.875" style="214" customWidth="1"/>
    <col min="4867" max="4867" width="13" style="214" customWidth="1"/>
    <col min="4868" max="4869" width="11.625" style="214" customWidth="1"/>
    <col min="4870" max="4870" width="11.375" style="214" customWidth="1"/>
    <col min="4871" max="4871" width="11.625" style="214" customWidth="1"/>
    <col min="4872" max="4872" width="10.875" style="214" customWidth="1"/>
    <col min="4873" max="4873" width="12.75" style="214" customWidth="1"/>
    <col min="4874" max="4874" width="13.125" style="214" customWidth="1"/>
    <col min="4875" max="4875" width="9.875" style="214" customWidth="1"/>
    <col min="4876" max="4876" width="12" style="214" bestFit="1" customWidth="1"/>
    <col min="4877" max="4878" width="5.25" style="214" customWidth="1"/>
    <col min="4879" max="4879" width="9" style="214"/>
    <col min="4880" max="4880" width="10.25" style="214" customWidth="1"/>
    <col min="4881" max="4881" width="10.75" style="214" customWidth="1"/>
    <col min="4882" max="4883" width="12.875" style="214" customWidth="1"/>
    <col min="4884" max="4884" width="9" style="214"/>
    <col min="4885" max="4885" width="1.875" style="214" customWidth="1"/>
    <col min="4886" max="4886" width="12.375" style="214" customWidth="1"/>
    <col min="4887" max="4887" width="11.625" style="214" customWidth="1"/>
    <col min="4888" max="5120" width="9" style="214"/>
    <col min="5121" max="5121" width="2.375" style="214" customWidth="1"/>
    <col min="5122" max="5122" width="11.875" style="214" customWidth="1"/>
    <col min="5123" max="5123" width="13" style="214" customWidth="1"/>
    <col min="5124" max="5125" width="11.625" style="214" customWidth="1"/>
    <col min="5126" max="5126" width="11.375" style="214" customWidth="1"/>
    <col min="5127" max="5127" width="11.625" style="214" customWidth="1"/>
    <col min="5128" max="5128" width="10.875" style="214" customWidth="1"/>
    <col min="5129" max="5129" width="12.75" style="214" customWidth="1"/>
    <col min="5130" max="5130" width="13.125" style="214" customWidth="1"/>
    <col min="5131" max="5131" width="9.875" style="214" customWidth="1"/>
    <col min="5132" max="5132" width="12" style="214" bestFit="1" customWidth="1"/>
    <col min="5133" max="5134" width="5.25" style="214" customWidth="1"/>
    <col min="5135" max="5135" width="9" style="214"/>
    <col min="5136" max="5136" width="10.25" style="214" customWidth="1"/>
    <col min="5137" max="5137" width="10.75" style="214" customWidth="1"/>
    <col min="5138" max="5139" width="12.875" style="214" customWidth="1"/>
    <col min="5140" max="5140" width="9" style="214"/>
    <col min="5141" max="5141" width="1.875" style="214" customWidth="1"/>
    <col min="5142" max="5142" width="12.375" style="214" customWidth="1"/>
    <col min="5143" max="5143" width="11.625" style="214" customWidth="1"/>
    <col min="5144" max="5376" width="9" style="214"/>
    <col min="5377" max="5377" width="2.375" style="214" customWidth="1"/>
    <col min="5378" max="5378" width="11.875" style="214" customWidth="1"/>
    <col min="5379" max="5379" width="13" style="214" customWidth="1"/>
    <col min="5380" max="5381" width="11.625" style="214" customWidth="1"/>
    <col min="5382" max="5382" width="11.375" style="214" customWidth="1"/>
    <col min="5383" max="5383" width="11.625" style="214" customWidth="1"/>
    <col min="5384" max="5384" width="10.875" style="214" customWidth="1"/>
    <col min="5385" max="5385" width="12.75" style="214" customWidth="1"/>
    <col min="5386" max="5386" width="13.125" style="214" customWidth="1"/>
    <col min="5387" max="5387" width="9.875" style="214" customWidth="1"/>
    <col min="5388" max="5388" width="12" style="214" bestFit="1" customWidth="1"/>
    <col min="5389" max="5390" width="5.25" style="214" customWidth="1"/>
    <col min="5391" max="5391" width="9" style="214"/>
    <col min="5392" max="5392" width="10.25" style="214" customWidth="1"/>
    <col min="5393" max="5393" width="10.75" style="214" customWidth="1"/>
    <col min="5394" max="5395" width="12.875" style="214" customWidth="1"/>
    <col min="5396" max="5396" width="9" style="214"/>
    <col min="5397" max="5397" width="1.875" style="214" customWidth="1"/>
    <col min="5398" max="5398" width="12.375" style="214" customWidth="1"/>
    <col min="5399" max="5399" width="11.625" style="214" customWidth="1"/>
    <col min="5400" max="5632" width="9" style="214"/>
    <col min="5633" max="5633" width="2.375" style="214" customWidth="1"/>
    <col min="5634" max="5634" width="11.875" style="214" customWidth="1"/>
    <col min="5635" max="5635" width="13" style="214" customWidth="1"/>
    <col min="5636" max="5637" width="11.625" style="214" customWidth="1"/>
    <col min="5638" max="5638" width="11.375" style="214" customWidth="1"/>
    <col min="5639" max="5639" width="11.625" style="214" customWidth="1"/>
    <col min="5640" max="5640" width="10.875" style="214" customWidth="1"/>
    <col min="5641" max="5641" width="12.75" style="214" customWidth="1"/>
    <col min="5642" max="5642" width="13.125" style="214" customWidth="1"/>
    <col min="5643" max="5643" width="9.875" style="214" customWidth="1"/>
    <col min="5644" max="5644" width="12" style="214" bestFit="1" customWidth="1"/>
    <col min="5645" max="5646" width="5.25" style="214" customWidth="1"/>
    <col min="5647" max="5647" width="9" style="214"/>
    <col min="5648" max="5648" width="10.25" style="214" customWidth="1"/>
    <col min="5649" max="5649" width="10.75" style="214" customWidth="1"/>
    <col min="5650" max="5651" width="12.875" style="214" customWidth="1"/>
    <col min="5652" max="5652" width="9" style="214"/>
    <col min="5653" max="5653" width="1.875" style="214" customWidth="1"/>
    <col min="5654" max="5654" width="12.375" style="214" customWidth="1"/>
    <col min="5655" max="5655" width="11.625" style="214" customWidth="1"/>
    <col min="5656" max="5888" width="9" style="214"/>
    <col min="5889" max="5889" width="2.375" style="214" customWidth="1"/>
    <col min="5890" max="5890" width="11.875" style="214" customWidth="1"/>
    <col min="5891" max="5891" width="13" style="214" customWidth="1"/>
    <col min="5892" max="5893" width="11.625" style="214" customWidth="1"/>
    <col min="5894" max="5894" width="11.375" style="214" customWidth="1"/>
    <col min="5895" max="5895" width="11.625" style="214" customWidth="1"/>
    <col min="5896" max="5896" width="10.875" style="214" customWidth="1"/>
    <col min="5897" max="5897" width="12.75" style="214" customWidth="1"/>
    <col min="5898" max="5898" width="13.125" style="214" customWidth="1"/>
    <col min="5899" max="5899" width="9.875" style="214" customWidth="1"/>
    <col min="5900" max="5900" width="12" style="214" bestFit="1" customWidth="1"/>
    <col min="5901" max="5902" width="5.25" style="214" customWidth="1"/>
    <col min="5903" max="5903" width="9" style="214"/>
    <col min="5904" max="5904" width="10.25" style="214" customWidth="1"/>
    <col min="5905" max="5905" width="10.75" style="214" customWidth="1"/>
    <col min="5906" max="5907" width="12.875" style="214" customWidth="1"/>
    <col min="5908" max="5908" width="9" style="214"/>
    <col min="5909" max="5909" width="1.875" style="214" customWidth="1"/>
    <col min="5910" max="5910" width="12.375" style="214" customWidth="1"/>
    <col min="5911" max="5911" width="11.625" style="214" customWidth="1"/>
    <col min="5912" max="6144" width="9" style="214"/>
    <col min="6145" max="6145" width="2.375" style="214" customWidth="1"/>
    <col min="6146" max="6146" width="11.875" style="214" customWidth="1"/>
    <col min="6147" max="6147" width="13" style="214" customWidth="1"/>
    <col min="6148" max="6149" width="11.625" style="214" customWidth="1"/>
    <col min="6150" max="6150" width="11.375" style="214" customWidth="1"/>
    <col min="6151" max="6151" width="11.625" style="214" customWidth="1"/>
    <col min="6152" max="6152" width="10.875" style="214" customWidth="1"/>
    <col min="6153" max="6153" width="12.75" style="214" customWidth="1"/>
    <col min="6154" max="6154" width="13.125" style="214" customWidth="1"/>
    <col min="6155" max="6155" width="9.875" style="214" customWidth="1"/>
    <col min="6156" max="6156" width="12" style="214" bestFit="1" customWidth="1"/>
    <col min="6157" max="6158" width="5.25" style="214" customWidth="1"/>
    <col min="6159" max="6159" width="9" style="214"/>
    <col min="6160" max="6160" width="10.25" style="214" customWidth="1"/>
    <col min="6161" max="6161" width="10.75" style="214" customWidth="1"/>
    <col min="6162" max="6163" width="12.875" style="214" customWidth="1"/>
    <col min="6164" max="6164" width="9" style="214"/>
    <col min="6165" max="6165" width="1.875" style="214" customWidth="1"/>
    <col min="6166" max="6166" width="12.375" style="214" customWidth="1"/>
    <col min="6167" max="6167" width="11.625" style="214" customWidth="1"/>
    <col min="6168" max="6400" width="9" style="214"/>
    <col min="6401" max="6401" width="2.375" style="214" customWidth="1"/>
    <col min="6402" max="6402" width="11.875" style="214" customWidth="1"/>
    <col min="6403" max="6403" width="13" style="214" customWidth="1"/>
    <col min="6404" max="6405" width="11.625" style="214" customWidth="1"/>
    <col min="6406" max="6406" width="11.375" style="214" customWidth="1"/>
    <col min="6407" max="6407" width="11.625" style="214" customWidth="1"/>
    <col min="6408" max="6408" width="10.875" style="214" customWidth="1"/>
    <col min="6409" max="6409" width="12.75" style="214" customWidth="1"/>
    <col min="6410" max="6410" width="13.125" style="214" customWidth="1"/>
    <col min="6411" max="6411" width="9.875" style="214" customWidth="1"/>
    <col min="6412" max="6412" width="12" style="214" bestFit="1" customWidth="1"/>
    <col min="6413" max="6414" width="5.25" style="214" customWidth="1"/>
    <col min="6415" max="6415" width="9" style="214"/>
    <col min="6416" max="6416" width="10.25" style="214" customWidth="1"/>
    <col min="6417" max="6417" width="10.75" style="214" customWidth="1"/>
    <col min="6418" max="6419" width="12.875" style="214" customWidth="1"/>
    <col min="6420" max="6420" width="9" style="214"/>
    <col min="6421" max="6421" width="1.875" style="214" customWidth="1"/>
    <col min="6422" max="6422" width="12.375" style="214" customWidth="1"/>
    <col min="6423" max="6423" width="11.625" style="214" customWidth="1"/>
    <col min="6424" max="6656" width="9" style="214"/>
    <col min="6657" max="6657" width="2.375" style="214" customWidth="1"/>
    <col min="6658" max="6658" width="11.875" style="214" customWidth="1"/>
    <col min="6659" max="6659" width="13" style="214" customWidth="1"/>
    <col min="6660" max="6661" width="11.625" style="214" customWidth="1"/>
    <col min="6662" max="6662" width="11.375" style="214" customWidth="1"/>
    <col min="6663" max="6663" width="11.625" style="214" customWidth="1"/>
    <col min="6664" max="6664" width="10.875" style="214" customWidth="1"/>
    <col min="6665" max="6665" width="12.75" style="214" customWidth="1"/>
    <col min="6666" max="6666" width="13.125" style="214" customWidth="1"/>
    <col min="6667" max="6667" width="9.875" style="214" customWidth="1"/>
    <col min="6668" max="6668" width="12" style="214" bestFit="1" customWidth="1"/>
    <col min="6669" max="6670" width="5.25" style="214" customWidth="1"/>
    <col min="6671" max="6671" width="9" style="214"/>
    <col min="6672" max="6672" width="10.25" style="214" customWidth="1"/>
    <col min="6673" max="6673" width="10.75" style="214" customWidth="1"/>
    <col min="6674" max="6675" width="12.875" style="214" customWidth="1"/>
    <col min="6676" max="6676" width="9" style="214"/>
    <col min="6677" max="6677" width="1.875" style="214" customWidth="1"/>
    <col min="6678" max="6678" width="12.375" style="214" customWidth="1"/>
    <col min="6679" max="6679" width="11.625" style="214" customWidth="1"/>
    <col min="6680" max="6912" width="9" style="214"/>
    <col min="6913" max="6913" width="2.375" style="214" customWidth="1"/>
    <col min="6914" max="6914" width="11.875" style="214" customWidth="1"/>
    <col min="6915" max="6915" width="13" style="214" customWidth="1"/>
    <col min="6916" max="6917" width="11.625" style="214" customWidth="1"/>
    <col min="6918" max="6918" width="11.375" style="214" customWidth="1"/>
    <col min="6919" max="6919" width="11.625" style="214" customWidth="1"/>
    <col min="6920" max="6920" width="10.875" style="214" customWidth="1"/>
    <col min="6921" max="6921" width="12.75" style="214" customWidth="1"/>
    <col min="6922" max="6922" width="13.125" style="214" customWidth="1"/>
    <col min="6923" max="6923" width="9.875" style="214" customWidth="1"/>
    <col min="6924" max="6924" width="12" style="214" bestFit="1" customWidth="1"/>
    <col min="6925" max="6926" width="5.25" style="214" customWidth="1"/>
    <col min="6927" max="6927" width="9" style="214"/>
    <col min="6928" max="6928" width="10.25" style="214" customWidth="1"/>
    <col min="6929" max="6929" width="10.75" style="214" customWidth="1"/>
    <col min="6930" max="6931" width="12.875" style="214" customWidth="1"/>
    <col min="6932" max="6932" width="9" style="214"/>
    <col min="6933" max="6933" width="1.875" style="214" customWidth="1"/>
    <col min="6934" max="6934" width="12.375" style="214" customWidth="1"/>
    <col min="6935" max="6935" width="11.625" style="214" customWidth="1"/>
    <col min="6936" max="7168" width="9" style="214"/>
    <col min="7169" max="7169" width="2.375" style="214" customWidth="1"/>
    <col min="7170" max="7170" width="11.875" style="214" customWidth="1"/>
    <col min="7171" max="7171" width="13" style="214" customWidth="1"/>
    <col min="7172" max="7173" width="11.625" style="214" customWidth="1"/>
    <col min="7174" max="7174" width="11.375" style="214" customWidth="1"/>
    <col min="7175" max="7175" width="11.625" style="214" customWidth="1"/>
    <col min="7176" max="7176" width="10.875" style="214" customWidth="1"/>
    <col min="7177" max="7177" width="12.75" style="214" customWidth="1"/>
    <col min="7178" max="7178" width="13.125" style="214" customWidth="1"/>
    <col min="7179" max="7179" width="9.875" style="214" customWidth="1"/>
    <col min="7180" max="7180" width="12" style="214" bestFit="1" customWidth="1"/>
    <col min="7181" max="7182" width="5.25" style="214" customWidth="1"/>
    <col min="7183" max="7183" width="9" style="214"/>
    <col min="7184" max="7184" width="10.25" style="214" customWidth="1"/>
    <col min="7185" max="7185" width="10.75" style="214" customWidth="1"/>
    <col min="7186" max="7187" width="12.875" style="214" customWidth="1"/>
    <col min="7188" max="7188" width="9" style="214"/>
    <col min="7189" max="7189" width="1.875" style="214" customWidth="1"/>
    <col min="7190" max="7190" width="12.375" style="214" customWidth="1"/>
    <col min="7191" max="7191" width="11.625" style="214" customWidth="1"/>
    <col min="7192" max="7424" width="9" style="214"/>
    <col min="7425" max="7425" width="2.375" style="214" customWidth="1"/>
    <col min="7426" max="7426" width="11.875" style="214" customWidth="1"/>
    <col min="7427" max="7427" width="13" style="214" customWidth="1"/>
    <col min="7428" max="7429" width="11.625" style="214" customWidth="1"/>
    <col min="7430" max="7430" width="11.375" style="214" customWidth="1"/>
    <col min="7431" max="7431" width="11.625" style="214" customWidth="1"/>
    <col min="7432" max="7432" width="10.875" style="214" customWidth="1"/>
    <col min="7433" max="7433" width="12.75" style="214" customWidth="1"/>
    <col min="7434" max="7434" width="13.125" style="214" customWidth="1"/>
    <col min="7435" max="7435" width="9.875" style="214" customWidth="1"/>
    <col min="7436" max="7436" width="12" style="214" bestFit="1" customWidth="1"/>
    <col min="7437" max="7438" width="5.25" style="214" customWidth="1"/>
    <col min="7439" max="7439" width="9" style="214"/>
    <col min="7440" max="7440" width="10.25" style="214" customWidth="1"/>
    <col min="7441" max="7441" width="10.75" style="214" customWidth="1"/>
    <col min="7442" max="7443" width="12.875" style="214" customWidth="1"/>
    <col min="7444" max="7444" width="9" style="214"/>
    <col min="7445" max="7445" width="1.875" style="214" customWidth="1"/>
    <col min="7446" max="7446" width="12.375" style="214" customWidth="1"/>
    <col min="7447" max="7447" width="11.625" style="214" customWidth="1"/>
    <col min="7448" max="7680" width="9" style="214"/>
    <col min="7681" max="7681" width="2.375" style="214" customWidth="1"/>
    <col min="7682" max="7682" width="11.875" style="214" customWidth="1"/>
    <col min="7683" max="7683" width="13" style="214" customWidth="1"/>
    <col min="7684" max="7685" width="11.625" style="214" customWidth="1"/>
    <col min="7686" max="7686" width="11.375" style="214" customWidth="1"/>
    <col min="7687" max="7687" width="11.625" style="214" customWidth="1"/>
    <col min="7688" max="7688" width="10.875" style="214" customWidth="1"/>
    <col min="7689" max="7689" width="12.75" style="214" customWidth="1"/>
    <col min="7690" max="7690" width="13.125" style="214" customWidth="1"/>
    <col min="7691" max="7691" width="9.875" style="214" customWidth="1"/>
    <col min="7692" max="7692" width="12" style="214" bestFit="1" customWidth="1"/>
    <col min="7693" max="7694" width="5.25" style="214" customWidth="1"/>
    <col min="7695" max="7695" width="9" style="214"/>
    <col min="7696" max="7696" width="10.25" style="214" customWidth="1"/>
    <col min="7697" max="7697" width="10.75" style="214" customWidth="1"/>
    <col min="7698" max="7699" width="12.875" style="214" customWidth="1"/>
    <col min="7700" max="7700" width="9" style="214"/>
    <col min="7701" max="7701" width="1.875" style="214" customWidth="1"/>
    <col min="7702" max="7702" width="12.375" style="214" customWidth="1"/>
    <col min="7703" max="7703" width="11.625" style="214" customWidth="1"/>
    <col min="7704" max="7936" width="9" style="214"/>
    <col min="7937" max="7937" width="2.375" style="214" customWidth="1"/>
    <col min="7938" max="7938" width="11.875" style="214" customWidth="1"/>
    <col min="7939" max="7939" width="13" style="214" customWidth="1"/>
    <col min="7940" max="7941" width="11.625" style="214" customWidth="1"/>
    <col min="7942" max="7942" width="11.375" style="214" customWidth="1"/>
    <col min="7943" max="7943" width="11.625" style="214" customWidth="1"/>
    <col min="7944" max="7944" width="10.875" style="214" customWidth="1"/>
    <col min="7945" max="7945" width="12.75" style="214" customWidth="1"/>
    <col min="7946" max="7946" width="13.125" style="214" customWidth="1"/>
    <col min="7947" max="7947" width="9.875" style="214" customWidth="1"/>
    <col min="7948" max="7948" width="12" style="214" bestFit="1" customWidth="1"/>
    <col min="7949" max="7950" width="5.25" style="214" customWidth="1"/>
    <col min="7951" max="7951" width="9" style="214"/>
    <col min="7952" max="7952" width="10.25" style="214" customWidth="1"/>
    <col min="7953" max="7953" width="10.75" style="214" customWidth="1"/>
    <col min="7954" max="7955" width="12.875" style="214" customWidth="1"/>
    <col min="7956" max="7956" width="9" style="214"/>
    <col min="7957" max="7957" width="1.875" style="214" customWidth="1"/>
    <col min="7958" max="7958" width="12.375" style="214" customWidth="1"/>
    <col min="7959" max="7959" width="11.625" style="214" customWidth="1"/>
    <col min="7960" max="8192" width="9" style="214"/>
    <col min="8193" max="8193" width="2.375" style="214" customWidth="1"/>
    <col min="8194" max="8194" width="11.875" style="214" customWidth="1"/>
    <col min="8195" max="8195" width="13" style="214" customWidth="1"/>
    <col min="8196" max="8197" width="11.625" style="214" customWidth="1"/>
    <col min="8198" max="8198" width="11.375" style="214" customWidth="1"/>
    <col min="8199" max="8199" width="11.625" style="214" customWidth="1"/>
    <col min="8200" max="8200" width="10.875" style="214" customWidth="1"/>
    <col min="8201" max="8201" width="12.75" style="214" customWidth="1"/>
    <col min="8202" max="8202" width="13.125" style="214" customWidth="1"/>
    <col min="8203" max="8203" width="9.875" style="214" customWidth="1"/>
    <col min="8204" max="8204" width="12" style="214" bestFit="1" customWidth="1"/>
    <col min="8205" max="8206" width="5.25" style="214" customWidth="1"/>
    <col min="8207" max="8207" width="9" style="214"/>
    <col min="8208" max="8208" width="10.25" style="214" customWidth="1"/>
    <col min="8209" max="8209" width="10.75" style="214" customWidth="1"/>
    <col min="8210" max="8211" width="12.875" style="214" customWidth="1"/>
    <col min="8212" max="8212" width="9" style="214"/>
    <col min="8213" max="8213" width="1.875" style="214" customWidth="1"/>
    <col min="8214" max="8214" width="12.375" style="214" customWidth="1"/>
    <col min="8215" max="8215" width="11.625" style="214" customWidth="1"/>
    <col min="8216" max="8448" width="9" style="214"/>
    <col min="8449" max="8449" width="2.375" style="214" customWidth="1"/>
    <col min="8450" max="8450" width="11.875" style="214" customWidth="1"/>
    <col min="8451" max="8451" width="13" style="214" customWidth="1"/>
    <col min="8452" max="8453" width="11.625" style="214" customWidth="1"/>
    <col min="8454" max="8454" width="11.375" style="214" customWidth="1"/>
    <col min="8455" max="8455" width="11.625" style="214" customWidth="1"/>
    <col min="8456" max="8456" width="10.875" style="214" customWidth="1"/>
    <col min="8457" max="8457" width="12.75" style="214" customWidth="1"/>
    <col min="8458" max="8458" width="13.125" style="214" customWidth="1"/>
    <col min="8459" max="8459" width="9.875" style="214" customWidth="1"/>
    <col min="8460" max="8460" width="12" style="214" bestFit="1" customWidth="1"/>
    <col min="8461" max="8462" width="5.25" style="214" customWidth="1"/>
    <col min="8463" max="8463" width="9" style="214"/>
    <col min="8464" max="8464" width="10.25" style="214" customWidth="1"/>
    <col min="8465" max="8465" width="10.75" style="214" customWidth="1"/>
    <col min="8466" max="8467" width="12.875" style="214" customWidth="1"/>
    <col min="8468" max="8468" width="9" style="214"/>
    <col min="8469" max="8469" width="1.875" style="214" customWidth="1"/>
    <col min="8470" max="8470" width="12.375" style="214" customWidth="1"/>
    <col min="8471" max="8471" width="11.625" style="214" customWidth="1"/>
    <col min="8472" max="8704" width="9" style="214"/>
    <col min="8705" max="8705" width="2.375" style="214" customWidth="1"/>
    <col min="8706" max="8706" width="11.875" style="214" customWidth="1"/>
    <col min="8707" max="8707" width="13" style="214" customWidth="1"/>
    <col min="8708" max="8709" width="11.625" style="214" customWidth="1"/>
    <col min="8710" max="8710" width="11.375" style="214" customWidth="1"/>
    <col min="8711" max="8711" width="11.625" style="214" customWidth="1"/>
    <col min="8712" max="8712" width="10.875" style="214" customWidth="1"/>
    <col min="8713" max="8713" width="12.75" style="214" customWidth="1"/>
    <col min="8714" max="8714" width="13.125" style="214" customWidth="1"/>
    <col min="8715" max="8715" width="9.875" style="214" customWidth="1"/>
    <col min="8716" max="8716" width="12" style="214" bestFit="1" customWidth="1"/>
    <col min="8717" max="8718" width="5.25" style="214" customWidth="1"/>
    <col min="8719" max="8719" width="9" style="214"/>
    <col min="8720" max="8720" width="10.25" style="214" customWidth="1"/>
    <col min="8721" max="8721" width="10.75" style="214" customWidth="1"/>
    <col min="8722" max="8723" width="12.875" style="214" customWidth="1"/>
    <col min="8724" max="8724" width="9" style="214"/>
    <col min="8725" max="8725" width="1.875" style="214" customWidth="1"/>
    <col min="8726" max="8726" width="12.375" style="214" customWidth="1"/>
    <col min="8727" max="8727" width="11.625" style="214" customWidth="1"/>
    <col min="8728" max="8960" width="9" style="214"/>
    <col min="8961" max="8961" width="2.375" style="214" customWidth="1"/>
    <col min="8962" max="8962" width="11.875" style="214" customWidth="1"/>
    <col min="8963" max="8963" width="13" style="214" customWidth="1"/>
    <col min="8964" max="8965" width="11.625" style="214" customWidth="1"/>
    <col min="8966" max="8966" width="11.375" style="214" customWidth="1"/>
    <col min="8967" max="8967" width="11.625" style="214" customWidth="1"/>
    <col min="8968" max="8968" width="10.875" style="214" customWidth="1"/>
    <col min="8969" max="8969" width="12.75" style="214" customWidth="1"/>
    <col min="8970" max="8970" width="13.125" style="214" customWidth="1"/>
    <col min="8971" max="8971" width="9.875" style="214" customWidth="1"/>
    <col min="8972" max="8972" width="12" style="214" bestFit="1" customWidth="1"/>
    <col min="8973" max="8974" width="5.25" style="214" customWidth="1"/>
    <col min="8975" max="8975" width="9" style="214"/>
    <col min="8976" max="8976" width="10.25" style="214" customWidth="1"/>
    <col min="8977" max="8977" width="10.75" style="214" customWidth="1"/>
    <col min="8978" max="8979" width="12.875" style="214" customWidth="1"/>
    <col min="8980" max="8980" width="9" style="214"/>
    <col min="8981" max="8981" width="1.875" style="214" customWidth="1"/>
    <col min="8982" max="8982" width="12.375" style="214" customWidth="1"/>
    <col min="8983" max="8983" width="11.625" style="214" customWidth="1"/>
    <col min="8984" max="9216" width="9" style="214"/>
    <col min="9217" max="9217" width="2.375" style="214" customWidth="1"/>
    <col min="9218" max="9218" width="11.875" style="214" customWidth="1"/>
    <col min="9219" max="9219" width="13" style="214" customWidth="1"/>
    <col min="9220" max="9221" width="11.625" style="214" customWidth="1"/>
    <col min="9222" max="9222" width="11.375" style="214" customWidth="1"/>
    <col min="9223" max="9223" width="11.625" style="214" customWidth="1"/>
    <col min="9224" max="9224" width="10.875" style="214" customWidth="1"/>
    <col min="9225" max="9225" width="12.75" style="214" customWidth="1"/>
    <col min="9226" max="9226" width="13.125" style="214" customWidth="1"/>
    <col min="9227" max="9227" width="9.875" style="214" customWidth="1"/>
    <col min="9228" max="9228" width="12" style="214" bestFit="1" customWidth="1"/>
    <col min="9229" max="9230" width="5.25" style="214" customWidth="1"/>
    <col min="9231" max="9231" width="9" style="214"/>
    <col min="9232" max="9232" width="10.25" style="214" customWidth="1"/>
    <col min="9233" max="9233" width="10.75" style="214" customWidth="1"/>
    <col min="9234" max="9235" width="12.875" style="214" customWidth="1"/>
    <col min="9236" max="9236" width="9" style="214"/>
    <col min="9237" max="9237" width="1.875" style="214" customWidth="1"/>
    <col min="9238" max="9238" width="12.375" style="214" customWidth="1"/>
    <col min="9239" max="9239" width="11.625" style="214" customWidth="1"/>
    <col min="9240" max="9472" width="9" style="214"/>
    <col min="9473" max="9473" width="2.375" style="214" customWidth="1"/>
    <col min="9474" max="9474" width="11.875" style="214" customWidth="1"/>
    <col min="9475" max="9475" width="13" style="214" customWidth="1"/>
    <col min="9476" max="9477" width="11.625" style="214" customWidth="1"/>
    <col min="9478" max="9478" width="11.375" style="214" customWidth="1"/>
    <col min="9479" max="9479" width="11.625" style="214" customWidth="1"/>
    <col min="9480" max="9480" width="10.875" style="214" customWidth="1"/>
    <col min="9481" max="9481" width="12.75" style="214" customWidth="1"/>
    <col min="9482" max="9482" width="13.125" style="214" customWidth="1"/>
    <col min="9483" max="9483" width="9.875" style="214" customWidth="1"/>
    <col min="9484" max="9484" width="12" style="214" bestFit="1" customWidth="1"/>
    <col min="9485" max="9486" width="5.25" style="214" customWidth="1"/>
    <col min="9487" max="9487" width="9" style="214"/>
    <col min="9488" max="9488" width="10.25" style="214" customWidth="1"/>
    <col min="9489" max="9489" width="10.75" style="214" customWidth="1"/>
    <col min="9490" max="9491" width="12.875" style="214" customWidth="1"/>
    <col min="9492" max="9492" width="9" style="214"/>
    <col min="9493" max="9493" width="1.875" style="214" customWidth="1"/>
    <col min="9494" max="9494" width="12.375" style="214" customWidth="1"/>
    <col min="9495" max="9495" width="11.625" style="214" customWidth="1"/>
    <col min="9496" max="9728" width="9" style="214"/>
    <col min="9729" max="9729" width="2.375" style="214" customWidth="1"/>
    <col min="9730" max="9730" width="11.875" style="214" customWidth="1"/>
    <col min="9731" max="9731" width="13" style="214" customWidth="1"/>
    <col min="9732" max="9733" width="11.625" style="214" customWidth="1"/>
    <col min="9734" max="9734" width="11.375" style="214" customWidth="1"/>
    <col min="9735" max="9735" width="11.625" style="214" customWidth="1"/>
    <col min="9736" max="9736" width="10.875" style="214" customWidth="1"/>
    <col min="9737" max="9737" width="12.75" style="214" customWidth="1"/>
    <col min="9738" max="9738" width="13.125" style="214" customWidth="1"/>
    <col min="9739" max="9739" width="9.875" style="214" customWidth="1"/>
    <col min="9740" max="9740" width="12" style="214" bestFit="1" customWidth="1"/>
    <col min="9741" max="9742" width="5.25" style="214" customWidth="1"/>
    <col min="9743" max="9743" width="9" style="214"/>
    <col min="9744" max="9744" width="10.25" style="214" customWidth="1"/>
    <col min="9745" max="9745" width="10.75" style="214" customWidth="1"/>
    <col min="9746" max="9747" width="12.875" style="214" customWidth="1"/>
    <col min="9748" max="9748" width="9" style="214"/>
    <col min="9749" max="9749" width="1.875" style="214" customWidth="1"/>
    <col min="9750" max="9750" width="12.375" style="214" customWidth="1"/>
    <col min="9751" max="9751" width="11.625" style="214" customWidth="1"/>
    <col min="9752" max="9984" width="9" style="214"/>
    <col min="9985" max="9985" width="2.375" style="214" customWidth="1"/>
    <col min="9986" max="9986" width="11.875" style="214" customWidth="1"/>
    <col min="9987" max="9987" width="13" style="214" customWidth="1"/>
    <col min="9988" max="9989" width="11.625" style="214" customWidth="1"/>
    <col min="9990" max="9990" width="11.375" style="214" customWidth="1"/>
    <col min="9991" max="9991" width="11.625" style="214" customWidth="1"/>
    <col min="9992" max="9992" width="10.875" style="214" customWidth="1"/>
    <col min="9993" max="9993" width="12.75" style="214" customWidth="1"/>
    <col min="9994" max="9994" width="13.125" style="214" customWidth="1"/>
    <col min="9995" max="9995" width="9.875" style="214" customWidth="1"/>
    <col min="9996" max="9996" width="12" style="214" bestFit="1" customWidth="1"/>
    <col min="9997" max="9998" width="5.25" style="214" customWidth="1"/>
    <col min="9999" max="9999" width="9" style="214"/>
    <col min="10000" max="10000" width="10.25" style="214" customWidth="1"/>
    <col min="10001" max="10001" width="10.75" style="214" customWidth="1"/>
    <col min="10002" max="10003" width="12.875" style="214" customWidth="1"/>
    <col min="10004" max="10004" width="9" style="214"/>
    <col min="10005" max="10005" width="1.875" style="214" customWidth="1"/>
    <col min="10006" max="10006" width="12.375" style="214" customWidth="1"/>
    <col min="10007" max="10007" width="11.625" style="214" customWidth="1"/>
    <col min="10008" max="10240" width="9" style="214"/>
    <col min="10241" max="10241" width="2.375" style="214" customWidth="1"/>
    <col min="10242" max="10242" width="11.875" style="214" customWidth="1"/>
    <col min="10243" max="10243" width="13" style="214" customWidth="1"/>
    <col min="10244" max="10245" width="11.625" style="214" customWidth="1"/>
    <col min="10246" max="10246" width="11.375" style="214" customWidth="1"/>
    <col min="10247" max="10247" width="11.625" style="214" customWidth="1"/>
    <col min="10248" max="10248" width="10.875" style="214" customWidth="1"/>
    <col min="10249" max="10249" width="12.75" style="214" customWidth="1"/>
    <col min="10250" max="10250" width="13.125" style="214" customWidth="1"/>
    <col min="10251" max="10251" width="9.875" style="214" customWidth="1"/>
    <col min="10252" max="10252" width="12" style="214" bestFit="1" customWidth="1"/>
    <col min="10253" max="10254" width="5.25" style="214" customWidth="1"/>
    <col min="10255" max="10255" width="9" style="214"/>
    <col min="10256" max="10256" width="10.25" style="214" customWidth="1"/>
    <col min="10257" max="10257" width="10.75" style="214" customWidth="1"/>
    <col min="10258" max="10259" width="12.875" style="214" customWidth="1"/>
    <col min="10260" max="10260" width="9" style="214"/>
    <col min="10261" max="10261" width="1.875" style="214" customWidth="1"/>
    <col min="10262" max="10262" width="12.375" style="214" customWidth="1"/>
    <col min="10263" max="10263" width="11.625" style="214" customWidth="1"/>
    <col min="10264" max="10496" width="9" style="214"/>
    <col min="10497" max="10497" width="2.375" style="214" customWidth="1"/>
    <col min="10498" max="10498" width="11.875" style="214" customWidth="1"/>
    <col min="10499" max="10499" width="13" style="214" customWidth="1"/>
    <col min="10500" max="10501" width="11.625" style="214" customWidth="1"/>
    <col min="10502" max="10502" width="11.375" style="214" customWidth="1"/>
    <col min="10503" max="10503" width="11.625" style="214" customWidth="1"/>
    <col min="10504" max="10504" width="10.875" style="214" customWidth="1"/>
    <col min="10505" max="10505" width="12.75" style="214" customWidth="1"/>
    <col min="10506" max="10506" width="13.125" style="214" customWidth="1"/>
    <col min="10507" max="10507" width="9.875" style="214" customWidth="1"/>
    <col min="10508" max="10508" width="12" style="214" bestFit="1" customWidth="1"/>
    <col min="10509" max="10510" width="5.25" style="214" customWidth="1"/>
    <col min="10511" max="10511" width="9" style="214"/>
    <col min="10512" max="10512" width="10.25" style="214" customWidth="1"/>
    <col min="10513" max="10513" width="10.75" style="214" customWidth="1"/>
    <col min="10514" max="10515" width="12.875" style="214" customWidth="1"/>
    <col min="10516" max="10516" width="9" style="214"/>
    <col min="10517" max="10517" width="1.875" style="214" customWidth="1"/>
    <col min="10518" max="10518" width="12.375" style="214" customWidth="1"/>
    <col min="10519" max="10519" width="11.625" style="214" customWidth="1"/>
    <col min="10520" max="10752" width="9" style="214"/>
    <col min="10753" max="10753" width="2.375" style="214" customWidth="1"/>
    <col min="10754" max="10754" width="11.875" style="214" customWidth="1"/>
    <col min="10755" max="10755" width="13" style="214" customWidth="1"/>
    <col min="10756" max="10757" width="11.625" style="214" customWidth="1"/>
    <col min="10758" max="10758" width="11.375" style="214" customWidth="1"/>
    <col min="10759" max="10759" width="11.625" style="214" customWidth="1"/>
    <col min="10760" max="10760" width="10.875" style="214" customWidth="1"/>
    <col min="10761" max="10761" width="12.75" style="214" customWidth="1"/>
    <col min="10762" max="10762" width="13.125" style="214" customWidth="1"/>
    <col min="10763" max="10763" width="9.875" style="214" customWidth="1"/>
    <col min="10764" max="10764" width="12" style="214" bestFit="1" customWidth="1"/>
    <col min="10765" max="10766" width="5.25" style="214" customWidth="1"/>
    <col min="10767" max="10767" width="9" style="214"/>
    <col min="10768" max="10768" width="10.25" style="214" customWidth="1"/>
    <col min="10769" max="10769" width="10.75" style="214" customWidth="1"/>
    <col min="10770" max="10771" width="12.875" style="214" customWidth="1"/>
    <col min="10772" max="10772" width="9" style="214"/>
    <col min="10773" max="10773" width="1.875" style="214" customWidth="1"/>
    <col min="10774" max="10774" width="12.375" style="214" customWidth="1"/>
    <col min="10775" max="10775" width="11.625" style="214" customWidth="1"/>
    <col min="10776" max="11008" width="9" style="214"/>
    <col min="11009" max="11009" width="2.375" style="214" customWidth="1"/>
    <col min="11010" max="11010" width="11.875" style="214" customWidth="1"/>
    <col min="11011" max="11011" width="13" style="214" customWidth="1"/>
    <col min="11012" max="11013" width="11.625" style="214" customWidth="1"/>
    <col min="11014" max="11014" width="11.375" style="214" customWidth="1"/>
    <col min="11015" max="11015" width="11.625" style="214" customWidth="1"/>
    <col min="11016" max="11016" width="10.875" style="214" customWidth="1"/>
    <col min="11017" max="11017" width="12.75" style="214" customWidth="1"/>
    <col min="11018" max="11018" width="13.125" style="214" customWidth="1"/>
    <col min="11019" max="11019" width="9.875" style="214" customWidth="1"/>
    <col min="11020" max="11020" width="12" style="214" bestFit="1" customWidth="1"/>
    <col min="11021" max="11022" width="5.25" style="214" customWidth="1"/>
    <col min="11023" max="11023" width="9" style="214"/>
    <col min="11024" max="11024" width="10.25" style="214" customWidth="1"/>
    <col min="11025" max="11025" width="10.75" style="214" customWidth="1"/>
    <col min="11026" max="11027" width="12.875" style="214" customWidth="1"/>
    <col min="11028" max="11028" width="9" style="214"/>
    <col min="11029" max="11029" width="1.875" style="214" customWidth="1"/>
    <col min="11030" max="11030" width="12.375" style="214" customWidth="1"/>
    <col min="11031" max="11031" width="11.625" style="214" customWidth="1"/>
    <col min="11032" max="11264" width="9" style="214"/>
    <col min="11265" max="11265" width="2.375" style="214" customWidth="1"/>
    <col min="11266" max="11266" width="11.875" style="214" customWidth="1"/>
    <col min="11267" max="11267" width="13" style="214" customWidth="1"/>
    <col min="11268" max="11269" width="11.625" style="214" customWidth="1"/>
    <col min="11270" max="11270" width="11.375" style="214" customWidth="1"/>
    <col min="11271" max="11271" width="11.625" style="214" customWidth="1"/>
    <col min="11272" max="11272" width="10.875" style="214" customWidth="1"/>
    <col min="11273" max="11273" width="12.75" style="214" customWidth="1"/>
    <col min="11274" max="11274" width="13.125" style="214" customWidth="1"/>
    <col min="11275" max="11275" width="9.875" style="214" customWidth="1"/>
    <col min="11276" max="11276" width="12" style="214" bestFit="1" customWidth="1"/>
    <col min="11277" max="11278" width="5.25" style="214" customWidth="1"/>
    <col min="11279" max="11279" width="9" style="214"/>
    <col min="11280" max="11280" width="10.25" style="214" customWidth="1"/>
    <col min="11281" max="11281" width="10.75" style="214" customWidth="1"/>
    <col min="11282" max="11283" width="12.875" style="214" customWidth="1"/>
    <col min="11284" max="11284" width="9" style="214"/>
    <col min="11285" max="11285" width="1.875" style="214" customWidth="1"/>
    <col min="11286" max="11286" width="12.375" style="214" customWidth="1"/>
    <col min="11287" max="11287" width="11.625" style="214" customWidth="1"/>
    <col min="11288" max="11520" width="9" style="214"/>
    <col min="11521" max="11521" width="2.375" style="214" customWidth="1"/>
    <col min="11522" max="11522" width="11.875" style="214" customWidth="1"/>
    <col min="11523" max="11523" width="13" style="214" customWidth="1"/>
    <col min="11524" max="11525" width="11.625" style="214" customWidth="1"/>
    <col min="11526" max="11526" width="11.375" style="214" customWidth="1"/>
    <col min="11527" max="11527" width="11.625" style="214" customWidth="1"/>
    <col min="11528" max="11528" width="10.875" style="214" customWidth="1"/>
    <col min="11529" max="11529" width="12.75" style="214" customWidth="1"/>
    <col min="11530" max="11530" width="13.125" style="214" customWidth="1"/>
    <col min="11531" max="11531" width="9.875" style="214" customWidth="1"/>
    <col min="11532" max="11532" width="12" style="214" bestFit="1" customWidth="1"/>
    <col min="11533" max="11534" width="5.25" style="214" customWidth="1"/>
    <col min="11535" max="11535" width="9" style="214"/>
    <col min="11536" max="11536" width="10.25" style="214" customWidth="1"/>
    <col min="11537" max="11537" width="10.75" style="214" customWidth="1"/>
    <col min="11538" max="11539" width="12.875" style="214" customWidth="1"/>
    <col min="11540" max="11540" width="9" style="214"/>
    <col min="11541" max="11541" width="1.875" style="214" customWidth="1"/>
    <col min="11542" max="11542" width="12.375" style="214" customWidth="1"/>
    <col min="11543" max="11543" width="11.625" style="214" customWidth="1"/>
    <col min="11544" max="11776" width="9" style="214"/>
    <col min="11777" max="11777" width="2.375" style="214" customWidth="1"/>
    <col min="11778" max="11778" width="11.875" style="214" customWidth="1"/>
    <col min="11779" max="11779" width="13" style="214" customWidth="1"/>
    <col min="11780" max="11781" width="11.625" style="214" customWidth="1"/>
    <col min="11782" max="11782" width="11.375" style="214" customWidth="1"/>
    <col min="11783" max="11783" width="11.625" style="214" customWidth="1"/>
    <col min="11784" max="11784" width="10.875" style="214" customWidth="1"/>
    <col min="11785" max="11785" width="12.75" style="214" customWidth="1"/>
    <col min="11786" max="11786" width="13.125" style="214" customWidth="1"/>
    <col min="11787" max="11787" width="9.875" style="214" customWidth="1"/>
    <col min="11788" max="11788" width="12" style="214" bestFit="1" customWidth="1"/>
    <col min="11789" max="11790" width="5.25" style="214" customWidth="1"/>
    <col min="11791" max="11791" width="9" style="214"/>
    <col min="11792" max="11792" width="10.25" style="214" customWidth="1"/>
    <col min="11793" max="11793" width="10.75" style="214" customWidth="1"/>
    <col min="11794" max="11795" width="12.875" style="214" customWidth="1"/>
    <col min="11796" max="11796" width="9" style="214"/>
    <col min="11797" max="11797" width="1.875" style="214" customWidth="1"/>
    <col min="11798" max="11798" width="12.375" style="214" customWidth="1"/>
    <col min="11799" max="11799" width="11.625" style="214" customWidth="1"/>
    <col min="11800" max="12032" width="9" style="214"/>
    <col min="12033" max="12033" width="2.375" style="214" customWidth="1"/>
    <col min="12034" max="12034" width="11.875" style="214" customWidth="1"/>
    <col min="12035" max="12035" width="13" style="214" customWidth="1"/>
    <col min="12036" max="12037" width="11.625" style="214" customWidth="1"/>
    <col min="12038" max="12038" width="11.375" style="214" customWidth="1"/>
    <col min="12039" max="12039" width="11.625" style="214" customWidth="1"/>
    <col min="12040" max="12040" width="10.875" style="214" customWidth="1"/>
    <col min="12041" max="12041" width="12.75" style="214" customWidth="1"/>
    <col min="12042" max="12042" width="13.125" style="214" customWidth="1"/>
    <col min="12043" max="12043" width="9.875" style="214" customWidth="1"/>
    <col min="12044" max="12044" width="12" style="214" bestFit="1" customWidth="1"/>
    <col min="12045" max="12046" width="5.25" style="214" customWidth="1"/>
    <col min="12047" max="12047" width="9" style="214"/>
    <col min="12048" max="12048" width="10.25" style="214" customWidth="1"/>
    <col min="12049" max="12049" width="10.75" style="214" customWidth="1"/>
    <col min="12050" max="12051" width="12.875" style="214" customWidth="1"/>
    <col min="12052" max="12052" width="9" style="214"/>
    <col min="12053" max="12053" width="1.875" style="214" customWidth="1"/>
    <col min="12054" max="12054" width="12.375" style="214" customWidth="1"/>
    <col min="12055" max="12055" width="11.625" style="214" customWidth="1"/>
    <col min="12056" max="12288" width="9" style="214"/>
    <col min="12289" max="12289" width="2.375" style="214" customWidth="1"/>
    <col min="12290" max="12290" width="11.875" style="214" customWidth="1"/>
    <col min="12291" max="12291" width="13" style="214" customWidth="1"/>
    <col min="12292" max="12293" width="11.625" style="214" customWidth="1"/>
    <col min="12294" max="12294" width="11.375" style="214" customWidth="1"/>
    <col min="12295" max="12295" width="11.625" style="214" customWidth="1"/>
    <col min="12296" max="12296" width="10.875" style="214" customWidth="1"/>
    <col min="12297" max="12297" width="12.75" style="214" customWidth="1"/>
    <col min="12298" max="12298" width="13.125" style="214" customWidth="1"/>
    <col min="12299" max="12299" width="9.875" style="214" customWidth="1"/>
    <col min="12300" max="12300" width="12" style="214" bestFit="1" customWidth="1"/>
    <col min="12301" max="12302" width="5.25" style="214" customWidth="1"/>
    <col min="12303" max="12303" width="9" style="214"/>
    <col min="12304" max="12304" width="10.25" style="214" customWidth="1"/>
    <col min="12305" max="12305" width="10.75" style="214" customWidth="1"/>
    <col min="12306" max="12307" width="12.875" style="214" customWidth="1"/>
    <col min="12308" max="12308" width="9" style="214"/>
    <col min="12309" max="12309" width="1.875" style="214" customWidth="1"/>
    <col min="12310" max="12310" width="12.375" style="214" customWidth="1"/>
    <col min="12311" max="12311" width="11.625" style="214" customWidth="1"/>
    <col min="12312" max="12544" width="9" style="214"/>
    <col min="12545" max="12545" width="2.375" style="214" customWidth="1"/>
    <col min="12546" max="12546" width="11.875" style="214" customWidth="1"/>
    <col min="12547" max="12547" width="13" style="214" customWidth="1"/>
    <col min="12548" max="12549" width="11.625" style="214" customWidth="1"/>
    <col min="12550" max="12550" width="11.375" style="214" customWidth="1"/>
    <col min="12551" max="12551" width="11.625" style="214" customWidth="1"/>
    <col min="12552" max="12552" width="10.875" style="214" customWidth="1"/>
    <col min="12553" max="12553" width="12.75" style="214" customWidth="1"/>
    <col min="12554" max="12554" width="13.125" style="214" customWidth="1"/>
    <col min="12555" max="12555" width="9.875" style="214" customWidth="1"/>
    <col min="12556" max="12556" width="12" style="214" bestFit="1" customWidth="1"/>
    <col min="12557" max="12558" width="5.25" style="214" customWidth="1"/>
    <col min="12559" max="12559" width="9" style="214"/>
    <col min="12560" max="12560" width="10.25" style="214" customWidth="1"/>
    <col min="12561" max="12561" width="10.75" style="214" customWidth="1"/>
    <col min="12562" max="12563" width="12.875" style="214" customWidth="1"/>
    <col min="12564" max="12564" width="9" style="214"/>
    <col min="12565" max="12565" width="1.875" style="214" customWidth="1"/>
    <col min="12566" max="12566" width="12.375" style="214" customWidth="1"/>
    <col min="12567" max="12567" width="11.625" style="214" customWidth="1"/>
    <col min="12568" max="12800" width="9" style="214"/>
    <col min="12801" max="12801" width="2.375" style="214" customWidth="1"/>
    <col min="12802" max="12802" width="11.875" style="214" customWidth="1"/>
    <col min="12803" max="12803" width="13" style="214" customWidth="1"/>
    <col min="12804" max="12805" width="11.625" style="214" customWidth="1"/>
    <col min="12806" max="12806" width="11.375" style="214" customWidth="1"/>
    <col min="12807" max="12807" width="11.625" style="214" customWidth="1"/>
    <col min="12808" max="12808" width="10.875" style="214" customWidth="1"/>
    <col min="12809" max="12809" width="12.75" style="214" customWidth="1"/>
    <col min="12810" max="12810" width="13.125" style="214" customWidth="1"/>
    <col min="12811" max="12811" width="9.875" style="214" customWidth="1"/>
    <col min="12812" max="12812" width="12" style="214" bestFit="1" customWidth="1"/>
    <col min="12813" max="12814" width="5.25" style="214" customWidth="1"/>
    <col min="12815" max="12815" width="9" style="214"/>
    <col min="12816" max="12816" width="10.25" style="214" customWidth="1"/>
    <col min="12817" max="12817" width="10.75" style="214" customWidth="1"/>
    <col min="12818" max="12819" width="12.875" style="214" customWidth="1"/>
    <col min="12820" max="12820" width="9" style="214"/>
    <col min="12821" max="12821" width="1.875" style="214" customWidth="1"/>
    <col min="12822" max="12822" width="12.375" style="214" customWidth="1"/>
    <col min="12823" max="12823" width="11.625" style="214" customWidth="1"/>
    <col min="12824" max="13056" width="9" style="214"/>
    <col min="13057" max="13057" width="2.375" style="214" customWidth="1"/>
    <col min="13058" max="13058" width="11.875" style="214" customWidth="1"/>
    <col min="13059" max="13059" width="13" style="214" customWidth="1"/>
    <col min="13060" max="13061" width="11.625" style="214" customWidth="1"/>
    <col min="13062" max="13062" width="11.375" style="214" customWidth="1"/>
    <col min="13063" max="13063" width="11.625" style="214" customWidth="1"/>
    <col min="13064" max="13064" width="10.875" style="214" customWidth="1"/>
    <col min="13065" max="13065" width="12.75" style="214" customWidth="1"/>
    <col min="13066" max="13066" width="13.125" style="214" customWidth="1"/>
    <col min="13067" max="13067" width="9.875" style="214" customWidth="1"/>
    <col min="13068" max="13068" width="12" style="214" bestFit="1" customWidth="1"/>
    <col min="13069" max="13070" width="5.25" style="214" customWidth="1"/>
    <col min="13071" max="13071" width="9" style="214"/>
    <col min="13072" max="13072" width="10.25" style="214" customWidth="1"/>
    <col min="13073" max="13073" width="10.75" style="214" customWidth="1"/>
    <col min="13074" max="13075" width="12.875" style="214" customWidth="1"/>
    <col min="13076" max="13076" width="9" style="214"/>
    <col min="13077" max="13077" width="1.875" style="214" customWidth="1"/>
    <col min="13078" max="13078" width="12.375" style="214" customWidth="1"/>
    <col min="13079" max="13079" width="11.625" style="214" customWidth="1"/>
    <col min="13080" max="13312" width="9" style="214"/>
    <col min="13313" max="13313" width="2.375" style="214" customWidth="1"/>
    <col min="13314" max="13314" width="11.875" style="214" customWidth="1"/>
    <col min="13315" max="13315" width="13" style="214" customWidth="1"/>
    <col min="13316" max="13317" width="11.625" style="214" customWidth="1"/>
    <col min="13318" max="13318" width="11.375" style="214" customWidth="1"/>
    <col min="13319" max="13319" width="11.625" style="214" customWidth="1"/>
    <col min="13320" max="13320" width="10.875" style="214" customWidth="1"/>
    <col min="13321" max="13321" width="12.75" style="214" customWidth="1"/>
    <col min="13322" max="13322" width="13.125" style="214" customWidth="1"/>
    <col min="13323" max="13323" width="9.875" style="214" customWidth="1"/>
    <col min="13324" max="13324" width="12" style="214" bestFit="1" customWidth="1"/>
    <col min="13325" max="13326" width="5.25" style="214" customWidth="1"/>
    <col min="13327" max="13327" width="9" style="214"/>
    <col min="13328" max="13328" width="10.25" style="214" customWidth="1"/>
    <col min="13329" max="13329" width="10.75" style="214" customWidth="1"/>
    <col min="13330" max="13331" width="12.875" style="214" customWidth="1"/>
    <col min="13332" max="13332" width="9" style="214"/>
    <col min="13333" max="13333" width="1.875" style="214" customWidth="1"/>
    <col min="13334" max="13334" width="12.375" style="214" customWidth="1"/>
    <col min="13335" max="13335" width="11.625" style="214" customWidth="1"/>
    <col min="13336" max="13568" width="9" style="214"/>
    <col min="13569" max="13569" width="2.375" style="214" customWidth="1"/>
    <col min="13570" max="13570" width="11.875" style="214" customWidth="1"/>
    <col min="13571" max="13571" width="13" style="214" customWidth="1"/>
    <col min="13572" max="13573" width="11.625" style="214" customWidth="1"/>
    <col min="13574" max="13574" width="11.375" style="214" customWidth="1"/>
    <col min="13575" max="13575" width="11.625" style="214" customWidth="1"/>
    <col min="13576" max="13576" width="10.875" style="214" customWidth="1"/>
    <col min="13577" max="13577" width="12.75" style="214" customWidth="1"/>
    <col min="13578" max="13578" width="13.125" style="214" customWidth="1"/>
    <col min="13579" max="13579" width="9.875" style="214" customWidth="1"/>
    <col min="13580" max="13580" width="12" style="214" bestFit="1" customWidth="1"/>
    <col min="13581" max="13582" width="5.25" style="214" customWidth="1"/>
    <col min="13583" max="13583" width="9" style="214"/>
    <col min="13584" max="13584" width="10.25" style="214" customWidth="1"/>
    <col min="13585" max="13585" width="10.75" style="214" customWidth="1"/>
    <col min="13586" max="13587" width="12.875" style="214" customWidth="1"/>
    <col min="13588" max="13588" width="9" style="214"/>
    <col min="13589" max="13589" width="1.875" style="214" customWidth="1"/>
    <col min="13590" max="13590" width="12.375" style="214" customWidth="1"/>
    <col min="13591" max="13591" width="11.625" style="214" customWidth="1"/>
    <col min="13592" max="13824" width="9" style="214"/>
    <col min="13825" max="13825" width="2.375" style="214" customWidth="1"/>
    <col min="13826" max="13826" width="11.875" style="214" customWidth="1"/>
    <col min="13827" max="13827" width="13" style="214" customWidth="1"/>
    <col min="13828" max="13829" width="11.625" style="214" customWidth="1"/>
    <col min="13830" max="13830" width="11.375" style="214" customWidth="1"/>
    <col min="13831" max="13831" width="11.625" style="214" customWidth="1"/>
    <col min="13832" max="13832" width="10.875" style="214" customWidth="1"/>
    <col min="13833" max="13833" width="12.75" style="214" customWidth="1"/>
    <col min="13834" max="13834" width="13.125" style="214" customWidth="1"/>
    <col min="13835" max="13835" width="9.875" style="214" customWidth="1"/>
    <col min="13836" max="13836" width="12" style="214" bestFit="1" customWidth="1"/>
    <col min="13837" max="13838" width="5.25" style="214" customWidth="1"/>
    <col min="13839" max="13839" width="9" style="214"/>
    <col min="13840" max="13840" width="10.25" style="214" customWidth="1"/>
    <col min="13841" max="13841" width="10.75" style="214" customWidth="1"/>
    <col min="13842" max="13843" width="12.875" style="214" customWidth="1"/>
    <col min="13844" max="13844" width="9" style="214"/>
    <col min="13845" max="13845" width="1.875" style="214" customWidth="1"/>
    <col min="13846" max="13846" width="12.375" style="214" customWidth="1"/>
    <col min="13847" max="13847" width="11.625" style="214" customWidth="1"/>
    <col min="13848" max="14080" width="9" style="214"/>
    <col min="14081" max="14081" width="2.375" style="214" customWidth="1"/>
    <col min="14082" max="14082" width="11.875" style="214" customWidth="1"/>
    <col min="14083" max="14083" width="13" style="214" customWidth="1"/>
    <col min="14084" max="14085" width="11.625" style="214" customWidth="1"/>
    <col min="14086" max="14086" width="11.375" style="214" customWidth="1"/>
    <col min="14087" max="14087" width="11.625" style="214" customWidth="1"/>
    <col min="14088" max="14088" width="10.875" style="214" customWidth="1"/>
    <col min="14089" max="14089" width="12.75" style="214" customWidth="1"/>
    <col min="14090" max="14090" width="13.125" style="214" customWidth="1"/>
    <col min="14091" max="14091" width="9.875" style="214" customWidth="1"/>
    <col min="14092" max="14092" width="12" style="214" bestFit="1" customWidth="1"/>
    <col min="14093" max="14094" width="5.25" style="214" customWidth="1"/>
    <col min="14095" max="14095" width="9" style="214"/>
    <col min="14096" max="14096" width="10.25" style="214" customWidth="1"/>
    <col min="14097" max="14097" width="10.75" style="214" customWidth="1"/>
    <col min="14098" max="14099" width="12.875" style="214" customWidth="1"/>
    <col min="14100" max="14100" width="9" style="214"/>
    <col min="14101" max="14101" width="1.875" style="214" customWidth="1"/>
    <col min="14102" max="14102" width="12.375" style="214" customWidth="1"/>
    <col min="14103" max="14103" width="11.625" style="214" customWidth="1"/>
    <col min="14104" max="14336" width="9" style="214"/>
    <col min="14337" max="14337" width="2.375" style="214" customWidth="1"/>
    <col min="14338" max="14338" width="11.875" style="214" customWidth="1"/>
    <col min="14339" max="14339" width="13" style="214" customWidth="1"/>
    <col min="14340" max="14341" width="11.625" style="214" customWidth="1"/>
    <col min="14342" max="14342" width="11.375" style="214" customWidth="1"/>
    <col min="14343" max="14343" width="11.625" style="214" customWidth="1"/>
    <col min="14344" max="14344" width="10.875" style="214" customWidth="1"/>
    <col min="14345" max="14345" width="12.75" style="214" customWidth="1"/>
    <col min="14346" max="14346" width="13.125" style="214" customWidth="1"/>
    <col min="14347" max="14347" width="9.875" style="214" customWidth="1"/>
    <col min="14348" max="14348" width="12" style="214" bestFit="1" customWidth="1"/>
    <col min="14349" max="14350" width="5.25" style="214" customWidth="1"/>
    <col min="14351" max="14351" width="9" style="214"/>
    <col min="14352" max="14352" width="10.25" style="214" customWidth="1"/>
    <col min="14353" max="14353" width="10.75" style="214" customWidth="1"/>
    <col min="14354" max="14355" width="12.875" style="214" customWidth="1"/>
    <col min="14356" max="14356" width="9" style="214"/>
    <col min="14357" max="14357" width="1.875" style="214" customWidth="1"/>
    <col min="14358" max="14358" width="12.375" style="214" customWidth="1"/>
    <col min="14359" max="14359" width="11.625" style="214" customWidth="1"/>
    <col min="14360" max="14592" width="9" style="214"/>
    <col min="14593" max="14593" width="2.375" style="214" customWidth="1"/>
    <col min="14594" max="14594" width="11.875" style="214" customWidth="1"/>
    <col min="14595" max="14595" width="13" style="214" customWidth="1"/>
    <col min="14596" max="14597" width="11.625" style="214" customWidth="1"/>
    <col min="14598" max="14598" width="11.375" style="214" customWidth="1"/>
    <col min="14599" max="14599" width="11.625" style="214" customWidth="1"/>
    <col min="14600" max="14600" width="10.875" style="214" customWidth="1"/>
    <col min="14601" max="14601" width="12.75" style="214" customWidth="1"/>
    <col min="14602" max="14602" width="13.125" style="214" customWidth="1"/>
    <col min="14603" max="14603" width="9.875" style="214" customWidth="1"/>
    <col min="14604" max="14604" width="12" style="214" bestFit="1" customWidth="1"/>
    <col min="14605" max="14606" width="5.25" style="214" customWidth="1"/>
    <col min="14607" max="14607" width="9" style="214"/>
    <col min="14608" max="14608" width="10.25" style="214" customWidth="1"/>
    <col min="14609" max="14609" width="10.75" style="214" customWidth="1"/>
    <col min="14610" max="14611" width="12.875" style="214" customWidth="1"/>
    <col min="14612" max="14612" width="9" style="214"/>
    <col min="14613" max="14613" width="1.875" style="214" customWidth="1"/>
    <col min="14614" max="14614" width="12.375" style="214" customWidth="1"/>
    <col min="14615" max="14615" width="11.625" style="214" customWidth="1"/>
    <col min="14616" max="14848" width="9" style="214"/>
    <col min="14849" max="14849" width="2.375" style="214" customWidth="1"/>
    <col min="14850" max="14850" width="11.875" style="214" customWidth="1"/>
    <col min="14851" max="14851" width="13" style="214" customWidth="1"/>
    <col min="14852" max="14853" width="11.625" style="214" customWidth="1"/>
    <col min="14854" max="14854" width="11.375" style="214" customWidth="1"/>
    <col min="14855" max="14855" width="11.625" style="214" customWidth="1"/>
    <col min="14856" max="14856" width="10.875" style="214" customWidth="1"/>
    <col min="14857" max="14857" width="12.75" style="214" customWidth="1"/>
    <col min="14858" max="14858" width="13.125" style="214" customWidth="1"/>
    <col min="14859" max="14859" width="9.875" style="214" customWidth="1"/>
    <col min="14860" max="14860" width="12" style="214" bestFit="1" customWidth="1"/>
    <col min="14861" max="14862" width="5.25" style="214" customWidth="1"/>
    <col min="14863" max="14863" width="9" style="214"/>
    <col min="14864" max="14864" width="10.25" style="214" customWidth="1"/>
    <col min="14865" max="14865" width="10.75" style="214" customWidth="1"/>
    <col min="14866" max="14867" width="12.875" style="214" customWidth="1"/>
    <col min="14868" max="14868" width="9" style="214"/>
    <col min="14869" max="14869" width="1.875" style="214" customWidth="1"/>
    <col min="14870" max="14870" width="12.375" style="214" customWidth="1"/>
    <col min="14871" max="14871" width="11.625" style="214" customWidth="1"/>
    <col min="14872" max="15104" width="9" style="214"/>
    <col min="15105" max="15105" width="2.375" style="214" customWidth="1"/>
    <col min="15106" max="15106" width="11.875" style="214" customWidth="1"/>
    <col min="15107" max="15107" width="13" style="214" customWidth="1"/>
    <col min="15108" max="15109" width="11.625" style="214" customWidth="1"/>
    <col min="15110" max="15110" width="11.375" style="214" customWidth="1"/>
    <col min="15111" max="15111" width="11.625" style="214" customWidth="1"/>
    <col min="15112" max="15112" width="10.875" style="214" customWidth="1"/>
    <col min="15113" max="15113" width="12.75" style="214" customWidth="1"/>
    <col min="15114" max="15114" width="13.125" style="214" customWidth="1"/>
    <col min="15115" max="15115" width="9.875" style="214" customWidth="1"/>
    <col min="15116" max="15116" width="12" style="214" bestFit="1" customWidth="1"/>
    <col min="15117" max="15118" width="5.25" style="214" customWidth="1"/>
    <col min="15119" max="15119" width="9" style="214"/>
    <col min="15120" max="15120" width="10.25" style="214" customWidth="1"/>
    <col min="15121" max="15121" width="10.75" style="214" customWidth="1"/>
    <col min="15122" max="15123" width="12.875" style="214" customWidth="1"/>
    <col min="15124" max="15124" width="9" style="214"/>
    <col min="15125" max="15125" width="1.875" style="214" customWidth="1"/>
    <col min="15126" max="15126" width="12.375" style="214" customWidth="1"/>
    <col min="15127" max="15127" width="11.625" style="214" customWidth="1"/>
    <col min="15128" max="15360" width="9" style="214"/>
    <col min="15361" max="15361" width="2.375" style="214" customWidth="1"/>
    <col min="15362" max="15362" width="11.875" style="214" customWidth="1"/>
    <col min="15363" max="15363" width="13" style="214" customWidth="1"/>
    <col min="15364" max="15365" width="11.625" style="214" customWidth="1"/>
    <col min="15366" max="15366" width="11.375" style="214" customWidth="1"/>
    <col min="15367" max="15367" width="11.625" style="214" customWidth="1"/>
    <col min="15368" max="15368" width="10.875" style="214" customWidth="1"/>
    <col min="15369" max="15369" width="12.75" style="214" customWidth="1"/>
    <col min="15370" max="15370" width="13.125" style="214" customWidth="1"/>
    <col min="15371" max="15371" width="9.875" style="214" customWidth="1"/>
    <col min="15372" max="15372" width="12" style="214" bestFit="1" customWidth="1"/>
    <col min="15373" max="15374" width="5.25" style="214" customWidth="1"/>
    <col min="15375" max="15375" width="9" style="214"/>
    <col min="15376" max="15376" width="10.25" style="214" customWidth="1"/>
    <col min="15377" max="15377" width="10.75" style="214" customWidth="1"/>
    <col min="15378" max="15379" width="12.875" style="214" customWidth="1"/>
    <col min="15380" max="15380" width="9" style="214"/>
    <col min="15381" max="15381" width="1.875" style="214" customWidth="1"/>
    <col min="15382" max="15382" width="12.375" style="214" customWidth="1"/>
    <col min="15383" max="15383" width="11.625" style="214" customWidth="1"/>
    <col min="15384" max="15616" width="9" style="214"/>
    <col min="15617" max="15617" width="2.375" style="214" customWidth="1"/>
    <col min="15618" max="15618" width="11.875" style="214" customWidth="1"/>
    <col min="15619" max="15619" width="13" style="214" customWidth="1"/>
    <col min="15620" max="15621" width="11.625" style="214" customWidth="1"/>
    <col min="15622" max="15622" width="11.375" style="214" customWidth="1"/>
    <col min="15623" max="15623" width="11.625" style="214" customWidth="1"/>
    <col min="15624" max="15624" width="10.875" style="214" customWidth="1"/>
    <col min="15625" max="15625" width="12.75" style="214" customWidth="1"/>
    <col min="15626" max="15626" width="13.125" style="214" customWidth="1"/>
    <col min="15627" max="15627" width="9.875" style="214" customWidth="1"/>
    <col min="15628" max="15628" width="12" style="214" bestFit="1" customWidth="1"/>
    <col min="15629" max="15630" width="5.25" style="214" customWidth="1"/>
    <col min="15631" max="15631" width="9" style="214"/>
    <col min="15632" max="15632" width="10.25" style="214" customWidth="1"/>
    <col min="15633" max="15633" width="10.75" style="214" customWidth="1"/>
    <col min="15634" max="15635" width="12.875" style="214" customWidth="1"/>
    <col min="15636" max="15636" width="9" style="214"/>
    <col min="15637" max="15637" width="1.875" style="214" customWidth="1"/>
    <col min="15638" max="15638" width="12.375" style="214" customWidth="1"/>
    <col min="15639" max="15639" width="11.625" style="214" customWidth="1"/>
    <col min="15640" max="15872" width="9" style="214"/>
    <col min="15873" max="15873" width="2.375" style="214" customWidth="1"/>
    <col min="15874" max="15874" width="11.875" style="214" customWidth="1"/>
    <col min="15875" max="15875" width="13" style="214" customWidth="1"/>
    <col min="15876" max="15877" width="11.625" style="214" customWidth="1"/>
    <col min="15878" max="15878" width="11.375" style="214" customWidth="1"/>
    <col min="15879" max="15879" width="11.625" style="214" customWidth="1"/>
    <col min="15880" max="15880" width="10.875" style="214" customWidth="1"/>
    <col min="15881" max="15881" width="12.75" style="214" customWidth="1"/>
    <col min="15882" max="15882" width="13.125" style="214" customWidth="1"/>
    <col min="15883" max="15883" width="9.875" style="214" customWidth="1"/>
    <col min="15884" max="15884" width="12" style="214" bestFit="1" customWidth="1"/>
    <col min="15885" max="15886" width="5.25" style="214" customWidth="1"/>
    <col min="15887" max="15887" width="9" style="214"/>
    <col min="15888" max="15888" width="10.25" style="214" customWidth="1"/>
    <col min="15889" max="15889" width="10.75" style="214" customWidth="1"/>
    <col min="15890" max="15891" width="12.875" style="214" customWidth="1"/>
    <col min="15892" max="15892" width="9" style="214"/>
    <col min="15893" max="15893" width="1.875" style="214" customWidth="1"/>
    <col min="15894" max="15894" width="12.375" style="214" customWidth="1"/>
    <col min="15895" max="15895" width="11.625" style="214" customWidth="1"/>
    <col min="15896" max="16128" width="9" style="214"/>
    <col min="16129" max="16129" width="2.375" style="214" customWidth="1"/>
    <col min="16130" max="16130" width="11.875" style="214" customWidth="1"/>
    <col min="16131" max="16131" width="13" style="214" customWidth="1"/>
    <col min="16132" max="16133" width="11.625" style="214" customWidth="1"/>
    <col min="16134" max="16134" width="11.375" style="214" customWidth="1"/>
    <col min="16135" max="16135" width="11.625" style="214" customWidth="1"/>
    <col min="16136" max="16136" width="10.875" style="214" customWidth="1"/>
    <col min="16137" max="16137" width="12.75" style="214" customWidth="1"/>
    <col min="16138" max="16138" width="13.125" style="214" customWidth="1"/>
    <col min="16139" max="16139" width="9.875" style="214" customWidth="1"/>
    <col min="16140" max="16140" width="12" style="214" bestFit="1" customWidth="1"/>
    <col min="16141" max="16142" width="5.25" style="214" customWidth="1"/>
    <col min="16143" max="16143" width="9" style="214"/>
    <col min="16144" max="16144" width="10.25" style="214" customWidth="1"/>
    <col min="16145" max="16145" width="10.75" style="214" customWidth="1"/>
    <col min="16146" max="16147" width="12.875" style="214" customWidth="1"/>
    <col min="16148" max="16148" width="9" style="214"/>
    <col min="16149" max="16149" width="1.875" style="214" customWidth="1"/>
    <col min="16150" max="16150" width="12.375" style="214" customWidth="1"/>
    <col min="16151" max="16151" width="11.625" style="214" customWidth="1"/>
    <col min="16152" max="16384" width="9" style="214"/>
  </cols>
  <sheetData>
    <row r="1" spans="1:62" ht="27" customHeight="1">
      <c r="A1" s="298" t="str">
        <f>+LEFT('3条税込み'!A1,2)&amp;"年度経費（雨水・汚水）区分調（収入決算・税抜き）"</f>
        <v>令和年度経費（雨水・汚水）区分調（収入決算・税抜き）</v>
      </c>
    </row>
    <row r="2" spans="1:62" ht="27" customHeight="1" thickBot="1">
      <c r="A2" s="214" t="s">
        <v>348</v>
      </c>
      <c r="J2" s="259" t="s">
        <v>354</v>
      </c>
    </row>
    <row r="3" spans="1:62" ht="27" customHeight="1">
      <c r="A3" s="233" t="s">
        <v>346</v>
      </c>
      <c r="B3" s="232"/>
      <c r="C3" s="297" t="s">
        <v>290</v>
      </c>
      <c r="D3" s="296" t="s">
        <v>289</v>
      </c>
      <c r="E3" s="294"/>
      <c r="F3" s="294"/>
      <c r="G3" s="293"/>
      <c r="H3" s="295" t="s">
        <v>288</v>
      </c>
      <c r="I3" s="294"/>
      <c r="J3" s="293"/>
      <c r="O3" s="615" t="s">
        <v>75</v>
      </c>
      <c r="P3" s="616"/>
      <c r="Q3" s="617"/>
    </row>
    <row r="4" spans="1:62" s="273" customFormat="1" ht="27" customHeight="1">
      <c r="A4" s="370"/>
      <c r="B4" s="291"/>
      <c r="C4" s="290"/>
      <c r="D4" s="289" t="s">
        <v>287</v>
      </c>
      <c r="E4" s="288"/>
      <c r="F4" s="287" t="s">
        <v>286</v>
      </c>
      <c r="G4" s="284" t="s">
        <v>285</v>
      </c>
      <c r="H4" s="286" t="s">
        <v>287</v>
      </c>
      <c r="I4" s="285" t="s">
        <v>286</v>
      </c>
      <c r="J4" s="284" t="s">
        <v>285</v>
      </c>
      <c r="N4" s="214"/>
      <c r="O4" s="618"/>
      <c r="P4" s="619"/>
      <c r="Q4" s="620"/>
      <c r="R4" s="214">
        <f>ROUND('3条税抜き (消費税雑支出加算)'!H44+'3条税抜き (消費税雑支出加算)'!I44-収入税抜き!G26-収入税抜き!H26,0)</f>
        <v>14187102335</v>
      </c>
      <c r="S4" s="214"/>
      <c r="T4" s="214"/>
      <c r="U4" s="214"/>
      <c r="V4" s="214">
        <f>R4-収入税込!V4</f>
        <v>9198273</v>
      </c>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c r="AZ4" s="214"/>
      <c r="BA4" s="214"/>
      <c r="BB4" s="214"/>
      <c r="BC4" s="214"/>
      <c r="BD4" s="214"/>
      <c r="BE4" s="214"/>
      <c r="BF4" s="214"/>
      <c r="BG4" s="214"/>
      <c r="BH4" s="214"/>
      <c r="BI4" s="214"/>
      <c r="BJ4" s="214"/>
    </row>
    <row r="5" spans="1:62" s="275" customFormat="1" ht="27" customHeight="1">
      <c r="A5" s="283"/>
      <c r="B5" s="282"/>
      <c r="C5" s="281"/>
      <c r="D5" s="280" t="s">
        <v>282</v>
      </c>
      <c r="E5" s="277" t="s">
        <v>284</v>
      </c>
      <c r="F5" s="279" t="s">
        <v>283</v>
      </c>
      <c r="G5" s="276"/>
      <c r="H5" s="278" t="s">
        <v>282</v>
      </c>
      <c r="I5" s="277" t="s">
        <v>282</v>
      </c>
      <c r="J5" s="276"/>
      <c r="L5" s="314" t="s">
        <v>295</v>
      </c>
      <c r="N5" s="369"/>
      <c r="O5" s="339"/>
      <c r="P5" s="621" t="s">
        <v>339</v>
      </c>
      <c r="Q5" s="622"/>
      <c r="R5" s="369"/>
      <c r="S5" s="369"/>
      <c r="T5" s="369"/>
      <c r="U5" s="369"/>
      <c r="V5" s="369"/>
      <c r="W5" s="369"/>
      <c r="X5" s="369"/>
      <c r="Y5" s="369"/>
      <c r="Z5" s="369"/>
      <c r="AA5" s="369"/>
      <c r="AB5" s="369"/>
      <c r="AC5" s="369"/>
      <c r="AD5" s="369"/>
      <c r="AE5" s="369"/>
      <c r="AF5" s="369"/>
      <c r="AG5" s="369"/>
      <c r="AH5" s="369"/>
      <c r="AI5" s="369"/>
      <c r="AJ5" s="369"/>
      <c r="AK5" s="369"/>
      <c r="AL5" s="369"/>
      <c r="AM5" s="369"/>
      <c r="AN5" s="369"/>
      <c r="AO5" s="369"/>
      <c r="AP5" s="369"/>
      <c r="AQ5" s="369"/>
      <c r="AR5" s="369"/>
      <c r="AS5" s="369"/>
      <c r="AT5" s="369"/>
      <c r="AU5" s="369"/>
      <c r="AV5" s="369"/>
      <c r="AW5" s="369"/>
      <c r="AX5" s="369"/>
      <c r="AY5" s="369"/>
      <c r="AZ5" s="369"/>
      <c r="BA5" s="369"/>
      <c r="BB5" s="369"/>
      <c r="BC5" s="369"/>
      <c r="BD5" s="369"/>
      <c r="BE5" s="369"/>
      <c r="BF5" s="369"/>
      <c r="BG5" s="369"/>
      <c r="BH5" s="369"/>
      <c r="BI5" s="369"/>
      <c r="BJ5" s="369"/>
    </row>
    <row r="6" spans="1:62" ht="27" customHeight="1">
      <c r="A6" s="236" t="s">
        <v>338</v>
      </c>
      <c r="B6" s="368"/>
      <c r="C6" s="238">
        <f>+雨汚水!O58</f>
        <v>18626337467</v>
      </c>
      <c r="D6" s="237">
        <f>+雨汚水!P58</f>
        <v>0</v>
      </c>
      <c r="E6" s="235">
        <f>+雨汚水!Q58</f>
        <v>0</v>
      </c>
      <c r="F6" s="235">
        <f>+雨汚水!R58</f>
        <v>0</v>
      </c>
      <c r="G6" s="234">
        <f t="shared" ref="G6:G15" si="0">SUM(D6:F6)</f>
        <v>0</v>
      </c>
      <c r="H6" s="236">
        <f>+雨汚水!T58</f>
        <v>0</v>
      </c>
      <c r="I6" s="235">
        <f>+雨汚水!U58</f>
        <v>18626337467</v>
      </c>
      <c r="J6" s="234">
        <f t="shared" ref="J6:J15" si="1">SUM(H6:I6)</f>
        <v>18626337467</v>
      </c>
      <c r="L6" s="312">
        <f>収入税込!C6-収入税抜き!C6</f>
        <v>1862625061</v>
      </c>
      <c r="M6" s="214">
        <f t="shared" ref="M6:M26" si="2">C6-G6-J6</f>
        <v>0</v>
      </c>
      <c r="O6" s="339"/>
      <c r="P6" s="623"/>
      <c r="Q6" s="620"/>
      <c r="R6" s="214">
        <f>R4-R16-R18-R20</f>
        <v>14079749832</v>
      </c>
      <c r="V6" s="214">
        <f>R6-収入税込!V6</f>
        <v>9198273</v>
      </c>
    </row>
    <row r="7" spans="1:62" ht="27" customHeight="1">
      <c r="A7" s="361" t="s">
        <v>337</v>
      </c>
      <c r="B7" s="255" t="s">
        <v>336</v>
      </c>
      <c r="C7" s="360">
        <f>+雨汚水!O60</f>
        <v>0</v>
      </c>
      <c r="D7" s="359">
        <f>+雨汚水!P60</f>
        <v>0</v>
      </c>
      <c r="E7" s="357">
        <f>+雨汚水!Q60</f>
        <v>0</v>
      </c>
      <c r="F7" s="357">
        <f>+雨汚水!R60</f>
        <v>0</v>
      </c>
      <c r="G7" s="356">
        <f t="shared" si="0"/>
        <v>0</v>
      </c>
      <c r="H7" s="358">
        <f>+雨汚水!T60</f>
        <v>0</v>
      </c>
      <c r="I7" s="357">
        <f>+雨汚水!U60</f>
        <v>0</v>
      </c>
      <c r="J7" s="356">
        <f t="shared" si="1"/>
        <v>0</v>
      </c>
      <c r="L7" s="214">
        <f>収入税込!C7-収入税抜き!C7</f>
        <v>0</v>
      </c>
      <c r="M7" s="214">
        <f t="shared" si="2"/>
        <v>0</v>
      </c>
      <c r="O7" s="339"/>
      <c r="P7" s="338"/>
      <c r="Q7" s="624" t="s">
        <v>335</v>
      </c>
    </row>
    <row r="8" spans="1:62" ht="27" customHeight="1">
      <c r="A8" s="354" t="s">
        <v>334</v>
      </c>
      <c r="B8" s="255" t="s">
        <v>149</v>
      </c>
      <c r="C8" s="246">
        <f>+SUM(雨汚水!O61:O64)</f>
        <v>172643606</v>
      </c>
      <c r="D8" s="245">
        <f>+SUM(雨汚水!P61:P64)</f>
        <v>853327</v>
      </c>
      <c r="E8" s="242">
        <f>+SUM(雨汚水!Q61:Q64)</f>
        <v>461192</v>
      </c>
      <c r="F8" s="242">
        <f>+SUM(雨汚水!R61:R64)</f>
        <v>34320964</v>
      </c>
      <c r="G8" s="241">
        <f t="shared" si="0"/>
        <v>35635483</v>
      </c>
      <c r="H8" s="243">
        <f>+SUM(雨汚水!T61:T64)</f>
        <v>269500</v>
      </c>
      <c r="I8" s="242">
        <f>+SUM(雨汚水!U61:U64)</f>
        <v>136738623</v>
      </c>
      <c r="J8" s="241">
        <f t="shared" si="1"/>
        <v>137008123</v>
      </c>
      <c r="L8" s="214">
        <f>収入税込!C8-収入税抜き!C8</f>
        <v>17203263</v>
      </c>
      <c r="M8" s="214">
        <f t="shared" si="2"/>
        <v>0</v>
      </c>
      <c r="O8" s="339"/>
      <c r="P8" s="338"/>
      <c r="Q8" s="625"/>
      <c r="R8" s="214">
        <f>R6-R10-R13-R33</f>
        <v>3582605895</v>
      </c>
      <c r="S8" s="214">
        <f>'3条税抜き (消費税雑支出加算)'!H31+'3条税抜き (消費税雑支出加算)'!I31-'3条税込み'!I8-'3条税込み'!G13-'3条税込み'!L12-収入税抜き!G17-収入税抜き!H17</f>
        <v>3591522898</v>
      </c>
      <c r="T8" s="214">
        <f>R8-S8</f>
        <v>-8917003</v>
      </c>
      <c r="V8" s="214">
        <f>S8-収入税込!V7</f>
        <v>9198273</v>
      </c>
    </row>
    <row r="9" spans="1:62" ht="27" customHeight="1">
      <c r="A9" s="354" t="s">
        <v>333</v>
      </c>
      <c r="B9" s="255" t="s">
        <v>42</v>
      </c>
      <c r="C9" s="246">
        <f>+雨汚水!O68</f>
        <v>88770</v>
      </c>
      <c r="D9" s="245">
        <f>+雨汚水!P68</f>
        <v>44385</v>
      </c>
      <c r="E9" s="242">
        <f>+雨汚水!Q68</f>
        <v>0</v>
      </c>
      <c r="F9" s="242">
        <f>+雨汚水!R68</f>
        <v>0</v>
      </c>
      <c r="G9" s="241">
        <f t="shared" si="0"/>
        <v>44385</v>
      </c>
      <c r="H9" s="243">
        <f>+雨汚水!T68</f>
        <v>0</v>
      </c>
      <c r="I9" s="242">
        <f>+雨汚水!U68</f>
        <v>44385</v>
      </c>
      <c r="J9" s="241">
        <f t="shared" si="1"/>
        <v>44385</v>
      </c>
      <c r="L9" s="214">
        <f>収入税込!C9-収入税抜き!C9</f>
        <v>0</v>
      </c>
      <c r="M9" s="214">
        <f t="shared" si="2"/>
        <v>0</v>
      </c>
      <c r="O9" s="339"/>
      <c r="P9" s="338"/>
      <c r="Q9" s="624" t="s">
        <v>32</v>
      </c>
    </row>
    <row r="10" spans="1:62" ht="27" customHeight="1">
      <c r="A10" s="354" t="s">
        <v>332</v>
      </c>
      <c r="B10" s="255" t="s">
        <v>141</v>
      </c>
      <c r="C10" s="246">
        <f>+雨汚水!O70</f>
        <v>33651455</v>
      </c>
      <c r="D10" s="245">
        <f>+雨汚水!P70</f>
        <v>33441108</v>
      </c>
      <c r="E10" s="242">
        <f>+雨汚水!Q70</f>
        <v>0</v>
      </c>
      <c r="F10" s="242">
        <f>+雨汚水!R70</f>
        <v>0</v>
      </c>
      <c r="G10" s="241">
        <f t="shared" si="0"/>
        <v>33441108</v>
      </c>
      <c r="H10" s="243">
        <f>+雨汚水!T70</f>
        <v>0</v>
      </c>
      <c r="I10" s="242">
        <f>+雨汚水!U70</f>
        <v>210347</v>
      </c>
      <c r="J10" s="241">
        <f t="shared" si="1"/>
        <v>210347</v>
      </c>
      <c r="L10" s="214">
        <f>収入税込!C10-収入税抜き!C10</f>
        <v>3365145</v>
      </c>
      <c r="M10" s="214">
        <f t="shared" si="2"/>
        <v>0</v>
      </c>
      <c r="O10" s="339"/>
      <c r="P10" s="338"/>
      <c r="Q10" s="626"/>
      <c r="R10" s="214">
        <f>ROUND('3条税抜き (消費税雑支出加算)'!H32+'3条税抜き (消費税雑支出加算)'!H39+'3条税抜き (消費税雑支出加算)'!I39+'3条税抜き (消費税雑支出加算)'!I32-G21-G22-H21-G23-H23-H22,0)</f>
        <v>8476549651</v>
      </c>
      <c r="V10" s="214">
        <f>R10-収入税込!V9</f>
        <v>0</v>
      </c>
    </row>
    <row r="11" spans="1:62" ht="27" customHeight="1">
      <c r="A11" s="252" t="s">
        <v>322</v>
      </c>
      <c r="B11" s="255" t="s">
        <v>137</v>
      </c>
      <c r="C11" s="246">
        <f>+雨汚水!O65+雨汚水!O75+雨汚水!O76</f>
        <v>35249977</v>
      </c>
      <c r="D11" s="245">
        <f>+雨汚水!P65+雨汚水!P75+雨汚水!P76</f>
        <v>10155799</v>
      </c>
      <c r="E11" s="242">
        <f>+雨汚水!Q65+雨汚水!Q75+雨汚水!Q76</f>
        <v>0</v>
      </c>
      <c r="F11" s="242">
        <f>+雨汚水!R65+雨汚水!R75+雨汚水!R76</f>
        <v>1768864</v>
      </c>
      <c r="G11" s="241">
        <f t="shared" si="0"/>
        <v>11924663</v>
      </c>
      <c r="H11" s="243">
        <f>+雨汚水!T65+雨汚水!T75+雨汚水!T76</f>
        <v>0</v>
      </c>
      <c r="I11" s="242">
        <f>+雨汚水!U65+雨汚水!U75+雨汚水!U76</f>
        <v>23325314</v>
      </c>
      <c r="J11" s="241">
        <f t="shared" si="1"/>
        <v>23325314</v>
      </c>
      <c r="K11" s="273"/>
      <c r="L11" s="214">
        <f>収入税込!C11-収入税抜き!C11</f>
        <v>1210357</v>
      </c>
      <c r="M11" s="214">
        <f t="shared" si="2"/>
        <v>0</v>
      </c>
      <c r="O11" s="339"/>
      <c r="P11" s="338"/>
      <c r="Q11" s="624" t="s">
        <v>31</v>
      </c>
    </row>
    <row r="12" spans="1:62" ht="27" customHeight="1">
      <c r="A12" s="354" t="s">
        <v>320</v>
      </c>
      <c r="B12" s="255" t="s">
        <v>128</v>
      </c>
      <c r="C12" s="246">
        <f>+SUM(雨汚水!O79:O83)</f>
        <v>3718891</v>
      </c>
      <c r="D12" s="245">
        <f>+SUM(雨汚水!P79:P83)</f>
        <v>713461</v>
      </c>
      <c r="E12" s="242">
        <f>+SUM(雨汚水!Q79:Q83)</f>
        <v>0</v>
      </c>
      <c r="F12" s="242">
        <f>+SUM(雨汚水!R79:R83)</f>
        <v>504308</v>
      </c>
      <c r="G12" s="241">
        <f t="shared" si="0"/>
        <v>1217769</v>
      </c>
      <c r="H12" s="243">
        <f>+SUM(雨汚水!T79:T83)</f>
        <v>29260</v>
      </c>
      <c r="I12" s="242">
        <f>+SUM(雨汚水!U79:U83)</f>
        <v>2471862</v>
      </c>
      <c r="J12" s="241">
        <f t="shared" si="1"/>
        <v>2501122</v>
      </c>
      <c r="L12" s="214">
        <f>収入税込!C12-収入税抜き!C12</f>
        <v>145888</v>
      </c>
      <c r="M12" s="214">
        <f t="shared" si="2"/>
        <v>0</v>
      </c>
      <c r="O12" s="339"/>
      <c r="P12" s="338"/>
      <c r="Q12" s="627"/>
      <c r="S12" s="272" t="s">
        <v>353</v>
      </c>
    </row>
    <row r="13" spans="1:62" ht="27" customHeight="1">
      <c r="A13" s="354" t="s">
        <v>318</v>
      </c>
      <c r="B13" s="365" t="s">
        <v>330</v>
      </c>
      <c r="C13" s="246">
        <f>+雨汚水!O69</f>
        <v>0</v>
      </c>
      <c r="D13" s="245">
        <f>+雨汚水!P69</f>
        <v>0</v>
      </c>
      <c r="E13" s="242">
        <f>+雨汚水!Q69</f>
        <v>0</v>
      </c>
      <c r="F13" s="242">
        <f>+雨汚水!R69</f>
        <v>0</v>
      </c>
      <c r="G13" s="241">
        <f t="shared" si="0"/>
        <v>0</v>
      </c>
      <c r="H13" s="243">
        <f>+雨汚水!T69</f>
        <v>0</v>
      </c>
      <c r="I13" s="242">
        <f>+雨汚水!U69</f>
        <v>0</v>
      </c>
      <c r="J13" s="241">
        <f t="shared" si="1"/>
        <v>0</v>
      </c>
      <c r="L13" s="214">
        <f>収入税込!C13-収入税抜き!C13</f>
        <v>0</v>
      </c>
      <c r="M13" s="214">
        <f t="shared" si="2"/>
        <v>0</v>
      </c>
      <c r="O13" s="339"/>
      <c r="P13" s="338"/>
      <c r="Q13" s="627"/>
      <c r="R13" s="214">
        <f>'3条税抜き (消費税雑支出加算)'!H35+'3条税抜き (消費税雑支出加算)'!I35-'3条税抜き (消費税雑支出加算)'!G40-収入税抜き!G24-収入税抜き!H24+G21+H21+G22</f>
        <v>2011396013</v>
      </c>
      <c r="S13" s="214">
        <f>R13+T8</f>
        <v>2002479010</v>
      </c>
      <c r="V13" s="214">
        <f>R13+T8-収入税込!V12</f>
        <v>-9198273</v>
      </c>
    </row>
    <row r="14" spans="1:62" ht="27" customHeight="1">
      <c r="A14" s="354" t="s">
        <v>316</v>
      </c>
      <c r="B14" s="254" t="s">
        <v>361</v>
      </c>
      <c r="C14" s="246"/>
      <c r="D14" s="245"/>
      <c r="E14" s="242"/>
      <c r="F14" s="242"/>
      <c r="G14" s="241">
        <f t="shared" si="0"/>
        <v>0</v>
      </c>
      <c r="H14" s="243"/>
      <c r="I14" s="242"/>
      <c r="J14" s="241">
        <f t="shared" si="1"/>
        <v>0</v>
      </c>
      <c r="L14" s="214">
        <f>収入税込!C14-収入税抜き!C14</f>
        <v>0</v>
      </c>
      <c r="M14" s="214">
        <f t="shared" si="2"/>
        <v>0</v>
      </c>
      <c r="O14" s="339"/>
      <c r="P14" s="338"/>
      <c r="Q14" s="628"/>
    </row>
    <row r="15" spans="1:62" ht="27" customHeight="1">
      <c r="A15" s="354" t="s">
        <v>313</v>
      </c>
      <c r="B15" s="242" t="s">
        <v>329</v>
      </c>
      <c r="C15" s="246"/>
      <c r="D15" s="245"/>
      <c r="E15" s="242"/>
      <c r="F15" s="242"/>
      <c r="G15" s="241">
        <f t="shared" si="0"/>
        <v>0</v>
      </c>
      <c r="H15" s="243"/>
      <c r="I15" s="242"/>
      <c r="J15" s="241">
        <f t="shared" si="1"/>
        <v>0</v>
      </c>
      <c r="M15" s="214">
        <f t="shared" si="2"/>
        <v>0</v>
      </c>
      <c r="O15" s="339"/>
      <c r="P15" s="613" t="s">
        <v>328</v>
      </c>
      <c r="Q15" s="614"/>
    </row>
    <row r="16" spans="1:62" ht="27" customHeight="1">
      <c r="A16" s="292"/>
      <c r="B16" s="362"/>
      <c r="C16" s="246"/>
      <c r="D16" s="245"/>
      <c r="E16" s="242"/>
      <c r="F16" s="242"/>
      <c r="G16" s="241"/>
      <c r="H16" s="243"/>
      <c r="I16" s="242"/>
      <c r="J16" s="241"/>
      <c r="K16" s="259" t="s">
        <v>269</v>
      </c>
      <c r="M16" s="214">
        <f t="shared" si="2"/>
        <v>0</v>
      </c>
      <c r="O16" s="339"/>
      <c r="P16" s="613"/>
      <c r="Q16" s="614"/>
      <c r="R16" s="214">
        <f>'3条税込み'!I8</f>
        <v>52443869</v>
      </c>
      <c r="V16" s="214">
        <f>R16-収入税込!V15</f>
        <v>0</v>
      </c>
    </row>
    <row r="17" spans="1:23" ht="27" customHeight="1">
      <c r="A17" s="226" t="s">
        <v>251</v>
      </c>
      <c r="B17" s="266"/>
      <c r="C17" s="238">
        <f t="shared" ref="C17:J17" si="3">SUM(C7:C16)</f>
        <v>245352699</v>
      </c>
      <c r="D17" s="237">
        <f t="shared" si="3"/>
        <v>45208080</v>
      </c>
      <c r="E17" s="235">
        <f t="shared" si="3"/>
        <v>461192</v>
      </c>
      <c r="F17" s="235">
        <f t="shared" si="3"/>
        <v>36594136</v>
      </c>
      <c r="G17" s="234">
        <f t="shared" si="3"/>
        <v>82263408</v>
      </c>
      <c r="H17" s="236">
        <f t="shared" si="3"/>
        <v>298760</v>
      </c>
      <c r="I17" s="235">
        <f t="shared" si="3"/>
        <v>162790531</v>
      </c>
      <c r="J17" s="234">
        <f t="shared" si="3"/>
        <v>163089291</v>
      </c>
      <c r="K17" s="214">
        <f>G17-F13</f>
        <v>82263408</v>
      </c>
      <c r="L17" s="214">
        <f>SUM(L7:L15)</f>
        <v>21924653</v>
      </c>
      <c r="M17" s="214">
        <f t="shared" si="2"/>
        <v>0</v>
      </c>
      <c r="O17" s="339"/>
      <c r="P17" s="613" t="s">
        <v>327</v>
      </c>
      <c r="Q17" s="614"/>
    </row>
    <row r="18" spans="1:23" ht="27" customHeight="1">
      <c r="A18" s="361" t="s">
        <v>326</v>
      </c>
      <c r="B18" s="264" t="s">
        <v>325</v>
      </c>
      <c r="C18" s="360"/>
      <c r="D18" s="359"/>
      <c r="E18" s="357"/>
      <c r="F18" s="357"/>
      <c r="G18" s="356">
        <f t="shared" ref="G18:G23" si="4">SUM(D18:F18)</f>
        <v>0</v>
      </c>
      <c r="H18" s="358"/>
      <c r="I18" s="357"/>
      <c r="J18" s="356">
        <f t="shared" ref="J18:J23" si="5">SUM(H18:I18)</f>
        <v>0</v>
      </c>
      <c r="K18" s="259"/>
      <c r="L18" s="214">
        <f>収入税込!C18-収入税抜き!C18</f>
        <v>0</v>
      </c>
      <c r="M18" s="214">
        <f t="shared" si="2"/>
        <v>0</v>
      </c>
      <c r="O18" s="339"/>
      <c r="P18" s="613"/>
      <c r="Q18" s="614"/>
      <c r="R18" s="214">
        <f>'3条税込み'!L12</f>
        <v>44424775</v>
      </c>
      <c r="V18" s="214">
        <f>R18-収入税込!V17</f>
        <v>0</v>
      </c>
    </row>
    <row r="19" spans="1:23" ht="27" customHeight="1">
      <c r="A19" s="354" t="s">
        <v>324</v>
      </c>
      <c r="B19" s="255" t="s">
        <v>141</v>
      </c>
      <c r="C19" s="246">
        <f>+SUM(雨汚水!O88:O89)</f>
        <v>16476593</v>
      </c>
      <c r="D19" s="245">
        <f>+SUM(雨汚水!P88:P89)</f>
        <v>8440628</v>
      </c>
      <c r="E19" s="242">
        <f>+SUM(雨汚水!Q88:Q89)</f>
        <v>0</v>
      </c>
      <c r="F19" s="242">
        <f>+SUM(雨汚水!R88:R89)</f>
        <v>0</v>
      </c>
      <c r="G19" s="241">
        <f t="shared" si="4"/>
        <v>8440628</v>
      </c>
      <c r="H19" s="243">
        <f>+SUM(雨汚水!T88:T89)</f>
        <v>0</v>
      </c>
      <c r="I19" s="242">
        <f>+SUM(雨汚水!U88:U89)</f>
        <v>8035965</v>
      </c>
      <c r="J19" s="241">
        <f t="shared" si="5"/>
        <v>8035965</v>
      </c>
      <c r="L19" s="214">
        <f>収入税込!C19-収入税抜き!C19</f>
        <v>0</v>
      </c>
      <c r="M19" s="312">
        <f t="shared" si="2"/>
        <v>0</v>
      </c>
      <c r="O19" s="339"/>
      <c r="P19" s="613" t="s">
        <v>352</v>
      </c>
      <c r="Q19" s="614"/>
    </row>
    <row r="20" spans="1:23" ht="27" customHeight="1" thickBot="1">
      <c r="A20" s="252" t="s">
        <v>322</v>
      </c>
      <c r="B20" s="255" t="s">
        <v>351</v>
      </c>
      <c r="C20" s="246"/>
      <c r="D20" s="245"/>
      <c r="E20" s="242"/>
      <c r="F20" s="242"/>
      <c r="G20" s="241">
        <f t="shared" si="4"/>
        <v>0</v>
      </c>
      <c r="H20" s="243"/>
      <c r="I20" s="242"/>
      <c r="J20" s="241">
        <f t="shared" si="5"/>
        <v>0</v>
      </c>
      <c r="M20" s="214">
        <f t="shared" si="2"/>
        <v>0</v>
      </c>
      <c r="O20" s="353"/>
      <c r="P20" s="630"/>
      <c r="Q20" s="631"/>
      <c r="R20" s="214">
        <f>'3条税込み'!G13+'3条税込み'!G40</f>
        <v>10483859</v>
      </c>
      <c r="V20" s="214">
        <f>R20-収入税込!V19</f>
        <v>0</v>
      </c>
    </row>
    <row r="21" spans="1:23" ht="27" customHeight="1">
      <c r="A21" s="351" t="s">
        <v>320</v>
      </c>
      <c r="B21" s="352" t="s">
        <v>319</v>
      </c>
      <c r="C21" s="246">
        <f>+雨汚水!O85</f>
        <v>9364620277</v>
      </c>
      <c r="D21" s="245">
        <f>+雨汚水!P85</f>
        <v>4482094461</v>
      </c>
      <c r="E21" s="242">
        <f>+雨汚水!Q85</f>
        <v>2428480</v>
      </c>
      <c r="F21" s="242">
        <f>+雨汚水!R85</f>
        <v>0</v>
      </c>
      <c r="G21" s="241">
        <f t="shared" si="4"/>
        <v>4484522941</v>
      </c>
      <c r="H21" s="243">
        <f>+雨汚水!T85</f>
        <v>6059291</v>
      </c>
      <c r="I21" s="242">
        <f>+雨汚水!U85</f>
        <v>4874038045</v>
      </c>
      <c r="J21" s="241">
        <f t="shared" si="5"/>
        <v>4880097336</v>
      </c>
      <c r="M21" s="214">
        <f t="shared" si="2"/>
        <v>0</v>
      </c>
      <c r="O21" s="632" t="s">
        <v>52</v>
      </c>
      <c r="P21" s="633"/>
      <c r="Q21" s="622"/>
    </row>
    <row r="22" spans="1:23" ht="27" customHeight="1">
      <c r="A22" s="351" t="s">
        <v>318</v>
      </c>
      <c r="B22" s="268" t="s">
        <v>317</v>
      </c>
      <c r="C22" s="246">
        <f>+雨汚水!O86</f>
        <v>120734725</v>
      </c>
      <c r="D22" s="245">
        <f>+雨汚水!P86</f>
        <v>49928323</v>
      </c>
      <c r="E22" s="242">
        <f>+雨汚水!Q86</f>
        <v>486150</v>
      </c>
      <c r="F22" s="242">
        <f>+雨汚水!R86</f>
        <v>0</v>
      </c>
      <c r="G22" s="241">
        <f t="shared" si="4"/>
        <v>50414473</v>
      </c>
      <c r="H22" s="243">
        <f>+雨汚水!T86</f>
        <v>0</v>
      </c>
      <c r="I22" s="242">
        <f>+雨汚水!U86</f>
        <v>70320252</v>
      </c>
      <c r="J22" s="241">
        <f t="shared" si="5"/>
        <v>70320252</v>
      </c>
      <c r="M22" s="214">
        <f t="shared" si="2"/>
        <v>0</v>
      </c>
      <c r="O22" s="618"/>
      <c r="P22" s="619"/>
      <c r="Q22" s="620"/>
      <c r="R22" s="214">
        <f>'3条税抜き (消費税雑支出加算)'!J44-収入税抜き!I26+V22+R31+R33</f>
        <v>521834893</v>
      </c>
      <c r="V22" s="340">
        <v>1045455021</v>
      </c>
      <c r="W22" s="214">
        <f>V22-R22+R31+R33</f>
        <v>532823381</v>
      </c>
    </row>
    <row r="23" spans="1:23" ht="27" customHeight="1">
      <c r="A23" s="351" t="s">
        <v>316</v>
      </c>
      <c r="B23" s="247" t="s">
        <v>350</v>
      </c>
      <c r="C23" s="246">
        <f>+SUM(雨汚水!O93:O95)</f>
        <v>334220</v>
      </c>
      <c r="D23" s="245">
        <f>+SUM(雨汚水!P93:P95)</f>
        <v>281270</v>
      </c>
      <c r="E23" s="242">
        <f>+SUM(雨汚水!Q93:Q95)</f>
        <v>0</v>
      </c>
      <c r="F23" s="242">
        <f>+SUM(雨汚水!R93:R95)</f>
        <v>0</v>
      </c>
      <c r="G23" s="241">
        <f t="shared" si="4"/>
        <v>281270</v>
      </c>
      <c r="H23" s="243">
        <f>+SUM(雨汚水!T93:T95)</f>
        <v>0</v>
      </c>
      <c r="I23" s="242">
        <f>+SUM(雨汚水!U93:U95)</f>
        <v>52950</v>
      </c>
      <c r="J23" s="241">
        <f t="shared" si="5"/>
        <v>52950</v>
      </c>
      <c r="K23" s="259" t="s">
        <v>294</v>
      </c>
      <c r="M23" s="214">
        <f t="shared" si="2"/>
        <v>0</v>
      </c>
      <c r="O23" s="339"/>
      <c r="P23" s="621" t="s">
        <v>314</v>
      </c>
      <c r="Q23" s="622"/>
    </row>
    <row r="24" spans="1:23" ht="27" customHeight="1">
      <c r="A24" s="350" t="s">
        <v>313</v>
      </c>
      <c r="B24" s="349" t="s">
        <v>251</v>
      </c>
      <c r="C24" s="238">
        <f t="shared" ref="C24:J24" si="6">SUM(C18:C23)</f>
        <v>9502165815</v>
      </c>
      <c r="D24" s="237">
        <f t="shared" si="6"/>
        <v>4540744682</v>
      </c>
      <c r="E24" s="235">
        <f t="shared" si="6"/>
        <v>2914630</v>
      </c>
      <c r="F24" s="235">
        <f t="shared" si="6"/>
        <v>0</v>
      </c>
      <c r="G24" s="234">
        <f t="shared" si="6"/>
        <v>4543659312</v>
      </c>
      <c r="H24" s="236">
        <f t="shared" si="6"/>
        <v>6059291</v>
      </c>
      <c r="I24" s="235">
        <f t="shared" si="6"/>
        <v>4952447212</v>
      </c>
      <c r="J24" s="234">
        <f t="shared" si="6"/>
        <v>4958506503</v>
      </c>
      <c r="K24" s="312">
        <f>D24+E24</f>
        <v>4543659312</v>
      </c>
      <c r="L24" s="214">
        <f>SUM(L18:L20)</f>
        <v>0</v>
      </c>
      <c r="M24" s="214">
        <f t="shared" si="2"/>
        <v>0</v>
      </c>
      <c r="O24" s="339"/>
      <c r="P24" s="623"/>
      <c r="Q24" s="620"/>
      <c r="R24" s="214">
        <f>+R26+R28+R31</f>
        <v>513122744</v>
      </c>
    </row>
    <row r="25" spans="1:23" ht="27" customHeight="1">
      <c r="A25" s="233"/>
      <c r="B25" s="232"/>
      <c r="C25" s="231"/>
      <c r="D25" s="230"/>
      <c r="E25" s="228"/>
      <c r="F25" s="228"/>
      <c r="G25" s="227"/>
      <c r="H25" s="229"/>
      <c r="I25" s="228"/>
      <c r="J25" s="227"/>
      <c r="M25" s="214">
        <f t="shared" si="2"/>
        <v>0</v>
      </c>
      <c r="O25" s="339"/>
      <c r="P25" s="338"/>
      <c r="Q25" s="624" t="s">
        <v>32</v>
      </c>
    </row>
    <row r="26" spans="1:23" ht="27" customHeight="1" thickBot="1">
      <c r="A26" s="341" t="s">
        <v>249</v>
      </c>
      <c r="B26" s="224"/>
      <c r="C26" s="223">
        <f t="shared" ref="C26:J26" si="7">C6+C17+C24</f>
        <v>28373855981</v>
      </c>
      <c r="D26" s="222">
        <f t="shared" si="7"/>
        <v>4585952762</v>
      </c>
      <c r="E26" s="219">
        <f t="shared" si="7"/>
        <v>3375822</v>
      </c>
      <c r="F26" s="222">
        <f t="shared" si="7"/>
        <v>36594136</v>
      </c>
      <c r="G26" s="221">
        <f t="shared" si="7"/>
        <v>4625922720</v>
      </c>
      <c r="H26" s="220">
        <f t="shared" si="7"/>
        <v>6358051</v>
      </c>
      <c r="I26" s="219">
        <f t="shared" si="7"/>
        <v>23741575210</v>
      </c>
      <c r="J26" s="218">
        <f t="shared" si="7"/>
        <v>23747933261</v>
      </c>
      <c r="L26" s="312">
        <f>L6+L17+L24</f>
        <v>1884549714</v>
      </c>
      <c r="M26" s="312">
        <f t="shared" si="2"/>
        <v>0</v>
      </c>
      <c r="O26" s="339"/>
      <c r="P26" s="338"/>
      <c r="Q26" s="625"/>
      <c r="R26" s="214">
        <f>R36-R40-R45+V26</f>
        <v>386326257</v>
      </c>
      <c r="V26" s="340">
        <v>826474164</v>
      </c>
      <c r="W26" s="214">
        <f>V26-R26</f>
        <v>440147907</v>
      </c>
    </row>
    <row r="27" spans="1:23" ht="21" customHeight="1">
      <c r="A27" s="216"/>
      <c r="B27" s="216"/>
      <c r="C27" s="215"/>
      <c r="D27" s="215"/>
      <c r="E27" s="215"/>
      <c r="F27" s="215"/>
      <c r="G27" s="215"/>
      <c r="H27" s="215"/>
      <c r="I27" s="215"/>
      <c r="J27" s="215"/>
      <c r="O27" s="339"/>
      <c r="P27" s="338"/>
      <c r="Q27" s="624" t="s">
        <v>31</v>
      </c>
    </row>
    <row r="28" spans="1:23">
      <c r="O28" s="339"/>
      <c r="P28" s="338"/>
      <c r="Q28" s="625"/>
      <c r="R28" s="214">
        <f>R37-R41-R46+V28</f>
        <v>126791507</v>
      </c>
      <c r="V28" s="340">
        <v>219471961</v>
      </c>
      <c r="W28" s="214">
        <f>V28-R28</f>
        <v>92680454</v>
      </c>
    </row>
    <row r="29" spans="1:23">
      <c r="O29" s="339"/>
      <c r="P29" s="338"/>
      <c r="Q29" s="625"/>
    </row>
    <row r="30" spans="1:23">
      <c r="O30" s="339"/>
      <c r="P30" s="338"/>
      <c r="Q30" s="626"/>
    </row>
    <row r="31" spans="1:23">
      <c r="O31" s="339"/>
      <c r="P31" s="338"/>
      <c r="Q31" s="625" t="s">
        <v>312</v>
      </c>
      <c r="R31" s="214">
        <f>+収入税込!R31</f>
        <v>4980</v>
      </c>
    </row>
    <row r="32" spans="1:23">
      <c r="O32" s="339"/>
      <c r="P32" s="338"/>
      <c r="Q32" s="625"/>
    </row>
    <row r="33" spans="15:18" ht="27.75" customHeight="1" thickBot="1">
      <c r="O33" s="336"/>
      <c r="P33" s="374" t="s">
        <v>310</v>
      </c>
      <c r="Q33" s="334"/>
      <c r="R33" s="214">
        <f>+収入税込!V33</f>
        <v>9198273</v>
      </c>
    </row>
    <row r="34" spans="15:18" ht="27.75" customHeight="1">
      <c r="R34" s="214">
        <f>R24-R26-R28-R31</f>
        <v>0</v>
      </c>
    </row>
    <row r="35" spans="15:18">
      <c r="O35" s="214" t="s">
        <v>308</v>
      </c>
      <c r="R35" s="214">
        <f>I6-('3条税抜き (消費税雑支出加算)'!J31-I17)</f>
        <v>11540527606</v>
      </c>
    </row>
    <row r="36" spans="15:18">
      <c r="P36" s="214" t="s">
        <v>307</v>
      </c>
      <c r="R36" s="214">
        <f>'3条税抜き (消費税雑支出加算)'!J32-I21-I22</f>
        <v>9093018178</v>
      </c>
    </row>
    <row r="37" spans="15:18">
      <c r="P37" s="214" t="s">
        <v>306</v>
      </c>
      <c r="R37" s="214">
        <f>'3条税抜き (消費税雑支出加算)'!J35-収入税抜き!I24+I21+I22</f>
        <v>1914686047</v>
      </c>
    </row>
    <row r="38" spans="15:18">
      <c r="P38" s="214" t="s">
        <v>305</v>
      </c>
      <c r="R38" s="214">
        <f>R36+R37</f>
        <v>11007704225</v>
      </c>
    </row>
    <row r="39" spans="15:18">
      <c r="O39" s="214" t="s">
        <v>304</v>
      </c>
    </row>
    <row r="40" spans="15:18">
      <c r="P40" s="214" t="s">
        <v>303</v>
      </c>
      <c r="R40" s="214">
        <f>ROUND(R35*R36/R38,0)</f>
        <v>9533161971</v>
      </c>
    </row>
    <row r="41" spans="15:18">
      <c r="P41" s="214" t="s">
        <v>302</v>
      </c>
      <c r="R41" s="214">
        <f>ROUND(R35*R37/R38,0)</f>
        <v>2007365635</v>
      </c>
    </row>
    <row r="42" spans="15:18">
      <c r="P42" s="214" t="s">
        <v>297</v>
      </c>
      <c r="R42" s="214">
        <f>R40+R41</f>
        <v>11540527606</v>
      </c>
    </row>
    <row r="43" spans="15:18">
      <c r="R43" s="214">
        <f>R35-R42</f>
        <v>0</v>
      </c>
    </row>
    <row r="44" spans="15:18">
      <c r="O44" s="214" t="s">
        <v>300</v>
      </c>
      <c r="R44" s="214">
        <f>R31</f>
        <v>4980</v>
      </c>
    </row>
    <row r="45" spans="15:18">
      <c r="P45" s="214" t="s">
        <v>299</v>
      </c>
      <c r="R45" s="214">
        <f>ROUND(R44*R36/R38,0)</f>
        <v>4114</v>
      </c>
    </row>
    <row r="46" spans="15:18">
      <c r="P46" s="214" t="s">
        <v>298</v>
      </c>
      <c r="R46" s="214">
        <f>ROUND(R44*R37/R38,0)</f>
        <v>866</v>
      </c>
    </row>
    <row r="47" spans="15:18">
      <c r="P47" s="214" t="s">
        <v>297</v>
      </c>
      <c r="R47" s="214">
        <f>R44-R45-R46</f>
        <v>0</v>
      </c>
    </row>
  </sheetData>
  <mergeCells count="13">
    <mergeCell ref="Q31:Q32"/>
    <mergeCell ref="P17:Q18"/>
    <mergeCell ref="P19:Q20"/>
    <mergeCell ref="O21:Q22"/>
    <mergeCell ref="P23:Q24"/>
    <mergeCell ref="Q25:Q26"/>
    <mergeCell ref="Q27:Q30"/>
    <mergeCell ref="P15:Q16"/>
    <mergeCell ref="O3:Q4"/>
    <mergeCell ref="P5:Q6"/>
    <mergeCell ref="Q7:Q8"/>
    <mergeCell ref="Q9:Q10"/>
    <mergeCell ref="Q11:Q14"/>
  </mergeCells>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7C80"/>
  </sheetPr>
  <dimension ref="A1:BJ47"/>
  <sheetViews>
    <sheetView zoomScale="80" zoomScaleNormal="80" zoomScaleSheetLayoutView="80" workbookViewId="0">
      <selection activeCell="E9" sqref="E9"/>
    </sheetView>
  </sheetViews>
  <sheetFormatPr defaultRowHeight="11.25"/>
  <cols>
    <col min="1" max="1" width="2.375" style="214" customWidth="1"/>
    <col min="2" max="2" width="11.875" style="214" customWidth="1"/>
    <col min="3" max="3" width="13" style="214" customWidth="1"/>
    <col min="4" max="5" width="11.625" style="214" customWidth="1"/>
    <col min="6" max="6" width="11.375" style="214" customWidth="1"/>
    <col min="7" max="7" width="11.625" style="214" customWidth="1"/>
    <col min="8" max="8" width="10.875" style="214" customWidth="1"/>
    <col min="9" max="9" width="12.75" style="214" customWidth="1"/>
    <col min="10" max="10" width="13.125" style="214" customWidth="1"/>
    <col min="11" max="11" width="9.875" style="214" customWidth="1"/>
    <col min="12" max="12" width="9.375" style="214" customWidth="1"/>
    <col min="13" max="15" width="2.625" style="214" customWidth="1"/>
    <col min="16" max="16" width="8.125" style="214" customWidth="1"/>
    <col min="17" max="17" width="14.125" style="214" customWidth="1"/>
    <col min="18" max="23" width="13.125" style="214" customWidth="1"/>
    <col min="24" max="256" width="9" style="214"/>
    <col min="257" max="257" width="2.375" style="214" customWidth="1"/>
    <col min="258" max="258" width="11.875" style="214" customWidth="1"/>
    <col min="259" max="259" width="13" style="214" customWidth="1"/>
    <col min="260" max="261" width="11.625" style="214" customWidth="1"/>
    <col min="262" max="262" width="11.375" style="214" customWidth="1"/>
    <col min="263" max="263" width="11.625" style="214" customWidth="1"/>
    <col min="264" max="264" width="10.875" style="214" customWidth="1"/>
    <col min="265" max="265" width="12.75" style="214" customWidth="1"/>
    <col min="266" max="266" width="13.125" style="214" customWidth="1"/>
    <col min="267" max="267" width="9.875" style="214" customWidth="1"/>
    <col min="268" max="268" width="12" style="214" bestFit="1" customWidth="1"/>
    <col min="269" max="270" width="5.25" style="214" customWidth="1"/>
    <col min="271" max="271" width="9" style="214"/>
    <col min="272" max="272" width="10.25" style="214" customWidth="1"/>
    <col min="273" max="273" width="10.75" style="214" customWidth="1"/>
    <col min="274" max="275" width="12.875" style="214" customWidth="1"/>
    <col min="276" max="276" width="9" style="214"/>
    <col min="277" max="277" width="1.875" style="214" customWidth="1"/>
    <col min="278" max="278" width="12.375" style="214" customWidth="1"/>
    <col min="279" max="279" width="11.625" style="214" customWidth="1"/>
    <col min="280" max="512" width="9" style="214"/>
    <col min="513" max="513" width="2.375" style="214" customWidth="1"/>
    <col min="514" max="514" width="11.875" style="214" customWidth="1"/>
    <col min="515" max="515" width="13" style="214" customWidth="1"/>
    <col min="516" max="517" width="11.625" style="214" customWidth="1"/>
    <col min="518" max="518" width="11.375" style="214" customWidth="1"/>
    <col min="519" max="519" width="11.625" style="214" customWidth="1"/>
    <col min="520" max="520" width="10.875" style="214" customWidth="1"/>
    <col min="521" max="521" width="12.75" style="214" customWidth="1"/>
    <col min="522" max="522" width="13.125" style="214" customWidth="1"/>
    <col min="523" max="523" width="9.875" style="214" customWidth="1"/>
    <col min="524" max="524" width="12" style="214" bestFit="1" customWidth="1"/>
    <col min="525" max="526" width="5.25" style="214" customWidth="1"/>
    <col min="527" max="527" width="9" style="214"/>
    <col min="528" max="528" width="10.25" style="214" customWidth="1"/>
    <col min="529" max="529" width="10.75" style="214" customWidth="1"/>
    <col min="530" max="531" width="12.875" style="214" customWidth="1"/>
    <col min="532" max="532" width="9" style="214"/>
    <col min="533" max="533" width="1.875" style="214" customWidth="1"/>
    <col min="534" max="534" width="12.375" style="214" customWidth="1"/>
    <col min="535" max="535" width="11.625" style="214" customWidth="1"/>
    <col min="536" max="768" width="9" style="214"/>
    <col min="769" max="769" width="2.375" style="214" customWidth="1"/>
    <col min="770" max="770" width="11.875" style="214" customWidth="1"/>
    <col min="771" max="771" width="13" style="214" customWidth="1"/>
    <col min="772" max="773" width="11.625" style="214" customWidth="1"/>
    <col min="774" max="774" width="11.375" style="214" customWidth="1"/>
    <col min="775" max="775" width="11.625" style="214" customWidth="1"/>
    <col min="776" max="776" width="10.875" style="214" customWidth="1"/>
    <col min="777" max="777" width="12.75" style="214" customWidth="1"/>
    <col min="778" max="778" width="13.125" style="214" customWidth="1"/>
    <col min="779" max="779" width="9.875" style="214" customWidth="1"/>
    <col min="780" max="780" width="12" style="214" bestFit="1" customWidth="1"/>
    <col min="781" max="782" width="5.25" style="214" customWidth="1"/>
    <col min="783" max="783" width="9" style="214"/>
    <col min="784" max="784" width="10.25" style="214" customWidth="1"/>
    <col min="785" max="785" width="10.75" style="214" customWidth="1"/>
    <col min="786" max="787" width="12.875" style="214" customWidth="1"/>
    <col min="788" max="788" width="9" style="214"/>
    <col min="789" max="789" width="1.875" style="214" customWidth="1"/>
    <col min="790" max="790" width="12.375" style="214" customWidth="1"/>
    <col min="791" max="791" width="11.625" style="214" customWidth="1"/>
    <col min="792" max="1024" width="9" style="214"/>
    <col min="1025" max="1025" width="2.375" style="214" customWidth="1"/>
    <col min="1026" max="1026" width="11.875" style="214" customWidth="1"/>
    <col min="1027" max="1027" width="13" style="214" customWidth="1"/>
    <col min="1028" max="1029" width="11.625" style="214" customWidth="1"/>
    <col min="1030" max="1030" width="11.375" style="214" customWidth="1"/>
    <col min="1031" max="1031" width="11.625" style="214" customWidth="1"/>
    <col min="1032" max="1032" width="10.875" style="214" customWidth="1"/>
    <col min="1033" max="1033" width="12.75" style="214" customWidth="1"/>
    <col min="1034" max="1034" width="13.125" style="214" customWidth="1"/>
    <col min="1035" max="1035" width="9.875" style="214" customWidth="1"/>
    <col min="1036" max="1036" width="12" style="214" bestFit="1" customWidth="1"/>
    <col min="1037" max="1038" width="5.25" style="214" customWidth="1"/>
    <col min="1039" max="1039" width="9" style="214"/>
    <col min="1040" max="1040" width="10.25" style="214" customWidth="1"/>
    <col min="1041" max="1041" width="10.75" style="214" customWidth="1"/>
    <col min="1042" max="1043" width="12.875" style="214" customWidth="1"/>
    <col min="1044" max="1044" width="9" style="214"/>
    <col min="1045" max="1045" width="1.875" style="214" customWidth="1"/>
    <col min="1046" max="1046" width="12.375" style="214" customWidth="1"/>
    <col min="1047" max="1047" width="11.625" style="214" customWidth="1"/>
    <col min="1048" max="1280" width="9" style="214"/>
    <col min="1281" max="1281" width="2.375" style="214" customWidth="1"/>
    <col min="1282" max="1282" width="11.875" style="214" customWidth="1"/>
    <col min="1283" max="1283" width="13" style="214" customWidth="1"/>
    <col min="1284" max="1285" width="11.625" style="214" customWidth="1"/>
    <col min="1286" max="1286" width="11.375" style="214" customWidth="1"/>
    <col min="1287" max="1287" width="11.625" style="214" customWidth="1"/>
    <col min="1288" max="1288" width="10.875" style="214" customWidth="1"/>
    <col min="1289" max="1289" width="12.75" style="214" customWidth="1"/>
    <col min="1290" max="1290" width="13.125" style="214" customWidth="1"/>
    <col min="1291" max="1291" width="9.875" style="214" customWidth="1"/>
    <col min="1292" max="1292" width="12" style="214" bestFit="1" customWidth="1"/>
    <col min="1293" max="1294" width="5.25" style="214" customWidth="1"/>
    <col min="1295" max="1295" width="9" style="214"/>
    <col min="1296" max="1296" width="10.25" style="214" customWidth="1"/>
    <col min="1297" max="1297" width="10.75" style="214" customWidth="1"/>
    <col min="1298" max="1299" width="12.875" style="214" customWidth="1"/>
    <col min="1300" max="1300" width="9" style="214"/>
    <col min="1301" max="1301" width="1.875" style="214" customWidth="1"/>
    <col min="1302" max="1302" width="12.375" style="214" customWidth="1"/>
    <col min="1303" max="1303" width="11.625" style="214" customWidth="1"/>
    <col min="1304" max="1536" width="9" style="214"/>
    <col min="1537" max="1537" width="2.375" style="214" customWidth="1"/>
    <col min="1538" max="1538" width="11.875" style="214" customWidth="1"/>
    <col min="1539" max="1539" width="13" style="214" customWidth="1"/>
    <col min="1540" max="1541" width="11.625" style="214" customWidth="1"/>
    <col min="1542" max="1542" width="11.375" style="214" customWidth="1"/>
    <col min="1543" max="1543" width="11.625" style="214" customWidth="1"/>
    <col min="1544" max="1544" width="10.875" style="214" customWidth="1"/>
    <col min="1545" max="1545" width="12.75" style="214" customWidth="1"/>
    <col min="1546" max="1546" width="13.125" style="214" customWidth="1"/>
    <col min="1547" max="1547" width="9.875" style="214" customWidth="1"/>
    <col min="1548" max="1548" width="12" style="214" bestFit="1" customWidth="1"/>
    <col min="1549" max="1550" width="5.25" style="214" customWidth="1"/>
    <col min="1551" max="1551" width="9" style="214"/>
    <col min="1552" max="1552" width="10.25" style="214" customWidth="1"/>
    <col min="1553" max="1553" width="10.75" style="214" customWidth="1"/>
    <col min="1554" max="1555" width="12.875" style="214" customWidth="1"/>
    <col min="1556" max="1556" width="9" style="214"/>
    <col min="1557" max="1557" width="1.875" style="214" customWidth="1"/>
    <col min="1558" max="1558" width="12.375" style="214" customWidth="1"/>
    <col min="1559" max="1559" width="11.625" style="214" customWidth="1"/>
    <col min="1560" max="1792" width="9" style="214"/>
    <col min="1793" max="1793" width="2.375" style="214" customWidth="1"/>
    <col min="1794" max="1794" width="11.875" style="214" customWidth="1"/>
    <col min="1795" max="1795" width="13" style="214" customWidth="1"/>
    <col min="1796" max="1797" width="11.625" style="214" customWidth="1"/>
    <col min="1798" max="1798" width="11.375" style="214" customWidth="1"/>
    <col min="1799" max="1799" width="11.625" style="214" customWidth="1"/>
    <col min="1800" max="1800" width="10.875" style="214" customWidth="1"/>
    <col min="1801" max="1801" width="12.75" style="214" customWidth="1"/>
    <col min="1802" max="1802" width="13.125" style="214" customWidth="1"/>
    <col min="1803" max="1803" width="9.875" style="214" customWidth="1"/>
    <col min="1804" max="1804" width="12" style="214" bestFit="1" customWidth="1"/>
    <col min="1805" max="1806" width="5.25" style="214" customWidth="1"/>
    <col min="1807" max="1807" width="9" style="214"/>
    <col min="1808" max="1808" width="10.25" style="214" customWidth="1"/>
    <col min="1809" max="1809" width="10.75" style="214" customWidth="1"/>
    <col min="1810" max="1811" width="12.875" style="214" customWidth="1"/>
    <col min="1812" max="1812" width="9" style="214"/>
    <col min="1813" max="1813" width="1.875" style="214" customWidth="1"/>
    <col min="1814" max="1814" width="12.375" style="214" customWidth="1"/>
    <col min="1815" max="1815" width="11.625" style="214" customWidth="1"/>
    <col min="1816" max="2048" width="9" style="214"/>
    <col min="2049" max="2049" width="2.375" style="214" customWidth="1"/>
    <col min="2050" max="2050" width="11.875" style="214" customWidth="1"/>
    <col min="2051" max="2051" width="13" style="214" customWidth="1"/>
    <col min="2052" max="2053" width="11.625" style="214" customWidth="1"/>
    <col min="2054" max="2054" width="11.375" style="214" customWidth="1"/>
    <col min="2055" max="2055" width="11.625" style="214" customWidth="1"/>
    <col min="2056" max="2056" width="10.875" style="214" customWidth="1"/>
    <col min="2057" max="2057" width="12.75" style="214" customWidth="1"/>
    <col min="2058" max="2058" width="13.125" style="214" customWidth="1"/>
    <col min="2059" max="2059" width="9.875" style="214" customWidth="1"/>
    <col min="2060" max="2060" width="12" style="214" bestFit="1" customWidth="1"/>
    <col min="2061" max="2062" width="5.25" style="214" customWidth="1"/>
    <col min="2063" max="2063" width="9" style="214"/>
    <col min="2064" max="2064" width="10.25" style="214" customWidth="1"/>
    <col min="2065" max="2065" width="10.75" style="214" customWidth="1"/>
    <col min="2066" max="2067" width="12.875" style="214" customWidth="1"/>
    <col min="2068" max="2068" width="9" style="214"/>
    <col min="2069" max="2069" width="1.875" style="214" customWidth="1"/>
    <col min="2070" max="2070" width="12.375" style="214" customWidth="1"/>
    <col min="2071" max="2071" width="11.625" style="214" customWidth="1"/>
    <col min="2072" max="2304" width="9" style="214"/>
    <col min="2305" max="2305" width="2.375" style="214" customWidth="1"/>
    <col min="2306" max="2306" width="11.875" style="214" customWidth="1"/>
    <col min="2307" max="2307" width="13" style="214" customWidth="1"/>
    <col min="2308" max="2309" width="11.625" style="214" customWidth="1"/>
    <col min="2310" max="2310" width="11.375" style="214" customWidth="1"/>
    <col min="2311" max="2311" width="11.625" style="214" customWidth="1"/>
    <col min="2312" max="2312" width="10.875" style="214" customWidth="1"/>
    <col min="2313" max="2313" width="12.75" style="214" customWidth="1"/>
    <col min="2314" max="2314" width="13.125" style="214" customWidth="1"/>
    <col min="2315" max="2315" width="9.875" style="214" customWidth="1"/>
    <col min="2316" max="2316" width="12" style="214" bestFit="1" customWidth="1"/>
    <col min="2317" max="2318" width="5.25" style="214" customWidth="1"/>
    <col min="2319" max="2319" width="9" style="214"/>
    <col min="2320" max="2320" width="10.25" style="214" customWidth="1"/>
    <col min="2321" max="2321" width="10.75" style="214" customWidth="1"/>
    <col min="2322" max="2323" width="12.875" style="214" customWidth="1"/>
    <col min="2324" max="2324" width="9" style="214"/>
    <col min="2325" max="2325" width="1.875" style="214" customWidth="1"/>
    <col min="2326" max="2326" width="12.375" style="214" customWidth="1"/>
    <col min="2327" max="2327" width="11.625" style="214" customWidth="1"/>
    <col min="2328" max="2560" width="9" style="214"/>
    <col min="2561" max="2561" width="2.375" style="214" customWidth="1"/>
    <col min="2562" max="2562" width="11.875" style="214" customWidth="1"/>
    <col min="2563" max="2563" width="13" style="214" customWidth="1"/>
    <col min="2564" max="2565" width="11.625" style="214" customWidth="1"/>
    <col min="2566" max="2566" width="11.375" style="214" customWidth="1"/>
    <col min="2567" max="2567" width="11.625" style="214" customWidth="1"/>
    <col min="2568" max="2568" width="10.875" style="214" customWidth="1"/>
    <col min="2569" max="2569" width="12.75" style="214" customWidth="1"/>
    <col min="2570" max="2570" width="13.125" style="214" customWidth="1"/>
    <col min="2571" max="2571" width="9.875" style="214" customWidth="1"/>
    <col min="2572" max="2572" width="12" style="214" bestFit="1" customWidth="1"/>
    <col min="2573" max="2574" width="5.25" style="214" customWidth="1"/>
    <col min="2575" max="2575" width="9" style="214"/>
    <col min="2576" max="2576" width="10.25" style="214" customWidth="1"/>
    <col min="2577" max="2577" width="10.75" style="214" customWidth="1"/>
    <col min="2578" max="2579" width="12.875" style="214" customWidth="1"/>
    <col min="2580" max="2580" width="9" style="214"/>
    <col min="2581" max="2581" width="1.875" style="214" customWidth="1"/>
    <col min="2582" max="2582" width="12.375" style="214" customWidth="1"/>
    <col min="2583" max="2583" width="11.625" style="214" customWidth="1"/>
    <col min="2584" max="2816" width="9" style="214"/>
    <col min="2817" max="2817" width="2.375" style="214" customWidth="1"/>
    <col min="2818" max="2818" width="11.875" style="214" customWidth="1"/>
    <col min="2819" max="2819" width="13" style="214" customWidth="1"/>
    <col min="2820" max="2821" width="11.625" style="214" customWidth="1"/>
    <col min="2822" max="2822" width="11.375" style="214" customWidth="1"/>
    <col min="2823" max="2823" width="11.625" style="214" customWidth="1"/>
    <col min="2824" max="2824" width="10.875" style="214" customWidth="1"/>
    <col min="2825" max="2825" width="12.75" style="214" customWidth="1"/>
    <col min="2826" max="2826" width="13.125" style="214" customWidth="1"/>
    <col min="2827" max="2827" width="9.875" style="214" customWidth="1"/>
    <col min="2828" max="2828" width="12" style="214" bestFit="1" customWidth="1"/>
    <col min="2829" max="2830" width="5.25" style="214" customWidth="1"/>
    <col min="2831" max="2831" width="9" style="214"/>
    <col min="2832" max="2832" width="10.25" style="214" customWidth="1"/>
    <col min="2833" max="2833" width="10.75" style="214" customWidth="1"/>
    <col min="2834" max="2835" width="12.875" style="214" customWidth="1"/>
    <col min="2836" max="2836" width="9" style="214"/>
    <col min="2837" max="2837" width="1.875" style="214" customWidth="1"/>
    <col min="2838" max="2838" width="12.375" style="214" customWidth="1"/>
    <col min="2839" max="2839" width="11.625" style="214" customWidth="1"/>
    <col min="2840" max="3072" width="9" style="214"/>
    <col min="3073" max="3073" width="2.375" style="214" customWidth="1"/>
    <col min="3074" max="3074" width="11.875" style="214" customWidth="1"/>
    <col min="3075" max="3075" width="13" style="214" customWidth="1"/>
    <col min="3076" max="3077" width="11.625" style="214" customWidth="1"/>
    <col min="3078" max="3078" width="11.375" style="214" customWidth="1"/>
    <col min="3079" max="3079" width="11.625" style="214" customWidth="1"/>
    <col min="3080" max="3080" width="10.875" style="214" customWidth="1"/>
    <col min="3081" max="3081" width="12.75" style="214" customWidth="1"/>
    <col min="3082" max="3082" width="13.125" style="214" customWidth="1"/>
    <col min="3083" max="3083" width="9.875" style="214" customWidth="1"/>
    <col min="3084" max="3084" width="12" style="214" bestFit="1" customWidth="1"/>
    <col min="3085" max="3086" width="5.25" style="214" customWidth="1"/>
    <col min="3087" max="3087" width="9" style="214"/>
    <col min="3088" max="3088" width="10.25" style="214" customWidth="1"/>
    <col min="3089" max="3089" width="10.75" style="214" customWidth="1"/>
    <col min="3090" max="3091" width="12.875" style="214" customWidth="1"/>
    <col min="3092" max="3092" width="9" style="214"/>
    <col min="3093" max="3093" width="1.875" style="214" customWidth="1"/>
    <col min="3094" max="3094" width="12.375" style="214" customWidth="1"/>
    <col min="3095" max="3095" width="11.625" style="214" customWidth="1"/>
    <col min="3096" max="3328" width="9" style="214"/>
    <col min="3329" max="3329" width="2.375" style="214" customWidth="1"/>
    <col min="3330" max="3330" width="11.875" style="214" customWidth="1"/>
    <col min="3331" max="3331" width="13" style="214" customWidth="1"/>
    <col min="3332" max="3333" width="11.625" style="214" customWidth="1"/>
    <col min="3334" max="3334" width="11.375" style="214" customWidth="1"/>
    <col min="3335" max="3335" width="11.625" style="214" customWidth="1"/>
    <col min="3336" max="3336" width="10.875" style="214" customWidth="1"/>
    <col min="3337" max="3337" width="12.75" style="214" customWidth="1"/>
    <col min="3338" max="3338" width="13.125" style="214" customWidth="1"/>
    <col min="3339" max="3339" width="9.875" style="214" customWidth="1"/>
    <col min="3340" max="3340" width="12" style="214" bestFit="1" customWidth="1"/>
    <col min="3341" max="3342" width="5.25" style="214" customWidth="1"/>
    <col min="3343" max="3343" width="9" style="214"/>
    <col min="3344" max="3344" width="10.25" style="214" customWidth="1"/>
    <col min="3345" max="3345" width="10.75" style="214" customWidth="1"/>
    <col min="3346" max="3347" width="12.875" style="214" customWidth="1"/>
    <col min="3348" max="3348" width="9" style="214"/>
    <col min="3349" max="3349" width="1.875" style="214" customWidth="1"/>
    <col min="3350" max="3350" width="12.375" style="214" customWidth="1"/>
    <col min="3351" max="3351" width="11.625" style="214" customWidth="1"/>
    <col min="3352" max="3584" width="9" style="214"/>
    <col min="3585" max="3585" width="2.375" style="214" customWidth="1"/>
    <col min="3586" max="3586" width="11.875" style="214" customWidth="1"/>
    <col min="3587" max="3587" width="13" style="214" customWidth="1"/>
    <col min="3588" max="3589" width="11.625" style="214" customWidth="1"/>
    <col min="3590" max="3590" width="11.375" style="214" customWidth="1"/>
    <col min="3591" max="3591" width="11.625" style="214" customWidth="1"/>
    <col min="3592" max="3592" width="10.875" style="214" customWidth="1"/>
    <col min="3593" max="3593" width="12.75" style="214" customWidth="1"/>
    <col min="3594" max="3594" width="13.125" style="214" customWidth="1"/>
    <col min="3595" max="3595" width="9.875" style="214" customWidth="1"/>
    <col min="3596" max="3596" width="12" style="214" bestFit="1" customWidth="1"/>
    <col min="3597" max="3598" width="5.25" style="214" customWidth="1"/>
    <col min="3599" max="3599" width="9" style="214"/>
    <col min="3600" max="3600" width="10.25" style="214" customWidth="1"/>
    <col min="3601" max="3601" width="10.75" style="214" customWidth="1"/>
    <col min="3602" max="3603" width="12.875" style="214" customWidth="1"/>
    <col min="3604" max="3604" width="9" style="214"/>
    <col min="3605" max="3605" width="1.875" style="214" customWidth="1"/>
    <col min="3606" max="3606" width="12.375" style="214" customWidth="1"/>
    <col min="3607" max="3607" width="11.625" style="214" customWidth="1"/>
    <col min="3608" max="3840" width="9" style="214"/>
    <col min="3841" max="3841" width="2.375" style="214" customWidth="1"/>
    <col min="3842" max="3842" width="11.875" style="214" customWidth="1"/>
    <col min="3843" max="3843" width="13" style="214" customWidth="1"/>
    <col min="3844" max="3845" width="11.625" style="214" customWidth="1"/>
    <col min="3846" max="3846" width="11.375" style="214" customWidth="1"/>
    <col min="3847" max="3847" width="11.625" style="214" customWidth="1"/>
    <col min="3848" max="3848" width="10.875" style="214" customWidth="1"/>
    <col min="3849" max="3849" width="12.75" style="214" customWidth="1"/>
    <col min="3850" max="3850" width="13.125" style="214" customWidth="1"/>
    <col min="3851" max="3851" width="9.875" style="214" customWidth="1"/>
    <col min="3852" max="3852" width="12" style="214" bestFit="1" customWidth="1"/>
    <col min="3853" max="3854" width="5.25" style="214" customWidth="1"/>
    <col min="3855" max="3855" width="9" style="214"/>
    <col min="3856" max="3856" width="10.25" style="214" customWidth="1"/>
    <col min="3857" max="3857" width="10.75" style="214" customWidth="1"/>
    <col min="3858" max="3859" width="12.875" style="214" customWidth="1"/>
    <col min="3860" max="3860" width="9" style="214"/>
    <col min="3861" max="3861" width="1.875" style="214" customWidth="1"/>
    <col min="3862" max="3862" width="12.375" style="214" customWidth="1"/>
    <col min="3863" max="3863" width="11.625" style="214" customWidth="1"/>
    <col min="3864" max="4096" width="9" style="214"/>
    <col min="4097" max="4097" width="2.375" style="214" customWidth="1"/>
    <col min="4098" max="4098" width="11.875" style="214" customWidth="1"/>
    <col min="4099" max="4099" width="13" style="214" customWidth="1"/>
    <col min="4100" max="4101" width="11.625" style="214" customWidth="1"/>
    <col min="4102" max="4102" width="11.375" style="214" customWidth="1"/>
    <col min="4103" max="4103" width="11.625" style="214" customWidth="1"/>
    <col min="4104" max="4104" width="10.875" style="214" customWidth="1"/>
    <col min="4105" max="4105" width="12.75" style="214" customWidth="1"/>
    <col min="4106" max="4106" width="13.125" style="214" customWidth="1"/>
    <col min="4107" max="4107" width="9.875" style="214" customWidth="1"/>
    <col min="4108" max="4108" width="12" style="214" bestFit="1" customWidth="1"/>
    <col min="4109" max="4110" width="5.25" style="214" customWidth="1"/>
    <col min="4111" max="4111" width="9" style="214"/>
    <col min="4112" max="4112" width="10.25" style="214" customWidth="1"/>
    <col min="4113" max="4113" width="10.75" style="214" customWidth="1"/>
    <col min="4114" max="4115" width="12.875" style="214" customWidth="1"/>
    <col min="4116" max="4116" width="9" style="214"/>
    <col min="4117" max="4117" width="1.875" style="214" customWidth="1"/>
    <col min="4118" max="4118" width="12.375" style="214" customWidth="1"/>
    <col min="4119" max="4119" width="11.625" style="214" customWidth="1"/>
    <col min="4120" max="4352" width="9" style="214"/>
    <col min="4353" max="4353" width="2.375" style="214" customWidth="1"/>
    <col min="4354" max="4354" width="11.875" style="214" customWidth="1"/>
    <col min="4355" max="4355" width="13" style="214" customWidth="1"/>
    <col min="4356" max="4357" width="11.625" style="214" customWidth="1"/>
    <col min="4358" max="4358" width="11.375" style="214" customWidth="1"/>
    <col min="4359" max="4359" width="11.625" style="214" customWidth="1"/>
    <col min="4360" max="4360" width="10.875" style="214" customWidth="1"/>
    <col min="4361" max="4361" width="12.75" style="214" customWidth="1"/>
    <col min="4362" max="4362" width="13.125" style="214" customWidth="1"/>
    <col min="4363" max="4363" width="9.875" style="214" customWidth="1"/>
    <col min="4364" max="4364" width="12" style="214" bestFit="1" customWidth="1"/>
    <col min="4365" max="4366" width="5.25" style="214" customWidth="1"/>
    <col min="4367" max="4367" width="9" style="214"/>
    <col min="4368" max="4368" width="10.25" style="214" customWidth="1"/>
    <col min="4369" max="4369" width="10.75" style="214" customWidth="1"/>
    <col min="4370" max="4371" width="12.875" style="214" customWidth="1"/>
    <col min="4372" max="4372" width="9" style="214"/>
    <col min="4373" max="4373" width="1.875" style="214" customWidth="1"/>
    <col min="4374" max="4374" width="12.375" style="214" customWidth="1"/>
    <col min="4375" max="4375" width="11.625" style="214" customWidth="1"/>
    <col min="4376" max="4608" width="9" style="214"/>
    <col min="4609" max="4609" width="2.375" style="214" customWidth="1"/>
    <col min="4610" max="4610" width="11.875" style="214" customWidth="1"/>
    <col min="4611" max="4611" width="13" style="214" customWidth="1"/>
    <col min="4612" max="4613" width="11.625" style="214" customWidth="1"/>
    <col min="4614" max="4614" width="11.375" style="214" customWidth="1"/>
    <col min="4615" max="4615" width="11.625" style="214" customWidth="1"/>
    <col min="4616" max="4616" width="10.875" style="214" customWidth="1"/>
    <col min="4617" max="4617" width="12.75" style="214" customWidth="1"/>
    <col min="4618" max="4618" width="13.125" style="214" customWidth="1"/>
    <col min="4619" max="4619" width="9.875" style="214" customWidth="1"/>
    <col min="4620" max="4620" width="12" style="214" bestFit="1" customWidth="1"/>
    <col min="4621" max="4622" width="5.25" style="214" customWidth="1"/>
    <col min="4623" max="4623" width="9" style="214"/>
    <col min="4624" max="4624" width="10.25" style="214" customWidth="1"/>
    <col min="4625" max="4625" width="10.75" style="214" customWidth="1"/>
    <col min="4626" max="4627" width="12.875" style="214" customWidth="1"/>
    <col min="4628" max="4628" width="9" style="214"/>
    <col min="4629" max="4629" width="1.875" style="214" customWidth="1"/>
    <col min="4630" max="4630" width="12.375" style="214" customWidth="1"/>
    <col min="4631" max="4631" width="11.625" style="214" customWidth="1"/>
    <col min="4632" max="4864" width="9" style="214"/>
    <col min="4865" max="4865" width="2.375" style="214" customWidth="1"/>
    <col min="4866" max="4866" width="11.875" style="214" customWidth="1"/>
    <col min="4867" max="4867" width="13" style="214" customWidth="1"/>
    <col min="4868" max="4869" width="11.625" style="214" customWidth="1"/>
    <col min="4870" max="4870" width="11.375" style="214" customWidth="1"/>
    <col min="4871" max="4871" width="11.625" style="214" customWidth="1"/>
    <col min="4872" max="4872" width="10.875" style="214" customWidth="1"/>
    <col min="4873" max="4873" width="12.75" style="214" customWidth="1"/>
    <col min="4874" max="4874" width="13.125" style="214" customWidth="1"/>
    <col min="4875" max="4875" width="9.875" style="214" customWidth="1"/>
    <col min="4876" max="4876" width="12" style="214" bestFit="1" customWidth="1"/>
    <col min="4877" max="4878" width="5.25" style="214" customWidth="1"/>
    <col min="4879" max="4879" width="9" style="214"/>
    <col min="4880" max="4880" width="10.25" style="214" customWidth="1"/>
    <col min="4881" max="4881" width="10.75" style="214" customWidth="1"/>
    <col min="4882" max="4883" width="12.875" style="214" customWidth="1"/>
    <col min="4884" max="4884" width="9" style="214"/>
    <col min="4885" max="4885" width="1.875" style="214" customWidth="1"/>
    <col min="4886" max="4886" width="12.375" style="214" customWidth="1"/>
    <col min="4887" max="4887" width="11.625" style="214" customWidth="1"/>
    <col min="4888" max="5120" width="9" style="214"/>
    <col min="5121" max="5121" width="2.375" style="214" customWidth="1"/>
    <col min="5122" max="5122" width="11.875" style="214" customWidth="1"/>
    <col min="5123" max="5123" width="13" style="214" customWidth="1"/>
    <col min="5124" max="5125" width="11.625" style="214" customWidth="1"/>
    <col min="5126" max="5126" width="11.375" style="214" customWidth="1"/>
    <col min="5127" max="5127" width="11.625" style="214" customWidth="1"/>
    <col min="5128" max="5128" width="10.875" style="214" customWidth="1"/>
    <col min="5129" max="5129" width="12.75" style="214" customWidth="1"/>
    <col min="5130" max="5130" width="13.125" style="214" customWidth="1"/>
    <col min="5131" max="5131" width="9.875" style="214" customWidth="1"/>
    <col min="5132" max="5132" width="12" style="214" bestFit="1" customWidth="1"/>
    <col min="5133" max="5134" width="5.25" style="214" customWidth="1"/>
    <col min="5135" max="5135" width="9" style="214"/>
    <col min="5136" max="5136" width="10.25" style="214" customWidth="1"/>
    <col min="5137" max="5137" width="10.75" style="214" customWidth="1"/>
    <col min="5138" max="5139" width="12.875" style="214" customWidth="1"/>
    <col min="5140" max="5140" width="9" style="214"/>
    <col min="5141" max="5141" width="1.875" style="214" customWidth="1"/>
    <col min="5142" max="5142" width="12.375" style="214" customWidth="1"/>
    <col min="5143" max="5143" width="11.625" style="214" customWidth="1"/>
    <col min="5144" max="5376" width="9" style="214"/>
    <col min="5377" max="5377" width="2.375" style="214" customWidth="1"/>
    <col min="5378" max="5378" width="11.875" style="214" customWidth="1"/>
    <col min="5379" max="5379" width="13" style="214" customWidth="1"/>
    <col min="5380" max="5381" width="11.625" style="214" customWidth="1"/>
    <col min="5382" max="5382" width="11.375" style="214" customWidth="1"/>
    <col min="5383" max="5383" width="11.625" style="214" customWidth="1"/>
    <col min="5384" max="5384" width="10.875" style="214" customWidth="1"/>
    <col min="5385" max="5385" width="12.75" style="214" customWidth="1"/>
    <col min="5386" max="5386" width="13.125" style="214" customWidth="1"/>
    <col min="5387" max="5387" width="9.875" style="214" customWidth="1"/>
    <col min="5388" max="5388" width="12" style="214" bestFit="1" customWidth="1"/>
    <col min="5389" max="5390" width="5.25" style="214" customWidth="1"/>
    <col min="5391" max="5391" width="9" style="214"/>
    <col min="5392" max="5392" width="10.25" style="214" customWidth="1"/>
    <col min="5393" max="5393" width="10.75" style="214" customWidth="1"/>
    <col min="5394" max="5395" width="12.875" style="214" customWidth="1"/>
    <col min="5396" max="5396" width="9" style="214"/>
    <col min="5397" max="5397" width="1.875" style="214" customWidth="1"/>
    <col min="5398" max="5398" width="12.375" style="214" customWidth="1"/>
    <col min="5399" max="5399" width="11.625" style="214" customWidth="1"/>
    <col min="5400" max="5632" width="9" style="214"/>
    <col min="5633" max="5633" width="2.375" style="214" customWidth="1"/>
    <col min="5634" max="5634" width="11.875" style="214" customWidth="1"/>
    <col min="5635" max="5635" width="13" style="214" customWidth="1"/>
    <col min="5636" max="5637" width="11.625" style="214" customWidth="1"/>
    <col min="5638" max="5638" width="11.375" style="214" customWidth="1"/>
    <col min="5639" max="5639" width="11.625" style="214" customWidth="1"/>
    <col min="5640" max="5640" width="10.875" style="214" customWidth="1"/>
    <col min="5641" max="5641" width="12.75" style="214" customWidth="1"/>
    <col min="5642" max="5642" width="13.125" style="214" customWidth="1"/>
    <col min="5643" max="5643" width="9.875" style="214" customWidth="1"/>
    <col min="5644" max="5644" width="12" style="214" bestFit="1" customWidth="1"/>
    <col min="5645" max="5646" width="5.25" style="214" customWidth="1"/>
    <col min="5647" max="5647" width="9" style="214"/>
    <col min="5648" max="5648" width="10.25" style="214" customWidth="1"/>
    <col min="5649" max="5649" width="10.75" style="214" customWidth="1"/>
    <col min="5650" max="5651" width="12.875" style="214" customWidth="1"/>
    <col min="5652" max="5652" width="9" style="214"/>
    <col min="5653" max="5653" width="1.875" style="214" customWidth="1"/>
    <col min="5654" max="5654" width="12.375" style="214" customWidth="1"/>
    <col min="5655" max="5655" width="11.625" style="214" customWidth="1"/>
    <col min="5656" max="5888" width="9" style="214"/>
    <col min="5889" max="5889" width="2.375" style="214" customWidth="1"/>
    <col min="5890" max="5890" width="11.875" style="214" customWidth="1"/>
    <col min="5891" max="5891" width="13" style="214" customWidth="1"/>
    <col min="5892" max="5893" width="11.625" style="214" customWidth="1"/>
    <col min="5894" max="5894" width="11.375" style="214" customWidth="1"/>
    <col min="5895" max="5895" width="11.625" style="214" customWidth="1"/>
    <col min="5896" max="5896" width="10.875" style="214" customWidth="1"/>
    <col min="5897" max="5897" width="12.75" style="214" customWidth="1"/>
    <col min="5898" max="5898" width="13.125" style="214" customWidth="1"/>
    <col min="5899" max="5899" width="9.875" style="214" customWidth="1"/>
    <col min="5900" max="5900" width="12" style="214" bestFit="1" customWidth="1"/>
    <col min="5901" max="5902" width="5.25" style="214" customWidth="1"/>
    <col min="5903" max="5903" width="9" style="214"/>
    <col min="5904" max="5904" width="10.25" style="214" customWidth="1"/>
    <col min="5905" max="5905" width="10.75" style="214" customWidth="1"/>
    <col min="5906" max="5907" width="12.875" style="214" customWidth="1"/>
    <col min="5908" max="5908" width="9" style="214"/>
    <col min="5909" max="5909" width="1.875" style="214" customWidth="1"/>
    <col min="5910" max="5910" width="12.375" style="214" customWidth="1"/>
    <col min="5911" max="5911" width="11.625" style="214" customWidth="1"/>
    <col min="5912" max="6144" width="9" style="214"/>
    <col min="6145" max="6145" width="2.375" style="214" customWidth="1"/>
    <col min="6146" max="6146" width="11.875" style="214" customWidth="1"/>
    <col min="6147" max="6147" width="13" style="214" customWidth="1"/>
    <col min="6148" max="6149" width="11.625" style="214" customWidth="1"/>
    <col min="6150" max="6150" width="11.375" style="214" customWidth="1"/>
    <col min="6151" max="6151" width="11.625" style="214" customWidth="1"/>
    <col min="6152" max="6152" width="10.875" style="214" customWidth="1"/>
    <col min="6153" max="6153" width="12.75" style="214" customWidth="1"/>
    <col min="6154" max="6154" width="13.125" style="214" customWidth="1"/>
    <col min="6155" max="6155" width="9.875" style="214" customWidth="1"/>
    <col min="6156" max="6156" width="12" style="214" bestFit="1" customWidth="1"/>
    <col min="6157" max="6158" width="5.25" style="214" customWidth="1"/>
    <col min="6159" max="6159" width="9" style="214"/>
    <col min="6160" max="6160" width="10.25" style="214" customWidth="1"/>
    <col min="6161" max="6161" width="10.75" style="214" customWidth="1"/>
    <col min="6162" max="6163" width="12.875" style="214" customWidth="1"/>
    <col min="6164" max="6164" width="9" style="214"/>
    <col min="6165" max="6165" width="1.875" style="214" customWidth="1"/>
    <col min="6166" max="6166" width="12.375" style="214" customWidth="1"/>
    <col min="6167" max="6167" width="11.625" style="214" customWidth="1"/>
    <col min="6168" max="6400" width="9" style="214"/>
    <col min="6401" max="6401" width="2.375" style="214" customWidth="1"/>
    <col min="6402" max="6402" width="11.875" style="214" customWidth="1"/>
    <col min="6403" max="6403" width="13" style="214" customWidth="1"/>
    <col min="6404" max="6405" width="11.625" style="214" customWidth="1"/>
    <col min="6406" max="6406" width="11.375" style="214" customWidth="1"/>
    <col min="6407" max="6407" width="11.625" style="214" customWidth="1"/>
    <col min="6408" max="6408" width="10.875" style="214" customWidth="1"/>
    <col min="6409" max="6409" width="12.75" style="214" customWidth="1"/>
    <col min="6410" max="6410" width="13.125" style="214" customWidth="1"/>
    <col min="6411" max="6411" width="9.875" style="214" customWidth="1"/>
    <col min="6412" max="6412" width="12" style="214" bestFit="1" customWidth="1"/>
    <col min="6413" max="6414" width="5.25" style="214" customWidth="1"/>
    <col min="6415" max="6415" width="9" style="214"/>
    <col min="6416" max="6416" width="10.25" style="214" customWidth="1"/>
    <col min="6417" max="6417" width="10.75" style="214" customWidth="1"/>
    <col min="6418" max="6419" width="12.875" style="214" customWidth="1"/>
    <col min="6420" max="6420" width="9" style="214"/>
    <col min="6421" max="6421" width="1.875" style="214" customWidth="1"/>
    <col min="6422" max="6422" width="12.375" style="214" customWidth="1"/>
    <col min="6423" max="6423" width="11.625" style="214" customWidth="1"/>
    <col min="6424" max="6656" width="9" style="214"/>
    <col min="6657" max="6657" width="2.375" style="214" customWidth="1"/>
    <col min="6658" max="6658" width="11.875" style="214" customWidth="1"/>
    <col min="6659" max="6659" width="13" style="214" customWidth="1"/>
    <col min="6660" max="6661" width="11.625" style="214" customWidth="1"/>
    <col min="6662" max="6662" width="11.375" style="214" customWidth="1"/>
    <col min="6663" max="6663" width="11.625" style="214" customWidth="1"/>
    <col min="6664" max="6664" width="10.875" style="214" customWidth="1"/>
    <col min="6665" max="6665" width="12.75" style="214" customWidth="1"/>
    <col min="6666" max="6666" width="13.125" style="214" customWidth="1"/>
    <col min="6667" max="6667" width="9.875" style="214" customWidth="1"/>
    <col min="6668" max="6668" width="12" style="214" bestFit="1" customWidth="1"/>
    <col min="6669" max="6670" width="5.25" style="214" customWidth="1"/>
    <col min="6671" max="6671" width="9" style="214"/>
    <col min="6672" max="6672" width="10.25" style="214" customWidth="1"/>
    <col min="6673" max="6673" width="10.75" style="214" customWidth="1"/>
    <col min="6674" max="6675" width="12.875" style="214" customWidth="1"/>
    <col min="6676" max="6676" width="9" style="214"/>
    <col min="6677" max="6677" width="1.875" style="214" customWidth="1"/>
    <col min="6678" max="6678" width="12.375" style="214" customWidth="1"/>
    <col min="6679" max="6679" width="11.625" style="214" customWidth="1"/>
    <col min="6680" max="6912" width="9" style="214"/>
    <col min="6913" max="6913" width="2.375" style="214" customWidth="1"/>
    <col min="6914" max="6914" width="11.875" style="214" customWidth="1"/>
    <col min="6915" max="6915" width="13" style="214" customWidth="1"/>
    <col min="6916" max="6917" width="11.625" style="214" customWidth="1"/>
    <col min="6918" max="6918" width="11.375" style="214" customWidth="1"/>
    <col min="6919" max="6919" width="11.625" style="214" customWidth="1"/>
    <col min="6920" max="6920" width="10.875" style="214" customWidth="1"/>
    <col min="6921" max="6921" width="12.75" style="214" customWidth="1"/>
    <col min="6922" max="6922" width="13.125" style="214" customWidth="1"/>
    <col min="6923" max="6923" width="9.875" style="214" customWidth="1"/>
    <col min="6924" max="6924" width="12" style="214" bestFit="1" customWidth="1"/>
    <col min="6925" max="6926" width="5.25" style="214" customWidth="1"/>
    <col min="6927" max="6927" width="9" style="214"/>
    <col min="6928" max="6928" width="10.25" style="214" customWidth="1"/>
    <col min="6929" max="6929" width="10.75" style="214" customWidth="1"/>
    <col min="6930" max="6931" width="12.875" style="214" customWidth="1"/>
    <col min="6932" max="6932" width="9" style="214"/>
    <col min="6933" max="6933" width="1.875" style="214" customWidth="1"/>
    <col min="6934" max="6934" width="12.375" style="214" customWidth="1"/>
    <col min="6935" max="6935" width="11.625" style="214" customWidth="1"/>
    <col min="6936" max="7168" width="9" style="214"/>
    <col min="7169" max="7169" width="2.375" style="214" customWidth="1"/>
    <col min="7170" max="7170" width="11.875" style="214" customWidth="1"/>
    <col min="7171" max="7171" width="13" style="214" customWidth="1"/>
    <col min="7172" max="7173" width="11.625" style="214" customWidth="1"/>
    <col min="7174" max="7174" width="11.375" style="214" customWidth="1"/>
    <col min="7175" max="7175" width="11.625" style="214" customWidth="1"/>
    <col min="7176" max="7176" width="10.875" style="214" customWidth="1"/>
    <col min="7177" max="7177" width="12.75" style="214" customWidth="1"/>
    <col min="7178" max="7178" width="13.125" style="214" customWidth="1"/>
    <col min="7179" max="7179" width="9.875" style="214" customWidth="1"/>
    <col min="7180" max="7180" width="12" style="214" bestFit="1" customWidth="1"/>
    <col min="7181" max="7182" width="5.25" style="214" customWidth="1"/>
    <col min="7183" max="7183" width="9" style="214"/>
    <col min="7184" max="7184" width="10.25" style="214" customWidth="1"/>
    <col min="7185" max="7185" width="10.75" style="214" customWidth="1"/>
    <col min="7186" max="7187" width="12.875" style="214" customWidth="1"/>
    <col min="7188" max="7188" width="9" style="214"/>
    <col min="7189" max="7189" width="1.875" style="214" customWidth="1"/>
    <col min="7190" max="7190" width="12.375" style="214" customWidth="1"/>
    <col min="7191" max="7191" width="11.625" style="214" customWidth="1"/>
    <col min="7192" max="7424" width="9" style="214"/>
    <col min="7425" max="7425" width="2.375" style="214" customWidth="1"/>
    <col min="7426" max="7426" width="11.875" style="214" customWidth="1"/>
    <col min="7427" max="7427" width="13" style="214" customWidth="1"/>
    <col min="7428" max="7429" width="11.625" style="214" customWidth="1"/>
    <col min="7430" max="7430" width="11.375" style="214" customWidth="1"/>
    <col min="7431" max="7431" width="11.625" style="214" customWidth="1"/>
    <col min="7432" max="7432" width="10.875" style="214" customWidth="1"/>
    <col min="7433" max="7433" width="12.75" style="214" customWidth="1"/>
    <col min="7434" max="7434" width="13.125" style="214" customWidth="1"/>
    <col min="7435" max="7435" width="9.875" style="214" customWidth="1"/>
    <col min="7436" max="7436" width="12" style="214" bestFit="1" customWidth="1"/>
    <col min="7437" max="7438" width="5.25" style="214" customWidth="1"/>
    <col min="7439" max="7439" width="9" style="214"/>
    <col min="7440" max="7440" width="10.25" style="214" customWidth="1"/>
    <col min="7441" max="7441" width="10.75" style="214" customWidth="1"/>
    <col min="7442" max="7443" width="12.875" style="214" customWidth="1"/>
    <col min="7444" max="7444" width="9" style="214"/>
    <col min="7445" max="7445" width="1.875" style="214" customWidth="1"/>
    <col min="7446" max="7446" width="12.375" style="214" customWidth="1"/>
    <col min="7447" max="7447" width="11.625" style="214" customWidth="1"/>
    <col min="7448" max="7680" width="9" style="214"/>
    <col min="7681" max="7681" width="2.375" style="214" customWidth="1"/>
    <col min="7682" max="7682" width="11.875" style="214" customWidth="1"/>
    <col min="7683" max="7683" width="13" style="214" customWidth="1"/>
    <col min="7684" max="7685" width="11.625" style="214" customWidth="1"/>
    <col min="7686" max="7686" width="11.375" style="214" customWidth="1"/>
    <col min="7687" max="7687" width="11.625" style="214" customWidth="1"/>
    <col min="7688" max="7688" width="10.875" style="214" customWidth="1"/>
    <col min="7689" max="7689" width="12.75" style="214" customWidth="1"/>
    <col min="7690" max="7690" width="13.125" style="214" customWidth="1"/>
    <col min="7691" max="7691" width="9.875" style="214" customWidth="1"/>
    <col min="7692" max="7692" width="12" style="214" bestFit="1" customWidth="1"/>
    <col min="7693" max="7694" width="5.25" style="214" customWidth="1"/>
    <col min="7695" max="7695" width="9" style="214"/>
    <col min="7696" max="7696" width="10.25" style="214" customWidth="1"/>
    <col min="7697" max="7697" width="10.75" style="214" customWidth="1"/>
    <col min="7698" max="7699" width="12.875" style="214" customWidth="1"/>
    <col min="7700" max="7700" width="9" style="214"/>
    <col min="7701" max="7701" width="1.875" style="214" customWidth="1"/>
    <col min="7702" max="7702" width="12.375" style="214" customWidth="1"/>
    <col min="7703" max="7703" width="11.625" style="214" customWidth="1"/>
    <col min="7704" max="7936" width="9" style="214"/>
    <col min="7937" max="7937" width="2.375" style="214" customWidth="1"/>
    <col min="7938" max="7938" width="11.875" style="214" customWidth="1"/>
    <col min="7939" max="7939" width="13" style="214" customWidth="1"/>
    <col min="7940" max="7941" width="11.625" style="214" customWidth="1"/>
    <col min="7942" max="7942" width="11.375" style="214" customWidth="1"/>
    <col min="7943" max="7943" width="11.625" style="214" customWidth="1"/>
    <col min="7944" max="7944" width="10.875" style="214" customWidth="1"/>
    <col min="7945" max="7945" width="12.75" style="214" customWidth="1"/>
    <col min="7946" max="7946" width="13.125" style="214" customWidth="1"/>
    <col min="7947" max="7947" width="9.875" style="214" customWidth="1"/>
    <col min="7948" max="7948" width="12" style="214" bestFit="1" customWidth="1"/>
    <col min="7949" max="7950" width="5.25" style="214" customWidth="1"/>
    <col min="7951" max="7951" width="9" style="214"/>
    <col min="7952" max="7952" width="10.25" style="214" customWidth="1"/>
    <col min="7953" max="7953" width="10.75" style="214" customWidth="1"/>
    <col min="7954" max="7955" width="12.875" style="214" customWidth="1"/>
    <col min="7956" max="7956" width="9" style="214"/>
    <col min="7957" max="7957" width="1.875" style="214" customWidth="1"/>
    <col min="7958" max="7958" width="12.375" style="214" customWidth="1"/>
    <col min="7959" max="7959" width="11.625" style="214" customWidth="1"/>
    <col min="7960" max="8192" width="9" style="214"/>
    <col min="8193" max="8193" width="2.375" style="214" customWidth="1"/>
    <col min="8194" max="8194" width="11.875" style="214" customWidth="1"/>
    <col min="8195" max="8195" width="13" style="214" customWidth="1"/>
    <col min="8196" max="8197" width="11.625" style="214" customWidth="1"/>
    <col min="8198" max="8198" width="11.375" style="214" customWidth="1"/>
    <col min="8199" max="8199" width="11.625" style="214" customWidth="1"/>
    <col min="8200" max="8200" width="10.875" style="214" customWidth="1"/>
    <col min="8201" max="8201" width="12.75" style="214" customWidth="1"/>
    <col min="8202" max="8202" width="13.125" style="214" customWidth="1"/>
    <col min="8203" max="8203" width="9.875" style="214" customWidth="1"/>
    <col min="8204" max="8204" width="12" style="214" bestFit="1" customWidth="1"/>
    <col min="8205" max="8206" width="5.25" style="214" customWidth="1"/>
    <col min="8207" max="8207" width="9" style="214"/>
    <col min="8208" max="8208" width="10.25" style="214" customWidth="1"/>
    <col min="8209" max="8209" width="10.75" style="214" customWidth="1"/>
    <col min="8210" max="8211" width="12.875" style="214" customWidth="1"/>
    <col min="8212" max="8212" width="9" style="214"/>
    <col min="8213" max="8213" width="1.875" style="214" customWidth="1"/>
    <col min="8214" max="8214" width="12.375" style="214" customWidth="1"/>
    <col min="8215" max="8215" width="11.625" style="214" customWidth="1"/>
    <col min="8216" max="8448" width="9" style="214"/>
    <col min="8449" max="8449" width="2.375" style="214" customWidth="1"/>
    <col min="8450" max="8450" width="11.875" style="214" customWidth="1"/>
    <col min="8451" max="8451" width="13" style="214" customWidth="1"/>
    <col min="8452" max="8453" width="11.625" style="214" customWidth="1"/>
    <col min="8454" max="8454" width="11.375" style="214" customWidth="1"/>
    <col min="8455" max="8455" width="11.625" style="214" customWidth="1"/>
    <col min="8456" max="8456" width="10.875" style="214" customWidth="1"/>
    <col min="8457" max="8457" width="12.75" style="214" customWidth="1"/>
    <col min="8458" max="8458" width="13.125" style="214" customWidth="1"/>
    <col min="8459" max="8459" width="9.875" style="214" customWidth="1"/>
    <col min="8460" max="8460" width="12" style="214" bestFit="1" customWidth="1"/>
    <col min="8461" max="8462" width="5.25" style="214" customWidth="1"/>
    <col min="8463" max="8463" width="9" style="214"/>
    <col min="8464" max="8464" width="10.25" style="214" customWidth="1"/>
    <col min="8465" max="8465" width="10.75" style="214" customWidth="1"/>
    <col min="8466" max="8467" width="12.875" style="214" customWidth="1"/>
    <col min="8468" max="8468" width="9" style="214"/>
    <col min="8469" max="8469" width="1.875" style="214" customWidth="1"/>
    <col min="8470" max="8470" width="12.375" style="214" customWidth="1"/>
    <col min="8471" max="8471" width="11.625" style="214" customWidth="1"/>
    <col min="8472" max="8704" width="9" style="214"/>
    <col min="8705" max="8705" width="2.375" style="214" customWidth="1"/>
    <col min="8706" max="8706" width="11.875" style="214" customWidth="1"/>
    <col min="8707" max="8707" width="13" style="214" customWidth="1"/>
    <col min="8708" max="8709" width="11.625" style="214" customWidth="1"/>
    <col min="8710" max="8710" width="11.375" style="214" customWidth="1"/>
    <col min="8711" max="8711" width="11.625" style="214" customWidth="1"/>
    <col min="8712" max="8712" width="10.875" style="214" customWidth="1"/>
    <col min="8713" max="8713" width="12.75" style="214" customWidth="1"/>
    <col min="8714" max="8714" width="13.125" style="214" customWidth="1"/>
    <col min="8715" max="8715" width="9.875" style="214" customWidth="1"/>
    <col min="8716" max="8716" width="12" style="214" bestFit="1" customWidth="1"/>
    <col min="8717" max="8718" width="5.25" style="214" customWidth="1"/>
    <col min="8719" max="8719" width="9" style="214"/>
    <col min="8720" max="8720" width="10.25" style="214" customWidth="1"/>
    <col min="8721" max="8721" width="10.75" style="214" customWidth="1"/>
    <col min="8722" max="8723" width="12.875" style="214" customWidth="1"/>
    <col min="8724" max="8724" width="9" style="214"/>
    <col min="8725" max="8725" width="1.875" style="214" customWidth="1"/>
    <col min="8726" max="8726" width="12.375" style="214" customWidth="1"/>
    <col min="8727" max="8727" width="11.625" style="214" customWidth="1"/>
    <col min="8728" max="8960" width="9" style="214"/>
    <col min="8961" max="8961" width="2.375" style="214" customWidth="1"/>
    <col min="8962" max="8962" width="11.875" style="214" customWidth="1"/>
    <col min="8963" max="8963" width="13" style="214" customWidth="1"/>
    <col min="8964" max="8965" width="11.625" style="214" customWidth="1"/>
    <col min="8966" max="8966" width="11.375" style="214" customWidth="1"/>
    <col min="8967" max="8967" width="11.625" style="214" customWidth="1"/>
    <col min="8968" max="8968" width="10.875" style="214" customWidth="1"/>
    <col min="8969" max="8969" width="12.75" style="214" customWidth="1"/>
    <col min="8970" max="8970" width="13.125" style="214" customWidth="1"/>
    <col min="8971" max="8971" width="9.875" style="214" customWidth="1"/>
    <col min="8972" max="8972" width="12" style="214" bestFit="1" customWidth="1"/>
    <col min="8973" max="8974" width="5.25" style="214" customWidth="1"/>
    <col min="8975" max="8975" width="9" style="214"/>
    <col min="8976" max="8976" width="10.25" style="214" customWidth="1"/>
    <col min="8977" max="8977" width="10.75" style="214" customWidth="1"/>
    <col min="8978" max="8979" width="12.875" style="214" customWidth="1"/>
    <col min="8980" max="8980" width="9" style="214"/>
    <col min="8981" max="8981" width="1.875" style="214" customWidth="1"/>
    <col min="8982" max="8982" width="12.375" style="214" customWidth="1"/>
    <col min="8983" max="8983" width="11.625" style="214" customWidth="1"/>
    <col min="8984" max="9216" width="9" style="214"/>
    <col min="9217" max="9217" width="2.375" style="214" customWidth="1"/>
    <col min="9218" max="9218" width="11.875" style="214" customWidth="1"/>
    <col min="9219" max="9219" width="13" style="214" customWidth="1"/>
    <col min="9220" max="9221" width="11.625" style="214" customWidth="1"/>
    <col min="9222" max="9222" width="11.375" style="214" customWidth="1"/>
    <col min="9223" max="9223" width="11.625" style="214" customWidth="1"/>
    <col min="9224" max="9224" width="10.875" style="214" customWidth="1"/>
    <col min="9225" max="9225" width="12.75" style="214" customWidth="1"/>
    <col min="9226" max="9226" width="13.125" style="214" customWidth="1"/>
    <col min="9227" max="9227" width="9.875" style="214" customWidth="1"/>
    <col min="9228" max="9228" width="12" style="214" bestFit="1" customWidth="1"/>
    <col min="9229" max="9230" width="5.25" style="214" customWidth="1"/>
    <col min="9231" max="9231" width="9" style="214"/>
    <col min="9232" max="9232" width="10.25" style="214" customWidth="1"/>
    <col min="9233" max="9233" width="10.75" style="214" customWidth="1"/>
    <col min="9234" max="9235" width="12.875" style="214" customWidth="1"/>
    <col min="9236" max="9236" width="9" style="214"/>
    <col min="9237" max="9237" width="1.875" style="214" customWidth="1"/>
    <col min="9238" max="9238" width="12.375" style="214" customWidth="1"/>
    <col min="9239" max="9239" width="11.625" style="214" customWidth="1"/>
    <col min="9240" max="9472" width="9" style="214"/>
    <col min="9473" max="9473" width="2.375" style="214" customWidth="1"/>
    <col min="9474" max="9474" width="11.875" style="214" customWidth="1"/>
    <col min="9475" max="9475" width="13" style="214" customWidth="1"/>
    <col min="9476" max="9477" width="11.625" style="214" customWidth="1"/>
    <col min="9478" max="9478" width="11.375" style="214" customWidth="1"/>
    <col min="9479" max="9479" width="11.625" style="214" customWidth="1"/>
    <col min="9480" max="9480" width="10.875" style="214" customWidth="1"/>
    <col min="9481" max="9481" width="12.75" style="214" customWidth="1"/>
    <col min="9482" max="9482" width="13.125" style="214" customWidth="1"/>
    <col min="9483" max="9483" width="9.875" style="214" customWidth="1"/>
    <col min="9484" max="9484" width="12" style="214" bestFit="1" customWidth="1"/>
    <col min="9485" max="9486" width="5.25" style="214" customWidth="1"/>
    <col min="9487" max="9487" width="9" style="214"/>
    <col min="9488" max="9488" width="10.25" style="214" customWidth="1"/>
    <col min="9489" max="9489" width="10.75" style="214" customWidth="1"/>
    <col min="9490" max="9491" width="12.875" style="214" customWidth="1"/>
    <col min="9492" max="9492" width="9" style="214"/>
    <col min="9493" max="9493" width="1.875" style="214" customWidth="1"/>
    <col min="9494" max="9494" width="12.375" style="214" customWidth="1"/>
    <col min="9495" max="9495" width="11.625" style="214" customWidth="1"/>
    <col min="9496" max="9728" width="9" style="214"/>
    <col min="9729" max="9729" width="2.375" style="214" customWidth="1"/>
    <col min="9730" max="9730" width="11.875" style="214" customWidth="1"/>
    <col min="9731" max="9731" width="13" style="214" customWidth="1"/>
    <col min="9732" max="9733" width="11.625" style="214" customWidth="1"/>
    <col min="9734" max="9734" width="11.375" style="214" customWidth="1"/>
    <col min="9735" max="9735" width="11.625" style="214" customWidth="1"/>
    <col min="9736" max="9736" width="10.875" style="214" customWidth="1"/>
    <col min="9737" max="9737" width="12.75" style="214" customWidth="1"/>
    <col min="9738" max="9738" width="13.125" style="214" customWidth="1"/>
    <col min="9739" max="9739" width="9.875" style="214" customWidth="1"/>
    <col min="9740" max="9740" width="12" style="214" bestFit="1" customWidth="1"/>
    <col min="9741" max="9742" width="5.25" style="214" customWidth="1"/>
    <col min="9743" max="9743" width="9" style="214"/>
    <col min="9744" max="9744" width="10.25" style="214" customWidth="1"/>
    <col min="9745" max="9745" width="10.75" style="214" customWidth="1"/>
    <col min="9746" max="9747" width="12.875" style="214" customWidth="1"/>
    <col min="9748" max="9748" width="9" style="214"/>
    <col min="9749" max="9749" width="1.875" style="214" customWidth="1"/>
    <col min="9750" max="9750" width="12.375" style="214" customWidth="1"/>
    <col min="9751" max="9751" width="11.625" style="214" customWidth="1"/>
    <col min="9752" max="9984" width="9" style="214"/>
    <col min="9985" max="9985" width="2.375" style="214" customWidth="1"/>
    <col min="9986" max="9986" width="11.875" style="214" customWidth="1"/>
    <col min="9987" max="9987" width="13" style="214" customWidth="1"/>
    <col min="9988" max="9989" width="11.625" style="214" customWidth="1"/>
    <col min="9990" max="9990" width="11.375" style="214" customWidth="1"/>
    <col min="9991" max="9991" width="11.625" style="214" customWidth="1"/>
    <col min="9992" max="9992" width="10.875" style="214" customWidth="1"/>
    <col min="9993" max="9993" width="12.75" style="214" customWidth="1"/>
    <col min="9994" max="9994" width="13.125" style="214" customWidth="1"/>
    <col min="9995" max="9995" width="9.875" style="214" customWidth="1"/>
    <col min="9996" max="9996" width="12" style="214" bestFit="1" customWidth="1"/>
    <col min="9997" max="9998" width="5.25" style="214" customWidth="1"/>
    <col min="9999" max="9999" width="9" style="214"/>
    <col min="10000" max="10000" width="10.25" style="214" customWidth="1"/>
    <col min="10001" max="10001" width="10.75" style="214" customWidth="1"/>
    <col min="10002" max="10003" width="12.875" style="214" customWidth="1"/>
    <col min="10004" max="10004" width="9" style="214"/>
    <col min="10005" max="10005" width="1.875" style="214" customWidth="1"/>
    <col min="10006" max="10006" width="12.375" style="214" customWidth="1"/>
    <col min="10007" max="10007" width="11.625" style="214" customWidth="1"/>
    <col min="10008" max="10240" width="9" style="214"/>
    <col min="10241" max="10241" width="2.375" style="214" customWidth="1"/>
    <col min="10242" max="10242" width="11.875" style="214" customWidth="1"/>
    <col min="10243" max="10243" width="13" style="214" customWidth="1"/>
    <col min="10244" max="10245" width="11.625" style="214" customWidth="1"/>
    <col min="10246" max="10246" width="11.375" style="214" customWidth="1"/>
    <col min="10247" max="10247" width="11.625" style="214" customWidth="1"/>
    <col min="10248" max="10248" width="10.875" style="214" customWidth="1"/>
    <col min="10249" max="10249" width="12.75" style="214" customWidth="1"/>
    <col min="10250" max="10250" width="13.125" style="214" customWidth="1"/>
    <col min="10251" max="10251" width="9.875" style="214" customWidth="1"/>
    <col min="10252" max="10252" width="12" style="214" bestFit="1" customWidth="1"/>
    <col min="10253" max="10254" width="5.25" style="214" customWidth="1"/>
    <col min="10255" max="10255" width="9" style="214"/>
    <col min="10256" max="10256" width="10.25" style="214" customWidth="1"/>
    <col min="10257" max="10257" width="10.75" style="214" customWidth="1"/>
    <col min="10258" max="10259" width="12.875" style="214" customWidth="1"/>
    <col min="10260" max="10260" width="9" style="214"/>
    <col min="10261" max="10261" width="1.875" style="214" customWidth="1"/>
    <col min="10262" max="10262" width="12.375" style="214" customWidth="1"/>
    <col min="10263" max="10263" width="11.625" style="214" customWidth="1"/>
    <col min="10264" max="10496" width="9" style="214"/>
    <col min="10497" max="10497" width="2.375" style="214" customWidth="1"/>
    <col min="10498" max="10498" width="11.875" style="214" customWidth="1"/>
    <col min="10499" max="10499" width="13" style="214" customWidth="1"/>
    <col min="10500" max="10501" width="11.625" style="214" customWidth="1"/>
    <col min="10502" max="10502" width="11.375" style="214" customWidth="1"/>
    <col min="10503" max="10503" width="11.625" style="214" customWidth="1"/>
    <col min="10504" max="10504" width="10.875" style="214" customWidth="1"/>
    <col min="10505" max="10505" width="12.75" style="214" customWidth="1"/>
    <col min="10506" max="10506" width="13.125" style="214" customWidth="1"/>
    <col min="10507" max="10507" width="9.875" style="214" customWidth="1"/>
    <col min="10508" max="10508" width="12" style="214" bestFit="1" customWidth="1"/>
    <col min="10509" max="10510" width="5.25" style="214" customWidth="1"/>
    <col min="10511" max="10511" width="9" style="214"/>
    <col min="10512" max="10512" width="10.25" style="214" customWidth="1"/>
    <col min="10513" max="10513" width="10.75" style="214" customWidth="1"/>
    <col min="10514" max="10515" width="12.875" style="214" customWidth="1"/>
    <col min="10516" max="10516" width="9" style="214"/>
    <col min="10517" max="10517" width="1.875" style="214" customWidth="1"/>
    <col min="10518" max="10518" width="12.375" style="214" customWidth="1"/>
    <col min="10519" max="10519" width="11.625" style="214" customWidth="1"/>
    <col min="10520" max="10752" width="9" style="214"/>
    <col min="10753" max="10753" width="2.375" style="214" customWidth="1"/>
    <col min="10754" max="10754" width="11.875" style="214" customWidth="1"/>
    <col min="10755" max="10755" width="13" style="214" customWidth="1"/>
    <col min="10756" max="10757" width="11.625" style="214" customWidth="1"/>
    <col min="10758" max="10758" width="11.375" style="214" customWidth="1"/>
    <col min="10759" max="10759" width="11.625" style="214" customWidth="1"/>
    <col min="10760" max="10760" width="10.875" style="214" customWidth="1"/>
    <col min="10761" max="10761" width="12.75" style="214" customWidth="1"/>
    <col min="10762" max="10762" width="13.125" style="214" customWidth="1"/>
    <col min="10763" max="10763" width="9.875" style="214" customWidth="1"/>
    <col min="10764" max="10764" width="12" style="214" bestFit="1" customWidth="1"/>
    <col min="10765" max="10766" width="5.25" style="214" customWidth="1"/>
    <col min="10767" max="10767" width="9" style="214"/>
    <col min="10768" max="10768" width="10.25" style="214" customWidth="1"/>
    <col min="10769" max="10769" width="10.75" style="214" customWidth="1"/>
    <col min="10770" max="10771" width="12.875" style="214" customWidth="1"/>
    <col min="10772" max="10772" width="9" style="214"/>
    <col min="10773" max="10773" width="1.875" style="214" customWidth="1"/>
    <col min="10774" max="10774" width="12.375" style="214" customWidth="1"/>
    <col min="10775" max="10775" width="11.625" style="214" customWidth="1"/>
    <col min="10776" max="11008" width="9" style="214"/>
    <col min="11009" max="11009" width="2.375" style="214" customWidth="1"/>
    <col min="11010" max="11010" width="11.875" style="214" customWidth="1"/>
    <col min="11011" max="11011" width="13" style="214" customWidth="1"/>
    <col min="11012" max="11013" width="11.625" style="214" customWidth="1"/>
    <col min="11014" max="11014" width="11.375" style="214" customWidth="1"/>
    <col min="11015" max="11015" width="11.625" style="214" customWidth="1"/>
    <col min="11016" max="11016" width="10.875" style="214" customWidth="1"/>
    <col min="11017" max="11017" width="12.75" style="214" customWidth="1"/>
    <col min="11018" max="11018" width="13.125" style="214" customWidth="1"/>
    <col min="11019" max="11019" width="9.875" style="214" customWidth="1"/>
    <col min="11020" max="11020" width="12" style="214" bestFit="1" customWidth="1"/>
    <col min="11021" max="11022" width="5.25" style="214" customWidth="1"/>
    <col min="11023" max="11023" width="9" style="214"/>
    <col min="11024" max="11024" width="10.25" style="214" customWidth="1"/>
    <col min="11025" max="11025" width="10.75" style="214" customWidth="1"/>
    <col min="11026" max="11027" width="12.875" style="214" customWidth="1"/>
    <col min="11028" max="11028" width="9" style="214"/>
    <col min="11029" max="11029" width="1.875" style="214" customWidth="1"/>
    <col min="11030" max="11030" width="12.375" style="214" customWidth="1"/>
    <col min="11031" max="11031" width="11.625" style="214" customWidth="1"/>
    <col min="11032" max="11264" width="9" style="214"/>
    <col min="11265" max="11265" width="2.375" style="214" customWidth="1"/>
    <col min="11266" max="11266" width="11.875" style="214" customWidth="1"/>
    <col min="11267" max="11267" width="13" style="214" customWidth="1"/>
    <col min="11268" max="11269" width="11.625" style="214" customWidth="1"/>
    <col min="11270" max="11270" width="11.375" style="214" customWidth="1"/>
    <col min="11271" max="11271" width="11.625" style="214" customWidth="1"/>
    <col min="11272" max="11272" width="10.875" style="214" customWidth="1"/>
    <col min="11273" max="11273" width="12.75" style="214" customWidth="1"/>
    <col min="11274" max="11274" width="13.125" style="214" customWidth="1"/>
    <col min="11275" max="11275" width="9.875" style="214" customWidth="1"/>
    <col min="11276" max="11276" width="12" style="214" bestFit="1" customWidth="1"/>
    <col min="11277" max="11278" width="5.25" style="214" customWidth="1"/>
    <col min="11279" max="11279" width="9" style="214"/>
    <col min="11280" max="11280" width="10.25" style="214" customWidth="1"/>
    <col min="11281" max="11281" width="10.75" style="214" customWidth="1"/>
    <col min="11282" max="11283" width="12.875" style="214" customWidth="1"/>
    <col min="11284" max="11284" width="9" style="214"/>
    <col min="11285" max="11285" width="1.875" style="214" customWidth="1"/>
    <col min="11286" max="11286" width="12.375" style="214" customWidth="1"/>
    <col min="11287" max="11287" width="11.625" style="214" customWidth="1"/>
    <col min="11288" max="11520" width="9" style="214"/>
    <col min="11521" max="11521" width="2.375" style="214" customWidth="1"/>
    <col min="11522" max="11522" width="11.875" style="214" customWidth="1"/>
    <col min="11523" max="11523" width="13" style="214" customWidth="1"/>
    <col min="11524" max="11525" width="11.625" style="214" customWidth="1"/>
    <col min="11526" max="11526" width="11.375" style="214" customWidth="1"/>
    <col min="11527" max="11527" width="11.625" style="214" customWidth="1"/>
    <col min="11528" max="11528" width="10.875" style="214" customWidth="1"/>
    <col min="11529" max="11529" width="12.75" style="214" customWidth="1"/>
    <col min="11530" max="11530" width="13.125" style="214" customWidth="1"/>
    <col min="11531" max="11531" width="9.875" style="214" customWidth="1"/>
    <col min="11532" max="11532" width="12" style="214" bestFit="1" customWidth="1"/>
    <col min="11533" max="11534" width="5.25" style="214" customWidth="1"/>
    <col min="11535" max="11535" width="9" style="214"/>
    <col min="11536" max="11536" width="10.25" style="214" customWidth="1"/>
    <col min="11537" max="11537" width="10.75" style="214" customWidth="1"/>
    <col min="11538" max="11539" width="12.875" style="214" customWidth="1"/>
    <col min="11540" max="11540" width="9" style="214"/>
    <col min="11541" max="11541" width="1.875" style="214" customWidth="1"/>
    <col min="11542" max="11542" width="12.375" style="214" customWidth="1"/>
    <col min="11543" max="11543" width="11.625" style="214" customWidth="1"/>
    <col min="11544" max="11776" width="9" style="214"/>
    <col min="11777" max="11777" width="2.375" style="214" customWidth="1"/>
    <col min="11778" max="11778" width="11.875" style="214" customWidth="1"/>
    <col min="11779" max="11779" width="13" style="214" customWidth="1"/>
    <col min="11780" max="11781" width="11.625" style="214" customWidth="1"/>
    <col min="11782" max="11782" width="11.375" style="214" customWidth="1"/>
    <col min="11783" max="11783" width="11.625" style="214" customWidth="1"/>
    <col min="11784" max="11784" width="10.875" style="214" customWidth="1"/>
    <col min="11785" max="11785" width="12.75" style="214" customWidth="1"/>
    <col min="11786" max="11786" width="13.125" style="214" customWidth="1"/>
    <col min="11787" max="11787" width="9.875" style="214" customWidth="1"/>
    <col min="11788" max="11788" width="12" style="214" bestFit="1" customWidth="1"/>
    <col min="11789" max="11790" width="5.25" style="214" customWidth="1"/>
    <col min="11791" max="11791" width="9" style="214"/>
    <col min="11792" max="11792" width="10.25" style="214" customWidth="1"/>
    <col min="11793" max="11793" width="10.75" style="214" customWidth="1"/>
    <col min="11794" max="11795" width="12.875" style="214" customWidth="1"/>
    <col min="11796" max="11796" width="9" style="214"/>
    <col min="11797" max="11797" width="1.875" style="214" customWidth="1"/>
    <col min="11798" max="11798" width="12.375" style="214" customWidth="1"/>
    <col min="11799" max="11799" width="11.625" style="214" customWidth="1"/>
    <col min="11800" max="12032" width="9" style="214"/>
    <col min="12033" max="12033" width="2.375" style="214" customWidth="1"/>
    <col min="12034" max="12034" width="11.875" style="214" customWidth="1"/>
    <col min="12035" max="12035" width="13" style="214" customWidth="1"/>
    <col min="12036" max="12037" width="11.625" style="214" customWidth="1"/>
    <col min="12038" max="12038" width="11.375" style="214" customWidth="1"/>
    <col min="12039" max="12039" width="11.625" style="214" customWidth="1"/>
    <col min="12040" max="12040" width="10.875" style="214" customWidth="1"/>
    <col min="12041" max="12041" width="12.75" style="214" customWidth="1"/>
    <col min="12042" max="12042" width="13.125" style="214" customWidth="1"/>
    <col min="12043" max="12043" width="9.875" style="214" customWidth="1"/>
    <col min="12044" max="12044" width="12" style="214" bestFit="1" customWidth="1"/>
    <col min="12045" max="12046" width="5.25" style="214" customWidth="1"/>
    <col min="12047" max="12047" width="9" style="214"/>
    <col min="12048" max="12048" width="10.25" style="214" customWidth="1"/>
    <col min="12049" max="12049" width="10.75" style="214" customWidth="1"/>
    <col min="12050" max="12051" width="12.875" style="214" customWidth="1"/>
    <col min="12052" max="12052" width="9" style="214"/>
    <col min="12053" max="12053" width="1.875" style="214" customWidth="1"/>
    <col min="12054" max="12054" width="12.375" style="214" customWidth="1"/>
    <col min="12055" max="12055" width="11.625" style="214" customWidth="1"/>
    <col min="12056" max="12288" width="9" style="214"/>
    <col min="12289" max="12289" width="2.375" style="214" customWidth="1"/>
    <col min="12290" max="12290" width="11.875" style="214" customWidth="1"/>
    <col min="12291" max="12291" width="13" style="214" customWidth="1"/>
    <col min="12292" max="12293" width="11.625" style="214" customWidth="1"/>
    <col min="12294" max="12294" width="11.375" style="214" customWidth="1"/>
    <col min="12295" max="12295" width="11.625" style="214" customWidth="1"/>
    <col min="12296" max="12296" width="10.875" style="214" customWidth="1"/>
    <col min="12297" max="12297" width="12.75" style="214" customWidth="1"/>
    <col min="12298" max="12298" width="13.125" style="214" customWidth="1"/>
    <col min="12299" max="12299" width="9.875" style="214" customWidth="1"/>
    <col min="12300" max="12300" width="12" style="214" bestFit="1" customWidth="1"/>
    <col min="12301" max="12302" width="5.25" style="214" customWidth="1"/>
    <col min="12303" max="12303" width="9" style="214"/>
    <col min="12304" max="12304" width="10.25" style="214" customWidth="1"/>
    <col min="12305" max="12305" width="10.75" style="214" customWidth="1"/>
    <col min="12306" max="12307" width="12.875" style="214" customWidth="1"/>
    <col min="12308" max="12308" width="9" style="214"/>
    <col min="12309" max="12309" width="1.875" style="214" customWidth="1"/>
    <col min="12310" max="12310" width="12.375" style="214" customWidth="1"/>
    <col min="12311" max="12311" width="11.625" style="214" customWidth="1"/>
    <col min="12312" max="12544" width="9" style="214"/>
    <col min="12545" max="12545" width="2.375" style="214" customWidth="1"/>
    <col min="12546" max="12546" width="11.875" style="214" customWidth="1"/>
    <col min="12547" max="12547" width="13" style="214" customWidth="1"/>
    <col min="12548" max="12549" width="11.625" style="214" customWidth="1"/>
    <col min="12550" max="12550" width="11.375" style="214" customWidth="1"/>
    <col min="12551" max="12551" width="11.625" style="214" customWidth="1"/>
    <col min="12552" max="12552" width="10.875" style="214" customWidth="1"/>
    <col min="12553" max="12553" width="12.75" style="214" customWidth="1"/>
    <col min="12554" max="12554" width="13.125" style="214" customWidth="1"/>
    <col min="12555" max="12555" width="9.875" style="214" customWidth="1"/>
    <col min="12556" max="12556" width="12" style="214" bestFit="1" customWidth="1"/>
    <col min="12557" max="12558" width="5.25" style="214" customWidth="1"/>
    <col min="12559" max="12559" width="9" style="214"/>
    <col min="12560" max="12560" width="10.25" style="214" customWidth="1"/>
    <col min="12561" max="12561" width="10.75" style="214" customWidth="1"/>
    <col min="12562" max="12563" width="12.875" style="214" customWidth="1"/>
    <col min="12564" max="12564" width="9" style="214"/>
    <col min="12565" max="12565" width="1.875" style="214" customWidth="1"/>
    <col min="12566" max="12566" width="12.375" style="214" customWidth="1"/>
    <col min="12567" max="12567" width="11.625" style="214" customWidth="1"/>
    <col min="12568" max="12800" width="9" style="214"/>
    <col min="12801" max="12801" width="2.375" style="214" customWidth="1"/>
    <col min="12802" max="12802" width="11.875" style="214" customWidth="1"/>
    <col min="12803" max="12803" width="13" style="214" customWidth="1"/>
    <col min="12804" max="12805" width="11.625" style="214" customWidth="1"/>
    <col min="12806" max="12806" width="11.375" style="214" customWidth="1"/>
    <col min="12807" max="12807" width="11.625" style="214" customWidth="1"/>
    <col min="12808" max="12808" width="10.875" style="214" customWidth="1"/>
    <col min="12809" max="12809" width="12.75" style="214" customWidth="1"/>
    <col min="12810" max="12810" width="13.125" style="214" customWidth="1"/>
    <col min="12811" max="12811" width="9.875" style="214" customWidth="1"/>
    <col min="12812" max="12812" width="12" style="214" bestFit="1" customWidth="1"/>
    <col min="12813" max="12814" width="5.25" style="214" customWidth="1"/>
    <col min="12815" max="12815" width="9" style="214"/>
    <col min="12816" max="12816" width="10.25" style="214" customWidth="1"/>
    <col min="12817" max="12817" width="10.75" style="214" customWidth="1"/>
    <col min="12818" max="12819" width="12.875" style="214" customWidth="1"/>
    <col min="12820" max="12820" width="9" style="214"/>
    <col min="12821" max="12821" width="1.875" style="214" customWidth="1"/>
    <col min="12822" max="12822" width="12.375" style="214" customWidth="1"/>
    <col min="12823" max="12823" width="11.625" style="214" customWidth="1"/>
    <col min="12824" max="13056" width="9" style="214"/>
    <col min="13057" max="13057" width="2.375" style="214" customWidth="1"/>
    <col min="13058" max="13058" width="11.875" style="214" customWidth="1"/>
    <col min="13059" max="13059" width="13" style="214" customWidth="1"/>
    <col min="13060" max="13061" width="11.625" style="214" customWidth="1"/>
    <col min="13062" max="13062" width="11.375" style="214" customWidth="1"/>
    <col min="13063" max="13063" width="11.625" style="214" customWidth="1"/>
    <col min="13064" max="13064" width="10.875" style="214" customWidth="1"/>
    <col min="13065" max="13065" width="12.75" style="214" customWidth="1"/>
    <col min="13066" max="13066" width="13.125" style="214" customWidth="1"/>
    <col min="13067" max="13067" width="9.875" style="214" customWidth="1"/>
    <col min="13068" max="13068" width="12" style="214" bestFit="1" customWidth="1"/>
    <col min="13069" max="13070" width="5.25" style="214" customWidth="1"/>
    <col min="13071" max="13071" width="9" style="214"/>
    <col min="13072" max="13072" width="10.25" style="214" customWidth="1"/>
    <col min="13073" max="13073" width="10.75" style="214" customWidth="1"/>
    <col min="13074" max="13075" width="12.875" style="214" customWidth="1"/>
    <col min="13076" max="13076" width="9" style="214"/>
    <col min="13077" max="13077" width="1.875" style="214" customWidth="1"/>
    <col min="13078" max="13078" width="12.375" style="214" customWidth="1"/>
    <col min="13079" max="13079" width="11.625" style="214" customWidth="1"/>
    <col min="13080" max="13312" width="9" style="214"/>
    <col min="13313" max="13313" width="2.375" style="214" customWidth="1"/>
    <col min="13314" max="13314" width="11.875" style="214" customWidth="1"/>
    <col min="13315" max="13315" width="13" style="214" customWidth="1"/>
    <col min="13316" max="13317" width="11.625" style="214" customWidth="1"/>
    <col min="13318" max="13318" width="11.375" style="214" customWidth="1"/>
    <col min="13319" max="13319" width="11.625" style="214" customWidth="1"/>
    <col min="13320" max="13320" width="10.875" style="214" customWidth="1"/>
    <col min="13321" max="13321" width="12.75" style="214" customWidth="1"/>
    <col min="13322" max="13322" width="13.125" style="214" customWidth="1"/>
    <col min="13323" max="13323" width="9.875" style="214" customWidth="1"/>
    <col min="13324" max="13324" width="12" style="214" bestFit="1" customWidth="1"/>
    <col min="13325" max="13326" width="5.25" style="214" customWidth="1"/>
    <col min="13327" max="13327" width="9" style="214"/>
    <col min="13328" max="13328" width="10.25" style="214" customWidth="1"/>
    <col min="13329" max="13329" width="10.75" style="214" customWidth="1"/>
    <col min="13330" max="13331" width="12.875" style="214" customWidth="1"/>
    <col min="13332" max="13332" width="9" style="214"/>
    <col min="13333" max="13333" width="1.875" style="214" customWidth="1"/>
    <col min="13334" max="13334" width="12.375" style="214" customWidth="1"/>
    <col min="13335" max="13335" width="11.625" style="214" customWidth="1"/>
    <col min="13336" max="13568" width="9" style="214"/>
    <col min="13569" max="13569" width="2.375" style="214" customWidth="1"/>
    <col min="13570" max="13570" width="11.875" style="214" customWidth="1"/>
    <col min="13571" max="13571" width="13" style="214" customWidth="1"/>
    <col min="13572" max="13573" width="11.625" style="214" customWidth="1"/>
    <col min="13574" max="13574" width="11.375" style="214" customWidth="1"/>
    <col min="13575" max="13575" width="11.625" style="214" customWidth="1"/>
    <col min="13576" max="13576" width="10.875" style="214" customWidth="1"/>
    <col min="13577" max="13577" width="12.75" style="214" customWidth="1"/>
    <col min="13578" max="13578" width="13.125" style="214" customWidth="1"/>
    <col min="13579" max="13579" width="9.875" style="214" customWidth="1"/>
    <col min="13580" max="13580" width="12" style="214" bestFit="1" customWidth="1"/>
    <col min="13581" max="13582" width="5.25" style="214" customWidth="1"/>
    <col min="13583" max="13583" width="9" style="214"/>
    <col min="13584" max="13584" width="10.25" style="214" customWidth="1"/>
    <col min="13585" max="13585" width="10.75" style="214" customWidth="1"/>
    <col min="13586" max="13587" width="12.875" style="214" customWidth="1"/>
    <col min="13588" max="13588" width="9" style="214"/>
    <col min="13589" max="13589" width="1.875" style="214" customWidth="1"/>
    <col min="13590" max="13590" width="12.375" style="214" customWidth="1"/>
    <col min="13591" max="13591" width="11.625" style="214" customWidth="1"/>
    <col min="13592" max="13824" width="9" style="214"/>
    <col min="13825" max="13825" width="2.375" style="214" customWidth="1"/>
    <col min="13826" max="13826" width="11.875" style="214" customWidth="1"/>
    <col min="13827" max="13827" width="13" style="214" customWidth="1"/>
    <col min="13828" max="13829" width="11.625" style="214" customWidth="1"/>
    <col min="13830" max="13830" width="11.375" style="214" customWidth="1"/>
    <col min="13831" max="13831" width="11.625" style="214" customWidth="1"/>
    <col min="13832" max="13832" width="10.875" style="214" customWidth="1"/>
    <col min="13833" max="13833" width="12.75" style="214" customWidth="1"/>
    <col min="13834" max="13834" width="13.125" style="214" customWidth="1"/>
    <col min="13835" max="13835" width="9.875" style="214" customWidth="1"/>
    <col min="13836" max="13836" width="12" style="214" bestFit="1" customWidth="1"/>
    <col min="13837" max="13838" width="5.25" style="214" customWidth="1"/>
    <col min="13839" max="13839" width="9" style="214"/>
    <col min="13840" max="13840" width="10.25" style="214" customWidth="1"/>
    <col min="13841" max="13841" width="10.75" style="214" customWidth="1"/>
    <col min="13842" max="13843" width="12.875" style="214" customWidth="1"/>
    <col min="13844" max="13844" width="9" style="214"/>
    <col min="13845" max="13845" width="1.875" style="214" customWidth="1"/>
    <col min="13846" max="13846" width="12.375" style="214" customWidth="1"/>
    <col min="13847" max="13847" width="11.625" style="214" customWidth="1"/>
    <col min="13848" max="14080" width="9" style="214"/>
    <col min="14081" max="14081" width="2.375" style="214" customWidth="1"/>
    <col min="14082" max="14082" width="11.875" style="214" customWidth="1"/>
    <col min="14083" max="14083" width="13" style="214" customWidth="1"/>
    <col min="14084" max="14085" width="11.625" style="214" customWidth="1"/>
    <col min="14086" max="14086" width="11.375" style="214" customWidth="1"/>
    <col min="14087" max="14087" width="11.625" style="214" customWidth="1"/>
    <col min="14088" max="14088" width="10.875" style="214" customWidth="1"/>
    <col min="14089" max="14089" width="12.75" style="214" customWidth="1"/>
    <col min="14090" max="14090" width="13.125" style="214" customWidth="1"/>
    <col min="14091" max="14091" width="9.875" style="214" customWidth="1"/>
    <col min="14092" max="14092" width="12" style="214" bestFit="1" customWidth="1"/>
    <col min="14093" max="14094" width="5.25" style="214" customWidth="1"/>
    <col min="14095" max="14095" width="9" style="214"/>
    <col min="14096" max="14096" width="10.25" style="214" customWidth="1"/>
    <col min="14097" max="14097" width="10.75" style="214" customWidth="1"/>
    <col min="14098" max="14099" width="12.875" style="214" customWidth="1"/>
    <col min="14100" max="14100" width="9" style="214"/>
    <col min="14101" max="14101" width="1.875" style="214" customWidth="1"/>
    <col min="14102" max="14102" width="12.375" style="214" customWidth="1"/>
    <col min="14103" max="14103" width="11.625" style="214" customWidth="1"/>
    <col min="14104" max="14336" width="9" style="214"/>
    <col min="14337" max="14337" width="2.375" style="214" customWidth="1"/>
    <col min="14338" max="14338" width="11.875" style="214" customWidth="1"/>
    <col min="14339" max="14339" width="13" style="214" customWidth="1"/>
    <col min="14340" max="14341" width="11.625" style="214" customWidth="1"/>
    <col min="14342" max="14342" width="11.375" style="214" customWidth="1"/>
    <col min="14343" max="14343" width="11.625" style="214" customWidth="1"/>
    <col min="14344" max="14344" width="10.875" style="214" customWidth="1"/>
    <col min="14345" max="14345" width="12.75" style="214" customWidth="1"/>
    <col min="14346" max="14346" width="13.125" style="214" customWidth="1"/>
    <col min="14347" max="14347" width="9.875" style="214" customWidth="1"/>
    <col min="14348" max="14348" width="12" style="214" bestFit="1" customWidth="1"/>
    <col min="14349" max="14350" width="5.25" style="214" customWidth="1"/>
    <col min="14351" max="14351" width="9" style="214"/>
    <col min="14352" max="14352" width="10.25" style="214" customWidth="1"/>
    <col min="14353" max="14353" width="10.75" style="214" customWidth="1"/>
    <col min="14354" max="14355" width="12.875" style="214" customWidth="1"/>
    <col min="14356" max="14356" width="9" style="214"/>
    <col min="14357" max="14357" width="1.875" style="214" customWidth="1"/>
    <col min="14358" max="14358" width="12.375" style="214" customWidth="1"/>
    <col min="14359" max="14359" width="11.625" style="214" customWidth="1"/>
    <col min="14360" max="14592" width="9" style="214"/>
    <col min="14593" max="14593" width="2.375" style="214" customWidth="1"/>
    <col min="14594" max="14594" width="11.875" style="214" customWidth="1"/>
    <col min="14595" max="14595" width="13" style="214" customWidth="1"/>
    <col min="14596" max="14597" width="11.625" style="214" customWidth="1"/>
    <col min="14598" max="14598" width="11.375" style="214" customWidth="1"/>
    <col min="14599" max="14599" width="11.625" style="214" customWidth="1"/>
    <col min="14600" max="14600" width="10.875" style="214" customWidth="1"/>
    <col min="14601" max="14601" width="12.75" style="214" customWidth="1"/>
    <col min="14602" max="14602" width="13.125" style="214" customWidth="1"/>
    <col min="14603" max="14603" width="9.875" style="214" customWidth="1"/>
    <col min="14604" max="14604" width="12" style="214" bestFit="1" customWidth="1"/>
    <col min="14605" max="14606" width="5.25" style="214" customWidth="1"/>
    <col min="14607" max="14607" width="9" style="214"/>
    <col min="14608" max="14608" width="10.25" style="214" customWidth="1"/>
    <col min="14609" max="14609" width="10.75" style="214" customWidth="1"/>
    <col min="14610" max="14611" width="12.875" style="214" customWidth="1"/>
    <col min="14612" max="14612" width="9" style="214"/>
    <col min="14613" max="14613" width="1.875" style="214" customWidth="1"/>
    <col min="14614" max="14614" width="12.375" style="214" customWidth="1"/>
    <col min="14615" max="14615" width="11.625" style="214" customWidth="1"/>
    <col min="14616" max="14848" width="9" style="214"/>
    <col min="14849" max="14849" width="2.375" style="214" customWidth="1"/>
    <col min="14850" max="14850" width="11.875" style="214" customWidth="1"/>
    <col min="14851" max="14851" width="13" style="214" customWidth="1"/>
    <col min="14852" max="14853" width="11.625" style="214" customWidth="1"/>
    <col min="14854" max="14854" width="11.375" style="214" customWidth="1"/>
    <col min="14855" max="14855" width="11.625" style="214" customWidth="1"/>
    <col min="14856" max="14856" width="10.875" style="214" customWidth="1"/>
    <col min="14857" max="14857" width="12.75" style="214" customWidth="1"/>
    <col min="14858" max="14858" width="13.125" style="214" customWidth="1"/>
    <col min="14859" max="14859" width="9.875" style="214" customWidth="1"/>
    <col min="14860" max="14860" width="12" style="214" bestFit="1" customWidth="1"/>
    <col min="14861" max="14862" width="5.25" style="214" customWidth="1"/>
    <col min="14863" max="14863" width="9" style="214"/>
    <col min="14864" max="14864" width="10.25" style="214" customWidth="1"/>
    <col min="14865" max="14865" width="10.75" style="214" customWidth="1"/>
    <col min="14866" max="14867" width="12.875" style="214" customWidth="1"/>
    <col min="14868" max="14868" width="9" style="214"/>
    <col min="14869" max="14869" width="1.875" style="214" customWidth="1"/>
    <col min="14870" max="14870" width="12.375" style="214" customWidth="1"/>
    <col min="14871" max="14871" width="11.625" style="214" customWidth="1"/>
    <col min="14872" max="15104" width="9" style="214"/>
    <col min="15105" max="15105" width="2.375" style="214" customWidth="1"/>
    <col min="15106" max="15106" width="11.875" style="214" customWidth="1"/>
    <col min="15107" max="15107" width="13" style="214" customWidth="1"/>
    <col min="15108" max="15109" width="11.625" style="214" customWidth="1"/>
    <col min="15110" max="15110" width="11.375" style="214" customWidth="1"/>
    <col min="15111" max="15111" width="11.625" style="214" customWidth="1"/>
    <col min="15112" max="15112" width="10.875" style="214" customWidth="1"/>
    <col min="15113" max="15113" width="12.75" style="214" customWidth="1"/>
    <col min="15114" max="15114" width="13.125" style="214" customWidth="1"/>
    <col min="15115" max="15115" width="9.875" style="214" customWidth="1"/>
    <col min="15116" max="15116" width="12" style="214" bestFit="1" customWidth="1"/>
    <col min="15117" max="15118" width="5.25" style="214" customWidth="1"/>
    <col min="15119" max="15119" width="9" style="214"/>
    <col min="15120" max="15120" width="10.25" style="214" customWidth="1"/>
    <col min="15121" max="15121" width="10.75" style="214" customWidth="1"/>
    <col min="15122" max="15123" width="12.875" style="214" customWidth="1"/>
    <col min="15124" max="15124" width="9" style="214"/>
    <col min="15125" max="15125" width="1.875" style="214" customWidth="1"/>
    <col min="15126" max="15126" width="12.375" style="214" customWidth="1"/>
    <col min="15127" max="15127" width="11.625" style="214" customWidth="1"/>
    <col min="15128" max="15360" width="9" style="214"/>
    <col min="15361" max="15361" width="2.375" style="214" customWidth="1"/>
    <col min="15362" max="15362" width="11.875" style="214" customWidth="1"/>
    <col min="15363" max="15363" width="13" style="214" customWidth="1"/>
    <col min="15364" max="15365" width="11.625" style="214" customWidth="1"/>
    <col min="15366" max="15366" width="11.375" style="214" customWidth="1"/>
    <col min="15367" max="15367" width="11.625" style="214" customWidth="1"/>
    <col min="15368" max="15368" width="10.875" style="214" customWidth="1"/>
    <col min="15369" max="15369" width="12.75" style="214" customWidth="1"/>
    <col min="15370" max="15370" width="13.125" style="214" customWidth="1"/>
    <col min="15371" max="15371" width="9.875" style="214" customWidth="1"/>
    <col min="15372" max="15372" width="12" style="214" bestFit="1" customWidth="1"/>
    <col min="15373" max="15374" width="5.25" style="214" customWidth="1"/>
    <col min="15375" max="15375" width="9" style="214"/>
    <col min="15376" max="15376" width="10.25" style="214" customWidth="1"/>
    <col min="15377" max="15377" width="10.75" style="214" customWidth="1"/>
    <col min="15378" max="15379" width="12.875" style="214" customWidth="1"/>
    <col min="15380" max="15380" width="9" style="214"/>
    <col min="15381" max="15381" width="1.875" style="214" customWidth="1"/>
    <col min="15382" max="15382" width="12.375" style="214" customWidth="1"/>
    <col min="15383" max="15383" width="11.625" style="214" customWidth="1"/>
    <col min="15384" max="15616" width="9" style="214"/>
    <col min="15617" max="15617" width="2.375" style="214" customWidth="1"/>
    <col min="15618" max="15618" width="11.875" style="214" customWidth="1"/>
    <col min="15619" max="15619" width="13" style="214" customWidth="1"/>
    <col min="15620" max="15621" width="11.625" style="214" customWidth="1"/>
    <col min="15622" max="15622" width="11.375" style="214" customWidth="1"/>
    <col min="15623" max="15623" width="11.625" style="214" customWidth="1"/>
    <col min="15624" max="15624" width="10.875" style="214" customWidth="1"/>
    <col min="15625" max="15625" width="12.75" style="214" customWidth="1"/>
    <col min="15626" max="15626" width="13.125" style="214" customWidth="1"/>
    <col min="15627" max="15627" width="9.875" style="214" customWidth="1"/>
    <col min="15628" max="15628" width="12" style="214" bestFit="1" customWidth="1"/>
    <col min="15629" max="15630" width="5.25" style="214" customWidth="1"/>
    <col min="15631" max="15631" width="9" style="214"/>
    <col min="15632" max="15632" width="10.25" style="214" customWidth="1"/>
    <col min="15633" max="15633" width="10.75" style="214" customWidth="1"/>
    <col min="15634" max="15635" width="12.875" style="214" customWidth="1"/>
    <col min="15636" max="15636" width="9" style="214"/>
    <col min="15637" max="15637" width="1.875" style="214" customWidth="1"/>
    <col min="15638" max="15638" width="12.375" style="214" customWidth="1"/>
    <col min="15639" max="15639" width="11.625" style="214" customWidth="1"/>
    <col min="15640" max="15872" width="9" style="214"/>
    <col min="15873" max="15873" width="2.375" style="214" customWidth="1"/>
    <col min="15874" max="15874" width="11.875" style="214" customWidth="1"/>
    <col min="15875" max="15875" width="13" style="214" customWidth="1"/>
    <col min="15876" max="15877" width="11.625" style="214" customWidth="1"/>
    <col min="15878" max="15878" width="11.375" style="214" customWidth="1"/>
    <col min="15879" max="15879" width="11.625" style="214" customWidth="1"/>
    <col min="15880" max="15880" width="10.875" style="214" customWidth="1"/>
    <col min="15881" max="15881" width="12.75" style="214" customWidth="1"/>
    <col min="15882" max="15882" width="13.125" style="214" customWidth="1"/>
    <col min="15883" max="15883" width="9.875" style="214" customWidth="1"/>
    <col min="15884" max="15884" width="12" style="214" bestFit="1" customWidth="1"/>
    <col min="15885" max="15886" width="5.25" style="214" customWidth="1"/>
    <col min="15887" max="15887" width="9" style="214"/>
    <col min="15888" max="15888" width="10.25" style="214" customWidth="1"/>
    <col min="15889" max="15889" width="10.75" style="214" customWidth="1"/>
    <col min="15890" max="15891" width="12.875" style="214" customWidth="1"/>
    <col min="15892" max="15892" width="9" style="214"/>
    <col min="15893" max="15893" width="1.875" style="214" customWidth="1"/>
    <col min="15894" max="15894" width="12.375" style="214" customWidth="1"/>
    <col min="15895" max="15895" width="11.625" style="214" customWidth="1"/>
    <col min="15896" max="16128" width="9" style="214"/>
    <col min="16129" max="16129" width="2.375" style="214" customWidth="1"/>
    <col min="16130" max="16130" width="11.875" style="214" customWidth="1"/>
    <col min="16131" max="16131" width="13" style="214" customWidth="1"/>
    <col min="16132" max="16133" width="11.625" style="214" customWidth="1"/>
    <col min="16134" max="16134" width="11.375" style="214" customWidth="1"/>
    <col min="16135" max="16135" width="11.625" style="214" customWidth="1"/>
    <col min="16136" max="16136" width="10.875" style="214" customWidth="1"/>
    <col min="16137" max="16137" width="12.75" style="214" customWidth="1"/>
    <col min="16138" max="16138" width="13.125" style="214" customWidth="1"/>
    <col min="16139" max="16139" width="9.875" style="214" customWidth="1"/>
    <col min="16140" max="16140" width="12" style="214" bestFit="1" customWidth="1"/>
    <col min="16141" max="16142" width="5.25" style="214" customWidth="1"/>
    <col min="16143" max="16143" width="9" style="214"/>
    <col min="16144" max="16144" width="10.25" style="214" customWidth="1"/>
    <col min="16145" max="16145" width="10.75" style="214" customWidth="1"/>
    <col min="16146" max="16147" width="12.875" style="214" customWidth="1"/>
    <col min="16148" max="16148" width="9" style="214"/>
    <col min="16149" max="16149" width="1.875" style="214" customWidth="1"/>
    <col min="16150" max="16150" width="12.375" style="214" customWidth="1"/>
    <col min="16151" max="16151" width="11.625" style="214" customWidth="1"/>
    <col min="16152" max="16384" width="9" style="214"/>
  </cols>
  <sheetData>
    <row r="1" spans="1:62" ht="27" customHeight="1">
      <c r="A1" s="298" t="str">
        <f>+LEFT('3条税込み'!A1,2)&amp;"年度経費（雨水・汚水）区分調（収入決算・税抜き・消費税分雑収益加算後)）"</f>
        <v>令和年度経費（雨水・汚水）区分調（収入決算・税抜き・消費税分雑収益加算後)）</v>
      </c>
    </row>
    <row r="2" spans="1:62" ht="27" customHeight="1" thickBot="1">
      <c r="A2" s="214" t="s">
        <v>348</v>
      </c>
      <c r="J2" s="259" t="s">
        <v>292</v>
      </c>
    </row>
    <row r="3" spans="1:62" ht="27" customHeight="1">
      <c r="A3" s="233" t="s">
        <v>346</v>
      </c>
      <c r="B3" s="232"/>
      <c r="C3" s="297" t="s">
        <v>290</v>
      </c>
      <c r="D3" s="296" t="s">
        <v>289</v>
      </c>
      <c r="E3" s="294"/>
      <c r="F3" s="294"/>
      <c r="G3" s="293"/>
      <c r="H3" s="295" t="s">
        <v>288</v>
      </c>
      <c r="I3" s="294"/>
      <c r="J3" s="293"/>
      <c r="O3" s="615" t="s">
        <v>75</v>
      </c>
      <c r="P3" s="616"/>
      <c r="Q3" s="617"/>
    </row>
    <row r="4" spans="1:62" s="273" customFormat="1" ht="27" customHeight="1">
      <c r="A4" s="370"/>
      <c r="B4" s="291"/>
      <c r="C4" s="290"/>
      <c r="D4" s="289" t="s">
        <v>287</v>
      </c>
      <c r="E4" s="288"/>
      <c r="F4" s="287" t="s">
        <v>286</v>
      </c>
      <c r="G4" s="284" t="s">
        <v>285</v>
      </c>
      <c r="H4" s="286" t="s">
        <v>287</v>
      </c>
      <c r="I4" s="285" t="s">
        <v>286</v>
      </c>
      <c r="J4" s="284" t="s">
        <v>285</v>
      </c>
      <c r="N4" s="214"/>
      <c r="O4" s="618"/>
      <c r="P4" s="619"/>
      <c r="Q4" s="620"/>
      <c r="R4" s="214">
        <f>ROUND('3条税抜き (消費税雑支出加算)'!H44+'3条税抜き (消費税雑支出加算)'!I44-'収入税抜き (消費税雑収入加算）)'!G26-'収入税抜き (消費税雑収入加算）)'!H26,0)</f>
        <v>14187102335</v>
      </c>
      <c r="S4" s="214"/>
      <c r="T4" s="214"/>
      <c r="U4" s="214"/>
      <c r="V4" s="214">
        <f>R4-収入税込!V4</f>
        <v>9198273</v>
      </c>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c r="AZ4" s="214"/>
      <c r="BA4" s="214"/>
      <c r="BB4" s="214"/>
      <c r="BC4" s="214"/>
      <c r="BD4" s="214"/>
      <c r="BE4" s="214"/>
      <c r="BF4" s="214"/>
      <c r="BG4" s="214"/>
      <c r="BH4" s="214"/>
      <c r="BI4" s="214"/>
      <c r="BJ4" s="214"/>
    </row>
    <row r="5" spans="1:62" s="275" customFormat="1" ht="27" customHeight="1">
      <c r="A5" s="283"/>
      <c r="B5" s="282"/>
      <c r="C5" s="281"/>
      <c r="D5" s="280" t="s">
        <v>282</v>
      </c>
      <c r="E5" s="277" t="s">
        <v>284</v>
      </c>
      <c r="F5" s="279" t="s">
        <v>283</v>
      </c>
      <c r="G5" s="276"/>
      <c r="H5" s="278" t="s">
        <v>282</v>
      </c>
      <c r="I5" s="277" t="s">
        <v>282</v>
      </c>
      <c r="J5" s="276"/>
      <c r="L5" s="314" t="s">
        <v>295</v>
      </c>
      <c r="N5" s="369"/>
      <c r="O5" s="339"/>
      <c r="P5" s="621" t="s">
        <v>339</v>
      </c>
      <c r="Q5" s="622"/>
      <c r="R5" s="369"/>
      <c r="S5" s="369"/>
      <c r="T5" s="369"/>
      <c r="U5" s="369"/>
      <c r="V5" s="369"/>
      <c r="W5" s="369"/>
      <c r="X5" s="369"/>
      <c r="Y5" s="369"/>
      <c r="Z5" s="369"/>
      <c r="AA5" s="369"/>
      <c r="AB5" s="369"/>
      <c r="AC5" s="369"/>
      <c r="AD5" s="369"/>
      <c r="AE5" s="369"/>
      <c r="AF5" s="369"/>
      <c r="AG5" s="369"/>
      <c r="AH5" s="369"/>
      <c r="AI5" s="369"/>
      <c r="AJ5" s="369"/>
      <c r="AK5" s="369"/>
      <c r="AL5" s="369"/>
      <c r="AM5" s="369"/>
      <c r="AN5" s="369"/>
      <c r="AO5" s="369"/>
      <c r="AP5" s="369"/>
      <c r="AQ5" s="369"/>
      <c r="AR5" s="369"/>
      <c r="AS5" s="369"/>
      <c r="AT5" s="369"/>
      <c r="AU5" s="369"/>
      <c r="AV5" s="369"/>
      <c r="AW5" s="369"/>
      <c r="AX5" s="369"/>
      <c r="AY5" s="369"/>
      <c r="AZ5" s="369"/>
      <c r="BA5" s="369"/>
      <c r="BB5" s="369"/>
      <c r="BC5" s="369"/>
      <c r="BD5" s="369"/>
      <c r="BE5" s="369"/>
      <c r="BF5" s="369"/>
      <c r="BG5" s="369"/>
      <c r="BH5" s="369"/>
      <c r="BI5" s="369"/>
      <c r="BJ5" s="369"/>
    </row>
    <row r="6" spans="1:62" ht="27" customHeight="1">
      <c r="A6" s="236" t="s">
        <v>338</v>
      </c>
      <c r="B6" s="368"/>
      <c r="C6" s="238">
        <f>+雨汚水!O58</f>
        <v>18626337467</v>
      </c>
      <c r="D6" s="237">
        <f>+雨汚水!P58</f>
        <v>0</v>
      </c>
      <c r="E6" s="235">
        <f>+雨汚水!Q58</f>
        <v>0</v>
      </c>
      <c r="F6" s="235">
        <f>+雨汚水!R58</f>
        <v>0</v>
      </c>
      <c r="G6" s="234">
        <f t="shared" ref="G6:G15" si="0">SUM(D6:F6)</f>
        <v>0</v>
      </c>
      <c r="H6" s="236">
        <f>+雨汚水!T58</f>
        <v>0</v>
      </c>
      <c r="I6" s="235">
        <f>+雨汚水!U58</f>
        <v>18626337467</v>
      </c>
      <c r="J6" s="234">
        <f t="shared" ref="J6:J15" si="1">SUM(H6:I6)</f>
        <v>18626337467</v>
      </c>
      <c r="L6" s="312">
        <f>収入税込!C6-'収入税抜き (消費税雑収入加算）)'!C6</f>
        <v>1862625061</v>
      </c>
      <c r="M6" s="214">
        <f t="shared" ref="M6:M26" si="2">C6-G6-J6</f>
        <v>0</v>
      </c>
      <c r="O6" s="339"/>
      <c r="P6" s="623"/>
      <c r="Q6" s="620"/>
      <c r="R6" s="214">
        <f>R4-R16-R18-R20</f>
        <v>14079749832</v>
      </c>
      <c r="V6" s="214">
        <f>R6-収入税込!V6</f>
        <v>9198273</v>
      </c>
    </row>
    <row r="7" spans="1:62" ht="27" customHeight="1">
      <c r="A7" s="361" t="s">
        <v>337</v>
      </c>
      <c r="B7" s="255" t="s">
        <v>336</v>
      </c>
      <c r="C7" s="360">
        <f>+雨汚水!O60</f>
        <v>0</v>
      </c>
      <c r="D7" s="359">
        <f>+雨汚水!P60</f>
        <v>0</v>
      </c>
      <c r="E7" s="357">
        <f>+雨汚水!Q60</f>
        <v>0</v>
      </c>
      <c r="F7" s="357">
        <f>+雨汚水!R60</f>
        <v>0</v>
      </c>
      <c r="G7" s="356">
        <f t="shared" si="0"/>
        <v>0</v>
      </c>
      <c r="H7" s="358">
        <f>+雨汚水!T60</f>
        <v>0</v>
      </c>
      <c r="I7" s="357">
        <f>+雨汚水!U60</f>
        <v>0</v>
      </c>
      <c r="J7" s="356">
        <f t="shared" si="1"/>
        <v>0</v>
      </c>
      <c r="L7" s="214">
        <f>収入税込!C7-'収入税抜き (消費税雑収入加算）)'!C7</f>
        <v>0</v>
      </c>
      <c r="M7" s="214">
        <f t="shared" si="2"/>
        <v>0</v>
      </c>
      <c r="O7" s="339"/>
      <c r="P7" s="338"/>
      <c r="Q7" s="624" t="s">
        <v>335</v>
      </c>
    </row>
    <row r="8" spans="1:62" ht="27" customHeight="1">
      <c r="A8" s="354" t="s">
        <v>334</v>
      </c>
      <c r="B8" s="255" t="s">
        <v>149</v>
      </c>
      <c r="C8" s="246">
        <f>+SUM(雨汚水!O61:O64)</f>
        <v>172643606</v>
      </c>
      <c r="D8" s="245">
        <f>+SUM(雨汚水!P61:P64)</f>
        <v>853327</v>
      </c>
      <c r="E8" s="242">
        <f>+SUM(雨汚水!Q61:Q64)</f>
        <v>461192</v>
      </c>
      <c r="F8" s="242">
        <f>+SUM(雨汚水!R61:R64)</f>
        <v>34320964</v>
      </c>
      <c r="G8" s="241">
        <f t="shared" si="0"/>
        <v>35635483</v>
      </c>
      <c r="H8" s="243">
        <f>+SUM(雨汚水!T61:T64)</f>
        <v>269500</v>
      </c>
      <c r="I8" s="242">
        <f>+SUM(雨汚水!U61:U64)</f>
        <v>136738623</v>
      </c>
      <c r="J8" s="241">
        <f t="shared" si="1"/>
        <v>137008123</v>
      </c>
      <c r="L8" s="214">
        <f>収入税込!C8-'収入税抜き (消費税雑収入加算）)'!C8</f>
        <v>17203263</v>
      </c>
      <c r="M8" s="214">
        <f t="shared" si="2"/>
        <v>0</v>
      </c>
      <c r="O8" s="339"/>
      <c r="P8" s="338"/>
      <c r="Q8" s="625"/>
      <c r="R8" s="214">
        <f>R6-R10-R13-R33</f>
        <v>3582605895</v>
      </c>
      <c r="S8" s="214">
        <f>'3条税抜き (消費税雑支出加算)'!H31+'3条税抜き (消費税雑支出加算)'!I31-'3条税込み'!I8-'3条税込み'!G13-'3条税込み'!L12-'収入税抜き (消費税雑収入加算）)'!G17-'収入税抜き (消費税雑収入加算）)'!H17</f>
        <v>3591522898</v>
      </c>
      <c r="T8" s="214">
        <f>R8-S8</f>
        <v>-8917003</v>
      </c>
      <c r="V8" s="214">
        <f>S8-収入税込!V7</f>
        <v>9198273</v>
      </c>
    </row>
    <row r="9" spans="1:62" ht="27" customHeight="1">
      <c r="A9" s="354" t="s">
        <v>333</v>
      </c>
      <c r="B9" s="255" t="s">
        <v>42</v>
      </c>
      <c r="C9" s="246">
        <f>+雨汚水!O68</f>
        <v>88770</v>
      </c>
      <c r="D9" s="245">
        <f>+雨汚水!P68</f>
        <v>44385</v>
      </c>
      <c r="E9" s="242">
        <f>+雨汚水!Q68</f>
        <v>0</v>
      </c>
      <c r="F9" s="242">
        <f>+雨汚水!R68</f>
        <v>0</v>
      </c>
      <c r="G9" s="241">
        <f t="shared" si="0"/>
        <v>44385</v>
      </c>
      <c r="H9" s="243">
        <f>+雨汚水!T68</f>
        <v>0</v>
      </c>
      <c r="I9" s="242">
        <f>+雨汚水!U68</f>
        <v>44385</v>
      </c>
      <c r="J9" s="241">
        <f t="shared" si="1"/>
        <v>44385</v>
      </c>
      <c r="L9" s="214">
        <f>収入税込!C9-'収入税抜き (消費税雑収入加算）)'!C9</f>
        <v>0</v>
      </c>
      <c r="M9" s="214">
        <f t="shared" si="2"/>
        <v>0</v>
      </c>
      <c r="O9" s="339"/>
      <c r="P9" s="338"/>
      <c r="Q9" s="624" t="s">
        <v>32</v>
      </c>
    </row>
    <row r="10" spans="1:62" ht="27" customHeight="1">
      <c r="A10" s="354" t="s">
        <v>332</v>
      </c>
      <c r="B10" s="255" t="s">
        <v>141</v>
      </c>
      <c r="C10" s="246">
        <f>+雨汚水!O70</f>
        <v>33651455</v>
      </c>
      <c r="D10" s="245">
        <f>+雨汚水!P70</f>
        <v>33441108</v>
      </c>
      <c r="E10" s="242">
        <f>+雨汚水!Q70</f>
        <v>0</v>
      </c>
      <c r="F10" s="242">
        <f>+雨汚水!R70</f>
        <v>0</v>
      </c>
      <c r="G10" s="241">
        <f t="shared" si="0"/>
        <v>33441108</v>
      </c>
      <c r="H10" s="243">
        <f>+雨汚水!T70</f>
        <v>0</v>
      </c>
      <c r="I10" s="242">
        <f>+雨汚水!U70</f>
        <v>210347</v>
      </c>
      <c r="J10" s="241">
        <f t="shared" si="1"/>
        <v>210347</v>
      </c>
      <c r="L10" s="214">
        <f>収入税込!C10-'収入税抜き (消費税雑収入加算）)'!C10</f>
        <v>3365145</v>
      </c>
      <c r="M10" s="214">
        <f t="shared" si="2"/>
        <v>0</v>
      </c>
      <c r="O10" s="339"/>
      <c r="P10" s="338"/>
      <c r="Q10" s="626"/>
      <c r="R10" s="214">
        <f>ROUND('3条税抜き (消費税雑支出加算)'!H32+'3条税抜き (消費税雑支出加算)'!H39+'3条税抜き (消費税雑支出加算)'!I39+'3条税抜き (消費税雑支出加算)'!I32-G21-G22-H21-G23-H23-H22,0)</f>
        <v>8476549651</v>
      </c>
      <c r="V10" s="214">
        <f>R10-収入税込!V9</f>
        <v>0</v>
      </c>
    </row>
    <row r="11" spans="1:62" ht="27" customHeight="1">
      <c r="A11" s="252" t="s">
        <v>322</v>
      </c>
      <c r="B11" s="255" t="s">
        <v>137</v>
      </c>
      <c r="C11" s="246">
        <f>+雨汚水!O65+雨汚水!O75+雨汚水!O76</f>
        <v>35249977</v>
      </c>
      <c r="D11" s="245">
        <f>+雨汚水!P65+雨汚水!P75+雨汚水!P76</f>
        <v>10155799</v>
      </c>
      <c r="E11" s="242">
        <f>+雨汚水!Q65+雨汚水!Q75+雨汚水!Q76</f>
        <v>0</v>
      </c>
      <c r="F11" s="242">
        <f>+雨汚水!R65+雨汚水!R75+雨汚水!R76</f>
        <v>1768864</v>
      </c>
      <c r="G11" s="241">
        <f t="shared" si="0"/>
        <v>11924663</v>
      </c>
      <c r="H11" s="243">
        <f>+雨汚水!T65+雨汚水!T75+雨汚水!T76</f>
        <v>0</v>
      </c>
      <c r="I11" s="242">
        <f>+雨汚水!U65+雨汚水!U75+雨汚水!U76</f>
        <v>23325314</v>
      </c>
      <c r="J11" s="241">
        <f t="shared" si="1"/>
        <v>23325314</v>
      </c>
      <c r="K11" s="273"/>
      <c r="L11" s="214">
        <f>収入税込!C11-'収入税抜き (消費税雑収入加算）)'!C11</f>
        <v>1210357</v>
      </c>
      <c r="M11" s="214">
        <f t="shared" si="2"/>
        <v>0</v>
      </c>
      <c r="O11" s="339"/>
      <c r="P11" s="338"/>
      <c r="Q11" s="624" t="s">
        <v>31</v>
      </c>
    </row>
    <row r="12" spans="1:62" ht="27" customHeight="1">
      <c r="A12" s="354" t="s">
        <v>320</v>
      </c>
      <c r="B12" s="255" t="s">
        <v>128</v>
      </c>
      <c r="C12" s="246">
        <f>+SUM(雨汚水!O79:O83)</f>
        <v>3718891</v>
      </c>
      <c r="D12" s="245">
        <f>+SUM(雨汚水!P79:P83)</f>
        <v>713461</v>
      </c>
      <c r="E12" s="242">
        <f>+SUM(雨汚水!Q79:Q83)</f>
        <v>0</v>
      </c>
      <c r="F12" s="242">
        <f>+SUM(雨汚水!R79:R83)</f>
        <v>504308</v>
      </c>
      <c r="G12" s="241">
        <f t="shared" si="0"/>
        <v>1217769</v>
      </c>
      <c r="H12" s="243">
        <f>+SUM(雨汚水!T79:T83)</f>
        <v>29260</v>
      </c>
      <c r="I12" s="242">
        <f>+SUM(雨汚水!U79:U83)</f>
        <v>2471862</v>
      </c>
      <c r="J12" s="241">
        <f t="shared" si="1"/>
        <v>2501122</v>
      </c>
      <c r="L12" s="214">
        <f>収入税込!C12-'収入税抜き (消費税雑収入加算）)'!C12</f>
        <v>145888</v>
      </c>
      <c r="M12" s="214">
        <f t="shared" si="2"/>
        <v>0</v>
      </c>
      <c r="O12" s="339"/>
      <c r="P12" s="338"/>
      <c r="Q12" s="627"/>
      <c r="S12" s="272" t="s">
        <v>353</v>
      </c>
    </row>
    <row r="13" spans="1:62" ht="27" customHeight="1">
      <c r="A13" s="354" t="s">
        <v>318</v>
      </c>
      <c r="B13" s="365" t="s">
        <v>330</v>
      </c>
      <c r="C13" s="246">
        <f>+雨汚水!O69</f>
        <v>0</v>
      </c>
      <c r="D13" s="245">
        <f>+雨汚水!P69</f>
        <v>0</v>
      </c>
      <c r="E13" s="242">
        <f>+雨汚水!Q69</f>
        <v>0</v>
      </c>
      <c r="F13" s="242">
        <f>+雨汚水!R69</f>
        <v>0</v>
      </c>
      <c r="G13" s="241">
        <f t="shared" si="0"/>
        <v>0</v>
      </c>
      <c r="H13" s="243">
        <f>+雨汚水!T69</f>
        <v>0</v>
      </c>
      <c r="I13" s="242">
        <f>+雨汚水!U69</f>
        <v>0</v>
      </c>
      <c r="J13" s="241">
        <f t="shared" si="1"/>
        <v>0</v>
      </c>
      <c r="L13" s="214">
        <f>収入税込!C13-'収入税抜き (消費税雑収入加算）)'!C13</f>
        <v>0</v>
      </c>
      <c r="M13" s="214">
        <f t="shared" si="2"/>
        <v>0</v>
      </c>
      <c r="O13" s="339"/>
      <c r="P13" s="338"/>
      <c r="Q13" s="627"/>
      <c r="R13" s="214">
        <f>'3条税抜き (消費税雑支出加算)'!H35+'3条税抜き (消費税雑支出加算)'!I35-'3条税抜き (消費税雑支出加算)'!G40-'収入税抜き (消費税雑収入加算）)'!G24-'収入税抜き (消費税雑収入加算）)'!H24+G21+H21+G22</f>
        <v>2011396013</v>
      </c>
      <c r="S13" s="214">
        <f>R13+T8</f>
        <v>2002479010</v>
      </c>
      <c r="V13" s="214">
        <f>R13+T8-収入税込!V12</f>
        <v>-9198273</v>
      </c>
    </row>
    <row r="14" spans="1:62" ht="27" customHeight="1">
      <c r="A14" s="354" t="s">
        <v>316</v>
      </c>
      <c r="B14" s="556" t="s">
        <v>361</v>
      </c>
      <c r="C14" s="557">
        <f>+雨汚水!AD77</f>
        <v>1880565</v>
      </c>
      <c r="D14" s="558">
        <f>+雨汚水!AE77</f>
        <v>0</v>
      </c>
      <c r="E14" s="559">
        <f>+雨汚水!AF77</f>
        <v>0</v>
      </c>
      <c r="F14" s="559">
        <f>+雨汚水!AG77</f>
        <v>0</v>
      </c>
      <c r="G14" s="560">
        <f t="shared" si="0"/>
        <v>0</v>
      </c>
      <c r="H14" s="561">
        <f>+雨汚水!AI77</f>
        <v>0</v>
      </c>
      <c r="I14" s="559">
        <f>+雨汚水!AJ77</f>
        <v>1880565</v>
      </c>
      <c r="J14" s="560">
        <f t="shared" si="1"/>
        <v>1880565</v>
      </c>
      <c r="L14" s="214">
        <f>収入税込!C14-'収入税抜き (消費税雑収入加算）)'!C14</f>
        <v>-1880565</v>
      </c>
      <c r="M14" s="214">
        <f t="shared" si="2"/>
        <v>0</v>
      </c>
      <c r="O14" s="339"/>
      <c r="P14" s="338"/>
      <c r="Q14" s="628"/>
    </row>
    <row r="15" spans="1:62" ht="27" customHeight="1">
      <c r="A15" s="354" t="s">
        <v>313</v>
      </c>
      <c r="B15" s="242" t="s">
        <v>329</v>
      </c>
      <c r="C15" s="246"/>
      <c r="D15" s="245"/>
      <c r="E15" s="242"/>
      <c r="F15" s="242"/>
      <c r="G15" s="241">
        <f t="shared" si="0"/>
        <v>0</v>
      </c>
      <c r="H15" s="243"/>
      <c r="I15" s="242"/>
      <c r="J15" s="241">
        <f t="shared" si="1"/>
        <v>0</v>
      </c>
      <c r="M15" s="214">
        <f t="shared" si="2"/>
        <v>0</v>
      </c>
      <c r="O15" s="339"/>
      <c r="P15" s="613" t="s">
        <v>328</v>
      </c>
      <c r="Q15" s="614"/>
    </row>
    <row r="16" spans="1:62" ht="27" customHeight="1">
      <c r="A16" s="292"/>
      <c r="B16" s="362"/>
      <c r="C16" s="246"/>
      <c r="D16" s="245"/>
      <c r="E16" s="242"/>
      <c r="F16" s="242"/>
      <c r="G16" s="241"/>
      <c r="H16" s="243"/>
      <c r="I16" s="242"/>
      <c r="J16" s="241"/>
      <c r="K16" s="259" t="s">
        <v>269</v>
      </c>
      <c r="M16" s="214">
        <f t="shared" si="2"/>
        <v>0</v>
      </c>
      <c r="O16" s="339"/>
      <c r="P16" s="613"/>
      <c r="Q16" s="614"/>
      <c r="R16" s="214">
        <f>'3条税込み'!I8</f>
        <v>52443869</v>
      </c>
      <c r="V16" s="214">
        <f>R16-収入税込!V15</f>
        <v>0</v>
      </c>
    </row>
    <row r="17" spans="1:23" ht="27" customHeight="1">
      <c r="A17" s="226" t="s">
        <v>251</v>
      </c>
      <c r="B17" s="266"/>
      <c r="C17" s="238">
        <f>SUM(C7:C16)</f>
        <v>247233264</v>
      </c>
      <c r="D17" s="237">
        <f t="shared" ref="D17:J17" si="3">SUM(D7:D16)</f>
        <v>45208080</v>
      </c>
      <c r="E17" s="235">
        <f t="shared" si="3"/>
        <v>461192</v>
      </c>
      <c r="F17" s="235">
        <f t="shared" si="3"/>
        <v>36594136</v>
      </c>
      <c r="G17" s="234">
        <f t="shared" si="3"/>
        <v>82263408</v>
      </c>
      <c r="H17" s="236">
        <f t="shared" si="3"/>
        <v>298760</v>
      </c>
      <c r="I17" s="235">
        <f t="shared" si="3"/>
        <v>164671096</v>
      </c>
      <c r="J17" s="234">
        <f t="shared" si="3"/>
        <v>164969856</v>
      </c>
      <c r="K17" s="214">
        <f>G17-F13</f>
        <v>82263408</v>
      </c>
      <c r="L17" s="214">
        <f>SUM(L7:L15)</f>
        <v>20044088</v>
      </c>
      <c r="M17" s="214">
        <f t="shared" si="2"/>
        <v>0</v>
      </c>
      <c r="O17" s="339"/>
      <c r="P17" s="613" t="s">
        <v>327</v>
      </c>
      <c r="Q17" s="614"/>
    </row>
    <row r="18" spans="1:23" ht="27" customHeight="1">
      <c r="A18" s="361" t="s">
        <v>326</v>
      </c>
      <c r="B18" s="264" t="s">
        <v>325</v>
      </c>
      <c r="C18" s="360"/>
      <c r="D18" s="359"/>
      <c r="E18" s="357"/>
      <c r="F18" s="357"/>
      <c r="G18" s="356">
        <f t="shared" ref="G18:G23" si="4">SUM(D18:F18)</f>
        <v>0</v>
      </c>
      <c r="H18" s="358"/>
      <c r="I18" s="357"/>
      <c r="J18" s="356">
        <f t="shared" ref="J18:J23" si="5">SUM(H18:I18)</f>
        <v>0</v>
      </c>
      <c r="K18" s="259"/>
      <c r="L18" s="214">
        <f>収入税込!C18-'収入税抜き (消費税雑収入加算）)'!C18</f>
        <v>0</v>
      </c>
      <c r="M18" s="214">
        <f t="shared" si="2"/>
        <v>0</v>
      </c>
      <c r="O18" s="339"/>
      <c r="P18" s="613"/>
      <c r="Q18" s="614"/>
      <c r="R18" s="214">
        <f>'3条税込み'!L12</f>
        <v>44424775</v>
      </c>
      <c r="V18" s="214">
        <f>R18-収入税込!V17</f>
        <v>0</v>
      </c>
    </row>
    <row r="19" spans="1:23" ht="27" customHeight="1">
      <c r="A19" s="354" t="s">
        <v>324</v>
      </c>
      <c r="B19" s="255" t="s">
        <v>141</v>
      </c>
      <c r="C19" s="246">
        <f>+SUM(雨汚水!O88:O89)</f>
        <v>16476593</v>
      </c>
      <c r="D19" s="245">
        <f>+SUM(雨汚水!P88:P89)</f>
        <v>8440628</v>
      </c>
      <c r="E19" s="242">
        <f>+SUM(雨汚水!Q88:Q89)</f>
        <v>0</v>
      </c>
      <c r="F19" s="242">
        <f>+SUM(雨汚水!R88:R89)</f>
        <v>0</v>
      </c>
      <c r="G19" s="241">
        <f t="shared" si="4"/>
        <v>8440628</v>
      </c>
      <c r="H19" s="243">
        <f>+SUM(雨汚水!T88:T89)</f>
        <v>0</v>
      </c>
      <c r="I19" s="242">
        <f>+SUM(雨汚水!U88:U89)</f>
        <v>8035965</v>
      </c>
      <c r="J19" s="241">
        <f t="shared" si="5"/>
        <v>8035965</v>
      </c>
      <c r="L19" s="214">
        <f>収入税込!C19-'収入税抜き (消費税雑収入加算）)'!C19</f>
        <v>0</v>
      </c>
      <c r="M19" s="312">
        <f t="shared" si="2"/>
        <v>0</v>
      </c>
      <c r="O19" s="339"/>
      <c r="P19" s="613" t="s">
        <v>352</v>
      </c>
      <c r="Q19" s="614"/>
    </row>
    <row r="20" spans="1:23" ht="27" customHeight="1" thickBot="1">
      <c r="A20" s="252" t="s">
        <v>322</v>
      </c>
      <c r="B20" s="255" t="s">
        <v>321</v>
      </c>
      <c r="C20" s="246"/>
      <c r="D20" s="245"/>
      <c r="E20" s="242"/>
      <c r="F20" s="242"/>
      <c r="G20" s="241">
        <f t="shared" si="4"/>
        <v>0</v>
      </c>
      <c r="H20" s="243"/>
      <c r="I20" s="242"/>
      <c r="J20" s="241">
        <f t="shared" si="5"/>
        <v>0</v>
      </c>
      <c r="M20" s="214">
        <f t="shared" si="2"/>
        <v>0</v>
      </c>
      <c r="O20" s="353"/>
      <c r="P20" s="630"/>
      <c r="Q20" s="631"/>
      <c r="R20" s="214">
        <f>'3条税込み'!G13+'3条税込み'!G40</f>
        <v>10483859</v>
      </c>
      <c r="V20" s="214">
        <f>R20-収入税込!V19</f>
        <v>0</v>
      </c>
    </row>
    <row r="21" spans="1:23" ht="27" customHeight="1">
      <c r="A21" s="351" t="s">
        <v>320</v>
      </c>
      <c r="B21" s="352" t="s">
        <v>319</v>
      </c>
      <c r="C21" s="246">
        <f>+雨汚水!O85</f>
        <v>9364620277</v>
      </c>
      <c r="D21" s="245">
        <f>+雨汚水!P85</f>
        <v>4482094461</v>
      </c>
      <c r="E21" s="242">
        <f>+雨汚水!Q85</f>
        <v>2428480</v>
      </c>
      <c r="F21" s="242">
        <f>+雨汚水!R85</f>
        <v>0</v>
      </c>
      <c r="G21" s="241">
        <f t="shared" si="4"/>
        <v>4484522941</v>
      </c>
      <c r="H21" s="243">
        <f>+雨汚水!T85</f>
        <v>6059291</v>
      </c>
      <c r="I21" s="242">
        <f>+雨汚水!U85</f>
        <v>4874038045</v>
      </c>
      <c r="J21" s="241">
        <f t="shared" si="5"/>
        <v>4880097336</v>
      </c>
      <c r="M21" s="214">
        <f t="shared" si="2"/>
        <v>0</v>
      </c>
      <c r="O21" s="632" t="s">
        <v>52</v>
      </c>
      <c r="P21" s="633"/>
      <c r="Q21" s="622"/>
    </row>
    <row r="22" spans="1:23" ht="27" customHeight="1">
      <c r="A22" s="351" t="s">
        <v>318</v>
      </c>
      <c r="B22" s="268" t="s">
        <v>317</v>
      </c>
      <c r="C22" s="246">
        <f>+雨汚水!O86</f>
        <v>120734725</v>
      </c>
      <c r="D22" s="245">
        <f>+雨汚水!P86</f>
        <v>49928323</v>
      </c>
      <c r="E22" s="242">
        <f>+雨汚水!Q86</f>
        <v>486150</v>
      </c>
      <c r="F22" s="242">
        <f>+雨汚水!R86</f>
        <v>0</v>
      </c>
      <c r="G22" s="241">
        <f t="shared" si="4"/>
        <v>50414473</v>
      </c>
      <c r="H22" s="243">
        <f>+雨汚水!T86</f>
        <v>0</v>
      </c>
      <c r="I22" s="242">
        <f>+雨汚水!U86</f>
        <v>70320252</v>
      </c>
      <c r="J22" s="241">
        <f t="shared" si="5"/>
        <v>70320252</v>
      </c>
      <c r="M22" s="214">
        <f t="shared" si="2"/>
        <v>0</v>
      </c>
      <c r="O22" s="618"/>
      <c r="P22" s="619"/>
      <c r="Q22" s="620"/>
      <c r="R22" s="214">
        <f>'3条税抜き (消費税雑支出加算)'!J44-'収入税抜き (消費税雑収入加算）)'!I26+V22+R31+R33</f>
        <v>523717783</v>
      </c>
      <c r="V22" s="340">
        <v>1049218476</v>
      </c>
      <c r="W22" s="214">
        <f>V22-R22+R31+R33</f>
        <v>534703946</v>
      </c>
    </row>
    <row r="23" spans="1:23" ht="27" customHeight="1">
      <c r="A23" s="351" t="s">
        <v>316</v>
      </c>
      <c r="B23" s="247" t="s">
        <v>315</v>
      </c>
      <c r="C23" s="246">
        <f>+SUM(雨汚水!O93:O95)</f>
        <v>334220</v>
      </c>
      <c r="D23" s="245">
        <f>+SUM(雨汚水!P93:P95)</f>
        <v>281270</v>
      </c>
      <c r="E23" s="242">
        <f>+SUM(雨汚水!Q93:Q95)</f>
        <v>0</v>
      </c>
      <c r="F23" s="242">
        <f>+SUM(雨汚水!R93:R95)</f>
        <v>0</v>
      </c>
      <c r="G23" s="241">
        <f t="shared" si="4"/>
        <v>281270</v>
      </c>
      <c r="H23" s="243">
        <f>+SUM(雨汚水!T93:T95)</f>
        <v>0</v>
      </c>
      <c r="I23" s="242">
        <f>+SUM(雨汚水!U93:U95)</f>
        <v>52950</v>
      </c>
      <c r="J23" s="241">
        <f t="shared" si="5"/>
        <v>52950</v>
      </c>
      <c r="K23" s="259" t="s">
        <v>294</v>
      </c>
      <c r="M23" s="214">
        <f t="shared" si="2"/>
        <v>0</v>
      </c>
      <c r="O23" s="339"/>
      <c r="P23" s="621" t="s">
        <v>314</v>
      </c>
      <c r="Q23" s="622"/>
    </row>
    <row r="24" spans="1:23" ht="27" customHeight="1">
      <c r="A24" s="350" t="s">
        <v>313</v>
      </c>
      <c r="B24" s="349" t="s">
        <v>251</v>
      </c>
      <c r="C24" s="238">
        <f t="shared" ref="C24:J24" si="6">SUM(C18:C23)</f>
        <v>9502165815</v>
      </c>
      <c r="D24" s="237">
        <f t="shared" si="6"/>
        <v>4540744682</v>
      </c>
      <c r="E24" s="235">
        <f t="shared" si="6"/>
        <v>2914630</v>
      </c>
      <c r="F24" s="235">
        <f t="shared" si="6"/>
        <v>0</v>
      </c>
      <c r="G24" s="234">
        <f t="shared" si="6"/>
        <v>4543659312</v>
      </c>
      <c r="H24" s="236">
        <f t="shared" si="6"/>
        <v>6059291</v>
      </c>
      <c r="I24" s="235">
        <f t="shared" si="6"/>
        <v>4952447212</v>
      </c>
      <c r="J24" s="234">
        <f t="shared" si="6"/>
        <v>4958506503</v>
      </c>
      <c r="K24" s="312">
        <f>D24+E24</f>
        <v>4543659312</v>
      </c>
      <c r="L24" s="214">
        <f>SUM(L18:L20)</f>
        <v>0</v>
      </c>
      <c r="M24" s="214">
        <f t="shared" si="2"/>
        <v>0</v>
      </c>
      <c r="O24" s="339"/>
      <c r="P24" s="623"/>
      <c r="Q24" s="620"/>
      <c r="R24" s="214">
        <f>+R26+R28+R31</f>
        <v>515005634</v>
      </c>
    </row>
    <row r="25" spans="1:23" ht="27" customHeight="1">
      <c r="A25" s="233"/>
      <c r="B25" s="232"/>
      <c r="C25" s="231"/>
      <c r="D25" s="230"/>
      <c r="E25" s="228"/>
      <c r="F25" s="228"/>
      <c r="G25" s="227"/>
      <c r="H25" s="229"/>
      <c r="I25" s="228"/>
      <c r="J25" s="227"/>
      <c r="M25" s="214">
        <f t="shared" si="2"/>
        <v>0</v>
      </c>
      <c r="O25" s="339"/>
      <c r="P25" s="338"/>
      <c r="Q25" s="624" t="s">
        <v>32</v>
      </c>
    </row>
    <row r="26" spans="1:23" ht="27" customHeight="1" thickBot="1">
      <c r="A26" s="341" t="s">
        <v>249</v>
      </c>
      <c r="B26" s="224"/>
      <c r="C26" s="223">
        <f t="shared" ref="C26:J26" si="7">C6+C17+C24</f>
        <v>28375736546</v>
      </c>
      <c r="D26" s="222">
        <f t="shared" si="7"/>
        <v>4585952762</v>
      </c>
      <c r="E26" s="219">
        <f t="shared" si="7"/>
        <v>3375822</v>
      </c>
      <c r="F26" s="222">
        <f t="shared" si="7"/>
        <v>36594136</v>
      </c>
      <c r="G26" s="221">
        <f t="shared" si="7"/>
        <v>4625922720</v>
      </c>
      <c r="H26" s="220">
        <f t="shared" si="7"/>
        <v>6358051</v>
      </c>
      <c r="I26" s="219">
        <f t="shared" si="7"/>
        <v>23743455775</v>
      </c>
      <c r="J26" s="218">
        <f t="shared" si="7"/>
        <v>23749813826</v>
      </c>
      <c r="L26" s="312">
        <f>L6+L17+L24</f>
        <v>1882669149</v>
      </c>
      <c r="M26" s="312">
        <f t="shared" si="2"/>
        <v>0</v>
      </c>
      <c r="O26" s="339"/>
      <c r="P26" s="338"/>
      <c r="Q26" s="625"/>
      <c r="R26" s="214">
        <f>R36-R40-R45+V26</f>
        <v>387746565</v>
      </c>
      <c r="V26" s="340">
        <v>829447930</v>
      </c>
      <c r="W26" s="214">
        <f>V26-R26</f>
        <v>441701365</v>
      </c>
    </row>
    <row r="27" spans="1:23" ht="21" customHeight="1">
      <c r="A27" s="216"/>
      <c r="B27" s="216"/>
      <c r="C27" s="215"/>
      <c r="D27" s="215"/>
      <c r="E27" s="215"/>
      <c r="F27" s="215"/>
      <c r="G27" s="215"/>
      <c r="H27" s="215"/>
      <c r="I27" s="215"/>
      <c r="J27" s="215"/>
      <c r="O27" s="339"/>
      <c r="P27" s="338"/>
      <c r="Q27" s="624" t="s">
        <v>31</v>
      </c>
    </row>
    <row r="28" spans="1:23">
      <c r="O28" s="339"/>
      <c r="P28" s="338"/>
      <c r="Q28" s="625"/>
      <c r="R28" s="214">
        <f>R37-R41-R46+V28</f>
        <v>127254089</v>
      </c>
      <c r="V28" s="340">
        <v>220261650</v>
      </c>
      <c r="W28" s="214">
        <f>V28-R28</f>
        <v>93007561</v>
      </c>
    </row>
    <row r="29" spans="1:23">
      <c r="O29" s="339"/>
      <c r="P29" s="338"/>
      <c r="Q29" s="625"/>
    </row>
    <row r="30" spans="1:23">
      <c r="O30" s="339"/>
      <c r="P30" s="338"/>
      <c r="Q30" s="626"/>
    </row>
    <row r="31" spans="1:23">
      <c r="O31" s="339"/>
      <c r="P31" s="338"/>
      <c r="Q31" s="625" t="s">
        <v>312</v>
      </c>
      <c r="R31" s="214">
        <f>+収入税込!R31</f>
        <v>4980</v>
      </c>
    </row>
    <row r="32" spans="1:23">
      <c r="O32" s="339"/>
      <c r="P32" s="338"/>
      <c r="Q32" s="625"/>
    </row>
    <row r="33" spans="4:18" ht="27.75" customHeight="1" thickBot="1">
      <c r="D33" s="214">
        <f>'3条税抜き (消費税雑支出加算)'!E44-'収入税抜き (消費税雑収入加算）)'!D26</f>
        <v>12799515012</v>
      </c>
      <c r="E33" s="214">
        <f>'3条税抜き (消費税雑支出加算)'!F44-'収入税抜き (消費税雑収入加算）)'!E26</f>
        <v>389424727</v>
      </c>
      <c r="F33" s="214">
        <f>'3条税抜き (消費税雑支出加算)'!G44-'収入税抜き (消費税雑収入加算）)'!F26</f>
        <v>443703083</v>
      </c>
      <c r="H33" s="214">
        <f>'3条税抜き (消費税雑支出加算)'!I44-'収入税抜き (消費税雑収入加算）)'!H26</f>
        <v>554459513</v>
      </c>
      <c r="O33" s="336"/>
      <c r="P33" s="374" t="s">
        <v>310</v>
      </c>
      <c r="Q33" s="334"/>
      <c r="R33" s="214">
        <f>+収入税込!V33</f>
        <v>9198273</v>
      </c>
    </row>
    <row r="34" spans="4:18" ht="27.75" customHeight="1">
      <c r="R34" s="214">
        <f>R24-R26-R28-R31</f>
        <v>0</v>
      </c>
    </row>
    <row r="35" spans="4:18">
      <c r="O35" s="214" t="s">
        <v>308</v>
      </c>
      <c r="R35" s="214">
        <f>I6-('3条税抜き (消費税雑支出加算)'!J31-I17)</f>
        <v>11542408171</v>
      </c>
    </row>
    <row r="36" spans="4:18">
      <c r="P36" s="214" t="s">
        <v>307</v>
      </c>
      <c r="R36" s="214">
        <f>'3条税抜き (消費税雑支出加算)'!J32-I21-I22</f>
        <v>9093018178</v>
      </c>
    </row>
    <row r="37" spans="4:18">
      <c r="P37" s="214" t="s">
        <v>306</v>
      </c>
      <c r="R37" s="214">
        <f>'3条税抜き (消費税雑支出加算)'!J35-'収入税抜き (消費税雑収入加算）)'!I24+I21+I22</f>
        <v>1914686047</v>
      </c>
    </row>
    <row r="38" spans="4:18">
      <c r="P38" s="214" t="s">
        <v>305</v>
      </c>
      <c r="R38" s="214">
        <f>R36+R37</f>
        <v>11007704225</v>
      </c>
    </row>
    <row r="39" spans="4:18">
      <c r="O39" s="214" t="s">
        <v>304</v>
      </c>
    </row>
    <row r="40" spans="4:18">
      <c r="P40" s="214" t="s">
        <v>303</v>
      </c>
      <c r="R40" s="214">
        <f>ROUND(R35*R36/R38,0)</f>
        <v>9534715429</v>
      </c>
    </row>
    <row r="41" spans="4:18">
      <c r="P41" s="214" t="s">
        <v>302</v>
      </c>
      <c r="R41" s="214">
        <f>ROUND(R35*R37/R38,0)</f>
        <v>2007692742</v>
      </c>
    </row>
    <row r="42" spans="4:18">
      <c r="P42" s="214" t="s">
        <v>297</v>
      </c>
      <c r="R42" s="214">
        <f>R40+R41</f>
        <v>11542408171</v>
      </c>
    </row>
    <row r="43" spans="4:18">
      <c r="R43" s="214">
        <f>R35-R42</f>
        <v>0</v>
      </c>
    </row>
    <row r="44" spans="4:18">
      <c r="O44" s="214" t="s">
        <v>300</v>
      </c>
      <c r="R44" s="214">
        <f>R31</f>
        <v>4980</v>
      </c>
    </row>
    <row r="45" spans="4:18">
      <c r="P45" s="214" t="s">
        <v>299</v>
      </c>
      <c r="R45" s="214">
        <f>ROUND(R44*R36/R38,0)</f>
        <v>4114</v>
      </c>
    </row>
    <row r="46" spans="4:18">
      <c r="P46" s="214" t="s">
        <v>298</v>
      </c>
      <c r="R46" s="214">
        <f>ROUND(R44*R37/R38,0)</f>
        <v>866</v>
      </c>
    </row>
    <row r="47" spans="4:18">
      <c r="P47" s="214" t="s">
        <v>297</v>
      </c>
      <c r="R47" s="214">
        <f>R44-R45-R46</f>
        <v>0</v>
      </c>
    </row>
  </sheetData>
  <mergeCells count="13">
    <mergeCell ref="Q31:Q32"/>
    <mergeCell ref="P17:Q18"/>
    <mergeCell ref="P19:Q20"/>
    <mergeCell ref="O21:Q22"/>
    <mergeCell ref="P23:Q24"/>
    <mergeCell ref="Q25:Q26"/>
    <mergeCell ref="Q27:Q30"/>
    <mergeCell ref="P15:Q16"/>
    <mergeCell ref="O3:Q4"/>
    <mergeCell ref="P5:Q6"/>
    <mergeCell ref="Q7:Q8"/>
    <mergeCell ref="Q9:Q10"/>
    <mergeCell ref="Q11:Q14"/>
  </mergeCells>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L151"/>
  <sheetViews>
    <sheetView topLeftCell="D1" zoomScale="55" zoomScaleNormal="55" zoomScaleSheetLayoutView="80" workbookViewId="0">
      <selection activeCell="W38" sqref="E38:W51"/>
    </sheetView>
  </sheetViews>
  <sheetFormatPr defaultColWidth="9" defaultRowHeight="13.5" outlineLevelCol="1"/>
  <cols>
    <col min="1" max="1" width="4" style="3" customWidth="1"/>
    <col min="2" max="3" width="4" style="1" customWidth="1"/>
    <col min="4" max="4" width="30.625" style="1" customWidth="1"/>
    <col min="5" max="8" width="14.125" style="1" customWidth="1"/>
    <col min="9" max="9" width="14.125" style="2" customWidth="1"/>
    <col min="10" max="11" width="14.125" style="1" customWidth="1"/>
    <col min="12" max="13" width="14.125" style="2" customWidth="1"/>
    <col min="14" max="14" width="30.625" style="1" customWidth="1"/>
    <col min="15" max="18" width="14.125" style="1" customWidth="1"/>
    <col min="19" max="19" width="14.125" style="2" customWidth="1"/>
    <col min="20" max="21" width="14.125" style="1" customWidth="1"/>
    <col min="22" max="23" width="14.125" style="2" customWidth="1"/>
    <col min="24" max="24" width="30.625" style="2" customWidth="1"/>
    <col min="25" max="29" width="14.125" style="2" customWidth="1" outlineLevel="1"/>
    <col min="30" max="33" width="14.125" style="1" customWidth="1"/>
    <col min="34" max="34" width="14.125" style="2" customWidth="1"/>
    <col min="35" max="36" width="14.125" style="1" customWidth="1"/>
    <col min="37" max="38" width="14.125" style="2" customWidth="1"/>
    <col min="39" max="16384" width="9" style="1"/>
  </cols>
  <sheetData>
    <row r="1" spans="1:38">
      <c r="D1" s="1" t="str">
        <f>+'[1]3条支出'!$D$1</f>
        <v>令和５年度決算　消費税算出資料</v>
      </c>
      <c r="F1" s="2"/>
      <c r="G1" s="2"/>
      <c r="J1" s="2"/>
      <c r="N1" s="1" t="str">
        <f>+$D$1</f>
        <v>令和５年度決算　消費税算出資料</v>
      </c>
      <c r="X1" s="1" t="str">
        <f>+$D$1</f>
        <v>令和５年度決算　消費税算出資料</v>
      </c>
      <c r="Y1" s="1"/>
      <c r="Z1" s="1"/>
      <c r="AA1" s="1"/>
      <c r="AB1" s="1"/>
      <c r="AC1" s="1"/>
    </row>
    <row r="2" spans="1:38">
      <c r="D2" s="1" t="s">
        <v>125</v>
      </c>
      <c r="F2" s="2"/>
      <c r="G2" s="2"/>
      <c r="J2" s="2"/>
      <c r="M2" s="53" t="str">
        <f>+IF(COUNTIF(M7:M45,0)=COUNT(M7:M45),"","↓エラーあり")</f>
        <v>↓エラーあり</v>
      </c>
      <c r="N2" s="1" t="s">
        <v>125</v>
      </c>
      <c r="W2" s="53" t="str">
        <f>+IF(COUNTIF(W7:W45,0)=COUNT(W7:W45),"","↓エラーあり")</f>
        <v>↓エラーあり</v>
      </c>
      <c r="X2" s="1" t="s">
        <v>101</v>
      </c>
      <c r="Y2" s="1"/>
      <c r="Z2" s="1"/>
      <c r="AA2" s="1"/>
      <c r="AB2" s="1"/>
      <c r="AC2" s="1"/>
      <c r="AL2" s="53" t="str">
        <f>+IF(COUNTIF(AL7:AL45,0)=COUNT(AL7:AL45),"","↓エラーあり")</f>
        <v>↓エラーあり</v>
      </c>
    </row>
    <row r="3" spans="1:38">
      <c r="B3" s="583" t="s">
        <v>99</v>
      </c>
      <c r="C3" s="584"/>
      <c r="D3" s="576" t="s">
        <v>95</v>
      </c>
      <c r="E3" s="589" t="s">
        <v>98</v>
      </c>
      <c r="F3" s="590"/>
      <c r="G3" s="590"/>
      <c r="H3" s="590"/>
      <c r="I3" s="590"/>
      <c r="J3" s="590"/>
      <c r="K3" s="590"/>
      <c r="L3" s="590"/>
      <c r="M3" s="591"/>
      <c r="N3" s="576" t="s">
        <v>95</v>
      </c>
      <c r="O3" s="589" t="s">
        <v>97</v>
      </c>
      <c r="P3" s="590"/>
      <c r="Q3" s="590"/>
      <c r="R3" s="590"/>
      <c r="S3" s="590"/>
      <c r="T3" s="590"/>
      <c r="U3" s="590"/>
      <c r="V3" s="590"/>
      <c r="W3" s="591"/>
      <c r="X3" s="576" t="s">
        <v>95</v>
      </c>
      <c r="Y3" s="480"/>
      <c r="Z3" s="480"/>
      <c r="AA3" s="480"/>
      <c r="AB3" s="480"/>
      <c r="AC3" s="480"/>
      <c r="AD3" s="589" t="s">
        <v>97</v>
      </c>
      <c r="AE3" s="590"/>
      <c r="AF3" s="590"/>
      <c r="AG3" s="590"/>
      <c r="AH3" s="590"/>
      <c r="AI3" s="590"/>
      <c r="AJ3" s="590"/>
      <c r="AK3" s="590"/>
      <c r="AL3" s="591"/>
    </row>
    <row r="4" spans="1:38">
      <c r="B4" s="585"/>
      <c r="C4" s="586"/>
      <c r="D4" s="577"/>
      <c r="E4" s="576" t="s">
        <v>90</v>
      </c>
      <c r="F4" s="589" t="s">
        <v>86</v>
      </c>
      <c r="G4" s="590"/>
      <c r="H4" s="590"/>
      <c r="I4" s="591"/>
      <c r="J4" s="589" t="s">
        <v>85</v>
      </c>
      <c r="K4" s="590"/>
      <c r="L4" s="591"/>
      <c r="M4" s="579" t="s">
        <v>83</v>
      </c>
      <c r="N4" s="577"/>
      <c r="O4" s="576" t="s">
        <v>91</v>
      </c>
      <c r="P4" s="589" t="s">
        <v>86</v>
      </c>
      <c r="Q4" s="590"/>
      <c r="R4" s="590"/>
      <c r="S4" s="591"/>
      <c r="T4" s="590" t="s">
        <v>85</v>
      </c>
      <c r="U4" s="590"/>
      <c r="V4" s="591"/>
      <c r="W4" s="579" t="s">
        <v>83</v>
      </c>
      <c r="X4" s="577"/>
      <c r="Y4" s="476"/>
      <c r="Z4" s="476"/>
      <c r="AA4" s="476"/>
      <c r="AB4" s="476"/>
      <c r="AC4" s="476"/>
      <c r="AD4" s="576" t="s">
        <v>91</v>
      </c>
      <c r="AE4" s="589" t="s">
        <v>86</v>
      </c>
      <c r="AF4" s="590"/>
      <c r="AG4" s="590"/>
      <c r="AH4" s="591"/>
      <c r="AI4" s="590" t="s">
        <v>85</v>
      </c>
      <c r="AJ4" s="590"/>
      <c r="AK4" s="591"/>
      <c r="AL4" s="579" t="s">
        <v>83</v>
      </c>
    </row>
    <row r="5" spans="1:38">
      <c r="A5" s="586"/>
      <c r="B5" s="585"/>
      <c r="C5" s="586"/>
      <c r="D5" s="577"/>
      <c r="E5" s="577"/>
      <c r="F5" s="113" t="s">
        <v>82</v>
      </c>
      <c r="G5" s="385" t="s">
        <v>82</v>
      </c>
      <c r="H5" s="112" t="s">
        <v>80</v>
      </c>
      <c r="I5" s="482" t="s">
        <v>81</v>
      </c>
      <c r="J5" s="113" t="s">
        <v>82</v>
      </c>
      <c r="K5" s="112" t="s">
        <v>80</v>
      </c>
      <c r="L5" s="111" t="s">
        <v>81</v>
      </c>
      <c r="M5" s="580"/>
      <c r="N5" s="577"/>
      <c r="O5" s="577"/>
      <c r="P5" s="113" t="s">
        <v>82</v>
      </c>
      <c r="Q5" s="385" t="s">
        <v>82</v>
      </c>
      <c r="R5" s="112" t="s">
        <v>80</v>
      </c>
      <c r="S5" s="482" t="s">
        <v>81</v>
      </c>
      <c r="T5" s="425" t="s">
        <v>82</v>
      </c>
      <c r="U5" s="112" t="s">
        <v>80</v>
      </c>
      <c r="V5" s="111" t="s">
        <v>81</v>
      </c>
      <c r="W5" s="580"/>
      <c r="X5" s="577"/>
      <c r="Y5" s="476"/>
      <c r="Z5" s="476"/>
      <c r="AA5" s="476"/>
      <c r="AB5" s="476"/>
      <c r="AC5" s="476"/>
      <c r="AD5" s="577"/>
      <c r="AE5" s="113" t="s">
        <v>82</v>
      </c>
      <c r="AF5" s="385" t="s">
        <v>82</v>
      </c>
      <c r="AG5" s="112" t="s">
        <v>80</v>
      </c>
      <c r="AH5" s="482" t="s">
        <v>81</v>
      </c>
      <c r="AI5" s="425" t="s">
        <v>82</v>
      </c>
      <c r="AJ5" s="112" t="s">
        <v>80</v>
      </c>
      <c r="AK5" s="111" t="s">
        <v>81</v>
      </c>
      <c r="AL5" s="580"/>
    </row>
    <row r="6" spans="1:38" s="106" customFormat="1">
      <c r="A6" s="586"/>
      <c r="B6" s="585"/>
      <c r="C6" s="586"/>
      <c r="D6" s="577"/>
      <c r="E6" s="578"/>
      <c r="F6" s="109" t="s">
        <v>78</v>
      </c>
      <c r="G6" s="386" t="s">
        <v>79</v>
      </c>
      <c r="H6" s="411" t="s">
        <v>84</v>
      </c>
      <c r="I6" s="401"/>
      <c r="J6" s="109" t="s">
        <v>78</v>
      </c>
      <c r="K6" s="108" t="s">
        <v>78</v>
      </c>
      <c r="L6" s="107"/>
      <c r="M6" s="580"/>
      <c r="N6" s="577"/>
      <c r="O6" s="578"/>
      <c r="P6" s="109" t="s">
        <v>78</v>
      </c>
      <c r="Q6" s="386" t="s">
        <v>79</v>
      </c>
      <c r="R6" s="411" t="s">
        <v>84</v>
      </c>
      <c r="S6" s="401"/>
      <c r="T6" s="426" t="s">
        <v>78</v>
      </c>
      <c r="U6" s="108" t="s">
        <v>78</v>
      </c>
      <c r="V6" s="107"/>
      <c r="W6" s="580"/>
      <c r="X6" s="578"/>
      <c r="Y6" s="477"/>
      <c r="Z6" s="477"/>
      <c r="AA6" s="477"/>
      <c r="AB6" s="477"/>
      <c r="AC6" s="477"/>
      <c r="AD6" s="578"/>
      <c r="AE6" s="109" t="s">
        <v>78</v>
      </c>
      <c r="AF6" s="386" t="s">
        <v>79</v>
      </c>
      <c r="AG6" s="411" t="s">
        <v>84</v>
      </c>
      <c r="AH6" s="401"/>
      <c r="AI6" s="426" t="s">
        <v>78</v>
      </c>
      <c r="AJ6" s="108" t="s">
        <v>78</v>
      </c>
      <c r="AK6" s="107"/>
      <c r="AL6" s="581"/>
    </row>
    <row r="7" spans="1:38">
      <c r="A7" s="150"/>
      <c r="B7" s="192" t="s">
        <v>4</v>
      </c>
      <c r="C7" s="191" t="s">
        <v>21</v>
      </c>
      <c r="D7" s="188" t="s">
        <v>77</v>
      </c>
      <c r="E7" s="379">
        <f>+'[1]3条支出'!E6</f>
        <v>611819957</v>
      </c>
      <c r="F7" s="190">
        <v>230221297</v>
      </c>
      <c r="G7" s="421">
        <v>52397598</v>
      </c>
      <c r="H7" s="189">
        <v>9132669</v>
      </c>
      <c r="I7" s="101">
        <f>+SUM(F7:H7)</f>
        <v>291751564</v>
      </c>
      <c r="J7" s="190"/>
      <c r="K7" s="189">
        <v>221309810</v>
      </c>
      <c r="L7" s="95">
        <f t="shared" ref="L7:L44" si="0">+SUM(J7:K7)</f>
        <v>221309810</v>
      </c>
      <c r="M7" s="94">
        <f t="shared" ref="M7:M44" si="1">E7-SUM(I7,L7)</f>
        <v>98758583</v>
      </c>
      <c r="N7" s="188" t="s">
        <v>77</v>
      </c>
      <c r="O7" s="382">
        <f>+'[1]3条支出'!T6</f>
        <v>564664608</v>
      </c>
      <c r="P7" s="100">
        <f t="shared" ref="P7:R11" si="2">+IFERROR(ROUND(F7*$O7/$E7,0),0)</f>
        <v>212477244</v>
      </c>
      <c r="Q7" s="134">
        <f t="shared" si="2"/>
        <v>48359111</v>
      </c>
      <c r="R7" s="98">
        <f t="shared" si="2"/>
        <v>8428779</v>
      </c>
      <c r="S7" s="95">
        <f>+SUM(P7:R7)</f>
        <v>269265134</v>
      </c>
      <c r="T7" s="427">
        <f>+IFERROR(ROUND(J7*$O7/$E7,0),0)</f>
        <v>0</v>
      </c>
      <c r="U7" s="98">
        <f t="shared" ref="U7:U19" si="3">+O7-S7-T7</f>
        <v>295399474</v>
      </c>
      <c r="V7" s="95">
        <f t="shared" ref="V7:V44" si="4">+SUM(T7:U7)</f>
        <v>295399474</v>
      </c>
      <c r="W7" s="94">
        <f>O7-SUM(S7,V7)</f>
        <v>0</v>
      </c>
      <c r="X7" s="102" t="s">
        <v>77</v>
      </c>
      <c r="Y7" s="452"/>
      <c r="Z7" s="452"/>
      <c r="AA7" s="452"/>
      <c r="AB7" s="452"/>
      <c r="AC7" s="452"/>
      <c r="AD7" s="101">
        <f t="shared" ref="AD7:AG20" si="5">+O7</f>
        <v>564664608</v>
      </c>
      <c r="AE7" s="100">
        <f t="shared" si="5"/>
        <v>212477244</v>
      </c>
      <c r="AF7" s="134">
        <f t="shared" si="5"/>
        <v>48359111</v>
      </c>
      <c r="AG7" s="98">
        <f t="shared" si="5"/>
        <v>8428779</v>
      </c>
      <c r="AH7" s="95">
        <f t="shared" ref="AH7:AH44" si="6">+SUM(AE7:AG7)</f>
        <v>269265134</v>
      </c>
      <c r="AI7" s="427">
        <f t="shared" ref="AI7:AJ20" si="7">+T7</f>
        <v>0</v>
      </c>
      <c r="AJ7" s="98">
        <f t="shared" si="7"/>
        <v>295399474</v>
      </c>
      <c r="AK7" s="95">
        <f t="shared" ref="AK7:AK44" si="8">+SUM(AI7:AJ7)</f>
        <v>295399474</v>
      </c>
      <c r="AL7" s="94">
        <f t="shared" ref="AL7:AL44" si="9">AD7-SUM(AH7,AK7)</f>
        <v>0</v>
      </c>
    </row>
    <row r="8" spans="1:38">
      <c r="A8" s="150"/>
      <c r="B8" s="157" t="s">
        <v>4</v>
      </c>
      <c r="C8" s="156" t="s">
        <v>21</v>
      </c>
      <c r="D8" s="71" t="s">
        <v>74</v>
      </c>
      <c r="E8" s="380">
        <f>+'[1]3条支出'!E7</f>
        <v>52443869</v>
      </c>
      <c r="F8" s="39"/>
      <c r="G8" s="390"/>
      <c r="H8" s="38"/>
      <c r="I8" s="40">
        <f t="shared" ref="I8:I44" si="10">+SUM(F8:H8)</f>
        <v>0</v>
      </c>
      <c r="J8" s="39">
        <f>+E8</f>
        <v>52443869</v>
      </c>
      <c r="K8" s="38">
        <f>+E8-I8-J8</f>
        <v>0</v>
      </c>
      <c r="L8" s="37">
        <f t="shared" si="0"/>
        <v>52443869</v>
      </c>
      <c r="M8" s="36">
        <f t="shared" si="1"/>
        <v>0</v>
      </c>
      <c r="N8" s="71" t="s">
        <v>74</v>
      </c>
      <c r="O8" s="381">
        <f>+'[1]3条支出'!T7</f>
        <v>51313295</v>
      </c>
      <c r="P8" s="39">
        <f t="shared" si="2"/>
        <v>0</v>
      </c>
      <c r="Q8" s="390">
        <f t="shared" si="2"/>
        <v>0</v>
      </c>
      <c r="R8" s="38">
        <f t="shared" si="2"/>
        <v>0</v>
      </c>
      <c r="S8" s="37">
        <f t="shared" ref="S8:S44" si="11">+SUM(P8:R8)</f>
        <v>0</v>
      </c>
      <c r="T8" s="428">
        <f>+IFERROR(ROUND(J8*$O8/$E8,0),0)</f>
        <v>51313295</v>
      </c>
      <c r="U8" s="38">
        <f t="shared" si="3"/>
        <v>0</v>
      </c>
      <c r="V8" s="37">
        <f t="shared" si="4"/>
        <v>51313295</v>
      </c>
      <c r="W8" s="36">
        <f t="shared" ref="W8:W44" si="12">O8-SUM(S8,V8)</f>
        <v>0</v>
      </c>
      <c r="X8" s="42" t="s">
        <v>74</v>
      </c>
      <c r="Y8" s="453"/>
      <c r="Z8" s="453"/>
      <c r="AA8" s="453"/>
      <c r="AB8" s="453"/>
      <c r="AC8" s="453"/>
      <c r="AD8" s="40">
        <f t="shared" si="5"/>
        <v>51313295</v>
      </c>
      <c r="AE8" s="39">
        <f t="shared" si="5"/>
        <v>0</v>
      </c>
      <c r="AF8" s="390">
        <f t="shared" si="5"/>
        <v>0</v>
      </c>
      <c r="AG8" s="38">
        <f t="shared" si="5"/>
        <v>0</v>
      </c>
      <c r="AH8" s="37">
        <f t="shared" si="6"/>
        <v>0</v>
      </c>
      <c r="AI8" s="428">
        <f t="shared" si="7"/>
        <v>51313295</v>
      </c>
      <c r="AJ8" s="38">
        <f t="shared" si="7"/>
        <v>0</v>
      </c>
      <c r="AK8" s="37">
        <f t="shared" si="8"/>
        <v>51313295</v>
      </c>
      <c r="AL8" s="36">
        <f t="shared" si="9"/>
        <v>0</v>
      </c>
    </row>
    <row r="9" spans="1:38">
      <c r="A9" s="150"/>
      <c r="B9" s="157" t="s">
        <v>4</v>
      </c>
      <c r="C9" s="156" t="s">
        <v>21</v>
      </c>
      <c r="D9" s="71" t="s">
        <v>71</v>
      </c>
      <c r="E9" s="380">
        <f>+'[1]3条支出'!E8</f>
        <v>2356040225</v>
      </c>
      <c r="F9" s="153">
        <v>1527401796</v>
      </c>
      <c r="G9" s="416">
        <v>48067803</v>
      </c>
      <c r="H9" s="152"/>
      <c r="I9" s="40">
        <f t="shared" si="10"/>
        <v>1575469599</v>
      </c>
      <c r="J9" s="153"/>
      <c r="K9" s="152">
        <v>533320590</v>
      </c>
      <c r="L9" s="37">
        <f t="shared" si="0"/>
        <v>533320590</v>
      </c>
      <c r="M9" s="36">
        <f t="shared" si="1"/>
        <v>247250036</v>
      </c>
      <c r="N9" s="71" t="s">
        <v>71</v>
      </c>
      <c r="O9" s="381">
        <f>+'[1]3条支出'!T8</f>
        <v>2251657967</v>
      </c>
      <c r="P9" s="39">
        <f t="shared" si="2"/>
        <v>1459731624</v>
      </c>
      <c r="Q9" s="390">
        <f t="shared" si="2"/>
        <v>45938202</v>
      </c>
      <c r="R9" s="38">
        <f t="shared" si="2"/>
        <v>0</v>
      </c>
      <c r="S9" s="37">
        <f t="shared" si="11"/>
        <v>1505669826</v>
      </c>
      <c r="T9" s="428">
        <f>+IFERROR(ROUND(J9*$O9/$E9,0),0)</f>
        <v>0</v>
      </c>
      <c r="U9" s="38">
        <f t="shared" si="3"/>
        <v>745988141</v>
      </c>
      <c r="V9" s="37">
        <f t="shared" si="4"/>
        <v>745988141</v>
      </c>
      <c r="W9" s="36">
        <f t="shared" si="12"/>
        <v>0</v>
      </c>
      <c r="X9" s="42" t="s">
        <v>71</v>
      </c>
      <c r="Y9" s="453"/>
      <c r="Z9" s="453"/>
      <c r="AA9" s="453"/>
      <c r="AB9" s="453"/>
      <c r="AC9" s="453"/>
      <c r="AD9" s="40">
        <f t="shared" si="5"/>
        <v>2251657967</v>
      </c>
      <c r="AE9" s="39">
        <f t="shared" si="5"/>
        <v>1459731624</v>
      </c>
      <c r="AF9" s="390">
        <f t="shared" si="5"/>
        <v>45938202</v>
      </c>
      <c r="AG9" s="38">
        <f t="shared" si="5"/>
        <v>0</v>
      </c>
      <c r="AH9" s="37">
        <f t="shared" si="6"/>
        <v>1505669826</v>
      </c>
      <c r="AI9" s="428">
        <f t="shared" si="7"/>
        <v>0</v>
      </c>
      <c r="AJ9" s="38">
        <f t="shared" si="7"/>
        <v>745988141</v>
      </c>
      <c r="AK9" s="37">
        <f t="shared" si="8"/>
        <v>745988141</v>
      </c>
      <c r="AL9" s="36">
        <f t="shared" si="9"/>
        <v>0</v>
      </c>
    </row>
    <row r="10" spans="1:38">
      <c r="A10" s="150"/>
      <c r="B10" s="157" t="s">
        <v>4</v>
      </c>
      <c r="C10" s="156" t="s">
        <v>21</v>
      </c>
      <c r="D10" s="71" t="s">
        <v>69</v>
      </c>
      <c r="E10" s="380">
        <f>+'[1]3条支出'!E9</f>
        <v>6557703864</v>
      </c>
      <c r="F10" s="153">
        <v>577234561</v>
      </c>
      <c r="G10" s="416">
        <v>115034634</v>
      </c>
      <c r="H10" s="152">
        <v>344422481</v>
      </c>
      <c r="I10" s="40">
        <f t="shared" si="10"/>
        <v>1036691676</v>
      </c>
      <c r="J10" s="153">
        <v>1493402</v>
      </c>
      <c r="K10" s="152">
        <v>4285094822</v>
      </c>
      <c r="L10" s="37">
        <f t="shared" si="0"/>
        <v>4286588224</v>
      </c>
      <c r="M10" s="36">
        <f t="shared" si="1"/>
        <v>1234423964</v>
      </c>
      <c r="N10" s="71" t="s">
        <v>69</v>
      </c>
      <c r="O10" s="381">
        <f>+'[1]3条支出'!T9</f>
        <v>6037810078</v>
      </c>
      <c r="P10" s="39">
        <f t="shared" si="2"/>
        <v>531471491</v>
      </c>
      <c r="Q10" s="390">
        <f t="shared" si="2"/>
        <v>105914705</v>
      </c>
      <c r="R10" s="38">
        <f t="shared" si="2"/>
        <v>317116718</v>
      </c>
      <c r="S10" s="37">
        <f t="shared" si="11"/>
        <v>954502914</v>
      </c>
      <c r="T10" s="428">
        <f>+IFERROR(ROUND(J10*$O10/$E10,0),0)</f>
        <v>1375005</v>
      </c>
      <c r="U10" s="38">
        <f t="shared" si="3"/>
        <v>5081932159</v>
      </c>
      <c r="V10" s="37">
        <f t="shared" si="4"/>
        <v>5083307164</v>
      </c>
      <c r="W10" s="36">
        <f t="shared" si="12"/>
        <v>0</v>
      </c>
      <c r="X10" s="42" t="s">
        <v>69</v>
      </c>
      <c r="Y10" s="453"/>
      <c r="Z10" s="453"/>
      <c r="AA10" s="453"/>
      <c r="AB10" s="453"/>
      <c r="AC10" s="453"/>
      <c r="AD10" s="40">
        <f t="shared" si="5"/>
        <v>6037810078</v>
      </c>
      <c r="AE10" s="39">
        <f t="shared" si="5"/>
        <v>531471491</v>
      </c>
      <c r="AF10" s="390">
        <f t="shared" si="5"/>
        <v>105914705</v>
      </c>
      <c r="AG10" s="38">
        <f t="shared" si="5"/>
        <v>317116718</v>
      </c>
      <c r="AH10" s="37">
        <f t="shared" si="6"/>
        <v>954502914</v>
      </c>
      <c r="AI10" s="428">
        <f t="shared" si="7"/>
        <v>1375005</v>
      </c>
      <c r="AJ10" s="38">
        <f t="shared" si="7"/>
        <v>5081932159</v>
      </c>
      <c r="AK10" s="37">
        <f t="shared" si="8"/>
        <v>5083307164</v>
      </c>
      <c r="AL10" s="36">
        <f t="shared" si="9"/>
        <v>0</v>
      </c>
    </row>
    <row r="11" spans="1:38">
      <c r="A11" s="150"/>
      <c r="B11" s="157" t="s">
        <v>4</v>
      </c>
      <c r="C11" s="156" t="s">
        <v>21</v>
      </c>
      <c r="D11" s="71" t="s">
        <v>67</v>
      </c>
      <c r="E11" s="380">
        <f>+'[1]3条支出'!E10</f>
        <v>0</v>
      </c>
      <c r="F11" s="39"/>
      <c r="G11" s="390"/>
      <c r="H11" s="38"/>
      <c r="I11" s="40">
        <f t="shared" si="10"/>
        <v>0</v>
      </c>
      <c r="J11" s="39"/>
      <c r="K11" s="38">
        <f t="shared" ref="K11:K19" si="13">+E11-I11-J11</f>
        <v>0</v>
      </c>
      <c r="L11" s="37">
        <f t="shared" si="0"/>
        <v>0</v>
      </c>
      <c r="M11" s="36">
        <f t="shared" si="1"/>
        <v>0</v>
      </c>
      <c r="N11" s="71" t="s">
        <v>67</v>
      </c>
      <c r="O11" s="381">
        <f>+'[1]3条支出'!T10</f>
        <v>0</v>
      </c>
      <c r="P11" s="39">
        <f t="shared" si="2"/>
        <v>0</v>
      </c>
      <c r="Q11" s="390">
        <f t="shared" si="2"/>
        <v>0</v>
      </c>
      <c r="R11" s="38">
        <f t="shared" si="2"/>
        <v>0</v>
      </c>
      <c r="S11" s="37">
        <f t="shared" si="11"/>
        <v>0</v>
      </c>
      <c r="T11" s="428">
        <f>+IFERROR(ROUND(J11*$O11/$E11,0),0)</f>
        <v>0</v>
      </c>
      <c r="U11" s="38">
        <f t="shared" si="3"/>
        <v>0</v>
      </c>
      <c r="V11" s="37">
        <f t="shared" si="4"/>
        <v>0</v>
      </c>
      <c r="W11" s="36">
        <f t="shared" si="12"/>
        <v>0</v>
      </c>
      <c r="X11" s="42" t="s">
        <v>67</v>
      </c>
      <c r="Y11" s="453"/>
      <c r="Z11" s="453"/>
      <c r="AA11" s="453"/>
      <c r="AB11" s="453"/>
      <c r="AC11" s="453"/>
      <c r="AD11" s="40">
        <f t="shared" si="5"/>
        <v>0</v>
      </c>
      <c r="AE11" s="39">
        <f t="shared" si="5"/>
        <v>0</v>
      </c>
      <c r="AF11" s="390">
        <f t="shared" si="5"/>
        <v>0</v>
      </c>
      <c r="AG11" s="38">
        <f t="shared" si="5"/>
        <v>0</v>
      </c>
      <c r="AH11" s="37">
        <f t="shared" si="6"/>
        <v>0</v>
      </c>
      <c r="AI11" s="428">
        <f t="shared" si="7"/>
        <v>0</v>
      </c>
      <c r="AJ11" s="38">
        <f t="shared" si="7"/>
        <v>0</v>
      </c>
      <c r="AK11" s="37">
        <f t="shared" si="8"/>
        <v>0</v>
      </c>
      <c r="AL11" s="36">
        <f t="shared" si="9"/>
        <v>0</v>
      </c>
    </row>
    <row r="12" spans="1:38">
      <c r="A12" s="150"/>
      <c r="B12" s="157" t="s">
        <v>4</v>
      </c>
      <c r="C12" s="156" t="s">
        <v>21</v>
      </c>
      <c r="D12" s="71" t="s">
        <v>65</v>
      </c>
      <c r="E12" s="380">
        <f>+'[1]3条支出'!E11</f>
        <v>88849549</v>
      </c>
      <c r="F12" s="39"/>
      <c r="G12" s="390"/>
      <c r="H12" s="164">
        <f>+[1]普及!E5+補助補給!Y4</f>
        <v>19274556</v>
      </c>
      <c r="I12" s="40">
        <f t="shared" si="10"/>
        <v>19274556</v>
      </c>
      <c r="J12" s="39">
        <f>+ROUND((E12-H12)/2,0)</f>
        <v>34787497</v>
      </c>
      <c r="K12" s="38">
        <f t="shared" si="13"/>
        <v>34787496</v>
      </c>
      <c r="L12" s="37">
        <f t="shared" si="0"/>
        <v>69574993</v>
      </c>
      <c r="M12" s="36">
        <f t="shared" si="1"/>
        <v>0</v>
      </c>
      <c r="N12" s="71" t="s">
        <v>65</v>
      </c>
      <c r="O12" s="381">
        <f>+'[1]3条支出'!T11</f>
        <v>87134052</v>
      </c>
      <c r="P12" s="159"/>
      <c r="Q12" s="417"/>
      <c r="R12" s="164">
        <f>[1]普及!T5+補助補給!AZ4</f>
        <v>19274556</v>
      </c>
      <c r="S12" s="37">
        <f t="shared" si="11"/>
        <v>19274556</v>
      </c>
      <c r="T12" s="428">
        <f>+ROUND((O12-R12)/2,0)</f>
        <v>33929748</v>
      </c>
      <c r="U12" s="38">
        <f t="shared" si="3"/>
        <v>33929748</v>
      </c>
      <c r="V12" s="37">
        <f t="shared" si="4"/>
        <v>67859496</v>
      </c>
      <c r="W12" s="36">
        <f t="shared" si="12"/>
        <v>0</v>
      </c>
      <c r="X12" s="42" t="s">
        <v>65</v>
      </c>
      <c r="Y12" s="453"/>
      <c r="Z12" s="453"/>
      <c r="AA12" s="453"/>
      <c r="AB12" s="453"/>
      <c r="AC12" s="453"/>
      <c r="AD12" s="40">
        <f t="shared" si="5"/>
        <v>87134052</v>
      </c>
      <c r="AE12" s="39">
        <f t="shared" si="5"/>
        <v>0</v>
      </c>
      <c r="AF12" s="390">
        <f t="shared" si="5"/>
        <v>0</v>
      </c>
      <c r="AG12" s="38">
        <f t="shared" si="5"/>
        <v>19274556</v>
      </c>
      <c r="AH12" s="37">
        <f t="shared" si="6"/>
        <v>19274556</v>
      </c>
      <c r="AI12" s="428">
        <f t="shared" si="7"/>
        <v>33929748</v>
      </c>
      <c r="AJ12" s="38">
        <f t="shared" si="7"/>
        <v>33929748</v>
      </c>
      <c r="AK12" s="37">
        <f t="shared" si="8"/>
        <v>67859496</v>
      </c>
      <c r="AL12" s="36">
        <f t="shared" si="9"/>
        <v>0</v>
      </c>
    </row>
    <row r="13" spans="1:38">
      <c r="A13" s="150"/>
      <c r="B13" s="157" t="s">
        <v>4</v>
      </c>
      <c r="C13" s="156" t="s">
        <v>21</v>
      </c>
      <c r="D13" s="71" t="s">
        <v>62</v>
      </c>
      <c r="E13" s="380">
        <f>+'[1]3条支出'!E12</f>
        <v>10483859</v>
      </c>
      <c r="F13" s="39"/>
      <c r="G13" s="390"/>
      <c r="H13" s="38">
        <f>+E13</f>
        <v>10483859</v>
      </c>
      <c r="I13" s="40">
        <f t="shared" si="10"/>
        <v>10483859</v>
      </c>
      <c r="J13" s="39"/>
      <c r="K13" s="38">
        <f t="shared" si="13"/>
        <v>0</v>
      </c>
      <c r="L13" s="37">
        <f t="shared" si="0"/>
        <v>0</v>
      </c>
      <c r="M13" s="36">
        <f t="shared" si="1"/>
        <v>0</v>
      </c>
      <c r="N13" s="71" t="s">
        <v>62</v>
      </c>
      <c r="O13" s="381">
        <f>+'[1]3条支出'!T12</f>
        <v>10396270</v>
      </c>
      <c r="P13" s="159"/>
      <c r="Q13" s="417"/>
      <c r="R13" s="38">
        <f>+O13</f>
        <v>10396270</v>
      </c>
      <c r="S13" s="37">
        <f t="shared" si="11"/>
        <v>10396270</v>
      </c>
      <c r="T13" s="429"/>
      <c r="U13" s="160">
        <f t="shared" si="3"/>
        <v>0</v>
      </c>
      <c r="V13" s="37">
        <f t="shared" si="4"/>
        <v>0</v>
      </c>
      <c r="W13" s="36">
        <f t="shared" si="12"/>
        <v>0</v>
      </c>
      <c r="X13" s="42" t="s">
        <v>62</v>
      </c>
      <c r="Y13" s="453"/>
      <c r="Z13" s="453"/>
      <c r="AA13" s="453"/>
      <c r="AB13" s="453"/>
      <c r="AC13" s="453"/>
      <c r="AD13" s="40">
        <f t="shared" si="5"/>
        <v>10396270</v>
      </c>
      <c r="AE13" s="39">
        <f t="shared" si="5"/>
        <v>0</v>
      </c>
      <c r="AF13" s="390">
        <f t="shared" si="5"/>
        <v>0</v>
      </c>
      <c r="AG13" s="38">
        <f t="shared" si="5"/>
        <v>10396270</v>
      </c>
      <c r="AH13" s="37">
        <f t="shared" si="6"/>
        <v>10396270</v>
      </c>
      <c r="AI13" s="428">
        <f t="shared" si="7"/>
        <v>0</v>
      </c>
      <c r="AJ13" s="38">
        <f t="shared" si="7"/>
        <v>0</v>
      </c>
      <c r="AK13" s="37">
        <f t="shared" si="8"/>
        <v>0</v>
      </c>
      <c r="AL13" s="36">
        <f t="shared" si="9"/>
        <v>0</v>
      </c>
    </row>
    <row r="14" spans="1:38">
      <c r="A14" s="150"/>
      <c r="B14" s="157" t="s">
        <v>4</v>
      </c>
      <c r="C14" s="156" t="s">
        <v>21</v>
      </c>
      <c r="D14" s="71" t="s">
        <v>60</v>
      </c>
      <c r="E14" s="380">
        <f>+'[1]3条支出'!E13</f>
        <v>1019945143</v>
      </c>
      <c r="F14" s="39"/>
      <c r="G14" s="390"/>
      <c r="H14" s="152">
        <v>4521799</v>
      </c>
      <c r="I14" s="40">
        <f t="shared" si="10"/>
        <v>4521799</v>
      </c>
      <c r="J14" s="39"/>
      <c r="K14" s="38">
        <f t="shared" si="13"/>
        <v>1015423344</v>
      </c>
      <c r="L14" s="37">
        <f t="shared" si="0"/>
        <v>1015423344</v>
      </c>
      <c r="M14" s="36">
        <f t="shared" si="1"/>
        <v>0</v>
      </c>
      <c r="N14" s="71" t="s">
        <v>60</v>
      </c>
      <c r="O14" s="381">
        <f>+'[1]3条支出'!T13</f>
        <v>929691714</v>
      </c>
      <c r="P14" s="159"/>
      <c r="Q14" s="417"/>
      <c r="R14" s="436">
        <f>+IFERROR(ROUND(H14/SUM([1]業務!E5:E9,[1]業務!E34)*SUM([1]業務!T5:T9,[1]業務!T34),0),0)</f>
        <v>4513095</v>
      </c>
      <c r="S14" s="37">
        <f t="shared" si="11"/>
        <v>4513095</v>
      </c>
      <c r="T14" s="429"/>
      <c r="U14" s="160">
        <f t="shared" si="3"/>
        <v>925178619</v>
      </c>
      <c r="V14" s="37">
        <f t="shared" si="4"/>
        <v>925178619</v>
      </c>
      <c r="W14" s="36">
        <f t="shared" si="12"/>
        <v>0</v>
      </c>
      <c r="X14" s="42" t="s">
        <v>60</v>
      </c>
      <c r="Y14" s="453"/>
      <c r="Z14" s="453"/>
      <c r="AA14" s="453"/>
      <c r="AB14" s="453"/>
      <c r="AC14" s="453"/>
      <c r="AD14" s="40">
        <f t="shared" si="5"/>
        <v>929691714</v>
      </c>
      <c r="AE14" s="39">
        <f t="shared" si="5"/>
        <v>0</v>
      </c>
      <c r="AF14" s="390">
        <f t="shared" si="5"/>
        <v>0</v>
      </c>
      <c r="AG14" s="38">
        <f t="shared" si="5"/>
        <v>4513095</v>
      </c>
      <c r="AH14" s="37">
        <f t="shared" si="6"/>
        <v>4513095</v>
      </c>
      <c r="AI14" s="428">
        <f t="shared" si="7"/>
        <v>0</v>
      </c>
      <c r="AJ14" s="38">
        <f t="shared" si="7"/>
        <v>925178619</v>
      </c>
      <c r="AK14" s="37">
        <f t="shared" si="8"/>
        <v>925178619</v>
      </c>
      <c r="AL14" s="36">
        <f t="shared" si="9"/>
        <v>0</v>
      </c>
    </row>
    <row r="15" spans="1:38">
      <c r="A15" s="150"/>
      <c r="B15" s="157" t="s">
        <v>4</v>
      </c>
      <c r="C15" s="156" t="s">
        <v>21</v>
      </c>
      <c r="D15" s="71" t="s">
        <v>58</v>
      </c>
      <c r="E15" s="380">
        <f>+'[1]3条支出(共通按分後)'!E14</f>
        <v>914982582</v>
      </c>
      <c r="F15" s="179">
        <f>+IFERROR(ROUND(([1]総係!$E$36-[1]総係!$E$35-$H$15)*SUM(F7:F14)/SUM($F$7:$G$14,$J$7:$K$14),0),0)</f>
        <v>-1938652</v>
      </c>
      <c r="G15" s="418">
        <f>+IFERROR(ROUND(([1]総係!$E$36-[1]総係!$E$35-$H$15)*SUM(G7:G14)/SUM($F$7:$G$14,$J$7:$K$14),0),0)</f>
        <v>-178931</v>
      </c>
      <c r="H15" s="178">
        <f>+IFERROR(ROUND(([1]総係!E36-[1]総係!E35)/2,0),0)</f>
        <v>-7247778</v>
      </c>
      <c r="I15" s="73">
        <f t="shared" si="10"/>
        <v>-9365361</v>
      </c>
      <c r="J15" s="159"/>
      <c r="K15" s="38">
        <f t="shared" si="13"/>
        <v>924347943</v>
      </c>
      <c r="L15" s="37">
        <f t="shared" si="0"/>
        <v>924347943</v>
      </c>
      <c r="M15" s="36">
        <f t="shared" si="1"/>
        <v>0</v>
      </c>
      <c r="N15" s="71" t="s">
        <v>58</v>
      </c>
      <c r="O15" s="381">
        <f>+'[1]3条支出(共通按分後)'!T14</f>
        <v>858656553</v>
      </c>
      <c r="P15" s="179">
        <f>+IFERROR(ROUND(([1]総係!$T$36-[1]総係!$T$35-$R$15)*SUM(P7:P14)/SUM($P$7:$Q$14,$T$7:$U$14),0),0)</f>
        <v>-1668431</v>
      </c>
      <c r="Q15" s="418">
        <f>+IFERROR(ROUND(([1]総係!$T$36-[1]総係!$T$35-$R$15)*SUM(Q7:Q14)/SUM($P$7:$Q$14,$T$7:$U$14),0),0)</f>
        <v>-151583</v>
      </c>
      <c r="R15" s="178">
        <f>+IFERROR(ROUND(([1]総係!T36-[1]総係!T35)/2,0),0)</f>
        <v>-7247778</v>
      </c>
      <c r="S15" s="68">
        <f t="shared" si="11"/>
        <v>-9067792</v>
      </c>
      <c r="T15" s="429"/>
      <c r="U15" s="38">
        <f t="shared" si="3"/>
        <v>867724345</v>
      </c>
      <c r="V15" s="37">
        <f t="shared" si="4"/>
        <v>867724345</v>
      </c>
      <c r="W15" s="36">
        <f t="shared" si="12"/>
        <v>0</v>
      </c>
      <c r="X15" s="42" t="s">
        <v>58</v>
      </c>
      <c r="Y15" s="453"/>
      <c r="Z15" s="453"/>
      <c r="AA15" s="453"/>
      <c r="AB15" s="453"/>
      <c r="AC15" s="453"/>
      <c r="AD15" s="40">
        <f t="shared" si="5"/>
        <v>858656553</v>
      </c>
      <c r="AE15" s="51">
        <f t="shared" si="5"/>
        <v>-1668431</v>
      </c>
      <c r="AF15" s="390">
        <f t="shared" si="5"/>
        <v>-151583</v>
      </c>
      <c r="AG15" s="38">
        <f t="shared" si="5"/>
        <v>-7247778</v>
      </c>
      <c r="AH15" s="37">
        <f t="shared" si="6"/>
        <v>-9067792</v>
      </c>
      <c r="AI15" s="428">
        <f t="shared" si="7"/>
        <v>0</v>
      </c>
      <c r="AJ15" s="38">
        <f t="shared" si="7"/>
        <v>867724345</v>
      </c>
      <c r="AK15" s="37">
        <f t="shared" si="8"/>
        <v>867724345</v>
      </c>
      <c r="AL15" s="36">
        <f t="shared" si="9"/>
        <v>0</v>
      </c>
    </row>
    <row r="16" spans="1:38">
      <c r="A16" s="150"/>
      <c r="B16" s="157" t="s">
        <v>4</v>
      </c>
      <c r="C16" s="156" t="s">
        <v>21</v>
      </c>
      <c r="D16" s="163" t="s">
        <v>119</v>
      </c>
      <c r="E16" s="380">
        <f>+'[1]3条支出(共通按分後)'!E15</f>
        <v>0</v>
      </c>
      <c r="F16" s="159"/>
      <c r="G16" s="417"/>
      <c r="H16" s="164">
        <f>+補助補給!Y5</f>
        <v>0</v>
      </c>
      <c r="I16" s="73">
        <f t="shared" si="10"/>
        <v>0</v>
      </c>
      <c r="J16" s="159"/>
      <c r="K16" s="38">
        <f t="shared" si="13"/>
        <v>0</v>
      </c>
      <c r="L16" s="37">
        <f t="shared" si="0"/>
        <v>0</v>
      </c>
      <c r="M16" s="36">
        <f t="shared" si="1"/>
        <v>0</v>
      </c>
      <c r="N16" s="163" t="s">
        <v>119</v>
      </c>
      <c r="O16" s="381">
        <f>+'[1]3条支出(共通按分後)'!T15</f>
        <v>0</v>
      </c>
      <c r="P16" s="159"/>
      <c r="Q16" s="417"/>
      <c r="R16" s="164">
        <f>+補助補給!AZ5</f>
        <v>0</v>
      </c>
      <c r="S16" s="68">
        <f t="shared" si="11"/>
        <v>0</v>
      </c>
      <c r="T16" s="429"/>
      <c r="U16" s="160">
        <f t="shared" si="3"/>
        <v>0</v>
      </c>
      <c r="V16" s="37">
        <f t="shared" si="4"/>
        <v>0</v>
      </c>
      <c r="W16" s="36">
        <f t="shared" si="12"/>
        <v>0</v>
      </c>
      <c r="X16" s="42" t="s">
        <v>55</v>
      </c>
      <c r="Y16" s="453"/>
      <c r="Z16" s="453"/>
      <c r="AA16" s="453"/>
      <c r="AB16" s="453"/>
      <c r="AC16" s="453"/>
      <c r="AD16" s="40">
        <f t="shared" si="5"/>
        <v>0</v>
      </c>
      <c r="AE16" s="39">
        <f t="shared" si="5"/>
        <v>0</v>
      </c>
      <c r="AF16" s="390">
        <f t="shared" si="5"/>
        <v>0</v>
      </c>
      <c r="AG16" s="38">
        <f t="shared" si="5"/>
        <v>0</v>
      </c>
      <c r="AH16" s="37">
        <f t="shared" si="6"/>
        <v>0</v>
      </c>
      <c r="AI16" s="428">
        <f t="shared" si="7"/>
        <v>0</v>
      </c>
      <c r="AJ16" s="38">
        <f t="shared" si="7"/>
        <v>0</v>
      </c>
      <c r="AK16" s="37">
        <f t="shared" si="8"/>
        <v>0</v>
      </c>
      <c r="AL16" s="36">
        <f t="shared" si="9"/>
        <v>0</v>
      </c>
    </row>
    <row r="17" spans="1:38">
      <c r="A17" s="150"/>
      <c r="B17" s="157" t="s">
        <v>4</v>
      </c>
      <c r="C17" s="156" t="s">
        <v>21</v>
      </c>
      <c r="D17" s="163" t="s">
        <v>118</v>
      </c>
      <c r="E17" s="380">
        <f>+'[1]3条支出(共通按分後)'!E16</f>
        <v>0</v>
      </c>
      <c r="F17" s="159"/>
      <c r="G17" s="417"/>
      <c r="H17" s="164">
        <f>+補助補給!Y6</f>
        <v>0</v>
      </c>
      <c r="I17" s="73">
        <f t="shared" si="10"/>
        <v>0</v>
      </c>
      <c r="J17" s="159"/>
      <c r="K17" s="38">
        <f t="shared" si="13"/>
        <v>0</v>
      </c>
      <c r="L17" s="37">
        <f t="shared" si="0"/>
        <v>0</v>
      </c>
      <c r="M17" s="36">
        <f t="shared" si="1"/>
        <v>0</v>
      </c>
      <c r="N17" s="163" t="s">
        <v>118</v>
      </c>
      <c r="O17" s="381">
        <f>+'[1]3条支出(共通按分後)'!T16</f>
        <v>0</v>
      </c>
      <c r="P17" s="159"/>
      <c r="Q17" s="417"/>
      <c r="R17" s="164">
        <f>+補助補給!AZ6</f>
        <v>0</v>
      </c>
      <c r="S17" s="68">
        <f t="shared" si="11"/>
        <v>0</v>
      </c>
      <c r="T17" s="429"/>
      <c r="U17" s="160">
        <f t="shared" si="3"/>
        <v>0</v>
      </c>
      <c r="V17" s="37">
        <f t="shared" si="4"/>
        <v>0</v>
      </c>
      <c r="W17" s="36">
        <f t="shared" si="12"/>
        <v>0</v>
      </c>
      <c r="X17" s="42" t="s">
        <v>53</v>
      </c>
      <c r="Y17" s="453"/>
      <c r="Z17" s="453"/>
      <c r="AA17" s="453"/>
      <c r="AB17" s="453"/>
      <c r="AC17" s="453"/>
      <c r="AD17" s="40">
        <f t="shared" si="5"/>
        <v>0</v>
      </c>
      <c r="AE17" s="39">
        <f t="shared" si="5"/>
        <v>0</v>
      </c>
      <c r="AF17" s="390">
        <f t="shared" si="5"/>
        <v>0</v>
      </c>
      <c r="AG17" s="38">
        <f t="shared" si="5"/>
        <v>0</v>
      </c>
      <c r="AH17" s="37">
        <f t="shared" si="6"/>
        <v>0</v>
      </c>
      <c r="AI17" s="428">
        <f t="shared" si="7"/>
        <v>0</v>
      </c>
      <c r="AJ17" s="38">
        <f t="shared" si="7"/>
        <v>0</v>
      </c>
      <c r="AK17" s="37">
        <f t="shared" si="8"/>
        <v>0</v>
      </c>
      <c r="AL17" s="36">
        <f t="shared" si="9"/>
        <v>0</v>
      </c>
    </row>
    <row r="18" spans="1:38">
      <c r="A18" s="150"/>
      <c r="B18" s="157" t="s">
        <v>4</v>
      </c>
      <c r="C18" s="156" t="s">
        <v>21</v>
      </c>
      <c r="D18" s="71" t="s">
        <v>51</v>
      </c>
      <c r="E18" s="380">
        <f>+'[1]3条支出(共通按分後)'!E17</f>
        <v>0</v>
      </c>
      <c r="F18" s="159"/>
      <c r="G18" s="417"/>
      <c r="H18" s="164">
        <f>+補助補給!Y7</f>
        <v>0</v>
      </c>
      <c r="I18" s="40">
        <f t="shared" si="10"/>
        <v>0</v>
      </c>
      <c r="J18" s="159"/>
      <c r="K18" s="38">
        <f t="shared" si="13"/>
        <v>0</v>
      </c>
      <c r="L18" s="37">
        <f t="shared" si="0"/>
        <v>0</v>
      </c>
      <c r="M18" s="36">
        <f t="shared" si="1"/>
        <v>0</v>
      </c>
      <c r="N18" s="71" t="s">
        <v>51</v>
      </c>
      <c r="O18" s="381">
        <f>+'[1]3条支出(共通按分後)'!T17</f>
        <v>0</v>
      </c>
      <c r="P18" s="159"/>
      <c r="Q18" s="417"/>
      <c r="R18" s="164">
        <f>+補助補給!AZ7</f>
        <v>0</v>
      </c>
      <c r="S18" s="37">
        <f t="shared" si="11"/>
        <v>0</v>
      </c>
      <c r="T18" s="429"/>
      <c r="U18" s="160">
        <f t="shared" si="3"/>
        <v>0</v>
      </c>
      <c r="V18" s="37">
        <f t="shared" si="4"/>
        <v>0</v>
      </c>
      <c r="W18" s="36">
        <f t="shared" si="12"/>
        <v>0</v>
      </c>
      <c r="X18" s="42" t="s">
        <v>51</v>
      </c>
      <c r="Y18" s="453"/>
      <c r="Z18" s="453"/>
      <c r="AA18" s="453"/>
      <c r="AB18" s="453"/>
      <c r="AC18" s="453"/>
      <c r="AD18" s="40">
        <f t="shared" si="5"/>
        <v>0</v>
      </c>
      <c r="AE18" s="39">
        <f t="shared" si="5"/>
        <v>0</v>
      </c>
      <c r="AF18" s="390">
        <f t="shared" si="5"/>
        <v>0</v>
      </c>
      <c r="AG18" s="38">
        <f t="shared" si="5"/>
        <v>0</v>
      </c>
      <c r="AH18" s="37">
        <f t="shared" si="6"/>
        <v>0</v>
      </c>
      <c r="AI18" s="428">
        <f t="shared" si="7"/>
        <v>0</v>
      </c>
      <c r="AJ18" s="38">
        <f t="shared" si="7"/>
        <v>0</v>
      </c>
      <c r="AK18" s="37">
        <f t="shared" si="8"/>
        <v>0</v>
      </c>
      <c r="AL18" s="36">
        <f t="shared" si="9"/>
        <v>0</v>
      </c>
    </row>
    <row r="19" spans="1:38">
      <c r="A19" s="150"/>
      <c r="B19" s="157" t="s">
        <v>4</v>
      </c>
      <c r="C19" s="156" t="s">
        <v>21</v>
      </c>
      <c r="D19" s="71" t="s">
        <v>49</v>
      </c>
      <c r="E19" s="380">
        <f>+'[1]3条支出'!E18</f>
        <v>0</v>
      </c>
      <c r="F19" s="159"/>
      <c r="G19" s="417"/>
      <c r="H19" s="160"/>
      <c r="I19" s="40">
        <f t="shared" si="10"/>
        <v>0</v>
      </c>
      <c r="J19" s="159"/>
      <c r="K19" s="38">
        <f t="shared" si="13"/>
        <v>0</v>
      </c>
      <c r="L19" s="37">
        <f t="shared" si="0"/>
        <v>0</v>
      </c>
      <c r="M19" s="36">
        <f t="shared" si="1"/>
        <v>0</v>
      </c>
      <c r="N19" s="71" t="s">
        <v>49</v>
      </c>
      <c r="O19" s="381">
        <f>+'[1]3条支出'!T18</f>
        <v>0</v>
      </c>
      <c r="P19" s="159"/>
      <c r="Q19" s="417"/>
      <c r="R19" s="160"/>
      <c r="S19" s="37">
        <f t="shared" si="11"/>
        <v>0</v>
      </c>
      <c r="T19" s="429"/>
      <c r="U19" s="160">
        <f t="shared" si="3"/>
        <v>0</v>
      </c>
      <c r="V19" s="37">
        <f t="shared" si="4"/>
        <v>0</v>
      </c>
      <c r="W19" s="36">
        <f t="shared" si="12"/>
        <v>0</v>
      </c>
      <c r="X19" s="42" t="s">
        <v>49</v>
      </c>
      <c r="Y19" s="453"/>
      <c r="Z19" s="453"/>
      <c r="AA19" s="453"/>
      <c r="AB19" s="453"/>
      <c r="AC19" s="453"/>
      <c r="AD19" s="40">
        <f t="shared" si="5"/>
        <v>0</v>
      </c>
      <c r="AE19" s="39">
        <f t="shared" si="5"/>
        <v>0</v>
      </c>
      <c r="AF19" s="390">
        <f t="shared" si="5"/>
        <v>0</v>
      </c>
      <c r="AG19" s="38">
        <f t="shared" si="5"/>
        <v>0</v>
      </c>
      <c r="AH19" s="37">
        <f t="shared" si="6"/>
        <v>0</v>
      </c>
      <c r="AI19" s="428">
        <f t="shared" si="7"/>
        <v>0</v>
      </c>
      <c r="AJ19" s="38">
        <f t="shared" si="7"/>
        <v>0</v>
      </c>
      <c r="AK19" s="37">
        <f t="shared" si="8"/>
        <v>0</v>
      </c>
      <c r="AL19" s="36">
        <f t="shared" si="9"/>
        <v>0</v>
      </c>
    </row>
    <row r="20" spans="1:38">
      <c r="A20" s="150"/>
      <c r="B20" s="157" t="s">
        <v>4</v>
      </c>
      <c r="C20" s="156" t="s">
        <v>21</v>
      </c>
      <c r="D20" s="163" t="s">
        <v>46</v>
      </c>
      <c r="E20" s="155">
        <f>+[1]減耗!$E$7</f>
        <v>0</v>
      </c>
      <c r="F20" s="153">
        <v>14904000</v>
      </c>
      <c r="G20" s="417"/>
      <c r="H20" s="38"/>
      <c r="I20" s="73">
        <f t="shared" si="10"/>
        <v>14904000</v>
      </c>
      <c r="J20" s="159"/>
      <c r="K20" s="152"/>
      <c r="L20" s="37">
        <f t="shared" si="0"/>
        <v>0</v>
      </c>
      <c r="M20" s="36">
        <f t="shared" si="1"/>
        <v>-14904000</v>
      </c>
      <c r="N20" s="163" t="s">
        <v>46</v>
      </c>
      <c r="O20" s="154">
        <f>+[1]減耗!T7</f>
        <v>0</v>
      </c>
      <c r="P20" s="39">
        <f>+IFERROR(ROUND(F20*$O20/$E20,0),0)</f>
        <v>0</v>
      </c>
      <c r="Q20" s="417">
        <f>+IFERROR(ROUND(G20*$O20/$E20,0),0)</f>
        <v>0</v>
      </c>
      <c r="R20" s="160">
        <f>+IFERROR(ROUND(H20*$O20/$E20,0),0)</f>
        <v>0</v>
      </c>
      <c r="S20" s="68">
        <f t="shared" si="11"/>
        <v>0</v>
      </c>
      <c r="T20" s="429">
        <f>+IFERROR(ROUND(J20*$O20/$E20,0),0)</f>
        <v>0</v>
      </c>
      <c r="U20" s="160">
        <f>+O20-S20-T20</f>
        <v>0</v>
      </c>
      <c r="V20" s="37">
        <f t="shared" si="4"/>
        <v>0</v>
      </c>
      <c r="W20" s="36">
        <f t="shared" si="12"/>
        <v>0</v>
      </c>
      <c r="X20" s="50" t="s">
        <v>46</v>
      </c>
      <c r="Y20" s="454"/>
      <c r="Z20" s="454"/>
      <c r="AA20" s="454"/>
      <c r="AB20" s="454"/>
      <c r="AC20" s="454"/>
      <c r="AD20" s="40">
        <f t="shared" si="5"/>
        <v>0</v>
      </c>
      <c r="AE20" s="39">
        <f t="shared" si="5"/>
        <v>0</v>
      </c>
      <c r="AF20" s="390">
        <f t="shared" si="5"/>
        <v>0</v>
      </c>
      <c r="AG20" s="38">
        <f t="shared" si="5"/>
        <v>0</v>
      </c>
      <c r="AH20" s="37">
        <f t="shared" si="6"/>
        <v>0</v>
      </c>
      <c r="AI20" s="428">
        <f t="shared" si="7"/>
        <v>0</v>
      </c>
      <c r="AJ20" s="38">
        <f t="shared" si="7"/>
        <v>0</v>
      </c>
      <c r="AK20" s="37">
        <f t="shared" si="8"/>
        <v>0</v>
      </c>
      <c r="AL20" s="36">
        <f t="shared" si="9"/>
        <v>0</v>
      </c>
    </row>
    <row r="21" spans="1:38">
      <c r="A21" s="150"/>
      <c r="B21" s="157"/>
      <c r="C21" s="156"/>
      <c r="D21" s="71"/>
      <c r="E21" s="162"/>
      <c r="F21" s="169"/>
      <c r="G21" s="419"/>
      <c r="H21" s="160"/>
      <c r="I21" s="40"/>
      <c r="J21" s="169"/>
      <c r="K21" s="38"/>
      <c r="L21" s="37"/>
      <c r="M21" s="36"/>
      <c r="N21" s="71"/>
      <c r="O21" s="161"/>
      <c r="P21" s="169"/>
      <c r="Q21" s="419"/>
      <c r="R21" s="160"/>
      <c r="S21" s="37"/>
      <c r="T21" s="430"/>
      <c r="U21" s="160"/>
      <c r="V21" s="37"/>
      <c r="W21" s="36"/>
      <c r="X21" s="42"/>
      <c r="Y21" s="453"/>
      <c r="Z21" s="453"/>
      <c r="AA21" s="453"/>
      <c r="AB21" s="453"/>
      <c r="AC21" s="453"/>
      <c r="AD21" s="40"/>
      <c r="AE21" s="39"/>
      <c r="AF21" s="390"/>
      <c r="AG21" s="38"/>
      <c r="AH21" s="52"/>
      <c r="AI21" s="428"/>
      <c r="AJ21" s="38"/>
      <c r="AK21" s="52"/>
      <c r="AL21" s="36"/>
    </row>
    <row r="22" spans="1:38">
      <c r="A22" s="150"/>
      <c r="B22" s="157" t="s">
        <v>4</v>
      </c>
      <c r="C22" s="156" t="s">
        <v>14</v>
      </c>
      <c r="D22" s="71" t="s">
        <v>43</v>
      </c>
      <c r="E22" s="155">
        <f>+[1]営外!E11</f>
        <v>2483</v>
      </c>
      <c r="F22" s="165">
        <f>+雨汚支出!AV3</f>
        <v>0</v>
      </c>
      <c r="G22" s="412">
        <f>+雨汚支出!AW3</f>
        <v>0</v>
      </c>
      <c r="H22" s="164">
        <f>+雨汚支出!AX3</f>
        <v>0</v>
      </c>
      <c r="I22" s="40">
        <f t="shared" si="10"/>
        <v>0</v>
      </c>
      <c r="J22" s="165">
        <f>+雨汚支出!AZ3</f>
        <v>0</v>
      </c>
      <c r="K22" s="164">
        <f>+雨汚支出!BA3</f>
        <v>2483</v>
      </c>
      <c r="L22" s="37">
        <f t="shared" si="0"/>
        <v>2483</v>
      </c>
      <c r="M22" s="36">
        <f t="shared" si="1"/>
        <v>0</v>
      </c>
      <c r="N22" s="71" t="s">
        <v>43</v>
      </c>
      <c r="O22" s="154">
        <f>+[1]営外!T11</f>
        <v>2483</v>
      </c>
      <c r="P22" s="165">
        <f>+雨汚支出!BF3</f>
        <v>0</v>
      </c>
      <c r="Q22" s="412">
        <f>+雨汚支出!BG3</f>
        <v>0</v>
      </c>
      <c r="R22" s="164">
        <f>+雨汚支出!BH3</f>
        <v>0</v>
      </c>
      <c r="S22" s="37">
        <f t="shared" si="11"/>
        <v>0</v>
      </c>
      <c r="T22" s="431">
        <f>+雨汚支出!BJ3</f>
        <v>0</v>
      </c>
      <c r="U22" s="164">
        <f>+雨汚支出!BK3</f>
        <v>2483</v>
      </c>
      <c r="V22" s="37">
        <f t="shared" si="4"/>
        <v>2483</v>
      </c>
      <c r="W22" s="36">
        <f t="shared" si="12"/>
        <v>0</v>
      </c>
      <c r="X22" s="42" t="s">
        <v>43</v>
      </c>
      <c r="Y22" s="453"/>
      <c r="Z22" s="453"/>
      <c r="AA22" s="453"/>
      <c r="AB22" s="453"/>
      <c r="AC22" s="453"/>
      <c r="AD22" s="40">
        <f t="shared" ref="AD22:AG24" si="14">+O22</f>
        <v>2483</v>
      </c>
      <c r="AE22" s="39">
        <f t="shared" si="14"/>
        <v>0</v>
      </c>
      <c r="AF22" s="390">
        <f t="shared" si="14"/>
        <v>0</v>
      </c>
      <c r="AG22" s="38">
        <f t="shared" si="14"/>
        <v>0</v>
      </c>
      <c r="AH22" s="37">
        <f t="shared" si="6"/>
        <v>0</v>
      </c>
      <c r="AI22" s="428">
        <f t="shared" ref="AI22:AJ24" si="15">+T22</f>
        <v>0</v>
      </c>
      <c r="AJ22" s="38">
        <f t="shared" si="15"/>
        <v>2483</v>
      </c>
      <c r="AK22" s="37">
        <f t="shared" si="8"/>
        <v>2483</v>
      </c>
      <c r="AL22" s="36">
        <f t="shared" si="9"/>
        <v>0</v>
      </c>
    </row>
    <row r="23" spans="1:38">
      <c r="A23" s="150"/>
      <c r="B23" s="157" t="s">
        <v>4</v>
      </c>
      <c r="C23" s="156" t="s">
        <v>14</v>
      </c>
      <c r="D23" s="71" t="s">
        <v>40</v>
      </c>
      <c r="E23" s="155">
        <f>+[1]営外!E15+[1]営外!E16-E24</f>
        <v>25896</v>
      </c>
      <c r="F23" s="165">
        <f>+雨汚支出!AV4+雨汚支出!AV5-F24</f>
        <v>0</v>
      </c>
      <c r="G23" s="412">
        <f>+雨汚支出!AW4+雨汚支出!AW5-G24</f>
        <v>0</v>
      </c>
      <c r="H23" s="164">
        <f>+雨汚支出!AX4+雨汚支出!AX5-H24</f>
        <v>-9198273</v>
      </c>
      <c r="I23" s="40">
        <f t="shared" si="10"/>
        <v>-9198273</v>
      </c>
      <c r="J23" s="165">
        <f>+雨汚支出!AZ4+雨汚支出!AZ5-J24</f>
        <v>0</v>
      </c>
      <c r="K23" s="164">
        <f>+雨汚支出!BA4+雨汚支出!BA5-K24</f>
        <v>9224169</v>
      </c>
      <c r="L23" s="37">
        <f t="shared" si="0"/>
        <v>9224169</v>
      </c>
      <c r="M23" s="36">
        <f t="shared" si="1"/>
        <v>0</v>
      </c>
      <c r="N23" s="71" t="s">
        <v>40</v>
      </c>
      <c r="O23" s="155">
        <f>+[1]営外!T15+[1]営外!T16-O24</f>
        <v>24123</v>
      </c>
      <c r="P23" s="165">
        <f>+雨汚支出!BF4+雨汚支出!BF5-P24</f>
        <v>0</v>
      </c>
      <c r="Q23" s="412">
        <f>+雨汚支出!BG4+雨汚支出!BG5-Q24</f>
        <v>0</v>
      </c>
      <c r="R23" s="164">
        <f>+雨汚支出!BH4+雨汚支出!BH5-R24</f>
        <v>-8710224</v>
      </c>
      <c r="S23" s="37">
        <f t="shared" si="11"/>
        <v>-8710224</v>
      </c>
      <c r="T23" s="431">
        <f>+雨汚支出!BJ4+雨汚支出!BJ5-T24</f>
        <v>0</v>
      </c>
      <c r="U23" s="164">
        <f>+雨汚支出!BK4+雨汚支出!BK5-U24</f>
        <v>8734347</v>
      </c>
      <c r="V23" s="37">
        <f t="shared" si="4"/>
        <v>8734347</v>
      </c>
      <c r="W23" s="36">
        <f t="shared" si="12"/>
        <v>0</v>
      </c>
      <c r="X23" s="71" t="s">
        <v>40</v>
      </c>
      <c r="Y23" s="455"/>
      <c r="Z23" s="455"/>
      <c r="AA23" s="455"/>
      <c r="AB23" s="455"/>
      <c r="AC23" s="455"/>
      <c r="AD23" s="51">
        <f t="shared" si="14"/>
        <v>24123</v>
      </c>
      <c r="AE23" s="39">
        <f t="shared" si="14"/>
        <v>0</v>
      </c>
      <c r="AF23" s="390">
        <f t="shared" si="14"/>
        <v>0</v>
      </c>
      <c r="AG23" s="38">
        <f t="shared" si="14"/>
        <v>-8710224</v>
      </c>
      <c r="AH23" s="37">
        <f t="shared" si="6"/>
        <v>-8710224</v>
      </c>
      <c r="AI23" s="428">
        <f t="shared" si="15"/>
        <v>0</v>
      </c>
      <c r="AJ23" s="38">
        <f t="shared" si="15"/>
        <v>8734347</v>
      </c>
      <c r="AK23" s="37">
        <f t="shared" si="8"/>
        <v>8734347</v>
      </c>
      <c r="AL23" s="36">
        <f t="shared" si="9"/>
        <v>0</v>
      </c>
    </row>
    <row r="24" spans="1:38">
      <c r="A24" s="150"/>
      <c r="B24" s="157" t="s">
        <v>117</v>
      </c>
      <c r="C24" s="156" t="s">
        <v>116</v>
      </c>
      <c r="D24" s="71" t="s">
        <v>38</v>
      </c>
      <c r="E24" s="155">
        <f>+[1]営外!E20</f>
        <v>9198273</v>
      </c>
      <c r="F24" s="39"/>
      <c r="G24" s="390"/>
      <c r="H24" s="38">
        <f>+E24</f>
        <v>9198273</v>
      </c>
      <c r="I24" s="40">
        <f t="shared" si="10"/>
        <v>9198273</v>
      </c>
      <c r="J24" s="39"/>
      <c r="K24" s="38">
        <f>+E24-I24-J24</f>
        <v>0</v>
      </c>
      <c r="L24" s="37">
        <f t="shared" si="0"/>
        <v>0</v>
      </c>
      <c r="M24" s="36">
        <f t="shared" si="1"/>
        <v>0</v>
      </c>
      <c r="N24" s="71" t="s">
        <v>38</v>
      </c>
      <c r="O24" s="155">
        <f>+[1]営外!T20</f>
        <v>8710224</v>
      </c>
      <c r="P24" s="159"/>
      <c r="Q24" s="390"/>
      <c r="R24" s="38">
        <f>+O24</f>
        <v>8710224</v>
      </c>
      <c r="S24" s="37">
        <f t="shared" si="11"/>
        <v>8710224</v>
      </c>
      <c r="T24" s="428"/>
      <c r="U24" s="160">
        <f t="shared" ref="U24:U28" si="16">+O24-S24-T24</f>
        <v>0</v>
      </c>
      <c r="V24" s="37">
        <f t="shared" si="4"/>
        <v>0</v>
      </c>
      <c r="W24" s="36">
        <f t="shared" si="12"/>
        <v>0</v>
      </c>
      <c r="X24" s="42" t="s">
        <v>38</v>
      </c>
      <c r="Y24" s="456"/>
      <c r="Z24" s="456"/>
      <c r="AA24" s="456"/>
      <c r="AB24" s="456"/>
      <c r="AC24" s="456"/>
      <c r="AD24" s="51">
        <f t="shared" si="14"/>
        <v>8710224</v>
      </c>
      <c r="AE24" s="39">
        <f t="shared" si="14"/>
        <v>0</v>
      </c>
      <c r="AF24" s="390">
        <f t="shared" si="14"/>
        <v>0</v>
      </c>
      <c r="AG24" s="38">
        <f t="shared" si="14"/>
        <v>8710224</v>
      </c>
      <c r="AH24" s="37">
        <f t="shared" si="6"/>
        <v>8710224</v>
      </c>
      <c r="AI24" s="428">
        <f t="shared" si="15"/>
        <v>0</v>
      </c>
      <c r="AJ24" s="38">
        <f t="shared" si="15"/>
        <v>0</v>
      </c>
      <c r="AK24" s="37">
        <f t="shared" si="8"/>
        <v>0</v>
      </c>
      <c r="AL24" s="36">
        <f t="shared" si="9"/>
        <v>0</v>
      </c>
    </row>
    <row r="25" spans="1:38">
      <c r="A25" s="150"/>
      <c r="B25" s="157" t="s">
        <v>4</v>
      </c>
      <c r="C25" s="156" t="s">
        <v>14</v>
      </c>
      <c r="D25" s="163" t="s">
        <v>35</v>
      </c>
      <c r="E25" s="51"/>
      <c r="F25" s="159"/>
      <c r="G25" s="417"/>
      <c r="H25" s="160"/>
      <c r="I25" s="40">
        <f t="shared" si="10"/>
        <v>0</v>
      </c>
      <c r="J25" s="159"/>
      <c r="K25" s="38">
        <f>+E25-I25-J25</f>
        <v>0</v>
      </c>
      <c r="L25" s="37">
        <f t="shared" si="0"/>
        <v>0</v>
      </c>
      <c r="M25" s="36">
        <f t="shared" si="1"/>
        <v>0</v>
      </c>
      <c r="N25" s="163" t="s">
        <v>35</v>
      </c>
      <c r="O25" s="51"/>
      <c r="P25" s="159"/>
      <c r="Q25" s="417"/>
      <c r="R25" s="160"/>
      <c r="S25" s="37">
        <f t="shared" si="11"/>
        <v>0</v>
      </c>
      <c r="T25" s="429"/>
      <c r="U25" s="160">
        <f t="shared" si="16"/>
        <v>0</v>
      </c>
      <c r="V25" s="37">
        <f t="shared" si="4"/>
        <v>0</v>
      </c>
      <c r="W25" s="36">
        <f t="shared" si="12"/>
        <v>0</v>
      </c>
      <c r="X25" s="50" t="s">
        <v>35</v>
      </c>
      <c r="Y25" s="457"/>
      <c r="Z25" s="457"/>
      <c r="AA25" s="457"/>
      <c r="AB25" s="457"/>
      <c r="AC25" s="457"/>
      <c r="AD25" s="61">
        <f>+AD130-AD39</f>
        <v>4793427261</v>
      </c>
      <c r="AE25" s="48">
        <f>+AE130-AE39</f>
        <v>3921344187</v>
      </c>
      <c r="AF25" s="389">
        <f>+AF130-AF39</f>
        <v>362943053</v>
      </c>
      <c r="AG25" s="47">
        <f>+AG130-AG39</f>
        <v>505492698</v>
      </c>
      <c r="AH25" s="37">
        <f t="shared" si="6"/>
        <v>4789779938</v>
      </c>
      <c r="AI25" s="433">
        <f>+AI130-AI39</f>
        <v>3634583</v>
      </c>
      <c r="AJ25" s="47">
        <f>+AJ130-AJ39</f>
        <v>12740</v>
      </c>
      <c r="AK25" s="37">
        <f t="shared" si="8"/>
        <v>3647323</v>
      </c>
      <c r="AL25" s="36">
        <f t="shared" si="9"/>
        <v>0</v>
      </c>
    </row>
    <row r="26" spans="1:38">
      <c r="A26" s="150"/>
      <c r="B26" s="157"/>
      <c r="C26" s="156"/>
      <c r="D26" s="71"/>
      <c r="E26" s="51"/>
      <c r="F26" s="159"/>
      <c r="G26" s="417"/>
      <c r="H26" s="160"/>
      <c r="I26" s="40"/>
      <c r="J26" s="159"/>
      <c r="K26" s="38"/>
      <c r="L26" s="37"/>
      <c r="M26" s="36"/>
      <c r="N26" s="71"/>
      <c r="O26" s="51"/>
      <c r="P26" s="159"/>
      <c r="Q26" s="417"/>
      <c r="R26" s="160"/>
      <c r="S26" s="37"/>
      <c r="T26" s="429"/>
      <c r="U26" s="160"/>
      <c r="V26" s="37"/>
      <c r="W26" s="36"/>
      <c r="X26" s="42"/>
      <c r="Y26" s="453"/>
      <c r="Z26" s="453"/>
      <c r="AA26" s="453"/>
      <c r="AB26" s="453"/>
      <c r="AC26" s="453"/>
      <c r="AD26" s="40"/>
      <c r="AE26" s="39"/>
      <c r="AF26" s="390"/>
      <c r="AG26" s="38"/>
      <c r="AH26" s="37"/>
      <c r="AI26" s="428"/>
      <c r="AJ26" s="38"/>
      <c r="AK26" s="37"/>
      <c r="AL26" s="36"/>
    </row>
    <row r="27" spans="1:38">
      <c r="A27" s="150"/>
      <c r="B27" s="157"/>
      <c r="C27" s="156"/>
      <c r="D27" s="71"/>
      <c r="E27" s="162"/>
      <c r="F27" s="159"/>
      <c r="G27" s="417"/>
      <c r="H27" s="160"/>
      <c r="I27" s="40"/>
      <c r="J27" s="159"/>
      <c r="K27" s="38"/>
      <c r="L27" s="37"/>
      <c r="M27" s="36"/>
      <c r="N27" s="71"/>
      <c r="O27" s="161"/>
      <c r="P27" s="159"/>
      <c r="Q27" s="417"/>
      <c r="R27" s="160"/>
      <c r="S27" s="37"/>
      <c r="T27" s="429"/>
      <c r="U27" s="160"/>
      <c r="V27" s="37"/>
      <c r="W27" s="36"/>
      <c r="X27" s="42"/>
      <c r="Y27" s="453"/>
      <c r="Z27" s="453"/>
      <c r="AA27" s="453"/>
      <c r="AB27" s="453"/>
      <c r="AC27" s="453"/>
      <c r="AD27" s="40"/>
      <c r="AE27" s="39"/>
      <c r="AF27" s="390"/>
      <c r="AG27" s="38"/>
      <c r="AH27" s="37"/>
      <c r="AI27" s="428"/>
      <c r="AJ27" s="38"/>
      <c r="AK27" s="37"/>
      <c r="AL27" s="36"/>
    </row>
    <row r="28" spans="1:38">
      <c r="A28" s="150"/>
      <c r="B28" s="157" t="s">
        <v>4</v>
      </c>
      <c r="C28" s="156" t="s">
        <v>8</v>
      </c>
      <c r="D28" s="71" t="s">
        <v>30</v>
      </c>
      <c r="E28" s="380">
        <f>+'[1]3条支出'!$E$30</f>
        <v>10315355</v>
      </c>
      <c r="F28" s="165">
        <f>+雨汚支出!AV6</f>
        <v>0</v>
      </c>
      <c r="G28" s="412">
        <f>+雨汚支出!AW6</f>
        <v>0</v>
      </c>
      <c r="H28" s="164">
        <f>+雨汚支出!AX6</f>
        <v>0</v>
      </c>
      <c r="I28" s="40">
        <f t="shared" si="10"/>
        <v>0</v>
      </c>
      <c r="J28" s="165">
        <f>+雨汚支出!AZ6</f>
        <v>0</v>
      </c>
      <c r="K28" s="164">
        <f>+雨汚支出!BA6</f>
        <v>10315355</v>
      </c>
      <c r="L28" s="37">
        <f t="shared" si="0"/>
        <v>10315355</v>
      </c>
      <c r="M28" s="36">
        <f t="shared" si="1"/>
        <v>0</v>
      </c>
      <c r="N28" s="71" t="s">
        <v>30</v>
      </c>
      <c r="O28" s="381">
        <f>+'[1]3条支出'!$T$30</f>
        <v>10315355</v>
      </c>
      <c r="P28" s="39">
        <f>+F28</f>
        <v>0</v>
      </c>
      <c r="Q28" s="390">
        <f>+G28</f>
        <v>0</v>
      </c>
      <c r="R28" s="160"/>
      <c r="S28" s="37">
        <f t="shared" si="11"/>
        <v>0</v>
      </c>
      <c r="T28" s="428">
        <f>+J28</f>
        <v>0</v>
      </c>
      <c r="U28" s="38">
        <f t="shared" si="16"/>
        <v>10315355</v>
      </c>
      <c r="V28" s="37">
        <f t="shared" si="4"/>
        <v>10315355</v>
      </c>
      <c r="W28" s="36">
        <f t="shared" si="12"/>
        <v>0</v>
      </c>
      <c r="X28" s="42" t="s">
        <v>30</v>
      </c>
      <c r="Y28" s="453"/>
      <c r="Z28" s="453"/>
      <c r="AA28" s="453"/>
      <c r="AB28" s="453"/>
      <c r="AC28" s="453"/>
      <c r="AD28" s="40">
        <f t="shared" ref="AD28:AG32" si="17">+O28</f>
        <v>10315355</v>
      </c>
      <c r="AE28" s="39">
        <f t="shared" si="17"/>
        <v>0</v>
      </c>
      <c r="AF28" s="390">
        <f t="shared" si="17"/>
        <v>0</v>
      </c>
      <c r="AG28" s="38">
        <f t="shared" si="17"/>
        <v>0</v>
      </c>
      <c r="AH28" s="52">
        <f t="shared" si="6"/>
        <v>0</v>
      </c>
      <c r="AI28" s="428">
        <f t="shared" ref="AI28:AJ32" si="18">+T28</f>
        <v>0</v>
      </c>
      <c r="AJ28" s="38">
        <f t="shared" si="18"/>
        <v>10315355</v>
      </c>
      <c r="AK28" s="52">
        <f t="shared" si="8"/>
        <v>10315355</v>
      </c>
      <c r="AL28" s="36">
        <f t="shared" si="9"/>
        <v>0</v>
      </c>
    </row>
    <row r="29" spans="1:38">
      <c r="A29" s="150"/>
      <c r="B29" s="157" t="s">
        <v>4</v>
      </c>
      <c r="C29" s="156" t="s">
        <v>8</v>
      </c>
      <c r="D29" s="71" t="s">
        <v>27</v>
      </c>
      <c r="E29" s="380">
        <f>+'[1]3条支出'!$E$28-E42</f>
        <v>10679943</v>
      </c>
      <c r="F29" s="165">
        <f>+雨汚支出!AV7-F42</f>
        <v>6760</v>
      </c>
      <c r="G29" s="412">
        <f>+雨汚支出!AW7-G42</f>
        <v>0</v>
      </c>
      <c r="H29" s="164">
        <f>+雨汚支出!AX7-H42</f>
        <v>0</v>
      </c>
      <c r="I29" s="40">
        <f t="shared" si="10"/>
        <v>6760</v>
      </c>
      <c r="J29" s="165">
        <f>+雨汚支出!AZ7-J42</f>
        <v>0</v>
      </c>
      <c r="K29" s="164">
        <f>+雨汚支出!BA7-K42</f>
        <v>10673183</v>
      </c>
      <c r="L29" s="37">
        <f t="shared" si="0"/>
        <v>10673183</v>
      </c>
      <c r="M29" s="36">
        <f t="shared" si="1"/>
        <v>0</v>
      </c>
      <c r="N29" s="71" t="s">
        <v>27</v>
      </c>
      <c r="O29" s="381">
        <f>+'[1]3条支出'!$T$28-O42</f>
        <v>9711499</v>
      </c>
      <c r="P29" s="165">
        <f>+雨汚支出!BF7-P42</f>
        <v>6733</v>
      </c>
      <c r="Q29" s="412">
        <f>+雨汚支出!BG7-Q42</f>
        <v>0</v>
      </c>
      <c r="R29" s="164">
        <f>+雨汚支出!BH7-R42</f>
        <v>0</v>
      </c>
      <c r="S29" s="37">
        <f t="shared" si="11"/>
        <v>6733</v>
      </c>
      <c r="T29" s="431">
        <f>+雨汚支出!BJ7-T42</f>
        <v>0</v>
      </c>
      <c r="U29" s="164">
        <f>+雨汚支出!BK7-U42</f>
        <v>9704766</v>
      </c>
      <c r="V29" s="37">
        <f t="shared" si="4"/>
        <v>9704766</v>
      </c>
      <c r="W29" s="36">
        <f t="shared" si="12"/>
        <v>0</v>
      </c>
      <c r="X29" s="42" t="s">
        <v>27</v>
      </c>
      <c r="Y29" s="453"/>
      <c r="Z29" s="453"/>
      <c r="AA29" s="453"/>
      <c r="AB29" s="453"/>
      <c r="AC29" s="453"/>
      <c r="AD29" s="40">
        <f t="shared" si="17"/>
        <v>9711499</v>
      </c>
      <c r="AE29" s="39">
        <f t="shared" si="17"/>
        <v>6733</v>
      </c>
      <c r="AF29" s="390">
        <f t="shared" si="17"/>
        <v>0</v>
      </c>
      <c r="AG29" s="38">
        <f t="shared" si="17"/>
        <v>0</v>
      </c>
      <c r="AH29" s="37">
        <f t="shared" si="6"/>
        <v>6733</v>
      </c>
      <c r="AI29" s="428">
        <f t="shared" si="18"/>
        <v>0</v>
      </c>
      <c r="AJ29" s="38">
        <f t="shared" si="18"/>
        <v>9704766</v>
      </c>
      <c r="AK29" s="37">
        <f t="shared" si="8"/>
        <v>9704766</v>
      </c>
      <c r="AL29" s="36">
        <f t="shared" si="9"/>
        <v>0</v>
      </c>
    </row>
    <row r="30" spans="1:38">
      <c r="A30" s="150"/>
      <c r="B30" s="157" t="s">
        <v>4</v>
      </c>
      <c r="C30" s="156" t="s">
        <v>8</v>
      </c>
      <c r="D30" s="71" t="s">
        <v>10</v>
      </c>
      <c r="E30" s="380">
        <f>+'[1]3条支出'!$E$29-E43</f>
        <v>0</v>
      </c>
      <c r="F30" s="165">
        <f>+雨汚支出!AV8-F43</f>
        <v>0</v>
      </c>
      <c r="G30" s="412">
        <f>+雨汚支出!AW8-G43</f>
        <v>0</v>
      </c>
      <c r="H30" s="164">
        <f>+雨汚支出!AX8-H43</f>
        <v>0</v>
      </c>
      <c r="I30" s="40">
        <f t="shared" si="10"/>
        <v>0</v>
      </c>
      <c r="J30" s="165">
        <f>+雨汚支出!AZ8-J43</f>
        <v>0</v>
      </c>
      <c r="K30" s="164">
        <f>+雨汚支出!BA8-K43</f>
        <v>0</v>
      </c>
      <c r="L30" s="37">
        <f t="shared" si="0"/>
        <v>0</v>
      </c>
      <c r="M30" s="36">
        <f t="shared" si="1"/>
        <v>0</v>
      </c>
      <c r="N30" s="71" t="s">
        <v>10</v>
      </c>
      <c r="O30" s="381">
        <f>+'[1]3条支出'!$T$29-O43</f>
        <v>0</v>
      </c>
      <c r="P30" s="165">
        <f>+雨汚支出!BF8-P43</f>
        <v>0</v>
      </c>
      <c r="Q30" s="412">
        <f>+雨汚支出!BG8-Q43</f>
        <v>0</v>
      </c>
      <c r="R30" s="164">
        <f>+雨汚支出!BH8-R43</f>
        <v>0</v>
      </c>
      <c r="S30" s="37">
        <f t="shared" si="11"/>
        <v>0</v>
      </c>
      <c r="T30" s="431">
        <f>+雨汚支出!BJ8-T43</f>
        <v>0</v>
      </c>
      <c r="U30" s="164">
        <f>+雨汚支出!BK8-U43</f>
        <v>0</v>
      </c>
      <c r="V30" s="37">
        <f t="shared" si="4"/>
        <v>0</v>
      </c>
      <c r="W30" s="36">
        <f t="shared" si="12"/>
        <v>0</v>
      </c>
      <c r="X30" s="42" t="s">
        <v>10</v>
      </c>
      <c r="Y30" s="453"/>
      <c r="Z30" s="453"/>
      <c r="AA30" s="453"/>
      <c r="AB30" s="453"/>
      <c r="AC30" s="453"/>
      <c r="AD30" s="40">
        <f t="shared" si="17"/>
        <v>0</v>
      </c>
      <c r="AE30" s="39">
        <f t="shared" si="17"/>
        <v>0</v>
      </c>
      <c r="AF30" s="390">
        <f t="shared" si="17"/>
        <v>0</v>
      </c>
      <c r="AG30" s="38">
        <f t="shared" si="17"/>
        <v>0</v>
      </c>
      <c r="AH30" s="37">
        <f t="shared" si="6"/>
        <v>0</v>
      </c>
      <c r="AI30" s="428">
        <f t="shared" si="18"/>
        <v>0</v>
      </c>
      <c r="AJ30" s="38">
        <f t="shared" si="18"/>
        <v>0</v>
      </c>
      <c r="AK30" s="37">
        <f t="shared" si="8"/>
        <v>0</v>
      </c>
      <c r="AL30" s="36">
        <f t="shared" si="9"/>
        <v>0</v>
      </c>
    </row>
    <row r="31" spans="1:38">
      <c r="A31" s="150"/>
      <c r="B31" s="157" t="s">
        <v>4</v>
      </c>
      <c r="C31" s="156" t="s">
        <v>8</v>
      </c>
      <c r="D31" s="71"/>
      <c r="E31" s="162"/>
      <c r="F31" s="159"/>
      <c r="G31" s="417"/>
      <c r="H31" s="160"/>
      <c r="I31" s="40">
        <f t="shared" si="10"/>
        <v>0</v>
      </c>
      <c r="J31" s="159"/>
      <c r="K31" s="38">
        <f>+E31-I31-J31</f>
        <v>0</v>
      </c>
      <c r="L31" s="37">
        <f t="shared" si="0"/>
        <v>0</v>
      </c>
      <c r="M31" s="36">
        <f t="shared" si="1"/>
        <v>0</v>
      </c>
      <c r="N31" s="71"/>
      <c r="O31" s="161"/>
      <c r="P31" s="159"/>
      <c r="Q31" s="417"/>
      <c r="R31" s="160"/>
      <c r="S31" s="37">
        <f t="shared" si="11"/>
        <v>0</v>
      </c>
      <c r="T31" s="429"/>
      <c r="U31" s="38">
        <f t="shared" ref="U31:U44" si="19">+O31-S31-T31</f>
        <v>0</v>
      </c>
      <c r="V31" s="37">
        <f t="shared" si="4"/>
        <v>0</v>
      </c>
      <c r="W31" s="36">
        <f t="shared" si="12"/>
        <v>0</v>
      </c>
      <c r="X31" s="42"/>
      <c r="Y31" s="453"/>
      <c r="Z31" s="453"/>
      <c r="AA31" s="453"/>
      <c r="AB31" s="453"/>
      <c r="AC31" s="453"/>
      <c r="AD31" s="40">
        <f t="shared" si="17"/>
        <v>0</v>
      </c>
      <c r="AE31" s="39">
        <f t="shared" si="17"/>
        <v>0</v>
      </c>
      <c r="AF31" s="390">
        <f t="shared" si="17"/>
        <v>0</v>
      </c>
      <c r="AG31" s="38">
        <f t="shared" si="17"/>
        <v>0</v>
      </c>
      <c r="AH31" s="37">
        <f t="shared" si="6"/>
        <v>0</v>
      </c>
      <c r="AI31" s="428">
        <f t="shared" si="18"/>
        <v>0</v>
      </c>
      <c r="AJ31" s="38">
        <f t="shared" si="18"/>
        <v>0</v>
      </c>
      <c r="AK31" s="37">
        <f t="shared" si="8"/>
        <v>0</v>
      </c>
      <c r="AL31" s="36">
        <f t="shared" si="9"/>
        <v>0</v>
      </c>
    </row>
    <row r="32" spans="1:38">
      <c r="A32" s="150"/>
      <c r="B32" s="157" t="s">
        <v>4</v>
      </c>
      <c r="C32" s="156" t="s">
        <v>8</v>
      </c>
      <c r="D32" s="71"/>
      <c r="E32" s="162"/>
      <c r="F32" s="159"/>
      <c r="G32" s="417"/>
      <c r="H32" s="160"/>
      <c r="I32" s="40">
        <f t="shared" si="10"/>
        <v>0</v>
      </c>
      <c r="J32" s="159"/>
      <c r="K32" s="38">
        <f>+E32-I32-J32</f>
        <v>0</v>
      </c>
      <c r="L32" s="37">
        <f t="shared" si="0"/>
        <v>0</v>
      </c>
      <c r="M32" s="36">
        <f t="shared" si="1"/>
        <v>0</v>
      </c>
      <c r="N32" s="71"/>
      <c r="O32" s="161"/>
      <c r="P32" s="159"/>
      <c r="Q32" s="417"/>
      <c r="R32" s="160"/>
      <c r="S32" s="37">
        <f t="shared" si="11"/>
        <v>0</v>
      </c>
      <c r="T32" s="429"/>
      <c r="U32" s="38">
        <f t="shared" si="19"/>
        <v>0</v>
      </c>
      <c r="V32" s="37">
        <f t="shared" si="4"/>
        <v>0</v>
      </c>
      <c r="W32" s="36">
        <f t="shared" si="12"/>
        <v>0</v>
      </c>
      <c r="X32" s="42"/>
      <c r="Y32" s="453"/>
      <c r="Z32" s="453"/>
      <c r="AA32" s="453"/>
      <c r="AB32" s="453"/>
      <c r="AC32" s="453"/>
      <c r="AD32" s="40">
        <f t="shared" si="17"/>
        <v>0</v>
      </c>
      <c r="AE32" s="39">
        <f t="shared" si="17"/>
        <v>0</v>
      </c>
      <c r="AF32" s="390">
        <f t="shared" si="17"/>
        <v>0</v>
      </c>
      <c r="AG32" s="38">
        <f t="shared" si="17"/>
        <v>0</v>
      </c>
      <c r="AH32" s="37">
        <f t="shared" si="6"/>
        <v>0</v>
      </c>
      <c r="AI32" s="428">
        <f t="shared" si="18"/>
        <v>0</v>
      </c>
      <c r="AJ32" s="38">
        <f t="shared" si="18"/>
        <v>0</v>
      </c>
      <c r="AK32" s="37">
        <f t="shared" si="8"/>
        <v>0</v>
      </c>
      <c r="AL32" s="36">
        <f t="shared" si="9"/>
        <v>0</v>
      </c>
    </row>
    <row r="33" spans="1:38">
      <c r="A33" s="150"/>
      <c r="B33" s="157"/>
      <c r="C33" s="156"/>
      <c r="D33" s="71"/>
      <c r="E33" s="162"/>
      <c r="F33" s="169"/>
      <c r="G33" s="419"/>
      <c r="H33" s="160"/>
      <c r="I33" s="40"/>
      <c r="J33" s="169"/>
      <c r="K33" s="38"/>
      <c r="L33" s="37"/>
      <c r="M33" s="36"/>
      <c r="N33" s="71"/>
      <c r="O33" s="161"/>
      <c r="P33" s="169"/>
      <c r="Q33" s="419"/>
      <c r="R33" s="160"/>
      <c r="S33" s="37"/>
      <c r="T33" s="430"/>
      <c r="U33" s="160"/>
      <c r="V33" s="37"/>
      <c r="W33" s="36"/>
      <c r="X33" s="42"/>
      <c r="Y33" s="453"/>
      <c r="Z33" s="453"/>
      <c r="AA33" s="453"/>
      <c r="AB33" s="453"/>
      <c r="AC33" s="453"/>
      <c r="AD33" s="40"/>
      <c r="AE33" s="39"/>
      <c r="AF33" s="390"/>
      <c r="AG33" s="38"/>
      <c r="AH33" s="52"/>
      <c r="AI33" s="428"/>
      <c r="AJ33" s="38"/>
      <c r="AK33" s="52"/>
      <c r="AL33" s="36"/>
    </row>
    <row r="34" spans="1:38">
      <c r="A34" s="150"/>
      <c r="B34" s="157" t="s">
        <v>2</v>
      </c>
      <c r="C34" s="156" t="s">
        <v>21</v>
      </c>
      <c r="D34" s="71" t="s">
        <v>23</v>
      </c>
      <c r="E34" s="380">
        <f>'[1]3条支出'!$E$19</f>
        <v>26551442230</v>
      </c>
      <c r="F34" s="153">
        <v>12077971252</v>
      </c>
      <c r="G34" s="416">
        <v>130483874</v>
      </c>
      <c r="H34" s="38"/>
      <c r="I34" s="40">
        <f t="shared" si="10"/>
        <v>12208455126</v>
      </c>
      <c r="J34" s="153">
        <v>490154021</v>
      </c>
      <c r="K34" s="152">
        <v>13581700001</v>
      </c>
      <c r="L34" s="37">
        <f t="shared" si="0"/>
        <v>14071854022</v>
      </c>
      <c r="M34" s="36">
        <f t="shared" si="1"/>
        <v>271133082</v>
      </c>
      <c r="N34" s="71" t="s">
        <v>23</v>
      </c>
      <c r="O34" s="381">
        <f>+'[1]3条支出'!$T$19</f>
        <v>26551442230</v>
      </c>
      <c r="P34" s="39">
        <f>+F34</f>
        <v>12077971252</v>
      </c>
      <c r="Q34" s="390">
        <f>+G34</f>
        <v>130483874</v>
      </c>
      <c r="R34" s="38">
        <f>+H34</f>
        <v>0</v>
      </c>
      <c r="S34" s="37">
        <f t="shared" si="11"/>
        <v>12208455126</v>
      </c>
      <c r="T34" s="428">
        <f>+J34</f>
        <v>490154021</v>
      </c>
      <c r="U34" s="38">
        <f>+K34</f>
        <v>13581700001</v>
      </c>
      <c r="V34" s="37">
        <f t="shared" si="4"/>
        <v>14071854022</v>
      </c>
      <c r="W34" s="36">
        <f t="shared" si="12"/>
        <v>271133082</v>
      </c>
      <c r="X34" s="42" t="s">
        <v>23</v>
      </c>
      <c r="Y34" s="453"/>
      <c r="Z34" s="453"/>
      <c r="AA34" s="453"/>
      <c r="AB34" s="453"/>
      <c r="AC34" s="453"/>
      <c r="AD34" s="40">
        <f t="shared" ref="AD34:AG35" si="20">+O34</f>
        <v>26551442230</v>
      </c>
      <c r="AE34" s="39">
        <f t="shared" si="20"/>
        <v>12077971252</v>
      </c>
      <c r="AF34" s="390">
        <f t="shared" si="20"/>
        <v>130483874</v>
      </c>
      <c r="AG34" s="38">
        <f t="shared" si="20"/>
        <v>0</v>
      </c>
      <c r="AH34" s="37">
        <f t="shared" si="6"/>
        <v>12208455126</v>
      </c>
      <c r="AI34" s="428">
        <f>+T34</f>
        <v>490154021</v>
      </c>
      <c r="AJ34" s="38">
        <f>+U34</f>
        <v>13581700001</v>
      </c>
      <c r="AK34" s="37">
        <f t="shared" si="8"/>
        <v>14071854022</v>
      </c>
      <c r="AL34" s="36">
        <f t="shared" si="9"/>
        <v>271133082</v>
      </c>
    </row>
    <row r="35" spans="1:38">
      <c r="A35" s="150"/>
      <c r="B35" s="157" t="s">
        <v>2</v>
      </c>
      <c r="C35" s="156" t="s">
        <v>21</v>
      </c>
      <c r="D35" s="163" t="s">
        <v>20</v>
      </c>
      <c r="E35" s="380">
        <f>'[1]3条支出'!$E$20-E20</f>
        <v>503761871</v>
      </c>
      <c r="F35" s="39">
        <f>+E35-L35-G35</f>
        <v>351779106</v>
      </c>
      <c r="G35" s="390">
        <f>+IFERROR(ROUND((E35-L35)*G34/I34,0),0)</f>
        <v>3800431</v>
      </c>
      <c r="H35" s="160"/>
      <c r="I35" s="40">
        <f t="shared" si="10"/>
        <v>355579537</v>
      </c>
      <c r="J35" s="153">
        <v>7665695</v>
      </c>
      <c r="K35" s="152">
        <v>140516639</v>
      </c>
      <c r="L35" s="37">
        <f t="shared" si="0"/>
        <v>148182334</v>
      </c>
      <c r="M35" s="36">
        <f t="shared" si="1"/>
        <v>0</v>
      </c>
      <c r="N35" s="163" t="s">
        <v>20</v>
      </c>
      <c r="O35" s="381">
        <f>+'[1]3条支出'!$T$20-O20</f>
        <v>503761871</v>
      </c>
      <c r="P35" s="39">
        <f>+F35</f>
        <v>351779106</v>
      </c>
      <c r="Q35" s="390">
        <f>+G35</f>
        <v>3800431</v>
      </c>
      <c r="R35" s="160"/>
      <c r="S35" s="37">
        <f t="shared" si="11"/>
        <v>355579537</v>
      </c>
      <c r="T35" s="428">
        <f>+J35</f>
        <v>7665695</v>
      </c>
      <c r="U35" s="38">
        <f>+K35</f>
        <v>140516639</v>
      </c>
      <c r="V35" s="37">
        <f t="shared" si="4"/>
        <v>148182334</v>
      </c>
      <c r="W35" s="36">
        <f t="shared" si="12"/>
        <v>0</v>
      </c>
      <c r="X35" s="50" t="s">
        <v>20</v>
      </c>
      <c r="Y35" s="454"/>
      <c r="Z35" s="454"/>
      <c r="AA35" s="454"/>
      <c r="AB35" s="454"/>
      <c r="AC35" s="454"/>
      <c r="AD35" s="40">
        <f t="shared" si="20"/>
        <v>503761871</v>
      </c>
      <c r="AE35" s="39">
        <f t="shared" si="20"/>
        <v>351779106</v>
      </c>
      <c r="AF35" s="390">
        <f t="shared" si="20"/>
        <v>3800431</v>
      </c>
      <c r="AG35" s="38">
        <f t="shared" si="20"/>
        <v>0</v>
      </c>
      <c r="AH35" s="37">
        <f t="shared" si="6"/>
        <v>355579537</v>
      </c>
      <c r="AI35" s="428">
        <f>+T35</f>
        <v>7665695</v>
      </c>
      <c r="AJ35" s="38">
        <f>+U35</f>
        <v>140516639</v>
      </c>
      <c r="AK35" s="37">
        <f t="shared" si="8"/>
        <v>148182334</v>
      </c>
      <c r="AL35" s="36">
        <f t="shared" si="9"/>
        <v>0</v>
      </c>
    </row>
    <row r="36" spans="1:38">
      <c r="A36" s="150"/>
      <c r="B36" s="157"/>
      <c r="C36" s="156"/>
      <c r="D36" s="71"/>
      <c r="E36" s="162"/>
      <c r="F36" s="159"/>
      <c r="G36" s="417"/>
      <c r="H36" s="160"/>
      <c r="I36" s="40"/>
      <c r="J36" s="159"/>
      <c r="K36" s="38"/>
      <c r="L36" s="37"/>
      <c r="M36" s="36"/>
      <c r="N36" s="71"/>
      <c r="O36" s="161"/>
      <c r="P36" s="39"/>
      <c r="Q36" s="390"/>
      <c r="R36" s="160"/>
      <c r="S36" s="37"/>
      <c r="T36" s="428"/>
      <c r="U36" s="38"/>
      <c r="V36" s="37"/>
      <c r="W36" s="36"/>
      <c r="X36" s="42"/>
      <c r="Y36" s="453"/>
      <c r="Z36" s="453"/>
      <c r="AA36" s="453"/>
      <c r="AB36" s="453"/>
      <c r="AC36" s="453"/>
      <c r="AD36" s="40"/>
      <c r="AE36" s="39"/>
      <c r="AF36" s="390"/>
      <c r="AG36" s="38"/>
      <c r="AH36" s="37"/>
      <c r="AI36" s="428"/>
      <c r="AJ36" s="38"/>
      <c r="AK36" s="37"/>
      <c r="AL36" s="36"/>
    </row>
    <row r="37" spans="1:38">
      <c r="A37" s="150"/>
      <c r="B37" s="157" t="s">
        <v>2</v>
      </c>
      <c r="C37" s="156" t="s">
        <v>14</v>
      </c>
      <c r="D37" s="71" t="s">
        <v>106</v>
      </c>
      <c r="E37" s="155">
        <f>+[1]営外!E6</f>
        <v>3884144913</v>
      </c>
      <c r="F37" s="153">
        <v>3239911015</v>
      </c>
      <c r="G37" s="416"/>
      <c r="H37" s="152">
        <v>93230210</v>
      </c>
      <c r="I37" s="40">
        <f t="shared" si="10"/>
        <v>3333141225</v>
      </c>
      <c r="J37" s="153">
        <v>875942080</v>
      </c>
      <c r="K37" s="152">
        <v>4258555660</v>
      </c>
      <c r="L37" s="37">
        <f t="shared" si="0"/>
        <v>5134497740</v>
      </c>
      <c r="M37" s="36">
        <f t="shared" si="1"/>
        <v>-4583494052</v>
      </c>
      <c r="N37" s="71" t="s">
        <v>106</v>
      </c>
      <c r="O37" s="154">
        <f>+[1]営外!T6</f>
        <v>3884144913</v>
      </c>
      <c r="P37" s="39">
        <f>+F37</f>
        <v>3239911015</v>
      </c>
      <c r="Q37" s="390">
        <f>+G37</f>
        <v>0</v>
      </c>
      <c r="R37" s="38">
        <f>+H37</f>
        <v>93230210</v>
      </c>
      <c r="S37" s="37">
        <f t="shared" si="11"/>
        <v>3333141225</v>
      </c>
      <c r="T37" s="428">
        <f>+J37</f>
        <v>875942080</v>
      </c>
      <c r="U37" s="38">
        <f>+O37-S37-T37</f>
        <v>-324938392</v>
      </c>
      <c r="V37" s="37">
        <f t="shared" si="4"/>
        <v>551003688</v>
      </c>
      <c r="W37" s="36">
        <f t="shared" si="12"/>
        <v>0</v>
      </c>
      <c r="X37" s="50" t="s">
        <v>18</v>
      </c>
      <c r="Y37" s="454"/>
      <c r="Z37" s="454"/>
      <c r="AA37" s="454"/>
      <c r="AB37" s="454"/>
      <c r="AC37" s="454"/>
      <c r="AD37" s="40">
        <f t="shared" ref="AD37:AG38" si="21">+O37</f>
        <v>3884144913</v>
      </c>
      <c r="AE37" s="39">
        <f t="shared" si="21"/>
        <v>3239911015</v>
      </c>
      <c r="AF37" s="390">
        <f t="shared" si="21"/>
        <v>0</v>
      </c>
      <c r="AG37" s="38">
        <f t="shared" si="21"/>
        <v>93230210</v>
      </c>
      <c r="AH37" s="37">
        <f t="shared" si="6"/>
        <v>3333141225</v>
      </c>
      <c r="AI37" s="428">
        <f>+T37</f>
        <v>875942080</v>
      </c>
      <c r="AJ37" s="38">
        <f>+U37</f>
        <v>-324938392</v>
      </c>
      <c r="AK37" s="37">
        <f t="shared" si="8"/>
        <v>551003688</v>
      </c>
      <c r="AL37" s="36">
        <f t="shared" si="9"/>
        <v>0</v>
      </c>
    </row>
    <row r="38" spans="1:38">
      <c r="A38" s="150"/>
      <c r="B38" s="157" t="s">
        <v>2</v>
      </c>
      <c r="C38" s="156" t="s">
        <v>14</v>
      </c>
      <c r="D38" s="71" t="s">
        <v>16</v>
      </c>
      <c r="E38" s="155">
        <f>+[1]営外!E9</f>
        <v>61813753</v>
      </c>
      <c r="F38" s="153">
        <v>21371910</v>
      </c>
      <c r="G38" s="416"/>
      <c r="H38" s="160"/>
      <c r="I38" s="40">
        <f t="shared" si="10"/>
        <v>21371910</v>
      </c>
      <c r="J38" s="153"/>
      <c r="K38" s="152">
        <v>25588999</v>
      </c>
      <c r="L38" s="37">
        <f t="shared" si="0"/>
        <v>25588999</v>
      </c>
      <c r="M38" s="36">
        <f t="shared" si="1"/>
        <v>14852844</v>
      </c>
      <c r="N38" s="71" t="s">
        <v>16</v>
      </c>
      <c r="O38" s="154">
        <f>+[1]営外!T9</f>
        <v>56194321</v>
      </c>
      <c r="P38" s="39">
        <f>+IFERROR(ROUND(F38*$O38/$E38,0),0)</f>
        <v>19429009</v>
      </c>
      <c r="Q38" s="390">
        <f>+IFERROR(ROUND(G38*$O38/$E38,0),0)</f>
        <v>0</v>
      </c>
      <c r="R38" s="38">
        <f>+IFERROR(ROUND(H38*$O38/$E38,0),0)</f>
        <v>0</v>
      </c>
      <c r="S38" s="37">
        <f t="shared" si="11"/>
        <v>19429009</v>
      </c>
      <c r="T38" s="428">
        <f>+IFERROR(ROUND(J38*$O38/$E38,0),0)</f>
        <v>0</v>
      </c>
      <c r="U38" s="38">
        <f>+O38-S38-T38</f>
        <v>36765312</v>
      </c>
      <c r="V38" s="37">
        <f t="shared" si="4"/>
        <v>36765312</v>
      </c>
      <c r="W38" s="36">
        <f t="shared" si="12"/>
        <v>0</v>
      </c>
      <c r="X38" s="42" t="s">
        <v>16</v>
      </c>
      <c r="Y38" s="453"/>
      <c r="Z38" s="453"/>
      <c r="AA38" s="453"/>
      <c r="AB38" s="453"/>
      <c r="AC38" s="453"/>
      <c r="AD38" s="40">
        <f t="shared" si="21"/>
        <v>56194321</v>
      </c>
      <c r="AE38" s="39">
        <f t="shared" si="21"/>
        <v>19429009</v>
      </c>
      <c r="AF38" s="390">
        <f t="shared" si="21"/>
        <v>0</v>
      </c>
      <c r="AG38" s="38">
        <f t="shared" si="21"/>
        <v>0</v>
      </c>
      <c r="AH38" s="37">
        <f t="shared" si="6"/>
        <v>19429009</v>
      </c>
      <c r="AI38" s="428">
        <f>+T38</f>
        <v>0</v>
      </c>
      <c r="AJ38" s="38">
        <f>+U38</f>
        <v>36765312</v>
      </c>
      <c r="AK38" s="37">
        <f t="shared" si="8"/>
        <v>36765312</v>
      </c>
      <c r="AL38" s="36">
        <f t="shared" si="9"/>
        <v>0</v>
      </c>
    </row>
    <row r="39" spans="1:38">
      <c r="A39" s="150"/>
      <c r="B39" s="157" t="s">
        <v>2</v>
      </c>
      <c r="C39" s="156" t="s">
        <v>14</v>
      </c>
      <c r="D39" s="163" t="s">
        <v>13</v>
      </c>
      <c r="E39" s="162"/>
      <c r="F39" s="159"/>
      <c r="G39" s="417"/>
      <c r="H39" s="160"/>
      <c r="I39" s="40">
        <f t="shared" si="10"/>
        <v>0</v>
      </c>
      <c r="J39" s="159"/>
      <c r="K39" s="38">
        <f>+E39-I39-J39</f>
        <v>0</v>
      </c>
      <c r="L39" s="37">
        <f t="shared" ref="L39" si="22">+SUM(J39:K39)</f>
        <v>0</v>
      </c>
      <c r="M39" s="36">
        <f t="shared" si="1"/>
        <v>0</v>
      </c>
      <c r="N39" s="163" t="s">
        <v>13</v>
      </c>
      <c r="O39" s="161"/>
      <c r="P39" s="159"/>
      <c r="Q39" s="417"/>
      <c r="R39" s="160"/>
      <c r="S39" s="37">
        <f t="shared" si="11"/>
        <v>0</v>
      </c>
      <c r="T39" s="429"/>
      <c r="U39" s="160">
        <f t="shared" si="19"/>
        <v>0</v>
      </c>
      <c r="V39" s="37">
        <f t="shared" si="4"/>
        <v>0</v>
      </c>
      <c r="W39" s="36">
        <f t="shared" si="12"/>
        <v>0</v>
      </c>
      <c r="X39" s="42" t="s">
        <v>13</v>
      </c>
      <c r="Y39" s="453"/>
      <c r="Z39" s="453"/>
      <c r="AA39" s="453"/>
      <c r="AB39" s="453"/>
      <c r="AC39" s="453"/>
      <c r="AD39" s="49">
        <f>+SUM(AD113,AD124)</f>
        <v>-4580940413</v>
      </c>
      <c r="AE39" s="48">
        <f>+SUM(AE113,AE124)</f>
        <v>-3525955391</v>
      </c>
      <c r="AF39" s="389">
        <f>+SUM(AF113,AF124)</f>
        <v>0</v>
      </c>
      <c r="AG39" s="47">
        <f>+SUM(AG113,AG124)</f>
        <v>-101485026</v>
      </c>
      <c r="AH39" s="37">
        <f t="shared" si="6"/>
        <v>-3627440417</v>
      </c>
      <c r="AI39" s="433">
        <f>+SUM(AI113,AI124)</f>
        <v>-953499996</v>
      </c>
      <c r="AJ39" s="47">
        <f>+SUM(AJ113,AJ124)</f>
        <v>0</v>
      </c>
      <c r="AK39" s="37">
        <f t="shared" si="8"/>
        <v>-953499996</v>
      </c>
      <c r="AL39" s="36">
        <f t="shared" si="9"/>
        <v>0</v>
      </c>
    </row>
    <row r="40" spans="1:38">
      <c r="A40" s="150"/>
      <c r="B40" s="157"/>
      <c r="C40" s="156"/>
      <c r="D40" s="71"/>
      <c r="E40" s="162"/>
      <c r="F40" s="159"/>
      <c r="G40" s="417"/>
      <c r="H40" s="160"/>
      <c r="I40" s="40"/>
      <c r="J40" s="159"/>
      <c r="K40" s="38"/>
      <c r="L40" s="37"/>
      <c r="M40" s="36"/>
      <c r="N40" s="71"/>
      <c r="O40" s="161"/>
      <c r="P40" s="159"/>
      <c r="Q40" s="417"/>
      <c r="R40" s="160"/>
      <c r="S40" s="37"/>
      <c r="T40" s="429"/>
      <c r="U40" s="160"/>
      <c r="V40" s="37"/>
      <c r="W40" s="36"/>
      <c r="X40" s="42"/>
      <c r="Y40" s="453"/>
      <c r="Z40" s="453"/>
      <c r="AA40" s="453"/>
      <c r="AB40" s="453"/>
      <c r="AC40" s="453"/>
      <c r="AD40" s="40"/>
      <c r="AE40" s="39"/>
      <c r="AF40" s="390"/>
      <c r="AG40" s="38"/>
      <c r="AH40" s="37"/>
      <c r="AI40" s="428"/>
      <c r="AJ40" s="38"/>
      <c r="AK40" s="37"/>
      <c r="AL40" s="36"/>
    </row>
    <row r="41" spans="1:38">
      <c r="A41" s="150"/>
      <c r="B41" s="157" t="s">
        <v>2</v>
      </c>
      <c r="C41" s="156" t="s">
        <v>8</v>
      </c>
      <c r="D41" s="71"/>
      <c r="E41" s="51"/>
      <c r="F41" s="39"/>
      <c r="G41" s="390"/>
      <c r="H41" s="38"/>
      <c r="I41" s="40">
        <f t="shared" si="10"/>
        <v>0</v>
      </c>
      <c r="J41" s="39"/>
      <c r="K41" s="38"/>
      <c r="L41" s="37">
        <f t="shared" ref="L41" si="23">+SUM(J41:K41)</f>
        <v>0</v>
      </c>
      <c r="M41" s="36">
        <f t="shared" si="1"/>
        <v>0</v>
      </c>
      <c r="N41" s="71"/>
      <c r="O41" s="161"/>
      <c r="P41" s="159"/>
      <c r="Q41" s="417"/>
      <c r="R41" s="160"/>
      <c r="S41" s="37">
        <f t="shared" si="11"/>
        <v>0</v>
      </c>
      <c r="T41" s="429"/>
      <c r="U41" s="160">
        <f t="shared" si="19"/>
        <v>0</v>
      </c>
      <c r="V41" s="37">
        <f t="shared" si="4"/>
        <v>0</v>
      </c>
      <c r="W41" s="36">
        <f t="shared" si="12"/>
        <v>0</v>
      </c>
      <c r="X41" s="42"/>
      <c r="Y41" s="453"/>
      <c r="Z41" s="453"/>
      <c r="AA41" s="453"/>
      <c r="AB41" s="453"/>
      <c r="AC41" s="453"/>
      <c r="AD41" s="40">
        <f t="shared" ref="AD41:AG44" si="24">+O41</f>
        <v>0</v>
      </c>
      <c r="AE41" s="39">
        <f t="shared" si="24"/>
        <v>0</v>
      </c>
      <c r="AF41" s="390">
        <f t="shared" si="24"/>
        <v>0</v>
      </c>
      <c r="AG41" s="38">
        <f t="shared" si="24"/>
        <v>0</v>
      </c>
      <c r="AH41" s="37">
        <f t="shared" si="6"/>
        <v>0</v>
      </c>
      <c r="AI41" s="428">
        <f t="shared" ref="AI41:AJ44" si="25">+T41</f>
        <v>0</v>
      </c>
      <c r="AJ41" s="38">
        <f t="shared" si="25"/>
        <v>0</v>
      </c>
      <c r="AK41" s="37">
        <f t="shared" si="8"/>
        <v>0</v>
      </c>
      <c r="AL41" s="36">
        <f t="shared" si="9"/>
        <v>0</v>
      </c>
    </row>
    <row r="42" spans="1:38">
      <c r="A42" s="150"/>
      <c r="B42" s="157" t="s">
        <v>2</v>
      </c>
      <c r="C42" s="156" t="s">
        <v>8</v>
      </c>
      <c r="D42" s="71" t="s">
        <v>12</v>
      </c>
      <c r="E42" s="51">
        <f>+SUM(I42,L42:L42)</f>
        <v>0</v>
      </c>
      <c r="F42" s="153"/>
      <c r="G42" s="416"/>
      <c r="H42" s="160"/>
      <c r="I42" s="40">
        <f t="shared" si="10"/>
        <v>0</v>
      </c>
      <c r="J42" s="153"/>
      <c r="K42" s="152"/>
      <c r="L42" s="37">
        <f t="shared" si="0"/>
        <v>0</v>
      </c>
      <c r="M42" s="36">
        <f t="shared" si="1"/>
        <v>0</v>
      </c>
      <c r="N42" s="71" t="s">
        <v>12</v>
      </c>
      <c r="O42" s="51">
        <f t="shared" ref="O42:Q43" si="26">+E42</f>
        <v>0</v>
      </c>
      <c r="P42" s="39">
        <f t="shared" si="26"/>
        <v>0</v>
      </c>
      <c r="Q42" s="390">
        <f t="shared" si="26"/>
        <v>0</v>
      </c>
      <c r="R42" s="38"/>
      <c r="S42" s="37">
        <f t="shared" si="11"/>
        <v>0</v>
      </c>
      <c r="T42" s="428">
        <f>+J42</f>
        <v>0</v>
      </c>
      <c r="U42" s="38">
        <f t="shared" si="19"/>
        <v>0</v>
      </c>
      <c r="V42" s="37">
        <f t="shared" si="4"/>
        <v>0</v>
      </c>
      <c r="W42" s="36">
        <f t="shared" si="12"/>
        <v>0</v>
      </c>
      <c r="X42" s="42" t="s">
        <v>12</v>
      </c>
      <c r="Y42" s="453"/>
      <c r="Z42" s="453"/>
      <c r="AA42" s="453"/>
      <c r="AB42" s="453"/>
      <c r="AC42" s="453"/>
      <c r="AD42" s="40">
        <f t="shared" si="24"/>
        <v>0</v>
      </c>
      <c r="AE42" s="39">
        <f t="shared" si="24"/>
        <v>0</v>
      </c>
      <c r="AF42" s="390">
        <f t="shared" si="24"/>
        <v>0</v>
      </c>
      <c r="AG42" s="38">
        <f t="shared" si="24"/>
        <v>0</v>
      </c>
      <c r="AH42" s="37">
        <f t="shared" si="6"/>
        <v>0</v>
      </c>
      <c r="AI42" s="428">
        <f t="shared" si="25"/>
        <v>0</v>
      </c>
      <c r="AJ42" s="38">
        <f t="shared" si="25"/>
        <v>0</v>
      </c>
      <c r="AK42" s="37">
        <f t="shared" si="8"/>
        <v>0</v>
      </c>
      <c r="AL42" s="36">
        <f t="shared" si="9"/>
        <v>0</v>
      </c>
    </row>
    <row r="43" spans="1:38">
      <c r="A43" s="150"/>
      <c r="B43" s="157" t="s">
        <v>2</v>
      </c>
      <c r="C43" s="156" t="s">
        <v>8</v>
      </c>
      <c r="D43" s="71" t="s">
        <v>10</v>
      </c>
      <c r="E43" s="51">
        <f>+SUM(I43,L43:L43)</f>
        <v>0</v>
      </c>
      <c r="F43" s="153"/>
      <c r="G43" s="416"/>
      <c r="H43" s="160"/>
      <c r="I43" s="40">
        <f t="shared" si="10"/>
        <v>0</v>
      </c>
      <c r="J43" s="153"/>
      <c r="K43" s="152"/>
      <c r="L43" s="37">
        <f t="shared" si="0"/>
        <v>0</v>
      </c>
      <c r="M43" s="36">
        <f t="shared" si="1"/>
        <v>0</v>
      </c>
      <c r="N43" s="71" t="s">
        <v>10</v>
      </c>
      <c r="O43" s="51">
        <f t="shared" si="26"/>
        <v>0</v>
      </c>
      <c r="P43" s="39">
        <f t="shared" si="26"/>
        <v>0</v>
      </c>
      <c r="Q43" s="390">
        <f t="shared" si="26"/>
        <v>0</v>
      </c>
      <c r="R43" s="38"/>
      <c r="S43" s="37">
        <f t="shared" si="11"/>
        <v>0</v>
      </c>
      <c r="T43" s="428">
        <f>+J43</f>
        <v>0</v>
      </c>
      <c r="U43" s="38">
        <f t="shared" si="19"/>
        <v>0</v>
      </c>
      <c r="V43" s="37">
        <f t="shared" si="4"/>
        <v>0</v>
      </c>
      <c r="W43" s="36">
        <f t="shared" si="12"/>
        <v>0</v>
      </c>
      <c r="X43" s="42" t="s">
        <v>10</v>
      </c>
      <c r="Y43" s="453"/>
      <c r="Z43" s="453"/>
      <c r="AA43" s="453"/>
      <c r="AB43" s="453"/>
      <c r="AC43" s="453"/>
      <c r="AD43" s="40">
        <f t="shared" si="24"/>
        <v>0</v>
      </c>
      <c r="AE43" s="39">
        <f t="shared" si="24"/>
        <v>0</v>
      </c>
      <c r="AF43" s="390">
        <f t="shared" si="24"/>
        <v>0</v>
      </c>
      <c r="AG43" s="38">
        <f t="shared" si="24"/>
        <v>0</v>
      </c>
      <c r="AH43" s="37">
        <f t="shared" si="6"/>
        <v>0</v>
      </c>
      <c r="AI43" s="428">
        <f t="shared" si="25"/>
        <v>0</v>
      </c>
      <c r="AJ43" s="38">
        <f t="shared" si="25"/>
        <v>0</v>
      </c>
      <c r="AK43" s="37">
        <f t="shared" si="8"/>
        <v>0</v>
      </c>
      <c r="AL43" s="36">
        <f t="shared" si="9"/>
        <v>0</v>
      </c>
    </row>
    <row r="44" spans="1:38">
      <c r="A44" s="150"/>
      <c r="B44" s="157" t="s">
        <v>2</v>
      </c>
      <c r="C44" s="156" t="s">
        <v>8</v>
      </c>
      <c r="D44" s="71" t="s">
        <v>7</v>
      </c>
      <c r="E44" s="380">
        <f>+'[1]3条支出'!$E$31</f>
        <v>0</v>
      </c>
      <c r="F44" s="153"/>
      <c r="G44" s="390"/>
      <c r="H44" s="160"/>
      <c r="I44" s="40">
        <f t="shared" si="10"/>
        <v>0</v>
      </c>
      <c r="J44" s="39"/>
      <c r="K44" s="152"/>
      <c r="L44" s="37">
        <f t="shared" si="0"/>
        <v>0</v>
      </c>
      <c r="M44" s="36">
        <f t="shared" si="1"/>
        <v>0</v>
      </c>
      <c r="N44" s="71" t="s">
        <v>7</v>
      </c>
      <c r="O44" s="381">
        <f>'[1]3条支出'!$T$31</f>
        <v>0</v>
      </c>
      <c r="P44" s="39">
        <f>+F44</f>
        <v>0</v>
      </c>
      <c r="Q44" s="390"/>
      <c r="R44" s="160"/>
      <c r="S44" s="37">
        <f t="shared" si="11"/>
        <v>0</v>
      </c>
      <c r="T44" s="428"/>
      <c r="U44" s="38">
        <f t="shared" si="19"/>
        <v>0</v>
      </c>
      <c r="V44" s="37">
        <f t="shared" si="4"/>
        <v>0</v>
      </c>
      <c r="W44" s="36">
        <f t="shared" si="12"/>
        <v>0</v>
      </c>
      <c r="X44" s="42" t="s">
        <v>7</v>
      </c>
      <c r="Y44" s="453"/>
      <c r="Z44" s="453"/>
      <c r="AA44" s="453"/>
      <c r="AB44" s="453"/>
      <c r="AC44" s="453"/>
      <c r="AD44" s="40">
        <f t="shared" si="24"/>
        <v>0</v>
      </c>
      <c r="AE44" s="39">
        <f t="shared" si="24"/>
        <v>0</v>
      </c>
      <c r="AF44" s="390">
        <f t="shared" si="24"/>
        <v>0</v>
      </c>
      <c r="AG44" s="38">
        <f t="shared" si="24"/>
        <v>0</v>
      </c>
      <c r="AH44" s="37">
        <f t="shared" si="6"/>
        <v>0</v>
      </c>
      <c r="AI44" s="428">
        <f t="shared" si="25"/>
        <v>0</v>
      </c>
      <c r="AJ44" s="38">
        <f t="shared" si="25"/>
        <v>0</v>
      </c>
      <c r="AK44" s="37">
        <f t="shared" si="8"/>
        <v>0</v>
      </c>
      <c r="AL44" s="36">
        <f t="shared" si="9"/>
        <v>0</v>
      </c>
    </row>
    <row r="45" spans="1:38" ht="14.25" thickBot="1">
      <c r="A45" s="150"/>
      <c r="B45" s="149"/>
      <c r="C45" s="148"/>
      <c r="D45" s="146"/>
      <c r="E45" s="147"/>
      <c r="F45" s="144"/>
      <c r="G45" s="420"/>
      <c r="H45" s="435"/>
      <c r="I45" s="30"/>
      <c r="J45" s="144"/>
      <c r="K45" s="143"/>
      <c r="L45" s="142"/>
      <c r="M45" s="26"/>
      <c r="N45" s="146"/>
      <c r="O45" s="145"/>
      <c r="P45" s="144"/>
      <c r="Q45" s="420"/>
      <c r="R45" s="435"/>
      <c r="S45" s="142"/>
      <c r="T45" s="432"/>
      <c r="U45" s="143"/>
      <c r="V45" s="142"/>
      <c r="W45" s="26"/>
      <c r="X45" s="32"/>
      <c r="Y45" s="458"/>
      <c r="Z45" s="458"/>
      <c r="AA45" s="458"/>
      <c r="AB45" s="458"/>
      <c r="AC45" s="458"/>
      <c r="AD45" s="30"/>
      <c r="AE45" s="29"/>
      <c r="AF45" s="414"/>
      <c r="AG45" s="28"/>
      <c r="AH45" s="27"/>
      <c r="AI45" s="434"/>
      <c r="AJ45" s="28"/>
      <c r="AK45" s="27"/>
      <c r="AL45" s="26"/>
    </row>
    <row r="46" spans="1:38" ht="14.25" thickTop="1">
      <c r="B46" s="25"/>
      <c r="C46" s="24"/>
      <c r="D46" s="23" t="s">
        <v>5</v>
      </c>
      <c r="E46" s="22">
        <f t="shared" ref="E46:L46" si="27">+SUM(E7:E45)</f>
        <v>42643653765</v>
      </c>
      <c r="F46" s="21">
        <f t="shared" si="27"/>
        <v>18038863045</v>
      </c>
      <c r="G46" s="392">
        <f t="shared" si="27"/>
        <v>349605409</v>
      </c>
      <c r="H46" s="20">
        <f>+SUM(H7:H45)</f>
        <v>473817796</v>
      </c>
      <c r="I46" s="402">
        <f t="shared" ref="I46" si="28">+SUM(I7:I45)</f>
        <v>18862286250</v>
      </c>
      <c r="J46" s="21">
        <f t="shared" si="27"/>
        <v>1462486564</v>
      </c>
      <c r="K46" s="20">
        <f t="shared" si="27"/>
        <v>25050860494</v>
      </c>
      <c r="L46" s="19">
        <f t="shared" si="27"/>
        <v>26513347058</v>
      </c>
      <c r="M46" s="17">
        <f t="shared" ref="M46" si="29">+SUM(M7:M45)</f>
        <v>-2731979543</v>
      </c>
      <c r="N46" s="23" t="s">
        <v>5</v>
      </c>
      <c r="O46" s="141">
        <f t="shared" ref="O46:W46" si="30">+SUM(O7:O45)</f>
        <v>41815631556</v>
      </c>
      <c r="P46" s="21">
        <f t="shared" si="30"/>
        <v>17891109043</v>
      </c>
      <c r="Q46" s="392">
        <f t="shared" si="30"/>
        <v>334344740</v>
      </c>
      <c r="R46" s="20">
        <f>+SUM(R7:R45)</f>
        <v>445711850</v>
      </c>
      <c r="S46" s="19">
        <f t="shared" ref="S46" si="31">+SUM(S7:S45)</f>
        <v>18671165633</v>
      </c>
      <c r="T46" s="124">
        <f t="shared" si="30"/>
        <v>1460379844</v>
      </c>
      <c r="U46" s="20">
        <f t="shared" si="30"/>
        <v>21412952997</v>
      </c>
      <c r="V46" s="19">
        <f t="shared" si="30"/>
        <v>22873332841</v>
      </c>
      <c r="W46" s="17">
        <f t="shared" si="30"/>
        <v>271133082</v>
      </c>
      <c r="X46" s="23" t="s">
        <v>5</v>
      </c>
      <c r="Y46" s="459"/>
      <c r="Z46" s="459"/>
      <c r="AA46" s="459"/>
      <c r="AB46" s="459"/>
      <c r="AC46" s="459"/>
      <c r="AD46" s="22">
        <f t="shared" ref="AD46:AL46" si="32">+SUM(AD7:AD45)</f>
        <v>42028118404</v>
      </c>
      <c r="AE46" s="21">
        <f t="shared" si="32"/>
        <v>18286497839</v>
      </c>
      <c r="AF46" s="392">
        <f t="shared" si="32"/>
        <v>697287793</v>
      </c>
      <c r="AG46" s="20">
        <f>+SUM(AG7:AG45)</f>
        <v>849719522</v>
      </c>
      <c r="AH46" s="19">
        <f t="shared" ref="AH46" si="33">+SUM(AH7:AH45)</f>
        <v>19833505154</v>
      </c>
      <c r="AI46" s="124">
        <f t="shared" si="32"/>
        <v>510514431</v>
      </c>
      <c r="AJ46" s="20">
        <f t="shared" si="32"/>
        <v>21412965737</v>
      </c>
      <c r="AK46" s="19">
        <f t="shared" si="32"/>
        <v>21923480168</v>
      </c>
      <c r="AL46" s="17">
        <f t="shared" si="32"/>
        <v>271133082</v>
      </c>
    </row>
    <row r="47" spans="1:38">
      <c r="B47" s="14" t="s">
        <v>4</v>
      </c>
      <c r="C47" s="16"/>
      <c r="D47" s="15" t="s">
        <v>3</v>
      </c>
      <c r="E47" s="11">
        <f t="shared" ref="E47:T48" si="34">+SUMIFS(E$7:E$45,$B$7:$B$45,$B47)</f>
        <v>11642490998</v>
      </c>
      <c r="F47" s="10">
        <f t="shared" si="34"/>
        <v>2347829762</v>
      </c>
      <c r="G47" s="398">
        <f t="shared" si="34"/>
        <v>215321104</v>
      </c>
      <c r="H47" s="9">
        <f t="shared" si="34"/>
        <v>380587586</v>
      </c>
      <c r="I47" s="422">
        <f t="shared" si="34"/>
        <v>2943738452</v>
      </c>
      <c r="J47" s="10">
        <f t="shared" si="34"/>
        <v>88724768</v>
      </c>
      <c r="K47" s="9">
        <f t="shared" si="34"/>
        <v>7044499195</v>
      </c>
      <c r="L47" s="8">
        <f t="shared" si="34"/>
        <v>7133223963</v>
      </c>
      <c r="M47" s="6">
        <f t="shared" si="34"/>
        <v>1565528583</v>
      </c>
      <c r="N47" s="15" t="s">
        <v>3</v>
      </c>
      <c r="O47" s="11">
        <f t="shared" si="34"/>
        <v>10820088221</v>
      </c>
      <c r="P47" s="10">
        <f t="shared" si="34"/>
        <v>2202018661</v>
      </c>
      <c r="Q47" s="398">
        <f t="shared" si="34"/>
        <v>200060435</v>
      </c>
      <c r="R47" s="9">
        <f t="shared" si="34"/>
        <v>352481640</v>
      </c>
      <c r="S47" s="422">
        <f t="shared" si="34"/>
        <v>2754560736</v>
      </c>
      <c r="T47" s="123">
        <f t="shared" si="34"/>
        <v>86618048</v>
      </c>
      <c r="U47" s="9">
        <f t="shared" ref="O47:W48" si="35">+SUMIFS(U$7:U$45,$B$7:$B$45,$B47)</f>
        <v>7978909437</v>
      </c>
      <c r="V47" s="8">
        <f t="shared" si="35"/>
        <v>8065527485</v>
      </c>
      <c r="W47" s="6">
        <f t="shared" si="35"/>
        <v>0</v>
      </c>
      <c r="X47" s="15" t="s">
        <v>3</v>
      </c>
      <c r="Y47" s="481"/>
      <c r="Z47" s="481"/>
      <c r="AA47" s="481"/>
      <c r="AB47" s="481"/>
      <c r="AC47" s="481"/>
      <c r="AD47" s="11">
        <f t="shared" ref="AD47:AL48" si="36">+SUMIFS(AD$7:AD$45,$B$7:$B$45,$B47)</f>
        <v>15613515482</v>
      </c>
      <c r="AE47" s="10">
        <f t="shared" si="36"/>
        <v>6123362848</v>
      </c>
      <c r="AF47" s="398">
        <f t="shared" si="36"/>
        <v>563003488</v>
      </c>
      <c r="AG47" s="9">
        <f t="shared" si="36"/>
        <v>857974338</v>
      </c>
      <c r="AH47" s="422">
        <f t="shared" si="36"/>
        <v>7544340674</v>
      </c>
      <c r="AI47" s="123">
        <f t="shared" si="36"/>
        <v>90252631</v>
      </c>
      <c r="AJ47" s="9">
        <f t="shared" si="36"/>
        <v>7978922177</v>
      </c>
      <c r="AK47" s="8">
        <f t="shared" si="36"/>
        <v>8069174808</v>
      </c>
      <c r="AL47" s="6">
        <f t="shared" si="36"/>
        <v>0</v>
      </c>
    </row>
    <row r="48" spans="1:38">
      <c r="B48" s="14" t="s">
        <v>2</v>
      </c>
      <c r="C48" s="16"/>
      <c r="D48" s="15" t="s">
        <v>1</v>
      </c>
      <c r="E48" s="11">
        <f t="shared" si="34"/>
        <v>31001162767</v>
      </c>
      <c r="F48" s="10">
        <f t="shared" si="34"/>
        <v>15691033283</v>
      </c>
      <c r="G48" s="398">
        <f t="shared" si="34"/>
        <v>134284305</v>
      </c>
      <c r="H48" s="9">
        <f t="shared" si="34"/>
        <v>93230210</v>
      </c>
      <c r="I48" s="422">
        <f t="shared" si="34"/>
        <v>15918547798</v>
      </c>
      <c r="J48" s="10">
        <f t="shared" si="34"/>
        <v>1373761796</v>
      </c>
      <c r="K48" s="9">
        <f t="shared" si="34"/>
        <v>18006361299</v>
      </c>
      <c r="L48" s="8">
        <f t="shared" si="34"/>
        <v>19380123095</v>
      </c>
      <c r="M48" s="6">
        <f t="shared" si="34"/>
        <v>-4297508126</v>
      </c>
      <c r="N48" s="15" t="s">
        <v>1</v>
      </c>
      <c r="O48" s="11">
        <f t="shared" si="35"/>
        <v>30995543335</v>
      </c>
      <c r="P48" s="10">
        <f t="shared" si="35"/>
        <v>15689090382</v>
      </c>
      <c r="Q48" s="398">
        <f t="shared" si="35"/>
        <v>134284305</v>
      </c>
      <c r="R48" s="9">
        <f t="shared" si="35"/>
        <v>93230210</v>
      </c>
      <c r="S48" s="422">
        <f t="shared" si="35"/>
        <v>15916604897</v>
      </c>
      <c r="T48" s="123">
        <f t="shared" si="35"/>
        <v>1373761796</v>
      </c>
      <c r="U48" s="9">
        <f t="shared" si="35"/>
        <v>13434043560</v>
      </c>
      <c r="V48" s="8">
        <f t="shared" si="35"/>
        <v>14807805356</v>
      </c>
      <c r="W48" s="6">
        <f t="shared" si="35"/>
        <v>271133082</v>
      </c>
      <c r="X48" s="15" t="s">
        <v>1</v>
      </c>
      <c r="Y48" s="481"/>
      <c r="Z48" s="481"/>
      <c r="AA48" s="481"/>
      <c r="AB48" s="481"/>
      <c r="AC48" s="481"/>
      <c r="AD48" s="11">
        <f t="shared" si="36"/>
        <v>26414602922</v>
      </c>
      <c r="AE48" s="10">
        <f t="shared" si="36"/>
        <v>12163134991</v>
      </c>
      <c r="AF48" s="398">
        <f t="shared" si="36"/>
        <v>134284305</v>
      </c>
      <c r="AG48" s="9">
        <f t="shared" si="36"/>
        <v>-8254816</v>
      </c>
      <c r="AH48" s="422">
        <f t="shared" si="36"/>
        <v>12289164480</v>
      </c>
      <c r="AI48" s="123">
        <f t="shared" si="36"/>
        <v>420261800</v>
      </c>
      <c r="AJ48" s="9">
        <f t="shared" si="36"/>
        <v>13434043560</v>
      </c>
      <c r="AK48" s="8">
        <f t="shared" si="36"/>
        <v>13854305360</v>
      </c>
      <c r="AL48" s="6">
        <f t="shared" si="36"/>
        <v>271133082</v>
      </c>
    </row>
    <row r="49" spans="1:38">
      <c r="B49" s="14"/>
      <c r="C49" s="13"/>
      <c r="D49" s="12" t="s">
        <v>0</v>
      </c>
      <c r="E49" s="11">
        <f>+SUM(E7:E45)</f>
        <v>42643653765</v>
      </c>
      <c r="F49" s="10">
        <f t="shared" ref="F49:M49" si="37">+SUM(F7:F45)</f>
        <v>18038863045</v>
      </c>
      <c r="G49" s="398">
        <f t="shared" si="37"/>
        <v>349605409</v>
      </c>
      <c r="H49" s="9">
        <f t="shared" si="37"/>
        <v>473817796</v>
      </c>
      <c r="I49" s="422">
        <f t="shared" si="37"/>
        <v>18862286250</v>
      </c>
      <c r="J49" s="10">
        <f t="shared" si="37"/>
        <v>1462486564</v>
      </c>
      <c r="K49" s="9">
        <f t="shared" si="37"/>
        <v>25050860494</v>
      </c>
      <c r="L49" s="8">
        <f t="shared" si="37"/>
        <v>26513347058</v>
      </c>
      <c r="M49" s="6">
        <f t="shared" si="37"/>
        <v>-2731979543</v>
      </c>
      <c r="N49" s="12" t="s">
        <v>0</v>
      </c>
      <c r="O49" s="11">
        <f>+SUM(O7:O45)</f>
        <v>41815631556</v>
      </c>
      <c r="P49" s="10">
        <f t="shared" ref="P49:V49" si="38">+SUM(P7:P45)</f>
        <v>17891109043</v>
      </c>
      <c r="Q49" s="398">
        <f t="shared" si="38"/>
        <v>334344740</v>
      </c>
      <c r="R49" s="9">
        <f t="shared" si="38"/>
        <v>445711850</v>
      </c>
      <c r="S49" s="422">
        <f t="shared" si="38"/>
        <v>18671165633</v>
      </c>
      <c r="T49" s="123">
        <f t="shared" si="38"/>
        <v>1460379844</v>
      </c>
      <c r="U49" s="9">
        <f t="shared" si="38"/>
        <v>21412952997</v>
      </c>
      <c r="V49" s="8">
        <f t="shared" si="38"/>
        <v>22873332841</v>
      </c>
      <c r="W49" s="6">
        <f t="shared" ref="W49" si="39">+SUM(W7:W21,W22:W27,W28:W33,W34:W36,W37:W40,W41:W45)</f>
        <v>271133082</v>
      </c>
      <c r="X49" s="12" t="s">
        <v>0</v>
      </c>
      <c r="Y49" s="460"/>
      <c r="Z49" s="460"/>
      <c r="AA49" s="460"/>
      <c r="AB49" s="460"/>
      <c r="AC49" s="460"/>
      <c r="AD49" s="11">
        <f>+SUM(AD7:AD45)</f>
        <v>42028118404</v>
      </c>
      <c r="AE49" s="10">
        <f t="shared" ref="AE49:AK49" si="40">+SUM(AE7:AE45)</f>
        <v>18286497839</v>
      </c>
      <c r="AF49" s="398">
        <f t="shared" si="40"/>
        <v>697287793</v>
      </c>
      <c r="AG49" s="9">
        <f t="shared" si="40"/>
        <v>849719522</v>
      </c>
      <c r="AH49" s="422">
        <f t="shared" si="40"/>
        <v>19833505154</v>
      </c>
      <c r="AI49" s="123">
        <f t="shared" si="40"/>
        <v>510514431</v>
      </c>
      <c r="AJ49" s="9">
        <f t="shared" si="40"/>
        <v>21412965737</v>
      </c>
      <c r="AK49" s="8">
        <f t="shared" si="40"/>
        <v>21923480168</v>
      </c>
      <c r="AL49" s="6">
        <f t="shared" ref="AL49" si="41">+SUM(AL7:AL21,AL22:AL27,AL28:AL33,AL34:AL36,AL37:AL40,AL41:AL45)</f>
        <v>271133082</v>
      </c>
    </row>
    <row r="50" spans="1:38" ht="13.5" customHeight="1">
      <c r="D50" s="138"/>
      <c r="E50" s="5">
        <f>E49-'[1]3条支出'!$E$42</f>
        <v>-15892</v>
      </c>
      <c r="F50" s="5"/>
      <c r="G50" s="5"/>
      <c r="H50" s="5"/>
      <c r="I50" s="4"/>
      <c r="J50" s="5"/>
      <c r="K50" s="5"/>
      <c r="L50" s="4"/>
      <c r="M50" s="5"/>
      <c r="O50" s="5">
        <f>+O49-'[1]3条支出'!$T$42</f>
        <v>-15902</v>
      </c>
      <c r="P50" s="5"/>
      <c r="Q50" s="5"/>
      <c r="R50" s="5"/>
      <c r="S50" s="4"/>
      <c r="T50" s="5"/>
      <c r="U50" s="5"/>
      <c r="V50" s="4"/>
      <c r="W50" s="5"/>
      <c r="X50" s="1"/>
      <c r="Y50" s="1"/>
      <c r="Z50" s="1"/>
      <c r="AA50" s="1"/>
      <c r="AB50" s="1"/>
      <c r="AC50" s="1"/>
      <c r="AD50" s="5">
        <f>+AD49-'[1]3条支出'!$T$41</f>
        <v>-16531</v>
      </c>
      <c r="AE50" s="5"/>
      <c r="AF50" s="5"/>
      <c r="AG50" s="5"/>
      <c r="AH50" s="4"/>
      <c r="AI50" s="5"/>
      <c r="AJ50" s="5"/>
      <c r="AK50" s="4"/>
      <c r="AL50" s="4"/>
    </row>
    <row r="51" spans="1:38">
      <c r="D51" s="3"/>
      <c r="E51" s="5"/>
      <c r="F51" s="5"/>
      <c r="G51" s="5"/>
      <c r="H51" s="5"/>
      <c r="I51" s="4"/>
      <c r="J51" s="5"/>
      <c r="K51" s="5"/>
      <c r="L51" s="4"/>
      <c r="M51" s="5"/>
      <c r="O51" s="5"/>
      <c r="P51" s="5"/>
      <c r="Q51" s="5"/>
      <c r="R51" s="5"/>
      <c r="S51" s="4"/>
      <c r="T51" s="5"/>
      <c r="U51" s="5"/>
      <c r="V51" s="4"/>
      <c r="W51" s="5"/>
      <c r="X51" s="4"/>
      <c r="Y51" s="4"/>
      <c r="Z51" s="4"/>
      <c r="AA51" s="4"/>
      <c r="AB51" s="4"/>
      <c r="AC51" s="4"/>
      <c r="AD51" s="5"/>
      <c r="AE51" s="5"/>
      <c r="AF51" s="5"/>
      <c r="AG51" s="5"/>
      <c r="AH51" s="4"/>
      <c r="AI51" s="5"/>
      <c r="AJ51" s="5"/>
      <c r="AK51" s="4"/>
      <c r="AL51" s="5"/>
    </row>
    <row r="52" spans="1:38">
      <c r="D52" s="1" t="str">
        <f>+$D$1</f>
        <v>令和５年度決算　消費税算出資料</v>
      </c>
      <c r="N52" s="1" t="str">
        <f>+$D$1</f>
        <v>令和５年度決算　消費税算出資料</v>
      </c>
      <c r="X52" s="1" t="str">
        <f>+$D$1</f>
        <v>令和５年度決算　消費税算出資料</v>
      </c>
      <c r="Y52" s="1"/>
      <c r="Z52" s="1"/>
      <c r="AA52" s="1"/>
      <c r="AB52" s="1"/>
      <c r="AC52" s="1"/>
    </row>
    <row r="53" spans="1:38">
      <c r="D53" s="1" t="s">
        <v>100</v>
      </c>
      <c r="M53" s="53" t="str">
        <f>+IF(COUNTIF(M58:M96,0)=COUNT(M58:M96),"","↓エラーあり")</f>
        <v>↓エラーあり</v>
      </c>
      <c r="N53" s="1" t="s">
        <v>100</v>
      </c>
      <c r="W53" s="53" t="str">
        <f>+IF(COUNTIF(W58:W96,0)=COUNT(W58:W96),"","↓エラーあり")</f>
        <v/>
      </c>
      <c r="X53" s="1" t="s">
        <v>355</v>
      </c>
      <c r="Y53" s="1"/>
      <c r="Z53" s="1"/>
      <c r="AA53" s="1"/>
      <c r="AB53" s="1"/>
      <c r="AC53" s="1"/>
      <c r="AL53" s="53" t="str">
        <f>+IF(COUNTIF(AL58:AL96,0)=COUNT(AL58:AL96),"","↓エラーあり")</f>
        <v/>
      </c>
    </row>
    <row r="54" spans="1:38">
      <c r="B54" s="583"/>
      <c r="C54" s="584"/>
      <c r="D54" s="576" t="s">
        <v>95</v>
      </c>
      <c r="E54" s="589" t="s">
        <v>96</v>
      </c>
      <c r="F54" s="590"/>
      <c r="G54" s="590"/>
      <c r="H54" s="590"/>
      <c r="I54" s="590"/>
      <c r="J54" s="590"/>
      <c r="K54" s="590"/>
      <c r="L54" s="590"/>
      <c r="M54" s="591"/>
      <c r="N54" s="576" t="s">
        <v>95</v>
      </c>
      <c r="O54" s="589" t="s">
        <v>94</v>
      </c>
      <c r="P54" s="590"/>
      <c r="Q54" s="590"/>
      <c r="R54" s="590"/>
      <c r="S54" s="590"/>
      <c r="T54" s="590"/>
      <c r="U54" s="590"/>
      <c r="V54" s="590"/>
      <c r="W54" s="591"/>
      <c r="X54" s="576" t="s">
        <v>95</v>
      </c>
      <c r="Y54" s="480"/>
      <c r="Z54" s="480"/>
      <c r="AA54" s="480"/>
      <c r="AB54" s="480"/>
      <c r="AC54" s="480"/>
      <c r="AD54" s="589" t="s">
        <v>94</v>
      </c>
      <c r="AE54" s="590"/>
      <c r="AF54" s="590"/>
      <c r="AG54" s="590"/>
      <c r="AH54" s="590"/>
      <c r="AI54" s="590"/>
      <c r="AJ54" s="590"/>
      <c r="AK54" s="590"/>
      <c r="AL54" s="591"/>
    </row>
    <row r="55" spans="1:38">
      <c r="B55" s="585"/>
      <c r="C55" s="586"/>
      <c r="D55" s="577"/>
      <c r="E55" s="576" t="s">
        <v>90</v>
      </c>
      <c r="F55" s="589" t="s">
        <v>86</v>
      </c>
      <c r="G55" s="590"/>
      <c r="H55" s="590"/>
      <c r="I55" s="591"/>
      <c r="J55" s="589" t="s">
        <v>85</v>
      </c>
      <c r="K55" s="590"/>
      <c r="L55" s="591"/>
      <c r="M55" s="579" t="s">
        <v>83</v>
      </c>
      <c r="N55" s="577"/>
      <c r="O55" s="576" t="s">
        <v>89</v>
      </c>
      <c r="P55" s="589" t="s">
        <v>86</v>
      </c>
      <c r="Q55" s="590"/>
      <c r="R55" s="590"/>
      <c r="S55" s="591"/>
      <c r="T55" s="589" t="s">
        <v>85</v>
      </c>
      <c r="U55" s="590"/>
      <c r="V55" s="591"/>
      <c r="W55" s="579" t="s">
        <v>83</v>
      </c>
      <c r="X55" s="577"/>
      <c r="Y55" s="476"/>
      <c r="Z55" s="476"/>
      <c r="AA55" s="476"/>
      <c r="AB55" s="476"/>
      <c r="AC55" s="476"/>
      <c r="AD55" s="576" t="s">
        <v>89</v>
      </c>
      <c r="AE55" s="589" t="s">
        <v>86</v>
      </c>
      <c r="AF55" s="590"/>
      <c r="AG55" s="590"/>
      <c r="AH55" s="591"/>
      <c r="AI55" s="589" t="s">
        <v>85</v>
      </c>
      <c r="AJ55" s="590"/>
      <c r="AK55" s="591"/>
      <c r="AL55" s="579" t="s">
        <v>83</v>
      </c>
    </row>
    <row r="56" spans="1:38">
      <c r="A56" s="582"/>
      <c r="B56" s="585"/>
      <c r="C56" s="586"/>
      <c r="D56" s="577"/>
      <c r="E56" s="577"/>
      <c r="F56" s="113" t="s">
        <v>82</v>
      </c>
      <c r="G56" s="385" t="s">
        <v>82</v>
      </c>
      <c r="H56" s="112" t="s">
        <v>80</v>
      </c>
      <c r="I56" s="482" t="s">
        <v>81</v>
      </c>
      <c r="J56" s="113" t="s">
        <v>82</v>
      </c>
      <c r="K56" s="112" t="s">
        <v>80</v>
      </c>
      <c r="L56" s="111" t="s">
        <v>81</v>
      </c>
      <c r="M56" s="580"/>
      <c r="N56" s="577"/>
      <c r="O56" s="577"/>
      <c r="P56" s="113" t="s">
        <v>82</v>
      </c>
      <c r="Q56" s="385" t="s">
        <v>82</v>
      </c>
      <c r="R56" s="112" t="s">
        <v>80</v>
      </c>
      <c r="S56" s="482" t="s">
        <v>81</v>
      </c>
      <c r="T56" s="113" t="s">
        <v>82</v>
      </c>
      <c r="U56" s="112" t="s">
        <v>80</v>
      </c>
      <c r="V56" s="111" t="s">
        <v>81</v>
      </c>
      <c r="W56" s="580"/>
      <c r="X56" s="577"/>
      <c r="Y56" s="476"/>
      <c r="Z56" s="476"/>
      <c r="AA56" s="476"/>
      <c r="AB56" s="476"/>
      <c r="AC56" s="476"/>
      <c r="AD56" s="577"/>
      <c r="AE56" s="113" t="s">
        <v>82</v>
      </c>
      <c r="AF56" s="385" t="s">
        <v>82</v>
      </c>
      <c r="AG56" s="112" t="s">
        <v>80</v>
      </c>
      <c r="AH56" s="482" t="s">
        <v>81</v>
      </c>
      <c r="AI56" s="113" t="s">
        <v>82</v>
      </c>
      <c r="AJ56" s="112" t="s">
        <v>80</v>
      </c>
      <c r="AK56" s="111" t="s">
        <v>81</v>
      </c>
      <c r="AL56" s="580"/>
    </row>
    <row r="57" spans="1:38" s="106" customFormat="1">
      <c r="A57" s="582"/>
      <c r="B57" s="587"/>
      <c r="C57" s="588"/>
      <c r="D57" s="577"/>
      <c r="E57" s="577"/>
      <c r="F57" s="109" t="s">
        <v>78</v>
      </c>
      <c r="G57" s="386" t="s">
        <v>79</v>
      </c>
      <c r="H57" s="411" t="s">
        <v>84</v>
      </c>
      <c r="I57" s="401"/>
      <c r="J57" s="109" t="s">
        <v>78</v>
      </c>
      <c r="K57" s="108" t="s">
        <v>78</v>
      </c>
      <c r="L57" s="107"/>
      <c r="M57" s="580"/>
      <c r="N57" s="577"/>
      <c r="O57" s="577"/>
      <c r="P57" s="109" t="s">
        <v>78</v>
      </c>
      <c r="Q57" s="386" t="s">
        <v>79</v>
      </c>
      <c r="R57" s="411" t="s">
        <v>84</v>
      </c>
      <c r="S57" s="401"/>
      <c r="T57" s="109" t="s">
        <v>78</v>
      </c>
      <c r="U57" s="108" t="s">
        <v>78</v>
      </c>
      <c r="V57" s="107"/>
      <c r="W57" s="580"/>
      <c r="X57" s="578"/>
      <c r="Y57" s="477"/>
      <c r="Z57" s="477"/>
      <c r="AA57" s="477"/>
      <c r="AB57" s="477"/>
      <c r="AC57" s="477"/>
      <c r="AD57" s="578"/>
      <c r="AE57" s="109" t="s">
        <v>78</v>
      </c>
      <c r="AF57" s="386" t="s">
        <v>79</v>
      </c>
      <c r="AG57" s="411" t="s">
        <v>84</v>
      </c>
      <c r="AH57" s="401"/>
      <c r="AI57" s="109" t="s">
        <v>78</v>
      </c>
      <c r="AJ57" s="108" t="s">
        <v>78</v>
      </c>
      <c r="AK57" s="107"/>
      <c r="AL57" s="581"/>
    </row>
    <row r="58" spans="1:38" s="2" customFormat="1">
      <c r="A58" s="35"/>
      <c r="B58" s="105" t="s">
        <v>4</v>
      </c>
      <c r="C58" s="104" t="s">
        <v>21</v>
      </c>
      <c r="D58" s="99" t="s">
        <v>57</v>
      </c>
      <c r="E58" s="187">
        <f>+'[2]3条収入'!E8</f>
        <v>20488962528</v>
      </c>
      <c r="F58" s="97"/>
      <c r="G58" s="134"/>
      <c r="H58" s="98"/>
      <c r="I58" s="101">
        <f>+SUM(F58:H58)</f>
        <v>0</v>
      </c>
      <c r="J58" s="97"/>
      <c r="K58" s="98">
        <f>+E58</f>
        <v>20488962528</v>
      </c>
      <c r="L58" s="95">
        <f>+SUM(J58:K58)</f>
        <v>20488962528</v>
      </c>
      <c r="M58" s="94">
        <f>E58-SUM(I58,L58)</f>
        <v>0</v>
      </c>
      <c r="N58" s="99" t="s">
        <v>57</v>
      </c>
      <c r="O58" s="187">
        <f>+'[2]3条収入'!AI8</f>
        <v>18626337467</v>
      </c>
      <c r="P58" s="97">
        <f>+IFERROR(ROUND(F58*$O58/$E58,0),0)</f>
        <v>0</v>
      </c>
      <c r="Q58" s="134">
        <f>+IFERROR(ROUND(G58*$O58/$E58,0),0)</f>
        <v>0</v>
      </c>
      <c r="R58" s="98">
        <f>+IFERROR(ROUND(H58*$O58/$E58,0),0)</f>
        <v>0</v>
      </c>
      <c r="S58" s="101">
        <f t="shared" ref="S58:S95" si="42">+SUM(P58:R58)</f>
        <v>0</v>
      </c>
      <c r="T58" s="97">
        <f>+IFERROR(ROUND(J58*$O58/$E58,0),0)</f>
        <v>0</v>
      </c>
      <c r="U58" s="98">
        <f>+O58-S58-T58</f>
        <v>18626337467</v>
      </c>
      <c r="V58" s="95">
        <f t="shared" ref="V58:V73" si="43">+SUM(T58:U58)</f>
        <v>18626337467</v>
      </c>
      <c r="W58" s="94">
        <f t="shared" ref="W58:W95" si="44">O58-SUM(S58,V58)</f>
        <v>0</v>
      </c>
      <c r="X58" s="99" t="s">
        <v>57</v>
      </c>
      <c r="Y58" s="99"/>
      <c r="Z58" s="99"/>
      <c r="AA58" s="99"/>
      <c r="AB58" s="99"/>
      <c r="AC58" s="99"/>
      <c r="AD58" s="94">
        <f>+O58</f>
        <v>18626337467</v>
      </c>
      <c r="AE58" s="97">
        <f>+P58</f>
        <v>0</v>
      </c>
      <c r="AF58" s="134">
        <f>+Q58</f>
        <v>0</v>
      </c>
      <c r="AG58" s="98">
        <f>+R58</f>
        <v>0</v>
      </c>
      <c r="AH58" s="101">
        <f t="shared" ref="AH58:AH95" si="45">+SUM(AE58:AG58)</f>
        <v>0</v>
      </c>
      <c r="AI58" s="97">
        <f>+T58</f>
        <v>0</v>
      </c>
      <c r="AJ58" s="96">
        <f>+U58</f>
        <v>18626337467</v>
      </c>
      <c r="AK58" s="95">
        <f t="shared" ref="AK58:AK95" si="46">+SUM(AI58:AJ58)</f>
        <v>18626337467</v>
      </c>
      <c r="AL58" s="94">
        <f t="shared" ref="AL58:AL95" si="47">AD58-SUM(AH58,AK58)</f>
        <v>0</v>
      </c>
    </row>
    <row r="59" spans="1:38" s="2" customFormat="1">
      <c r="A59" s="35"/>
      <c r="B59" s="45"/>
      <c r="C59" s="44"/>
      <c r="D59" s="41"/>
      <c r="E59" s="36"/>
      <c r="F59" s="39"/>
      <c r="G59" s="390"/>
      <c r="H59" s="38"/>
      <c r="I59" s="40"/>
      <c r="J59" s="39"/>
      <c r="K59" s="38"/>
      <c r="L59" s="37"/>
      <c r="M59" s="36"/>
      <c r="N59" s="41"/>
      <c r="O59" s="36"/>
      <c r="P59" s="39"/>
      <c r="Q59" s="390"/>
      <c r="R59" s="38"/>
      <c r="S59" s="40"/>
      <c r="T59" s="39"/>
      <c r="U59" s="38"/>
      <c r="V59" s="37"/>
      <c r="W59" s="36"/>
      <c r="X59" s="41"/>
      <c r="Y59" s="41"/>
      <c r="Z59" s="41"/>
      <c r="AA59" s="41"/>
      <c r="AB59" s="41"/>
      <c r="AC59" s="41"/>
      <c r="AD59" s="36"/>
      <c r="AE59" s="39"/>
      <c r="AF59" s="390"/>
      <c r="AG59" s="38"/>
      <c r="AH59" s="40"/>
      <c r="AI59" s="39"/>
      <c r="AJ59" s="38"/>
      <c r="AK59" s="37"/>
      <c r="AL59" s="36"/>
    </row>
    <row r="60" spans="1:38" s="2" customFormat="1">
      <c r="A60" s="35"/>
      <c r="B60" s="45" t="s">
        <v>4</v>
      </c>
      <c r="C60" s="44" t="s">
        <v>21</v>
      </c>
      <c r="D60" s="41" t="s">
        <v>66</v>
      </c>
      <c r="E60" s="174">
        <f>+'[2]3条収入'!E17</f>
        <v>0</v>
      </c>
      <c r="F60" s="165">
        <f>+雨汚収入!AV3</f>
        <v>0</v>
      </c>
      <c r="G60" s="412">
        <f>+雨汚収入!AW3</f>
        <v>0</v>
      </c>
      <c r="H60" s="164">
        <f>+雨汚収入!AX3</f>
        <v>0</v>
      </c>
      <c r="I60" s="40">
        <f t="shared" ref="I60:I65" si="48">+SUM(F60:H60)</f>
        <v>0</v>
      </c>
      <c r="J60" s="165">
        <f>+雨汚収入!AZ3</f>
        <v>0</v>
      </c>
      <c r="K60" s="164">
        <f>+雨汚収入!BA3</f>
        <v>0</v>
      </c>
      <c r="L60" s="37">
        <f t="shared" ref="L60:L65" si="49">+SUM(J60:K60)</f>
        <v>0</v>
      </c>
      <c r="M60" s="36">
        <f t="shared" ref="M60:M65" si="50">E60-SUM(I60,L60)</f>
        <v>0</v>
      </c>
      <c r="N60" s="41" t="s">
        <v>66</v>
      </c>
      <c r="O60" s="174">
        <f>+'[2]3条収入'!AI17</f>
        <v>0</v>
      </c>
      <c r="P60" s="165">
        <f>+雨汚収入!BF3</f>
        <v>0</v>
      </c>
      <c r="Q60" s="412">
        <f>+雨汚収入!BG3</f>
        <v>0</v>
      </c>
      <c r="R60" s="164">
        <f>+雨汚収入!BH3</f>
        <v>0</v>
      </c>
      <c r="S60" s="40">
        <f t="shared" ref="S60:S73" si="51">+SUM(P60:R60)</f>
        <v>0</v>
      </c>
      <c r="T60" s="165">
        <f>+雨汚収入!BJ3</f>
        <v>0</v>
      </c>
      <c r="U60" s="164">
        <f>+雨汚収入!BK3</f>
        <v>0</v>
      </c>
      <c r="V60" s="37">
        <f t="shared" si="43"/>
        <v>0</v>
      </c>
      <c r="W60" s="36">
        <f t="shared" ref="W60:W73" si="52">O60-SUM(S60,V60)</f>
        <v>0</v>
      </c>
      <c r="X60" s="41" t="s">
        <v>66</v>
      </c>
      <c r="Y60" s="41"/>
      <c r="Z60" s="41"/>
      <c r="AA60" s="41"/>
      <c r="AB60" s="41"/>
      <c r="AC60" s="41"/>
      <c r="AD60" s="36">
        <f t="shared" ref="AD60:AG65" si="53">+O60</f>
        <v>0</v>
      </c>
      <c r="AE60" s="39">
        <f t="shared" si="53"/>
        <v>0</v>
      </c>
      <c r="AF60" s="390">
        <f t="shared" si="53"/>
        <v>0</v>
      </c>
      <c r="AG60" s="38">
        <f t="shared" si="53"/>
        <v>0</v>
      </c>
      <c r="AH60" s="40">
        <f t="shared" si="45"/>
        <v>0</v>
      </c>
      <c r="AI60" s="39">
        <f t="shared" ref="AI60:AJ65" si="54">+T60</f>
        <v>0</v>
      </c>
      <c r="AJ60" s="38">
        <f t="shared" si="54"/>
        <v>0</v>
      </c>
      <c r="AK60" s="37">
        <f t="shared" si="46"/>
        <v>0</v>
      </c>
      <c r="AL60" s="36">
        <f t="shared" si="47"/>
        <v>0</v>
      </c>
    </row>
    <row r="61" spans="1:38" s="2" customFormat="1">
      <c r="A61" s="35"/>
      <c r="B61" s="45" t="s">
        <v>4</v>
      </c>
      <c r="C61" s="44" t="s">
        <v>21</v>
      </c>
      <c r="D61" s="41" t="s">
        <v>68</v>
      </c>
      <c r="E61" s="174">
        <f>+'[2]3条収入'!E20</f>
        <v>187826166</v>
      </c>
      <c r="F61" s="165">
        <f>+雨汚収入!AV4</f>
        <v>0</v>
      </c>
      <c r="G61" s="412">
        <f>+雨汚収入!AW4</f>
        <v>0</v>
      </c>
      <c r="H61" s="171">
        <f>+雨汚収入!AX4</f>
        <v>37753060</v>
      </c>
      <c r="I61" s="40">
        <f t="shared" si="48"/>
        <v>37753060</v>
      </c>
      <c r="J61" s="165">
        <f>+雨汚収入!AZ4</f>
        <v>0</v>
      </c>
      <c r="K61" s="164">
        <f>+雨汚収入!BA4</f>
        <v>150073106</v>
      </c>
      <c r="L61" s="37">
        <f t="shared" si="49"/>
        <v>150073106</v>
      </c>
      <c r="M61" s="36">
        <f t="shared" si="50"/>
        <v>0</v>
      </c>
      <c r="N61" s="41" t="s">
        <v>68</v>
      </c>
      <c r="O61" s="174">
        <f>+'[2]3条収入'!AI20</f>
        <v>170751060</v>
      </c>
      <c r="P61" s="165">
        <f>+雨汚収入!BF4</f>
        <v>0</v>
      </c>
      <c r="Q61" s="412">
        <f>+雨汚収入!BG4</f>
        <v>0</v>
      </c>
      <c r="R61" s="171">
        <f>+雨汚収入!BH4</f>
        <v>34320964</v>
      </c>
      <c r="S61" s="40">
        <f t="shared" si="51"/>
        <v>34320964</v>
      </c>
      <c r="T61" s="165">
        <f>+雨汚収入!BJ4</f>
        <v>0</v>
      </c>
      <c r="U61" s="164">
        <f>+雨汚収入!BK4</f>
        <v>136430096</v>
      </c>
      <c r="V61" s="37">
        <f t="shared" si="43"/>
        <v>136430096</v>
      </c>
      <c r="W61" s="36">
        <f t="shared" si="52"/>
        <v>0</v>
      </c>
      <c r="X61" s="41" t="s">
        <v>68</v>
      </c>
      <c r="Y61" s="41"/>
      <c r="Z61" s="41"/>
      <c r="AA61" s="41"/>
      <c r="AB61" s="41"/>
      <c r="AC61" s="41"/>
      <c r="AD61" s="36">
        <f t="shared" si="53"/>
        <v>170751060</v>
      </c>
      <c r="AE61" s="39">
        <f t="shared" si="53"/>
        <v>0</v>
      </c>
      <c r="AF61" s="390">
        <f t="shared" si="53"/>
        <v>0</v>
      </c>
      <c r="AG61" s="54">
        <f t="shared" si="53"/>
        <v>34320964</v>
      </c>
      <c r="AH61" s="40">
        <f t="shared" si="45"/>
        <v>34320964</v>
      </c>
      <c r="AI61" s="39">
        <f t="shared" si="54"/>
        <v>0</v>
      </c>
      <c r="AJ61" s="38">
        <f t="shared" si="54"/>
        <v>136430096</v>
      </c>
      <c r="AK61" s="37">
        <f t="shared" si="46"/>
        <v>136430096</v>
      </c>
      <c r="AL61" s="36">
        <f t="shared" si="47"/>
        <v>0</v>
      </c>
    </row>
    <row r="62" spans="1:38" s="2" customFormat="1">
      <c r="A62" s="35"/>
      <c r="B62" s="45" t="s">
        <v>4</v>
      </c>
      <c r="C62" s="44" t="s">
        <v>21</v>
      </c>
      <c r="D62" s="41" t="s">
        <v>73</v>
      </c>
      <c r="E62" s="174">
        <f>+'[2]3条収入'!E21</f>
        <v>1409733</v>
      </c>
      <c r="F62" s="165">
        <f>+雨汚収入!AV5</f>
        <v>902422</v>
      </c>
      <c r="G62" s="412">
        <f>+雨汚収入!AW5</f>
        <v>507311</v>
      </c>
      <c r="H62" s="164">
        <f>+雨汚収入!AX5</f>
        <v>0</v>
      </c>
      <c r="I62" s="40">
        <f t="shared" si="48"/>
        <v>1409733</v>
      </c>
      <c r="J62" s="165">
        <f>+雨汚収入!AZ5</f>
        <v>0</v>
      </c>
      <c r="K62" s="164">
        <f>+雨汚収入!BA5</f>
        <v>0</v>
      </c>
      <c r="L62" s="37">
        <f t="shared" si="49"/>
        <v>0</v>
      </c>
      <c r="M62" s="36">
        <f t="shared" si="50"/>
        <v>0</v>
      </c>
      <c r="N62" s="41" t="s">
        <v>73</v>
      </c>
      <c r="O62" s="174">
        <f>+'[2]3条収入'!AI21</f>
        <v>1281576</v>
      </c>
      <c r="P62" s="165">
        <f>+雨汚収入!BF5</f>
        <v>820384</v>
      </c>
      <c r="Q62" s="412">
        <f>+雨汚収入!BG5</f>
        <v>461192</v>
      </c>
      <c r="R62" s="164">
        <f>+雨汚収入!BH5</f>
        <v>0</v>
      </c>
      <c r="S62" s="40">
        <f t="shared" si="51"/>
        <v>1281576</v>
      </c>
      <c r="T62" s="165">
        <f>+雨汚収入!BJ5</f>
        <v>0</v>
      </c>
      <c r="U62" s="164">
        <f>+雨汚収入!BK5</f>
        <v>0</v>
      </c>
      <c r="V62" s="37">
        <f t="shared" si="43"/>
        <v>0</v>
      </c>
      <c r="W62" s="36">
        <f t="shared" si="52"/>
        <v>0</v>
      </c>
      <c r="X62" s="41" t="s">
        <v>73</v>
      </c>
      <c r="Y62" s="41"/>
      <c r="Z62" s="41"/>
      <c r="AA62" s="41"/>
      <c r="AB62" s="41"/>
      <c r="AC62" s="41"/>
      <c r="AD62" s="36">
        <f t="shared" si="53"/>
        <v>1281576</v>
      </c>
      <c r="AE62" s="39">
        <f t="shared" si="53"/>
        <v>820384</v>
      </c>
      <c r="AF62" s="390">
        <f t="shared" si="53"/>
        <v>461192</v>
      </c>
      <c r="AG62" s="38">
        <f t="shared" si="53"/>
        <v>0</v>
      </c>
      <c r="AH62" s="40">
        <f t="shared" si="45"/>
        <v>1281576</v>
      </c>
      <c r="AI62" s="39">
        <f t="shared" si="54"/>
        <v>0</v>
      </c>
      <c r="AJ62" s="38">
        <f t="shared" si="54"/>
        <v>0</v>
      </c>
      <c r="AK62" s="37">
        <f t="shared" si="46"/>
        <v>0</v>
      </c>
      <c r="AL62" s="36">
        <f t="shared" si="47"/>
        <v>0</v>
      </c>
    </row>
    <row r="63" spans="1:38" s="2" customFormat="1">
      <c r="A63" s="35"/>
      <c r="B63" s="45" t="s">
        <v>4</v>
      </c>
      <c r="C63" s="44" t="s">
        <v>21</v>
      </c>
      <c r="D63" s="85" t="s">
        <v>76</v>
      </c>
      <c r="E63" s="437">
        <f>+'[2]3条収入'!E23</f>
        <v>71970</v>
      </c>
      <c r="F63" s="438">
        <f>+雨汚収入!AV6</f>
        <v>32943</v>
      </c>
      <c r="G63" s="439">
        <f>+雨汚収入!AW6</f>
        <v>0</v>
      </c>
      <c r="H63" s="440">
        <f>+雨汚収入!AX6</f>
        <v>0</v>
      </c>
      <c r="I63" s="183">
        <f t="shared" si="48"/>
        <v>32943</v>
      </c>
      <c r="J63" s="438">
        <f>+雨汚収入!AZ6</f>
        <v>0</v>
      </c>
      <c r="K63" s="441">
        <f>+雨汚収入!BA6</f>
        <v>39027</v>
      </c>
      <c r="L63" s="180">
        <f t="shared" si="49"/>
        <v>39027</v>
      </c>
      <c r="M63" s="84">
        <f t="shared" si="50"/>
        <v>0</v>
      </c>
      <c r="N63" s="85" t="s">
        <v>76</v>
      </c>
      <c r="O63" s="437">
        <f>+'[2]3条収入'!AI23</f>
        <v>71970</v>
      </c>
      <c r="P63" s="438">
        <f>+雨汚収入!BF6</f>
        <v>32943</v>
      </c>
      <c r="Q63" s="439">
        <f>+雨汚収入!BG6</f>
        <v>0</v>
      </c>
      <c r="R63" s="440">
        <f>+雨汚収入!BH6</f>
        <v>0</v>
      </c>
      <c r="S63" s="183">
        <f t="shared" si="51"/>
        <v>32943</v>
      </c>
      <c r="T63" s="438">
        <f>+雨汚収入!BJ6</f>
        <v>0</v>
      </c>
      <c r="U63" s="441">
        <f>+雨汚収入!BK6</f>
        <v>39027</v>
      </c>
      <c r="V63" s="180">
        <f t="shared" si="43"/>
        <v>39027</v>
      </c>
      <c r="W63" s="84">
        <f t="shared" si="52"/>
        <v>0</v>
      </c>
      <c r="X63" s="41" t="s">
        <v>76</v>
      </c>
      <c r="Y63" s="41"/>
      <c r="Z63" s="41"/>
      <c r="AA63" s="41"/>
      <c r="AB63" s="41"/>
      <c r="AC63" s="41"/>
      <c r="AD63" s="36">
        <f t="shared" si="53"/>
        <v>71970</v>
      </c>
      <c r="AE63" s="39">
        <f t="shared" si="53"/>
        <v>32943</v>
      </c>
      <c r="AF63" s="390">
        <f t="shared" si="53"/>
        <v>0</v>
      </c>
      <c r="AG63" s="38">
        <f t="shared" si="53"/>
        <v>0</v>
      </c>
      <c r="AH63" s="40">
        <f t="shared" si="45"/>
        <v>32943</v>
      </c>
      <c r="AI63" s="39">
        <f t="shared" si="54"/>
        <v>0</v>
      </c>
      <c r="AJ63" s="38">
        <f t="shared" si="54"/>
        <v>39027</v>
      </c>
      <c r="AK63" s="37">
        <f t="shared" si="46"/>
        <v>39027</v>
      </c>
      <c r="AL63" s="36">
        <f t="shared" si="47"/>
        <v>0</v>
      </c>
    </row>
    <row r="64" spans="1:38" s="2" customFormat="1">
      <c r="A64" s="35"/>
      <c r="B64" s="45" t="s">
        <v>4</v>
      </c>
      <c r="C64" s="44" t="s">
        <v>21</v>
      </c>
      <c r="D64" s="41" t="s">
        <v>64</v>
      </c>
      <c r="E64" s="174">
        <f>+'[2]3条収入'!E24</f>
        <v>539000</v>
      </c>
      <c r="F64" s="165">
        <f>+雨汚収入!AV7</f>
        <v>0</v>
      </c>
      <c r="G64" s="412">
        <f>+雨汚収入!AW7</f>
        <v>0</v>
      </c>
      <c r="H64" s="164">
        <f>+雨汚収入!AX7</f>
        <v>0</v>
      </c>
      <c r="I64" s="40">
        <f t="shared" si="48"/>
        <v>0</v>
      </c>
      <c r="J64" s="165">
        <f>+雨汚収入!AZ7</f>
        <v>269500</v>
      </c>
      <c r="K64" s="164">
        <f>+雨汚収入!BA7</f>
        <v>269500</v>
      </c>
      <c r="L64" s="37">
        <f t="shared" si="49"/>
        <v>539000</v>
      </c>
      <c r="M64" s="36">
        <f t="shared" si="50"/>
        <v>0</v>
      </c>
      <c r="N64" s="41" t="s">
        <v>64</v>
      </c>
      <c r="O64" s="174">
        <f>+'[2]3条収入'!AI24</f>
        <v>539000</v>
      </c>
      <c r="P64" s="165">
        <f>+雨汚収入!BF7</f>
        <v>0</v>
      </c>
      <c r="Q64" s="412">
        <f>+雨汚収入!BG7</f>
        <v>0</v>
      </c>
      <c r="R64" s="164">
        <f>+雨汚収入!BH7</f>
        <v>0</v>
      </c>
      <c r="S64" s="40">
        <f t="shared" si="51"/>
        <v>0</v>
      </c>
      <c r="T64" s="165">
        <f>+雨汚収入!BJ7</f>
        <v>269500</v>
      </c>
      <c r="U64" s="164">
        <f>+雨汚収入!BK7</f>
        <v>269500</v>
      </c>
      <c r="V64" s="37">
        <f t="shared" si="43"/>
        <v>539000</v>
      </c>
      <c r="W64" s="36">
        <f t="shared" si="52"/>
        <v>0</v>
      </c>
      <c r="X64" s="41" t="s">
        <v>64</v>
      </c>
      <c r="Y64" s="41"/>
      <c r="Z64" s="41"/>
      <c r="AA64" s="41"/>
      <c r="AB64" s="41"/>
      <c r="AC64" s="41"/>
      <c r="AD64" s="36">
        <f t="shared" si="53"/>
        <v>539000</v>
      </c>
      <c r="AE64" s="39">
        <f t="shared" si="53"/>
        <v>0</v>
      </c>
      <c r="AF64" s="390">
        <f t="shared" si="53"/>
        <v>0</v>
      </c>
      <c r="AG64" s="38">
        <f t="shared" si="53"/>
        <v>0</v>
      </c>
      <c r="AH64" s="40">
        <f t="shared" si="45"/>
        <v>0</v>
      </c>
      <c r="AI64" s="39">
        <f t="shared" si="54"/>
        <v>269500</v>
      </c>
      <c r="AJ64" s="38">
        <f t="shared" si="54"/>
        <v>269500</v>
      </c>
      <c r="AK64" s="37">
        <f t="shared" si="46"/>
        <v>539000</v>
      </c>
      <c r="AL64" s="36">
        <f t="shared" si="47"/>
        <v>0</v>
      </c>
    </row>
    <row r="65" spans="1:38" s="2" customFormat="1">
      <c r="A65" s="35"/>
      <c r="B65" s="45" t="s">
        <v>4</v>
      </c>
      <c r="C65" s="44" t="s">
        <v>21</v>
      </c>
      <c r="D65" s="41" t="s">
        <v>37</v>
      </c>
      <c r="E65" s="174">
        <f>+'[2]3条収入'!E26</f>
        <v>0</v>
      </c>
      <c r="F65" s="165">
        <f>+雨汚収入!AV8</f>
        <v>0</v>
      </c>
      <c r="G65" s="412">
        <f>+雨汚収入!AW8</f>
        <v>0</v>
      </c>
      <c r="H65" s="164">
        <f>+雨汚収入!AX8</f>
        <v>0</v>
      </c>
      <c r="I65" s="40">
        <f t="shared" si="48"/>
        <v>0</v>
      </c>
      <c r="J65" s="165">
        <f>+雨汚収入!AZ8</f>
        <v>0</v>
      </c>
      <c r="K65" s="164">
        <f>+雨汚収入!BA8</f>
        <v>0</v>
      </c>
      <c r="L65" s="37">
        <f t="shared" si="49"/>
        <v>0</v>
      </c>
      <c r="M65" s="36">
        <f t="shared" si="50"/>
        <v>0</v>
      </c>
      <c r="N65" s="41" t="s">
        <v>37</v>
      </c>
      <c r="O65" s="174">
        <f>+'[2]3条収入'!AI26</f>
        <v>0</v>
      </c>
      <c r="P65" s="165">
        <f>+雨汚収入!BF8</f>
        <v>0</v>
      </c>
      <c r="Q65" s="412">
        <f>+雨汚収入!BG8</f>
        <v>0</v>
      </c>
      <c r="R65" s="164">
        <f>+雨汚収入!BH8</f>
        <v>0</v>
      </c>
      <c r="S65" s="40">
        <f t="shared" si="51"/>
        <v>0</v>
      </c>
      <c r="T65" s="165">
        <f>+雨汚収入!BJ8</f>
        <v>0</v>
      </c>
      <c r="U65" s="164">
        <f>+雨汚収入!BK8</f>
        <v>0</v>
      </c>
      <c r="V65" s="68">
        <f t="shared" si="43"/>
        <v>0</v>
      </c>
      <c r="W65" s="36">
        <f t="shared" si="52"/>
        <v>0</v>
      </c>
      <c r="X65" s="41" t="s">
        <v>37</v>
      </c>
      <c r="Y65" s="41"/>
      <c r="Z65" s="41"/>
      <c r="AA65" s="41"/>
      <c r="AB65" s="41"/>
      <c r="AC65" s="41"/>
      <c r="AD65" s="36">
        <f t="shared" si="53"/>
        <v>0</v>
      </c>
      <c r="AE65" s="39">
        <f t="shared" si="53"/>
        <v>0</v>
      </c>
      <c r="AF65" s="390">
        <f t="shared" si="53"/>
        <v>0</v>
      </c>
      <c r="AG65" s="38">
        <f t="shared" si="53"/>
        <v>0</v>
      </c>
      <c r="AH65" s="40">
        <f t="shared" si="45"/>
        <v>0</v>
      </c>
      <c r="AI65" s="39">
        <f t="shared" si="54"/>
        <v>0</v>
      </c>
      <c r="AJ65" s="38">
        <f t="shared" si="54"/>
        <v>0</v>
      </c>
      <c r="AK65" s="37">
        <f>+SUM(AI65:AJ65)</f>
        <v>0</v>
      </c>
      <c r="AL65" s="36">
        <f t="shared" si="47"/>
        <v>0</v>
      </c>
    </row>
    <row r="66" spans="1:38" s="2" customFormat="1">
      <c r="A66" s="35"/>
      <c r="B66" s="45"/>
      <c r="C66" s="44"/>
      <c r="D66" s="67"/>
      <c r="E66" s="177"/>
      <c r="F66" s="175"/>
      <c r="G66" s="413"/>
      <c r="H66" s="176"/>
      <c r="I66" s="73"/>
      <c r="J66" s="175"/>
      <c r="K66" s="176"/>
      <c r="L66" s="68"/>
      <c r="M66" s="36"/>
      <c r="N66" s="67"/>
      <c r="O66" s="177"/>
      <c r="P66" s="175"/>
      <c r="Q66" s="413"/>
      <c r="R66" s="54"/>
      <c r="S66" s="73"/>
      <c r="T66" s="175"/>
      <c r="U66" s="54"/>
      <c r="V66" s="68"/>
      <c r="W66" s="36"/>
      <c r="X66" s="67"/>
      <c r="Y66" s="67"/>
      <c r="Z66" s="67"/>
      <c r="AA66" s="67"/>
      <c r="AB66" s="67"/>
      <c r="AC66" s="67"/>
      <c r="AD66" s="67"/>
      <c r="AE66" s="69"/>
      <c r="AF66" s="391"/>
      <c r="AG66" s="54"/>
      <c r="AH66" s="40"/>
      <c r="AI66" s="69"/>
      <c r="AJ66" s="54"/>
      <c r="AK66" s="37"/>
      <c r="AL66" s="36"/>
    </row>
    <row r="67" spans="1:38" s="2" customFormat="1">
      <c r="A67" s="35"/>
      <c r="B67" s="45"/>
      <c r="C67" s="44"/>
      <c r="D67" s="67"/>
      <c r="E67" s="177"/>
      <c r="F67" s="175"/>
      <c r="G67" s="413"/>
      <c r="H67" s="176"/>
      <c r="I67" s="73"/>
      <c r="J67" s="175"/>
      <c r="K67" s="176"/>
      <c r="L67" s="68"/>
      <c r="M67" s="36"/>
      <c r="N67" s="67"/>
      <c r="O67" s="177"/>
      <c r="P67" s="175"/>
      <c r="Q67" s="413"/>
      <c r="R67" s="54"/>
      <c r="S67" s="73"/>
      <c r="T67" s="175"/>
      <c r="U67" s="54"/>
      <c r="V67" s="68"/>
      <c r="W67" s="36"/>
      <c r="X67" s="67"/>
      <c r="Y67" s="67"/>
      <c r="Z67" s="67"/>
      <c r="AA67" s="67"/>
      <c r="AB67" s="67"/>
      <c r="AC67" s="67"/>
      <c r="AD67" s="67"/>
      <c r="AE67" s="69"/>
      <c r="AF67" s="391"/>
      <c r="AG67" s="54"/>
      <c r="AH67" s="40"/>
      <c r="AI67" s="69"/>
      <c r="AJ67" s="54"/>
      <c r="AK67" s="37"/>
      <c r="AL67" s="36"/>
    </row>
    <row r="68" spans="1:38" s="2" customFormat="1">
      <c r="A68" s="35"/>
      <c r="B68" s="45" t="s">
        <v>4</v>
      </c>
      <c r="C68" s="44" t="s">
        <v>14</v>
      </c>
      <c r="D68" s="41" t="s">
        <v>42</v>
      </c>
      <c r="E68" s="174">
        <f>+'[2]3条収入'!E29</f>
        <v>88770</v>
      </c>
      <c r="F68" s="165">
        <f>+雨汚収入!AV9</f>
        <v>44385</v>
      </c>
      <c r="G68" s="412">
        <f>+雨汚収入!AW9</f>
        <v>0</v>
      </c>
      <c r="H68" s="164">
        <f>+雨汚収入!AX9</f>
        <v>0</v>
      </c>
      <c r="I68" s="40">
        <f t="shared" ref="I68:I77" si="55">+SUM(F68:H68)</f>
        <v>44385</v>
      </c>
      <c r="J68" s="165">
        <f>+雨汚収入!AZ9</f>
        <v>0</v>
      </c>
      <c r="K68" s="164">
        <f>+雨汚収入!BA9</f>
        <v>44385</v>
      </c>
      <c r="L68" s="37">
        <f>+SUM(J68:K68)</f>
        <v>44385</v>
      </c>
      <c r="M68" s="36">
        <f t="shared" ref="M68:M77" si="56">E68-SUM(I68,L68)</f>
        <v>0</v>
      </c>
      <c r="N68" s="41" t="s">
        <v>42</v>
      </c>
      <c r="O68" s="174">
        <f>+'[2]3条収入'!AI29</f>
        <v>88770</v>
      </c>
      <c r="P68" s="165">
        <f>+雨汚収入!BF9</f>
        <v>44385</v>
      </c>
      <c r="Q68" s="412">
        <f>+雨汚収入!BG9</f>
        <v>0</v>
      </c>
      <c r="R68" s="164">
        <f>+雨汚収入!BH9</f>
        <v>0</v>
      </c>
      <c r="S68" s="40">
        <f t="shared" si="51"/>
        <v>44385</v>
      </c>
      <c r="T68" s="165">
        <f>+雨汚収入!BJ9</f>
        <v>0</v>
      </c>
      <c r="U68" s="164">
        <f>+雨汚収入!BK9</f>
        <v>44385</v>
      </c>
      <c r="V68" s="37">
        <f t="shared" si="43"/>
        <v>44385</v>
      </c>
      <c r="W68" s="36">
        <f t="shared" si="52"/>
        <v>0</v>
      </c>
      <c r="X68" s="67" t="s">
        <v>42</v>
      </c>
      <c r="Y68" s="67"/>
      <c r="Z68" s="67"/>
      <c r="AA68" s="67"/>
      <c r="AB68" s="67"/>
      <c r="AC68" s="67"/>
      <c r="AD68" s="67">
        <f t="shared" ref="AD68:AG76" si="57">+O68</f>
        <v>88770</v>
      </c>
      <c r="AE68" s="69">
        <f t="shared" si="57"/>
        <v>44385</v>
      </c>
      <c r="AF68" s="391">
        <f t="shared" si="57"/>
        <v>0</v>
      </c>
      <c r="AG68" s="54">
        <f t="shared" si="57"/>
        <v>0</v>
      </c>
      <c r="AH68" s="40">
        <f t="shared" si="45"/>
        <v>44385</v>
      </c>
      <c r="AI68" s="69">
        <f t="shared" ref="AI68:AJ76" si="58">+T68</f>
        <v>0</v>
      </c>
      <c r="AJ68" s="54">
        <f t="shared" si="58"/>
        <v>44385</v>
      </c>
      <c r="AK68" s="37">
        <f t="shared" si="46"/>
        <v>44385</v>
      </c>
      <c r="AL68" s="36">
        <f t="shared" si="47"/>
        <v>0</v>
      </c>
    </row>
    <row r="69" spans="1:38" s="2" customFormat="1">
      <c r="A69" s="35"/>
      <c r="B69" s="45" t="s">
        <v>4</v>
      </c>
      <c r="C69" s="44" t="s">
        <v>14</v>
      </c>
      <c r="D69" s="41" t="s">
        <v>48</v>
      </c>
      <c r="E69" s="174">
        <f>+'[2]3条収入'!E34</f>
        <v>0</v>
      </c>
      <c r="F69" s="165">
        <f>+雨汚収入!AV10</f>
        <v>0</v>
      </c>
      <c r="G69" s="412">
        <f>+雨汚収入!AW10</f>
        <v>0</v>
      </c>
      <c r="H69" s="164">
        <f>+雨汚収入!AX10</f>
        <v>0</v>
      </c>
      <c r="I69" s="40">
        <f t="shared" si="55"/>
        <v>0</v>
      </c>
      <c r="J69" s="165">
        <f>+雨汚収入!AZ10</f>
        <v>0</v>
      </c>
      <c r="K69" s="164">
        <f>+雨汚収入!BA10</f>
        <v>0</v>
      </c>
      <c r="L69" s="37">
        <f>+SUM(J69:K69)</f>
        <v>0</v>
      </c>
      <c r="M69" s="36">
        <f t="shared" si="56"/>
        <v>0</v>
      </c>
      <c r="N69" s="41" t="s">
        <v>48</v>
      </c>
      <c r="O69" s="174">
        <f>+'[2]3条収入'!AI34</f>
        <v>0</v>
      </c>
      <c r="P69" s="165">
        <f>+雨汚収入!BF10</f>
        <v>0</v>
      </c>
      <c r="Q69" s="412">
        <f>+雨汚収入!BG10</f>
        <v>0</v>
      </c>
      <c r="R69" s="164">
        <f>+雨汚収入!BH10</f>
        <v>0</v>
      </c>
      <c r="S69" s="40">
        <f t="shared" ref="S69" si="59">+SUM(P69:R69)</f>
        <v>0</v>
      </c>
      <c r="T69" s="165">
        <f>+雨汚収入!BJ10</f>
        <v>0</v>
      </c>
      <c r="U69" s="164">
        <f>+雨汚収入!BK10</f>
        <v>0</v>
      </c>
      <c r="V69" s="37">
        <f t="shared" si="43"/>
        <v>0</v>
      </c>
      <c r="W69" s="36">
        <f t="shared" si="52"/>
        <v>0</v>
      </c>
      <c r="X69" s="41" t="s">
        <v>48</v>
      </c>
      <c r="Y69" s="41"/>
      <c r="Z69" s="41"/>
      <c r="AA69" s="41"/>
      <c r="AB69" s="41"/>
      <c r="AC69" s="41"/>
      <c r="AD69" s="36">
        <f t="shared" si="57"/>
        <v>0</v>
      </c>
      <c r="AE69" s="39">
        <f t="shared" si="57"/>
        <v>0</v>
      </c>
      <c r="AF69" s="390">
        <f t="shared" si="57"/>
        <v>0</v>
      </c>
      <c r="AG69" s="38">
        <f t="shared" si="57"/>
        <v>0</v>
      </c>
      <c r="AH69" s="40">
        <f t="shared" si="45"/>
        <v>0</v>
      </c>
      <c r="AI69" s="39">
        <f t="shared" si="58"/>
        <v>0</v>
      </c>
      <c r="AJ69" s="38">
        <f t="shared" si="58"/>
        <v>0</v>
      </c>
      <c r="AK69" s="37">
        <f t="shared" si="46"/>
        <v>0</v>
      </c>
      <c r="AL69" s="36">
        <f t="shared" si="47"/>
        <v>0</v>
      </c>
    </row>
    <row r="70" spans="1:38" s="2" customFormat="1">
      <c r="A70" s="35"/>
      <c r="B70" s="45" t="s">
        <v>4</v>
      </c>
      <c r="C70" s="44" t="s">
        <v>14</v>
      </c>
      <c r="D70" s="41" t="s">
        <v>70</v>
      </c>
      <c r="E70" s="174">
        <f>+'[2]3条収入'!E40</f>
        <v>37016600</v>
      </c>
      <c r="F70" s="165">
        <f>+雨汚収入!AV11</f>
        <v>36785219</v>
      </c>
      <c r="G70" s="412">
        <f>+雨汚収入!AW11</f>
        <v>0</v>
      </c>
      <c r="H70" s="164">
        <f>+雨汚収入!AX11</f>
        <v>0</v>
      </c>
      <c r="I70" s="40">
        <f t="shared" si="55"/>
        <v>36785219</v>
      </c>
      <c r="J70" s="165">
        <f>+雨汚収入!AZ11</f>
        <v>0</v>
      </c>
      <c r="K70" s="164">
        <f>+雨汚収入!BA11</f>
        <v>231381</v>
      </c>
      <c r="L70" s="37">
        <f>+SUM(J70:K70)</f>
        <v>231381</v>
      </c>
      <c r="M70" s="36">
        <f t="shared" si="56"/>
        <v>0</v>
      </c>
      <c r="N70" s="41" t="s">
        <v>70</v>
      </c>
      <c r="O70" s="174">
        <f>+'[2]3条収入'!AI40</f>
        <v>33651455</v>
      </c>
      <c r="P70" s="165">
        <f>+雨汚収入!BF11</f>
        <v>33441108</v>
      </c>
      <c r="Q70" s="412">
        <f>+雨汚収入!BG11</f>
        <v>0</v>
      </c>
      <c r="R70" s="164">
        <f>+雨汚収入!BH11</f>
        <v>0</v>
      </c>
      <c r="S70" s="40">
        <f t="shared" si="51"/>
        <v>33441108</v>
      </c>
      <c r="T70" s="165">
        <f>+雨汚収入!BJ11</f>
        <v>0</v>
      </c>
      <c r="U70" s="164">
        <f>+雨汚収入!BK11</f>
        <v>210347</v>
      </c>
      <c r="V70" s="37">
        <f t="shared" si="43"/>
        <v>210347</v>
      </c>
      <c r="W70" s="36">
        <f t="shared" si="52"/>
        <v>0</v>
      </c>
      <c r="X70" s="41" t="s">
        <v>70</v>
      </c>
      <c r="Y70" s="41"/>
      <c r="Z70" s="41"/>
      <c r="AA70" s="41"/>
      <c r="AB70" s="41"/>
      <c r="AC70" s="41"/>
      <c r="AD70" s="36">
        <f t="shared" si="57"/>
        <v>33651455</v>
      </c>
      <c r="AE70" s="39">
        <f t="shared" si="57"/>
        <v>33441108</v>
      </c>
      <c r="AF70" s="390">
        <f t="shared" si="57"/>
        <v>0</v>
      </c>
      <c r="AG70" s="38">
        <f t="shared" si="57"/>
        <v>0</v>
      </c>
      <c r="AH70" s="40">
        <f t="shared" si="45"/>
        <v>33441108</v>
      </c>
      <c r="AI70" s="39">
        <f t="shared" si="58"/>
        <v>0</v>
      </c>
      <c r="AJ70" s="38">
        <f t="shared" si="58"/>
        <v>210347</v>
      </c>
      <c r="AK70" s="37">
        <f t="shared" si="46"/>
        <v>210347</v>
      </c>
      <c r="AL70" s="36">
        <f t="shared" si="47"/>
        <v>0</v>
      </c>
    </row>
    <row r="71" spans="1:38" s="2" customFormat="1">
      <c r="A71" s="35"/>
      <c r="B71" s="45" t="s">
        <v>4</v>
      </c>
      <c r="C71" s="44"/>
      <c r="D71" s="41"/>
      <c r="E71" s="36"/>
      <c r="F71" s="39"/>
      <c r="G71" s="390"/>
      <c r="H71" s="38"/>
      <c r="I71" s="40">
        <f t="shared" si="55"/>
        <v>0</v>
      </c>
      <c r="J71" s="39"/>
      <c r="K71" s="38"/>
      <c r="L71" s="37"/>
      <c r="M71" s="36">
        <f t="shared" si="56"/>
        <v>0</v>
      </c>
      <c r="N71" s="41"/>
      <c r="O71" s="36"/>
      <c r="P71" s="39">
        <f t="shared" ref="P71:R72" si="60">+IFERROR(ROUND(F71*$O71/$E71,0),0)</f>
        <v>0</v>
      </c>
      <c r="Q71" s="390">
        <f t="shared" si="60"/>
        <v>0</v>
      </c>
      <c r="R71" s="38">
        <f t="shared" si="60"/>
        <v>0</v>
      </c>
      <c r="S71" s="40">
        <f t="shared" si="51"/>
        <v>0</v>
      </c>
      <c r="T71" s="39">
        <f>+IFERROR(ROUND(J71*$O71/$E71,0),0)</f>
        <v>0</v>
      </c>
      <c r="U71" s="38">
        <f t="shared" ref="U71:U72" si="61">+O71-S71-T71</f>
        <v>0</v>
      </c>
      <c r="V71" s="37">
        <f t="shared" si="43"/>
        <v>0</v>
      </c>
      <c r="W71" s="36">
        <f t="shared" si="52"/>
        <v>0</v>
      </c>
      <c r="X71" s="41"/>
      <c r="Y71" s="41"/>
      <c r="Z71" s="41"/>
      <c r="AA71" s="41"/>
      <c r="AB71" s="41"/>
      <c r="AC71" s="41"/>
      <c r="AD71" s="67">
        <f t="shared" si="57"/>
        <v>0</v>
      </c>
      <c r="AE71" s="69">
        <f t="shared" si="57"/>
        <v>0</v>
      </c>
      <c r="AF71" s="391">
        <f t="shared" si="57"/>
        <v>0</v>
      </c>
      <c r="AG71" s="54">
        <f t="shared" si="57"/>
        <v>0</v>
      </c>
      <c r="AH71" s="40">
        <f t="shared" si="45"/>
        <v>0</v>
      </c>
      <c r="AI71" s="69">
        <f t="shared" si="58"/>
        <v>0</v>
      </c>
      <c r="AJ71" s="54">
        <f t="shared" si="58"/>
        <v>0</v>
      </c>
      <c r="AK71" s="37">
        <f t="shared" si="46"/>
        <v>0</v>
      </c>
      <c r="AL71" s="36">
        <f t="shared" si="47"/>
        <v>0</v>
      </c>
    </row>
    <row r="72" spans="1:38" s="2" customFormat="1">
      <c r="A72" s="35"/>
      <c r="B72" s="45" t="s">
        <v>4</v>
      </c>
      <c r="C72" s="44"/>
      <c r="D72" s="67"/>
      <c r="E72" s="177"/>
      <c r="F72" s="175"/>
      <c r="G72" s="413"/>
      <c r="H72" s="176"/>
      <c r="I72" s="73">
        <f t="shared" si="55"/>
        <v>0</v>
      </c>
      <c r="J72" s="175"/>
      <c r="K72" s="176"/>
      <c r="L72" s="68"/>
      <c r="M72" s="36">
        <f t="shared" si="56"/>
        <v>0</v>
      </c>
      <c r="N72" s="67"/>
      <c r="O72" s="177"/>
      <c r="P72" s="175">
        <f t="shared" si="60"/>
        <v>0</v>
      </c>
      <c r="Q72" s="413">
        <f t="shared" si="60"/>
        <v>0</v>
      </c>
      <c r="R72" s="54">
        <f t="shared" si="60"/>
        <v>0</v>
      </c>
      <c r="S72" s="73">
        <f t="shared" si="51"/>
        <v>0</v>
      </c>
      <c r="T72" s="175">
        <f>+IFERROR(ROUND(J72*$O72/$E72,0),0)</f>
        <v>0</v>
      </c>
      <c r="U72" s="54">
        <f t="shared" si="61"/>
        <v>0</v>
      </c>
      <c r="V72" s="68">
        <f t="shared" si="43"/>
        <v>0</v>
      </c>
      <c r="W72" s="36">
        <f t="shared" si="52"/>
        <v>0</v>
      </c>
      <c r="X72" s="41"/>
      <c r="Y72" s="41"/>
      <c r="Z72" s="41"/>
      <c r="AA72" s="41"/>
      <c r="AB72" s="41"/>
      <c r="AC72" s="41"/>
      <c r="AD72" s="36">
        <f t="shared" si="57"/>
        <v>0</v>
      </c>
      <c r="AE72" s="39">
        <f t="shared" si="57"/>
        <v>0</v>
      </c>
      <c r="AF72" s="390">
        <f t="shared" si="57"/>
        <v>0</v>
      </c>
      <c r="AG72" s="38">
        <f t="shared" si="57"/>
        <v>0</v>
      </c>
      <c r="AH72" s="423">
        <f t="shared" si="45"/>
        <v>0</v>
      </c>
      <c r="AI72" s="39">
        <f t="shared" si="58"/>
        <v>0</v>
      </c>
      <c r="AJ72" s="38">
        <f t="shared" si="58"/>
        <v>0</v>
      </c>
      <c r="AK72" s="52">
        <f t="shared" si="46"/>
        <v>0</v>
      </c>
      <c r="AL72" s="36">
        <f t="shared" si="47"/>
        <v>0</v>
      </c>
    </row>
    <row r="73" spans="1:38" s="2" customFormat="1">
      <c r="A73" s="35"/>
      <c r="B73" s="45" t="s">
        <v>4</v>
      </c>
      <c r="C73" s="44" t="s">
        <v>14</v>
      </c>
      <c r="D73" s="41" t="s">
        <v>36</v>
      </c>
      <c r="E73" s="174">
        <f>+'[2]3条収入'!E50</f>
        <v>0</v>
      </c>
      <c r="F73" s="165">
        <f>+雨汚収入!AV13</f>
        <v>0</v>
      </c>
      <c r="G73" s="412">
        <f>+雨汚収入!AW13</f>
        <v>0</v>
      </c>
      <c r="H73" s="164">
        <f>+雨汚収入!AX13</f>
        <v>0</v>
      </c>
      <c r="I73" s="40">
        <f t="shared" si="55"/>
        <v>0</v>
      </c>
      <c r="J73" s="165">
        <f>+雨汚収入!AZ13</f>
        <v>0</v>
      </c>
      <c r="K73" s="164">
        <f>+雨汚収入!BA13</f>
        <v>0</v>
      </c>
      <c r="L73" s="37">
        <f>+SUM(J73:K73)</f>
        <v>0</v>
      </c>
      <c r="M73" s="36">
        <f t="shared" si="56"/>
        <v>0</v>
      </c>
      <c r="N73" s="41" t="s">
        <v>36</v>
      </c>
      <c r="O73" s="174">
        <f>+'[2]3条収入'!AI50</f>
        <v>0</v>
      </c>
      <c r="P73" s="165">
        <f>+雨汚収入!BF13</f>
        <v>0</v>
      </c>
      <c r="Q73" s="412">
        <f>+雨汚収入!BG13</f>
        <v>0</v>
      </c>
      <c r="R73" s="164">
        <f>+雨汚収入!BH13</f>
        <v>0</v>
      </c>
      <c r="S73" s="40">
        <f t="shared" si="51"/>
        <v>0</v>
      </c>
      <c r="T73" s="165">
        <f>+雨汚収入!BJ13</f>
        <v>0</v>
      </c>
      <c r="U73" s="171">
        <f>+雨汚収入!BK13</f>
        <v>0</v>
      </c>
      <c r="V73" s="37">
        <f t="shared" si="43"/>
        <v>0</v>
      </c>
      <c r="W73" s="36">
        <f t="shared" si="52"/>
        <v>0</v>
      </c>
      <c r="X73" s="41" t="s">
        <v>36</v>
      </c>
      <c r="Y73" s="41"/>
      <c r="Z73" s="41"/>
      <c r="AA73" s="41"/>
      <c r="AB73" s="41"/>
      <c r="AC73" s="41"/>
      <c r="AD73" s="36">
        <f t="shared" si="57"/>
        <v>0</v>
      </c>
      <c r="AE73" s="39">
        <f t="shared" si="57"/>
        <v>0</v>
      </c>
      <c r="AF73" s="390">
        <f t="shared" si="57"/>
        <v>0</v>
      </c>
      <c r="AG73" s="38">
        <f t="shared" si="57"/>
        <v>0</v>
      </c>
      <c r="AH73" s="40">
        <f t="shared" si="45"/>
        <v>0</v>
      </c>
      <c r="AI73" s="39">
        <f t="shared" si="58"/>
        <v>0</v>
      </c>
      <c r="AJ73" s="38">
        <f t="shared" si="58"/>
        <v>0</v>
      </c>
      <c r="AK73" s="37">
        <f t="shared" si="46"/>
        <v>0</v>
      </c>
      <c r="AL73" s="36">
        <f t="shared" si="47"/>
        <v>0</v>
      </c>
    </row>
    <row r="74" spans="1:38" s="2" customFormat="1">
      <c r="A74" s="35"/>
      <c r="B74" s="45" t="s">
        <v>4</v>
      </c>
      <c r="C74" s="44" t="s">
        <v>14</v>
      </c>
      <c r="D74" s="41"/>
      <c r="E74" s="36"/>
      <c r="F74" s="39"/>
      <c r="G74" s="390"/>
      <c r="H74" s="38"/>
      <c r="I74" s="40">
        <f t="shared" si="55"/>
        <v>0</v>
      </c>
      <c r="J74" s="39"/>
      <c r="K74" s="38"/>
      <c r="L74" s="37">
        <f>+SUM(J74:K74)</f>
        <v>0</v>
      </c>
      <c r="M74" s="36">
        <f t="shared" si="56"/>
        <v>0</v>
      </c>
      <c r="N74" s="41"/>
      <c r="O74" s="36"/>
      <c r="P74" s="39">
        <f>+IFERROR(ROUND(F74*$O74/$E74,0),0)</f>
        <v>0</v>
      </c>
      <c r="Q74" s="390">
        <f>+IFERROR(ROUND(G74*$O74/$E74,0),0)</f>
        <v>0</v>
      </c>
      <c r="R74" s="38">
        <f>+IFERROR(ROUND(H74*$O74/$E74,0),0)</f>
        <v>0</v>
      </c>
      <c r="S74" s="40">
        <f t="shared" si="42"/>
        <v>0</v>
      </c>
      <c r="T74" s="39">
        <f>+IFERROR(ROUND(J74*$O74/$E74,0),0)</f>
        <v>0</v>
      </c>
      <c r="U74" s="38">
        <f>+O74-S74-T74</f>
        <v>0</v>
      </c>
      <c r="V74" s="37">
        <f t="shared" ref="V74:V95" si="62">+SUM(T74:U74)</f>
        <v>0</v>
      </c>
      <c r="W74" s="36">
        <f t="shared" si="44"/>
        <v>0</v>
      </c>
      <c r="X74" s="41"/>
      <c r="Y74" s="41"/>
      <c r="Z74" s="41"/>
      <c r="AA74" s="41"/>
      <c r="AB74" s="41"/>
      <c r="AC74" s="41"/>
      <c r="AD74" s="36">
        <f t="shared" si="57"/>
        <v>0</v>
      </c>
      <c r="AE74" s="39">
        <f t="shared" si="57"/>
        <v>0</v>
      </c>
      <c r="AF74" s="390">
        <f t="shared" si="57"/>
        <v>0</v>
      </c>
      <c r="AG74" s="38">
        <f t="shared" si="57"/>
        <v>0</v>
      </c>
      <c r="AH74" s="40">
        <f t="shared" si="45"/>
        <v>0</v>
      </c>
      <c r="AI74" s="39">
        <f t="shared" si="58"/>
        <v>0</v>
      </c>
      <c r="AJ74" s="38">
        <f t="shared" si="58"/>
        <v>0</v>
      </c>
      <c r="AK74" s="37">
        <f>+SUM(AI74:AJ74)</f>
        <v>0</v>
      </c>
      <c r="AL74" s="36">
        <f t="shared" si="47"/>
        <v>0</v>
      </c>
    </row>
    <row r="75" spans="1:38" s="2" customFormat="1">
      <c r="A75" s="35"/>
      <c r="B75" s="45" t="s">
        <v>117</v>
      </c>
      <c r="C75" s="44" t="s">
        <v>116</v>
      </c>
      <c r="D75" s="41" t="s">
        <v>356</v>
      </c>
      <c r="E75" s="174">
        <f>+'[2]3条収入'!E52</f>
        <v>408100</v>
      </c>
      <c r="F75" s="165">
        <f>+雨汚収入!AV14</f>
        <v>0</v>
      </c>
      <c r="G75" s="412">
        <f>+雨汚収入!AW14</f>
        <v>0</v>
      </c>
      <c r="H75" s="164">
        <f>+雨汚収入!AX14</f>
        <v>408100</v>
      </c>
      <c r="I75" s="40">
        <f t="shared" si="55"/>
        <v>408100</v>
      </c>
      <c r="J75" s="165">
        <f>+雨汚収入!AZ14</f>
        <v>0</v>
      </c>
      <c r="K75" s="164">
        <f>+雨汚収入!BA14</f>
        <v>0</v>
      </c>
      <c r="L75" s="37">
        <f>+SUM(J75:K75)</f>
        <v>0</v>
      </c>
      <c r="M75" s="36">
        <f t="shared" si="56"/>
        <v>0</v>
      </c>
      <c r="N75" s="41" t="s">
        <v>356</v>
      </c>
      <c r="O75" s="174">
        <f>+'[2]3条収入'!AI52</f>
        <v>371000</v>
      </c>
      <c r="P75" s="165">
        <f>+雨汚収入!BF14</f>
        <v>0</v>
      </c>
      <c r="Q75" s="412">
        <f>+雨汚収入!BG14</f>
        <v>0</v>
      </c>
      <c r="R75" s="164">
        <f>+雨汚収入!BH14</f>
        <v>371000</v>
      </c>
      <c r="S75" s="40">
        <f t="shared" si="42"/>
        <v>371000</v>
      </c>
      <c r="T75" s="165">
        <f>+雨汚収入!BJ14</f>
        <v>0</v>
      </c>
      <c r="U75" s="171">
        <f>+雨汚収入!BK14</f>
        <v>0</v>
      </c>
      <c r="V75" s="37">
        <f t="shared" ref="V75" si="63">+SUM(T75:U75)</f>
        <v>0</v>
      </c>
      <c r="W75" s="36">
        <f t="shared" si="44"/>
        <v>0</v>
      </c>
      <c r="X75" s="41" t="s">
        <v>356</v>
      </c>
      <c r="Y75" s="41"/>
      <c r="Z75" s="41"/>
      <c r="AA75" s="41"/>
      <c r="AB75" s="41"/>
      <c r="AC75" s="41"/>
      <c r="AD75" s="36">
        <f t="shared" si="57"/>
        <v>371000</v>
      </c>
      <c r="AE75" s="39">
        <f t="shared" si="57"/>
        <v>0</v>
      </c>
      <c r="AF75" s="390">
        <f t="shared" si="57"/>
        <v>0</v>
      </c>
      <c r="AG75" s="38">
        <f t="shared" si="57"/>
        <v>371000</v>
      </c>
      <c r="AH75" s="40">
        <f t="shared" si="45"/>
        <v>371000</v>
      </c>
      <c r="AI75" s="39">
        <f t="shared" si="58"/>
        <v>0</v>
      </c>
      <c r="AJ75" s="54">
        <f t="shared" si="58"/>
        <v>0</v>
      </c>
      <c r="AK75" s="37">
        <f t="shared" si="46"/>
        <v>0</v>
      </c>
      <c r="AL75" s="36">
        <f t="shared" si="47"/>
        <v>0</v>
      </c>
    </row>
    <row r="76" spans="1:38" s="2" customFormat="1">
      <c r="A76" s="35"/>
      <c r="B76" s="45" t="s">
        <v>4</v>
      </c>
      <c r="C76" s="44" t="s">
        <v>14</v>
      </c>
      <c r="D76" s="41" t="s">
        <v>357</v>
      </c>
      <c r="E76" s="174">
        <f>+'[2]3条収入'!E53</f>
        <v>36052234</v>
      </c>
      <c r="F76" s="165">
        <f>+雨汚収入!AV15</f>
        <v>10360569</v>
      </c>
      <c r="G76" s="412">
        <f>+雨汚収入!AW15</f>
        <v>0</v>
      </c>
      <c r="H76" s="164">
        <f>+雨汚収入!AX15</f>
        <v>1399670</v>
      </c>
      <c r="I76" s="40">
        <f t="shared" si="55"/>
        <v>11760239</v>
      </c>
      <c r="J76" s="165">
        <f>+雨汚収入!AZ15</f>
        <v>0</v>
      </c>
      <c r="K76" s="164">
        <f>+雨汚収入!BA15</f>
        <v>24291995</v>
      </c>
      <c r="L76" s="37">
        <f>+SUM(J76:K76)</f>
        <v>24291995</v>
      </c>
      <c r="M76" s="36">
        <f t="shared" si="56"/>
        <v>0</v>
      </c>
      <c r="N76" s="41" t="s">
        <v>357</v>
      </c>
      <c r="O76" s="174">
        <f>+'[2]3条収入'!AI53</f>
        <v>34878977</v>
      </c>
      <c r="P76" s="165">
        <f>+雨汚収入!BF15</f>
        <v>10155799</v>
      </c>
      <c r="Q76" s="412">
        <f>+雨汚収入!BG15</f>
        <v>0</v>
      </c>
      <c r="R76" s="164">
        <f>+雨汚収入!BH15</f>
        <v>1397864</v>
      </c>
      <c r="S76" s="40">
        <f t="shared" si="42"/>
        <v>11553663</v>
      </c>
      <c r="T76" s="165">
        <f>+雨汚収入!BJ15</f>
        <v>0</v>
      </c>
      <c r="U76" s="171">
        <f>+雨汚収入!BK15</f>
        <v>23325314</v>
      </c>
      <c r="V76" s="37">
        <f t="shared" si="62"/>
        <v>23325314</v>
      </c>
      <c r="W76" s="36">
        <f t="shared" si="44"/>
        <v>0</v>
      </c>
      <c r="X76" s="41" t="s">
        <v>370</v>
      </c>
      <c r="Y76" s="41"/>
      <c r="Z76" s="41"/>
      <c r="AA76" s="41"/>
      <c r="AB76" s="41"/>
      <c r="AC76" s="41"/>
      <c r="AD76" s="36">
        <f t="shared" si="57"/>
        <v>34878977</v>
      </c>
      <c r="AE76" s="39">
        <f t="shared" si="57"/>
        <v>10155799</v>
      </c>
      <c r="AF76" s="390">
        <f t="shared" si="57"/>
        <v>0</v>
      </c>
      <c r="AG76" s="38">
        <f t="shared" si="57"/>
        <v>1397864</v>
      </c>
      <c r="AH76" s="40">
        <f t="shared" si="45"/>
        <v>11553663</v>
      </c>
      <c r="AI76" s="39">
        <f t="shared" si="58"/>
        <v>0</v>
      </c>
      <c r="AJ76" s="54">
        <f t="shared" si="58"/>
        <v>23325314</v>
      </c>
      <c r="AK76" s="37">
        <f>+SUM(AI76:AJ76)</f>
        <v>23325314</v>
      </c>
      <c r="AL76" s="36">
        <f t="shared" si="47"/>
        <v>0</v>
      </c>
    </row>
    <row r="77" spans="1:38" s="2" customFormat="1">
      <c r="A77" s="35"/>
      <c r="B77" s="45" t="s">
        <v>4</v>
      </c>
      <c r="C77" s="44" t="s">
        <v>14</v>
      </c>
      <c r="D77" s="60" t="s">
        <v>358</v>
      </c>
      <c r="E77" s="36"/>
      <c r="F77" s="39"/>
      <c r="G77" s="390"/>
      <c r="H77" s="38"/>
      <c r="I77" s="40">
        <f t="shared" si="55"/>
        <v>0</v>
      </c>
      <c r="J77" s="39"/>
      <c r="K77" s="38"/>
      <c r="L77" s="37">
        <f>+SUM(J77:K77)</f>
        <v>0</v>
      </c>
      <c r="M77" s="36">
        <f t="shared" si="56"/>
        <v>0</v>
      </c>
      <c r="N77" s="60" t="s">
        <v>358</v>
      </c>
      <c r="O77" s="36"/>
      <c r="P77" s="39"/>
      <c r="Q77" s="390"/>
      <c r="R77" s="38"/>
      <c r="S77" s="40">
        <f t="shared" si="42"/>
        <v>0</v>
      </c>
      <c r="T77" s="39"/>
      <c r="U77" s="38"/>
      <c r="V77" s="37">
        <f t="shared" si="62"/>
        <v>0</v>
      </c>
      <c r="W77" s="36">
        <f t="shared" si="44"/>
        <v>0</v>
      </c>
      <c r="X77" s="60" t="s">
        <v>371</v>
      </c>
      <c r="Y77" s="59"/>
      <c r="Z77" s="59"/>
      <c r="AA77" s="59"/>
      <c r="AB77" s="59"/>
      <c r="AC77" s="59"/>
      <c r="AD77" s="58">
        <f>+SUM(AH77,AK77:AK77)</f>
        <v>1880565</v>
      </c>
      <c r="AE77" s="57"/>
      <c r="AF77" s="415"/>
      <c r="AG77" s="56">
        <f>+[3]対価返還!AX14-[3]対価返還!BH14</f>
        <v>0</v>
      </c>
      <c r="AH77" s="40">
        <f>+SUM(AE77:AG77)</f>
        <v>0</v>
      </c>
      <c r="AI77" s="57"/>
      <c r="AJ77" s="56">
        <f>+[3]消費税!Z125</f>
        <v>1880565</v>
      </c>
      <c r="AK77" s="37">
        <f>+SUM(AI77:AJ77)</f>
        <v>1880565</v>
      </c>
      <c r="AL77" s="36">
        <f>AD77-SUM(AH77,AK77)</f>
        <v>0</v>
      </c>
    </row>
    <row r="78" spans="1:38" s="2" customFormat="1">
      <c r="A78" s="35"/>
      <c r="B78" s="45"/>
      <c r="C78" s="44"/>
      <c r="D78" s="41"/>
      <c r="E78" s="36"/>
      <c r="F78" s="39"/>
      <c r="G78" s="390"/>
      <c r="H78" s="38"/>
      <c r="I78" s="40"/>
      <c r="J78" s="39"/>
      <c r="K78" s="38"/>
      <c r="L78" s="37"/>
      <c r="M78" s="36"/>
      <c r="N78" s="41"/>
      <c r="O78" s="36"/>
      <c r="P78" s="39"/>
      <c r="Q78" s="390"/>
      <c r="R78" s="38"/>
      <c r="S78" s="40"/>
      <c r="T78" s="39"/>
      <c r="U78" s="38"/>
      <c r="V78" s="37"/>
      <c r="W78" s="36"/>
      <c r="X78" s="41"/>
      <c r="Y78" s="41"/>
      <c r="Z78" s="41"/>
      <c r="AA78" s="41"/>
      <c r="AB78" s="41"/>
      <c r="AC78" s="41"/>
      <c r="AD78" s="36"/>
      <c r="AE78" s="39"/>
      <c r="AF78" s="390"/>
      <c r="AG78" s="38"/>
      <c r="AH78" s="40"/>
      <c r="AI78" s="39"/>
      <c r="AJ78" s="38"/>
      <c r="AK78" s="37"/>
      <c r="AL78" s="36"/>
    </row>
    <row r="79" spans="1:38" s="2" customFormat="1">
      <c r="A79" s="35"/>
      <c r="B79" s="45" t="s">
        <v>4</v>
      </c>
      <c r="C79" s="44" t="s">
        <v>8</v>
      </c>
      <c r="D79" s="41" t="s">
        <v>29</v>
      </c>
      <c r="E79" s="151">
        <f>+'[2]3条収入'!E59</f>
        <v>0</v>
      </c>
      <c r="F79" s="165">
        <f>+雨汚収入!AV16</f>
        <v>0</v>
      </c>
      <c r="G79" s="412">
        <f>+雨汚収入!AW16</f>
        <v>0</v>
      </c>
      <c r="H79" s="164">
        <f>+雨汚収入!AX16</f>
        <v>0</v>
      </c>
      <c r="I79" s="40">
        <f>+SUM(F79:H79)</f>
        <v>0</v>
      </c>
      <c r="J79" s="165">
        <f>+雨汚収入!AZ16</f>
        <v>0</v>
      </c>
      <c r="K79" s="164">
        <f>+雨汚収入!BA16</f>
        <v>0</v>
      </c>
      <c r="L79" s="37">
        <f>+SUM(J79:K79)</f>
        <v>0</v>
      </c>
      <c r="M79" s="36">
        <f>E79-SUM(I79,L79)</f>
        <v>0</v>
      </c>
      <c r="N79" s="41" t="s">
        <v>29</v>
      </c>
      <c r="O79" s="151">
        <f>+'[2]3条収入'!AI59</f>
        <v>0</v>
      </c>
      <c r="P79" s="165">
        <f>+雨汚収入!BF16</f>
        <v>0</v>
      </c>
      <c r="Q79" s="412">
        <f>+雨汚収入!BG16</f>
        <v>0</v>
      </c>
      <c r="R79" s="164">
        <f>+雨汚収入!BH16</f>
        <v>0</v>
      </c>
      <c r="S79" s="40">
        <f t="shared" si="42"/>
        <v>0</v>
      </c>
      <c r="T79" s="165">
        <f>+雨汚収入!BJ16</f>
        <v>0</v>
      </c>
      <c r="U79" s="164">
        <f>+雨汚収入!BK16</f>
        <v>0</v>
      </c>
      <c r="V79" s="37">
        <f t="shared" si="62"/>
        <v>0</v>
      </c>
      <c r="W79" s="36">
        <f t="shared" si="44"/>
        <v>0</v>
      </c>
      <c r="X79" s="41" t="s">
        <v>29</v>
      </c>
      <c r="Y79" s="461"/>
      <c r="Z79" s="461"/>
      <c r="AA79" s="461"/>
      <c r="AB79" s="461"/>
      <c r="AC79" s="461"/>
      <c r="AD79" s="40">
        <f t="shared" ref="AD79:AG83" si="64">+O79</f>
        <v>0</v>
      </c>
      <c r="AE79" s="39">
        <f t="shared" si="64"/>
        <v>0</v>
      </c>
      <c r="AF79" s="390">
        <f t="shared" si="64"/>
        <v>0</v>
      </c>
      <c r="AG79" s="38">
        <f t="shared" si="64"/>
        <v>0</v>
      </c>
      <c r="AH79" s="423">
        <f t="shared" si="45"/>
        <v>0</v>
      </c>
      <c r="AI79" s="39">
        <f t="shared" ref="AI79:AJ83" si="65">+T79</f>
        <v>0</v>
      </c>
      <c r="AJ79" s="38">
        <f t="shared" si="65"/>
        <v>0</v>
      </c>
      <c r="AK79" s="52">
        <f t="shared" si="46"/>
        <v>0</v>
      </c>
      <c r="AL79" s="36">
        <f t="shared" si="47"/>
        <v>0</v>
      </c>
    </row>
    <row r="80" spans="1:38" s="2" customFormat="1">
      <c r="A80" s="35"/>
      <c r="B80" s="45" t="s">
        <v>4</v>
      </c>
      <c r="C80" s="44" t="s">
        <v>8</v>
      </c>
      <c r="D80" s="41" t="s">
        <v>11</v>
      </c>
      <c r="E80" s="151">
        <f>+'[2]3条収入'!E61-E93</f>
        <v>2769570</v>
      </c>
      <c r="F80" s="165">
        <f>+雨汚収入!AV17-F93</f>
        <v>352162</v>
      </c>
      <c r="G80" s="412">
        <f>+雨汚収入!AW17-G93</f>
        <v>0</v>
      </c>
      <c r="H80" s="164">
        <f>+雨汚収入!AX17-H93</f>
        <v>487974</v>
      </c>
      <c r="I80" s="40">
        <f>+SUM(F80:H80)</f>
        <v>840136</v>
      </c>
      <c r="J80" s="165">
        <f>+雨汚収入!AZ17-J93</f>
        <v>29260</v>
      </c>
      <c r="K80" s="164">
        <f>+雨汚収入!BA17-K93</f>
        <v>1900174</v>
      </c>
      <c r="L80" s="37">
        <f>+SUM(J80:K80)</f>
        <v>1929434</v>
      </c>
      <c r="M80" s="36">
        <f>E80-SUM(I80,L80)</f>
        <v>0</v>
      </c>
      <c r="N80" s="41" t="s">
        <v>11</v>
      </c>
      <c r="O80" s="151">
        <f>+'[2]3条収入'!AI61-O93</f>
        <v>2623682</v>
      </c>
      <c r="P80" s="165">
        <f>+雨汚収入!BF17-P93</f>
        <v>352162</v>
      </c>
      <c r="Q80" s="412">
        <f>+雨汚収入!BG17-Q93</f>
        <v>0</v>
      </c>
      <c r="R80" s="164">
        <f>+雨汚収入!BH17-R93</f>
        <v>487974</v>
      </c>
      <c r="S80" s="40">
        <f t="shared" si="42"/>
        <v>840136</v>
      </c>
      <c r="T80" s="165">
        <f>+雨汚収入!BJ17-T93</f>
        <v>29260</v>
      </c>
      <c r="U80" s="171">
        <f>+雨汚収入!BK17-U93</f>
        <v>1754286</v>
      </c>
      <c r="V80" s="37">
        <f t="shared" si="62"/>
        <v>1783546</v>
      </c>
      <c r="W80" s="36">
        <f t="shared" si="44"/>
        <v>0</v>
      </c>
      <c r="X80" s="41" t="s">
        <v>11</v>
      </c>
      <c r="Y80" s="461"/>
      <c r="Z80" s="461"/>
      <c r="AA80" s="461"/>
      <c r="AB80" s="461"/>
      <c r="AC80" s="461"/>
      <c r="AD80" s="40">
        <f t="shared" si="64"/>
        <v>2623682</v>
      </c>
      <c r="AE80" s="39">
        <f t="shared" si="64"/>
        <v>352162</v>
      </c>
      <c r="AF80" s="390">
        <f t="shared" si="64"/>
        <v>0</v>
      </c>
      <c r="AG80" s="38">
        <f t="shared" si="64"/>
        <v>487974</v>
      </c>
      <c r="AH80" s="40">
        <f t="shared" si="45"/>
        <v>840136</v>
      </c>
      <c r="AI80" s="39">
        <f t="shared" si="65"/>
        <v>29260</v>
      </c>
      <c r="AJ80" s="54">
        <f t="shared" si="65"/>
        <v>1754286</v>
      </c>
      <c r="AK80" s="37">
        <f t="shared" si="46"/>
        <v>1783546</v>
      </c>
      <c r="AL80" s="36">
        <f t="shared" si="47"/>
        <v>0</v>
      </c>
    </row>
    <row r="81" spans="1:38" s="2" customFormat="1">
      <c r="A81" s="35"/>
      <c r="B81" s="45" t="s">
        <v>4</v>
      </c>
      <c r="C81" s="44" t="s">
        <v>8</v>
      </c>
      <c r="D81" s="41" t="s">
        <v>26</v>
      </c>
      <c r="E81" s="151">
        <f>+'[2]3条収入'!E63-E94</f>
        <v>864807</v>
      </c>
      <c r="F81" s="165">
        <f>+雨汚収入!AV18-F94</f>
        <v>588069</v>
      </c>
      <c r="G81" s="412">
        <f>+雨汚収入!AW18-G94</f>
        <v>0</v>
      </c>
      <c r="H81" s="164">
        <f>+雨汚収入!AX18-H94</f>
        <v>0</v>
      </c>
      <c r="I81" s="40">
        <f>+SUM(F81:H81)</f>
        <v>588069</v>
      </c>
      <c r="J81" s="165">
        <f>+雨汚収入!AZ18-J94</f>
        <v>0</v>
      </c>
      <c r="K81" s="164">
        <f>+雨汚収入!BA18-K94</f>
        <v>276738</v>
      </c>
      <c r="L81" s="37">
        <f>+SUM(J81:K81)</f>
        <v>276738</v>
      </c>
      <c r="M81" s="36">
        <f>E81-SUM(I81,L81)</f>
        <v>0</v>
      </c>
      <c r="N81" s="41" t="s">
        <v>26</v>
      </c>
      <c r="O81" s="151">
        <f>+'[2]3条収入'!AI63-O94</f>
        <v>864807</v>
      </c>
      <c r="P81" s="165">
        <f>+雨汚収入!BF18-P94</f>
        <v>588069</v>
      </c>
      <c r="Q81" s="412">
        <f>+雨汚収入!BG18-Q94</f>
        <v>0</v>
      </c>
      <c r="R81" s="164">
        <f>+雨汚収入!BH18-R94</f>
        <v>0</v>
      </c>
      <c r="S81" s="40">
        <f t="shared" si="42"/>
        <v>588069</v>
      </c>
      <c r="T81" s="165">
        <f>+雨汚収入!BJ18-T94</f>
        <v>0</v>
      </c>
      <c r="U81" s="164">
        <f>+雨汚収入!BK18-U94</f>
        <v>276738</v>
      </c>
      <c r="V81" s="37">
        <f t="shared" si="62"/>
        <v>276738</v>
      </c>
      <c r="W81" s="36">
        <f t="shared" si="44"/>
        <v>0</v>
      </c>
      <c r="X81" s="41" t="s">
        <v>26</v>
      </c>
      <c r="Y81" s="461"/>
      <c r="Z81" s="461"/>
      <c r="AA81" s="461"/>
      <c r="AB81" s="461"/>
      <c r="AC81" s="461"/>
      <c r="AD81" s="40">
        <f t="shared" si="64"/>
        <v>864807</v>
      </c>
      <c r="AE81" s="39">
        <f t="shared" si="64"/>
        <v>588069</v>
      </c>
      <c r="AF81" s="390">
        <f t="shared" si="64"/>
        <v>0</v>
      </c>
      <c r="AG81" s="38">
        <f t="shared" si="64"/>
        <v>0</v>
      </c>
      <c r="AH81" s="40">
        <f t="shared" si="45"/>
        <v>588069</v>
      </c>
      <c r="AI81" s="39">
        <f t="shared" si="65"/>
        <v>0</v>
      </c>
      <c r="AJ81" s="38">
        <f t="shared" si="65"/>
        <v>276738</v>
      </c>
      <c r="AK81" s="37">
        <f t="shared" si="46"/>
        <v>276738</v>
      </c>
      <c r="AL81" s="36">
        <f t="shared" si="47"/>
        <v>0</v>
      </c>
    </row>
    <row r="82" spans="1:38" s="2" customFormat="1">
      <c r="A82" s="35"/>
      <c r="B82" s="45" t="s">
        <v>4</v>
      </c>
      <c r="C82" s="44" t="s">
        <v>8</v>
      </c>
      <c r="D82" s="41" t="s">
        <v>25</v>
      </c>
      <c r="E82" s="151">
        <f>+'[2]3条収入'!E64</f>
        <v>455622</v>
      </c>
      <c r="F82" s="165">
        <f>+雨汚収入!AV19</f>
        <v>0</v>
      </c>
      <c r="G82" s="412">
        <f>+雨汚収入!AW19</f>
        <v>0</v>
      </c>
      <c r="H82" s="164">
        <f>+雨汚収入!AX19</f>
        <v>16334</v>
      </c>
      <c r="I82" s="40">
        <f>+SUM(F82:H82)</f>
        <v>16334</v>
      </c>
      <c r="J82" s="165">
        <f>+雨汚収入!AZ19</f>
        <v>0</v>
      </c>
      <c r="K82" s="164">
        <f>+雨汚収入!BA19</f>
        <v>439288</v>
      </c>
      <c r="L82" s="37">
        <f>+SUM(J82:K82)</f>
        <v>439288</v>
      </c>
      <c r="M82" s="36">
        <f>E82-SUM(I82,L82)</f>
        <v>0</v>
      </c>
      <c r="N82" s="41" t="s">
        <v>25</v>
      </c>
      <c r="O82" s="151">
        <f>+'[2]3条収入'!AI64</f>
        <v>455622</v>
      </c>
      <c r="P82" s="165">
        <f>+雨汚収入!BF19</f>
        <v>0</v>
      </c>
      <c r="Q82" s="412">
        <f>+雨汚収入!BG19</f>
        <v>0</v>
      </c>
      <c r="R82" s="164">
        <f>+雨汚収入!BH19</f>
        <v>16334</v>
      </c>
      <c r="S82" s="40">
        <f t="shared" si="42"/>
        <v>16334</v>
      </c>
      <c r="T82" s="165">
        <f>+雨汚収入!BJ19</f>
        <v>0</v>
      </c>
      <c r="U82" s="164">
        <f>+雨汚収入!BK19</f>
        <v>439288</v>
      </c>
      <c r="V82" s="37">
        <f t="shared" si="62"/>
        <v>439288</v>
      </c>
      <c r="W82" s="36">
        <f t="shared" si="44"/>
        <v>0</v>
      </c>
      <c r="X82" s="41" t="s">
        <v>25</v>
      </c>
      <c r="Y82" s="461"/>
      <c r="Z82" s="461"/>
      <c r="AA82" s="461"/>
      <c r="AB82" s="461"/>
      <c r="AC82" s="461"/>
      <c r="AD82" s="40">
        <f t="shared" si="64"/>
        <v>455622</v>
      </c>
      <c r="AE82" s="39">
        <f t="shared" si="64"/>
        <v>0</v>
      </c>
      <c r="AF82" s="390">
        <f t="shared" si="64"/>
        <v>0</v>
      </c>
      <c r="AG82" s="38">
        <f t="shared" si="64"/>
        <v>16334</v>
      </c>
      <c r="AH82" s="40">
        <f t="shared" si="45"/>
        <v>16334</v>
      </c>
      <c r="AI82" s="39">
        <f t="shared" si="65"/>
        <v>0</v>
      </c>
      <c r="AJ82" s="38">
        <f t="shared" si="65"/>
        <v>439288</v>
      </c>
      <c r="AK82" s="37">
        <f t="shared" si="46"/>
        <v>439288</v>
      </c>
      <c r="AL82" s="36">
        <f t="shared" si="47"/>
        <v>0</v>
      </c>
    </row>
    <row r="83" spans="1:38" s="2" customFormat="1">
      <c r="A83" s="35"/>
      <c r="B83" s="45" t="s">
        <v>4</v>
      </c>
      <c r="C83" s="44" t="s">
        <v>8</v>
      </c>
      <c r="D83" s="41" t="s">
        <v>24</v>
      </c>
      <c r="E83" s="151">
        <f>+'[2]3条収入'!E65</f>
        <v>109000</v>
      </c>
      <c r="F83" s="165">
        <f>+雨汚収入!AV20</f>
        <v>54500</v>
      </c>
      <c r="G83" s="412">
        <f>+雨汚収入!AW20</f>
        <v>0</v>
      </c>
      <c r="H83" s="164">
        <f>+雨汚収入!AX20</f>
        <v>0</v>
      </c>
      <c r="I83" s="40">
        <f>+SUM(F83:H83)</f>
        <v>54500</v>
      </c>
      <c r="J83" s="165">
        <f>+雨汚収入!AZ20</f>
        <v>0</v>
      </c>
      <c r="K83" s="164">
        <f>+雨汚収入!BA20</f>
        <v>54500</v>
      </c>
      <c r="L83" s="37">
        <f>+SUM(J83:K83)</f>
        <v>54500</v>
      </c>
      <c r="M83" s="36">
        <f>E83-SUM(I83,L83)</f>
        <v>0</v>
      </c>
      <c r="N83" s="41" t="s">
        <v>24</v>
      </c>
      <c r="O83" s="151">
        <f>+'[2]3条収入'!AI65</f>
        <v>109000</v>
      </c>
      <c r="P83" s="165">
        <f>+雨汚収入!BF20</f>
        <v>54500</v>
      </c>
      <c r="Q83" s="412">
        <f>+雨汚収入!BG20</f>
        <v>0</v>
      </c>
      <c r="R83" s="164">
        <f>+雨汚収入!BH20</f>
        <v>0</v>
      </c>
      <c r="S83" s="40">
        <f t="shared" si="42"/>
        <v>54500</v>
      </c>
      <c r="T83" s="165">
        <f>+雨汚収入!BJ20</f>
        <v>0</v>
      </c>
      <c r="U83" s="164">
        <f>+雨汚収入!BK20</f>
        <v>54500</v>
      </c>
      <c r="V83" s="37">
        <f t="shared" si="62"/>
        <v>54500</v>
      </c>
      <c r="W83" s="36">
        <f t="shared" si="44"/>
        <v>0</v>
      </c>
      <c r="X83" s="41" t="s">
        <v>24</v>
      </c>
      <c r="Y83" s="461"/>
      <c r="Z83" s="461"/>
      <c r="AA83" s="461"/>
      <c r="AB83" s="461"/>
      <c r="AC83" s="461"/>
      <c r="AD83" s="40">
        <f t="shared" si="64"/>
        <v>109000</v>
      </c>
      <c r="AE83" s="39">
        <f t="shared" si="64"/>
        <v>54500</v>
      </c>
      <c r="AF83" s="390">
        <f t="shared" si="64"/>
        <v>0</v>
      </c>
      <c r="AG83" s="38">
        <f t="shared" si="64"/>
        <v>0</v>
      </c>
      <c r="AH83" s="40">
        <f t="shared" si="45"/>
        <v>54500</v>
      </c>
      <c r="AI83" s="39">
        <f t="shared" si="65"/>
        <v>0</v>
      </c>
      <c r="AJ83" s="38">
        <f t="shared" si="65"/>
        <v>54500</v>
      </c>
      <c r="AK83" s="37">
        <f t="shared" si="46"/>
        <v>54500</v>
      </c>
      <c r="AL83" s="36">
        <f t="shared" si="47"/>
        <v>0</v>
      </c>
    </row>
    <row r="84" spans="1:38" s="2" customFormat="1">
      <c r="A84" s="35"/>
      <c r="B84" s="45"/>
      <c r="C84" s="44"/>
      <c r="D84" s="41"/>
      <c r="E84" s="40"/>
      <c r="F84" s="39"/>
      <c r="G84" s="390"/>
      <c r="H84" s="38"/>
      <c r="I84" s="40"/>
      <c r="J84" s="39"/>
      <c r="K84" s="38"/>
      <c r="L84" s="37"/>
      <c r="M84" s="36"/>
      <c r="N84" s="41"/>
      <c r="O84" s="40"/>
      <c r="P84" s="39"/>
      <c r="Q84" s="390"/>
      <c r="R84" s="38"/>
      <c r="S84" s="40"/>
      <c r="T84" s="39"/>
      <c r="U84" s="38"/>
      <c r="V84" s="37"/>
      <c r="W84" s="36"/>
      <c r="X84" s="41"/>
      <c r="Y84" s="461"/>
      <c r="Z84" s="461"/>
      <c r="AA84" s="461"/>
      <c r="AB84" s="461"/>
      <c r="AC84" s="461"/>
      <c r="AD84" s="40"/>
      <c r="AE84" s="39"/>
      <c r="AF84" s="390"/>
      <c r="AG84" s="38"/>
      <c r="AH84" s="423"/>
      <c r="AI84" s="39"/>
      <c r="AJ84" s="38"/>
      <c r="AK84" s="52"/>
      <c r="AL84" s="36"/>
    </row>
    <row r="85" spans="1:38" s="2" customFormat="1">
      <c r="A85" s="35"/>
      <c r="B85" s="45" t="s">
        <v>2</v>
      </c>
      <c r="C85" s="44" t="s">
        <v>21</v>
      </c>
      <c r="D85" s="41" t="s">
        <v>22</v>
      </c>
      <c r="E85" s="168">
        <f>+'[2]3条収入'!E56-E86</f>
        <v>9350298041</v>
      </c>
      <c r="F85" s="153">
        <v>4127091265</v>
      </c>
      <c r="G85" s="416">
        <v>3477517</v>
      </c>
      <c r="H85" s="38"/>
      <c r="I85" s="40">
        <f t="shared" ref="I85:I90" si="66">+SUM(F85:H85)</f>
        <v>4130568782</v>
      </c>
      <c r="J85" s="153">
        <v>188779282</v>
      </c>
      <c r="K85" s="152">
        <v>4753525109</v>
      </c>
      <c r="L85" s="37">
        <f t="shared" ref="L85:L90" si="67">+SUM(J85:K85)</f>
        <v>4942304391</v>
      </c>
      <c r="M85" s="36"/>
      <c r="N85" s="41" t="s">
        <v>22</v>
      </c>
      <c r="O85" s="168">
        <f>+'[2]3条収入'!AI56-O86</f>
        <v>9350298041</v>
      </c>
      <c r="P85" s="39">
        <f t="shared" ref="P85:R86" si="68">+F85</f>
        <v>4127091265</v>
      </c>
      <c r="Q85" s="390">
        <f t="shared" si="68"/>
        <v>3477517</v>
      </c>
      <c r="R85" s="38">
        <f t="shared" si="68"/>
        <v>0</v>
      </c>
      <c r="S85" s="40">
        <f t="shared" si="42"/>
        <v>4130568782</v>
      </c>
      <c r="T85" s="39">
        <f>+J85</f>
        <v>188779282</v>
      </c>
      <c r="U85" s="38">
        <f t="shared" ref="U85:U86" si="69">+O85-S85-T85</f>
        <v>5030949977</v>
      </c>
      <c r="V85" s="37">
        <f t="shared" si="62"/>
        <v>5219729259</v>
      </c>
      <c r="W85" s="36">
        <f t="shared" si="44"/>
        <v>0</v>
      </c>
      <c r="X85" s="41" t="s">
        <v>22</v>
      </c>
      <c r="Y85" s="462"/>
      <c r="Z85" s="462"/>
      <c r="AA85" s="462"/>
      <c r="AB85" s="462"/>
      <c r="AC85" s="462"/>
      <c r="AD85" s="51">
        <f t="shared" ref="AD85:AG90" si="70">+O85</f>
        <v>9350298041</v>
      </c>
      <c r="AE85" s="39">
        <f t="shared" si="70"/>
        <v>4127091265</v>
      </c>
      <c r="AF85" s="390">
        <f t="shared" si="70"/>
        <v>3477517</v>
      </c>
      <c r="AG85" s="38">
        <f t="shared" si="70"/>
        <v>0</v>
      </c>
      <c r="AH85" s="40">
        <f t="shared" si="45"/>
        <v>4130568782</v>
      </c>
      <c r="AI85" s="39">
        <f t="shared" ref="AI85:AJ90" si="71">+T85</f>
        <v>188779282</v>
      </c>
      <c r="AJ85" s="38">
        <f t="shared" si="71"/>
        <v>5030949977</v>
      </c>
      <c r="AK85" s="37">
        <f t="shared" si="46"/>
        <v>5219729259</v>
      </c>
      <c r="AL85" s="36">
        <f t="shared" si="47"/>
        <v>0</v>
      </c>
    </row>
    <row r="86" spans="1:38" s="2" customFormat="1">
      <c r="A86" s="35"/>
      <c r="B86" s="45" t="s">
        <v>2</v>
      </c>
      <c r="C86" s="44" t="s">
        <v>21</v>
      </c>
      <c r="D86" s="41" t="s">
        <v>19</v>
      </c>
      <c r="E86" s="167">
        <v>135056961</v>
      </c>
      <c r="F86" s="39">
        <f>+E86-L86-G86</f>
        <v>42543906</v>
      </c>
      <c r="G86" s="390">
        <f>+IFERROR(ROUND((E86-L86)*G35/I35,0),0)</f>
        <v>459621</v>
      </c>
      <c r="H86" s="38"/>
      <c r="I86" s="40">
        <f t="shared" si="66"/>
        <v>43003527</v>
      </c>
      <c r="J86" s="153">
        <v>6851654</v>
      </c>
      <c r="K86" s="152">
        <v>85201780</v>
      </c>
      <c r="L86" s="37">
        <f t="shared" si="67"/>
        <v>92053434</v>
      </c>
      <c r="M86" s="36">
        <f t="shared" ref="M86:M90" si="72">E86-SUM(I86,L86)</f>
        <v>0</v>
      </c>
      <c r="N86" s="41" t="s">
        <v>19</v>
      </c>
      <c r="O86" s="51">
        <f>+E86</f>
        <v>135056961</v>
      </c>
      <c r="P86" s="39">
        <f t="shared" si="68"/>
        <v>42543906</v>
      </c>
      <c r="Q86" s="390">
        <f t="shared" si="68"/>
        <v>459621</v>
      </c>
      <c r="R86" s="38">
        <f t="shared" si="68"/>
        <v>0</v>
      </c>
      <c r="S86" s="40">
        <f t="shared" si="42"/>
        <v>43003527</v>
      </c>
      <c r="T86" s="39">
        <f>+J86</f>
        <v>6851654</v>
      </c>
      <c r="U86" s="38">
        <f t="shared" si="69"/>
        <v>85201780</v>
      </c>
      <c r="V86" s="37">
        <f t="shared" si="62"/>
        <v>92053434</v>
      </c>
      <c r="W86" s="36">
        <f t="shared" si="44"/>
        <v>0</v>
      </c>
      <c r="X86" s="41" t="s">
        <v>19</v>
      </c>
      <c r="Y86" s="462"/>
      <c r="Z86" s="462"/>
      <c r="AA86" s="462"/>
      <c r="AB86" s="462"/>
      <c r="AC86" s="462"/>
      <c r="AD86" s="51">
        <f t="shared" si="70"/>
        <v>135056961</v>
      </c>
      <c r="AE86" s="39">
        <f t="shared" si="70"/>
        <v>42543906</v>
      </c>
      <c r="AF86" s="390">
        <f t="shared" si="70"/>
        <v>459621</v>
      </c>
      <c r="AG86" s="38">
        <f t="shared" si="70"/>
        <v>0</v>
      </c>
      <c r="AH86" s="40">
        <f t="shared" si="45"/>
        <v>43003527</v>
      </c>
      <c r="AI86" s="39">
        <f t="shared" si="71"/>
        <v>6851654</v>
      </c>
      <c r="AJ86" s="38">
        <f t="shared" si="71"/>
        <v>85201780</v>
      </c>
      <c r="AK86" s="37">
        <f t="shared" si="46"/>
        <v>92053434</v>
      </c>
      <c r="AL86" s="36">
        <f t="shared" si="47"/>
        <v>0</v>
      </c>
    </row>
    <row r="87" spans="1:38" s="2" customFormat="1">
      <c r="A87" s="35"/>
      <c r="B87" s="45" t="s">
        <v>2</v>
      </c>
      <c r="C87" s="44"/>
      <c r="D87" s="41"/>
      <c r="E87" s="40"/>
      <c r="F87" s="39"/>
      <c r="G87" s="390"/>
      <c r="H87" s="38"/>
      <c r="I87" s="40">
        <f t="shared" si="66"/>
        <v>0</v>
      </c>
      <c r="J87" s="39"/>
      <c r="K87" s="38"/>
      <c r="L87" s="37">
        <f t="shared" si="67"/>
        <v>0</v>
      </c>
      <c r="M87" s="36">
        <f t="shared" si="72"/>
        <v>0</v>
      </c>
      <c r="N87" s="41"/>
      <c r="O87" s="40"/>
      <c r="P87" s="39"/>
      <c r="Q87" s="390"/>
      <c r="R87" s="38"/>
      <c r="S87" s="40">
        <f t="shared" si="42"/>
        <v>0</v>
      </c>
      <c r="T87" s="39"/>
      <c r="U87" s="38"/>
      <c r="V87" s="37">
        <f t="shared" si="62"/>
        <v>0</v>
      </c>
      <c r="W87" s="36">
        <f t="shared" si="44"/>
        <v>0</v>
      </c>
      <c r="X87" s="41"/>
      <c r="Y87" s="461"/>
      <c r="Z87" s="461"/>
      <c r="AA87" s="461"/>
      <c r="AB87" s="461"/>
      <c r="AC87" s="461"/>
      <c r="AD87" s="40">
        <f t="shared" si="70"/>
        <v>0</v>
      </c>
      <c r="AE87" s="39">
        <f t="shared" si="70"/>
        <v>0</v>
      </c>
      <c r="AF87" s="390">
        <f t="shared" si="70"/>
        <v>0</v>
      </c>
      <c r="AG87" s="38">
        <f t="shared" si="70"/>
        <v>0</v>
      </c>
      <c r="AH87" s="40">
        <f t="shared" si="45"/>
        <v>0</v>
      </c>
      <c r="AI87" s="39">
        <f t="shared" si="71"/>
        <v>0</v>
      </c>
      <c r="AJ87" s="38">
        <f t="shared" si="71"/>
        <v>0</v>
      </c>
      <c r="AK87" s="37">
        <f t="shared" si="46"/>
        <v>0</v>
      </c>
      <c r="AL87" s="36">
        <f t="shared" si="47"/>
        <v>0</v>
      </c>
    </row>
    <row r="88" spans="1:38" s="2" customFormat="1">
      <c r="A88" s="35"/>
      <c r="B88" s="45" t="s">
        <v>2</v>
      </c>
      <c r="C88" s="44" t="s">
        <v>14</v>
      </c>
      <c r="D88" s="41" t="s">
        <v>17</v>
      </c>
      <c r="E88" s="151">
        <f>+'[2]3条収入'!E41-E89</f>
        <v>16476593</v>
      </c>
      <c r="F88" s="39">
        <f>+E88-K88</f>
        <v>-1588255</v>
      </c>
      <c r="G88" s="390"/>
      <c r="H88" s="38"/>
      <c r="I88" s="40">
        <f t="shared" si="66"/>
        <v>-1588255</v>
      </c>
      <c r="J88" s="39"/>
      <c r="K88" s="38">
        <f>+ROUND(E88*K37/E37,0)</f>
        <v>18064848</v>
      </c>
      <c r="L88" s="37">
        <f t="shared" si="67"/>
        <v>18064848</v>
      </c>
      <c r="M88" s="36">
        <f t="shared" si="72"/>
        <v>0</v>
      </c>
      <c r="N88" s="41" t="s">
        <v>17</v>
      </c>
      <c r="O88" s="151">
        <f>+'[2]3条収入'!AI41-O89</f>
        <v>16476593</v>
      </c>
      <c r="P88" s="39">
        <f>+F88</f>
        <v>-1588255</v>
      </c>
      <c r="Q88" s="390"/>
      <c r="R88" s="38"/>
      <c r="S88" s="40">
        <f t="shared" si="42"/>
        <v>-1588255</v>
      </c>
      <c r="T88" s="38"/>
      <c r="U88" s="38">
        <f t="shared" ref="U88" si="73">+O88-S88-T88</f>
        <v>18064848</v>
      </c>
      <c r="V88" s="37">
        <f t="shared" si="62"/>
        <v>18064848</v>
      </c>
      <c r="W88" s="36">
        <f t="shared" si="44"/>
        <v>0</v>
      </c>
      <c r="X88" s="41" t="s">
        <v>17</v>
      </c>
      <c r="Y88" s="461"/>
      <c r="Z88" s="461"/>
      <c r="AA88" s="461"/>
      <c r="AB88" s="461"/>
      <c r="AC88" s="461"/>
      <c r="AD88" s="40">
        <f t="shared" si="70"/>
        <v>16476593</v>
      </c>
      <c r="AE88" s="39">
        <f t="shared" si="70"/>
        <v>-1588255</v>
      </c>
      <c r="AF88" s="390">
        <f t="shared" si="70"/>
        <v>0</v>
      </c>
      <c r="AG88" s="38">
        <f t="shared" si="70"/>
        <v>0</v>
      </c>
      <c r="AH88" s="40">
        <f t="shared" si="45"/>
        <v>-1588255</v>
      </c>
      <c r="AI88" s="39">
        <f t="shared" si="71"/>
        <v>0</v>
      </c>
      <c r="AJ88" s="38">
        <f t="shared" si="71"/>
        <v>18064848</v>
      </c>
      <c r="AK88" s="37">
        <f t="shared" si="46"/>
        <v>18064848</v>
      </c>
      <c r="AL88" s="36">
        <f t="shared" si="47"/>
        <v>0</v>
      </c>
    </row>
    <row r="89" spans="1:38" s="2" customFormat="1">
      <c r="A89" s="35"/>
      <c r="B89" s="45" t="s">
        <v>2</v>
      </c>
      <c r="C89" s="44" t="s">
        <v>14</v>
      </c>
      <c r="D89" s="41" t="s">
        <v>15</v>
      </c>
      <c r="E89" s="40">
        <f>+K89</f>
        <v>0</v>
      </c>
      <c r="F89" s="165">
        <f>+雨汚収入!AV12</f>
        <v>0</v>
      </c>
      <c r="G89" s="412">
        <f>+雨汚収入!AW12</f>
        <v>0</v>
      </c>
      <c r="H89" s="164">
        <f>+雨汚収入!AX12</f>
        <v>0</v>
      </c>
      <c r="I89" s="40">
        <f t="shared" si="66"/>
        <v>0</v>
      </c>
      <c r="J89" s="165">
        <f>+雨汚収入!AZ12</f>
        <v>0</v>
      </c>
      <c r="K89" s="164">
        <f>+雨汚収入!BA12</f>
        <v>0</v>
      </c>
      <c r="L89" s="37">
        <f t="shared" si="67"/>
        <v>0</v>
      </c>
      <c r="M89" s="36">
        <f t="shared" si="72"/>
        <v>0</v>
      </c>
      <c r="N89" s="41" t="s">
        <v>15</v>
      </c>
      <c r="O89" s="40">
        <f>+E89</f>
        <v>0</v>
      </c>
      <c r="P89" s="165">
        <f>+雨汚収入!BF12</f>
        <v>0</v>
      </c>
      <c r="Q89" s="412">
        <f>+雨汚収入!BG12</f>
        <v>0</v>
      </c>
      <c r="R89" s="164">
        <f>+雨汚収入!BH12</f>
        <v>0</v>
      </c>
      <c r="S89" s="40">
        <f t="shared" si="42"/>
        <v>0</v>
      </c>
      <c r="T89" s="165">
        <f>+雨汚収入!BJ12</f>
        <v>0</v>
      </c>
      <c r="U89" s="164">
        <f>+雨汚収入!BK12</f>
        <v>0</v>
      </c>
      <c r="V89" s="37">
        <f t="shared" si="62"/>
        <v>0</v>
      </c>
      <c r="W89" s="36">
        <f t="shared" si="44"/>
        <v>0</v>
      </c>
      <c r="X89" s="41" t="s">
        <v>15</v>
      </c>
      <c r="Y89" s="461"/>
      <c r="Z89" s="461"/>
      <c r="AA89" s="461"/>
      <c r="AB89" s="461"/>
      <c r="AC89" s="461"/>
      <c r="AD89" s="40">
        <f t="shared" si="70"/>
        <v>0</v>
      </c>
      <c r="AE89" s="39">
        <f t="shared" si="70"/>
        <v>0</v>
      </c>
      <c r="AF89" s="390">
        <f t="shared" si="70"/>
        <v>0</v>
      </c>
      <c r="AG89" s="38">
        <f t="shared" si="70"/>
        <v>0</v>
      </c>
      <c r="AH89" s="40">
        <f t="shared" si="45"/>
        <v>0</v>
      </c>
      <c r="AI89" s="39">
        <f t="shared" si="71"/>
        <v>0</v>
      </c>
      <c r="AJ89" s="38">
        <f t="shared" si="71"/>
        <v>0</v>
      </c>
      <c r="AK89" s="37">
        <f t="shared" si="46"/>
        <v>0</v>
      </c>
      <c r="AL89" s="36">
        <f t="shared" si="47"/>
        <v>0</v>
      </c>
    </row>
    <row r="90" spans="1:38" s="2" customFormat="1">
      <c r="A90" s="35"/>
      <c r="B90" s="45" t="s">
        <v>2</v>
      </c>
      <c r="C90" s="44" t="s">
        <v>14</v>
      </c>
      <c r="D90" s="41"/>
      <c r="E90" s="40"/>
      <c r="F90" s="39"/>
      <c r="G90" s="390"/>
      <c r="H90" s="38"/>
      <c r="I90" s="40">
        <f t="shared" si="66"/>
        <v>0</v>
      </c>
      <c r="J90" s="39"/>
      <c r="K90" s="38"/>
      <c r="L90" s="37">
        <f t="shared" si="67"/>
        <v>0</v>
      </c>
      <c r="M90" s="36">
        <f t="shared" si="72"/>
        <v>0</v>
      </c>
      <c r="N90" s="41"/>
      <c r="O90" s="40"/>
      <c r="P90" s="39"/>
      <c r="Q90" s="390"/>
      <c r="R90" s="38"/>
      <c r="S90" s="40">
        <f t="shared" si="42"/>
        <v>0</v>
      </c>
      <c r="T90" s="39"/>
      <c r="U90" s="38"/>
      <c r="V90" s="37">
        <f t="shared" si="62"/>
        <v>0</v>
      </c>
      <c r="W90" s="36">
        <f t="shared" si="44"/>
        <v>0</v>
      </c>
      <c r="X90" s="41"/>
      <c r="Y90" s="461"/>
      <c r="Z90" s="461"/>
      <c r="AA90" s="461"/>
      <c r="AB90" s="461"/>
      <c r="AC90" s="461"/>
      <c r="AD90" s="40">
        <f t="shared" si="70"/>
        <v>0</v>
      </c>
      <c r="AE90" s="39">
        <f t="shared" si="70"/>
        <v>0</v>
      </c>
      <c r="AF90" s="390">
        <f t="shared" si="70"/>
        <v>0</v>
      </c>
      <c r="AG90" s="38">
        <f t="shared" si="70"/>
        <v>0</v>
      </c>
      <c r="AH90" s="40">
        <f t="shared" si="45"/>
        <v>0</v>
      </c>
      <c r="AI90" s="39">
        <f t="shared" si="71"/>
        <v>0</v>
      </c>
      <c r="AJ90" s="38">
        <f t="shared" si="71"/>
        <v>0</v>
      </c>
      <c r="AK90" s="37">
        <f t="shared" si="46"/>
        <v>0</v>
      </c>
      <c r="AL90" s="36">
        <f t="shared" si="47"/>
        <v>0</v>
      </c>
    </row>
    <row r="91" spans="1:38" s="2" customFormat="1">
      <c r="A91" s="35"/>
      <c r="B91" s="45"/>
      <c r="C91" s="44"/>
      <c r="D91" s="41"/>
      <c r="E91" s="40"/>
      <c r="F91" s="39"/>
      <c r="G91" s="390"/>
      <c r="H91" s="38"/>
      <c r="I91" s="40"/>
      <c r="J91" s="39"/>
      <c r="K91" s="38"/>
      <c r="L91" s="37"/>
      <c r="M91" s="36"/>
      <c r="N91" s="41"/>
      <c r="O91" s="40"/>
      <c r="P91" s="39"/>
      <c r="Q91" s="390"/>
      <c r="R91" s="38"/>
      <c r="S91" s="40"/>
      <c r="T91" s="39"/>
      <c r="U91" s="38"/>
      <c r="V91" s="37"/>
      <c r="W91" s="36"/>
      <c r="X91" s="41"/>
      <c r="Y91" s="461"/>
      <c r="Z91" s="461"/>
      <c r="AA91" s="461"/>
      <c r="AB91" s="461"/>
      <c r="AC91" s="461"/>
      <c r="AD91" s="40"/>
      <c r="AE91" s="39"/>
      <c r="AF91" s="390"/>
      <c r="AG91" s="38"/>
      <c r="AH91" s="40"/>
      <c r="AI91" s="39"/>
      <c r="AJ91" s="38"/>
      <c r="AK91" s="37"/>
      <c r="AL91" s="36"/>
    </row>
    <row r="92" spans="1:38" s="2" customFormat="1">
      <c r="A92" s="35"/>
      <c r="B92" s="45" t="s">
        <v>2</v>
      </c>
      <c r="C92" s="44" t="s">
        <v>8</v>
      </c>
      <c r="D92" s="41"/>
      <c r="E92" s="40"/>
      <c r="F92" s="39"/>
      <c r="G92" s="390"/>
      <c r="H92" s="38"/>
      <c r="I92" s="40">
        <f>+SUM(F92:H92)</f>
        <v>0</v>
      </c>
      <c r="J92" s="39"/>
      <c r="K92" s="38"/>
      <c r="L92" s="37">
        <f>+SUM(J92:K92)</f>
        <v>0</v>
      </c>
      <c r="M92" s="36">
        <f>E92-SUM(I92,L92)</f>
        <v>0</v>
      </c>
      <c r="N92" s="41"/>
      <c r="O92" s="40"/>
      <c r="P92" s="39"/>
      <c r="Q92" s="390"/>
      <c r="R92" s="38"/>
      <c r="S92" s="40">
        <f t="shared" si="42"/>
        <v>0</v>
      </c>
      <c r="T92" s="39"/>
      <c r="U92" s="38"/>
      <c r="V92" s="37">
        <f t="shared" si="62"/>
        <v>0</v>
      </c>
      <c r="W92" s="36">
        <f t="shared" si="44"/>
        <v>0</v>
      </c>
      <c r="X92" s="41"/>
      <c r="Y92" s="461"/>
      <c r="Z92" s="461"/>
      <c r="AA92" s="461"/>
      <c r="AB92" s="461"/>
      <c r="AC92" s="461"/>
      <c r="AD92" s="40">
        <f t="shared" ref="AD92:AG95" si="74">+O92</f>
        <v>0</v>
      </c>
      <c r="AE92" s="39">
        <f t="shared" si="74"/>
        <v>0</v>
      </c>
      <c r="AF92" s="390">
        <f t="shared" si="74"/>
        <v>0</v>
      </c>
      <c r="AG92" s="38">
        <f t="shared" si="74"/>
        <v>0</v>
      </c>
      <c r="AH92" s="40">
        <f t="shared" si="45"/>
        <v>0</v>
      </c>
      <c r="AI92" s="39">
        <f t="shared" ref="AI92:AJ95" si="75">+T92</f>
        <v>0</v>
      </c>
      <c r="AJ92" s="38">
        <f t="shared" si="75"/>
        <v>0</v>
      </c>
      <c r="AK92" s="37">
        <f t="shared" si="46"/>
        <v>0</v>
      </c>
      <c r="AL92" s="36">
        <f t="shared" si="47"/>
        <v>0</v>
      </c>
    </row>
    <row r="93" spans="1:38" s="2" customFormat="1">
      <c r="A93" s="35"/>
      <c r="B93" s="45" t="s">
        <v>2</v>
      </c>
      <c r="C93" s="44" t="s">
        <v>8</v>
      </c>
      <c r="D93" s="41" t="s">
        <v>11</v>
      </c>
      <c r="E93" s="158"/>
      <c r="F93" s="153"/>
      <c r="G93" s="416"/>
      <c r="H93" s="38"/>
      <c r="I93" s="40">
        <f>+SUM(F93:H93)</f>
        <v>0</v>
      </c>
      <c r="J93" s="153"/>
      <c r="K93" s="152"/>
      <c r="L93" s="37">
        <f>+SUM(J93:K93)</f>
        <v>0</v>
      </c>
      <c r="M93" s="36">
        <f>E93-SUM(I93,L93)</f>
        <v>0</v>
      </c>
      <c r="N93" s="41" t="s">
        <v>11</v>
      </c>
      <c r="O93" s="51">
        <f t="shared" ref="O93:Q94" si="76">+E93</f>
        <v>0</v>
      </c>
      <c r="P93" s="39">
        <f t="shared" si="76"/>
        <v>0</v>
      </c>
      <c r="Q93" s="390">
        <f t="shared" si="76"/>
        <v>0</v>
      </c>
      <c r="R93" s="38"/>
      <c r="S93" s="40">
        <f t="shared" si="42"/>
        <v>0</v>
      </c>
      <c r="T93" s="39">
        <f>+J93</f>
        <v>0</v>
      </c>
      <c r="U93" s="38">
        <f t="shared" ref="U93:U95" si="77">+O93-S93-T93</f>
        <v>0</v>
      </c>
      <c r="V93" s="37">
        <f t="shared" si="62"/>
        <v>0</v>
      </c>
      <c r="W93" s="36">
        <f t="shared" si="44"/>
        <v>0</v>
      </c>
      <c r="X93" s="41" t="s">
        <v>11</v>
      </c>
      <c r="Y93" s="461"/>
      <c r="Z93" s="461"/>
      <c r="AA93" s="461"/>
      <c r="AB93" s="461"/>
      <c r="AC93" s="461"/>
      <c r="AD93" s="40">
        <f t="shared" si="74"/>
        <v>0</v>
      </c>
      <c r="AE93" s="39">
        <f t="shared" si="74"/>
        <v>0</v>
      </c>
      <c r="AF93" s="390">
        <f t="shared" si="74"/>
        <v>0</v>
      </c>
      <c r="AG93" s="38">
        <f t="shared" si="74"/>
        <v>0</v>
      </c>
      <c r="AH93" s="40">
        <f t="shared" si="45"/>
        <v>0</v>
      </c>
      <c r="AI93" s="39">
        <f t="shared" si="75"/>
        <v>0</v>
      </c>
      <c r="AJ93" s="38">
        <f t="shared" si="75"/>
        <v>0</v>
      </c>
      <c r="AK93" s="37">
        <f t="shared" si="46"/>
        <v>0</v>
      </c>
      <c r="AL93" s="36">
        <f t="shared" si="47"/>
        <v>0</v>
      </c>
    </row>
    <row r="94" spans="1:38" s="2" customFormat="1">
      <c r="A94" s="35"/>
      <c r="B94" s="45" t="s">
        <v>2</v>
      </c>
      <c r="C94" s="44" t="s">
        <v>8</v>
      </c>
      <c r="D94" s="41" t="s">
        <v>9</v>
      </c>
      <c r="E94" s="158"/>
      <c r="F94" s="153"/>
      <c r="G94" s="416"/>
      <c r="H94" s="38"/>
      <c r="I94" s="40">
        <f>+SUM(F94:H94)</f>
        <v>0</v>
      </c>
      <c r="J94" s="153"/>
      <c r="K94" s="152"/>
      <c r="L94" s="37">
        <f>+SUM(J94:K94)</f>
        <v>0</v>
      </c>
      <c r="M94" s="36">
        <f>E94-SUM(I94,L94)</f>
        <v>0</v>
      </c>
      <c r="N94" s="41" t="s">
        <v>9</v>
      </c>
      <c r="O94" s="51">
        <f t="shared" si="76"/>
        <v>0</v>
      </c>
      <c r="P94" s="39">
        <f t="shared" si="76"/>
        <v>0</v>
      </c>
      <c r="Q94" s="390">
        <f t="shared" si="76"/>
        <v>0</v>
      </c>
      <c r="R94" s="38"/>
      <c r="S94" s="40">
        <f t="shared" si="42"/>
        <v>0</v>
      </c>
      <c r="T94" s="39">
        <f>+J94</f>
        <v>0</v>
      </c>
      <c r="U94" s="38">
        <f t="shared" si="77"/>
        <v>0</v>
      </c>
      <c r="V94" s="37">
        <f t="shared" si="62"/>
        <v>0</v>
      </c>
      <c r="W94" s="36">
        <f t="shared" si="44"/>
        <v>0</v>
      </c>
      <c r="X94" s="41" t="s">
        <v>9</v>
      </c>
      <c r="Y94" s="461"/>
      <c r="Z94" s="461"/>
      <c r="AA94" s="461"/>
      <c r="AB94" s="461"/>
      <c r="AC94" s="461"/>
      <c r="AD94" s="40">
        <f t="shared" si="74"/>
        <v>0</v>
      </c>
      <c r="AE94" s="39">
        <f t="shared" si="74"/>
        <v>0</v>
      </c>
      <c r="AF94" s="390">
        <f t="shared" si="74"/>
        <v>0</v>
      </c>
      <c r="AG94" s="38">
        <f t="shared" si="74"/>
        <v>0</v>
      </c>
      <c r="AH94" s="40">
        <f t="shared" si="45"/>
        <v>0</v>
      </c>
      <c r="AI94" s="39">
        <f t="shared" si="75"/>
        <v>0</v>
      </c>
      <c r="AJ94" s="38">
        <f t="shared" si="75"/>
        <v>0</v>
      </c>
      <c r="AK94" s="37">
        <f t="shared" si="46"/>
        <v>0</v>
      </c>
      <c r="AL94" s="36">
        <f t="shared" si="47"/>
        <v>0</v>
      </c>
    </row>
    <row r="95" spans="1:38" s="2" customFormat="1">
      <c r="A95" s="35"/>
      <c r="B95" s="45" t="s">
        <v>2</v>
      </c>
      <c r="C95" s="44" t="s">
        <v>8</v>
      </c>
      <c r="D95" s="41" t="s">
        <v>6</v>
      </c>
      <c r="E95" s="40">
        <f>+'[2]3条収入'!E66</f>
        <v>0</v>
      </c>
      <c r="F95" s="153"/>
      <c r="G95" s="390"/>
      <c r="H95" s="38"/>
      <c r="I95" s="40">
        <f>+SUM(F95:H95)</f>
        <v>0</v>
      </c>
      <c r="J95" s="39"/>
      <c r="K95" s="152">
        <v>107592046</v>
      </c>
      <c r="L95" s="37">
        <f>+SUM(J95:K95)</f>
        <v>107592046</v>
      </c>
      <c r="M95" s="36">
        <f>E95-SUM(I95,L95)</f>
        <v>-107592046</v>
      </c>
      <c r="N95" s="41" t="s">
        <v>6</v>
      </c>
      <c r="O95" s="151">
        <f>+'[2]3条収入'!AI66</f>
        <v>0</v>
      </c>
      <c r="P95" s="39">
        <f>+F95</f>
        <v>0</v>
      </c>
      <c r="Q95" s="390"/>
      <c r="R95" s="38"/>
      <c r="S95" s="40">
        <f t="shared" si="42"/>
        <v>0</v>
      </c>
      <c r="T95" s="39"/>
      <c r="U95" s="38">
        <f t="shared" si="77"/>
        <v>0</v>
      </c>
      <c r="V95" s="37">
        <f t="shared" si="62"/>
        <v>0</v>
      </c>
      <c r="W95" s="36">
        <f t="shared" si="44"/>
        <v>0</v>
      </c>
      <c r="X95" s="41" t="s">
        <v>6</v>
      </c>
      <c r="Y95" s="461"/>
      <c r="Z95" s="461"/>
      <c r="AA95" s="461"/>
      <c r="AB95" s="461"/>
      <c r="AC95" s="461"/>
      <c r="AD95" s="40">
        <f t="shared" si="74"/>
        <v>0</v>
      </c>
      <c r="AE95" s="39">
        <f t="shared" si="74"/>
        <v>0</v>
      </c>
      <c r="AF95" s="390">
        <f t="shared" si="74"/>
        <v>0</v>
      </c>
      <c r="AG95" s="38">
        <f t="shared" si="74"/>
        <v>0</v>
      </c>
      <c r="AH95" s="40">
        <f t="shared" si="45"/>
        <v>0</v>
      </c>
      <c r="AI95" s="39">
        <f t="shared" si="75"/>
        <v>0</v>
      </c>
      <c r="AJ95" s="38">
        <f t="shared" si="75"/>
        <v>0</v>
      </c>
      <c r="AK95" s="37">
        <f t="shared" si="46"/>
        <v>0</v>
      </c>
      <c r="AL95" s="36">
        <f t="shared" si="47"/>
        <v>0</v>
      </c>
    </row>
    <row r="96" spans="1:38" s="2" customFormat="1" ht="14.25" thickBot="1">
      <c r="A96" s="35"/>
      <c r="B96" s="34"/>
      <c r="C96" s="33"/>
      <c r="D96" s="31"/>
      <c r="E96" s="30"/>
      <c r="F96" s="29"/>
      <c r="G96" s="414"/>
      <c r="H96" s="28"/>
      <c r="I96" s="30"/>
      <c r="J96" s="29"/>
      <c r="K96" s="28"/>
      <c r="L96" s="142"/>
      <c r="M96" s="26"/>
      <c r="N96" s="31"/>
      <c r="O96" s="30"/>
      <c r="P96" s="29"/>
      <c r="Q96" s="414"/>
      <c r="R96" s="28"/>
      <c r="S96" s="30"/>
      <c r="T96" s="29"/>
      <c r="U96" s="28"/>
      <c r="V96" s="142"/>
      <c r="W96" s="26"/>
      <c r="X96" s="31"/>
      <c r="Y96" s="463"/>
      <c r="Z96" s="463"/>
      <c r="AA96" s="463"/>
      <c r="AB96" s="463"/>
      <c r="AC96" s="463"/>
      <c r="AD96" s="30"/>
      <c r="AE96" s="29"/>
      <c r="AF96" s="414"/>
      <c r="AG96" s="28"/>
      <c r="AH96" s="424"/>
      <c r="AI96" s="29"/>
      <c r="AJ96" s="28"/>
      <c r="AK96" s="27"/>
      <c r="AL96" s="26"/>
    </row>
    <row r="97" spans="2:38" ht="14.25" thickTop="1">
      <c r="B97" s="25"/>
      <c r="C97" s="24"/>
      <c r="D97" s="23" t="s">
        <v>5</v>
      </c>
      <c r="E97" s="141">
        <f t="shared" ref="E97:M97" si="78">+SUM(E58:E96)</f>
        <v>30258405695</v>
      </c>
      <c r="F97" s="21">
        <f t="shared" si="78"/>
        <v>4217167185</v>
      </c>
      <c r="G97" s="392">
        <f t="shared" si="78"/>
        <v>4444449</v>
      </c>
      <c r="H97" s="20">
        <f t="shared" si="78"/>
        <v>40065138</v>
      </c>
      <c r="I97" s="402">
        <f t="shared" si="78"/>
        <v>4261676772</v>
      </c>
      <c r="J97" s="21">
        <f t="shared" si="78"/>
        <v>195929696</v>
      </c>
      <c r="K97" s="20">
        <f t="shared" si="78"/>
        <v>25630966405</v>
      </c>
      <c r="L97" s="19">
        <f t="shared" si="78"/>
        <v>25826896101</v>
      </c>
      <c r="M97" s="17">
        <f t="shared" si="78"/>
        <v>-107592046</v>
      </c>
      <c r="N97" s="23" t="s">
        <v>5</v>
      </c>
      <c r="O97" s="141">
        <f t="shared" ref="O97:W97" si="79">+SUM(O58:O96)</f>
        <v>28373855981</v>
      </c>
      <c r="P97" s="21">
        <f t="shared" si="79"/>
        <v>4213536266</v>
      </c>
      <c r="Q97" s="392">
        <f t="shared" si="79"/>
        <v>4398330</v>
      </c>
      <c r="R97" s="20">
        <f t="shared" si="79"/>
        <v>36594136</v>
      </c>
      <c r="S97" s="402">
        <f t="shared" si="79"/>
        <v>4254528732</v>
      </c>
      <c r="T97" s="21">
        <f t="shared" si="79"/>
        <v>195929696</v>
      </c>
      <c r="U97" s="20">
        <f t="shared" si="79"/>
        <v>23923397553</v>
      </c>
      <c r="V97" s="19">
        <f t="shared" si="79"/>
        <v>24119327249</v>
      </c>
      <c r="W97" s="17">
        <f t="shared" si="79"/>
        <v>0</v>
      </c>
      <c r="X97" s="23" t="s">
        <v>5</v>
      </c>
      <c r="Y97" s="459"/>
      <c r="Z97" s="459"/>
      <c r="AA97" s="459"/>
      <c r="AB97" s="459"/>
      <c r="AC97" s="459"/>
      <c r="AD97" s="22">
        <f t="shared" ref="AD97:AL97" si="80">+SUM(AD58:AD96)</f>
        <v>28375736546</v>
      </c>
      <c r="AE97" s="21">
        <f t="shared" si="80"/>
        <v>4213536266</v>
      </c>
      <c r="AF97" s="392">
        <f t="shared" si="80"/>
        <v>4398330</v>
      </c>
      <c r="AG97" s="20">
        <f t="shared" si="80"/>
        <v>36594136</v>
      </c>
      <c r="AH97" s="402">
        <f t="shared" si="80"/>
        <v>4254528732</v>
      </c>
      <c r="AI97" s="21">
        <f t="shared" si="80"/>
        <v>195929696</v>
      </c>
      <c r="AJ97" s="20">
        <f t="shared" si="80"/>
        <v>23925278118</v>
      </c>
      <c r="AK97" s="19">
        <f t="shared" si="80"/>
        <v>24121207814</v>
      </c>
      <c r="AL97" s="17">
        <f t="shared" si="80"/>
        <v>0</v>
      </c>
    </row>
    <row r="98" spans="2:38">
      <c r="B98" s="14" t="s">
        <v>4</v>
      </c>
      <c r="C98" s="16"/>
      <c r="D98" s="15" t="s">
        <v>3</v>
      </c>
      <c r="E98" s="140">
        <f>+SUMIFS(E$58:E$96,$B$58:$B$96,$B98)</f>
        <v>20756574100</v>
      </c>
      <c r="F98" s="10">
        <f t="shared" ref="F98:M99" si="81">+SUMIFS(F$58:F$96,$B$58:$B$96,$B98)</f>
        <v>49120269</v>
      </c>
      <c r="G98" s="398">
        <f t="shared" si="81"/>
        <v>507311</v>
      </c>
      <c r="H98" s="9">
        <f t="shared" si="81"/>
        <v>40065138</v>
      </c>
      <c r="I98" s="422">
        <f t="shared" si="81"/>
        <v>89692718</v>
      </c>
      <c r="J98" s="10">
        <f t="shared" si="81"/>
        <v>298760</v>
      </c>
      <c r="K98" s="9">
        <f t="shared" si="81"/>
        <v>20666582622</v>
      </c>
      <c r="L98" s="8">
        <f t="shared" si="81"/>
        <v>20666881382</v>
      </c>
      <c r="M98" s="6">
        <f t="shared" si="81"/>
        <v>0</v>
      </c>
      <c r="N98" s="15" t="s">
        <v>3</v>
      </c>
      <c r="O98" s="140">
        <f>+SUMIFS(O$58:O$96,$B$58:$B$96,$B98)</f>
        <v>18872024386</v>
      </c>
      <c r="P98" s="10">
        <f t="shared" ref="P98:W99" si="82">+SUMIFS(P$58:P$96,$B$58:$B$96,$B98)</f>
        <v>45489350</v>
      </c>
      <c r="Q98" s="398">
        <f t="shared" si="82"/>
        <v>461192</v>
      </c>
      <c r="R98" s="9">
        <f t="shared" si="82"/>
        <v>36594136</v>
      </c>
      <c r="S98" s="422">
        <f t="shared" si="82"/>
        <v>82544678</v>
      </c>
      <c r="T98" s="10">
        <f t="shared" si="82"/>
        <v>298760</v>
      </c>
      <c r="U98" s="9">
        <f t="shared" si="82"/>
        <v>18789180948</v>
      </c>
      <c r="V98" s="8">
        <f t="shared" si="82"/>
        <v>18789479708</v>
      </c>
      <c r="W98" s="6">
        <f t="shared" si="82"/>
        <v>0</v>
      </c>
      <c r="X98" s="15" t="s">
        <v>3</v>
      </c>
      <c r="Y98" s="445"/>
      <c r="Z98" s="445"/>
      <c r="AA98" s="445"/>
      <c r="AB98" s="445"/>
      <c r="AC98" s="445"/>
      <c r="AD98" s="140">
        <f>+SUMIFS(AD$58:AD$96,$B$58:$B$96,$B98)</f>
        <v>18873904951</v>
      </c>
      <c r="AE98" s="10">
        <f t="shared" ref="AE98:AL99" si="83">+SUMIFS(AE$58:AE$96,$B$58:$B$96,$B98)</f>
        <v>45489350</v>
      </c>
      <c r="AF98" s="398">
        <f t="shared" si="83"/>
        <v>461192</v>
      </c>
      <c r="AG98" s="9">
        <f t="shared" si="83"/>
        <v>36594136</v>
      </c>
      <c r="AH98" s="422">
        <f t="shared" si="83"/>
        <v>82544678</v>
      </c>
      <c r="AI98" s="10">
        <f t="shared" si="83"/>
        <v>298760</v>
      </c>
      <c r="AJ98" s="9">
        <f t="shared" si="83"/>
        <v>18791061513</v>
      </c>
      <c r="AK98" s="8">
        <f t="shared" si="83"/>
        <v>18791360273</v>
      </c>
      <c r="AL98" s="6">
        <f t="shared" si="83"/>
        <v>0</v>
      </c>
    </row>
    <row r="99" spans="2:38">
      <c r="B99" s="14" t="s">
        <v>2</v>
      </c>
      <c r="C99" s="16"/>
      <c r="D99" s="15" t="s">
        <v>1</v>
      </c>
      <c r="E99" s="140">
        <f t="shared" ref="E99:O99" si="84">+SUMIFS(E$58:E$96,$B$58:$B$96,$B99)</f>
        <v>9501831595</v>
      </c>
      <c r="F99" s="10">
        <f t="shared" si="81"/>
        <v>4168046916</v>
      </c>
      <c r="G99" s="398">
        <f t="shared" si="81"/>
        <v>3937138</v>
      </c>
      <c r="H99" s="9">
        <f t="shared" si="81"/>
        <v>0</v>
      </c>
      <c r="I99" s="422">
        <f t="shared" si="81"/>
        <v>4171984054</v>
      </c>
      <c r="J99" s="10">
        <f t="shared" si="81"/>
        <v>195630936</v>
      </c>
      <c r="K99" s="9">
        <f t="shared" si="81"/>
        <v>4964383783</v>
      </c>
      <c r="L99" s="8">
        <f t="shared" si="81"/>
        <v>5160014719</v>
      </c>
      <c r="M99" s="6">
        <f t="shared" si="81"/>
        <v>-107592046</v>
      </c>
      <c r="N99" s="15" t="s">
        <v>1</v>
      </c>
      <c r="O99" s="140">
        <f t="shared" si="84"/>
        <v>9501831595</v>
      </c>
      <c r="P99" s="10">
        <f t="shared" si="82"/>
        <v>4168046916</v>
      </c>
      <c r="Q99" s="398">
        <f t="shared" si="82"/>
        <v>3937138</v>
      </c>
      <c r="R99" s="9">
        <f t="shared" si="82"/>
        <v>0</v>
      </c>
      <c r="S99" s="422">
        <f t="shared" si="82"/>
        <v>4171984054</v>
      </c>
      <c r="T99" s="10">
        <f t="shared" si="82"/>
        <v>195630936</v>
      </c>
      <c r="U99" s="9">
        <f t="shared" si="82"/>
        <v>5134216605</v>
      </c>
      <c r="V99" s="8">
        <f t="shared" si="82"/>
        <v>5329847541</v>
      </c>
      <c r="W99" s="6">
        <f t="shared" si="82"/>
        <v>0</v>
      </c>
      <c r="X99" s="15" t="s">
        <v>1</v>
      </c>
      <c r="Y99" s="445"/>
      <c r="Z99" s="445"/>
      <c r="AA99" s="445"/>
      <c r="AB99" s="445"/>
      <c r="AC99" s="445"/>
      <c r="AD99" s="140">
        <f t="shared" ref="AD99" si="85">+SUMIFS(AD$58:AD$96,$B$58:$B$96,$B99)</f>
        <v>9501831595</v>
      </c>
      <c r="AE99" s="10">
        <f t="shared" si="83"/>
        <v>4168046916</v>
      </c>
      <c r="AF99" s="398">
        <f t="shared" si="83"/>
        <v>3937138</v>
      </c>
      <c r="AG99" s="9">
        <f t="shared" si="83"/>
        <v>0</v>
      </c>
      <c r="AH99" s="422">
        <f t="shared" si="83"/>
        <v>4171984054</v>
      </c>
      <c r="AI99" s="10">
        <f t="shared" si="83"/>
        <v>195630936</v>
      </c>
      <c r="AJ99" s="9">
        <f t="shared" si="83"/>
        <v>5134216605</v>
      </c>
      <c r="AK99" s="8">
        <f t="shared" si="83"/>
        <v>5329847541</v>
      </c>
      <c r="AL99" s="6">
        <f t="shared" si="83"/>
        <v>0</v>
      </c>
    </row>
    <row r="100" spans="2:38">
      <c r="B100" s="14"/>
      <c r="C100" s="13"/>
      <c r="D100" s="12" t="s">
        <v>0</v>
      </c>
      <c r="E100" s="11">
        <f t="shared" ref="E100:L100" si="86">+SUM(E58:E96)</f>
        <v>30258405695</v>
      </c>
      <c r="F100" s="10">
        <f t="shared" si="86"/>
        <v>4217167185</v>
      </c>
      <c r="G100" s="398">
        <f t="shared" si="86"/>
        <v>4444449</v>
      </c>
      <c r="H100" s="9">
        <f t="shared" si="86"/>
        <v>40065138</v>
      </c>
      <c r="I100" s="422">
        <f t="shared" si="86"/>
        <v>4261676772</v>
      </c>
      <c r="J100" s="10">
        <f t="shared" si="86"/>
        <v>195929696</v>
      </c>
      <c r="K100" s="9">
        <f t="shared" si="86"/>
        <v>25630966405</v>
      </c>
      <c r="L100" s="8">
        <f t="shared" si="86"/>
        <v>25826896101</v>
      </c>
      <c r="M100" s="6">
        <f>+SUM(M58:M74,M68:M78,M79:M84,M85:M87,M88:M91,M92:M96)</f>
        <v>-107592046</v>
      </c>
      <c r="N100" s="12" t="s">
        <v>0</v>
      </c>
      <c r="O100" s="11">
        <f>+SUM(O58:O96)</f>
        <v>28373855981</v>
      </c>
      <c r="P100" s="10">
        <f t="shared" ref="P100:V100" si="87">+SUM(P58:P96)</f>
        <v>4213536266</v>
      </c>
      <c r="Q100" s="398">
        <f t="shared" si="87"/>
        <v>4398330</v>
      </c>
      <c r="R100" s="9">
        <f t="shared" si="87"/>
        <v>36594136</v>
      </c>
      <c r="S100" s="422">
        <f t="shared" si="87"/>
        <v>4254528732</v>
      </c>
      <c r="T100" s="10">
        <f t="shared" si="87"/>
        <v>195929696</v>
      </c>
      <c r="U100" s="9">
        <f t="shared" si="87"/>
        <v>23923397553</v>
      </c>
      <c r="V100" s="8">
        <f t="shared" si="87"/>
        <v>24119327249</v>
      </c>
      <c r="W100" s="6">
        <f>+SUM(W58:W74,W68:W78,W79:W84,W85:W87,W88:W91,W92:W96)</f>
        <v>0</v>
      </c>
      <c r="X100" s="12" t="s">
        <v>0</v>
      </c>
      <c r="Y100" s="460"/>
      <c r="Z100" s="460"/>
      <c r="AA100" s="460"/>
      <c r="AB100" s="460"/>
      <c r="AC100" s="460"/>
      <c r="AD100" s="11">
        <f>+SUM(AD58:AD96)</f>
        <v>28375736546</v>
      </c>
      <c r="AE100" s="10">
        <f t="shared" ref="AE100:AK100" si="88">+SUM(AE58:AE96)</f>
        <v>4213536266</v>
      </c>
      <c r="AF100" s="398">
        <f t="shared" si="88"/>
        <v>4398330</v>
      </c>
      <c r="AG100" s="9">
        <f t="shared" si="88"/>
        <v>36594136</v>
      </c>
      <c r="AH100" s="422">
        <f t="shared" si="88"/>
        <v>4254528732</v>
      </c>
      <c r="AI100" s="10">
        <f t="shared" si="88"/>
        <v>195929696</v>
      </c>
      <c r="AJ100" s="9">
        <f t="shared" si="88"/>
        <v>23925278118</v>
      </c>
      <c r="AK100" s="8">
        <f t="shared" si="88"/>
        <v>24121207814</v>
      </c>
      <c r="AL100" s="6">
        <f>+SUM(AL58:AL72,AL73:AL78,AL79:AL84,AL85:AL87,AL88:AL91,AL92:AL96)</f>
        <v>0</v>
      </c>
    </row>
    <row r="101" spans="2:38">
      <c r="D101" s="4"/>
      <c r="E101" s="5">
        <f>+E100-('[2]3条収入'!$E$70-'[2]3条収入'!$E$9-'[2]3条収入'!$E$42)</f>
        <v>0</v>
      </c>
      <c r="F101" s="5"/>
      <c r="G101" s="5"/>
      <c r="H101" s="5"/>
      <c r="I101" s="4"/>
      <c r="J101" s="5"/>
      <c r="K101" s="5"/>
      <c r="L101" s="4"/>
      <c r="M101" s="5"/>
      <c r="N101" s="4"/>
      <c r="O101" s="5">
        <f>+O100-('[2]3条収入'!$AI$70-'[2]3条収入'!$AI$9-'[2]3条収入'!$AI$42)</f>
        <v>0</v>
      </c>
      <c r="P101" s="5"/>
      <c r="Q101" s="5"/>
      <c r="R101" s="5"/>
      <c r="S101" s="4"/>
      <c r="T101" s="5"/>
      <c r="U101" s="5"/>
      <c r="V101" s="4"/>
      <c r="W101" s="5"/>
      <c r="X101" s="4"/>
      <c r="Y101" s="4"/>
      <c r="Z101" s="4"/>
      <c r="AA101" s="4"/>
      <c r="AB101" s="4"/>
      <c r="AC101" s="4"/>
      <c r="AD101" s="5">
        <f>+AD100-('[2]3条収入'!$AI$69-'[2]3条収入'!$AI$9-'[2]3条収入'!$AI$42)</f>
        <v>0</v>
      </c>
      <c r="AE101" s="5"/>
      <c r="AF101" s="5"/>
      <c r="AG101" s="5"/>
      <c r="AH101" s="4"/>
      <c r="AI101" s="5"/>
      <c r="AJ101" s="5"/>
      <c r="AK101" s="4"/>
      <c r="AL101" s="4"/>
    </row>
    <row r="103" spans="2:38">
      <c r="D103" s="1" t="str">
        <f>+$D$1</f>
        <v>令和５年度決算　消費税算出資料</v>
      </c>
      <c r="E103" s="5"/>
      <c r="F103" s="5"/>
      <c r="G103" s="5"/>
      <c r="H103" s="5"/>
      <c r="I103" s="5"/>
      <c r="J103" s="5"/>
      <c r="K103" s="5"/>
      <c r="L103" s="5"/>
      <c r="M103" s="5"/>
      <c r="N103" s="1" t="str">
        <f>+$D$1</f>
        <v>令和５年度決算　消費税算出資料</v>
      </c>
      <c r="O103" s="2"/>
      <c r="U103" s="2"/>
      <c r="V103" s="1"/>
      <c r="W103" s="1"/>
      <c r="X103" s="1" t="str">
        <f>+$D$1</f>
        <v>令和５年度決算　消費税算出資料</v>
      </c>
      <c r="AA103" s="1"/>
      <c r="AB103" s="1"/>
      <c r="AC103" s="1"/>
      <c r="AE103" s="2"/>
      <c r="AI103" s="2"/>
    </row>
    <row r="104" spans="2:38">
      <c r="D104" s="114" t="s">
        <v>372</v>
      </c>
      <c r="E104" s="5"/>
      <c r="F104" s="5"/>
      <c r="G104" s="5"/>
      <c r="H104" s="5"/>
      <c r="I104" s="5"/>
      <c r="J104" s="5"/>
      <c r="K104" s="5"/>
      <c r="L104" s="5"/>
      <c r="M104" s="53" t="str">
        <f>+IF(COUNTIF(M109:M130,0)=COUNT(M109:M130),"","↓エラーあり")</f>
        <v/>
      </c>
      <c r="N104" s="1" t="s">
        <v>373</v>
      </c>
      <c r="O104" s="2"/>
      <c r="U104" s="2"/>
      <c r="V104" s="1"/>
      <c r="W104" s="53" t="str">
        <f>+IF(COUNTIF(W109:W130,0)=COUNT(W109:W130),"","↓エラーあり")</f>
        <v/>
      </c>
      <c r="X104" s="1" t="s">
        <v>124</v>
      </c>
      <c r="AA104" s="1"/>
      <c r="AB104" s="1"/>
      <c r="AC104" s="1"/>
      <c r="AE104" s="2"/>
      <c r="AI104" s="2"/>
      <c r="AL104" s="53" t="str">
        <f>+IF(COUNTIF(AL109:AL137,0)=COUNT(AL109:AL137),"","↓エラーあり")</f>
        <v/>
      </c>
    </row>
    <row r="105" spans="2:38">
      <c r="D105" s="576" t="s">
        <v>93</v>
      </c>
      <c r="E105" s="589" t="s">
        <v>92</v>
      </c>
      <c r="F105" s="590"/>
      <c r="G105" s="590"/>
      <c r="H105" s="590"/>
      <c r="I105" s="590"/>
      <c r="J105" s="590"/>
      <c r="K105" s="590"/>
      <c r="L105" s="590"/>
      <c r="M105" s="591"/>
      <c r="N105" s="576" t="s">
        <v>93</v>
      </c>
      <c r="O105" s="589" t="s">
        <v>123</v>
      </c>
      <c r="P105" s="590"/>
      <c r="Q105" s="590"/>
      <c r="R105" s="590"/>
      <c r="S105" s="590"/>
      <c r="T105" s="590"/>
      <c r="U105" s="590"/>
      <c r="V105" s="590"/>
      <c r="W105" s="591"/>
      <c r="X105" s="576" t="s">
        <v>93</v>
      </c>
      <c r="Y105" s="589" t="s">
        <v>114</v>
      </c>
      <c r="Z105" s="590"/>
      <c r="AA105" s="590"/>
      <c r="AB105" s="590"/>
      <c r="AC105" s="590"/>
      <c r="AD105" s="590"/>
      <c r="AE105" s="590"/>
      <c r="AF105" s="590"/>
      <c r="AG105" s="590"/>
      <c r="AH105" s="590"/>
      <c r="AI105" s="590"/>
      <c r="AJ105" s="590"/>
      <c r="AK105" s="590"/>
      <c r="AL105" s="591"/>
    </row>
    <row r="106" spans="2:38">
      <c r="D106" s="577"/>
      <c r="E106" s="592" t="s">
        <v>87</v>
      </c>
      <c r="F106" s="589" t="s">
        <v>86</v>
      </c>
      <c r="G106" s="590"/>
      <c r="H106" s="590"/>
      <c r="I106" s="591"/>
      <c r="J106" s="589" t="s">
        <v>85</v>
      </c>
      <c r="K106" s="590"/>
      <c r="L106" s="591"/>
      <c r="M106" s="594" t="s">
        <v>83</v>
      </c>
      <c r="N106" s="577"/>
      <c r="O106" s="598" t="s">
        <v>121</v>
      </c>
      <c r="P106" s="589" t="s">
        <v>86</v>
      </c>
      <c r="Q106" s="590"/>
      <c r="R106" s="590"/>
      <c r="S106" s="591"/>
      <c r="T106" s="589" t="s">
        <v>85</v>
      </c>
      <c r="U106" s="590"/>
      <c r="V106" s="591"/>
      <c r="W106" s="579" t="s">
        <v>83</v>
      </c>
      <c r="X106" s="577"/>
      <c r="Y106" s="599" t="s">
        <v>122</v>
      </c>
      <c r="Z106" s="599" t="s">
        <v>113</v>
      </c>
      <c r="AA106" s="601" t="s">
        <v>112</v>
      </c>
      <c r="AB106" s="604" t="s">
        <v>111</v>
      </c>
      <c r="AC106" s="483" t="s">
        <v>110</v>
      </c>
      <c r="AD106" s="592" t="s">
        <v>109</v>
      </c>
      <c r="AE106" s="589" t="s">
        <v>86</v>
      </c>
      <c r="AF106" s="590"/>
      <c r="AG106" s="590"/>
      <c r="AH106" s="591"/>
      <c r="AI106" s="589" t="s">
        <v>85</v>
      </c>
      <c r="AJ106" s="590"/>
      <c r="AK106" s="591"/>
      <c r="AL106" s="579" t="s">
        <v>83</v>
      </c>
    </row>
    <row r="107" spans="2:38">
      <c r="D107" s="577"/>
      <c r="E107" s="593"/>
      <c r="F107" s="113" t="s">
        <v>82</v>
      </c>
      <c r="G107" s="385" t="s">
        <v>82</v>
      </c>
      <c r="H107" s="112" t="s">
        <v>80</v>
      </c>
      <c r="I107" s="482" t="s">
        <v>81</v>
      </c>
      <c r="J107" s="113" t="s">
        <v>82</v>
      </c>
      <c r="K107" s="112" t="s">
        <v>80</v>
      </c>
      <c r="L107" s="111" t="s">
        <v>81</v>
      </c>
      <c r="M107" s="580"/>
      <c r="N107" s="577"/>
      <c r="O107" s="582"/>
      <c r="P107" s="113" t="s">
        <v>82</v>
      </c>
      <c r="Q107" s="385" t="s">
        <v>82</v>
      </c>
      <c r="R107" s="112" t="s">
        <v>80</v>
      </c>
      <c r="S107" s="482" t="s">
        <v>81</v>
      </c>
      <c r="T107" s="113" t="s">
        <v>82</v>
      </c>
      <c r="U107" s="112" t="s">
        <v>80</v>
      </c>
      <c r="V107" s="111" t="s">
        <v>81</v>
      </c>
      <c r="W107" s="580"/>
      <c r="X107" s="577"/>
      <c r="Y107" s="577"/>
      <c r="Z107" s="600"/>
      <c r="AA107" s="602"/>
      <c r="AB107" s="605"/>
      <c r="AC107" s="484" t="s">
        <v>107</v>
      </c>
      <c r="AD107" s="593"/>
      <c r="AE107" s="113" t="s">
        <v>82</v>
      </c>
      <c r="AF107" s="385" t="s">
        <v>82</v>
      </c>
      <c r="AG107" s="112" t="s">
        <v>80</v>
      </c>
      <c r="AH107" s="482" t="s">
        <v>81</v>
      </c>
      <c r="AI107" s="113" t="s">
        <v>82</v>
      </c>
      <c r="AJ107" s="112" t="s">
        <v>80</v>
      </c>
      <c r="AK107" s="111" t="s">
        <v>81</v>
      </c>
      <c r="AL107" s="580"/>
    </row>
    <row r="108" spans="2:38">
      <c r="D108" s="577"/>
      <c r="E108" s="593"/>
      <c r="F108" s="109" t="s">
        <v>78</v>
      </c>
      <c r="G108" s="386" t="s">
        <v>79</v>
      </c>
      <c r="H108" s="411" t="s">
        <v>84</v>
      </c>
      <c r="I108" s="401"/>
      <c r="J108" s="109" t="s">
        <v>78</v>
      </c>
      <c r="K108" s="108" t="s">
        <v>78</v>
      </c>
      <c r="L108" s="107"/>
      <c r="M108" s="580"/>
      <c r="N108" s="577"/>
      <c r="O108" s="582"/>
      <c r="P108" s="109" t="s">
        <v>78</v>
      </c>
      <c r="Q108" s="386" t="s">
        <v>79</v>
      </c>
      <c r="R108" s="411" t="s">
        <v>84</v>
      </c>
      <c r="S108" s="401"/>
      <c r="T108" s="109" t="s">
        <v>78</v>
      </c>
      <c r="U108" s="108" t="s">
        <v>78</v>
      </c>
      <c r="V108" s="107"/>
      <c r="W108" s="580"/>
      <c r="X108" s="577"/>
      <c r="Y108" s="577"/>
      <c r="Z108" s="600"/>
      <c r="AA108" s="603"/>
      <c r="AB108" s="606"/>
      <c r="AC108" s="484"/>
      <c r="AD108" s="593"/>
      <c r="AE108" s="109" t="s">
        <v>78</v>
      </c>
      <c r="AF108" s="386" t="s">
        <v>79</v>
      </c>
      <c r="AG108" s="411" t="s">
        <v>84</v>
      </c>
      <c r="AH108" s="401"/>
      <c r="AI108" s="109" t="s">
        <v>78</v>
      </c>
      <c r="AJ108" s="108" t="s">
        <v>78</v>
      </c>
      <c r="AK108" s="107"/>
      <c r="AL108" s="580"/>
    </row>
    <row r="109" spans="2:38">
      <c r="D109" s="93" t="s">
        <v>75</v>
      </c>
      <c r="E109" s="91">
        <f>+SUM(E110,E116:E118)</f>
        <v>15884362884</v>
      </c>
      <c r="F109" s="90">
        <f>+SUM(F110,F116:F118)</f>
        <v>14072961573</v>
      </c>
      <c r="G109" s="393">
        <f>+SUM(G110,G116:G118)</f>
        <v>692889463</v>
      </c>
      <c r="H109" s="89">
        <f>+SUM(H110,H116:H118)</f>
        <v>803927113</v>
      </c>
      <c r="I109" s="403">
        <f>+SUM(F109:H109)</f>
        <v>15569778149</v>
      </c>
      <c r="J109" s="90">
        <f>+SUM(J110,J116:J118)</f>
        <v>314584735</v>
      </c>
      <c r="K109" s="89">
        <f>+SUM(K110,K116:K118)</f>
        <v>0</v>
      </c>
      <c r="L109" s="88">
        <f t="shared" ref="L109:L126" si="89">+SUM(J109:K109)</f>
        <v>314584735</v>
      </c>
      <c r="M109" s="86">
        <f>E109-SUM(I109,L109)</f>
        <v>0</v>
      </c>
      <c r="N109" s="93" t="s">
        <v>75</v>
      </c>
      <c r="O109" s="186">
        <f>+SUM(O110,O116:O118)</f>
        <v>15672376825</v>
      </c>
      <c r="P109" s="185">
        <f>+SUM(P110,P116:P118)</f>
        <v>13677572777</v>
      </c>
      <c r="Q109" s="387">
        <f>+SUM(Q110,Q116:Q118)</f>
        <v>329946410</v>
      </c>
      <c r="R109" s="184">
        <f>+SUM(R110,R116:R118)</f>
        <v>400407490</v>
      </c>
      <c r="S109" s="101">
        <f t="shared" ref="S109:S115" si="90">+SUM(P109:R109)</f>
        <v>14407926677</v>
      </c>
      <c r="T109" s="185">
        <f>+SUM(T110,T116:T118)</f>
        <v>1264450148</v>
      </c>
      <c r="U109" s="184">
        <f>+SUM(U110,U116:U118)</f>
        <v>0</v>
      </c>
      <c r="V109" s="95">
        <f t="shared" ref="V109:V124" si="91">+SUM(T109:U109)</f>
        <v>1264450148</v>
      </c>
      <c r="W109" s="94">
        <f>O109-SUM(S109,V109)</f>
        <v>0</v>
      </c>
      <c r="X109" s="93" t="s">
        <v>75</v>
      </c>
      <c r="Y109" s="136">
        <f>+SUM(Y110,Y116:Y118)</f>
        <v>12956155708</v>
      </c>
      <c r="Z109" s="92">
        <f>+SUM(Z110,Z116:Z118)</f>
        <v>209752468</v>
      </c>
      <c r="AA109" s="92">
        <f>+SUM(AA110,AA116:AA118)</f>
        <v>2228406</v>
      </c>
      <c r="AB109" s="92">
        <f>+O109+Z109+AA109</f>
        <v>15884357699</v>
      </c>
      <c r="AC109" s="92">
        <f>+SUM(AC110,AC116:AC118)</f>
        <v>5185</v>
      </c>
      <c r="AD109" s="91">
        <f>+SUM(AD110,AD116:AD118)</f>
        <v>211986059</v>
      </c>
      <c r="AE109" s="90">
        <f>+SUM(AE110,AE116:AE118)</f>
        <v>395388796</v>
      </c>
      <c r="AF109" s="393">
        <f>+SUM(AF110,AF116:AF118)</f>
        <v>362943053</v>
      </c>
      <c r="AG109" s="89">
        <f>+SUM(AG110,AG116:AG118)</f>
        <v>403519623</v>
      </c>
      <c r="AH109" s="403">
        <f>+SUM(AE109:AG109)</f>
        <v>1161851472</v>
      </c>
      <c r="AI109" s="90">
        <f>+SUM(AI110,AI116:AI118)</f>
        <v>-949865413</v>
      </c>
      <c r="AJ109" s="89">
        <f>+SUM(AJ110,AJ116:AJ118)</f>
        <v>0</v>
      </c>
      <c r="AK109" s="88">
        <f t="shared" ref="AK109:AK128" si="92">+SUM(AI109:AJ109)</f>
        <v>-949865413</v>
      </c>
      <c r="AL109" s="86">
        <f>AD109-SUM(AH109,AK109)</f>
        <v>0</v>
      </c>
    </row>
    <row r="110" spans="2:38">
      <c r="D110" s="85" t="s">
        <v>72</v>
      </c>
      <c r="E110" s="83">
        <f>+SUM(E111:E113)</f>
        <v>15767373103</v>
      </c>
      <c r="F110" s="82">
        <f>+SUM(F111:F113)</f>
        <v>14072961573</v>
      </c>
      <c r="G110" s="394">
        <f>+SUM(G111:G113)</f>
        <v>692889463</v>
      </c>
      <c r="H110" s="81">
        <f>+SUM(H111:H113)</f>
        <v>773857958</v>
      </c>
      <c r="I110" s="404">
        <f t="shared" ref="I110:I126" si="93">+SUM(F110:H110)</f>
        <v>15539708994</v>
      </c>
      <c r="J110" s="82">
        <f>+SUM(J111:J113)</f>
        <v>227664109</v>
      </c>
      <c r="K110" s="81">
        <f>+SUM(K111:K113)</f>
        <v>0</v>
      </c>
      <c r="L110" s="80">
        <f t="shared" si="89"/>
        <v>227664109</v>
      </c>
      <c r="M110" s="79">
        <f t="shared" ref="M110:M126" si="94">E110-SUM(I110,L110)</f>
        <v>0</v>
      </c>
      <c r="N110" s="85" t="s">
        <v>72</v>
      </c>
      <c r="O110" s="183">
        <f>+SUM(O111:O113)</f>
        <v>15557462956</v>
      </c>
      <c r="P110" s="182">
        <f>+SUM(P111:P113)</f>
        <v>13677572777</v>
      </c>
      <c r="Q110" s="388">
        <f>+SUM(Q111:Q113)</f>
        <v>329946410</v>
      </c>
      <c r="R110" s="181">
        <f>+SUM(R111:R113)</f>
        <v>370736664</v>
      </c>
      <c r="S110" s="183">
        <f t="shared" si="90"/>
        <v>14378255851</v>
      </c>
      <c r="T110" s="182">
        <f>+SUM(T111:T113)</f>
        <v>1179207105</v>
      </c>
      <c r="U110" s="181">
        <f>+SUM(U111:U113)</f>
        <v>0</v>
      </c>
      <c r="V110" s="180">
        <f t="shared" si="91"/>
        <v>1179207105</v>
      </c>
      <c r="W110" s="84">
        <f t="shared" ref="W110:W126" si="95">O110-SUM(S110,V110)</f>
        <v>0</v>
      </c>
      <c r="X110" s="85" t="s">
        <v>72</v>
      </c>
      <c r="Y110" s="84">
        <f>+SUM(Y111:Y113)</f>
        <v>12839165927</v>
      </c>
      <c r="Z110" s="79">
        <f>+SUM(Z111:Z113)</f>
        <v>207718222</v>
      </c>
      <c r="AA110" s="79">
        <f>+SUM(AA111:AA113)</f>
        <v>2206794</v>
      </c>
      <c r="AB110" s="79">
        <f>+O110+Z110+AA110</f>
        <v>15767387972</v>
      </c>
      <c r="AC110" s="79">
        <f>+SUM(AC111:AC113)</f>
        <v>-14869</v>
      </c>
      <c r="AD110" s="83">
        <f>+SUM(AD111:AD113)</f>
        <v>209910147</v>
      </c>
      <c r="AE110" s="82">
        <f>+SUM(AE111:AE113)</f>
        <v>395388796</v>
      </c>
      <c r="AF110" s="394">
        <f>+SUM(AF111:AF113)</f>
        <v>362943053</v>
      </c>
      <c r="AG110" s="81">
        <f>+SUM(AG111:AG113)</f>
        <v>403121294</v>
      </c>
      <c r="AH110" s="404">
        <f t="shared" ref="AH110:AH128" si="96">+SUM(AE110:AG110)</f>
        <v>1161453143</v>
      </c>
      <c r="AI110" s="82">
        <f>+SUM(AI111:AI113)</f>
        <v>-951542996</v>
      </c>
      <c r="AJ110" s="81">
        <f>+SUM(AJ111:AJ113)</f>
        <v>0</v>
      </c>
      <c r="AK110" s="80">
        <f t="shared" si="92"/>
        <v>-951542996</v>
      </c>
      <c r="AL110" s="79">
        <f t="shared" ref="AL110:AL137" si="97">AD110-SUM(AH110,AK110)</f>
        <v>0</v>
      </c>
    </row>
    <row r="111" spans="2:38">
      <c r="D111" s="41" t="s">
        <v>47</v>
      </c>
      <c r="E111" s="73">
        <f>+SUM(I111,L111)</f>
        <v>7425561813</v>
      </c>
      <c r="F111" s="78">
        <f>+P111+AE111+AE137</f>
        <v>6077873498</v>
      </c>
      <c r="G111" s="400">
        <f>+Q111+AF111+AF137</f>
        <v>562542296</v>
      </c>
      <c r="H111" s="76">
        <f>+R111+AG111+AG137</f>
        <v>782112774</v>
      </c>
      <c r="I111" s="73">
        <f t="shared" si="93"/>
        <v>7422528568</v>
      </c>
      <c r="J111" s="77">
        <f>+T111+AI111+AI137</f>
        <v>3033245</v>
      </c>
      <c r="K111" s="76">
        <f>+IF(SUM(U131:U133,-U125)&gt;=0,U111+AJ111,U111+AJ111+AJ135+AJ137)</f>
        <v>0</v>
      </c>
      <c r="L111" s="68">
        <f t="shared" si="89"/>
        <v>3033245</v>
      </c>
      <c r="M111" s="67">
        <f t="shared" si="94"/>
        <v>0</v>
      </c>
      <c r="N111" s="41" t="s">
        <v>47</v>
      </c>
      <c r="O111" s="40">
        <f>+SUM(S111,V111)</f>
        <v>2634711253</v>
      </c>
      <c r="P111" s="48">
        <f>+P47-P98-SUM(P116:P118,P126)</f>
        <v>2156529311</v>
      </c>
      <c r="Q111" s="389">
        <f>+Q47-Q98-SUM(Q116:Q118,Q126)</f>
        <v>199599243</v>
      </c>
      <c r="R111" s="38">
        <f>+R47-R98-SUM(R116:R118,R126)</f>
        <v>277506454</v>
      </c>
      <c r="S111" s="40">
        <f t="shared" si="90"/>
        <v>2633635008</v>
      </c>
      <c r="T111" s="48">
        <f>+T47-T98-SUM(T116:T118,T126)</f>
        <v>1076245</v>
      </c>
      <c r="U111" s="47">
        <f>+IF(U134&gt;0,0,-U134)</f>
        <v>0</v>
      </c>
      <c r="V111" s="37">
        <f t="shared" si="91"/>
        <v>1076245</v>
      </c>
      <c r="W111" s="36">
        <f t="shared" si="95"/>
        <v>0</v>
      </c>
      <c r="X111" s="41" t="s">
        <v>47</v>
      </c>
      <c r="Y111" s="46">
        <f>+E47-K47-(E98-K98)-SUM(Y116:Y118,Y126)+IF(Y141&gt;0,0,-Y141)</f>
        <v>4381812271</v>
      </c>
      <c r="Z111" s="75">
        <f>+Z130-SUM(Z112:Z113,Z116:Z120,Z128)</f>
        <v>205191428</v>
      </c>
      <c r="AA111" s="75">
        <f>+AA130-SUM(AA112:AA113,AA116:AA120,AA128)</f>
        <v>2179949</v>
      </c>
      <c r="AB111" s="67">
        <f>+O111+Z111+AA111</f>
        <v>2842082630</v>
      </c>
      <c r="AC111" s="75">
        <f>-SUM(AC112:AC113,AC116:AC120)</f>
        <v>4583479183</v>
      </c>
      <c r="AD111" s="166">
        <f>+AD130-SUM(AD112:AD113,AD116:AD120,AD128)</f>
        <v>4790850560</v>
      </c>
      <c r="AE111" s="72">
        <f t="shared" ref="AE111:AG112" si="98">+IFERROR(ROUND($AD111*P111/$O111,0),0)</f>
        <v>3921344187</v>
      </c>
      <c r="AF111" s="391">
        <f t="shared" si="98"/>
        <v>362943053</v>
      </c>
      <c r="AG111" s="54">
        <f t="shared" si="98"/>
        <v>504606320</v>
      </c>
      <c r="AH111" s="73">
        <f t="shared" si="96"/>
        <v>4788893560</v>
      </c>
      <c r="AI111" s="69">
        <f>+IFERROR(ROUND($AD111*T111/$O111,0),0)</f>
        <v>1957000</v>
      </c>
      <c r="AJ111" s="54">
        <f>+IFERROR(ROUND($AD111*U111/$O111,0),0)</f>
        <v>0</v>
      </c>
      <c r="AK111" s="68">
        <f t="shared" si="92"/>
        <v>1957000</v>
      </c>
      <c r="AL111" s="67">
        <f t="shared" si="97"/>
        <v>0</v>
      </c>
    </row>
    <row r="112" spans="2:38">
      <c r="D112" s="41" t="s">
        <v>45</v>
      </c>
      <c r="E112" s="73">
        <f>+SUM(I112,L112)</f>
        <v>8692651134</v>
      </c>
      <c r="F112" s="72">
        <f>+P112+AE112</f>
        <v>8260115187</v>
      </c>
      <c r="G112" s="391">
        <f>+Q112+AF112</f>
        <v>130347167</v>
      </c>
      <c r="H112" s="54">
        <f>+R112+AG112</f>
        <v>0</v>
      </c>
      <c r="I112" s="73">
        <f t="shared" si="93"/>
        <v>8390462354</v>
      </c>
      <c r="J112" s="69">
        <f>+T112+AI112</f>
        <v>302188780</v>
      </c>
      <c r="K112" s="54">
        <f>+U112+AJ112</f>
        <v>0</v>
      </c>
      <c r="L112" s="68">
        <f t="shared" si="89"/>
        <v>302188780</v>
      </c>
      <c r="M112" s="67">
        <f t="shared" si="94"/>
        <v>0</v>
      </c>
      <c r="N112" s="41" t="s">
        <v>45</v>
      </c>
      <c r="O112" s="40">
        <f>+SUM(S112,V112)</f>
        <v>8692651134</v>
      </c>
      <c r="P112" s="39">
        <f>+P48-P99-P113</f>
        <v>8260115187</v>
      </c>
      <c r="Q112" s="390">
        <f>+Q48-Q99-Q113</f>
        <v>130347167</v>
      </c>
      <c r="R112" s="38">
        <f>+R48-R99-R113</f>
        <v>0</v>
      </c>
      <c r="S112" s="40">
        <f t="shared" si="90"/>
        <v>8390462354</v>
      </c>
      <c r="T112" s="39">
        <f>+T48-T99-T113</f>
        <v>302188780</v>
      </c>
      <c r="U112" s="38"/>
      <c r="V112" s="37">
        <f t="shared" si="91"/>
        <v>302188780</v>
      </c>
      <c r="W112" s="36">
        <f t="shared" si="95"/>
        <v>0</v>
      </c>
      <c r="X112" s="41" t="s">
        <v>45</v>
      </c>
      <c r="Y112" s="36">
        <f>+E48-K48-(E99-K99)-Y113</f>
        <v>8793951394</v>
      </c>
      <c r="Z112" s="67">
        <f>+'[2]3条収入'!AH12</f>
        <v>0</v>
      </c>
      <c r="AA112" s="67">
        <f>+ROUND($AA$130*$Z112/$Z$130,0)</f>
        <v>0</v>
      </c>
      <c r="AB112" s="67">
        <f>+O112+Z112+AA112</f>
        <v>8692651134</v>
      </c>
      <c r="AC112" s="67">
        <f>+IF((Y112-AB112)&lt;0,(Y112-AB112),0)</f>
        <v>0</v>
      </c>
      <c r="AD112" s="70">
        <f>+IF(AC112&lt;0,SUM(Z112:AA112,AC112),SUM(Z112:AA112))</f>
        <v>0</v>
      </c>
      <c r="AE112" s="72">
        <f t="shared" si="98"/>
        <v>0</v>
      </c>
      <c r="AF112" s="391">
        <f t="shared" si="98"/>
        <v>0</v>
      </c>
      <c r="AG112" s="54">
        <f t="shared" si="98"/>
        <v>0</v>
      </c>
      <c r="AH112" s="73">
        <f t="shared" si="96"/>
        <v>0</v>
      </c>
      <c r="AI112" s="69">
        <f>+IFERROR(ROUND($AD112*T112/$O112,0),0)</f>
        <v>0</v>
      </c>
      <c r="AJ112" s="54">
        <f>+IFERROR(ROUND($AD112*U112/$O112,0),0)</f>
        <v>0</v>
      </c>
      <c r="AK112" s="68">
        <f t="shared" si="92"/>
        <v>0</v>
      </c>
      <c r="AL112" s="67">
        <f t="shared" si="97"/>
        <v>0</v>
      </c>
    </row>
    <row r="113" spans="4:38">
      <c r="D113" s="41" t="s">
        <v>44</v>
      </c>
      <c r="E113" s="36">
        <f>+SUM(E114:E115)</f>
        <v>-350839844</v>
      </c>
      <c r="F113" s="51">
        <f>+SUM(F114:F115)</f>
        <v>-265027112</v>
      </c>
      <c r="G113" s="390">
        <f>+SUM(G114:G115)</f>
        <v>0</v>
      </c>
      <c r="H113" s="54">
        <f>+SUM(H114:H115)</f>
        <v>-8254816</v>
      </c>
      <c r="I113" s="73">
        <f t="shared" si="93"/>
        <v>-273281928</v>
      </c>
      <c r="J113" s="69">
        <f>+SUM(J114:J115)</f>
        <v>-77557916</v>
      </c>
      <c r="K113" s="54">
        <f>+SUM(K114:K115)</f>
        <v>0</v>
      </c>
      <c r="L113" s="68">
        <f t="shared" si="89"/>
        <v>-77557916</v>
      </c>
      <c r="M113" s="67">
        <f t="shared" si="94"/>
        <v>0</v>
      </c>
      <c r="N113" s="41" t="s">
        <v>44</v>
      </c>
      <c r="O113" s="40">
        <f>+SUM(O114:O115)</f>
        <v>4230100569</v>
      </c>
      <c r="P113" s="39">
        <f>+SUM(P114:P115)</f>
        <v>3260928279</v>
      </c>
      <c r="Q113" s="390">
        <f>+SUM(Q114:Q115)</f>
        <v>0</v>
      </c>
      <c r="R113" s="54">
        <f>+SUM(R114:R115)</f>
        <v>93230210</v>
      </c>
      <c r="S113" s="40">
        <f t="shared" si="90"/>
        <v>3354158489</v>
      </c>
      <c r="T113" s="39">
        <f>+SUM(T114:T115)</f>
        <v>875942080</v>
      </c>
      <c r="U113" s="38">
        <f>+SUM(U114:U115)</f>
        <v>0</v>
      </c>
      <c r="V113" s="37">
        <f t="shared" si="91"/>
        <v>875942080</v>
      </c>
      <c r="W113" s="36">
        <f t="shared" si="95"/>
        <v>0</v>
      </c>
      <c r="X113" s="41" t="s">
        <v>44</v>
      </c>
      <c r="Y113" s="36">
        <f>+SUM(Y114:Y115)</f>
        <v>-336597738</v>
      </c>
      <c r="Z113" s="36">
        <f t="shared" ref="Z113:AF113" si="99">+SUM(Z114:Z115)</f>
        <v>2526794</v>
      </c>
      <c r="AA113" s="67">
        <f t="shared" si="99"/>
        <v>26845</v>
      </c>
      <c r="AB113" s="36">
        <f t="shared" si="99"/>
        <v>4232654208</v>
      </c>
      <c r="AC113" s="36">
        <f t="shared" si="99"/>
        <v>-4583494052</v>
      </c>
      <c r="AD113" s="36">
        <f t="shared" si="99"/>
        <v>-4580940413</v>
      </c>
      <c r="AE113" s="51">
        <f t="shared" si="99"/>
        <v>-3525955391</v>
      </c>
      <c r="AF113" s="390">
        <f t="shared" si="99"/>
        <v>0</v>
      </c>
      <c r="AG113" s="54">
        <f>+SUM(AG114:AG115)</f>
        <v>-101485026</v>
      </c>
      <c r="AH113" s="73">
        <f t="shared" si="96"/>
        <v>-3627440417</v>
      </c>
      <c r="AI113" s="69">
        <f>+SUM(AI114:AI115)</f>
        <v>-953499996</v>
      </c>
      <c r="AJ113" s="54">
        <f>+SUM(AJ114:AJ115)</f>
        <v>0</v>
      </c>
      <c r="AK113" s="68">
        <f t="shared" si="92"/>
        <v>-953499996</v>
      </c>
      <c r="AL113" s="67">
        <f t="shared" si="97"/>
        <v>0</v>
      </c>
    </row>
    <row r="114" spans="4:38">
      <c r="D114" s="41" t="s">
        <v>63</v>
      </c>
      <c r="E114" s="73">
        <f>+SUM(I114,L114)</f>
        <v>-372822492</v>
      </c>
      <c r="F114" s="72">
        <f t="shared" ref="F114:H118" si="100">+P114+AE114</f>
        <v>-287009760</v>
      </c>
      <c r="G114" s="391">
        <f t="shared" si="100"/>
        <v>0</v>
      </c>
      <c r="H114" s="54">
        <f t="shared" si="100"/>
        <v>-8254816</v>
      </c>
      <c r="I114" s="73">
        <f t="shared" si="93"/>
        <v>-295264576</v>
      </c>
      <c r="J114" s="69">
        <f t="shared" ref="J114:K118" si="101">+T114+AI114</f>
        <v>-77557916</v>
      </c>
      <c r="K114" s="54">
        <f t="shared" si="101"/>
        <v>0</v>
      </c>
      <c r="L114" s="68">
        <f t="shared" si="89"/>
        <v>-77557916</v>
      </c>
      <c r="M114" s="67">
        <f t="shared" si="94"/>
        <v>0</v>
      </c>
      <c r="N114" s="41" t="s">
        <v>63</v>
      </c>
      <c r="O114" s="40">
        <f>+SUM(S114,V114)</f>
        <v>4210671560</v>
      </c>
      <c r="P114" s="39">
        <f t="shared" ref="P114:R115" si="102">+P37-P88</f>
        <v>3241499270</v>
      </c>
      <c r="Q114" s="390">
        <f t="shared" si="102"/>
        <v>0</v>
      </c>
      <c r="R114" s="54">
        <f t="shared" si="102"/>
        <v>93230210</v>
      </c>
      <c r="S114" s="40">
        <f t="shared" si="90"/>
        <v>3334729480</v>
      </c>
      <c r="T114" s="39">
        <f>+T37-T88</f>
        <v>875942080</v>
      </c>
      <c r="U114" s="38"/>
      <c r="V114" s="37">
        <f t="shared" si="91"/>
        <v>875942080</v>
      </c>
      <c r="W114" s="36">
        <f t="shared" si="95"/>
        <v>0</v>
      </c>
      <c r="X114" s="41" t="s">
        <v>63</v>
      </c>
      <c r="Y114" s="36">
        <f>+(E37-K37)-(E88-K88)</f>
        <v>-372822492</v>
      </c>
      <c r="Z114" s="67"/>
      <c r="AA114" s="67">
        <f>+ROUND($AA$130*$Z114/$Z$130,0)</f>
        <v>0</v>
      </c>
      <c r="AB114" s="67">
        <f>+O114+Z114+AA114</f>
        <v>4210671560</v>
      </c>
      <c r="AC114" s="67">
        <f>+IF((Y114-AB114)&lt;0,(Y114-AB114),0)</f>
        <v>-4583494052</v>
      </c>
      <c r="AD114" s="70">
        <f>+IF(AC114&lt;0,SUM(Z114:AA114,AC114),SUM(Z114:AA114))</f>
        <v>-4583494052</v>
      </c>
      <c r="AE114" s="72">
        <f t="shared" ref="AE114:AG118" si="103">+IFERROR(ROUND($AD114*P114/$O114,0),0)</f>
        <v>-3528509030</v>
      </c>
      <c r="AF114" s="391">
        <f t="shared" si="103"/>
        <v>0</v>
      </c>
      <c r="AG114" s="54">
        <f t="shared" si="103"/>
        <v>-101485026</v>
      </c>
      <c r="AH114" s="73">
        <f t="shared" si="96"/>
        <v>-3629994056</v>
      </c>
      <c r="AI114" s="69">
        <f t="shared" ref="AI114:AJ118" si="104">+IFERROR(ROUND($AD114*T114/$O114,0),0)</f>
        <v>-953499996</v>
      </c>
      <c r="AJ114" s="54">
        <f t="shared" si="104"/>
        <v>0</v>
      </c>
      <c r="AK114" s="68">
        <f t="shared" si="92"/>
        <v>-953499996</v>
      </c>
      <c r="AL114" s="67">
        <f t="shared" si="97"/>
        <v>0</v>
      </c>
    </row>
    <row r="115" spans="4:38">
      <c r="D115" s="74" t="s">
        <v>61</v>
      </c>
      <c r="E115" s="73">
        <f>+SUM(I115,L115)</f>
        <v>21982648</v>
      </c>
      <c r="F115" s="72">
        <f t="shared" si="100"/>
        <v>21982648</v>
      </c>
      <c r="G115" s="391">
        <f t="shared" si="100"/>
        <v>0</v>
      </c>
      <c r="H115" s="54">
        <f t="shared" si="100"/>
        <v>0</v>
      </c>
      <c r="I115" s="73">
        <f t="shared" si="93"/>
        <v>21982648</v>
      </c>
      <c r="J115" s="69">
        <f t="shared" si="101"/>
        <v>0</v>
      </c>
      <c r="K115" s="54">
        <f t="shared" si="101"/>
        <v>0</v>
      </c>
      <c r="L115" s="68">
        <f t="shared" si="89"/>
        <v>0</v>
      </c>
      <c r="M115" s="67">
        <f t="shared" si="94"/>
        <v>0</v>
      </c>
      <c r="N115" s="74" t="s">
        <v>61</v>
      </c>
      <c r="O115" s="40">
        <f t="shared" ref="O115:O118" si="105">+SUM(S115,V115)</f>
        <v>19429009</v>
      </c>
      <c r="P115" s="39">
        <f t="shared" si="102"/>
        <v>19429009</v>
      </c>
      <c r="Q115" s="390">
        <f t="shared" si="102"/>
        <v>0</v>
      </c>
      <c r="R115" s="54">
        <f t="shared" si="102"/>
        <v>0</v>
      </c>
      <c r="S115" s="40">
        <f t="shared" si="90"/>
        <v>19429009</v>
      </c>
      <c r="T115" s="39">
        <f>+T38-T89</f>
        <v>0</v>
      </c>
      <c r="U115" s="38"/>
      <c r="V115" s="37">
        <f t="shared" si="91"/>
        <v>0</v>
      </c>
      <c r="W115" s="36">
        <f t="shared" si="95"/>
        <v>0</v>
      </c>
      <c r="X115" s="74" t="s">
        <v>61</v>
      </c>
      <c r="Y115" s="36">
        <f>+(E38-K38)-(E89-K89)</f>
        <v>36224754</v>
      </c>
      <c r="Z115" s="67">
        <f>+'[2]3条収入'!AH13</f>
        <v>2526794</v>
      </c>
      <c r="AA115" s="67">
        <f>+ROUND($AA$130*$Z115/$Z$130,0)</f>
        <v>26845</v>
      </c>
      <c r="AB115" s="67">
        <f>+O115+Z115+AA115</f>
        <v>21982648</v>
      </c>
      <c r="AC115" s="67">
        <f>+IF((Y115-AB115)&lt;0,(Y115-AB115),0)</f>
        <v>0</v>
      </c>
      <c r="AD115" s="70">
        <f>+IF(AC115&lt;0,SUM(Z115:AA115,AC115),SUM(Z115:AA115))</f>
        <v>2553639</v>
      </c>
      <c r="AE115" s="72">
        <f t="shared" si="103"/>
        <v>2553639</v>
      </c>
      <c r="AF115" s="391">
        <f t="shared" si="103"/>
        <v>0</v>
      </c>
      <c r="AG115" s="54">
        <f t="shared" si="103"/>
        <v>0</v>
      </c>
      <c r="AH115" s="73">
        <f t="shared" si="96"/>
        <v>2553639</v>
      </c>
      <c r="AI115" s="69">
        <f t="shared" si="104"/>
        <v>0</v>
      </c>
      <c r="AJ115" s="54">
        <f t="shared" si="104"/>
        <v>0</v>
      </c>
      <c r="AK115" s="68">
        <f t="shared" si="92"/>
        <v>0</v>
      </c>
      <c r="AL115" s="67">
        <f t="shared" si="97"/>
        <v>0</v>
      </c>
    </row>
    <row r="116" spans="4:38">
      <c r="D116" s="41" t="s">
        <v>59</v>
      </c>
      <c r="E116" s="73">
        <f>+SUM(I116,L116)</f>
        <v>52443869</v>
      </c>
      <c r="F116" s="72">
        <f t="shared" si="100"/>
        <v>0</v>
      </c>
      <c r="G116" s="391">
        <f t="shared" si="100"/>
        <v>0</v>
      </c>
      <c r="H116" s="54">
        <f t="shared" si="100"/>
        <v>0</v>
      </c>
      <c r="I116" s="73">
        <f t="shared" si="93"/>
        <v>0</v>
      </c>
      <c r="J116" s="69">
        <f t="shared" si="101"/>
        <v>52443869</v>
      </c>
      <c r="K116" s="54">
        <f t="shared" si="101"/>
        <v>0</v>
      </c>
      <c r="L116" s="68">
        <f t="shared" si="89"/>
        <v>52443869</v>
      </c>
      <c r="M116" s="67">
        <f t="shared" si="94"/>
        <v>0</v>
      </c>
      <c r="N116" s="41" t="s">
        <v>59</v>
      </c>
      <c r="O116" s="40">
        <f t="shared" si="105"/>
        <v>51313295</v>
      </c>
      <c r="P116" s="39">
        <f>+P8</f>
        <v>0</v>
      </c>
      <c r="Q116" s="390">
        <f>+Q8</f>
        <v>0</v>
      </c>
      <c r="R116" s="38">
        <f>+R8</f>
        <v>0</v>
      </c>
      <c r="S116" s="40">
        <f t="shared" ref="S116:S118" si="106">+SUM(P116:R116)</f>
        <v>0</v>
      </c>
      <c r="T116" s="39">
        <f>+T8</f>
        <v>51313295</v>
      </c>
      <c r="U116" s="38"/>
      <c r="V116" s="37">
        <f t="shared" si="91"/>
        <v>51313295</v>
      </c>
      <c r="W116" s="36">
        <f t="shared" si="95"/>
        <v>0</v>
      </c>
      <c r="X116" s="41" t="s">
        <v>59</v>
      </c>
      <c r="Y116" s="36">
        <f>+E8-K8</f>
        <v>52443869</v>
      </c>
      <c r="Z116" s="67">
        <f>+'[2]3条収入'!AH14</f>
        <v>1106201</v>
      </c>
      <c r="AA116" s="67">
        <f>+ROUND($AA$130*$Z116/$Z$130,0)</f>
        <v>11752</v>
      </c>
      <c r="AB116" s="67">
        <f>+O116+Z116+AA116</f>
        <v>52431248</v>
      </c>
      <c r="AC116" s="75">
        <f>Y116-AB116</f>
        <v>12621</v>
      </c>
      <c r="AD116" s="139">
        <f>SUM(Z116:AA116,AC116)</f>
        <v>1130574</v>
      </c>
      <c r="AE116" s="72">
        <f t="shared" si="103"/>
        <v>0</v>
      </c>
      <c r="AF116" s="391">
        <f t="shared" si="103"/>
        <v>0</v>
      </c>
      <c r="AG116" s="54">
        <f t="shared" si="103"/>
        <v>0</v>
      </c>
      <c r="AH116" s="73">
        <f t="shared" si="96"/>
        <v>0</v>
      </c>
      <c r="AI116" s="69">
        <f t="shared" si="104"/>
        <v>1130574</v>
      </c>
      <c r="AJ116" s="54">
        <f t="shared" si="104"/>
        <v>0</v>
      </c>
      <c r="AK116" s="68">
        <f t="shared" si="92"/>
        <v>1130574</v>
      </c>
      <c r="AL116" s="67">
        <f t="shared" si="97"/>
        <v>0</v>
      </c>
    </row>
    <row r="117" spans="4:38">
      <c r="D117" s="41" t="s">
        <v>56</v>
      </c>
      <c r="E117" s="73">
        <f>+SUM(I117,L117)</f>
        <v>54062053</v>
      </c>
      <c r="F117" s="72">
        <f t="shared" si="100"/>
        <v>0</v>
      </c>
      <c r="G117" s="391">
        <f t="shared" si="100"/>
        <v>0</v>
      </c>
      <c r="H117" s="54">
        <f t="shared" si="100"/>
        <v>19585296</v>
      </c>
      <c r="I117" s="73">
        <f t="shared" si="93"/>
        <v>19585296</v>
      </c>
      <c r="J117" s="69">
        <f t="shared" si="101"/>
        <v>34476757</v>
      </c>
      <c r="K117" s="54">
        <f t="shared" si="101"/>
        <v>0</v>
      </c>
      <c r="L117" s="68">
        <f t="shared" si="89"/>
        <v>34476757</v>
      </c>
      <c r="M117" s="67">
        <f t="shared" si="94"/>
        <v>0</v>
      </c>
      <c r="N117" s="41" t="s">
        <v>56</v>
      </c>
      <c r="O117" s="40">
        <f t="shared" si="105"/>
        <v>53204304</v>
      </c>
      <c r="P117" s="39">
        <f t="shared" ref="P117:R118" si="107">+P12</f>
        <v>0</v>
      </c>
      <c r="Q117" s="390">
        <f t="shared" si="107"/>
        <v>0</v>
      </c>
      <c r="R117" s="38">
        <f t="shared" si="107"/>
        <v>19274556</v>
      </c>
      <c r="S117" s="40">
        <f t="shared" si="106"/>
        <v>19274556</v>
      </c>
      <c r="T117" s="39">
        <f>+T12</f>
        <v>33929748</v>
      </c>
      <c r="U117" s="38"/>
      <c r="V117" s="37">
        <f t="shared" si="91"/>
        <v>33929748</v>
      </c>
      <c r="W117" s="36">
        <f t="shared" si="95"/>
        <v>0</v>
      </c>
      <c r="X117" s="41" t="s">
        <v>56</v>
      </c>
      <c r="Y117" s="36">
        <f>+E12-K12</f>
        <v>54062053</v>
      </c>
      <c r="Z117" s="67">
        <f>+'[2]3条収入'!AH15</f>
        <v>841187</v>
      </c>
      <c r="AA117" s="67">
        <f>+ROUND($AA$130*$Z117/$Z$130,0)</f>
        <v>8937</v>
      </c>
      <c r="AB117" s="67">
        <f>+O117+Z117+AA117</f>
        <v>54054428</v>
      </c>
      <c r="AC117" s="75">
        <f>Y117-AB117</f>
        <v>7625</v>
      </c>
      <c r="AD117" s="139">
        <f>SUM(Z117:AA117,AC117)</f>
        <v>857749</v>
      </c>
      <c r="AE117" s="72">
        <f t="shared" si="103"/>
        <v>0</v>
      </c>
      <c r="AF117" s="391">
        <f t="shared" si="103"/>
        <v>0</v>
      </c>
      <c r="AG117" s="54">
        <f t="shared" si="103"/>
        <v>310740</v>
      </c>
      <c r="AH117" s="73">
        <f t="shared" si="96"/>
        <v>310740</v>
      </c>
      <c r="AI117" s="69">
        <f t="shared" si="104"/>
        <v>547009</v>
      </c>
      <c r="AJ117" s="54">
        <f t="shared" si="104"/>
        <v>0</v>
      </c>
      <c r="AK117" s="68">
        <f t="shared" si="92"/>
        <v>547009</v>
      </c>
      <c r="AL117" s="67">
        <f t="shared" si="97"/>
        <v>0</v>
      </c>
    </row>
    <row r="118" spans="4:38">
      <c r="D118" s="67" t="s">
        <v>54</v>
      </c>
      <c r="E118" s="73">
        <f>+SUM(I118,L118)</f>
        <v>10483859</v>
      </c>
      <c r="F118" s="72">
        <f t="shared" si="100"/>
        <v>0</v>
      </c>
      <c r="G118" s="391">
        <f t="shared" si="100"/>
        <v>0</v>
      </c>
      <c r="H118" s="54">
        <f t="shared" si="100"/>
        <v>10483859</v>
      </c>
      <c r="I118" s="73">
        <f t="shared" si="93"/>
        <v>10483859</v>
      </c>
      <c r="J118" s="69">
        <f t="shared" si="101"/>
        <v>0</v>
      </c>
      <c r="K118" s="54">
        <f t="shared" si="101"/>
        <v>0</v>
      </c>
      <c r="L118" s="68">
        <f t="shared" si="89"/>
        <v>0</v>
      </c>
      <c r="M118" s="67">
        <f t="shared" si="94"/>
        <v>0</v>
      </c>
      <c r="N118" s="67" t="s">
        <v>54</v>
      </c>
      <c r="O118" s="40">
        <f t="shared" si="105"/>
        <v>10396270</v>
      </c>
      <c r="P118" s="39">
        <f t="shared" si="107"/>
        <v>0</v>
      </c>
      <c r="Q118" s="391">
        <f t="shared" si="107"/>
        <v>0</v>
      </c>
      <c r="R118" s="54">
        <f t="shared" si="107"/>
        <v>10396270</v>
      </c>
      <c r="S118" s="73">
        <f t="shared" si="106"/>
        <v>10396270</v>
      </c>
      <c r="T118" s="69">
        <f>+T13</f>
        <v>0</v>
      </c>
      <c r="U118" s="54"/>
      <c r="V118" s="68">
        <f t="shared" si="91"/>
        <v>0</v>
      </c>
      <c r="W118" s="36">
        <f t="shared" si="95"/>
        <v>0</v>
      </c>
      <c r="X118" s="67" t="s">
        <v>54</v>
      </c>
      <c r="Y118" s="36">
        <f>+E13-K13</f>
        <v>10483859</v>
      </c>
      <c r="Z118" s="67">
        <f>+'[2]3条収入'!AH16</f>
        <v>86858</v>
      </c>
      <c r="AA118" s="67">
        <f>+ROUND($AA$130*$Z118/$Z$130,0)</f>
        <v>923</v>
      </c>
      <c r="AB118" s="67">
        <f>+O118+Z118+AA118</f>
        <v>10484051</v>
      </c>
      <c r="AC118" s="75">
        <f>Y118-AB118</f>
        <v>-192</v>
      </c>
      <c r="AD118" s="139">
        <f>SUM(Z118:AA118,AC118)</f>
        <v>87589</v>
      </c>
      <c r="AE118" s="72">
        <f t="shared" si="103"/>
        <v>0</v>
      </c>
      <c r="AF118" s="391">
        <f t="shared" si="103"/>
        <v>0</v>
      </c>
      <c r="AG118" s="54">
        <f t="shared" si="103"/>
        <v>87589</v>
      </c>
      <c r="AH118" s="73">
        <f t="shared" si="96"/>
        <v>87589</v>
      </c>
      <c r="AI118" s="69">
        <f t="shared" si="104"/>
        <v>0</v>
      </c>
      <c r="AJ118" s="54">
        <f t="shared" si="104"/>
        <v>0</v>
      </c>
      <c r="AK118" s="68">
        <f t="shared" si="92"/>
        <v>0</v>
      </c>
      <c r="AL118" s="67">
        <f t="shared" si="97"/>
        <v>0</v>
      </c>
    </row>
    <row r="119" spans="4:38">
      <c r="D119" s="67"/>
      <c r="E119" s="70"/>
      <c r="F119" s="72"/>
      <c r="G119" s="391"/>
      <c r="H119" s="54"/>
      <c r="I119" s="73"/>
      <c r="J119" s="69"/>
      <c r="K119" s="54"/>
      <c r="L119" s="68"/>
      <c r="M119" s="67"/>
      <c r="N119" s="67"/>
      <c r="O119" s="40"/>
      <c r="P119" s="39"/>
      <c r="Q119" s="391"/>
      <c r="R119" s="54"/>
      <c r="S119" s="73"/>
      <c r="T119" s="69"/>
      <c r="U119" s="54"/>
      <c r="V119" s="68"/>
      <c r="W119" s="36"/>
      <c r="X119" s="67"/>
      <c r="Y119" s="36"/>
      <c r="Z119" s="67"/>
      <c r="AA119" s="67"/>
      <c r="AB119" s="67"/>
      <c r="AC119" s="75"/>
      <c r="AD119" s="70"/>
      <c r="AE119" s="72"/>
      <c r="AF119" s="391"/>
      <c r="AG119" s="54"/>
      <c r="AH119" s="73"/>
      <c r="AI119" s="69"/>
      <c r="AJ119" s="54"/>
      <c r="AK119" s="68"/>
      <c r="AL119" s="67"/>
    </row>
    <row r="120" spans="4:38">
      <c r="D120" s="67" t="s">
        <v>52</v>
      </c>
      <c r="E120" s="70">
        <f>+SUM(E121,E126)</f>
        <v>9203253</v>
      </c>
      <c r="F120" s="69">
        <f>+SUM(F121,F126)</f>
        <v>0</v>
      </c>
      <c r="G120" s="391">
        <f>+SUM(G121,G126)</f>
        <v>0</v>
      </c>
      <c r="H120" s="54">
        <f>+SUM(H121,H126)</f>
        <v>9198273</v>
      </c>
      <c r="I120" s="73">
        <f t="shared" si="93"/>
        <v>9198273</v>
      </c>
      <c r="J120" s="69">
        <f>+SUM(J121,J126)</f>
        <v>0</v>
      </c>
      <c r="K120" s="54">
        <f>+SUM(K121,K126)</f>
        <v>4980</v>
      </c>
      <c r="L120" s="68">
        <f t="shared" si="89"/>
        <v>4980</v>
      </c>
      <c r="M120" s="67">
        <f t="shared" si="94"/>
        <v>0</v>
      </c>
      <c r="N120" s="67" t="s">
        <v>52</v>
      </c>
      <c r="O120" s="73">
        <f>+SUM(O121,O126)</f>
        <v>8715204</v>
      </c>
      <c r="P120" s="69">
        <f>+SUM(P121,P126)</f>
        <v>0</v>
      </c>
      <c r="Q120" s="391">
        <f>+SUM(Q121,Q126)</f>
        <v>0</v>
      </c>
      <c r="R120" s="54">
        <f>+SUM(R121,R126)</f>
        <v>8710224</v>
      </c>
      <c r="S120" s="73">
        <f>+SUM(P120:R120)</f>
        <v>8710224</v>
      </c>
      <c r="T120" s="69">
        <f>+SUM(T121,T126)</f>
        <v>0</v>
      </c>
      <c r="U120" s="54">
        <f>+SUM(U121,U126)</f>
        <v>4980</v>
      </c>
      <c r="V120" s="68">
        <f t="shared" si="91"/>
        <v>4980</v>
      </c>
      <c r="W120" s="36">
        <f t="shared" si="95"/>
        <v>0</v>
      </c>
      <c r="X120" s="67" t="s">
        <v>52</v>
      </c>
      <c r="Y120" s="67">
        <f>+SUM(Y121,Y126)</f>
        <v>9203253</v>
      </c>
      <c r="Z120" s="67">
        <f>+SUM(Z121,Z126)</f>
        <v>488049</v>
      </c>
      <c r="AA120" s="67">
        <f>+SUM(AA121,AA126)</f>
        <v>5185</v>
      </c>
      <c r="AB120" s="67">
        <f t="shared" ref="AB120:AB126" si="108">+O120+Z120+AA120</f>
        <v>9208438</v>
      </c>
      <c r="AC120" s="67">
        <f>+SUM(AC121,AC126)</f>
        <v>-5185</v>
      </c>
      <c r="AD120" s="70">
        <f>+SUM(AD121,AD126)</f>
        <v>488049</v>
      </c>
      <c r="AE120" s="69">
        <f>+SUM(AE121,AE126)</f>
        <v>0</v>
      </c>
      <c r="AF120" s="391">
        <f>+SUM(AF121,AF126)</f>
        <v>0</v>
      </c>
      <c r="AG120" s="54">
        <f>+SUM(AG121,AG126)</f>
        <v>488049</v>
      </c>
      <c r="AH120" s="73">
        <f t="shared" si="96"/>
        <v>488049</v>
      </c>
      <c r="AI120" s="69">
        <f>+SUM(AI121,AI126)</f>
        <v>0</v>
      </c>
      <c r="AJ120" s="54">
        <f>+SUM(AJ121,AJ126)</f>
        <v>0</v>
      </c>
      <c r="AK120" s="68">
        <f t="shared" si="92"/>
        <v>0</v>
      </c>
      <c r="AL120" s="67">
        <f t="shared" si="97"/>
        <v>0</v>
      </c>
    </row>
    <row r="121" spans="4:38">
      <c r="D121" s="67" t="s">
        <v>50</v>
      </c>
      <c r="E121" s="70">
        <f>+SUM(E122:E125)</f>
        <v>4980</v>
      </c>
      <c r="F121" s="69">
        <f>+SUM(F122:F125)</f>
        <v>0</v>
      </c>
      <c r="G121" s="391">
        <f>+SUM(G122:G125)</f>
        <v>0</v>
      </c>
      <c r="H121" s="54">
        <f>+SUM(H122:H125)</f>
        <v>0</v>
      </c>
      <c r="I121" s="73">
        <f t="shared" si="93"/>
        <v>0</v>
      </c>
      <c r="J121" s="69">
        <f>+SUM(J122:J125)</f>
        <v>0</v>
      </c>
      <c r="K121" s="54">
        <f>+SUM(K122:K125)</f>
        <v>4980</v>
      </c>
      <c r="L121" s="68">
        <f t="shared" si="89"/>
        <v>4980</v>
      </c>
      <c r="M121" s="67">
        <f t="shared" si="94"/>
        <v>0</v>
      </c>
      <c r="N121" s="67" t="s">
        <v>50</v>
      </c>
      <c r="O121" s="73">
        <f>+SUM(O122:O125)</f>
        <v>4980</v>
      </c>
      <c r="P121" s="69">
        <f>+SUM(P122:P125)</f>
        <v>0</v>
      </c>
      <c r="Q121" s="391">
        <f>+SUM(Q122:Q125)</f>
        <v>0</v>
      </c>
      <c r="R121" s="54">
        <f>+SUM(R122:R125)</f>
        <v>0</v>
      </c>
      <c r="S121" s="73">
        <f>+SUM(P121:R121)</f>
        <v>0</v>
      </c>
      <c r="T121" s="69">
        <f>+SUM(T122:T125)</f>
        <v>0</v>
      </c>
      <c r="U121" s="54">
        <f>+SUM(U122:U125)</f>
        <v>4980</v>
      </c>
      <c r="V121" s="68">
        <f t="shared" si="91"/>
        <v>4980</v>
      </c>
      <c r="W121" s="36">
        <f t="shared" si="95"/>
        <v>0</v>
      </c>
      <c r="X121" s="67" t="s">
        <v>50</v>
      </c>
      <c r="Y121" s="67">
        <f>+SUM(Y122:Y125)</f>
        <v>4980</v>
      </c>
      <c r="Z121" s="67">
        <f>+SUM(Z122:Z125)</f>
        <v>0</v>
      </c>
      <c r="AA121" s="67">
        <f>+SUM(AA122:AA125)</f>
        <v>0</v>
      </c>
      <c r="AB121" s="67">
        <f t="shared" si="108"/>
        <v>4980</v>
      </c>
      <c r="AC121" s="67">
        <f>+SUM(AC122:AC125)</f>
        <v>0</v>
      </c>
      <c r="AD121" s="70">
        <f>+SUM(AD122:AD125)</f>
        <v>0</v>
      </c>
      <c r="AE121" s="69">
        <f>+SUM(AE122:AE125)</f>
        <v>0</v>
      </c>
      <c r="AF121" s="391">
        <f>+SUM(AF122:AF125)</f>
        <v>0</v>
      </c>
      <c r="AG121" s="54">
        <f>+SUM(AG122:AG125)</f>
        <v>0</v>
      </c>
      <c r="AH121" s="73">
        <f t="shared" si="96"/>
        <v>0</v>
      </c>
      <c r="AI121" s="69">
        <f>+SUM(AI122:AI125)</f>
        <v>0</v>
      </c>
      <c r="AJ121" s="54">
        <f>+SUM(AJ122:AJ125)</f>
        <v>0</v>
      </c>
      <c r="AK121" s="68">
        <f t="shared" si="92"/>
        <v>0</v>
      </c>
      <c r="AL121" s="67">
        <f t="shared" si="97"/>
        <v>0</v>
      </c>
    </row>
    <row r="122" spans="4:38">
      <c r="D122" s="41" t="s">
        <v>47</v>
      </c>
      <c r="E122" s="73">
        <f>+SUM(I122,L122)</f>
        <v>0</v>
      </c>
      <c r="F122" s="69">
        <f t="shared" ref="F122:H126" si="109">+P122+AE122</f>
        <v>0</v>
      </c>
      <c r="G122" s="391">
        <f t="shared" si="109"/>
        <v>0</v>
      </c>
      <c r="H122" s="54">
        <f t="shared" si="109"/>
        <v>0</v>
      </c>
      <c r="I122" s="73">
        <f t="shared" si="93"/>
        <v>0</v>
      </c>
      <c r="J122" s="69">
        <f>+T122+AI122</f>
        <v>0</v>
      </c>
      <c r="K122" s="76">
        <f>+U122+AJ122+IF(SUM(U131:U133,-U125)&gt;=0,U111+AJ111,U111+AJ111+AJ135+AJ137)</f>
        <v>0</v>
      </c>
      <c r="L122" s="68">
        <f t="shared" si="89"/>
        <v>0</v>
      </c>
      <c r="M122" s="67">
        <f t="shared" si="94"/>
        <v>0</v>
      </c>
      <c r="N122" s="41" t="s">
        <v>47</v>
      </c>
      <c r="O122" s="40">
        <f t="shared" ref="O122:O126" si="110">+SUM(S122,V122)</f>
        <v>0</v>
      </c>
      <c r="P122" s="39"/>
      <c r="Q122" s="390"/>
      <c r="R122" s="38"/>
      <c r="S122" s="40">
        <f>+SUM(P122:R122)</f>
        <v>0</v>
      </c>
      <c r="T122" s="39"/>
      <c r="U122" s="76">
        <f>-IF($U$134=0,0,IF($U$131&gt;0,0,U131))</f>
        <v>0</v>
      </c>
      <c r="V122" s="37">
        <f t="shared" si="91"/>
        <v>0</v>
      </c>
      <c r="W122" s="36">
        <f t="shared" si="95"/>
        <v>0</v>
      </c>
      <c r="X122" s="41" t="s">
        <v>47</v>
      </c>
      <c r="Y122" s="75">
        <f>-IF($Y$141=0,0,IF($Y$138&gt;0,0,Y138))</f>
        <v>0</v>
      </c>
      <c r="Z122" s="67">
        <f>+'[2]3条収入'!AH44</f>
        <v>0</v>
      </c>
      <c r="AA122" s="67">
        <f>+ROUND($AA$130*$Z122/$Z$130,0)</f>
        <v>0</v>
      </c>
      <c r="AB122" s="67">
        <f t="shared" si="108"/>
        <v>0</v>
      </c>
      <c r="AC122" s="67">
        <f>+IF((Y122-AB122)&lt;0,(Y122-AB122),0)</f>
        <v>0</v>
      </c>
      <c r="AD122" s="70">
        <f>+IF(AC122&lt;0,SUM(Z122:AA122,AC122),SUM(Z122:AA122))</f>
        <v>0</v>
      </c>
      <c r="AE122" s="72">
        <f t="shared" ref="AE122:AG126" si="111">+IFERROR(ROUND($AD122*P122/$O122,0),0)</f>
        <v>0</v>
      </c>
      <c r="AF122" s="391">
        <f t="shared" si="111"/>
        <v>0</v>
      </c>
      <c r="AG122" s="54">
        <f t="shared" si="111"/>
        <v>0</v>
      </c>
      <c r="AH122" s="73">
        <f t="shared" si="96"/>
        <v>0</v>
      </c>
      <c r="AI122" s="69">
        <f t="shared" ref="AI122:AJ126" si="112">+IFERROR(ROUND($AD122*T122/$O122,0),0)</f>
        <v>0</v>
      </c>
      <c r="AJ122" s="54">
        <f t="shared" si="112"/>
        <v>0</v>
      </c>
      <c r="AK122" s="68">
        <f t="shared" si="92"/>
        <v>0</v>
      </c>
      <c r="AL122" s="67">
        <f t="shared" si="97"/>
        <v>0</v>
      </c>
    </row>
    <row r="123" spans="4:38">
      <c r="D123" s="41" t="s">
        <v>45</v>
      </c>
      <c r="E123" s="73">
        <f>+SUM(I123,L123)</f>
        <v>0</v>
      </c>
      <c r="F123" s="69">
        <f t="shared" si="109"/>
        <v>0</v>
      </c>
      <c r="G123" s="391">
        <f t="shared" si="109"/>
        <v>0</v>
      </c>
      <c r="H123" s="54">
        <f t="shared" si="109"/>
        <v>0</v>
      </c>
      <c r="I123" s="73">
        <f t="shared" si="93"/>
        <v>0</v>
      </c>
      <c r="J123" s="69">
        <f>+T123+AI123</f>
        <v>0</v>
      </c>
      <c r="K123" s="76">
        <f>+U123+AJ123</f>
        <v>0</v>
      </c>
      <c r="L123" s="68">
        <f t="shared" si="89"/>
        <v>0</v>
      </c>
      <c r="M123" s="67">
        <f t="shared" si="94"/>
        <v>0</v>
      </c>
      <c r="N123" s="41" t="s">
        <v>45</v>
      </c>
      <c r="O123" s="40">
        <f t="shared" si="110"/>
        <v>0</v>
      </c>
      <c r="P123" s="39"/>
      <c r="Q123" s="390"/>
      <c r="R123" s="38"/>
      <c r="S123" s="40">
        <f>+SUM(P123:Q123)</f>
        <v>0</v>
      </c>
      <c r="T123" s="39"/>
      <c r="U123" s="76">
        <f>-IF($U$134=0,0,IF($U$131&gt;0,ROUND($U$134*U132/($U$132+$U$133),0),U132))</f>
        <v>0</v>
      </c>
      <c r="V123" s="37">
        <f t="shared" si="91"/>
        <v>0</v>
      </c>
      <c r="W123" s="36">
        <f t="shared" si="95"/>
        <v>0</v>
      </c>
      <c r="X123" s="41" t="s">
        <v>45</v>
      </c>
      <c r="Y123" s="75">
        <f>-IF($Y$141=0,0,IF($Y$138&gt;0,ROUND($Y$141*Y139/($Y$139+$Y$140),0),Y139))</f>
        <v>0</v>
      </c>
      <c r="Z123" s="67">
        <f>+'[2]3条収入'!AH45</f>
        <v>0</v>
      </c>
      <c r="AA123" s="67">
        <f>+ROUND($AA$130*$Z123/$Z$130,0)</f>
        <v>0</v>
      </c>
      <c r="AB123" s="67">
        <f t="shared" si="108"/>
        <v>0</v>
      </c>
      <c r="AC123" s="75"/>
      <c r="AD123" s="70">
        <f>+IF(AC123&lt;0,SUM(Z123:AA123,AC123),SUM(Z123:AA123))</f>
        <v>0</v>
      </c>
      <c r="AE123" s="72">
        <f t="shared" si="111"/>
        <v>0</v>
      </c>
      <c r="AF123" s="391">
        <f t="shared" si="111"/>
        <v>0</v>
      </c>
      <c r="AG123" s="54">
        <f t="shared" si="111"/>
        <v>0</v>
      </c>
      <c r="AH123" s="73">
        <f t="shared" si="96"/>
        <v>0</v>
      </c>
      <c r="AI123" s="69">
        <f t="shared" si="112"/>
        <v>0</v>
      </c>
      <c r="AJ123" s="54">
        <f t="shared" si="112"/>
        <v>0</v>
      </c>
      <c r="AK123" s="68">
        <f t="shared" si="92"/>
        <v>0</v>
      </c>
      <c r="AL123" s="67">
        <f t="shared" si="97"/>
        <v>0</v>
      </c>
    </row>
    <row r="124" spans="4:38">
      <c r="D124" s="41" t="s">
        <v>44</v>
      </c>
      <c r="E124" s="73">
        <f>+SUM(I124,L124)</f>
        <v>0</v>
      </c>
      <c r="F124" s="69">
        <f t="shared" si="109"/>
        <v>0</v>
      </c>
      <c r="G124" s="391">
        <f t="shared" si="109"/>
        <v>0</v>
      </c>
      <c r="H124" s="54">
        <f t="shared" si="109"/>
        <v>0</v>
      </c>
      <c r="I124" s="73">
        <f t="shared" si="93"/>
        <v>0</v>
      </c>
      <c r="J124" s="69">
        <f>+T124+AI124</f>
        <v>0</v>
      </c>
      <c r="K124" s="76">
        <f>+U124+AJ124</f>
        <v>0</v>
      </c>
      <c r="L124" s="68">
        <f t="shared" si="89"/>
        <v>0</v>
      </c>
      <c r="M124" s="67">
        <f t="shared" si="94"/>
        <v>0</v>
      </c>
      <c r="N124" s="41" t="s">
        <v>44</v>
      </c>
      <c r="O124" s="40">
        <f t="shared" si="110"/>
        <v>0</v>
      </c>
      <c r="P124" s="69"/>
      <c r="Q124" s="391"/>
      <c r="R124" s="38"/>
      <c r="S124" s="40">
        <f>+SUM(P124:Q124)</f>
        <v>0</v>
      </c>
      <c r="T124" s="39"/>
      <c r="U124" s="76">
        <f>-IF($U$134=0,0,IF($U$131&gt;0,U134+U123,U133))</f>
        <v>0</v>
      </c>
      <c r="V124" s="37">
        <f t="shared" si="91"/>
        <v>0</v>
      </c>
      <c r="W124" s="36">
        <f t="shared" si="95"/>
        <v>0</v>
      </c>
      <c r="X124" s="41" t="s">
        <v>44</v>
      </c>
      <c r="Y124" s="75">
        <f>-IF($Y$141=0,0,IF($Y$138&gt;0,Y141+Y123,Y140))</f>
        <v>0</v>
      </c>
      <c r="Z124" s="67">
        <f>+'[2]3条収入'!AH46</f>
        <v>0</v>
      </c>
      <c r="AA124" s="67">
        <f>+ROUND($AA$130*$Z124/$Z$130,0)</f>
        <v>0</v>
      </c>
      <c r="AB124" s="67">
        <f t="shared" si="108"/>
        <v>0</v>
      </c>
      <c r="AC124" s="75"/>
      <c r="AD124" s="70">
        <f>+IF(AC124&lt;0,SUM(Z124:AA124,AC124),SUM(Z124:AA124))</f>
        <v>0</v>
      </c>
      <c r="AE124" s="72">
        <f t="shared" si="111"/>
        <v>0</v>
      </c>
      <c r="AF124" s="391">
        <f t="shared" si="111"/>
        <v>0</v>
      </c>
      <c r="AG124" s="54">
        <f t="shared" si="111"/>
        <v>0</v>
      </c>
      <c r="AH124" s="73">
        <f t="shared" si="96"/>
        <v>0</v>
      </c>
      <c r="AI124" s="69">
        <f t="shared" si="112"/>
        <v>0</v>
      </c>
      <c r="AJ124" s="54">
        <f t="shared" si="112"/>
        <v>0</v>
      </c>
      <c r="AK124" s="68">
        <f t="shared" si="92"/>
        <v>0</v>
      </c>
      <c r="AL124" s="67">
        <f t="shared" si="97"/>
        <v>0</v>
      </c>
    </row>
    <row r="125" spans="4:38">
      <c r="D125" s="41" t="s">
        <v>41</v>
      </c>
      <c r="E125" s="73">
        <f>+SUM(I125,L125)</f>
        <v>4980</v>
      </c>
      <c r="F125" s="69">
        <f t="shared" si="109"/>
        <v>0</v>
      </c>
      <c r="G125" s="391">
        <f t="shared" si="109"/>
        <v>0</v>
      </c>
      <c r="H125" s="54">
        <f t="shared" si="109"/>
        <v>0</v>
      </c>
      <c r="I125" s="73">
        <f t="shared" si="93"/>
        <v>0</v>
      </c>
      <c r="J125" s="69">
        <f>+T125+AI125</f>
        <v>0</v>
      </c>
      <c r="K125" s="54">
        <f>+U125+AJ125</f>
        <v>4980</v>
      </c>
      <c r="L125" s="68">
        <f t="shared" si="89"/>
        <v>4980</v>
      </c>
      <c r="M125" s="67">
        <f t="shared" si="94"/>
        <v>0</v>
      </c>
      <c r="N125" s="41" t="s">
        <v>41</v>
      </c>
      <c r="O125" s="40">
        <f t="shared" si="110"/>
        <v>4980</v>
      </c>
      <c r="P125" s="39"/>
      <c r="Q125" s="390"/>
      <c r="R125" s="38"/>
      <c r="S125" s="40">
        <f>+SUM(P125:R125)</f>
        <v>0</v>
      </c>
      <c r="T125" s="39"/>
      <c r="U125" s="410">
        <f>+'[2]3条収入'!V47</f>
        <v>4980</v>
      </c>
      <c r="V125" s="37">
        <f>+SUM(T125:U125)</f>
        <v>4980</v>
      </c>
      <c r="W125" s="36">
        <f t="shared" si="95"/>
        <v>0</v>
      </c>
      <c r="X125" s="41" t="s">
        <v>41</v>
      </c>
      <c r="Y125" s="46">
        <f>+O125</f>
        <v>4980</v>
      </c>
      <c r="Z125" s="67">
        <f>+'[2]3条収入'!AH47</f>
        <v>0</v>
      </c>
      <c r="AA125" s="67">
        <f>+ROUND($AA$130*$Z125/$Z$130,0)</f>
        <v>0</v>
      </c>
      <c r="AB125" s="67">
        <f t="shared" si="108"/>
        <v>4980</v>
      </c>
      <c r="AC125" s="67">
        <f>+IF((Y125-AB125)&lt;0,(Y125-AB125),0)</f>
        <v>0</v>
      </c>
      <c r="AD125" s="70">
        <f>+IF(AC125&lt;0,SUM(Z125:AA125,AC125),SUM(Z125:AA125))</f>
        <v>0</v>
      </c>
      <c r="AE125" s="72">
        <f t="shared" si="111"/>
        <v>0</v>
      </c>
      <c r="AF125" s="391">
        <f t="shared" si="111"/>
        <v>0</v>
      </c>
      <c r="AG125" s="54">
        <f t="shared" si="111"/>
        <v>0</v>
      </c>
      <c r="AH125" s="73">
        <f t="shared" si="96"/>
        <v>0</v>
      </c>
      <c r="AI125" s="69">
        <f t="shared" si="112"/>
        <v>0</v>
      </c>
      <c r="AJ125" s="54">
        <f t="shared" si="112"/>
        <v>0</v>
      </c>
      <c r="AK125" s="68">
        <f t="shared" si="92"/>
        <v>0</v>
      </c>
      <c r="AL125" s="67">
        <f t="shared" si="97"/>
        <v>0</v>
      </c>
    </row>
    <row r="126" spans="4:38">
      <c r="D126" s="41" t="s">
        <v>39</v>
      </c>
      <c r="E126" s="70">
        <f>+SUM(I126,L126)</f>
        <v>9198273</v>
      </c>
      <c r="F126" s="69">
        <f t="shared" si="109"/>
        <v>0</v>
      </c>
      <c r="G126" s="391">
        <f t="shared" si="109"/>
        <v>0</v>
      </c>
      <c r="H126" s="54">
        <f t="shared" si="109"/>
        <v>9198273</v>
      </c>
      <c r="I126" s="73">
        <f t="shared" si="93"/>
        <v>9198273</v>
      </c>
      <c r="J126" s="69">
        <f>+T126+AI126</f>
        <v>0</v>
      </c>
      <c r="K126" s="54">
        <f>+U126+AJ126</f>
        <v>0</v>
      </c>
      <c r="L126" s="68">
        <f t="shared" si="89"/>
        <v>0</v>
      </c>
      <c r="M126" s="67">
        <f t="shared" si="94"/>
        <v>0</v>
      </c>
      <c r="N126" s="41" t="s">
        <v>39</v>
      </c>
      <c r="O126" s="40">
        <f t="shared" si="110"/>
        <v>8710224</v>
      </c>
      <c r="P126" s="39">
        <f>+P24</f>
        <v>0</v>
      </c>
      <c r="Q126" s="390">
        <f>+Q24</f>
        <v>0</v>
      </c>
      <c r="R126" s="47">
        <f>+R24</f>
        <v>8710224</v>
      </c>
      <c r="S126" s="40">
        <f>+SUM(P126:R126)</f>
        <v>8710224</v>
      </c>
      <c r="T126" s="39">
        <f>+T24</f>
        <v>0</v>
      </c>
      <c r="U126" s="38"/>
      <c r="V126" s="37">
        <f>+SUM(T126:U126)</f>
        <v>0</v>
      </c>
      <c r="W126" s="36">
        <f t="shared" si="95"/>
        <v>0</v>
      </c>
      <c r="X126" s="41" t="s">
        <v>39</v>
      </c>
      <c r="Y126" s="36">
        <f>+E24</f>
        <v>9198273</v>
      </c>
      <c r="Z126" s="67">
        <f>+'[2]3条収入'!AH48</f>
        <v>488049</v>
      </c>
      <c r="AA126" s="67">
        <f>+ROUND($AA$130*$Z126/$Z$130,0)</f>
        <v>5185</v>
      </c>
      <c r="AB126" s="67">
        <f t="shared" si="108"/>
        <v>9203458</v>
      </c>
      <c r="AC126" s="75">
        <f>Y126-AB126</f>
        <v>-5185</v>
      </c>
      <c r="AD126" s="139">
        <f>SUM(Z126:AA126,AC126)</f>
        <v>488049</v>
      </c>
      <c r="AE126" s="72">
        <f t="shared" si="111"/>
        <v>0</v>
      </c>
      <c r="AF126" s="391">
        <f t="shared" si="111"/>
        <v>0</v>
      </c>
      <c r="AG126" s="54">
        <f t="shared" si="111"/>
        <v>488049</v>
      </c>
      <c r="AH126" s="73">
        <f t="shared" si="96"/>
        <v>488049</v>
      </c>
      <c r="AI126" s="69">
        <f t="shared" si="112"/>
        <v>0</v>
      </c>
      <c r="AJ126" s="54">
        <f t="shared" si="112"/>
        <v>0</v>
      </c>
      <c r="AK126" s="68">
        <f t="shared" si="92"/>
        <v>0</v>
      </c>
      <c r="AL126" s="67">
        <f t="shared" si="97"/>
        <v>0</v>
      </c>
    </row>
    <row r="127" spans="4:38">
      <c r="D127" s="41"/>
      <c r="E127" s="70"/>
      <c r="F127" s="69"/>
      <c r="G127" s="391"/>
      <c r="H127" s="54"/>
      <c r="I127" s="73"/>
      <c r="J127" s="69"/>
      <c r="K127" s="54"/>
      <c r="L127" s="68"/>
      <c r="M127" s="67"/>
      <c r="N127" s="41"/>
      <c r="O127" s="40"/>
      <c r="P127" s="39"/>
      <c r="Q127" s="390"/>
      <c r="R127" s="38"/>
      <c r="S127" s="40"/>
      <c r="T127" s="39"/>
      <c r="U127" s="38"/>
      <c r="V127" s="37"/>
      <c r="W127" s="36"/>
      <c r="X127" s="41"/>
      <c r="Y127" s="43"/>
      <c r="Z127" s="67"/>
      <c r="AA127" s="67"/>
      <c r="AB127" s="67"/>
      <c r="AC127" s="75"/>
      <c r="AD127" s="70"/>
      <c r="AE127" s="72"/>
      <c r="AF127" s="391"/>
      <c r="AG127" s="54"/>
      <c r="AH127" s="73"/>
      <c r="AI127" s="69"/>
      <c r="AJ127" s="54"/>
      <c r="AK127" s="68"/>
      <c r="AL127" s="67"/>
    </row>
    <row r="128" spans="4:38">
      <c r="D128" s="41"/>
      <c r="E128" s="70"/>
      <c r="F128" s="69"/>
      <c r="G128" s="391"/>
      <c r="H128" s="54"/>
      <c r="I128" s="73"/>
      <c r="J128" s="69"/>
      <c r="K128" s="54"/>
      <c r="L128" s="68"/>
      <c r="M128" s="67"/>
      <c r="N128" s="41"/>
      <c r="O128" s="40"/>
      <c r="P128" s="39"/>
      <c r="Q128" s="390"/>
      <c r="R128" s="38"/>
      <c r="S128" s="40"/>
      <c r="T128" s="39"/>
      <c r="U128" s="38"/>
      <c r="V128" s="37"/>
      <c r="W128" s="36"/>
      <c r="X128" s="464" t="s">
        <v>103</v>
      </c>
      <c r="Y128" s="465"/>
      <c r="Z128" s="67">
        <f>+AJ133</f>
        <v>12606</v>
      </c>
      <c r="AA128" s="67">
        <f>+AJ134</f>
        <v>134</v>
      </c>
      <c r="AB128" s="67">
        <f>+Z128+AA128</f>
        <v>12740</v>
      </c>
      <c r="AC128" s="67"/>
      <c r="AD128" s="70">
        <f>SUM(Z128:AA128,AC128)</f>
        <v>12740</v>
      </c>
      <c r="AE128" s="72"/>
      <c r="AF128" s="391"/>
      <c r="AG128" s="54"/>
      <c r="AH128" s="73">
        <f t="shared" si="96"/>
        <v>0</v>
      </c>
      <c r="AI128" s="69"/>
      <c r="AJ128" s="76">
        <f t="shared" ref="AJ128" si="113">+AD128-AH128-AI128</f>
        <v>12740</v>
      </c>
      <c r="AK128" s="68">
        <f t="shared" si="92"/>
        <v>12740</v>
      </c>
      <c r="AL128" s="67">
        <f t="shared" si="97"/>
        <v>0</v>
      </c>
    </row>
    <row r="129" spans="4:38" ht="14.25" thickBot="1">
      <c r="D129" s="31"/>
      <c r="E129" s="466"/>
      <c r="F129" s="467"/>
      <c r="G129" s="468"/>
      <c r="H129" s="469"/>
      <c r="I129" s="470"/>
      <c r="J129" s="467"/>
      <c r="K129" s="469"/>
      <c r="L129" s="471"/>
      <c r="M129" s="472"/>
      <c r="N129" s="31"/>
      <c r="O129" s="30"/>
      <c r="P129" s="29"/>
      <c r="Q129" s="414"/>
      <c r="R129" s="28"/>
      <c r="S129" s="30"/>
      <c r="T129" s="29"/>
      <c r="U129" s="28"/>
      <c r="V129" s="142"/>
      <c r="W129" s="26"/>
      <c r="X129" s="473"/>
      <c r="Y129" s="474"/>
      <c r="Z129" s="472"/>
      <c r="AA129" s="472"/>
      <c r="AB129" s="472"/>
      <c r="AC129" s="472"/>
      <c r="AD129" s="466"/>
      <c r="AE129" s="475"/>
      <c r="AF129" s="468"/>
      <c r="AG129" s="469"/>
      <c r="AH129" s="470"/>
      <c r="AI129" s="467"/>
      <c r="AJ129" s="469"/>
      <c r="AK129" s="471"/>
      <c r="AL129" s="472"/>
    </row>
    <row r="130" spans="4:38" ht="14.25" thickTop="1">
      <c r="D130" s="23" t="s">
        <v>5</v>
      </c>
      <c r="E130" s="66">
        <f t="shared" ref="E130:M130" si="114">+SUM(E109,E120)</f>
        <v>15893566137</v>
      </c>
      <c r="F130" s="65">
        <f t="shared" si="114"/>
        <v>14072961573</v>
      </c>
      <c r="G130" s="395">
        <f t="shared" si="114"/>
        <v>692889463</v>
      </c>
      <c r="H130" s="64">
        <f>+SUM(H109,H120)</f>
        <v>813125386</v>
      </c>
      <c r="I130" s="405">
        <f t="shared" si="114"/>
        <v>15578976422</v>
      </c>
      <c r="J130" s="65">
        <f t="shared" si="114"/>
        <v>314584735</v>
      </c>
      <c r="K130" s="64">
        <f t="shared" si="114"/>
        <v>4980</v>
      </c>
      <c r="L130" s="63">
        <f t="shared" si="114"/>
        <v>314589715</v>
      </c>
      <c r="M130" s="62">
        <f t="shared" si="114"/>
        <v>0</v>
      </c>
      <c r="N130" s="23" t="s">
        <v>5</v>
      </c>
      <c r="O130" s="141">
        <f t="shared" ref="O130:W130" si="115">+SUM(O109,O120)</f>
        <v>15681092029</v>
      </c>
      <c r="P130" s="21">
        <f t="shared" si="115"/>
        <v>13677572777</v>
      </c>
      <c r="Q130" s="392">
        <f t="shared" si="115"/>
        <v>329946410</v>
      </c>
      <c r="R130" s="20">
        <f t="shared" si="115"/>
        <v>409117714</v>
      </c>
      <c r="S130" s="402">
        <f t="shared" si="115"/>
        <v>14416636901</v>
      </c>
      <c r="T130" s="21">
        <f t="shared" si="115"/>
        <v>1264450148</v>
      </c>
      <c r="U130" s="20">
        <f t="shared" si="115"/>
        <v>4980</v>
      </c>
      <c r="V130" s="19">
        <f t="shared" si="115"/>
        <v>1264455128</v>
      </c>
      <c r="W130" s="17">
        <f t="shared" si="115"/>
        <v>0</v>
      </c>
      <c r="X130" s="23" t="s">
        <v>5</v>
      </c>
      <c r="Y130" s="18">
        <f>+SUM(Y109,Y120)</f>
        <v>12965358961</v>
      </c>
      <c r="Z130" s="137">
        <f>+[1]営外!T17</f>
        <v>210253123</v>
      </c>
      <c r="AA130" s="137">
        <f>+[1]営外!T18</f>
        <v>2233725</v>
      </c>
      <c r="AB130" s="18">
        <f>+SUM(AB109,AB120,AB128)</f>
        <v>15893578877</v>
      </c>
      <c r="AC130" s="18">
        <f>+SUM(AC109,AC120,AC128)</f>
        <v>0</v>
      </c>
      <c r="AD130" s="66">
        <f>+Z130+AA130</f>
        <v>212486848</v>
      </c>
      <c r="AE130" s="65">
        <f>+SUM(AE109,AE120,AE128)</f>
        <v>395388796</v>
      </c>
      <c r="AF130" s="395">
        <f>+SUM(AF109,AF120,AF128)</f>
        <v>362943053</v>
      </c>
      <c r="AG130" s="64">
        <f>+SUM(AG109,AG120,AG128)</f>
        <v>404007672</v>
      </c>
      <c r="AH130" s="405">
        <f>+SUM(AH109,AH120)</f>
        <v>1162339521</v>
      </c>
      <c r="AI130" s="65">
        <f>+SUM(AI109,AI120,AI128)</f>
        <v>-949865413</v>
      </c>
      <c r="AJ130" s="64">
        <f>+SUM(AJ109,AJ120,AJ128)</f>
        <v>12740</v>
      </c>
      <c r="AK130" s="63">
        <f>+SUM(AK109,AK120)</f>
        <v>-949865413</v>
      </c>
      <c r="AL130" s="62">
        <f>+SUM(AL109,AL120)</f>
        <v>0</v>
      </c>
    </row>
    <row r="131" spans="4:38">
      <c r="D131" s="2"/>
      <c r="E131" s="5"/>
      <c r="H131" s="2"/>
      <c r="I131" s="4"/>
      <c r="J131" s="5" t="s">
        <v>34</v>
      </c>
      <c r="K131" s="4">
        <f>AJ97-AJ46-K132-K133+K120+K111</f>
        <v>10812144316</v>
      </c>
      <c r="L131" s="5"/>
      <c r="M131" s="1"/>
      <c r="O131" s="449"/>
      <c r="P131" s="449"/>
      <c r="R131" s="5"/>
      <c r="T131" s="5" t="s">
        <v>34</v>
      </c>
      <c r="U131" s="4">
        <f>U97-U46-U132-U133+U125</f>
        <v>10810276491</v>
      </c>
      <c r="V131" s="5"/>
      <c r="W131" s="5"/>
      <c r="X131" s="377" t="s">
        <v>368</v>
      </c>
      <c r="Y131" s="377"/>
      <c r="Z131" s="7">
        <f t="shared" ref="Z131:AG131" si="116">+Z130-Z128</f>
        <v>210240517</v>
      </c>
      <c r="AA131" s="7">
        <f t="shared" si="116"/>
        <v>2233591</v>
      </c>
      <c r="AB131" s="7">
        <f t="shared" si="116"/>
        <v>15893566137</v>
      </c>
      <c r="AC131" s="7">
        <f t="shared" si="116"/>
        <v>0</v>
      </c>
      <c r="AD131" s="7">
        <f t="shared" si="116"/>
        <v>212474108</v>
      </c>
      <c r="AE131" s="123">
        <f t="shared" si="116"/>
        <v>395388796</v>
      </c>
      <c r="AF131" s="398">
        <f t="shared" si="116"/>
        <v>362943053</v>
      </c>
      <c r="AG131" s="9">
        <f t="shared" si="116"/>
        <v>404007672</v>
      </c>
      <c r="AH131" s="408">
        <f>+SUM(AE131:AG131)</f>
        <v>1162339521</v>
      </c>
      <c r="AI131" s="10">
        <f>+AI130-AI128</f>
        <v>-949865413</v>
      </c>
      <c r="AJ131" s="122">
        <f>+AJ130-AJ128</f>
        <v>0</v>
      </c>
      <c r="AK131" s="8">
        <f>+SUM(AI131:AJ131)</f>
        <v>-949865413</v>
      </c>
      <c r="AL131" s="6">
        <f>AD131-SUM(AH131,AK131)</f>
        <v>0</v>
      </c>
    </row>
    <row r="132" spans="4:38">
      <c r="D132" s="2"/>
      <c r="E132" s="2"/>
      <c r="I132" s="4" t="s">
        <v>33</v>
      </c>
      <c r="J132" s="4" t="s">
        <v>32</v>
      </c>
      <c r="K132" s="1">
        <f>+AJ99-AJ48-K133+K123</f>
        <v>-8606064883</v>
      </c>
      <c r="L132" s="55"/>
      <c r="M132" s="1"/>
      <c r="O132" s="449"/>
      <c r="P132" s="449"/>
      <c r="R132" s="5"/>
      <c r="T132" s="4" t="s">
        <v>32</v>
      </c>
      <c r="U132" s="1">
        <f>+U99-U48-U133</f>
        <v>-8606064883</v>
      </c>
      <c r="V132" s="55"/>
      <c r="W132" s="5"/>
      <c r="X132" s="450"/>
      <c r="Y132" s="409"/>
      <c r="Z132" s="451"/>
      <c r="AA132" s="451"/>
      <c r="AB132" s="409"/>
      <c r="AC132" s="409"/>
      <c r="AD132" s="451"/>
      <c r="AE132" s="451"/>
      <c r="AF132" s="451"/>
      <c r="AG132" s="451"/>
      <c r="AH132" s="451"/>
      <c r="AI132" s="451"/>
      <c r="AJ132" s="451"/>
      <c r="AK132" s="451"/>
      <c r="AL132" s="451"/>
    </row>
    <row r="133" spans="4:38">
      <c r="D133" s="2"/>
      <c r="E133" s="2"/>
      <c r="H133" s="2"/>
      <c r="J133" s="4" t="s">
        <v>31</v>
      </c>
      <c r="K133" s="1">
        <f>+(AJ88+AJ89)-(AJ37+AJ38)+K124</f>
        <v>306237928</v>
      </c>
      <c r="L133" s="55"/>
      <c r="M133" s="1"/>
      <c r="O133" s="449"/>
      <c r="P133" s="449"/>
      <c r="R133" s="5"/>
      <c r="T133" s="4" t="s">
        <v>31</v>
      </c>
      <c r="U133" s="1">
        <f>+(U88+U89)-(U37+U38)</f>
        <v>306237928</v>
      </c>
      <c r="V133" s="55"/>
      <c r="W133" s="5"/>
      <c r="X133" s="595" t="s">
        <v>369</v>
      </c>
      <c r="Y133" s="136"/>
      <c r="Z133" s="131">
        <f>+雨汚収入!BM65</f>
        <v>23344</v>
      </c>
      <c r="AA133" s="87"/>
      <c r="AB133" s="136">
        <f>+Z133+AA133</f>
        <v>23344</v>
      </c>
      <c r="AC133" s="136"/>
      <c r="AD133" s="136">
        <f>+Z133</f>
        <v>23344</v>
      </c>
      <c r="AE133" s="135">
        <f>+雨汚収入!BF65</f>
        <v>10738</v>
      </c>
      <c r="AF133" s="396">
        <f>+雨汚収入!BG65</f>
        <v>0</v>
      </c>
      <c r="AG133" s="132">
        <f>+雨汚収入!BH65</f>
        <v>0</v>
      </c>
      <c r="AH133" s="103">
        <f t="shared" ref="AH133:AH137" si="117">+SUM(AE133:AG133)</f>
        <v>10738</v>
      </c>
      <c r="AI133" s="133">
        <f>+雨汚収入!BJ65</f>
        <v>0</v>
      </c>
      <c r="AJ133" s="132">
        <f>+雨汚収入!BK65</f>
        <v>12606</v>
      </c>
      <c r="AK133" s="95">
        <f>+SUM(AI133:AJ133)</f>
        <v>12606</v>
      </c>
      <c r="AL133" s="94">
        <f t="shared" si="97"/>
        <v>0</v>
      </c>
    </row>
    <row r="134" spans="4:38" ht="14.25" thickBot="1">
      <c r="D134" s="2"/>
      <c r="E134" s="2"/>
      <c r="H134" s="2"/>
      <c r="J134" s="5" t="s">
        <v>28</v>
      </c>
      <c r="K134" s="2">
        <f>+SUM(K131:K133)</f>
        <v>2512317361</v>
      </c>
      <c r="M134" s="1"/>
      <c r="N134" s="172"/>
      <c r="O134" s="449"/>
      <c r="P134" s="449"/>
      <c r="T134" s="172" t="s">
        <v>115</v>
      </c>
      <c r="U134" s="2">
        <f>IF(SUM(U131:U133)&gt;0,0,SUM(U131:U133))</f>
        <v>0</v>
      </c>
      <c r="X134" s="596"/>
      <c r="Y134" s="126"/>
      <c r="Z134" s="126"/>
      <c r="AA134" s="125">
        <f>+ROUND(Z133/Z130*AA130,0)</f>
        <v>248</v>
      </c>
      <c r="AB134" s="126">
        <f>+Z134+AA134</f>
        <v>248</v>
      </c>
      <c r="AC134" s="126"/>
      <c r="AD134" s="126">
        <f>+AA134</f>
        <v>248</v>
      </c>
      <c r="AE134" s="130">
        <f>+IFERROR(ROUND($AD$134/$AD$133*AE133,0),0)</f>
        <v>114</v>
      </c>
      <c r="AF134" s="397">
        <f>+IFERROR(ROUND($AD$134/$AD$133*AF133,0),0)</f>
        <v>0</v>
      </c>
      <c r="AG134" s="128">
        <f>+IFERROR(ROUND($AD$134/$AD$133*AG133,0),0)</f>
        <v>0</v>
      </c>
      <c r="AH134" s="406">
        <f t="shared" si="117"/>
        <v>114</v>
      </c>
      <c r="AI134" s="129">
        <f>+IFERROR(ROUND($AD$134/$AD$133*AI133,0),0)</f>
        <v>0</v>
      </c>
      <c r="AJ134" s="128">
        <f>+IFERROR(ROUND($AD$134/$AD$133*AJ133,0),0)</f>
        <v>134</v>
      </c>
      <c r="AK134" s="127">
        <f>+SUM(AI134:AJ134)</f>
        <v>134</v>
      </c>
      <c r="AL134" s="125">
        <f t="shared" si="97"/>
        <v>0</v>
      </c>
    </row>
    <row r="135" spans="4:38" ht="14.25" thickTop="1">
      <c r="D135" s="2"/>
      <c r="E135" s="2"/>
      <c r="H135" s="2"/>
      <c r="K135" s="53" t="str">
        <f>+IF(K134='[2]3条収入'!AI74,"↑純利益と一致","純利益と不一致!!")</f>
        <v>純利益と不一致!!</v>
      </c>
      <c r="M135" s="1"/>
      <c r="O135" s="5"/>
      <c r="P135" s="5"/>
      <c r="S135" s="1"/>
      <c r="U135" s="2"/>
      <c r="V135" s="1"/>
      <c r="W135" s="1"/>
      <c r="X135" s="597"/>
      <c r="Y135" s="18"/>
      <c r="Z135" s="18">
        <f t="shared" ref="Z135:AF135" si="118">+SUM(Z133:Z134)</f>
        <v>23344</v>
      </c>
      <c r="AA135" s="18">
        <f t="shared" si="118"/>
        <v>248</v>
      </c>
      <c r="AB135" s="18">
        <f t="shared" si="118"/>
        <v>23592</v>
      </c>
      <c r="AC135" s="18">
        <f t="shared" si="118"/>
        <v>0</v>
      </c>
      <c r="AD135" s="18">
        <f t="shared" si="118"/>
        <v>23592</v>
      </c>
      <c r="AE135" s="124">
        <f t="shared" si="118"/>
        <v>10852</v>
      </c>
      <c r="AF135" s="392">
        <f t="shared" si="118"/>
        <v>0</v>
      </c>
      <c r="AG135" s="20">
        <f>+SUM(AG133:AG134)</f>
        <v>0</v>
      </c>
      <c r="AH135" s="407">
        <f t="shared" si="117"/>
        <v>10852</v>
      </c>
      <c r="AI135" s="21">
        <f>+SUM(AI133:AI134)</f>
        <v>0</v>
      </c>
      <c r="AJ135" s="20">
        <f>+SUM(AJ133:AJ134)</f>
        <v>12740</v>
      </c>
      <c r="AK135" s="19">
        <f>+SUM(AI135:AJ135)</f>
        <v>12740</v>
      </c>
      <c r="AL135" s="17">
        <f t="shared" si="97"/>
        <v>0</v>
      </c>
    </row>
    <row r="136" spans="4:38">
      <c r="D136" s="2"/>
      <c r="E136" s="2"/>
      <c r="H136" s="2"/>
      <c r="K136" s="2"/>
      <c r="M136" s="1"/>
      <c r="O136" s="2"/>
      <c r="P136" s="5"/>
      <c r="S136" s="1"/>
      <c r="U136" s="2"/>
      <c r="V136" s="1"/>
      <c r="W136" s="1"/>
      <c r="X136" s="450"/>
      <c r="Y136" s="409"/>
      <c r="Z136" s="451"/>
      <c r="AA136" s="451"/>
      <c r="AB136" s="409"/>
      <c r="AC136" s="409"/>
      <c r="AD136" s="451"/>
      <c r="AE136" s="451"/>
      <c r="AF136" s="451"/>
      <c r="AG136" s="451"/>
      <c r="AH136" s="451"/>
      <c r="AI136" s="451"/>
      <c r="AJ136" s="451"/>
      <c r="AK136" s="451"/>
      <c r="AL136" s="451"/>
    </row>
    <row r="137" spans="4:38">
      <c r="D137" s="2"/>
      <c r="O137" s="5"/>
      <c r="P137" s="5"/>
      <c r="R137" s="2"/>
      <c r="T137" s="2"/>
      <c r="V137" s="1"/>
      <c r="W137" s="1"/>
      <c r="X137" s="378" t="s">
        <v>102</v>
      </c>
      <c r="Y137" s="378"/>
      <c r="Z137" s="116">
        <f>-AD77</f>
        <v>-1880565</v>
      </c>
      <c r="AA137" s="121"/>
      <c r="AB137" s="116">
        <f>+Z137+AA137</f>
        <v>-1880565</v>
      </c>
      <c r="AC137" s="116"/>
      <c r="AD137" s="116">
        <f>+Z137</f>
        <v>-1880565</v>
      </c>
      <c r="AE137" s="120">
        <f>-AE77</f>
        <v>0</v>
      </c>
      <c r="AF137" s="399">
        <f>-AF77</f>
        <v>0</v>
      </c>
      <c r="AG137" s="118">
        <f>-AG77</f>
        <v>0</v>
      </c>
      <c r="AH137" s="409">
        <f t="shared" si="117"/>
        <v>0</v>
      </c>
      <c r="AI137" s="119">
        <f>-AI77</f>
        <v>0</v>
      </c>
      <c r="AJ137" s="118">
        <f>-AJ77</f>
        <v>-1880565</v>
      </c>
      <c r="AK137" s="117">
        <f>+SUM(AI137:AJ137)</f>
        <v>-1880565</v>
      </c>
      <c r="AL137" s="115">
        <f t="shared" si="97"/>
        <v>0</v>
      </c>
    </row>
    <row r="138" spans="4:38">
      <c r="O138" s="2"/>
      <c r="R138" s="2"/>
      <c r="T138" s="2"/>
      <c r="V138" s="1"/>
      <c r="W138" s="1"/>
      <c r="X138" s="5" t="s">
        <v>34</v>
      </c>
      <c r="Y138" s="5">
        <f>K97-K46-Y139-Y140+Y125</f>
        <v>13622088407</v>
      </c>
      <c r="Z138" s="5"/>
      <c r="AA138" s="1"/>
      <c r="AB138" s="1"/>
      <c r="AD138" s="2"/>
      <c r="AE138" s="2"/>
      <c r="AH138" s="1"/>
      <c r="AJ138" s="2"/>
      <c r="AK138" s="1"/>
      <c r="AL138" s="1"/>
    </row>
    <row r="139" spans="4:38">
      <c r="O139" s="2"/>
      <c r="P139" s="2"/>
      <c r="R139" s="2"/>
      <c r="T139" s="2"/>
      <c r="V139" s="1"/>
      <c r="W139" s="1"/>
      <c r="X139" s="4" t="s">
        <v>32</v>
      </c>
      <c r="Y139" s="5">
        <f>K99-K48-Y140</f>
        <v>-8775897705</v>
      </c>
      <c r="Z139" s="5"/>
      <c r="AA139" s="1"/>
      <c r="AB139" s="1"/>
      <c r="AD139" s="2"/>
      <c r="AE139" s="2"/>
      <c r="AH139" s="1"/>
      <c r="AJ139" s="2"/>
      <c r="AK139" s="1"/>
      <c r="AL139" s="1"/>
    </row>
    <row r="140" spans="4:38">
      <c r="X140" s="4" t="s">
        <v>31</v>
      </c>
      <c r="Y140" s="1">
        <f>+(K88+K89)-(K37+K38)</f>
        <v>-4266079811</v>
      </c>
      <c r="Z140" s="5"/>
      <c r="AA140" s="1"/>
      <c r="AB140" s="1"/>
      <c r="AD140" s="2"/>
      <c r="AE140" s="2"/>
      <c r="AH140" s="1"/>
      <c r="AJ140" s="2"/>
      <c r="AK140" s="1"/>
      <c r="AL140" s="1"/>
    </row>
    <row r="141" spans="4:38">
      <c r="X141" s="1"/>
      <c r="Y141" s="2">
        <f>IF(SUM(Y138:Y140)&gt;0,0,SUM(Y138:Y140))</f>
        <v>0</v>
      </c>
      <c r="Z141" s="173" t="s">
        <v>360</v>
      </c>
      <c r="AA141" s="1"/>
      <c r="AB141" s="1"/>
      <c r="AC141" s="1"/>
      <c r="AD141" s="2"/>
      <c r="AG141" s="2"/>
      <c r="AI141" s="2"/>
      <c r="AK141" s="1"/>
      <c r="AL141" s="1"/>
    </row>
    <row r="142" spans="4:38">
      <c r="Z142" s="1"/>
      <c r="AA142" s="1"/>
      <c r="AB142" s="1"/>
      <c r="AC142" s="1"/>
      <c r="AD142" s="2"/>
      <c r="AG142" s="2"/>
      <c r="AI142" s="2"/>
      <c r="AK142" s="1"/>
      <c r="AL142" s="1"/>
    </row>
    <row r="143" spans="4:38">
      <c r="Z143" s="1"/>
      <c r="AA143" s="1"/>
      <c r="AB143" s="1"/>
      <c r="AC143" s="1"/>
      <c r="AD143" s="2"/>
      <c r="AG143" s="2"/>
      <c r="AI143" s="2"/>
      <c r="AK143" s="1"/>
      <c r="AL143" s="1"/>
    </row>
    <row r="144" spans="4:38">
      <c r="Z144" s="1"/>
      <c r="AA144" s="1"/>
      <c r="AB144" s="1"/>
      <c r="AC144" s="1"/>
      <c r="AD144" s="2"/>
      <c r="AG144" s="2"/>
      <c r="AI144" s="2"/>
      <c r="AK144" s="1"/>
      <c r="AL144" s="1"/>
    </row>
    <row r="145" spans="25:38">
      <c r="Y145" s="1"/>
      <c r="Z145" s="1"/>
      <c r="AA145" s="1"/>
      <c r="AB145" s="1"/>
      <c r="AF145" s="2"/>
      <c r="AG145" s="2"/>
      <c r="AK145" s="1"/>
      <c r="AL145" s="1"/>
    </row>
    <row r="146" spans="25:38">
      <c r="Y146" s="1"/>
      <c r="Z146" s="1"/>
      <c r="AA146" s="1"/>
      <c r="AB146" s="1"/>
      <c r="AF146" s="2"/>
      <c r="AG146" s="2"/>
      <c r="AK146" s="1"/>
      <c r="AL146" s="1"/>
    </row>
    <row r="147" spans="25:38">
      <c r="Y147" s="1"/>
      <c r="Z147" s="1"/>
      <c r="AA147" s="1"/>
      <c r="AB147" s="1"/>
      <c r="AF147" s="2"/>
      <c r="AG147" s="2"/>
      <c r="AK147" s="1"/>
      <c r="AL147" s="1"/>
    </row>
    <row r="148" spans="25:38">
      <c r="Y148" s="1"/>
      <c r="Z148" s="1"/>
      <c r="AA148" s="1"/>
      <c r="AB148" s="1"/>
      <c r="AF148" s="2"/>
      <c r="AG148" s="2"/>
      <c r="AK148" s="1"/>
      <c r="AL148" s="1"/>
    </row>
    <row r="149" spans="25:38">
      <c r="Y149" s="1"/>
      <c r="Z149" s="1"/>
      <c r="AA149" s="1"/>
      <c r="AB149" s="1"/>
      <c r="AF149" s="2"/>
      <c r="AG149" s="2"/>
      <c r="AK149" s="1"/>
      <c r="AL149" s="1"/>
    </row>
    <row r="150" spans="25:38">
      <c r="Y150" s="1"/>
      <c r="Z150" s="1"/>
      <c r="AA150" s="1"/>
      <c r="AB150" s="1"/>
      <c r="AF150" s="2"/>
      <c r="AG150" s="2"/>
      <c r="AK150" s="1"/>
      <c r="AL150" s="1"/>
    </row>
    <row r="151" spans="25:38">
      <c r="Y151" s="1"/>
      <c r="Z151" s="1"/>
      <c r="AA151" s="1"/>
      <c r="AB151" s="1"/>
      <c r="AF151" s="2"/>
      <c r="AG151" s="2"/>
      <c r="AK151" s="1"/>
      <c r="AL151" s="1"/>
    </row>
  </sheetData>
  <mergeCells count="63">
    <mergeCell ref="AD3:AL3"/>
    <mergeCell ref="E4:E6"/>
    <mergeCell ref="F4:I4"/>
    <mergeCell ref="J4:L4"/>
    <mergeCell ref="M4:M6"/>
    <mergeCell ref="O4:O6"/>
    <mergeCell ref="P4:S4"/>
    <mergeCell ref="T4:V4"/>
    <mergeCell ref="W4:W6"/>
    <mergeCell ref="AD4:AD6"/>
    <mergeCell ref="E3:M3"/>
    <mergeCell ref="N3:N6"/>
    <mergeCell ref="O3:W3"/>
    <mergeCell ref="X3:X6"/>
    <mergeCell ref="AE4:AH4"/>
    <mergeCell ref="AI4:AK4"/>
    <mergeCell ref="AL4:AL6"/>
    <mergeCell ref="A5:A6"/>
    <mergeCell ref="B54:C57"/>
    <mergeCell ref="D54:D57"/>
    <mergeCell ref="E54:M54"/>
    <mergeCell ref="N54:N57"/>
    <mergeCell ref="O54:W54"/>
    <mergeCell ref="X54:X57"/>
    <mergeCell ref="B3:C6"/>
    <mergeCell ref="D3:D6"/>
    <mergeCell ref="AD54:AL54"/>
    <mergeCell ref="E55:E57"/>
    <mergeCell ref="F55:I55"/>
    <mergeCell ref="J55:L55"/>
    <mergeCell ref="M55:M57"/>
    <mergeCell ref="O55:O57"/>
    <mergeCell ref="P55:S55"/>
    <mergeCell ref="T55:V55"/>
    <mergeCell ref="W55:W57"/>
    <mergeCell ref="AD55:AD57"/>
    <mergeCell ref="P106:S106"/>
    <mergeCell ref="W106:W108"/>
    <mergeCell ref="Y106:Y108"/>
    <mergeCell ref="Z106:Z108"/>
    <mergeCell ref="AA106:AA108"/>
    <mergeCell ref="AD106:AD108"/>
    <mergeCell ref="AE55:AH55"/>
    <mergeCell ref="AI55:AK55"/>
    <mergeCell ref="AL55:AL57"/>
    <mergeCell ref="A56:A57"/>
    <mergeCell ref="D105:D108"/>
    <mergeCell ref="E105:M105"/>
    <mergeCell ref="N105:N108"/>
    <mergeCell ref="O105:W105"/>
    <mergeCell ref="X105:X108"/>
    <mergeCell ref="Y105:AL105"/>
    <mergeCell ref="E106:E108"/>
    <mergeCell ref="F106:I106"/>
    <mergeCell ref="J106:L106"/>
    <mergeCell ref="M106:M108"/>
    <mergeCell ref="O106:O108"/>
    <mergeCell ref="T106:V106"/>
    <mergeCell ref="AE106:AH106"/>
    <mergeCell ref="AI106:AK106"/>
    <mergeCell ref="AL106:AL108"/>
    <mergeCell ref="X133:X135"/>
    <mergeCell ref="AB106:AB108"/>
  </mergeCells>
  <phoneticPr fontId="2"/>
  <conditionalFormatting sqref="W58:W97 M58:M100 AL58:AL97 W109:W130 M109:M130 W100 AL100 AL109:AL135 AL137">
    <cfRule type="cellIs" dxfId="22" priority="8" operator="notEqual">
      <formula>0</formula>
    </cfRule>
  </conditionalFormatting>
  <conditionalFormatting sqref="W7:W46 AL7:AL46 W49 AL49">
    <cfRule type="cellIs" dxfId="21" priority="7" operator="notEqual">
      <formula>0</formula>
    </cfRule>
  </conditionalFormatting>
  <conditionalFormatting sqref="M7:M49">
    <cfRule type="cellIs" dxfId="20" priority="6" operator="notEqual">
      <formula>0</formula>
    </cfRule>
  </conditionalFormatting>
  <conditionalFormatting sqref="W98:W99">
    <cfRule type="cellIs" dxfId="19" priority="5" operator="notEqual">
      <formula>0</formula>
    </cfRule>
  </conditionalFormatting>
  <conditionalFormatting sqref="AL98:AL99">
    <cfRule type="cellIs" dxfId="18" priority="4" operator="notEqual">
      <formula>0</formula>
    </cfRule>
  </conditionalFormatting>
  <conditionalFormatting sqref="W47:W48">
    <cfRule type="cellIs" dxfId="17" priority="3" operator="notEqual">
      <formula>0</formula>
    </cfRule>
  </conditionalFormatting>
  <conditionalFormatting sqref="AL47:AL48">
    <cfRule type="cellIs" dxfId="16" priority="2" operator="notEqual">
      <formula>0</formula>
    </cfRule>
  </conditionalFormatting>
  <conditionalFormatting sqref="AL136">
    <cfRule type="cellIs" dxfId="15" priority="1" operator="notEqual">
      <formula>0</formula>
    </cfRule>
  </conditionalFormatting>
  <printOptions horizontalCentered="1"/>
  <pageMargins left="0.39370078740157483" right="0.39370078740157483" top="0.59055118110236227" bottom="0.39370078740157483" header="0.19685039370078741" footer="0.19685039370078741"/>
  <pageSetup paperSize="9" scale="83" fitToWidth="3" fitToHeight="3" orientation="landscape" blackAndWhite="1" r:id="rId1"/>
  <rowBreaks count="2" manualBreakCount="2">
    <brk id="51" max="16383" man="1"/>
    <brk id="102" max="16383" man="1"/>
  </rowBreak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T45"/>
  <sheetViews>
    <sheetView showGridLines="0" zoomScale="85" zoomScaleNormal="85" zoomScaleSheetLayoutView="100" workbookViewId="0">
      <pane xSplit="3" ySplit="5" topLeftCell="E6" activePane="bottomRight" state="frozen"/>
      <selection activeCell="H28" sqref="H28"/>
      <selection pane="topRight" activeCell="H28" sqref="H28"/>
      <selection pane="bottomLeft" activeCell="H28" sqref="H28"/>
      <selection pane="bottomRight" activeCell="E15" sqref="E15"/>
    </sheetView>
  </sheetViews>
  <sheetFormatPr defaultRowHeight="11.25"/>
  <cols>
    <col min="1" max="1" width="2.625" style="214" customWidth="1"/>
    <col min="2" max="2" width="1.25" style="214" customWidth="1"/>
    <col min="3" max="3" width="14.125" style="214" customWidth="1"/>
    <col min="4" max="5" width="13" style="214" customWidth="1"/>
    <col min="6" max="6" width="10.25" style="214" customWidth="1"/>
    <col min="7" max="7" width="11.375" style="214" customWidth="1"/>
    <col min="8" max="8" width="13" style="214" customWidth="1"/>
    <col min="9" max="9" width="12" style="214" customWidth="1"/>
    <col min="10" max="10" width="12.75" style="214" customWidth="1"/>
    <col min="11" max="11" width="13" style="214" customWidth="1"/>
    <col min="12" max="12" width="10.625" style="214" customWidth="1"/>
    <col min="13" max="15" width="12.75" style="214" customWidth="1"/>
    <col min="16" max="16" width="3.625" style="214" customWidth="1"/>
    <col min="17" max="256" width="9" style="214"/>
    <col min="257" max="257" width="2.625" style="214" customWidth="1"/>
    <col min="258" max="258" width="1.25" style="214" customWidth="1"/>
    <col min="259" max="259" width="14.125" style="214" customWidth="1"/>
    <col min="260" max="261" width="13" style="214" customWidth="1"/>
    <col min="262" max="262" width="10.25" style="214" customWidth="1"/>
    <col min="263" max="263" width="11.375" style="214" customWidth="1"/>
    <col min="264" max="264" width="13" style="214" customWidth="1"/>
    <col min="265" max="265" width="12" style="214" customWidth="1"/>
    <col min="266" max="266" width="12.75" style="214" customWidth="1"/>
    <col min="267" max="267" width="13" style="214" customWidth="1"/>
    <col min="268" max="268" width="12.375" style="214" customWidth="1"/>
    <col min="269" max="269" width="11.75" style="214" customWidth="1"/>
    <col min="270" max="270" width="13" style="214" customWidth="1"/>
    <col min="271" max="271" width="14.125" style="214" bestFit="1" customWidth="1"/>
    <col min="272" max="272" width="3.625" style="214" customWidth="1"/>
    <col min="273" max="512" width="9" style="214"/>
    <col min="513" max="513" width="2.625" style="214" customWidth="1"/>
    <col min="514" max="514" width="1.25" style="214" customWidth="1"/>
    <col min="515" max="515" width="14.125" style="214" customWidth="1"/>
    <col min="516" max="517" width="13" style="214" customWidth="1"/>
    <col min="518" max="518" width="10.25" style="214" customWidth="1"/>
    <col min="519" max="519" width="11.375" style="214" customWidth="1"/>
    <col min="520" max="520" width="13" style="214" customWidth="1"/>
    <col min="521" max="521" width="12" style="214" customWidth="1"/>
    <col min="522" max="522" width="12.75" style="214" customWidth="1"/>
    <col min="523" max="523" width="13" style="214" customWidth="1"/>
    <col min="524" max="524" width="12.375" style="214" customWidth="1"/>
    <col min="525" max="525" width="11.75" style="214" customWidth="1"/>
    <col min="526" max="526" width="13" style="214" customWidth="1"/>
    <col min="527" max="527" width="14.125" style="214" bestFit="1" customWidth="1"/>
    <col min="528" max="528" width="3.625" style="214" customWidth="1"/>
    <col min="529" max="768" width="9" style="214"/>
    <col min="769" max="769" width="2.625" style="214" customWidth="1"/>
    <col min="770" max="770" width="1.25" style="214" customWidth="1"/>
    <col min="771" max="771" width="14.125" style="214" customWidth="1"/>
    <col min="772" max="773" width="13" style="214" customWidth="1"/>
    <col min="774" max="774" width="10.25" style="214" customWidth="1"/>
    <col min="775" max="775" width="11.375" style="214" customWidth="1"/>
    <col min="776" max="776" width="13" style="214" customWidth="1"/>
    <col min="777" max="777" width="12" style="214" customWidth="1"/>
    <col min="778" max="778" width="12.75" style="214" customWidth="1"/>
    <col min="779" max="779" width="13" style="214" customWidth="1"/>
    <col min="780" max="780" width="12.375" style="214" customWidth="1"/>
    <col min="781" max="781" width="11.75" style="214" customWidth="1"/>
    <col min="782" max="782" width="13" style="214" customWidth="1"/>
    <col min="783" max="783" width="14.125" style="214" bestFit="1" customWidth="1"/>
    <col min="784" max="784" width="3.625" style="214" customWidth="1"/>
    <col min="785" max="1024" width="9" style="214"/>
    <col min="1025" max="1025" width="2.625" style="214" customWidth="1"/>
    <col min="1026" max="1026" width="1.25" style="214" customWidth="1"/>
    <col min="1027" max="1027" width="14.125" style="214" customWidth="1"/>
    <col min="1028" max="1029" width="13" style="214" customWidth="1"/>
    <col min="1030" max="1030" width="10.25" style="214" customWidth="1"/>
    <col min="1031" max="1031" width="11.375" style="214" customWidth="1"/>
    <col min="1032" max="1032" width="13" style="214" customWidth="1"/>
    <col min="1033" max="1033" width="12" style="214" customWidth="1"/>
    <col min="1034" max="1034" width="12.75" style="214" customWidth="1"/>
    <col min="1035" max="1035" width="13" style="214" customWidth="1"/>
    <col min="1036" max="1036" width="12.375" style="214" customWidth="1"/>
    <col min="1037" max="1037" width="11.75" style="214" customWidth="1"/>
    <col min="1038" max="1038" width="13" style="214" customWidth="1"/>
    <col min="1039" max="1039" width="14.125" style="214" bestFit="1" customWidth="1"/>
    <col min="1040" max="1040" width="3.625" style="214" customWidth="1"/>
    <col min="1041" max="1280" width="9" style="214"/>
    <col min="1281" max="1281" width="2.625" style="214" customWidth="1"/>
    <col min="1282" max="1282" width="1.25" style="214" customWidth="1"/>
    <col min="1283" max="1283" width="14.125" style="214" customWidth="1"/>
    <col min="1284" max="1285" width="13" style="214" customWidth="1"/>
    <col min="1286" max="1286" width="10.25" style="214" customWidth="1"/>
    <col min="1287" max="1287" width="11.375" style="214" customWidth="1"/>
    <col min="1288" max="1288" width="13" style="214" customWidth="1"/>
    <col min="1289" max="1289" width="12" style="214" customWidth="1"/>
    <col min="1290" max="1290" width="12.75" style="214" customWidth="1"/>
    <col min="1291" max="1291" width="13" style="214" customWidth="1"/>
    <col min="1292" max="1292" width="12.375" style="214" customWidth="1"/>
    <col min="1293" max="1293" width="11.75" style="214" customWidth="1"/>
    <col min="1294" max="1294" width="13" style="214" customWidth="1"/>
    <col min="1295" max="1295" width="14.125" style="214" bestFit="1" customWidth="1"/>
    <col min="1296" max="1296" width="3.625" style="214" customWidth="1"/>
    <col min="1297" max="1536" width="9" style="214"/>
    <col min="1537" max="1537" width="2.625" style="214" customWidth="1"/>
    <col min="1538" max="1538" width="1.25" style="214" customWidth="1"/>
    <col min="1539" max="1539" width="14.125" style="214" customWidth="1"/>
    <col min="1540" max="1541" width="13" style="214" customWidth="1"/>
    <col min="1542" max="1542" width="10.25" style="214" customWidth="1"/>
    <col min="1543" max="1543" width="11.375" style="214" customWidth="1"/>
    <col min="1544" max="1544" width="13" style="214" customWidth="1"/>
    <col min="1545" max="1545" width="12" style="214" customWidth="1"/>
    <col min="1546" max="1546" width="12.75" style="214" customWidth="1"/>
    <col min="1547" max="1547" width="13" style="214" customWidth="1"/>
    <col min="1548" max="1548" width="12.375" style="214" customWidth="1"/>
    <col min="1549" max="1549" width="11.75" style="214" customWidth="1"/>
    <col min="1550" max="1550" width="13" style="214" customWidth="1"/>
    <col min="1551" max="1551" width="14.125" style="214" bestFit="1" customWidth="1"/>
    <col min="1552" max="1552" width="3.625" style="214" customWidth="1"/>
    <col min="1553" max="1792" width="9" style="214"/>
    <col min="1793" max="1793" width="2.625" style="214" customWidth="1"/>
    <col min="1794" max="1794" width="1.25" style="214" customWidth="1"/>
    <col min="1795" max="1795" width="14.125" style="214" customWidth="1"/>
    <col min="1796" max="1797" width="13" style="214" customWidth="1"/>
    <col min="1798" max="1798" width="10.25" style="214" customWidth="1"/>
    <col min="1799" max="1799" width="11.375" style="214" customWidth="1"/>
    <col min="1800" max="1800" width="13" style="214" customWidth="1"/>
    <col min="1801" max="1801" width="12" style="214" customWidth="1"/>
    <col min="1802" max="1802" width="12.75" style="214" customWidth="1"/>
    <col min="1803" max="1803" width="13" style="214" customWidth="1"/>
    <col min="1804" max="1804" width="12.375" style="214" customWidth="1"/>
    <col min="1805" max="1805" width="11.75" style="214" customWidth="1"/>
    <col min="1806" max="1806" width="13" style="214" customWidth="1"/>
    <col min="1807" max="1807" width="14.125" style="214" bestFit="1" customWidth="1"/>
    <col min="1808" max="1808" width="3.625" style="214" customWidth="1"/>
    <col min="1809" max="2048" width="9" style="214"/>
    <col min="2049" max="2049" width="2.625" style="214" customWidth="1"/>
    <col min="2050" max="2050" width="1.25" style="214" customWidth="1"/>
    <col min="2051" max="2051" width="14.125" style="214" customWidth="1"/>
    <col min="2052" max="2053" width="13" style="214" customWidth="1"/>
    <col min="2054" max="2054" width="10.25" style="214" customWidth="1"/>
    <col min="2055" max="2055" width="11.375" style="214" customWidth="1"/>
    <col min="2056" max="2056" width="13" style="214" customWidth="1"/>
    <col min="2057" max="2057" width="12" style="214" customWidth="1"/>
    <col min="2058" max="2058" width="12.75" style="214" customWidth="1"/>
    <col min="2059" max="2059" width="13" style="214" customWidth="1"/>
    <col min="2060" max="2060" width="12.375" style="214" customWidth="1"/>
    <col min="2061" max="2061" width="11.75" style="214" customWidth="1"/>
    <col min="2062" max="2062" width="13" style="214" customWidth="1"/>
    <col min="2063" max="2063" width="14.125" style="214" bestFit="1" customWidth="1"/>
    <col min="2064" max="2064" width="3.625" style="214" customWidth="1"/>
    <col min="2065" max="2304" width="9" style="214"/>
    <col min="2305" max="2305" width="2.625" style="214" customWidth="1"/>
    <col min="2306" max="2306" width="1.25" style="214" customWidth="1"/>
    <col min="2307" max="2307" width="14.125" style="214" customWidth="1"/>
    <col min="2308" max="2309" width="13" style="214" customWidth="1"/>
    <col min="2310" max="2310" width="10.25" style="214" customWidth="1"/>
    <col min="2311" max="2311" width="11.375" style="214" customWidth="1"/>
    <col min="2312" max="2312" width="13" style="214" customWidth="1"/>
    <col min="2313" max="2313" width="12" style="214" customWidth="1"/>
    <col min="2314" max="2314" width="12.75" style="214" customWidth="1"/>
    <col min="2315" max="2315" width="13" style="214" customWidth="1"/>
    <col min="2316" max="2316" width="12.375" style="214" customWidth="1"/>
    <col min="2317" max="2317" width="11.75" style="214" customWidth="1"/>
    <col min="2318" max="2318" width="13" style="214" customWidth="1"/>
    <col min="2319" max="2319" width="14.125" style="214" bestFit="1" customWidth="1"/>
    <col min="2320" max="2320" width="3.625" style="214" customWidth="1"/>
    <col min="2321" max="2560" width="9" style="214"/>
    <col min="2561" max="2561" width="2.625" style="214" customWidth="1"/>
    <col min="2562" max="2562" width="1.25" style="214" customWidth="1"/>
    <col min="2563" max="2563" width="14.125" style="214" customWidth="1"/>
    <col min="2564" max="2565" width="13" style="214" customWidth="1"/>
    <col min="2566" max="2566" width="10.25" style="214" customWidth="1"/>
    <col min="2567" max="2567" width="11.375" style="214" customWidth="1"/>
    <col min="2568" max="2568" width="13" style="214" customWidth="1"/>
    <col min="2569" max="2569" width="12" style="214" customWidth="1"/>
    <col min="2570" max="2570" width="12.75" style="214" customWidth="1"/>
    <col min="2571" max="2571" width="13" style="214" customWidth="1"/>
    <col min="2572" max="2572" width="12.375" style="214" customWidth="1"/>
    <col min="2573" max="2573" width="11.75" style="214" customWidth="1"/>
    <col min="2574" max="2574" width="13" style="214" customWidth="1"/>
    <col min="2575" max="2575" width="14.125" style="214" bestFit="1" customWidth="1"/>
    <col min="2576" max="2576" width="3.625" style="214" customWidth="1"/>
    <col min="2577" max="2816" width="9" style="214"/>
    <col min="2817" max="2817" width="2.625" style="214" customWidth="1"/>
    <col min="2818" max="2818" width="1.25" style="214" customWidth="1"/>
    <col min="2819" max="2819" width="14.125" style="214" customWidth="1"/>
    <col min="2820" max="2821" width="13" style="214" customWidth="1"/>
    <col min="2822" max="2822" width="10.25" style="214" customWidth="1"/>
    <col min="2823" max="2823" width="11.375" style="214" customWidth="1"/>
    <col min="2824" max="2824" width="13" style="214" customWidth="1"/>
    <col min="2825" max="2825" width="12" style="214" customWidth="1"/>
    <col min="2826" max="2826" width="12.75" style="214" customWidth="1"/>
    <col min="2827" max="2827" width="13" style="214" customWidth="1"/>
    <col min="2828" max="2828" width="12.375" style="214" customWidth="1"/>
    <col min="2829" max="2829" width="11.75" style="214" customWidth="1"/>
    <col min="2830" max="2830" width="13" style="214" customWidth="1"/>
    <col min="2831" max="2831" width="14.125" style="214" bestFit="1" customWidth="1"/>
    <col min="2832" max="2832" width="3.625" style="214" customWidth="1"/>
    <col min="2833" max="3072" width="9" style="214"/>
    <col min="3073" max="3073" width="2.625" style="214" customWidth="1"/>
    <col min="3074" max="3074" width="1.25" style="214" customWidth="1"/>
    <col min="3075" max="3075" width="14.125" style="214" customWidth="1"/>
    <col min="3076" max="3077" width="13" style="214" customWidth="1"/>
    <col min="3078" max="3078" width="10.25" style="214" customWidth="1"/>
    <col min="3079" max="3079" width="11.375" style="214" customWidth="1"/>
    <col min="3080" max="3080" width="13" style="214" customWidth="1"/>
    <col min="3081" max="3081" width="12" style="214" customWidth="1"/>
    <col min="3082" max="3082" width="12.75" style="214" customWidth="1"/>
    <col min="3083" max="3083" width="13" style="214" customWidth="1"/>
    <col min="3084" max="3084" width="12.375" style="214" customWidth="1"/>
    <col min="3085" max="3085" width="11.75" style="214" customWidth="1"/>
    <col min="3086" max="3086" width="13" style="214" customWidth="1"/>
    <col min="3087" max="3087" width="14.125" style="214" bestFit="1" customWidth="1"/>
    <col min="3088" max="3088" width="3.625" style="214" customWidth="1"/>
    <col min="3089" max="3328" width="9" style="214"/>
    <col min="3329" max="3329" width="2.625" style="214" customWidth="1"/>
    <col min="3330" max="3330" width="1.25" style="214" customWidth="1"/>
    <col min="3331" max="3331" width="14.125" style="214" customWidth="1"/>
    <col min="3332" max="3333" width="13" style="214" customWidth="1"/>
    <col min="3334" max="3334" width="10.25" style="214" customWidth="1"/>
    <col min="3335" max="3335" width="11.375" style="214" customWidth="1"/>
    <col min="3336" max="3336" width="13" style="214" customWidth="1"/>
    <col min="3337" max="3337" width="12" style="214" customWidth="1"/>
    <col min="3338" max="3338" width="12.75" style="214" customWidth="1"/>
    <col min="3339" max="3339" width="13" style="214" customWidth="1"/>
    <col min="3340" max="3340" width="12.375" style="214" customWidth="1"/>
    <col min="3341" max="3341" width="11.75" style="214" customWidth="1"/>
    <col min="3342" max="3342" width="13" style="214" customWidth="1"/>
    <col min="3343" max="3343" width="14.125" style="214" bestFit="1" customWidth="1"/>
    <col min="3344" max="3344" width="3.625" style="214" customWidth="1"/>
    <col min="3345" max="3584" width="9" style="214"/>
    <col min="3585" max="3585" width="2.625" style="214" customWidth="1"/>
    <col min="3586" max="3586" width="1.25" style="214" customWidth="1"/>
    <col min="3587" max="3587" width="14.125" style="214" customWidth="1"/>
    <col min="3588" max="3589" width="13" style="214" customWidth="1"/>
    <col min="3590" max="3590" width="10.25" style="214" customWidth="1"/>
    <col min="3591" max="3591" width="11.375" style="214" customWidth="1"/>
    <col min="3592" max="3592" width="13" style="214" customWidth="1"/>
    <col min="3593" max="3593" width="12" style="214" customWidth="1"/>
    <col min="3594" max="3594" width="12.75" style="214" customWidth="1"/>
    <col min="3595" max="3595" width="13" style="214" customWidth="1"/>
    <col min="3596" max="3596" width="12.375" style="214" customWidth="1"/>
    <col min="3597" max="3597" width="11.75" style="214" customWidth="1"/>
    <col min="3598" max="3598" width="13" style="214" customWidth="1"/>
    <col min="3599" max="3599" width="14.125" style="214" bestFit="1" customWidth="1"/>
    <col min="3600" max="3600" width="3.625" style="214" customWidth="1"/>
    <col min="3601" max="3840" width="9" style="214"/>
    <col min="3841" max="3841" width="2.625" style="214" customWidth="1"/>
    <col min="3842" max="3842" width="1.25" style="214" customWidth="1"/>
    <col min="3843" max="3843" width="14.125" style="214" customWidth="1"/>
    <col min="3844" max="3845" width="13" style="214" customWidth="1"/>
    <col min="3846" max="3846" width="10.25" style="214" customWidth="1"/>
    <col min="3847" max="3847" width="11.375" style="214" customWidth="1"/>
    <col min="3848" max="3848" width="13" style="214" customWidth="1"/>
    <col min="3849" max="3849" width="12" style="214" customWidth="1"/>
    <col min="3850" max="3850" width="12.75" style="214" customWidth="1"/>
    <col min="3851" max="3851" width="13" style="214" customWidth="1"/>
    <col min="3852" max="3852" width="12.375" style="214" customWidth="1"/>
    <col min="3853" max="3853" width="11.75" style="214" customWidth="1"/>
    <col min="3854" max="3854" width="13" style="214" customWidth="1"/>
    <col min="3855" max="3855" width="14.125" style="214" bestFit="1" customWidth="1"/>
    <col min="3856" max="3856" width="3.625" style="214" customWidth="1"/>
    <col min="3857" max="4096" width="9" style="214"/>
    <col min="4097" max="4097" width="2.625" style="214" customWidth="1"/>
    <col min="4098" max="4098" width="1.25" style="214" customWidth="1"/>
    <col min="4099" max="4099" width="14.125" style="214" customWidth="1"/>
    <col min="4100" max="4101" width="13" style="214" customWidth="1"/>
    <col min="4102" max="4102" width="10.25" style="214" customWidth="1"/>
    <col min="4103" max="4103" width="11.375" style="214" customWidth="1"/>
    <col min="4104" max="4104" width="13" style="214" customWidth="1"/>
    <col min="4105" max="4105" width="12" style="214" customWidth="1"/>
    <col min="4106" max="4106" width="12.75" style="214" customWidth="1"/>
    <col min="4107" max="4107" width="13" style="214" customWidth="1"/>
    <col min="4108" max="4108" width="12.375" style="214" customWidth="1"/>
    <col min="4109" max="4109" width="11.75" style="214" customWidth="1"/>
    <col min="4110" max="4110" width="13" style="214" customWidth="1"/>
    <col min="4111" max="4111" width="14.125" style="214" bestFit="1" customWidth="1"/>
    <col min="4112" max="4112" width="3.625" style="214" customWidth="1"/>
    <col min="4113" max="4352" width="9" style="214"/>
    <col min="4353" max="4353" width="2.625" style="214" customWidth="1"/>
    <col min="4354" max="4354" width="1.25" style="214" customWidth="1"/>
    <col min="4355" max="4355" width="14.125" style="214" customWidth="1"/>
    <col min="4356" max="4357" width="13" style="214" customWidth="1"/>
    <col min="4358" max="4358" width="10.25" style="214" customWidth="1"/>
    <col min="4359" max="4359" width="11.375" style="214" customWidth="1"/>
    <col min="4360" max="4360" width="13" style="214" customWidth="1"/>
    <col min="4361" max="4361" width="12" style="214" customWidth="1"/>
    <col min="4362" max="4362" width="12.75" style="214" customWidth="1"/>
    <col min="4363" max="4363" width="13" style="214" customWidth="1"/>
    <col min="4364" max="4364" width="12.375" style="214" customWidth="1"/>
    <col min="4365" max="4365" width="11.75" style="214" customWidth="1"/>
    <col min="4366" max="4366" width="13" style="214" customWidth="1"/>
    <col min="4367" max="4367" width="14.125" style="214" bestFit="1" customWidth="1"/>
    <col min="4368" max="4368" width="3.625" style="214" customWidth="1"/>
    <col min="4369" max="4608" width="9" style="214"/>
    <col min="4609" max="4609" width="2.625" style="214" customWidth="1"/>
    <col min="4610" max="4610" width="1.25" style="214" customWidth="1"/>
    <col min="4611" max="4611" width="14.125" style="214" customWidth="1"/>
    <col min="4612" max="4613" width="13" style="214" customWidth="1"/>
    <col min="4614" max="4614" width="10.25" style="214" customWidth="1"/>
    <col min="4615" max="4615" width="11.375" style="214" customWidth="1"/>
    <col min="4616" max="4616" width="13" style="214" customWidth="1"/>
    <col min="4617" max="4617" width="12" style="214" customWidth="1"/>
    <col min="4618" max="4618" width="12.75" style="214" customWidth="1"/>
    <col min="4619" max="4619" width="13" style="214" customWidth="1"/>
    <col min="4620" max="4620" width="12.375" style="214" customWidth="1"/>
    <col min="4621" max="4621" width="11.75" style="214" customWidth="1"/>
    <col min="4622" max="4622" width="13" style="214" customWidth="1"/>
    <col min="4623" max="4623" width="14.125" style="214" bestFit="1" customWidth="1"/>
    <col min="4624" max="4624" width="3.625" style="214" customWidth="1"/>
    <col min="4625" max="4864" width="9" style="214"/>
    <col min="4865" max="4865" width="2.625" style="214" customWidth="1"/>
    <col min="4866" max="4866" width="1.25" style="214" customWidth="1"/>
    <col min="4867" max="4867" width="14.125" style="214" customWidth="1"/>
    <col min="4868" max="4869" width="13" style="214" customWidth="1"/>
    <col min="4870" max="4870" width="10.25" style="214" customWidth="1"/>
    <col min="4871" max="4871" width="11.375" style="214" customWidth="1"/>
    <col min="4872" max="4872" width="13" style="214" customWidth="1"/>
    <col min="4873" max="4873" width="12" style="214" customWidth="1"/>
    <col min="4874" max="4874" width="12.75" style="214" customWidth="1"/>
    <col min="4875" max="4875" width="13" style="214" customWidth="1"/>
    <col min="4876" max="4876" width="12.375" style="214" customWidth="1"/>
    <col min="4877" max="4877" width="11.75" style="214" customWidth="1"/>
    <col min="4878" max="4878" width="13" style="214" customWidth="1"/>
    <col min="4879" max="4879" width="14.125" style="214" bestFit="1" customWidth="1"/>
    <col min="4880" max="4880" width="3.625" style="214" customWidth="1"/>
    <col min="4881" max="5120" width="9" style="214"/>
    <col min="5121" max="5121" width="2.625" style="214" customWidth="1"/>
    <col min="5122" max="5122" width="1.25" style="214" customWidth="1"/>
    <col min="5123" max="5123" width="14.125" style="214" customWidth="1"/>
    <col min="5124" max="5125" width="13" style="214" customWidth="1"/>
    <col min="5126" max="5126" width="10.25" style="214" customWidth="1"/>
    <col min="5127" max="5127" width="11.375" style="214" customWidth="1"/>
    <col min="5128" max="5128" width="13" style="214" customWidth="1"/>
    <col min="5129" max="5129" width="12" style="214" customWidth="1"/>
    <col min="5130" max="5130" width="12.75" style="214" customWidth="1"/>
    <col min="5131" max="5131" width="13" style="214" customWidth="1"/>
    <col min="5132" max="5132" width="12.375" style="214" customWidth="1"/>
    <col min="5133" max="5133" width="11.75" style="214" customWidth="1"/>
    <col min="5134" max="5134" width="13" style="214" customWidth="1"/>
    <col min="5135" max="5135" width="14.125" style="214" bestFit="1" customWidth="1"/>
    <col min="5136" max="5136" width="3.625" style="214" customWidth="1"/>
    <col min="5137" max="5376" width="9" style="214"/>
    <col min="5377" max="5377" width="2.625" style="214" customWidth="1"/>
    <col min="5378" max="5378" width="1.25" style="214" customWidth="1"/>
    <col min="5379" max="5379" width="14.125" style="214" customWidth="1"/>
    <col min="5380" max="5381" width="13" style="214" customWidth="1"/>
    <col min="5382" max="5382" width="10.25" style="214" customWidth="1"/>
    <col min="5383" max="5383" width="11.375" style="214" customWidth="1"/>
    <col min="5384" max="5384" width="13" style="214" customWidth="1"/>
    <col min="5385" max="5385" width="12" style="214" customWidth="1"/>
    <col min="5386" max="5386" width="12.75" style="214" customWidth="1"/>
    <col min="5387" max="5387" width="13" style="214" customWidth="1"/>
    <col min="5388" max="5388" width="12.375" style="214" customWidth="1"/>
    <col min="5389" max="5389" width="11.75" style="214" customWidth="1"/>
    <col min="5390" max="5390" width="13" style="214" customWidth="1"/>
    <col min="5391" max="5391" width="14.125" style="214" bestFit="1" customWidth="1"/>
    <col min="5392" max="5392" width="3.625" style="214" customWidth="1"/>
    <col min="5393" max="5632" width="9" style="214"/>
    <col min="5633" max="5633" width="2.625" style="214" customWidth="1"/>
    <col min="5634" max="5634" width="1.25" style="214" customWidth="1"/>
    <col min="5635" max="5635" width="14.125" style="214" customWidth="1"/>
    <col min="5636" max="5637" width="13" style="214" customWidth="1"/>
    <col min="5638" max="5638" width="10.25" style="214" customWidth="1"/>
    <col min="5639" max="5639" width="11.375" style="214" customWidth="1"/>
    <col min="5640" max="5640" width="13" style="214" customWidth="1"/>
    <col min="5641" max="5641" width="12" style="214" customWidth="1"/>
    <col min="5642" max="5642" width="12.75" style="214" customWidth="1"/>
    <col min="5643" max="5643" width="13" style="214" customWidth="1"/>
    <col min="5644" max="5644" width="12.375" style="214" customWidth="1"/>
    <col min="5645" max="5645" width="11.75" style="214" customWidth="1"/>
    <col min="5646" max="5646" width="13" style="214" customWidth="1"/>
    <col min="5647" max="5647" width="14.125" style="214" bestFit="1" customWidth="1"/>
    <col min="5648" max="5648" width="3.625" style="214" customWidth="1"/>
    <col min="5649" max="5888" width="9" style="214"/>
    <col min="5889" max="5889" width="2.625" style="214" customWidth="1"/>
    <col min="5890" max="5890" width="1.25" style="214" customWidth="1"/>
    <col min="5891" max="5891" width="14.125" style="214" customWidth="1"/>
    <col min="5892" max="5893" width="13" style="214" customWidth="1"/>
    <col min="5894" max="5894" width="10.25" style="214" customWidth="1"/>
    <col min="5895" max="5895" width="11.375" style="214" customWidth="1"/>
    <col min="5896" max="5896" width="13" style="214" customWidth="1"/>
    <col min="5897" max="5897" width="12" style="214" customWidth="1"/>
    <col min="5898" max="5898" width="12.75" style="214" customWidth="1"/>
    <col min="5899" max="5899" width="13" style="214" customWidth="1"/>
    <col min="5900" max="5900" width="12.375" style="214" customWidth="1"/>
    <col min="5901" max="5901" width="11.75" style="214" customWidth="1"/>
    <col min="5902" max="5902" width="13" style="214" customWidth="1"/>
    <col min="5903" max="5903" width="14.125" style="214" bestFit="1" customWidth="1"/>
    <col min="5904" max="5904" width="3.625" style="214" customWidth="1"/>
    <col min="5905" max="6144" width="9" style="214"/>
    <col min="6145" max="6145" width="2.625" style="214" customWidth="1"/>
    <col min="6146" max="6146" width="1.25" style="214" customWidth="1"/>
    <col min="6147" max="6147" width="14.125" style="214" customWidth="1"/>
    <col min="6148" max="6149" width="13" style="214" customWidth="1"/>
    <col min="6150" max="6150" width="10.25" style="214" customWidth="1"/>
    <col min="6151" max="6151" width="11.375" style="214" customWidth="1"/>
    <col min="6152" max="6152" width="13" style="214" customWidth="1"/>
    <col min="6153" max="6153" width="12" style="214" customWidth="1"/>
    <col min="6154" max="6154" width="12.75" style="214" customWidth="1"/>
    <col min="6155" max="6155" width="13" style="214" customWidth="1"/>
    <col min="6156" max="6156" width="12.375" style="214" customWidth="1"/>
    <col min="6157" max="6157" width="11.75" style="214" customWidth="1"/>
    <col min="6158" max="6158" width="13" style="214" customWidth="1"/>
    <col min="6159" max="6159" width="14.125" style="214" bestFit="1" customWidth="1"/>
    <col min="6160" max="6160" width="3.625" style="214" customWidth="1"/>
    <col min="6161" max="6400" width="9" style="214"/>
    <col min="6401" max="6401" width="2.625" style="214" customWidth="1"/>
    <col min="6402" max="6402" width="1.25" style="214" customWidth="1"/>
    <col min="6403" max="6403" width="14.125" style="214" customWidth="1"/>
    <col min="6404" max="6405" width="13" style="214" customWidth="1"/>
    <col min="6406" max="6406" width="10.25" style="214" customWidth="1"/>
    <col min="6407" max="6407" width="11.375" style="214" customWidth="1"/>
    <col min="6408" max="6408" width="13" style="214" customWidth="1"/>
    <col min="6409" max="6409" width="12" style="214" customWidth="1"/>
    <col min="6410" max="6410" width="12.75" style="214" customWidth="1"/>
    <col min="6411" max="6411" width="13" style="214" customWidth="1"/>
    <col min="6412" max="6412" width="12.375" style="214" customWidth="1"/>
    <col min="6413" max="6413" width="11.75" style="214" customWidth="1"/>
    <col min="6414" max="6414" width="13" style="214" customWidth="1"/>
    <col min="6415" max="6415" width="14.125" style="214" bestFit="1" customWidth="1"/>
    <col min="6416" max="6416" width="3.625" style="214" customWidth="1"/>
    <col min="6417" max="6656" width="9" style="214"/>
    <col min="6657" max="6657" width="2.625" style="214" customWidth="1"/>
    <col min="6658" max="6658" width="1.25" style="214" customWidth="1"/>
    <col min="6659" max="6659" width="14.125" style="214" customWidth="1"/>
    <col min="6660" max="6661" width="13" style="214" customWidth="1"/>
    <col min="6662" max="6662" width="10.25" style="214" customWidth="1"/>
    <col min="6663" max="6663" width="11.375" style="214" customWidth="1"/>
    <col min="6664" max="6664" width="13" style="214" customWidth="1"/>
    <col min="6665" max="6665" width="12" style="214" customWidth="1"/>
    <col min="6666" max="6666" width="12.75" style="214" customWidth="1"/>
    <col min="6667" max="6667" width="13" style="214" customWidth="1"/>
    <col min="6668" max="6668" width="12.375" style="214" customWidth="1"/>
    <col min="6669" max="6669" width="11.75" style="214" customWidth="1"/>
    <col min="6670" max="6670" width="13" style="214" customWidth="1"/>
    <col min="6671" max="6671" width="14.125" style="214" bestFit="1" customWidth="1"/>
    <col min="6672" max="6672" width="3.625" style="214" customWidth="1"/>
    <col min="6673" max="6912" width="9" style="214"/>
    <col min="6913" max="6913" width="2.625" style="214" customWidth="1"/>
    <col min="6914" max="6914" width="1.25" style="214" customWidth="1"/>
    <col min="6915" max="6915" width="14.125" style="214" customWidth="1"/>
    <col min="6916" max="6917" width="13" style="214" customWidth="1"/>
    <col min="6918" max="6918" width="10.25" style="214" customWidth="1"/>
    <col min="6919" max="6919" width="11.375" style="214" customWidth="1"/>
    <col min="6920" max="6920" width="13" style="214" customWidth="1"/>
    <col min="6921" max="6921" width="12" style="214" customWidth="1"/>
    <col min="6922" max="6922" width="12.75" style="214" customWidth="1"/>
    <col min="6923" max="6923" width="13" style="214" customWidth="1"/>
    <col min="6924" max="6924" width="12.375" style="214" customWidth="1"/>
    <col min="6925" max="6925" width="11.75" style="214" customWidth="1"/>
    <col min="6926" max="6926" width="13" style="214" customWidth="1"/>
    <col min="6927" max="6927" width="14.125" style="214" bestFit="1" customWidth="1"/>
    <col min="6928" max="6928" width="3.625" style="214" customWidth="1"/>
    <col min="6929" max="7168" width="9" style="214"/>
    <col min="7169" max="7169" width="2.625" style="214" customWidth="1"/>
    <col min="7170" max="7170" width="1.25" style="214" customWidth="1"/>
    <col min="7171" max="7171" width="14.125" style="214" customWidth="1"/>
    <col min="7172" max="7173" width="13" style="214" customWidth="1"/>
    <col min="7174" max="7174" width="10.25" style="214" customWidth="1"/>
    <col min="7175" max="7175" width="11.375" style="214" customWidth="1"/>
    <col min="7176" max="7176" width="13" style="214" customWidth="1"/>
    <col min="7177" max="7177" width="12" style="214" customWidth="1"/>
    <col min="7178" max="7178" width="12.75" style="214" customWidth="1"/>
    <col min="7179" max="7179" width="13" style="214" customWidth="1"/>
    <col min="7180" max="7180" width="12.375" style="214" customWidth="1"/>
    <col min="7181" max="7181" width="11.75" style="214" customWidth="1"/>
    <col min="7182" max="7182" width="13" style="214" customWidth="1"/>
    <col min="7183" max="7183" width="14.125" style="214" bestFit="1" customWidth="1"/>
    <col min="7184" max="7184" width="3.625" style="214" customWidth="1"/>
    <col min="7185" max="7424" width="9" style="214"/>
    <col min="7425" max="7425" width="2.625" style="214" customWidth="1"/>
    <col min="7426" max="7426" width="1.25" style="214" customWidth="1"/>
    <col min="7427" max="7427" width="14.125" style="214" customWidth="1"/>
    <col min="7428" max="7429" width="13" style="214" customWidth="1"/>
    <col min="7430" max="7430" width="10.25" style="214" customWidth="1"/>
    <col min="7431" max="7431" width="11.375" style="214" customWidth="1"/>
    <col min="7432" max="7432" width="13" style="214" customWidth="1"/>
    <col min="7433" max="7433" width="12" style="214" customWidth="1"/>
    <col min="7434" max="7434" width="12.75" style="214" customWidth="1"/>
    <col min="7435" max="7435" width="13" style="214" customWidth="1"/>
    <col min="7436" max="7436" width="12.375" style="214" customWidth="1"/>
    <col min="7437" max="7437" width="11.75" style="214" customWidth="1"/>
    <col min="7438" max="7438" width="13" style="214" customWidth="1"/>
    <col min="7439" max="7439" width="14.125" style="214" bestFit="1" customWidth="1"/>
    <col min="7440" max="7440" width="3.625" style="214" customWidth="1"/>
    <col min="7441" max="7680" width="9" style="214"/>
    <col min="7681" max="7681" width="2.625" style="214" customWidth="1"/>
    <col min="7682" max="7682" width="1.25" style="214" customWidth="1"/>
    <col min="7683" max="7683" width="14.125" style="214" customWidth="1"/>
    <col min="7684" max="7685" width="13" style="214" customWidth="1"/>
    <col min="7686" max="7686" width="10.25" style="214" customWidth="1"/>
    <col min="7687" max="7687" width="11.375" style="214" customWidth="1"/>
    <col min="7688" max="7688" width="13" style="214" customWidth="1"/>
    <col min="7689" max="7689" width="12" style="214" customWidth="1"/>
    <col min="7690" max="7690" width="12.75" style="214" customWidth="1"/>
    <col min="7691" max="7691" width="13" style="214" customWidth="1"/>
    <col min="7692" max="7692" width="12.375" style="214" customWidth="1"/>
    <col min="7693" max="7693" width="11.75" style="214" customWidth="1"/>
    <col min="7694" max="7694" width="13" style="214" customWidth="1"/>
    <col min="7695" max="7695" width="14.125" style="214" bestFit="1" customWidth="1"/>
    <col min="7696" max="7696" width="3.625" style="214" customWidth="1"/>
    <col min="7697" max="7936" width="9" style="214"/>
    <col min="7937" max="7937" width="2.625" style="214" customWidth="1"/>
    <col min="7938" max="7938" width="1.25" style="214" customWidth="1"/>
    <col min="7939" max="7939" width="14.125" style="214" customWidth="1"/>
    <col min="7940" max="7941" width="13" style="214" customWidth="1"/>
    <col min="7942" max="7942" width="10.25" style="214" customWidth="1"/>
    <col min="7943" max="7943" width="11.375" style="214" customWidth="1"/>
    <col min="7944" max="7944" width="13" style="214" customWidth="1"/>
    <col min="7945" max="7945" width="12" style="214" customWidth="1"/>
    <col min="7946" max="7946" width="12.75" style="214" customWidth="1"/>
    <col min="7947" max="7947" width="13" style="214" customWidth="1"/>
    <col min="7948" max="7948" width="12.375" style="214" customWidth="1"/>
    <col min="7949" max="7949" width="11.75" style="214" customWidth="1"/>
    <col min="7950" max="7950" width="13" style="214" customWidth="1"/>
    <col min="7951" max="7951" width="14.125" style="214" bestFit="1" customWidth="1"/>
    <col min="7952" max="7952" width="3.625" style="214" customWidth="1"/>
    <col min="7953" max="8192" width="9" style="214"/>
    <col min="8193" max="8193" width="2.625" style="214" customWidth="1"/>
    <col min="8194" max="8194" width="1.25" style="214" customWidth="1"/>
    <col min="8195" max="8195" width="14.125" style="214" customWidth="1"/>
    <col min="8196" max="8197" width="13" style="214" customWidth="1"/>
    <col min="8198" max="8198" width="10.25" style="214" customWidth="1"/>
    <col min="8199" max="8199" width="11.375" style="214" customWidth="1"/>
    <col min="8200" max="8200" width="13" style="214" customWidth="1"/>
    <col min="8201" max="8201" width="12" style="214" customWidth="1"/>
    <col min="8202" max="8202" width="12.75" style="214" customWidth="1"/>
    <col min="8203" max="8203" width="13" style="214" customWidth="1"/>
    <col min="8204" max="8204" width="12.375" style="214" customWidth="1"/>
    <col min="8205" max="8205" width="11.75" style="214" customWidth="1"/>
    <col min="8206" max="8206" width="13" style="214" customWidth="1"/>
    <col min="8207" max="8207" width="14.125" style="214" bestFit="1" customWidth="1"/>
    <col min="8208" max="8208" width="3.625" style="214" customWidth="1"/>
    <col min="8209" max="8448" width="9" style="214"/>
    <col min="8449" max="8449" width="2.625" style="214" customWidth="1"/>
    <col min="8450" max="8450" width="1.25" style="214" customWidth="1"/>
    <col min="8451" max="8451" width="14.125" style="214" customWidth="1"/>
    <col min="8452" max="8453" width="13" style="214" customWidth="1"/>
    <col min="8454" max="8454" width="10.25" style="214" customWidth="1"/>
    <col min="8455" max="8455" width="11.375" style="214" customWidth="1"/>
    <col min="8456" max="8456" width="13" style="214" customWidth="1"/>
    <col min="8457" max="8457" width="12" style="214" customWidth="1"/>
    <col min="8458" max="8458" width="12.75" style="214" customWidth="1"/>
    <col min="8459" max="8459" width="13" style="214" customWidth="1"/>
    <col min="8460" max="8460" width="12.375" style="214" customWidth="1"/>
    <col min="8461" max="8461" width="11.75" style="214" customWidth="1"/>
    <col min="8462" max="8462" width="13" style="214" customWidth="1"/>
    <col min="8463" max="8463" width="14.125" style="214" bestFit="1" customWidth="1"/>
    <col min="8464" max="8464" width="3.625" style="214" customWidth="1"/>
    <col min="8465" max="8704" width="9" style="214"/>
    <col min="8705" max="8705" width="2.625" style="214" customWidth="1"/>
    <col min="8706" max="8706" width="1.25" style="214" customWidth="1"/>
    <col min="8707" max="8707" width="14.125" style="214" customWidth="1"/>
    <col min="8708" max="8709" width="13" style="214" customWidth="1"/>
    <col min="8710" max="8710" width="10.25" style="214" customWidth="1"/>
    <col min="8711" max="8711" width="11.375" style="214" customWidth="1"/>
    <col min="8712" max="8712" width="13" style="214" customWidth="1"/>
    <col min="8713" max="8713" width="12" style="214" customWidth="1"/>
    <col min="8714" max="8714" width="12.75" style="214" customWidth="1"/>
    <col min="8715" max="8715" width="13" style="214" customWidth="1"/>
    <col min="8716" max="8716" width="12.375" style="214" customWidth="1"/>
    <col min="8717" max="8717" width="11.75" style="214" customWidth="1"/>
    <col min="8718" max="8718" width="13" style="214" customWidth="1"/>
    <col min="8719" max="8719" width="14.125" style="214" bestFit="1" customWidth="1"/>
    <col min="8720" max="8720" width="3.625" style="214" customWidth="1"/>
    <col min="8721" max="8960" width="9" style="214"/>
    <col min="8961" max="8961" width="2.625" style="214" customWidth="1"/>
    <col min="8962" max="8962" width="1.25" style="214" customWidth="1"/>
    <col min="8963" max="8963" width="14.125" style="214" customWidth="1"/>
    <col min="8964" max="8965" width="13" style="214" customWidth="1"/>
    <col min="8966" max="8966" width="10.25" style="214" customWidth="1"/>
    <col min="8967" max="8967" width="11.375" style="214" customWidth="1"/>
    <col min="8968" max="8968" width="13" style="214" customWidth="1"/>
    <col min="8969" max="8969" width="12" style="214" customWidth="1"/>
    <col min="8970" max="8970" width="12.75" style="214" customWidth="1"/>
    <col min="8971" max="8971" width="13" style="214" customWidth="1"/>
    <col min="8972" max="8972" width="12.375" style="214" customWidth="1"/>
    <col min="8973" max="8973" width="11.75" style="214" customWidth="1"/>
    <col min="8974" max="8974" width="13" style="214" customWidth="1"/>
    <col min="8975" max="8975" width="14.125" style="214" bestFit="1" customWidth="1"/>
    <col min="8976" max="8976" width="3.625" style="214" customWidth="1"/>
    <col min="8977" max="9216" width="9" style="214"/>
    <col min="9217" max="9217" width="2.625" style="214" customWidth="1"/>
    <col min="9218" max="9218" width="1.25" style="214" customWidth="1"/>
    <col min="9219" max="9219" width="14.125" style="214" customWidth="1"/>
    <col min="9220" max="9221" width="13" style="214" customWidth="1"/>
    <col min="9222" max="9222" width="10.25" style="214" customWidth="1"/>
    <col min="9223" max="9223" width="11.375" style="214" customWidth="1"/>
    <col min="9224" max="9224" width="13" style="214" customWidth="1"/>
    <col min="9225" max="9225" width="12" style="214" customWidth="1"/>
    <col min="9226" max="9226" width="12.75" style="214" customWidth="1"/>
    <col min="9227" max="9227" width="13" style="214" customWidth="1"/>
    <col min="9228" max="9228" width="12.375" style="214" customWidth="1"/>
    <col min="9229" max="9229" width="11.75" style="214" customWidth="1"/>
    <col min="9230" max="9230" width="13" style="214" customWidth="1"/>
    <col min="9231" max="9231" width="14.125" style="214" bestFit="1" customWidth="1"/>
    <col min="9232" max="9232" width="3.625" style="214" customWidth="1"/>
    <col min="9233" max="9472" width="9" style="214"/>
    <col min="9473" max="9473" width="2.625" style="214" customWidth="1"/>
    <col min="9474" max="9474" width="1.25" style="214" customWidth="1"/>
    <col min="9475" max="9475" width="14.125" style="214" customWidth="1"/>
    <col min="9476" max="9477" width="13" style="214" customWidth="1"/>
    <col min="9478" max="9478" width="10.25" style="214" customWidth="1"/>
    <col min="9479" max="9479" width="11.375" style="214" customWidth="1"/>
    <col min="9480" max="9480" width="13" style="214" customWidth="1"/>
    <col min="9481" max="9481" width="12" style="214" customWidth="1"/>
    <col min="9482" max="9482" width="12.75" style="214" customWidth="1"/>
    <col min="9483" max="9483" width="13" style="214" customWidth="1"/>
    <col min="9484" max="9484" width="12.375" style="214" customWidth="1"/>
    <col min="9485" max="9485" width="11.75" style="214" customWidth="1"/>
    <col min="9486" max="9486" width="13" style="214" customWidth="1"/>
    <col min="9487" max="9487" width="14.125" style="214" bestFit="1" customWidth="1"/>
    <col min="9488" max="9488" width="3.625" style="214" customWidth="1"/>
    <col min="9489" max="9728" width="9" style="214"/>
    <col min="9729" max="9729" width="2.625" style="214" customWidth="1"/>
    <col min="9730" max="9730" width="1.25" style="214" customWidth="1"/>
    <col min="9731" max="9731" width="14.125" style="214" customWidth="1"/>
    <col min="9732" max="9733" width="13" style="214" customWidth="1"/>
    <col min="9734" max="9734" width="10.25" style="214" customWidth="1"/>
    <col min="9735" max="9735" width="11.375" style="214" customWidth="1"/>
    <col min="9736" max="9736" width="13" style="214" customWidth="1"/>
    <col min="9737" max="9737" width="12" style="214" customWidth="1"/>
    <col min="9738" max="9738" width="12.75" style="214" customWidth="1"/>
    <col min="9739" max="9739" width="13" style="214" customWidth="1"/>
    <col min="9740" max="9740" width="12.375" style="214" customWidth="1"/>
    <col min="9741" max="9741" width="11.75" style="214" customWidth="1"/>
    <col min="9742" max="9742" width="13" style="214" customWidth="1"/>
    <col min="9743" max="9743" width="14.125" style="214" bestFit="1" customWidth="1"/>
    <col min="9744" max="9744" width="3.625" style="214" customWidth="1"/>
    <col min="9745" max="9984" width="9" style="214"/>
    <col min="9985" max="9985" width="2.625" style="214" customWidth="1"/>
    <col min="9986" max="9986" width="1.25" style="214" customWidth="1"/>
    <col min="9987" max="9987" width="14.125" style="214" customWidth="1"/>
    <col min="9988" max="9989" width="13" style="214" customWidth="1"/>
    <col min="9990" max="9990" width="10.25" style="214" customWidth="1"/>
    <col min="9991" max="9991" width="11.375" style="214" customWidth="1"/>
    <col min="9992" max="9992" width="13" style="214" customWidth="1"/>
    <col min="9993" max="9993" width="12" style="214" customWidth="1"/>
    <col min="9994" max="9994" width="12.75" style="214" customWidth="1"/>
    <col min="9995" max="9995" width="13" style="214" customWidth="1"/>
    <col min="9996" max="9996" width="12.375" style="214" customWidth="1"/>
    <col min="9997" max="9997" width="11.75" style="214" customWidth="1"/>
    <col min="9998" max="9998" width="13" style="214" customWidth="1"/>
    <col min="9999" max="9999" width="14.125" style="214" bestFit="1" customWidth="1"/>
    <col min="10000" max="10000" width="3.625" style="214" customWidth="1"/>
    <col min="10001" max="10240" width="9" style="214"/>
    <col min="10241" max="10241" width="2.625" style="214" customWidth="1"/>
    <col min="10242" max="10242" width="1.25" style="214" customWidth="1"/>
    <col min="10243" max="10243" width="14.125" style="214" customWidth="1"/>
    <col min="10244" max="10245" width="13" style="214" customWidth="1"/>
    <col min="10246" max="10246" width="10.25" style="214" customWidth="1"/>
    <col min="10247" max="10247" width="11.375" style="214" customWidth="1"/>
    <col min="10248" max="10248" width="13" style="214" customWidth="1"/>
    <col min="10249" max="10249" width="12" style="214" customWidth="1"/>
    <col min="10250" max="10250" width="12.75" style="214" customWidth="1"/>
    <col min="10251" max="10251" width="13" style="214" customWidth="1"/>
    <col min="10252" max="10252" width="12.375" style="214" customWidth="1"/>
    <col min="10253" max="10253" width="11.75" style="214" customWidth="1"/>
    <col min="10254" max="10254" width="13" style="214" customWidth="1"/>
    <col min="10255" max="10255" width="14.125" style="214" bestFit="1" customWidth="1"/>
    <col min="10256" max="10256" width="3.625" style="214" customWidth="1"/>
    <col min="10257" max="10496" width="9" style="214"/>
    <col min="10497" max="10497" width="2.625" style="214" customWidth="1"/>
    <col min="10498" max="10498" width="1.25" style="214" customWidth="1"/>
    <col min="10499" max="10499" width="14.125" style="214" customWidth="1"/>
    <col min="10500" max="10501" width="13" style="214" customWidth="1"/>
    <col min="10502" max="10502" width="10.25" style="214" customWidth="1"/>
    <col min="10503" max="10503" width="11.375" style="214" customWidth="1"/>
    <col min="10504" max="10504" width="13" style="214" customWidth="1"/>
    <col min="10505" max="10505" width="12" style="214" customWidth="1"/>
    <col min="10506" max="10506" width="12.75" style="214" customWidth="1"/>
    <col min="10507" max="10507" width="13" style="214" customWidth="1"/>
    <col min="10508" max="10508" width="12.375" style="214" customWidth="1"/>
    <col min="10509" max="10509" width="11.75" style="214" customWidth="1"/>
    <col min="10510" max="10510" width="13" style="214" customWidth="1"/>
    <col min="10511" max="10511" width="14.125" style="214" bestFit="1" customWidth="1"/>
    <col min="10512" max="10512" width="3.625" style="214" customWidth="1"/>
    <col min="10513" max="10752" width="9" style="214"/>
    <col min="10753" max="10753" width="2.625" style="214" customWidth="1"/>
    <col min="10754" max="10754" width="1.25" style="214" customWidth="1"/>
    <col min="10755" max="10755" width="14.125" style="214" customWidth="1"/>
    <col min="10756" max="10757" width="13" style="214" customWidth="1"/>
    <col min="10758" max="10758" width="10.25" style="214" customWidth="1"/>
    <col min="10759" max="10759" width="11.375" style="214" customWidth="1"/>
    <col min="10760" max="10760" width="13" style="214" customWidth="1"/>
    <col min="10761" max="10761" width="12" style="214" customWidth="1"/>
    <col min="10762" max="10762" width="12.75" style="214" customWidth="1"/>
    <col min="10763" max="10763" width="13" style="214" customWidth="1"/>
    <col min="10764" max="10764" width="12.375" style="214" customWidth="1"/>
    <col min="10765" max="10765" width="11.75" style="214" customWidth="1"/>
    <col min="10766" max="10766" width="13" style="214" customWidth="1"/>
    <col min="10767" max="10767" width="14.125" style="214" bestFit="1" customWidth="1"/>
    <col min="10768" max="10768" width="3.625" style="214" customWidth="1"/>
    <col min="10769" max="11008" width="9" style="214"/>
    <col min="11009" max="11009" width="2.625" style="214" customWidth="1"/>
    <col min="11010" max="11010" width="1.25" style="214" customWidth="1"/>
    <col min="11011" max="11011" width="14.125" style="214" customWidth="1"/>
    <col min="11012" max="11013" width="13" style="214" customWidth="1"/>
    <col min="11014" max="11014" width="10.25" style="214" customWidth="1"/>
    <col min="11015" max="11015" width="11.375" style="214" customWidth="1"/>
    <col min="11016" max="11016" width="13" style="214" customWidth="1"/>
    <col min="11017" max="11017" width="12" style="214" customWidth="1"/>
    <col min="11018" max="11018" width="12.75" style="214" customWidth="1"/>
    <col min="11019" max="11019" width="13" style="214" customWidth="1"/>
    <col min="11020" max="11020" width="12.375" style="214" customWidth="1"/>
    <col min="11021" max="11021" width="11.75" style="214" customWidth="1"/>
    <col min="11022" max="11022" width="13" style="214" customWidth="1"/>
    <col min="11023" max="11023" width="14.125" style="214" bestFit="1" customWidth="1"/>
    <col min="11024" max="11024" width="3.625" style="214" customWidth="1"/>
    <col min="11025" max="11264" width="9" style="214"/>
    <col min="11265" max="11265" width="2.625" style="214" customWidth="1"/>
    <col min="11266" max="11266" width="1.25" style="214" customWidth="1"/>
    <col min="11267" max="11267" width="14.125" style="214" customWidth="1"/>
    <col min="11268" max="11269" width="13" style="214" customWidth="1"/>
    <col min="11270" max="11270" width="10.25" style="214" customWidth="1"/>
    <col min="11271" max="11271" width="11.375" style="214" customWidth="1"/>
    <col min="11272" max="11272" width="13" style="214" customWidth="1"/>
    <col min="11273" max="11273" width="12" style="214" customWidth="1"/>
    <col min="11274" max="11274" width="12.75" style="214" customWidth="1"/>
    <col min="11275" max="11275" width="13" style="214" customWidth="1"/>
    <col min="11276" max="11276" width="12.375" style="214" customWidth="1"/>
    <col min="11277" max="11277" width="11.75" style="214" customWidth="1"/>
    <col min="11278" max="11278" width="13" style="214" customWidth="1"/>
    <col min="11279" max="11279" width="14.125" style="214" bestFit="1" customWidth="1"/>
    <col min="11280" max="11280" width="3.625" style="214" customWidth="1"/>
    <col min="11281" max="11520" width="9" style="214"/>
    <col min="11521" max="11521" width="2.625" style="214" customWidth="1"/>
    <col min="11522" max="11522" width="1.25" style="214" customWidth="1"/>
    <col min="11523" max="11523" width="14.125" style="214" customWidth="1"/>
    <col min="11524" max="11525" width="13" style="214" customWidth="1"/>
    <col min="11526" max="11526" width="10.25" style="214" customWidth="1"/>
    <col min="11527" max="11527" width="11.375" style="214" customWidth="1"/>
    <col min="11528" max="11528" width="13" style="214" customWidth="1"/>
    <col min="11529" max="11529" width="12" style="214" customWidth="1"/>
    <col min="11530" max="11530" width="12.75" style="214" customWidth="1"/>
    <col min="11531" max="11531" width="13" style="214" customWidth="1"/>
    <col min="11532" max="11532" width="12.375" style="214" customWidth="1"/>
    <col min="11533" max="11533" width="11.75" style="214" customWidth="1"/>
    <col min="11534" max="11534" width="13" style="214" customWidth="1"/>
    <col min="11535" max="11535" width="14.125" style="214" bestFit="1" customWidth="1"/>
    <col min="11536" max="11536" width="3.625" style="214" customWidth="1"/>
    <col min="11537" max="11776" width="9" style="214"/>
    <col min="11777" max="11777" width="2.625" style="214" customWidth="1"/>
    <col min="11778" max="11778" width="1.25" style="214" customWidth="1"/>
    <col min="11779" max="11779" width="14.125" style="214" customWidth="1"/>
    <col min="11780" max="11781" width="13" style="214" customWidth="1"/>
    <col min="11782" max="11782" width="10.25" style="214" customWidth="1"/>
    <col min="11783" max="11783" width="11.375" style="214" customWidth="1"/>
    <col min="11784" max="11784" width="13" style="214" customWidth="1"/>
    <col min="11785" max="11785" width="12" style="214" customWidth="1"/>
    <col min="11786" max="11786" width="12.75" style="214" customWidth="1"/>
    <col min="11787" max="11787" width="13" style="214" customWidth="1"/>
    <col min="11788" max="11788" width="12.375" style="214" customWidth="1"/>
    <col min="11789" max="11789" width="11.75" style="214" customWidth="1"/>
    <col min="11790" max="11790" width="13" style="214" customWidth="1"/>
    <col min="11791" max="11791" width="14.125" style="214" bestFit="1" customWidth="1"/>
    <col min="11792" max="11792" width="3.625" style="214" customWidth="1"/>
    <col min="11793" max="12032" width="9" style="214"/>
    <col min="12033" max="12033" width="2.625" style="214" customWidth="1"/>
    <col min="12034" max="12034" width="1.25" style="214" customWidth="1"/>
    <col min="12035" max="12035" width="14.125" style="214" customWidth="1"/>
    <col min="12036" max="12037" width="13" style="214" customWidth="1"/>
    <col min="12038" max="12038" width="10.25" style="214" customWidth="1"/>
    <col min="12039" max="12039" width="11.375" style="214" customWidth="1"/>
    <col min="12040" max="12040" width="13" style="214" customWidth="1"/>
    <col min="12041" max="12041" width="12" style="214" customWidth="1"/>
    <col min="12042" max="12042" width="12.75" style="214" customWidth="1"/>
    <col min="12043" max="12043" width="13" style="214" customWidth="1"/>
    <col min="12044" max="12044" width="12.375" style="214" customWidth="1"/>
    <col min="12045" max="12045" width="11.75" style="214" customWidth="1"/>
    <col min="12046" max="12046" width="13" style="214" customWidth="1"/>
    <col min="12047" max="12047" width="14.125" style="214" bestFit="1" customWidth="1"/>
    <col min="12048" max="12048" width="3.625" style="214" customWidth="1"/>
    <col min="12049" max="12288" width="9" style="214"/>
    <col min="12289" max="12289" width="2.625" style="214" customWidth="1"/>
    <col min="12290" max="12290" width="1.25" style="214" customWidth="1"/>
    <col min="12291" max="12291" width="14.125" style="214" customWidth="1"/>
    <col min="12292" max="12293" width="13" style="214" customWidth="1"/>
    <col min="12294" max="12294" width="10.25" style="214" customWidth="1"/>
    <col min="12295" max="12295" width="11.375" style="214" customWidth="1"/>
    <col min="12296" max="12296" width="13" style="214" customWidth="1"/>
    <col min="12297" max="12297" width="12" style="214" customWidth="1"/>
    <col min="12298" max="12298" width="12.75" style="214" customWidth="1"/>
    <col min="12299" max="12299" width="13" style="214" customWidth="1"/>
    <col min="12300" max="12300" width="12.375" style="214" customWidth="1"/>
    <col min="12301" max="12301" width="11.75" style="214" customWidth="1"/>
    <col min="12302" max="12302" width="13" style="214" customWidth="1"/>
    <col min="12303" max="12303" width="14.125" style="214" bestFit="1" customWidth="1"/>
    <col min="12304" max="12304" width="3.625" style="214" customWidth="1"/>
    <col min="12305" max="12544" width="9" style="214"/>
    <col min="12545" max="12545" width="2.625" style="214" customWidth="1"/>
    <col min="12546" max="12546" width="1.25" style="214" customWidth="1"/>
    <col min="12547" max="12547" width="14.125" style="214" customWidth="1"/>
    <col min="12548" max="12549" width="13" style="214" customWidth="1"/>
    <col min="12550" max="12550" width="10.25" style="214" customWidth="1"/>
    <col min="12551" max="12551" width="11.375" style="214" customWidth="1"/>
    <col min="12552" max="12552" width="13" style="214" customWidth="1"/>
    <col min="12553" max="12553" width="12" style="214" customWidth="1"/>
    <col min="12554" max="12554" width="12.75" style="214" customWidth="1"/>
    <col min="12555" max="12555" width="13" style="214" customWidth="1"/>
    <col min="12556" max="12556" width="12.375" style="214" customWidth="1"/>
    <col min="12557" max="12557" width="11.75" style="214" customWidth="1"/>
    <col min="12558" max="12558" width="13" style="214" customWidth="1"/>
    <col min="12559" max="12559" width="14.125" style="214" bestFit="1" customWidth="1"/>
    <col min="12560" max="12560" width="3.625" style="214" customWidth="1"/>
    <col min="12561" max="12800" width="9" style="214"/>
    <col min="12801" max="12801" width="2.625" style="214" customWidth="1"/>
    <col min="12802" max="12802" width="1.25" style="214" customWidth="1"/>
    <col min="12803" max="12803" width="14.125" style="214" customWidth="1"/>
    <col min="12804" max="12805" width="13" style="214" customWidth="1"/>
    <col min="12806" max="12806" width="10.25" style="214" customWidth="1"/>
    <col min="12807" max="12807" width="11.375" style="214" customWidth="1"/>
    <col min="12808" max="12808" width="13" style="214" customWidth="1"/>
    <col min="12809" max="12809" width="12" style="214" customWidth="1"/>
    <col min="12810" max="12810" width="12.75" style="214" customWidth="1"/>
    <col min="12811" max="12811" width="13" style="214" customWidth="1"/>
    <col min="12812" max="12812" width="12.375" style="214" customWidth="1"/>
    <col min="12813" max="12813" width="11.75" style="214" customWidth="1"/>
    <col min="12814" max="12814" width="13" style="214" customWidth="1"/>
    <col min="12815" max="12815" width="14.125" style="214" bestFit="1" customWidth="1"/>
    <col min="12816" max="12816" width="3.625" style="214" customWidth="1"/>
    <col min="12817" max="13056" width="9" style="214"/>
    <col min="13057" max="13057" width="2.625" style="214" customWidth="1"/>
    <col min="13058" max="13058" width="1.25" style="214" customWidth="1"/>
    <col min="13059" max="13059" width="14.125" style="214" customWidth="1"/>
    <col min="13060" max="13061" width="13" style="214" customWidth="1"/>
    <col min="13062" max="13062" width="10.25" style="214" customWidth="1"/>
    <col min="13063" max="13063" width="11.375" style="214" customWidth="1"/>
    <col min="13064" max="13064" width="13" style="214" customWidth="1"/>
    <col min="13065" max="13065" width="12" style="214" customWidth="1"/>
    <col min="13066" max="13066" width="12.75" style="214" customWidth="1"/>
    <col min="13067" max="13067" width="13" style="214" customWidth="1"/>
    <col min="13068" max="13068" width="12.375" style="214" customWidth="1"/>
    <col min="13069" max="13069" width="11.75" style="214" customWidth="1"/>
    <col min="13070" max="13070" width="13" style="214" customWidth="1"/>
    <col min="13071" max="13071" width="14.125" style="214" bestFit="1" customWidth="1"/>
    <col min="13072" max="13072" width="3.625" style="214" customWidth="1"/>
    <col min="13073" max="13312" width="9" style="214"/>
    <col min="13313" max="13313" width="2.625" style="214" customWidth="1"/>
    <col min="13314" max="13314" width="1.25" style="214" customWidth="1"/>
    <col min="13315" max="13315" width="14.125" style="214" customWidth="1"/>
    <col min="13316" max="13317" width="13" style="214" customWidth="1"/>
    <col min="13318" max="13318" width="10.25" style="214" customWidth="1"/>
    <col min="13319" max="13319" width="11.375" style="214" customWidth="1"/>
    <col min="13320" max="13320" width="13" style="214" customWidth="1"/>
    <col min="13321" max="13321" width="12" style="214" customWidth="1"/>
    <col min="13322" max="13322" width="12.75" style="214" customWidth="1"/>
    <col min="13323" max="13323" width="13" style="214" customWidth="1"/>
    <col min="13324" max="13324" width="12.375" style="214" customWidth="1"/>
    <col min="13325" max="13325" width="11.75" style="214" customWidth="1"/>
    <col min="13326" max="13326" width="13" style="214" customWidth="1"/>
    <col min="13327" max="13327" width="14.125" style="214" bestFit="1" customWidth="1"/>
    <col min="13328" max="13328" width="3.625" style="214" customWidth="1"/>
    <col min="13329" max="13568" width="9" style="214"/>
    <col min="13569" max="13569" width="2.625" style="214" customWidth="1"/>
    <col min="13570" max="13570" width="1.25" style="214" customWidth="1"/>
    <col min="13571" max="13571" width="14.125" style="214" customWidth="1"/>
    <col min="13572" max="13573" width="13" style="214" customWidth="1"/>
    <col min="13574" max="13574" width="10.25" style="214" customWidth="1"/>
    <col min="13575" max="13575" width="11.375" style="214" customWidth="1"/>
    <col min="13576" max="13576" width="13" style="214" customWidth="1"/>
    <col min="13577" max="13577" width="12" style="214" customWidth="1"/>
    <col min="13578" max="13578" width="12.75" style="214" customWidth="1"/>
    <col min="13579" max="13579" width="13" style="214" customWidth="1"/>
    <col min="13580" max="13580" width="12.375" style="214" customWidth="1"/>
    <col min="13581" max="13581" width="11.75" style="214" customWidth="1"/>
    <col min="13582" max="13582" width="13" style="214" customWidth="1"/>
    <col min="13583" max="13583" width="14.125" style="214" bestFit="1" customWidth="1"/>
    <col min="13584" max="13584" width="3.625" style="214" customWidth="1"/>
    <col min="13585" max="13824" width="9" style="214"/>
    <col min="13825" max="13825" width="2.625" style="214" customWidth="1"/>
    <col min="13826" max="13826" width="1.25" style="214" customWidth="1"/>
    <col min="13827" max="13827" width="14.125" style="214" customWidth="1"/>
    <col min="13828" max="13829" width="13" style="214" customWidth="1"/>
    <col min="13830" max="13830" width="10.25" style="214" customWidth="1"/>
    <col min="13831" max="13831" width="11.375" style="214" customWidth="1"/>
    <col min="13832" max="13832" width="13" style="214" customWidth="1"/>
    <col min="13833" max="13833" width="12" style="214" customWidth="1"/>
    <col min="13834" max="13834" width="12.75" style="214" customWidth="1"/>
    <col min="13835" max="13835" width="13" style="214" customWidth="1"/>
    <col min="13836" max="13836" width="12.375" style="214" customWidth="1"/>
    <col min="13837" max="13837" width="11.75" style="214" customWidth="1"/>
    <col min="13838" max="13838" width="13" style="214" customWidth="1"/>
    <col min="13839" max="13839" width="14.125" style="214" bestFit="1" customWidth="1"/>
    <col min="13840" max="13840" width="3.625" style="214" customWidth="1"/>
    <col min="13841" max="14080" width="9" style="214"/>
    <col min="14081" max="14081" width="2.625" style="214" customWidth="1"/>
    <col min="14082" max="14082" width="1.25" style="214" customWidth="1"/>
    <col min="14083" max="14083" width="14.125" style="214" customWidth="1"/>
    <col min="14084" max="14085" width="13" style="214" customWidth="1"/>
    <col min="14086" max="14086" width="10.25" style="214" customWidth="1"/>
    <col min="14087" max="14087" width="11.375" style="214" customWidth="1"/>
    <col min="14088" max="14088" width="13" style="214" customWidth="1"/>
    <col min="14089" max="14089" width="12" style="214" customWidth="1"/>
    <col min="14090" max="14090" width="12.75" style="214" customWidth="1"/>
    <col min="14091" max="14091" width="13" style="214" customWidth="1"/>
    <col min="14092" max="14092" width="12.375" style="214" customWidth="1"/>
    <col min="14093" max="14093" width="11.75" style="214" customWidth="1"/>
    <col min="14094" max="14094" width="13" style="214" customWidth="1"/>
    <col min="14095" max="14095" width="14.125" style="214" bestFit="1" customWidth="1"/>
    <col min="14096" max="14096" width="3.625" style="214" customWidth="1"/>
    <col min="14097" max="14336" width="9" style="214"/>
    <col min="14337" max="14337" width="2.625" style="214" customWidth="1"/>
    <col min="14338" max="14338" width="1.25" style="214" customWidth="1"/>
    <col min="14339" max="14339" width="14.125" style="214" customWidth="1"/>
    <col min="14340" max="14341" width="13" style="214" customWidth="1"/>
    <col min="14342" max="14342" width="10.25" style="214" customWidth="1"/>
    <col min="14343" max="14343" width="11.375" style="214" customWidth="1"/>
    <col min="14344" max="14344" width="13" style="214" customWidth="1"/>
    <col min="14345" max="14345" width="12" style="214" customWidth="1"/>
    <col min="14346" max="14346" width="12.75" style="214" customWidth="1"/>
    <col min="14347" max="14347" width="13" style="214" customWidth="1"/>
    <col min="14348" max="14348" width="12.375" style="214" customWidth="1"/>
    <col min="14349" max="14349" width="11.75" style="214" customWidth="1"/>
    <col min="14350" max="14350" width="13" style="214" customWidth="1"/>
    <col min="14351" max="14351" width="14.125" style="214" bestFit="1" customWidth="1"/>
    <col min="14352" max="14352" width="3.625" style="214" customWidth="1"/>
    <col min="14353" max="14592" width="9" style="214"/>
    <col min="14593" max="14593" width="2.625" style="214" customWidth="1"/>
    <col min="14594" max="14594" width="1.25" style="214" customWidth="1"/>
    <col min="14595" max="14595" width="14.125" style="214" customWidth="1"/>
    <col min="14596" max="14597" width="13" style="214" customWidth="1"/>
    <col min="14598" max="14598" width="10.25" style="214" customWidth="1"/>
    <col min="14599" max="14599" width="11.375" style="214" customWidth="1"/>
    <col min="14600" max="14600" width="13" style="214" customWidth="1"/>
    <col min="14601" max="14601" width="12" style="214" customWidth="1"/>
    <col min="14602" max="14602" width="12.75" style="214" customWidth="1"/>
    <col min="14603" max="14603" width="13" style="214" customWidth="1"/>
    <col min="14604" max="14604" width="12.375" style="214" customWidth="1"/>
    <col min="14605" max="14605" width="11.75" style="214" customWidth="1"/>
    <col min="14606" max="14606" width="13" style="214" customWidth="1"/>
    <col min="14607" max="14607" width="14.125" style="214" bestFit="1" customWidth="1"/>
    <col min="14608" max="14608" width="3.625" style="214" customWidth="1"/>
    <col min="14609" max="14848" width="9" style="214"/>
    <col min="14849" max="14849" width="2.625" style="214" customWidth="1"/>
    <col min="14850" max="14850" width="1.25" style="214" customWidth="1"/>
    <col min="14851" max="14851" width="14.125" style="214" customWidth="1"/>
    <col min="14852" max="14853" width="13" style="214" customWidth="1"/>
    <col min="14854" max="14854" width="10.25" style="214" customWidth="1"/>
    <col min="14855" max="14855" width="11.375" style="214" customWidth="1"/>
    <col min="14856" max="14856" width="13" style="214" customWidth="1"/>
    <col min="14857" max="14857" width="12" style="214" customWidth="1"/>
    <col min="14858" max="14858" width="12.75" style="214" customWidth="1"/>
    <col min="14859" max="14859" width="13" style="214" customWidth="1"/>
    <col min="14860" max="14860" width="12.375" style="214" customWidth="1"/>
    <col min="14861" max="14861" width="11.75" style="214" customWidth="1"/>
    <col min="14862" max="14862" width="13" style="214" customWidth="1"/>
    <col min="14863" max="14863" width="14.125" style="214" bestFit="1" customWidth="1"/>
    <col min="14864" max="14864" width="3.625" style="214" customWidth="1"/>
    <col min="14865" max="15104" width="9" style="214"/>
    <col min="15105" max="15105" width="2.625" style="214" customWidth="1"/>
    <col min="15106" max="15106" width="1.25" style="214" customWidth="1"/>
    <col min="15107" max="15107" width="14.125" style="214" customWidth="1"/>
    <col min="15108" max="15109" width="13" style="214" customWidth="1"/>
    <col min="15110" max="15110" width="10.25" style="214" customWidth="1"/>
    <col min="15111" max="15111" width="11.375" style="214" customWidth="1"/>
    <col min="15112" max="15112" width="13" style="214" customWidth="1"/>
    <col min="15113" max="15113" width="12" style="214" customWidth="1"/>
    <col min="15114" max="15114" width="12.75" style="214" customWidth="1"/>
    <col min="15115" max="15115" width="13" style="214" customWidth="1"/>
    <col min="15116" max="15116" width="12.375" style="214" customWidth="1"/>
    <col min="15117" max="15117" width="11.75" style="214" customWidth="1"/>
    <col min="15118" max="15118" width="13" style="214" customWidth="1"/>
    <col min="15119" max="15119" width="14.125" style="214" bestFit="1" customWidth="1"/>
    <col min="15120" max="15120" width="3.625" style="214" customWidth="1"/>
    <col min="15121" max="15360" width="9" style="214"/>
    <col min="15361" max="15361" width="2.625" style="214" customWidth="1"/>
    <col min="15362" max="15362" width="1.25" style="214" customWidth="1"/>
    <col min="15363" max="15363" width="14.125" style="214" customWidth="1"/>
    <col min="15364" max="15365" width="13" style="214" customWidth="1"/>
    <col min="15366" max="15366" width="10.25" style="214" customWidth="1"/>
    <col min="15367" max="15367" width="11.375" style="214" customWidth="1"/>
    <col min="15368" max="15368" width="13" style="214" customWidth="1"/>
    <col min="15369" max="15369" width="12" style="214" customWidth="1"/>
    <col min="15370" max="15370" width="12.75" style="214" customWidth="1"/>
    <col min="15371" max="15371" width="13" style="214" customWidth="1"/>
    <col min="15372" max="15372" width="12.375" style="214" customWidth="1"/>
    <col min="15373" max="15373" width="11.75" style="214" customWidth="1"/>
    <col min="15374" max="15374" width="13" style="214" customWidth="1"/>
    <col min="15375" max="15375" width="14.125" style="214" bestFit="1" customWidth="1"/>
    <col min="15376" max="15376" width="3.625" style="214" customWidth="1"/>
    <col min="15377" max="15616" width="9" style="214"/>
    <col min="15617" max="15617" width="2.625" style="214" customWidth="1"/>
    <col min="15618" max="15618" width="1.25" style="214" customWidth="1"/>
    <col min="15619" max="15619" width="14.125" style="214" customWidth="1"/>
    <col min="15620" max="15621" width="13" style="214" customWidth="1"/>
    <col min="15622" max="15622" width="10.25" style="214" customWidth="1"/>
    <col min="15623" max="15623" width="11.375" style="214" customWidth="1"/>
    <col min="15624" max="15624" width="13" style="214" customWidth="1"/>
    <col min="15625" max="15625" width="12" style="214" customWidth="1"/>
    <col min="15626" max="15626" width="12.75" style="214" customWidth="1"/>
    <col min="15627" max="15627" width="13" style="214" customWidth="1"/>
    <col min="15628" max="15628" width="12.375" style="214" customWidth="1"/>
    <col min="15629" max="15629" width="11.75" style="214" customWidth="1"/>
    <col min="15630" max="15630" width="13" style="214" customWidth="1"/>
    <col min="15631" max="15631" width="14.125" style="214" bestFit="1" customWidth="1"/>
    <col min="15632" max="15632" width="3.625" style="214" customWidth="1"/>
    <col min="15633" max="15872" width="9" style="214"/>
    <col min="15873" max="15873" width="2.625" style="214" customWidth="1"/>
    <col min="15874" max="15874" width="1.25" style="214" customWidth="1"/>
    <col min="15875" max="15875" width="14.125" style="214" customWidth="1"/>
    <col min="15876" max="15877" width="13" style="214" customWidth="1"/>
    <col min="15878" max="15878" width="10.25" style="214" customWidth="1"/>
    <col min="15879" max="15879" width="11.375" style="214" customWidth="1"/>
    <col min="15880" max="15880" width="13" style="214" customWidth="1"/>
    <col min="15881" max="15881" width="12" style="214" customWidth="1"/>
    <col min="15882" max="15882" width="12.75" style="214" customWidth="1"/>
    <col min="15883" max="15883" width="13" style="214" customWidth="1"/>
    <col min="15884" max="15884" width="12.375" style="214" customWidth="1"/>
    <col min="15885" max="15885" width="11.75" style="214" customWidth="1"/>
    <col min="15886" max="15886" width="13" style="214" customWidth="1"/>
    <col min="15887" max="15887" width="14.125" style="214" bestFit="1" customWidth="1"/>
    <col min="15888" max="15888" width="3.625" style="214" customWidth="1"/>
    <col min="15889" max="16128" width="9" style="214"/>
    <col min="16129" max="16129" width="2.625" style="214" customWidth="1"/>
    <col min="16130" max="16130" width="1.25" style="214" customWidth="1"/>
    <col min="16131" max="16131" width="14.125" style="214" customWidth="1"/>
    <col min="16132" max="16133" width="13" style="214" customWidth="1"/>
    <col min="16134" max="16134" width="10.25" style="214" customWidth="1"/>
    <col min="16135" max="16135" width="11.375" style="214" customWidth="1"/>
    <col min="16136" max="16136" width="13" style="214" customWidth="1"/>
    <col min="16137" max="16137" width="12" style="214" customWidth="1"/>
    <col min="16138" max="16138" width="12.75" style="214" customWidth="1"/>
    <col min="16139" max="16139" width="13" style="214" customWidth="1"/>
    <col min="16140" max="16140" width="12.375" style="214" customWidth="1"/>
    <col min="16141" max="16141" width="11.75" style="214" customWidth="1"/>
    <col min="16142" max="16142" width="13" style="214" customWidth="1"/>
    <col min="16143" max="16143" width="14.125" style="214" bestFit="1" customWidth="1"/>
    <col min="16144" max="16144" width="3.625" style="214" customWidth="1"/>
    <col min="16145" max="16384" width="9" style="214"/>
  </cols>
  <sheetData>
    <row r="1" spans="1:15" ht="24.95" customHeight="1">
      <c r="A1" s="298" t="s">
        <v>376</v>
      </c>
    </row>
    <row r="2" spans="1:15" ht="24.95" customHeight="1" thickBot="1">
      <c r="A2" s="214" t="s">
        <v>293</v>
      </c>
      <c r="K2" s="259" t="s">
        <v>292</v>
      </c>
    </row>
    <row r="3" spans="1:15" ht="24.95" customHeight="1">
      <c r="A3" s="233" t="s">
        <v>291</v>
      </c>
      <c r="B3" s="232"/>
      <c r="C3" s="232"/>
      <c r="D3" s="297" t="s">
        <v>290</v>
      </c>
      <c r="E3" s="296" t="s">
        <v>289</v>
      </c>
      <c r="F3" s="294"/>
      <c r="G3" s="294"/>
      <c r="H3" s="293"/>
      <c r="I3" s="295" t="s">
        <v>288</v>
      </c>
      <c r="J3" s="294"/>
      <c r="K3" s="293"/>
    </row>
    <row r="4" spans="1:15" s="273" customFormat="1" ht="24.95" customHeight="1">
      <c r="A4" s="292"/>
      <c r="B4" s="291"/>
      <c r="C4" s="291"/>
      <c r="D4" s="290"/>
      <c r="E4" s="289" t="s">
        <v>287</v>
      </c>
      <c r="F4" s="288"/>
      <c r="G4" s="287" t="s">
        <v>286</v>
      </c>
      <c r="H4" s="284" t="s">
        <v>285</v>
      </c>
      <c r="I4" s="286" t="s">
        <v>287</v>
      </c>
      <c r="J4" s="285" t="s">
        <v>286</v>
      </c>
      <c r="K4" s="284" t="s">
        <v>285</v>
      </c>
    </row>
    <row r="5" spans="1:15" s="275" customFormat="1" ht="24.95" customHeight="1">
      <c r="A5" s="283"/>
      <c r="B5" s="282"/>
      <c r="C5" s="282"/>
      <c r="D5" s="281"/>
      <c r="E5" s="280" t="s">
        <v>282</v>
      </c>
      <c r="F5" s="277" t="s">
        <v>284</v>
      </c>
      <c r="G5" s="279" t="s">
        <v>283</v>
      </c>
      <c r="H5" s="276"/>
      <c r="I5" s="278" t="s">
        <v>282</v>
      </c>
      <c r="J5" s="277" t="s">
        <v>282</v>
      </c>
      <c r="K5" s="276"/>
    </row>
    <row r="6" spans="1:15" ht="24.95" customHeight="1">
      <c r="A6" s="265"/>
      <c r="B6" s="255" t="s">
        <v>244</v>
      </c>
      <c r="C6" s="258"/>
      <c r="D6" s="246">
        <f>SUM(D7:D20)</f>
        <v>11612269048</v>
      </c>
      <c r="E6" s="245">
        <f>SUM(E7:E20)</f>
        <v>2347823002</v>
      </c>
      <c r="F6" s="242">
        <f>SUM(F7:F20)</f>
        <v>215321104</v>
      </c>
      <c r="G6" s="242">
        <f>SUM(G7:G20)</f>
        <v>380587586</v>
      </c>
      <c r="H6" s="241">
        <f t="shared" ref="H6:H24" si="0">SUM(E6:G6)</f>
        <v>2943731692</v>
      </c>
      <c r="I6" s="243">
        <f>SUM(I7:I20)</f>
        <v>88724768</v>
      </c>
      <c r="J6" s="242">
        <f>SUM(J7:J20)</f>
        <v>7014284005</v>
      </c>
      <c r="K6" s="241">
        <f t="shared" ref="K6:K24" si="1">SUM(I6:J6)</f>
        <v>7103008773</v>
      </c>
      <c r="M6" s="214">
        <f t="shared" ref="M6:M24" si="2">D6-H6-K6</f>
        <v>1565528583</v>
      </c>
    </row>
    <row r="7" spans="1:15" ht="24.95" customHeight="1">
      <c r="A7" s="252"/>
      <c r="B7" s="255"/>
      <c r="C7" s="255" t="s">
        <v>77</v>
      </c>
      <c r="D7" s="246">
        <f>+'雨汚水(共通按分後)'!E7</f>
        <v>611819957</v>
      </c>
      <c r="E7" s="245">
        <f>+'雨汚水(共通按分後)'!F7</f>
        <v>230221297</v>
      </c>
      <c r="F7" s="242">
        <f>+'雨汚水(共通按分後)'!G7</f>
        <v>52397598</v>
      </c>
      <c r="G7" s="242">
        <f>+'雨汚水(共通按分後)'!H7</f>
        <v>9132669</v>
      </c>
      <c r="H7" s="241">
        <f t="shared" si="0"/>
        <v>291751564</v>
      </c>
      <c r="I7" s="243">
        <f>+'雨汚水(共通按分後)'!J7</f>
        <v>0</v>
      </c>
      <c r="J7" s="242">
        <f>+'雨汚水(共通按分後)'!K7</f>
        <v>221309810</v>
      </c>
      <c r="K7" s="241">
        <f t="shared" si="1"/>
        <v>221309810</v>
      </c>
      <c r="M7" s="214">
        <f t="shared" si="2"/>
        <v>98758583</v>
      </c>
    </row>
    <row r="8" spans="1:15" ht="24.95" customHeight="1">
      <c r="A8" s="252"/>
      <c r="B8" s="256"/>
      <c r="C8" s="255" t="s">
        <v>74</v>
      </c>
      <c r="D8" s="246">
        <f>+'雨汚水(共通按分後)'!E8</f>
        <v>52443869</v>
      </c>
      <c r="E8" s="245">
        <f>+'雨汚水(共通按分後)'!F8</f>
        <v>0</v>
      </c>
      <c r="F8" s="242">
        <f>+'雨汚水(共通按分後)'!G8</f>
        <v>0</v>
      </c>
      <c r="G8" s="242">
        <f>+'雨汚水(共通按分後)'!H8</f>
        <v>0</v>
      </c>
      <c r="H8" s="241">
        <f t="shared" si="0"/>
        <v>0</v>
      </c>
      <c r="I8" s="243">
        <f>+'雨汚水(共通按分後)'!J8</f>
        <v>52443869</v>
      </c>
      <c r="J8" s="242">
        <f>+'雨汚水(共通按分後)'!K8</f>
        <v>0</v>
      </c>
      <c r="K8" s="241">
        <f t="shared" si="1"/>
        <v>52443869</v>
      </c>
      <c r="M8" s="214">
        <f t="shared" si="2"/>
        <v>0</v>
      </c>
    </row>
    <row r="9" spans="1:15" ht="24.95" customHeight="1">
      <c r="A9" s="252"/>
      <c r="B9" s="256"/>
      <c r="C9" s="255" t="s">
        <v>71</v>
      </c>
      <c r="D9" s="246">
        <f>+'雨汚水(共通按分後)'!E9</f>
        <v>2356040225</v>
      </c>
      <c r="E9" s="245">
        <f>+'雨汚水(共通按分後)'!F9</f>
        <v>1527401796</v>
      </c>
      <c r="F9" s="242">
        <f>+'雨汚水(共通按分後)'!G9</f>
        <v>48067803</v>
      </c>
      <c r="G9" s="242">
        <f>+'雨汚水(共通按分後)'!H9</f>
        <v>0</v>
      </c>
      <c r="H9" s="241">
        <f t="shared" si="0"/>
        <v>1575469599</v>
      </c>
      <c r="I9" s="243">
        <f>+'雨汚水(共通按分後)'!J9</f>
        <v>0</v>
      </c>
      <c r="J9" s="242">
        <f>+'雨汚水(共通按分後)'!K9</f>
        <v>533320590</v>
      </c>
      <c r="K9" s="241">
        <f t="shared" si="1"/>
        <v>533320590</v>
      </c>
      <c r="M9" s="214">
        <f t="shared" si="2"/>
        <v>247250036</v>
      </c>
    </row>
    <row r="10" spans="1:15" ht="24.95" customHeight="1">
      <c r="A10" s="252"/>
      <c r="B10" s="256"/>
      <c r="C10" s="255" t="s">
        <v>69</v>
      </c>
      <c r="D10" s="246">
        <f>+'雨汚水(共通按分後)'!E10</f>
        <v>6557703864</v>
      </c>
      <c r="E10" s="245">
        <f>+'雨汚水(共通按分後)'!F10</f>
        <v>577234561</v>
      </c>
      <c r="F10" s="242">
        <f>+'雨汚水(共通按分後)'!G10</f>
        <v>115034634</v>
      </c>
      <c r="G10" s="242">
        <f>+'雨汚水(共通按分後)'!H10</f>
        <v>344422481</v>
      </c>
      <c r="H10" s="241">
        <f t="shared" si="0"/>
        <v>1036691676</v>
      </c>
      <c r="I10" s="274">
        <f>+'雨汚水(共通按分後)'!J10</f>
        <v>1493402</v>
      </c>
      <c r="J10" s="242">
        <f>+'雨汚水(共通按分後)'!K10</f>
        <v>4285094822</v>
      </c>
      <c r="K10" s="241">
        <f t="shared" si="1"/>
        <v>4286588224</v>
      </c>
      <c r="M10" s="214">
        <f t="shared" si="2"/>
        <v>1234423964</v>
      </c>
    </row>
    <row r="11" spans="1:15" ht="24.95" customHeight="1">
      <c r="A11" s="252"/>
      <c r="B11" s="256"/>
      <c r="C11" s="255" t="s">
        <v>67</v>
      </c>
      <c r="D11" s="246">
        <f>+'雨汚水(共通按分後)'!E11</f>
        <v>0</v>
      </c>
      <c r="E11" s="245">
        <f>+'雨汚水(共通按分後)'!F11</f>
        <v>0</v>
      </c>
      <c r="F11" s="242">
        <f>+'雨汚水(共通按分後)'!G11</f>
        <v>0</v>
      </c>
      <c r="G11" s="242">
        <f>+'雨汚水(共通按分後)'!H11</f>
        <v>0</v>
      </c>
      <c r="H11" s="241">
        <f t="shared" si="0"/>
        <v>0</v>
      </c>
      <c r="I11" s="243">
        <f>+'雨汚水(共通按分後)'!J11</f>
        <v>0</v>
      </c>
      <c r="J11" s="242">
        <f>+'雨汚水(共通按分後)'!K11</f>
        <v>0</v>
      </c>
      <c r="K11" s="241">
        <f t="shared" si="1"/>
        <v>0</v>
      </c>
      <c r="L11" s="273" t="s">
        <v>281</v>
      </c>
      <c r="M11" s="214">
        <f t="shared" si="2"/>
        <v>0</v>
      </c>
    </row>
    <row r="12" spans="1:15" ht="24.95" customHeight="1">
      <c r="A12" s="252"/>
      <c r="B12" s="256"/>
      <c r="C12" s="255" t="s">
        <v>65</v>
      </c>
      <c r="D12" s="246">
        <f>+'雨汚水(共通按分後)'!E12</f>
        <v>88849549</v>
      </c>
      <c r="E12" s="245">
        <f>+'雨汚水(共通按分後)'!F12</f>
        <v>0</v>
      </c>
      <c r="F12" s="242">
        <f>+'雨汚水(共通按分後)'!G12</f>
        <v>0</v>
      </c>
      <c r="G12" s="242">
        <f>+'雨汚水(共通按分後)'!H12</f>
        <v>19274556</v>
      </c>
      <c r="H12" s="241">
        <f t="shared" si="0"/>
        <v>19274556</v>
      </c>
      <c r="I12" s="243">
        <f>+'雨汚水(共通按分後)'!J12</f>
        <v>34787497</v>
      </c>
      <c r="J12" s="242">
        <f>+'雨汚水(共通按分後)'!K12</f>
        <v>34787496</v>
      </c>
      <c r="K12" s="241">
        <f t="shared" si="1"/>
        <v>69574993</v>
      </c>
      <c r="L12" s="214">
        <f>G12+I12</f>
        <v>54062053</v>
      </c>
      <c r="M12" s="214">
        <f t="shared" si="2"/>
        <v>0</v>
      </c>
    </row>
    <row r="13" spans="1:15" ht="24.95" customHeight="1">
      <c r="A13" s="252"/>
      <c r="B13" s="256"/>
      <c r="C13" s="270" t="s">
        <v>62</v>
      </c>
      <c r="D13" s="246">
        <f>+'雨汚水(共通按分後)'!E13</f>
        <v>10483859</v>
      </c>
      <c r="E13" s="245">
        <f>+'雨汚水(共通按分後)'!F13</f>
        <v>0</v>
      </c>
      <c r="F13" s="242">
        <f>+'雨汚水(共通按分後)'!G13</f>
        <v>0</v>
      </c>
      <c r="G13" s="242">
        <f>+'雨汚水(共通按分後)'!H13</f>
        <v>10483859</v>
      </c>
      <c r="H13" s="241">
        <f t="shared" si="0"/>
        <v>10483859</v>
      </c>
      <c r="I13" s="243">
        <f>+'雨汚水(共通按分後)'!J13</f>
        <v>0</v>
      </c>
      <c r="J13" s="242">
        <f>+'雨汚水(共通按分後)'!K13</f>
        <v>0</v>
      </c>
      <c r="K13" s="241">
        <f t="shared" si="1"/>
        <v>0</v>
      </c>
      <c r="L13" s="214" t="s">
        <v>280</v>
      </c>
      <c r="M13" s="214">
        <f t="shared" si="2"/>
        <v>0</v>
      </c>
    </row>
    <row r="14" spans="1:15" ht="24.95" customHeight="1">
      <c r="A14" s="252"/>
      <c r="B14" s="256"/>
      <c r="C14" s="255" t="s">
        <v>60</v>
      </c>
      <c r="D14" s="246">
        <f>+'雨汚水(共通按分後)'!E14</f>
        <v>1019945143</v>
      </c>
      <c r="E14" s="245">
        <f>+'雨汚水(共通按分後)'!F14</f>
        <v>0</v>
      </c>
      <c r="F14" s="242">
        <f>+'雨汚水(共通按分後)'!G14</f>
        <v>0</v>
      </c>
      <c r="G14" s="242">
        <f>+'雨汚水(共通按分後)'!H14</f>
        <v>4521799</v>
      </c>
      <c r="H14" s="241">
        <f t="shared" si="0"/>
        <v>4521799</v>
      </c>
      <c r="I14" s="243">
        <f>+'雨汚水(共通按分後)'!J14</f>
        <v>0</v>
      </c>
      <c r="J14" s="242">
        <f>+'雨汚水(共通按分後)'!K14</f>
        <v>1015423344</v>
      </c>
      <c r="K14" s="241">
        <f t="shared" si="1"/>
        <v>1015423344</v>
      </c>
      <c r="L14" s="214">
        <f>G13+G40</f>
        <v>10483859</v>
      </c>
      <c r="M14" s="214">
        <f t="shared" si="2"/>
        <v>0</v>
      </c>
      <c r="O14" s="272" t="s">
        <v>279</v>
      </c>
    </row>
    <row r="15" spans="1:15" ht="24.95" customHeight="1">
      <c r="A15" s="252"/>
      <c r="B15" s="256"/>
      <c r="C15" s="255" t="s">
        <v>58</v>
      </c>
      <c r="D15" s="246">
        <f>+'雨汚水(共通按分後)'!E15</f>
        <v>914982582</v>
      </c>
      <c r="E15" s="245">
        <f>+'雨汚水(共通按分後)'!F15</f>
        <v>-1938652</v>
      </c>
      <c r="F15" s="242">
        <f>+'雨汚水(共通按分後)'!G15</f>
        <v>-178931</v>
      </c>
      <c r="G15" s="242">
        <f>+'雨汚水(共通按分後)'!H15</f>
        <v>-7247778</v>
      </c>
      <c r="H15" s="241">
        <f t="shared" si="0"/>
        <v>-9365361</v>
      </c>
      <c r="I15" s="243">
        <f>+'雨汚水(共通按分後)'!J15</f>
        <v>0</v>
      </c>
      <c r="J15" s="242">
        <f>+'雨汚水(共通按分後)'!K15</f>
        <v>924347943</v>
      </c>
      <c r="K15" s="241">
        <f t="shared" si="1"/>
        <v>924347943</v>
      </c>
      <c r="M15" s="214">
        <f t="shared" si="2"/>
        <v>0</v>
      </c>
      <c r="O15" s="271">
        <f>+[1]総係!E37-[1]総係!E36</f>
        <v>482288769</v>
      </c>
    </row>
    <row r="16" spans="1:15" ht="24.95" customHeight="1">
      <c r="A16" s="252"/>
      <c r="B16" s="256"/>
      <c r="C16" s="270" t="s">
        <v>278</v>
      </c>
      <c r="D16" s="246">
        <f>+'雨汚水(共通按分後)'!E16</f>
        <v>0</v>
      </c>
      <c r="E16" s="245">
        <f>+'雨汚水(共通按分後)'!F16</f>
        <v>0</v>
      </c>
      <c r="F16" s="242">
        <f>+'雨汚水(共通按分後)'!G16</f>
        <v>0</v>
      </c>
      <c r="G16" s="242">
        <f>+'雨汚水(共通按分後)'!H16</f>
        <v>0</v>
      </c>
      <c r="H16" s="241">
        <f t="shared" si="0"/>
        <v>0</v>
      </c>
      <c r="I16" s="243">
        <f>+'雨汚水(共通按分後)'!J16</f>
        <v>0</v>
      </c>
      <c r="J16" s="242">
        <f>+'雨汚水(共通按分後)'!K16</f>
        <v>0</v>
      </c>
      <c r="K16" s="241">
        <f t="shared" si="1"/>
        <v>0</v>
      </c>
      <c r="M16" s="214">
        <f t="shared" si="2"/>
        <v>0</v>
      </c>
    </row>
    <row r="17" spans="1:13" ht="24.95" customHeight="1">
      <c r="A17" s="252"/>
      <c r="B17" s="256"/>
      <c r="C17" s="255" t="s">
        <v>277</v>
      </c>
      <c r="D17" s="246">
        <f>+'雨汚水(共通按分後)'!E17</f>
        <v>0</v>
      </c>
      <c r="E17" s="245">
        <f>+'雨汚水(共通按分後)'!F17</f>
        <v>0</v>
      </c>
      <c r="F17" s="242">
        <f>+'雨汚水(共通按分後)'!G17</f>
        <v>0</v>
      </c>
      <c r="G17" s="242">
        <f>+'雨汚水(共通按分後)'!H17</f>
        <v>0</v>
      </c>
      <c r="H17" s="241">
        <f t="shared" si="0"/>
        <v>0</v>
      </c>
      <c r="I17" s="243">
        <f>+'雨汚水(共通按分後)'!J17</f>
        <v>0</v>
      </c>
      <c r="J17" s="242">
        <f>+'雨汚水(共通按分後)'!K17</f>
        <v>0</v>
      </c>
      <c r="K17" s="241">
        <f t="shared" si="1"/>
        <v>0</v>
      </c>
      <c r="M17" s="214">
        <f t="shared" si="2"/>
        <v>0</v>
      </c>
    </row>
    <row r="18" spans="1:13" ht="24.95" customHeight="1">
      <c r="A18" s="252"/>
      <c r="B18" s="256"/>
      <c r="C18" s="255" t="s">
        <v>276</v>
      </c>
      <c r="D18" s="246">
        <f>+'雨汚水(共通按分後)'!E18</f>
        <v>0</v>
      </c>
      <c r="E18" s="245">
        <f>+'雨汚水(共通按分後)'!F18</f>
        <v>0</v>
      </c>
      <c r="F18" s="242">
        <f>+'雨汚水(共通按分後)'!G18</f>
        <v>0</v>
      </c>
      <c r="G18" s="242">
        <f>+'雨汚水(共通按分後)'!H18</f>
        <v>0</v>
      </c>
      <c r="H18" s="241">
        <f t="shared" si="0"/>
        <v>0</v>
      </c>
      <c r="I18" s="243">
        <f>+'雨汚水(共通按分後)'!J18</f>
        <v>0</v>
      </c>
      <c r="J18" s="242">
        <f>+'雨汚水(共通按分後)'!K18</f>
        <v>0</v>
      </c>
      <c r="K18" s="241">
        <f t="shared" si="1"/>
        <v>0</v>
      </c>
      <c r="M18" s="214">
        <f t="shared" si="2"/>
        <v>0</v>
      </c>
    </row>
    <row r="19" spans="1:13" ht="24.95" customHeight="1">
      <c r="A19" s="252"/>
      <c r="B19" s="256"/>
      <c r="C19" s="255" t="s">
        <v>275</v>
      </c>
      <c r="D19" s="246">
        <f>+'雨汚水(共通按分後)'!E19</f>
        <v>0</v>
      </c>
      <c r="E19" s="245">
        <f>+'雨汚水(共通按分後)'!F19</f>
        <v>0</v>
      </c>
      <c r="F19" s="242">
        <f>+'雨汚水(共通按分後)'!G19</f>
        <v>0</v>
      </c>
      <c r="G19" s="242">
        <f>+'雨汚水(共通按分後)'!H19</f>
        <v>0</v>
      </c>
      <c r="H19" s="241">
        <f t="shared" si="0"/>
        <v>0</v>
      </c>
      <c r="I19" s="243">
        <f>+'雨汚水(共通按分後)'!J19</f>
        <v>0</v>
      </c>
      <c r="J19" s="242">
        <f>+'雨汚水(共通按分後)'!K19</f>
        <v>0</v>
      </c>
      <c r="K19" s="241">
        <f t="shared" si="1"/>
        <v>0</v>
      </c>
      <c r="M19" s="214">
        <f t="shared" si="2"/>
        <v>0</v>
      </c>
    </row>
    <row r="20" spans="1:13" ht="24.95" customHeight="1">
      <c r="A20" s="252"/>
      <c r="B20" s="256"/>
      <c r="C20" s="255" t="s">
        <v>274</v>
      </c>
      <c r="D20" s="246">
        <f>+'雨汚水(共通按分後)'!E20</f>
        <v>0</v>
      </c>
      <c r="E20" s="245">
        <f>+'雨汚水(共通按分後)'!F20</f>
        <v>14904000</v>
      </c>
      <c r="F20" s="242">
        <f>+'雨汚水(共通按分後)'!G20</f>
        <v>0</v>
      </c>
      <c r="G20" s="242">
        <f>+'雨汚水(共通按分後)'!H20</f>
        <v>0</v>
      </c>
      <c r="H20" s="241">
        <f t="shared" si="0"/>
        <v>14904000</v>
      </c>
      <c r="I20" s="243">
        <f>+'雨汚水(共通按分後)'!J20</f>
        <v>0</v>
      </c>
      <c r="J20" s="242">
        <f>+'雨汚水(共通按分後)'!K20</f>
        <v>0</v>
      </c>
      <c r="K20" s="241">
        <f t="shared" si="1"/>
        <v>0</v>
      </c>
      <c r="M20" s="214">
        <f t="shared" si="2"/>
        <v>-14904000</v>
      </c>
    </row>
    <row r="21" spans="1:13" ht="24.95" customHeight="1">
      <c r="A21" s="252"/>
      <c r="B21" s="255" t="s">
        <v>232</v>
      </c>
      <c r="C21" s="255"/>
      <c r="D21" s="246">
        <f>SUM(D22:D25)</f>
        <v>9226652</v>
      </c>
      <c r="E21" s="245">
        <f>SUM(E22:E25)</f>
        <v>0</v>
      </c>
      <c r="F21" s="242">
        <f>SUM(F22:F25)</f>
        <v>0</v>
      </c>
      <c r="G21" s="242">
        <f>SUM(G22:G25)</f>
        <v>0</v>
      </c>
      <c r="H21" s="241">
        <f t="shared" si="0"/>
        <v>0</v>
      </c>
      <c r="I21" s="243">
        <f>SUM(I22:I25)</f>
        <v>0</v>
      </c>
      <c r="J21" s="242">
        <f>SUM(J22:J25)</f>
        <v>9226652</v>
      </c>
      <c r="K21" s="241">
        <f t="shared" si="1"/>
        <v>9226652</v>
      </c>
      <c r="M21" s="214">
        <f t="shared" si="2"/>
        <v>0</v>
      </c>
    </row>
    <row r="22" spans="1:13" ht="24.95" customHeight="1">
      <c r="A22" s="252"/>
      <c r="B22" s="255"/>
      <c r="C22" s="255" t="s">
        <v>273</v>
      </c>
      <c r="D22" s="246">
        <f>+'雨汚水(共通按分後)'!E22</f>
        <v>2483</v>
      </c>
      <c r="E22" s="245">
        <f>+'雨汚水(共通按分後)'!F22</f>
        <v>0</v>
      </c>
      <c r="F22" s="242">
        <f>+'雨汚水(共通按分後)'!G22</f>
        <v>0</v>
      </c>
      <c r="G22" s="242">
        <f>+'雨汚水(共通按分後)'!H22</f>
        <v>0</v>
      </c>
      <c r="H22" s="241">
        <f t="shared" si="0"/>
        <v>0</v>
      </c>
      <c r="I22" s="243">
        <f>+'雨汚水(共通按分後)'!J22</f>
        <v>0</v>
      </c>
      <c r="J22" s="242">
        <f>+'雨汚水(共通按分後)'!K22</f>
        <v>2483</v>
      </c>
      <c r="K22" s="241">
        <f t="shared" si="1"/>
        <v>2483</v>
      </c>
      <c r="M22" s="214">
        <f t="shared" si="2"/>
        <v>0</v>
      </c>
    </row>
    <row r="23" spans="1:13" ht="24.95" customHeight="1">
      <c r="A23" s="252"/>
      <c r="B23" s="256"/>
      <c r="C23" s="255" t="s">
        <v>231</v>
      </c>
      <c r="D23" s="246">
        <f>'雨汚水(共通按分後)'!E23</f>
        <v>25896</v>
      </c>
      <c r="E23" s="245">
        <f>'雨汚水(共通按分後)'!F23</f>
        <v>0</v>
      </c>
      <c r="F23" s="242">
        <f>'雨汚水(共通按分後)'!G23</f>
        <v>0</v>
      </c>
      <c r="G23" s="242">
        <f>+'雨汚水(共通按分後)'!H23</f>
        <v>-9198273</v>
      </c>
      <c r="H23" s="241">
        <f t="shared" si="0"/>
        <v>-9198273</v>
      </c>
      <c r="I23" s="243">
        <f>+'雨汚水(共通按分後)'!J23</f>
        <v>0</v>
      </c>
      <c r="J23" s="242">
        <f>+'雨汚水(共通按分後)'!K23</f>
        <v>9224169</v>
      </c>
      <c r="K23" s="241">
        <f t="shared" si="1"/>
        <v>9224169</v>
      </c>
      <c r="M23" s="214">
        <f t="shared" si="2"/>
        <v>0</v>
      </c>
    </row>
    <row r="24" spans="1:13" ht="24.95" customHeight="1">
      <c r="A24" s="252"/>
      <c r="B24" s="256"/>
      <c r="C24" s="270" t="s">
        <v>272</v>
      </c>
      <c r="D24" s="246">
        <f>'雨汚水(共通按分後)'!E24</f>
        <v>9198273</v>
      </c>
      <c r="E24" s="245">
        <f>'雨汚水(共通按分後)'!F24</f>
        <v>0</v>
      </c>
      <c r="F24" s="242">
        <f>'雨汚水(共通按分後)'!G24</f>
        <v>0</v>
      </c>
      <c r="G24" s="242">
        <f>+'雨汚水(共通按分後)'!H24</f>
        <v>9198273</v>
      </c>
      <c r="H24" s="241">
        <f t="shared" si="0"/>
        <v>9198273</v>
      </c>
      <c r="I24" s="243">
        <f>+'雨汚水(共通按分後)'!J24</f>
        <v>0</v>
      </c>
      <c r="J24" s="242">
        <f>+'雨汚水(共通按分後)'!K24</f>
        <v>0</v>
      </c>
      <c r="K24" s="241">
        <f t="shared" si="1"/>
        <v>0</v>
      </c>
      <c r="M24" s="214">
        <f t="shared" si="2"/>
        <v>0</v>
      </c>
    </row>
    <row r="25" spans="1:13" ht="24.95" customHeight="1">
      <c r="A25" s="252"/>
      <c r="B25" s="256"/>
      <c r="C25" s="270" t="s">
        <v>264</v>
      </c>
      <c r="D25" s="246"/>
      <c r="E25" s="245"/>
      <c r="F25" s="242"/>
      <c r="G25" s="242"/>
      <c r="H25" s="241"/>
      <c r="I25" s="269"/>
      <c r="J25" s="242"/>
      <c r="K25" s="241"/>
    </row>
    <row r="26" spans="1:13" ht="24.95" customHeight="1">
      <c r="A26" s="252"/>
      <c r="B26" s="255" t="s">
        <v>228</v>
      </c>
      <c r="C26" s="255"/>
      <c r="D26" s="246">
        <f>SUM(D27:D28)</f>
        <v>20995298</v>
      </c>
      <c r="E26" s="245">
        <f>SUM(E27:E28)</f>
        <v>6760</v>
      </c>
      <c r="F26" s="242">
        <f>SUM(F27:F28)</f>
        <v>0</v>
      </c>
      <c r="G26" s="242">
        <f>SUM(G27:G28)</f>
        <v>0</v>
      </c>
      <c r="H26" s="241">
        <f>SUM(E26:G26)</f>
        <v>6760</v>
      </c>
      <c r="I26" s="242">
        <f>SUM(I27:I28)</f>
        <v>0</v>
      </c>
      <c r="J26" s="242">
        <f>SUM(J27:J28)</f>
        <v>20988538</v>
      </c>
      <c r="K26" s="241">
        <f>SUM(I26:J26)</f>
        <v>20988538</v>
      </c>
      <c r="M26" s="214">
        <f t="shared" ref="M26:M37" si="3">D26-H26-K26</f>
        <v>0</v>
      </c>
    </row>
    <row r="27" spans="1:13" ht="24.95" customHeight="1">
      <c r="A27" s="252"/>
      <c r="B27" s="255"/>
      <c r="C27" s="268" t="s">
        <v>271</v>
      </c>
      <c r="D27" s="246">
        <f>+SUM('雨汚水(共通按分後)'!E28:E29)</f>
        <v>20995298</v>
      </c>
      <c r="E27" s="245">
        <f>+SUM('雨汚水(共通按分後)'!F28:F29)</f>
        <v>6760</v>
      </c>
      <c r="F27" s="242">
        <f>+SUM('雨汚水(共通按分後)'!G28:G29)</f>
        <v>0</v>
      </c>
      <c r="G27" s="242">
        <f>+SUM('雨汚水(共通按分後)'!H28:H29)</f>
        <v>0</v>
      </c>
      <c r="H27" s="241">
        <f>SUM(E27:G27)</f>
        <v>6760</v>
      </c>
      <c r="I27" s="243">
        <f>+SUM('雨汚水(共通按分後)'!J28:J29)</f>
        <v>0</v>
      </c>
      <c r="J27" s="242">
        <f>+SUM('雨汚水(共通按分後)'!K28:K29)</f>
        <v>20988538</v>
      </c>
      <c r="K27" s="241">
        <f>SUM(I27:J27)</f>
        <v>20988538</v>
      </c>
      <c r="M27" s="214">
        <f t="shared" si="3"/>
        <v>0</v>
      </c>
    </row>
    <row r="28" spans="1:13" ht="24.95" customHeight="1">
      <c r="A28" s="252"/>
      <c r="B28" s="256"/>
      <c r="C28" s="255" t="s">
        <v>10</v>
      </c>
      <c r="D28" s="246">
        <f>+'雨汚水(共通按分後)'!E30</f>
        <v>0</v>
      </c>
      <c r="E28" s="245">
        <f>+'雨汚水(共通按分後)'!F30</f>
        <v>0</v>
      </c>
      <c r="F28" s="242">
        <f>+'雨汚水(共通按分後)'!G30</f>
        <v>0</v>
      </c>
      <c r="G28" s="242">
        <f>+'雨汚水(共通按分後)'!H30</f>
        <v>0</v>
      </c>
      <c r="H28" s="241">
        <f>SUM(E28:G28)</f>
        <v>0</v>
      </c>
      <c r="I28" s="242">
        <f>+'雨汚水(共通按分後)'!J30</f>
        <v>0</v>
      </c>
      <c r="J28" s="242">
        <f>+'雨汚水(共通按分後)'!K30</f>
        <v>0</v>
      </c>
      <c r="K28" s="241">
        <f>SUM(I28:J28)</f>
        <v>0</v>
      </c>
      <c r="M28" s="214">
        <f t="shared" si="3"/>
        <v>0</v>
      </c>
    </row>
    <row r="29" spans="1:13" ht="24.95" customHeight="1">
      <c r="A29" s="252"/>
      <c r="B29" s="253" t="s">
        <v>270</v>
      </c>
      <c r="C29" s="242"/>
      <c r="D29" s="246">
        <v>0</v>
      </c>
      <c r="E29" s="245"/>
      <c r="F29" s="242"/>
      <c r="G29" s="242">
        <f>D29</f>
        <v>0</v>
      </c>
      <c r="H29" s="241">
        <f>SUM(E29:G29)</f>
        <v>0</v>
      </c>
      <c r="I29" s="243"/>
      <c r="J29" s="242"/>
      <c r="K29" s="241">
        <f>SUM(I29:J29)</f>
        <v>0</v>
      </c>
      <c r="M29" s="214">
        <f t="shared" si="3"/>
        <v>0</v>
      </c>
    </row>
    <row r="30" spans="1:13" ht="24.95" customHeight="1">
      <c r="A30" s="239"/>
      <c r="B30" s="216"/>
      <c r="C30" s="216"/>
      <c r="D30" s="246"/>
      <c r="E30" s="245"/>
      <c r="F30" s="242"/>
      <c r="G30" s="242"/>
      <c r="H30" s="241"/>
      <c r="I30" s="243"/>
      <c r="J30" s="242"/>
      <c r="K30" s="241"/>
      <c r="L30" s="259" t="s">
        <v>269</v>
      </c>
      <c r="M30" s="214">
        <f t="shared" si="3"/>
        <v>0</v>
      </c>
    </row>
    <row r="31" spans="1:13" ht="24.95" customHeight="1">
      <c r="A31" s="267"/>
      <c r="B31" s="224" t="s">
        <v>251</v>
      </c>
      <c r="C31" s="266"/>
      <c r="D31" s="238">
        <f t="shared" ref="D31:K31" si="4">D6+D21+D26+D29</f>
        <v>11642490998</v>
      </c>
      <c r="E31" s="237">
        <f t="shared" si="4"/>
        <v>2347829762</v>
      </c>
      <c r="F31" s="235">
        <f t="shared" si="4"/>
        <v>215321104</v>
      </c>
      <c r="G31" s="235">
        <f t="shared" si="4"/>
        <v>380587586</v>
      </c>
      <c r="H31" s="234">
        <f t="shared" si="4"/>
        <v>2943738452</v>
      </c>
      <c r="I31" s="236">
        <f t="shared" si="4"/>
        <v>88724768</v>
      </c>
      <c r="J31" s="235">
        <f t="shared" si="4"/>
        <v>7044499195</v>
      </c>
      <c r="K31" s="234">
        <f t="shared" si="4"/>
        <v>7133223963</v>
      </c>
      <c r="L31" s="214">
        <f>H31+I31-I8-L12-G13</f>
        <v>2915473439</v>
      </c>
      <c r="M31" s="214">
        <f t="shared" si="3"/>
        <v>1565528583</v>
      </c>
    </row>
    <row r="32" spans="1:13" ht="24.95" customHeight="1">
      <c r="A32" s="265"/>
      <c r="B32" s="255" t="s">
        <v>244</v>
      </c>
      <c r="C32" s="264"/>
      <c r="D32" s="263">
        <f>SUM(D33:D34)</f>
        <v>27055204101</v>
      </c>
      <c r="E32" s="262">
        <f>SUM(E33:E34)</f>
        <v>12429750358</v>
      </c>
      <c r="F32" s="248">
        <f>SUM(F33:F34)</f>
        <v>134284305</v>
      </c>
      <c r="G32" s="248">
        <f>SUM(G33:G34)</f>
        <v>0</v>
      </c>
      <c r="H32" s="260">
        <f t="shared" ref="H32:H37" si="5">SUM(E32:G32)</f>
        <v>12564034663</v>
      </c>
      <c r="I32" s="261">
        <f>SUM(I33:I34)</f>
        <v>497819716</v>
      </c>
      <c r="J32" s="248">
        <f>SUM(J33:J34)</f>
        <v>13722216640</v>
      </c>
      <c r="K32" s="260">
        <f t="shared" ref="K32:K37" si="6">SUM(I32:J32)</f>
        <v>14220036356</v>
      </c>
      <c r="L32" s="259" t="s">
        <v>268</v>
      </c>
      <c r="M32" s="214">
        <f t="shared" si="3"/>
        <v>271133082</v>
      </c>
    </row>
    <row r="33" spans="1:20" ht="24.95" customHeight="1">
      <c r="A33" s="252"/>
      <c r="B33" s="255"/>
      <c r="C33" s="255" t="s">
        <v>23</v>
      </c>
      <c r="D33" s="246">
        <f>+'雨汚水(共通按分後)'!E34</f>
        <v>26551442230</v>
      </c>
      <c r="E33" s="245">
        <f>+'雨汚水(共通按分後)'!F34</f>
        <v>12077971252</v>
      </c>
      <c r="F33" s="242">
        <f>+'雨汚水(共通按分後)'!G34</f>
        <v>130483874</v>
      </c>
      <c r="G33" s="242">
        <f>+'雨汚水(共通按分後)'!H34</f>
        <v>0</v>
      </c>
      <c r="H33" s="241">
        <f t="shared" si="5"/>
        <v>12208455126</v>
      </c>
      <c r="I33" s="243">
        <f>+'雨汚水(共通按分後)'!J34</f>
        <v>490154021</v>
      </c>
      <c r="J33" s="242">
        <f>+'雨汚水(共通按分後)'!K34</f>
        <v>13581700001</v>
      </c>
      <c r="K33" s="241">
        <f t="shared" si="6"/>
        <v>14071854022</v>
      </c>
      <c r="L33" s="214">
        <f>E32+F32</f>
        <v>12564034663</v>
      </c>
      <c r="M33" s="214">
        <f t="shared" si="3"/>
        <v>271133082</v>
      </c>
    </row>
    <row r="34" spans="1:20" ht="24.95" customHeight="1">
      <c r="A34" s="252"/>
      <c r="B34" s="256"/>
      <c r="C34" s="255" t="s">
        <v>267</v>
      </c>
      <c r="D34" s="246">
        <f>+'雨汚水(共通按分後)'!E35</f>
        <v>503761871</v>
      </c>
      <c r="E34" s="245">
        <f>+'雨汚水(共通按分後)'!F35</f>
        <v>351779106</v>
      </c>
      <c r="F34" s="242">
        <f>+'雨汚水(共通按分後)'!G35</f>
        <v>3800431</v>
      </c>
      <c r="G34" s="242">
        <f>+'雨汚水(共通按分後)'!H35</f>
        <v>0</v>
      </c>
      <c r="H34" s="241">
        <f t="shared" si="5"/>
        <v>355579537</v>
      </c>
      <c r="I34" s="243">
        <f>+'雨汚水(共通按分後)'!J35</f>
        <v>7665695</v>
      </c>
      <c r="J34" s="242">
        <f>+'雨汚水(共通按分後)'!K35</f>
        <v>140516639</v>
      </c>
      <c r="K34" s="241">
        <f t="shared" si="6"/>
        <v>148182334</v>
      </c>
      <c r="M34" s="214">
        <f t="shared" si="3"/>
        <v>0</v>
      </c>
    </row>
    <row r="35" spans="1:20" ht="24.95" customHeight="1">
      <c r="A35" s="252"/>
      <c r="B35" s="258" t="s">
        <v>232</v>
      </c>
      <c r="C35" s="257"/>
      <c r="D35" s="246">
        <f>SUM(D36:D37)</f>
        <v>3945958666</v>
      </c>
      <c r="E35" s="245">
        <f>SUM(E36:E37)</f>
        <v>3261282925</v>
      </c>
      <c r="F35" s="242">
        <f>SUM(F36:F37)</f>
        <v>0</v>
      </c>
      <c r="G35" s="242">
        <f>SUM(G36:G37)</f>
        <v>93230210</v>
      </c>
      <c r="H35" s="241">
        <f t="shared" si="5"/>
        <v>3354513135</v>
      </c>
      <c r="I35" s="243">
        <f>SUM(I36:I37)</f>
        <v>875942080</v>
      </c>
      <c r="J35" s="242">
        <f>SUM(J36:J37)</f>
        <v>4284144659</v>
      </c>
      <c r="K35" s="241">
        <f t="shared" si="6"/>
        <v>5160086739</v>
      </c>
      <c r="M35" s="214">
        <f t="shared" si="3"/>
        <v>-4568641208</v>
      </c>
    </row>
    <row r="36" spans="1:20" ht="24.95" customHeight="1">
      <c r="A36" s="252"/>
      <c r="B36" s="255"/>
      <c r="C36" s="255" t="s">
        <v>266</v>
      </c>
      <c r="D36" s="246">
        <f>+SUM('雨汚水(共通按分後)'!E37:E38)</f>
        <v>3945958666</v>
      </c>
      <c r="E36" s="245">
        <f>+SUM('雨汚水(共通按分後)'!F37:F38)</f>
        <v>3261282925</v>
      </c>
      <c r="F36" s="242">
        <f>+SUM('雨汚水(共通按分後)'!G37:G38)</f>
        <v>0</v>
      </c>
      <c r="G36" s="242">
        <f>+SUM('雨汚水(共通按分後)'!H37:H38)</f>
        <v>93230210</v>
      </c>
      <c r="H36" s="241">
        <f t="shared" si="5"/>
        <v>3354513135</v>
      </c>
      <c r="I36" s="243">
        <f>+SUM('雨汚水(共通按分後)'!J37:J38)</f>
        <v>875942080</v>
      </c>
      <c r="J36" s="242">
        <f>+SUM('雨汚水(共通按分後)'!K37:K38)</f>
        <v>4284144659</v>
      </c>
      <c r="K36" s="241">
        <f t="shared" si="6"/>
        <v>5160086739</v>
      </c>
      <c r="M36" s="214">
        <f t="shared" si="3"/>
        <v>-4568641208</v>
      </c>
      <c r="Q36" s="610" t="s">
        <v>265</v>
      </c>
      <c r="R36" s="610"/>
      <c r="S36" s="610"/>
      <c r="T36" s="610"/>
    </row>
    <row r="37" spans="1:20" ht="24.95" customHeight="1">
      <c r="A37" s="252"/>
      <c r="B37" s="256"/>
      <c r="C37" s="255" t="s">
        <v>264</v>
      </c>
      <c r="D37" s="246"/>
      <c r="E37" s="245"/>
      <c r="F37" s="242"/>
      <c r="G37" s="242"/>
      <c r="H37" s="241">
        <f t="shared" si="5"/>
        <v>0</v>
      </c>
      <c r="I37" s="243"/>
      <c r="J37" s="242"/>
      <c r="K37" s="241">
        <f t="shared" si="6"/>
        <v>0</v>
      </c>
      <c r="M37" s="214">
        <f t="shared" si="3"/>
        <v>0</v>
      </c>
      <c r="N37" s="611" t="s">
        <v>263</v>
      </c>
      <c r="O37" s="611"/>
      <c r="Q37" s="610"/>
      <c r="R37" s="610"/>
      <c r="S37" s="610"/>
      <c r="T37" s="610"/>
    </row>
    <row r="38" spans="1:20" ht="24.95" customHeight="1">
      <c r="A38" s="252"/>
      <c r="B38" s="255" t="s">
        <v>228</v>
      </c>
      <c r="C38" s="255"/>
      <c r="D38" s="246">
        <f t="shared" ref="D38:K38" si="7">D39</f>
        <v>0</v>
      </c>
      <c r="E38" s="245">
        <f t="shared" si="7"/>
        <v>0</v>
      </c>
      <c r="F38" s="242">
        <f t="shared" si="7"/>
        <v>0</v>
      </c>
      <c r="G38" s="242">
        <f t="shared" si="7"/>
        <v>0</v>
      </c>
      <c r="H38" s="241">
        <f t="shared" si="7"/>
        <v>0</v>
      </c>
      <c r="I38" s="243">
        <f t="shared" si="7"/>
        <v>0</v>
      </c>
      <c r="J38" s="242">
        <f t="shared" si="7"/>
        <v>0</v>
      </c>
      <c r="K38" s="241">
        <f t="shared" si="7"/>
        <v>0</v>
      </c>
      <c r="N38" s="485" t="s">
        <v>253</v>
      </c>
      <c r="O38" s="485" t="s">
        <v>252</v>
      </c>
      <c r="Q38" s="612" t="s">
        <v>253</v>
      </c>
      <c r="R38" s="612"/>
      <c r="S38" s="612" t="s">
        <v>252</v>
      </c>
      <c r="T38" s="612"/>
    </row>
    <row r="39" spans="1:20" ht="24.95" customHeight="1">
      <c r="A39" s="252"/>
      <c r="B39" s="255"/>
      <c r="C39" s="254" t="s">
        <v>262</v>
      </c>
      <c r="D39" s="246">
        <f>+SUM('雨汚水(共通按分後)'!E42:E44)</f>
        <v>0</v>
      </c>
      <c r="E39" s="245">
        <f>+SUM('雨汚水(共通按分後)'!F42:F44)</f>
        <v>0</v>
      </c>
      <c r="F39" s="242">
        <f>+SUM('雨汚水(共通按分後)'!G42:G44)</f>
        <v>0</v>
      </c>
      <c r="G39" s="242">
        <f>+SUM('雨汚水(共通按分後)'!H42:H44)</f>
        <v>0</v>
      </c>
      <c r="H39" s="253">
        <f>SUM(E39:G39)</f>
        <v>0</v>
      </c>
      <c r="I39" s="243">
        <f>+SUM('雨汚水(共通按分後)'!J42:J44)</f>
        <v>0</v>
      </c>
      <c r="J39" s="242">
        <f>+SUM('雨汚水(共通按分後)'!K42:K44)</f>
        <v>0</v>
      </c>
      <c r="K39" s="241">
        <f>SUM(I39:J39)</f>
        <v>0</v>
      </c>
      <c r="M39" s="214">
        <f>D39-H39-K39</f>
        <v>0</v>
      </c>
      <c r="N39" s="217"/>
      <c r="O39" s="217"/>
      <c r="Q39" s="485" t="s">
        <v>261</v>
      </c>
      <c r="R39" s="485" t="s">
        <v>260</v>
      </c>
      <c r="S39" s="485" t="s">
        <v>259</v>
      </c>
      <c r="T39" s="485" t="s">
        <v>258</v>
      </c>
    </row>
    <row r="40" spans="1:20" ht="24.95" customHeight="1">
      <c r="A40" s="252"/>
      <c r="B40" s="251"/>
      <c r="C40" s="250"/>
      <c r="D40" s="246"/>
      <c r="E40" s="245"/>
      <c r="F40" s="244" t="s">
        <v>257</v>
      </c>
      <c r="G40" s="242">
        <v>0</v>
      </c>
      <c r="H40" s="241">
        <f>SUM(E40:G40)</f>
        <v>0</v>
      </c>
      <c r="I40" s="243"/>
      <c r="J40" s="242"/>
      <c r="K40" s="241">
        <f>SUM(I40:J40)</f>
        <v>0</v>
      </c>
      <c r="L40" s="214" t="s">
        <v>256</v>
      </c>
      <c r="N40" s="611" t="s">
        <v>255</v>
      </c>
      <c r="O40" s="611"/>
      <c r="Q40" s="249">
        <f>1-R40</f>
        <v>0.98762116512271769</v>
      </c>
      <c r="R40" s="249">
        <v>1.2378834877282266E-2</v>
      </c>
      <c r="S40" s="249">
        <v>3.1758003175013282E-2</v>
      </c>
      <c r="T40" s="249">
        <v>0.96824199682498668</v>
      </c>
    </row>
    <row r="41" spans="1:20" ht="24.95" customHeight="1">
      <c r="A41" s="239"/>
      <c r="B41" s="248"/>
      <c r="C41" s="247"/>
      <c r="D41" s="246"/>
      <c r="E41" s="245"/>
      <c r="F41" s="244" t="s">
        <v>254</v>
      </c>
      <c r="G41" s="242">
        <f>G35-G40</f>
        <v>93230210</v>
      </c>
      <c r="H41" s="241"/>
      <c r="I41" s="243"/>
      <c r="J41" s="242"/>
      <c r="K41" s="241"/>
      <c r="L41" s="214">
        <f>E36+F36+G41+I36</f>
        <v>4230455215</v>
      </c>
      <c r="M41" s="214">
        <f>D41-H41-K41</f>
        <v>0</v>
      </c>
      <c r="N41" s="485" t="s">
        <v>253</v>
      </c>
      <c r="O41" s="485" t="s">
        <v>252</v>
      </c>
    </row>
    <row r="42" spans="1:20" ht="24.95" customHeight="1">
      <c r="A42" s="239"/>
      <c r="B42" s="216" t="s">
        <v>251</v>
      </c>
      <c r="C42" s="216"/>
      <c r="D42" s="238">
        <f t="shared" ref="D42:K42" si="8">D32+D35+D38</f>
        <v>31001162767</v>
      </c>
      <c r="E42" s="237">
        <f t="shared" si="8"/>
        <v>15691033283</v>
      </c>
      <c r="F42" s="235">
        <f t="shared" si="8"/>
        <v>134284305</v>
      </c>
      <c r="G42" s="235">
        <f t="shared" si="8"/>
        <v>93230210</v>
      </c>
      <c r="H42" s="234">
        <f t="shared" si="8"/>
        <v>15918547798</v>
      </c>
      <c r="I42" s="236">
        <f t="shared" si="8"/>
        <v>1373761796</v>
      </c>
      <c r="J42" s="235">
        <f t="shared" si="8"/>
        <v>18006361299</v>
      </c>
      <c r="K42" s="234">
        <f t="shared" si="8"/>
        <v>19380123095</v>
      </c>
      <c r="M42" s="214">
        <f>D42-H42-K42</f>
        <v>-4297508126</v>
      </c>
      <c r="N42" s="217"/>
      <c r="O42" s="217">
        <v>126964884</v>
      </c>
      <c r="Q42" s="610" t="s">
        <v>250</v>
      </c>
      <c r="R42" s="610"/>
      <c r="S42" s="610"/>
      <c r="T42" s="610"/>
    </row>
    <row r="43" spans="1:20" ht="24.95" customHeight="1">
      <c r="A43" s="233"/>
      <c r="B43" s="232"/>
      <c r="C43" s="232"/>
      <c r="D43" s="231"/>
      <c r="E43" s="230"/>
      <c r="F43" s="228"/>
      <c r="G43" s="228"/>
      <c r="H43" s="227"/>
      <c r="I43" s="229"/>
      <c r="J43" s="228"/>
      <c r="K43" s="227"/>
      <c r="M43" s="214">
        <f>D43-H43-K43</f>
        <v>0</v>
      </c>
      <c r="Q43" s="610"/>
      <c r="R43" s="610"/>
      <c r="S43" s="610"/>
      <c r="T43" s="610"/>
    </row>
    <row r="44" spans="1:20" ht="24.95" customHeight="1" thickBot="1">
      <c r="A44" s="226" t="s">
        <v>249</v>
      </c>
      <c r="B44" s="225"/>
      <c r="C44" s="224"/>
      <c r="D44" s="223">
        <f t="shared" ref="D44:K44" si="9">D31+D42</f>
        <v>42643653765</v>
      </c>
      <c r="E44" s="222">
        <f t="shared" si="9"/>
        <v>18038863045</v>
      </c>
      <c r="F44" s="219">
        <f t="shared" si="9"/>
        <v>349605409</v>
      </c>
      <c r="G44" s="222">
        <f t="shared" si="9"/>
        <v>473817796</v>
      </c>
      <c r="H44" s="221">
        <f t="shared" si="9"/>
        <v>18862286250</v>
      </c>
      <c r="I44" s="220">
        <f t="shared" si="9"/>
        <v>1462486564</v>
      </c>
      <c r="J44" s="219">
        <f t="shared" si="9"/>
        <v>25050860494</v>
      </c>
      <c r="K44" s="218">
        <f t="shared" si="9"/>
        <v>26513347058</v>
      </c>
      <c r="M44" s="214">
        <f>D44-H44-K44</f>
        <v>-2731979543</v>
      </c>
      <c r="Q44" s="217">
        <v>0</v>
      </c>
    </row>
    <row r="45" spans="1:20" ht="21" customHeight="1">
      <c r="A45" s="216"/>
      <c r="B45" s="216"/>
      <c r="C45" s="216"/>
      <c r="D45" s="215"/>
      <c r="E45" s="215"/>
      <c r="F45" s="215"/>
      <c r="G45" s="215"/>
      <c r="H45" s="215"/>
      <c r="I45" s="215"/>
      <c r="J45" s="215"/>
      <c r="K45" s="215"/>
    </row>
  </sheetData>
  <mergeCells count="6">
    <mergeCell ref="Q42:T43"/>
    <mergeCell ref="Q36:T37"/>
    <mergeCell ref="N37:O37"/>
    <mergeCell ref="Q38:R38"/>
    <mergeCell ref="S38:T38"/>
    <mergeCell ref="N40:O40"/>
  </mergeCells>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O45"/>
  <sheetViews>
    <sheetView zoomScale="85" zoomScaleNormal="85" zoomScaleSheetLayoutView="100" workbookViewId="0">
      <pane xSplit="3" ySplit="5" topLeftCell="D6" activePane="bottomRight" state="frozen"/>
      <selection activeCell="H28" sqref="H28"/>
      <selection pane="topRight" activeCell="H28" sqref="H28"/>
      <selection pane="bottomLeft" activeCell="H28" sqref="H28"/>
      <selection pane="bottomRight" activeCell="O16" sqref="O16"/>
    </sheetView>
  </sheetViews>
  <sheetFormatPr defaultRowHeight="11.25"/>
  <cols>
    <col min="1" max="1" width="2.625" style="214" customWidth="1"/>
    <col min="2" max="2" width="1.25" style="214" customWidth="1"/>
    <col min="3" max="3" width="14.125" style="214" customWidth="1"/>
    <col min="4" max="5" width="13" style="214" customWidth="1"/>
    <col min="6" max="6" width="10.25" style="214" customWidth="1"/>
    <col min="7" max="7" width="11.375" style="214" customWidth="1"/>
    <col min="8" max="8" width="13" style="214" customWidth="1"/>
    <col min="9" max="9" width="12" style="214" customWidth="1"/>
    <col min="10" max="10" width="12.75" style="214" customWidth="1"/>
    <col min="11" max="11" width="13" style="214" customWidth="1"/>
    <col min="12" max="15" width="12.75" style="214" customWidth="1"/>
    <col min="16" max="16" width="9" style="214" bestFit="1" customWidth="1"/>
    <col min="17" max="256" width="9" style="214"/>
    <col min="257" max="257" width="2.625" style="214" customWidth="1"/>
    <col min="258" max="258" width="1.25" style="214" customWidth="1"/>
    <col min="259" max="259" width="14.125" style="214" customWidth="1"/>
    <col min="260" max="261" width="13" style="214" customWidth="1"/>
    <col min="262" max="262" width="10.25" style="214" customWidth="1"/>
    <col min="263" max="263" width="11.375" style="214" customWidth="1"/>
    <col min="264" max="264" width="13" style="214" customWidth="1"/>
    <col min="265" max="265" width="12" style="214" customWidth="1"/>
    <col min="266" max="266" width="12.75" style="214" customWidth="1"/>
    <col min="267" max="267" width="13" style="214" customWidth="1"/>
    <col min="268" max="268" width="13" style="214" bestFit="1" customWidth="1"/>
    <col min="269" max="269" width="11.125" style="214" bestFit="1" customWidth="1"/>
    <col min="270" max="270" width="9.375" style="214" customWidth="1"/>
    <col min="271" max="271" width="14.125" style="214" bestFit="1" customWidth="1"/>
    <col min="272" max="272" width="9" style="214" bestFit="1" customWidth="1"/>
    <col min="273" max="512" width="9" style="214"/>
    <col min="513" max="513" width="2.625" style="214" customWidth="1"/>
    <col min="514" max="514" width="1.25" style="214" customWidth="1"/>
    <col min="515" max="515" width="14.125" style="214" customWidth="1"/>
    <col min="516" max="517" width="13" style="214" customWidth="1"/>
    <col min="518" max="518" width="10.25" style="214" customWidth="1"/>
    <col min="519" max="519" width="11.375" style="214" customWidth="1"/>
    <col min="520" max="520" width="13" style="214" customWidth="1"/>
    <col min="521" max="521" width="12" style="214" customWidth="1"/>
    <col min="522" max="522" width="12.75" style="214" customWidth="1"/>
    <col min="523" max="523" width="13" style="214" customWidth="1"/>
    <col min="524" max="524" width="13" style="214" bestFit="1" customWidth="1"/>
    <col min="525" max="525" width="11.125" style="214" bestFit="1" customWidth="1"/>
    <col min="526" max="526" width="9.375" style="214" customWidth="1"/>
    <col min="527" max="527" width="14.125" style="214" bestFit="1" customWidth="1"/>
    <col min="528" max="528" width="9" style="214" bestFit="1" customWidth="1"/>
    <col min="529" max="768" width="9" style="214"/>
    <col min="769" max="769" width="2.625" style="214" customWidth="1"/>
    <col min="770" max="770" width="1.25" style="214" customWidth="1"/>
    <col min="771" max="771" width="14.125" style="214" customWidth="1"/>
    <col min="772" max="773" width="13" style="214" customWidth="1"/>
    <col min="774" max="774" width="10.25" style="214" customWidth="1"/>
    <col min="775" max="775" width="11.375" style="214" customWidth="1"/>
    <col min="776" max="776" width="13" style="214" customWidth="1"/>
    <col min="777" max="777" width="12" style="214" customWidth="1"/>
    <col min="778" max="778" width="12.75" style="214" customWidth="1"/>
    <col min="779" max="779" width="13" style="214" customWidth="1"/>
    <col min="780" max="780" width="13" style="214" bestFit="1" customWidth="1"/>
    <col min="781" max="781" width="11.125" style="214" bestFit="1" customWidth="1"/>
    <col min="782" max="782" width="9.375" style="214" customWidth="1"/>
    <col min="783" max="783" width="14.125" style="214" bestFit="1" customWidth="1"/>
    <col min="784" max="784" width="9" style="214" bestFit="1" customWidth="1"/>
    <col min="785" max="1024" width="9" style="214"/>
    <col min="1025" max="1025" width="2.625" style="214" customWidth="1"/>
    <col min="1026" max="1026" width="1.25" style="214" customWidth="1"/>
    <col min="1027" max="1027" width="14.125" style="214" customWidth="1"/>
    <col min="1028" max="1029" width="13" style="214" customWidth="1"/>
    <col min="1030" max="1030" width="10.25" style="214" customWidth="1"/>
    <col min="1031" max="1031" width="11.375" style="214" customWidth="1"/>
    <col min="1032" max="1032" width="13" style="214" customWidth="1"/>
    <col min="1033" max="1033" width="12" style="214" customWidth="1"/>
    <col min="1034" max="1034" width="12.75" style="214" customWidth="1"/>
    <col min="1035" max="1035" width="13" style="214" customWidth="1"/>
    <col min="1036" max="1036" width="13" style="214" bestFit="1" customWidth="1"/>
    <col min="1037" max="1037" width="11.125" style="214" bestFit="1" customWidth="1"/>
    <col min="1038" max="1038" width="9.375" style="214" customWidth="1"/>
    <col min="1039" max="1039" width="14.125" style="214" bestFit="1" customWidth="1"/>
    <col min="1040" max="1040" width="9" style="214" bestFit="1" customWidth="1"/>
    <col min="1041" max="1280" width="9" style="214"/>
    <col min="1281" max="1281" width="2.625" style="214" customWidth="1"/>
    <col min="1282" max="1282" width="1.25" style="214" customWidth="1"/>
    <col min="1283" max="1283" width="14.125" style="214" customWidth="1"/>
    <col min="1284" max="1285" width="13" style="214" customWidth="1"/>
    <col min="1286" max="1286" width="10.25" style="214" customWidth="1"/>
    <col min="1287" max="1287" width="11.375" style="214" customWidth="1"/>
    <col min="1288" max="1288" width="13" style="214" customWidth="1"/>
    <col min="1289" max="1289" width="12" style="214" customWidth="1"/>
    <col min="1290" max="1290" width="12.75" style="214" customWidth="1"/>
    <col min="1291" max="1291" width="13" style="214" customWidth="1"/>
    <col min="1292" max="1292" width="13" style="214" bestFit="1" customWidth="1"/>
    <col min="1293" max="1293" width="11.125" style="214" bestFit="1" customWidth="1"/>
    <col min="1294" max="1294" width="9.375" style="214" customWidth="1"/>
    <col min="1295" max="1295" width="14.125" style="214" bestFit="1" customWidth="1"/>
    <col min="1296" max="1296" width="9" style="214" bestFit="1" customWidth="1"/>
    <col min="1297" max="1536" width="9" style="214"/>
    <col min="1537" max="1537" width="2.625" style="214" customWidth="1"/>
    <col min="1538" max="1538" width="1.25" style="214" customWidth="1"/>
    <col min="1539" max="1539" width="14.125" style="214" customWidth="1"/>
    <col min="1540" max="1541" width="13" style="214" customWidth="1"/>
    <col min="1542" max="1542" width="10.25" style="214" customWidth="1"/>
    <col min="1543" max="1543" width="11.375" style="214" customWidth="1"/>
    <col min="1544" max="1544" width="13" style="214" customWidth="1"/>
    <col min="1545" max="1545" width="12" style="214" customWidth="1"/>
    <col min="1546" max="1546" width="12.75" style="214" customWidth="1"/>
    <col min="1547" max="1547" width="13" style="214" customWidth="1"/>
    <col min="1548" max="1548" width="13" style="214" bestFit="1" customWidth="1"/>
    <col min="1549" max="1549" width="11.125" style="214" bestFit="1" customWidth="1"/>
    <col min="1550" max="1550" width="9.375" style="214" customWidth="1"/>
    <col min="1551" max="1551" width="14.125" style="214" bestFit="1" customWidth="1"/>
    <col min="1552" max="1552" width="9" style="214" bestFit="1" customWidth="1"/>
    <col min="1553" max="1792" width="9" style="214"/>
    <col min="1793" max="1793" width="2.625" style="214" customWidth="1"/>
    <col min="1794" max="1794" width="1.25" style="214" customWidth="1"/>
    <col min="1795" max="1795" width="14.125" style="214" customWidth="1"/>
    <col min="1796" max="1797" width="13" style="214" customWidth="1"/>
    <col min="1798" max="1798" width="10.25" style="214" customWidth="1"/>
    <col min="1799" max="1799" width="11.375" style="214" customWidth="1"/>
    <col min="1800" max="1800" width="13" style="214" customWidth="1"/>
    <col min="1801" max="1801" width="12" style="214" customWidth="1"/>
    <col min="1802" max="1802" width="12.75" style="214" customWidth="1"/>
    <col min="1803" max="1803" width="13" style="214" customWidth="1"/>
    <col min="1804" max="1804" width="13" style="214" bestFit="1" customWidth="1"/>
    <col min="1805" max="1805" width="11.125" style="214" bestFit="1" customWidth="1"/>
    <col min="1806" max="1806" width="9.375" style="214" customWidth="1"/>
    <col min="1807" max="1807" width="14.125" style="214" bestFit="1" customWidth="1"/>
    <col min="1808" max="1808" width="9" style="214" bestFit="1" customWidth="1"/>
    <col min="1809" max="2048" width="9" style="214"/>
    <col min="2049" max="2049" width="2.625" style="214" customWidth="1"/>
    <col min="2050" max="2050" width="1.25" style="214" customWidth="1"/>
    <col min="2051" max="2051" width="14.125" style="214" customWidth="1"/>
    <col min="2052" max="2053" width="13" style="214" customWidth="1"/>
    <col min="2054" max="2054" width="10.25" style="214" customWidth="1"/>
    <col min="2055" max="2055" width="11.375" style="214" customWidth="1"/>
    <col min="2056" max="2056" width="13" style="214" customWidth="1"/>
    <col min="2057" max="2057" width="12" style="214" customWidth="1"/>
    <col min="2058" max="2058" width="12.75" style="214" customWidth="1"/>
    <col min="2059" max="2059" width="13" style="214" customWidth="1"/>
    <col min="2060" max="2060" width="13" style="214" bestFit="1" customWidth="1"/>
    <col min="2061" max="2061" width="11.125" style="214" bestFit="1" customWidth="1"/>
    <col min="2062" max="2062" width="9.375" style="214" customWidth="1"/>
    <col min="2063" max="2063" width="14.125" style="214" bestFit="1" customWidth="1"/>
    <col min="2064" max="2064" width="9" style="214" bestFit="1" customWidth="1"/>
    <col min="2065" max="2304" width="9" style="214"/>
    <col min="2305" max="2305" width="2.625" style="214" customWidth="1"/>
    <col min="2306" max="2306" width="1.25" style="214" customWidth="1"/>
    <col min="2307" max="2307" width="14.125" style="214" customWidth="1"/>
    <col min="2308" max="2309" width="13" style="214" customWidth="1"/>
    <col min="2310" max="2310" width="10.25" style="214" customWidth="1"/>
    <col min="2311" max="2311" width="11.375" style="214" customWidth="1"/>
    <col min="2312" max="2312" width="13" style="214" customWidth="1"/>
    <col min="2313" max="2313" width="12" style="214" customWidth="1"/>
    <col min="2314" max="2314" width="12.75" style="214" customWidth="1"/>
    <col min="2315" max="2315" width="13" style="214" customWidth="1"/>
    <col min="2316" max="2316" width="13" style="214" bestFit="1" customWidth="1"/>
    <col min="2317" max="2317" width="11.125" style="214" bestFit="1" customWidth="1"/>
    <col min="2318" max="2318" width="9.375" style="214" customWidth="1"/>
    <col min="2319" max="2319" width="14.125" style="214" bestFit="1" customWidth="1"/>
    <col min="2320" max="2320" width="9" style="214" bestFit="1" customWidth="1"/>
    <col min="2321" max="2560" width="9" style="214"/>
    <col min="2561" max="2561" width="2.625" style="214" customWidth="1"/>
    <col min="2562" max="2562" width="1.25" style="214" customWidth="1"/>
    <col min="2563" max="2563" width="14.125" style="214" customWidth="1"/>
    <col min="2564" max="2565" width="13" style="214" customWidth="1"/>
    <col min="2566" max="2566" width="10.25" style="214" customWidth="1"/>
    <col min="2567" max="2567" width="11.375" style="214" customWidth="1"/>
    <col min="2568" max="2568" width="13" style="214" customWidth="1"/>
    <col min="2569" max="2569" width="12" style="214" customWidth="1"/>
    <col min="2570" max="2570" width="12.75" style="214" customWidth="1"/>
    <col min="2571" max="2571" width="13" style="214" customWidth="1"/>
    <col min="2572" max="2572" width="13" style="214" bestFit="1" customWidth="1"/>
    <col min="2573" max="2573" width="11.125" style="214" bestFit="1" customWidth="1"/>
    <col min="2574" max="2574" width="9.375" style="214" customWidth="1"/>
    <col min="2575" max="2575" width="14.125" style="214" bestFit="1" customWidth="1"/>
    <col min="2576" max="2576" width="9" style="214" bestFit="1" customWidth="1"/>
    <col min="2577" max="2816" width="9" style="214"/>
    <col min="2817" max="2817" width="2.625" style="214" customWidth="1"/>
    <col min="2818" max="2818" width="1.25" style="214" customWidth="1"/>
    <col min="2819" max="2819" width="14.125" style="214" customWidth="1"/>
    <col min="2820" max="2821" width="13" style="214" customWidth="1"/>
    <col min="2822" max="2822" width="10.25" style="214" customWidth="1"/>
    <col min="2823" max="2823" width="11.375" style="214" customWidth="1"/>
    <col min="2824" max="2824" width="13" style="214" customWidth="1"/>
    <col min="2825" max="2825" width="12" style="214" customWidth="1"/>
    <col min="2826" max="2826" width="12.75" style="214" customWidth="1"/>
    <col min="2827" max="2827" width="13" style="214" customWidth="1"/>
    <col min="2828" max="2828" width="13" style="214" bestFit="1" customWidth="1"/>
    <col min="2829" max="2829" width="11.125" style="214" bestFit="1" customWidth="1"/>
    <col min="2830" max="2830" width="9.375" style="214" customWidth="1"/>
    <col min="2831" max="2831" width="14.125" style="214" bestFit="1" customWidth="1"/>
    <col min="2832" max="2832" width="9" style="214" bestFit="1" customWidth="1"/>
    <col min="2833" max="3072" width="9" style="214"/>
    <col min="3073" max="3073" width="2.625" style="214" customWidth="1"/>
    <col min="3074" max="3074" width="1.25" style="214" customWidth="1"/>
    <col min="3075" max="3075" width="14.125" style="214" customWidth="1"/>
    <col min="3076" max="3077" width="13" style="214" customWidth="1"/>
    <col min="3078" max="3078" width="10.25" style="214" customWidth="1"/>
    <col min="3079" max="3079" width="11.375" style="214" customWidth="1"/>
    <col min="3080" max="3080" width="13" style="214" customWidth="1"/>
    <col min="3081" max="3081" width="12" style="214" customWidth="1"/>
    <col min="3082" max="3082" width="12.75" style="214" customWidth="1"/>
    <col min="3083" max="3083" width="13" style="214" customWidth="1"/>
    <col min="3084" max="3084" width="13" style="214" bestFit="1" customWidth="1"/>
    <col min="3085" max="3085" width="11.125" style="214" bestFit="1" customWidth="1"/>
    <col min="3086" max="3086" width="9.375" style="214" customWidth="1"/>
    <col min="3087" max="3087" width="14.125" style="214" bestFit="1" customWidth="1"/>
    <col min="3088" max="3088" width="9" style="214" bestFit="1" customWidth="1"/>
    <col min="3089" max="3328" width="9" style="214"/>
    <col min="3329" max="3329" width="2.625" style="214" customWidth="1"/>
    <col min="3330" max="3330" width="1.25" style="214" customWidth="1"/>
    <col min="3331" max="3331" width="14.125" style="214" customWidth="1"/>
    <col min="3332" max="3333" width="13" style="214" customWidth="1"/>
    <col min="3334" max="3334" width="10.25" style="214" customWidth="1"/>
    <col min="3335" max="3335" width="11.375" style="214" customWidth="1"/>
    <col min="3336" max="3336" width="13" style="214" customWidth="1"/>
    <col min="3337" max="3337" width="12" style="214" customWidth="1"/>
    <col min="3338" max="3338" width="12.75" style="214" customWidth="1"/>
    <col min="3339" max="3339" width="13" style="214" customWidth="1"/>
    <col min="3340" max="3340" width="13" style="214" bestFit="1" customWidth="1"/>
    <col min="3341" max="3341" width="11.125" style="214" bestFit="1" customWidth="1"/>
    <col min="3342" max="3342" width="9.375" style="214" customWidth="1"/>
    <col min="3343" max="3343" width="14.125" style="214" bestFit="1" customWidth="1"/>
    <col min="3344" max="3344" width="9" style="214" bestFit="1" customWidth="1"/>
    <col min="3345" max="3584" width="9" style="214"/>
    <col min="3585" max="3585" width="2.625" style="214" customWidth="1"/>
    <col min="3586" max="3586" width="1.25" style="214" customWidth="1"/>
    <col min="3587" max="3587" width="14.125" style="214" customWidth="1"/>
    <col min="3588" max="3589" width="13" style="214" customWidth="1"/>
    <col min="3590" max="3590" width="10.25" style="214" customWidth="1"/>
    <col min="3591" max="3591" width="11.375" style="214" customWidth="1"/>
    <col min="3592" max="3592" width="13" style="214" customWidth="1"/>
    <col min="3593" max="3593" width="12" style="214" customWidth="1"/>
    <col min="3594" max="3594" width="12.75" style="214" customWidth="1"/>
    <col min="3595" max="3595" width="13" style="214" customWidth="1"/>
    <col min="3596" max="3596" width="13" style="214" bestFit="1" customWidth="1"/>
    <col min="3597" max="3597" width="11.125" style="214" bestFit="1" customWidth="1"/>
    <col min="3598" max="3598" width="9.375" style="214" customWidth="1"/>
    <col min="3599" max="3599" width="14.125" style="214" bestFit="1" customWidth="1"/>
    <col min="3600" max="3600" width="9" style="214" bestFit="1" customWidth="1"/>
    <col min="3601" max="3840" width="9" style="214"/>
    <col min="3841" max="3841" width="2.625" style="214" customWidth="1"/>
    <col min="3842" max="3842" width="1.25" style="214" customWidth="1"/>
    <col min="3843" max="3843" width="14.125" style="214" customWidth="1"/>
    <col min="3844" max="3845" width="13" style="214" customWidth="1"/>
    <col min="3846" max="3846" width="10.25" style="214" customWidth="1"/>
    <col min="3847" max="3847" width="11.375" style="214" customWidth="1"/>
    <col min="3848" max="3848" width="13" style="214" customWidth="1"/>
    <col min="3849" max="3849" width="12" style="214" customWidth="1"/>
    <col min="3850" max="3850" width="12.75" style="214" customWidth="1"/>
    <col min="3851" max="3851" width="13" style="214" customWidth="1"/>
    <col min="3852" max="3852" width="13" style="214" bestFit="1" customWidth="1"/>
    <col min="3853" max="3853" width="11.125" style="214" bestFit="1" customWidth="1"/>
    <col min="3854" max="3854" width="9.375" style="214" customWidth="1"/>
    <col min="3855" max="3855" width="14.125" style="214" bestFit="1" customWidth="1"/>
    <col min="3856" max="3856" width="9" style="214" bestFit="1" customWidth="1"/>
    <col min="3857" max="4096" width="9" style="214"/>
    <col min="4097" max="4097" width="2.625" style="214" customWidth="1"/>
    <col min="4098" max="4098" width="1.25" style="214" customWidth="1"/>
    <col min="4099" max="4099" width="14.125" style="214" customWidth="1"/>
    <col min="4100" max="4101" width="13" style="214" customWidth="1"/>
    <col min="4102" max="4102" width="10.25" style="214" customWidth="1"/>
    <col min="4103" max="4103" width="11.375" style="214" customWidth="1"/>
    <col min="4104" max="4104" width="13" style="214" customWidth="1"/>
    <col min="4105" max="4105" width="12" style="214" customWidth="1"/>
    <col min="4106" max="4106" width="12.75" style="214" customWidth="1"/>
    <col min="4107" max="4107" width="13" style="214" customWidth="1"/>
    <col min="4108" max="4108" width="13" style="214" bestFit="1" customWidth="1"/>
    <col min="4109" max="4109" width="11.125" style="214" bestFit="1" customWidth="1"/>
    <col min="4110" max="4110" width="9.375" style="214" customWidth="1"/>
    <col min="4111" max="4111" width="14.125" style="214" bestFit="1" customWidth="1"/>
    <col min="4112" max="4112" width="9" style="214" bestFit="1" customWidth="1"/>
    <col min="4113" max="4352" width="9" style="214"/>
    <col min="4353" max="4353" width="2.625" style="214" customWidth="1"/>
    <col min="4354" max="4354" width="1.25" style="214" customWidth="1"/>
    <col min="4355" max="4355" width="14.125" style="214" customWidth="1"/>
    <col min="4356" max="4357" width="13" style="214" customWidth="1"/>
    <col min="4358" max="4358" width="10.25" style="214" customWidth="1"/>
    <col min="4359" max="4359" width="11.375" style="214" customWidth="1"/>
    <col min="4360" max="4360" width="13" style="214" customWidth="1"/>
    <col min="4361" max="4361" width="12" style="214" customWidth="1"/>
    <col min="4362" max="4362" width="12.75" style="214" customWidth="1"/>
    <col min="4363" max="4363" width="13" style="214" customWidth="1"/>
    <col min="4364" max="4364" width="13" style="214" bestFit="1" customWidth="1"/>
    <col min="4365" max="4365" width="11.125" style="214" bestFit="1" customWidth="1"/>
    <col min="4366" max="4366" width="9.375" style="214" customWidth="1"/>
    <col min="4367" max="4367" width="14.125" style="214" bestFit="1" customWidth="1"/>
    <col min="4368" max="4368" width="9" style="214" bestFit="1" customWidth="1"/>
    <col min="4369" max="4608" width="9" style="214"/>
    <col min="4609" max="4609" width="2.625" style="214" customWidth="1"/>
    <col min="4610" max="4610" width="1.25" style="214" customWidth="1"/>
    <col min="4611" max="4611" width="14.125" style="214" customWidth="1"/>
    <col min="4612" max="4613" width="13" style="214" customWidth="1"/>
    <col min="4614" max="4614" width="10.25" style="214" customWidth="1"/>
    <col min="4615" max="4615" width="11.375" style="214" customWidth="1"/>
    <col min="4616" max="4616" width="13" style="214" customWidth="1"/>
    <col min="4617" max="4617" width="12" style="214" customWidth="1"/>
    <col min="4618" max="4618" width="12.75" style="214" customWidth="1"/>
    <col min="4619" max="4619" width="13" style="214" customWidth="1"/>
    <col min="4620" max="4620" width="13" style="214" bestFit="1" customWidth="1"/>
    <col min="4621" max="4621" width="11.125" style="214" bestFit="1" customWidth="1"/>
    <col min="4622" max="4622" width="9.375" style="214" customWidth="1"/>
    <col min="4623" max="4623" width="14.125" style="214" bestFit="1" customWidth="1"/>
    <col min="4624" max="4624" width="9" style="214" bestFit="1" customWidth="1"/>
    <col min="4625" max="4864" width="9" style="214"/>
    <col min="4865" max="4865" width="2.625" style="214" customWidth="1"/>
    <col min="4866" max="4866" width="1.25" style="214" customWidth="1"/>
    <col min="4867" max="4867" width="14.125" style="214" customWidth="1"/>
    <col min="4868" max="4869" width="13" style="214" customWidth="1"/>
    <col min="4870" max="4870" width="10.25" style="214" customWidth="1"/>
    <col min="4871" max="4871" width="11.375" style="214" customWidth="1"/>
    <col min="4872" max="4872" width="13" style="214" customWidth="1"/>
    <col min="4873" max="4873" width="12" style="214" customWidth="1"/>
    <col min="4874" max="4874" width="12.75" style="214" customWidth="1"/>
    <col min="4875" max="4875" width="13" style="214" customWidth="1"/>
    <col min="4876" max="4876" width="13" style="214" bestFit="1" customWidth="1"/>
    <col min="4877" max="4877" width="11.125" style="214" bestFit="1" customWidth="1"/>
    <col min="4878" max="4878" width="9.375" style="214" customWidth="1"/>
    <col min="4879" max="4879" width="14.125" style="214" bestFit="1" customWidth="1"/>
    <col min="4880" max="4880" width="9" style="214" bestFit="1" customWidth="1"/>
    <col min="4881" max="5120" width="9" style="214"/>
    <col min="5121" max="5121" width="2.625" style="214" customWidth="1"/>
    <col min="5122" max="5122" width="1.25" style="214" customWidth="1"/>
    <col min="5123" max="5123" width="14.125" style="214" customWidth="1"/>
    <col min="5124" max="5125" width="13" style="214" customWidth="1"/>
    <col min="5126" max="5126" width="10.25" style="214" customWidth="1"/>
    <col min="5127" max="5127" width="11.375" style="214" customWidth="1"/>
    <col min="5128" max="5128" width="13" style="214" customWidth="1"/>
    <col min="5129" max="5129" width="12" style="214" customWidth="1"/>
    <col min="5130" max="5130" width="12.75" style="214" customWidth="1"/>
    <col min="5131" max="5131" width="13" style="214" customWidth="1"/>
    <col min="5132" max="5132" width="13" style="214" bestFit="1" customWidth="1"/>
    <col min="5133" max="5133" width="11.125" style="214" bestFit="1" customWidth="1"/>
    <col min="5134" max="5134" width="9.375" style="214" customWidth="1"/>
    <col min="5135" max="5135" width="14.125" style="214" bestFit="1" customWidth="1"/>
    <col min="5136" max="5136" width="9" style="214" bestFit="1" customWidth="1"/>
    <col min="5137" max="5376" width="9" style="214"/>
    <col min="5377" max="5377" width="2.625" style="214" customWidth="1"/>
    <col min="5378" max="5378" width="1.25" style="214" customWidth="1"/>
    <col min="5379" max="5379" width="14.125" style="214" customWidth="1"/>
    <col min="5380" max="5381" width="13" style="214" customWidth="1"/>
    <col min="5382" max="5382" width="10.25" style="214" customWidth="1"/>
    <col min="5383" max="5383" width="11.375" style="214" customWidth="1"/>
    <col min="5384" max="5384" width="13" style="214" customWidth="1"/>
    <col min="5385" max="5385" width="12" style="214" customWidth="1"/>
    <col min="5386" max="5386" width="12.75" style="214" customWidth="1"/>
    <col min="5387" max="5387" width="13" style="214" customWidth="1"/>
    <col min="5388" max="5388" width="13" style="214" bestFit="1" customWidth="1"/>
    <col min="5389" max="5389" width="11.125" style="214" bestFit="1" customWidth="1"/>
    <col min="5390" max="5390" width="9.375" style="214" customWidth="1"/>
    <col min="5391" max="5391" width="14.125" style="214" bestFit="1" customWidth="1"/>
    <col min="5392" max="5392" width="9" style="214" bestFit="1" customWidth="1"/>
    <col min="5393" max="5632" width="9" style="214"/>
    <col min="5633" max="5633" width="2.625" style="214" customWidth="1"/>
    <col min="5634" max="5634" width="1.25" style="214" customWidth="1"/>
    <col min="5635" max="5635" width="14.125" style="214" customWidth="1"/>
    <col min="5636" max="5637" width="13" style="214" customWidth="1"/>
    <col min="5638" max="5638" width="10.25" style="214" customWidth="1"/>
    <col min="5639" max="5639" width="11.375" style="214" customWidth="1"/>
    <col min="5640" max="5640" width="13" style="214" customWidth="1"/>
    <col min="5641" max="5641" width="12" style="214" customWidth="1"/>
    <col min="5642" max="5642" width="12.75" style="214" customWidth="1"/>
    <col min="5643" max="5643" width="13" style="214" customWidth="1"/>
    <col min="5644" max="5644" width="13" style="214" bestFit="1" customWidth="1"/>
    <col min="5645" max="5645" width="11.125" style="214" bestFit="1" customWidth="1"/>
    <col min="5646" max="5646" width="9.375" style="214" customWidth="1"/>
    <col min="5647" max="5647" width="14.125" style="214" bestFit="1" customWidth="1"/>
    <col min="5648" max="5648" width="9" style="214" bestFit="1" customWidth="1"/>
    <col min="5649" max="5888" width="9" style="214"/>
    <col min="5889" max="5889" width="2.625" style="214" customWidth="1"/>
    <col min="5890" max="5890" width="1.25" style="214" customWidth="1"/>
    <col min="5891" max="5891" width="14.125" style="214" customWidth="1"/>
    <col min="5892" max="5893" width="13" style="214" customWidth="1"/>
    <col min="5894" max="5894" width="10.25" style="214" customWidth="1"/>
    <col min="5895" max="5895" width="11.375" style="214" customWidth="1"/>
    <col min="5896" max="5896" width="13" style="214" customWidth="1"/>
    <col min="5897" max="5897" width="12" style="214" customWidth="1"/>
    <col min="5898" max="5898" width="12.75" style="214" customWidth="1"/>
    <col min="5899" max="5899" width="13" style="214" customWidth="1"/>
    <col min="5900" max="5900" width="13" style="214" bestFit="1" customWidth="1"/>
    <col min="5901" max="5901" width="11.125" style="214" bestFit="1" customWidth="1"/>
    <col min="5902" max="5902" width="9.375" style="214" customWidth="1"/>
    <col min="5903" max="5903" width="14.125" style="214" bestFit="1" customWidth="1"/>
    <col min="5904" max="5904" width="9" style="214" bestFit="1" customWidth="1"/>
    <col min="5905" max="6144" width="9" style="214"/>
    <col min="6145" max="6145" width="2.625" style="214" customWidth="1"/>
    <col min="6146" max="6146" width="1.25" style="214" customWidth="1"/>
    <col min="6147" max="6147" width="14.125" style="214" customWidth="1"/>
    <col min="6148" max="6149" width="13" style="214" customWidth="1"/>
    <col min="6150" max="6150" width="10.25" style="214" customWidth="1"/>
    <col min="6151" max="6151" width="11.375" style="214" customWidth="1"/>
    <col min="6152" max="6152" width="13" style="214" customWidth="1"/>
    <col min="6153" max="6153" width="12" style="214" customWidth="1"/>
    <col min="6154" max="6154" width="12.75" style="214" customWidth="1"/>
    <col min="6155" max="6155" width="13" style="214" customWidth="1"/>
    <col min="6156" max="6156" width="13" style="214" bestFit="1" customWidth="1"/>
    <col min="6157" max="6157" width="11.125" style="214" bestFit="1" customWidth="1"/>
    <col min="6158" max="6158" width="9.375" style="214" customWidth="1"/>
    <col min="6159" max="6159" width="14.125" style="214" bestFit="1" customWidth="1"/>
    <col min="6160" max="6160" width="9" style="214" bestFit="1" customWidth="1"/>
    <col min="6161" max="6400" width="9" style="214"/>
    <col min="6401" max="6401" width="2.625" style="214" customWidth="1"/>
    <col min="6402" max="6402" width="1.25" style="214" customWidth="1"/>
    <col min="6403" max="6403" width="14.125" style="214" customWidth="1"/>
    <col min="6404" max="6405" width="13" style="214" customWidth="1"/>
    <col min="6406" max="6406" width="10.25" style="214" customWidth="1"/>
    <col min="6407" max="6407" width="11.375" style="214" customWidth="1"/>
    <col min="6408" max="6408" width="13" style="214" customWidth="1"/>
    <col min="6409" max="6409" width="12" style="214" customWidth="1"/>
    <col min="6410" max="6410" width="12.75" style="214" customWidth="1"/>
    <col min="6411" max="6411" width="13" style="214" customWidth="1"/>
    <col min="6412" max="6412" width="13" style="214" bestFit="1" customWidth="1"/>
    <col min="6413" max="6413" width="11.125" style="214" bestFit="1" customWidth="1"/>
    <col min="6414" max="6414" width="9.375" style="214" customWidth="1"/>
    <col min="6415" max="6415" width="14.125" style="214" bestFit="1" customWidth="1"/>
    <col min="6416" max="6416" width="9" style="214" bestFit="1" customWidth="1"/>
    <col min="6417" max="6656" width="9" style="214"/>
    <col min="6657" max="6657" width="2.625" style="214" customWidth="1"/>
    <col min="6658" max="6658" width="1.25" style="214" customWidth="1"/>
    <col min="6659" max="6659" width="14.125" style="214" customWidth="1"/>
    <col min="6660" max="6661" width="13" style="214" customWidth="1"/>
    <col min="6662" max="6662" width="10.25" style="214" customWidth="1"/>
    <col min="6663" max="6663" width="11.375" style="214" customWidth="1"/>
    <col min="6664" max="6664" width="13" style="214" customWidth="1"/>
    <col min="6665" max="6665" width="12" style="214" customWidth="1"/>
    <col min="6666" max="6666" width="12.75" style="214" customWidth="1"/>
    <col min="6667" max="6667" width="13" style="214" customWidth="1"/>
    <col min="6668" max="6668" width="13" style="214" bestFit="1" customWidth="1"/>
    <col min="6669" max="6669" width="11.125" style="214" bestFit="1" customWidth="1"/>
    <col min="6670" max="6670" width="9.375" style="214" customWidth="1"/>
    <col min="6671" max="6671" width="14.125" style="214" bestFit="1" customWidth="1"/>
    <col min="6672" max="6672" width="9" style="214" bestFit="1" customWidth="1"/>
    <col min="6673" max="6912" width="9" style="214"/>
    <col min="6913" max="6913" width="2.625" style="214" customWidth="1"/>
    <col min="6914" max="6914" width="1.25" style="214" customWidth="1"/>
    <col min="6915" max="6915" width="14.125" style="214" customWidth="1"/>
    <col min="6916" max="6917" width="13" style="214" customWidth="1"/>
    <col min="6918" max="6918" width="10.25" style="214" customWidth="1"/>
    <col min="6919" max="6919" width="11.375" style="214" customWidth="1"/>
    <col min="6920" max="6920" width="13" style="214" customWidth="1"/>
    <col min="6921" max="6921" width="12" style="214" customWidth="1"/>
    <col min="6922" max="6922" width="12.75" style="214" customWidth="1"/>
    <col min="6923" max="6923" width="13" style="214" customWidth="1"/>
    <col min="6924" max="6924" width="13" style="214" bestFit="1" customWidth="1"/>
    <col min="6925" max="6925" width="11.125" style="214" bestFit="1" customWidth="1"/>
    <col min="6926" max="6926" width="9.375" style="214" customWidth="1"/>
    <col min="6927" max="6927" width="14.125" style="214" bestFit="1" customWidth="1"/>
    <col min="6928" max="6928" width="9" style="214" bestFit="1" customWidth="1"/>
    <col min="6929" max="7168" width="9" style="214"/>
    <col min="7169" max="7169" width="2.625" style="214" customWidth="1"/>
    <col min="7170" max="7170" width="1.25" style="214" customWidth="1"/>
    <col min="7171" max="7171" width="14.125" style="214" customWidth="1"/>
    <col min="7172" max="7173" width="13" style="214" customWidth="1"/>
    <col min="7174" max="7174" width="10.25" style="214" customWidth="1"/>
    <col min="7175" max="7175" width="11.375" style="214" customWidth="1"/>
    <col min="7176" max="7176" width="13" style="214" customWidth="1"/>
    <col min="7177" max="7177" width="12" style="214" customWidth="1"/>
    <col min="7178" max="7178" width="12.75" style="214" customWidth="1"/>
    <col min="7179" max="7179" width="13" style="214" customWidth="1"/>
    <col min="7180" max="7180" width="13" style="214" bestFit="1" customWidth="1"/>
    <col min="7181" max="7181" width="11.125" style="214" bestFit="1" customWidth="1"/>
    <col min="7182" max="7182" width="9.375" style="214" customWidth="1"/>
    <col min="7183" max="7183" width="14.125" style="214" bestFit="1" customWidth="1"/>
    <col min="7184" max="7184" width="9" style="214" bestFit="1" customWidth="1"/>
    <col min="7185" max="7424" width="9" style="214"/>
    <col min="7425" max="7425" width="2.625" style="214" customWidth="1"/>
    <col min="7426" max="7426" width="1.25" style="214" customWidth="1"/>
    <col min="7427" max="7427" width="14.125" style="214" customWidth="1"/>
    <col min="7428" max="7429" width="13" style="214" customWidth="1"/>
    <col min="7430" max="7430" width="10.25" style="214" customWidth="1"/>
    <col min="7431" max="7431" width="11.375" style="214" customWidth="1"/>
    <col min="7432" max="7432" width="13" style="214" customWidth="1"/>
    <col min="7433" max="7433" width="12" style="214" customWidth="1"/>
    <col min="7434" max="7434" width="12.75" style="214" customWidth="1"/>
    <col min="7435" max="7435" width="13" style="214" customWidth="1"/>
    <col min="7436" max="7436" width="13" style="214" bestFit="1" customWidth="1"/>
    <col min="7437" max="7437" width="11.125" style="214" bestFit="1" customWidth="1"/>
    <col min="7438" max="7438" width="9.375" style="214" customWidth="1"/>
    <col min="7439" max="7439" width="14.125" style="214" bestFit="1" customWidth="1"/>
    <col min="7440" max="7440" width="9" style="214" bestFit="1" customWidth="1"/>
    <col min="7441" max="7680" width="9" style="214"/>
    <col min="7681" max="7681" width="2.625" style="214" customWidth="1"/>
    <col min="7682" max="7682" width="1.25" style="214" customWidth="1"/>
    <col min="7683" max="7683" width="14.125" style="214" customWidth="1"/>
    <col min="7684" max="7685" width="13" style="214" customWidth="1"/>
    <col min="7686" max="7686" width="10.25" style="214" customWidth="1"/>
    <col min="7687" max="7687" width="11.375" style="214" customWidth="1"/>
    <col min="7688" max="7688" width="13" style="214" customWidth="1"/>
    <col min="7689" max="7689" width="12" style="214" customWidth="1"/>
    <col min="7690" max="7690" width="12.75" style="214" customWidth="1"/>
    <col min="7691" max="7691" width="13" style="214" customWidth="1"/>
    <col min="7692" max="7692" width="13" style="214" bestFit="1" customWidth="1"/>
    <col min="7693" max="7693" width="11.125" style="214" bestFit="1" customWidth="1"/>
    <col min="7694" max="7694" width="9.375" style="214" customWidth="1"/>
    <col min="7695" max="7695" width="14.125" style="214" bestFit="1" customWidth="1"/>
    <col min="7696" max="7696" width="9" style="214" bestFit="1" customWidth="1"/>
    <col min="7697" max="7936" width="9" style="214"/>
    <col min="7937" max="7937" width="2.625" style="214" customWidth="1"/>
    <col min="7938" max="7938" width="1.25" style="214" customWidth="1"/>
    <col min="7939" max="7939" width="14.125" style="214" customWidth="1"/>
    <col min="7940" max="7941" width="13" style="214" customWidth="1"/>
    <col min="7942" max="7942" width="10.25" style="214" customWidth="1"/>
    <col min="7943" max="7943" width="11.375" style="214" customWidth="1"/>
    <col min="7944" max="7944" width="13" style="214" customWidth="1"/>
    <col min="7945" max="7945" width="12" style="214" customWidth="1"/>
    <col min="7946" max="7946" width="12.75" style="214" customWidth="1"/>
    <col min="7947" max="7947" width="13" style="214" customWidth="1"/>
    <col min="7948" max="7948" width="13" style="214" bestFit="1" customWidth="1"/>
    <col min="7949" max="7949" width="11.125" style="214" bestFit="1" customWidth="1"/>
    <col min="7950" max="7950" width="9.375" style="214" customWidth="1"/>
    <col min="7951" max="7951" width="14.125" style="214" bestFit="1" customWidth="1"/>
    <col min="7952" max="7952" width="9" style="214" bestFit="1" customWidth="1"/>
    <col min="7953" max="8192" width="9" style="214"/>
    <col min="8193" max="8193" width="2.625" style="214" customWidth="1"/>
    <col min="8194" max="8194" width="1.25" style="214" customWidth="1"/>
    <col min="8195" max="8195" width="14.125" style="214" customWidth="1"/>
    <col min="8196" max="8197" width="13" style="214" customWidth="1"/>
    <col min="8198" max="8198" width="10.25" style="214" customWidth="1"/>
    <col min="8199" max="8199" width="11.375" style="214" customWidth="1"/>
    <col min="8200" max="8200" width="13" style="214" customWidth="1"/>
    <col min="8201" max="8201" width="12" style="214" customWidth="1"/>
    <col min="8202" max="8202" width="12.75" style="214" customWidth="1"/>
    <col min="8203" max="8203" width="13" style="214" customWidth="1"/>
    <col min="8204" max="8204" width="13" style="214" bestFit="1" customWidth="1"/>
    <col min="8205" max="8205" width="11.125" style="214" bestFit="1" customWidth="1"/>
    <col min="8206" max="8206" width="9.375" style="214" customWidth="1"/>
    <col min="8207" max="8207" width="14.125" style="214" bestFit="1" customWidth="1"/>
    <col min="8208" max="8208" width="9" style="214" bestFit="1" customWidth="1"/>
    <col min="8209" max="8448" width="9" style="214"/>
    <col min="8449" max="8449" width="2.625" style="214" customWidth="1"/>
    <col min="8450" max="8450" width="1.25" style="214" customWidth="1"/>
    <col min="8451" max="8451" width="14.125" style="214" customWidth="1"/>
    <col min="8452" max="8453" width="13" style="214" customWidth="1"/>
    <col min="8454" max="8454" width="10.25" style="214" customWidth="1"/>
    <col min="8455" max="8455" width="11.375" style="214" customWidth="1"/>
    <col min="8456" max="8456" width="13" style="214" customWidth="1"/>
    <col min="8457" max="8457" width="12" style="214" customWidth="1"/>
    <col min="8458" max="8458" width="12.75" style="214" customWidth="1"/>
    <col min="8459" max="8459" width="13" style="214" customWidth="1"/>
    <col min="8460" max="8460" width="13" style="214" bestFit="1" customWidth="1"/>
    <col min="8461" max="8461" width="11.125" style="214" bestFit="1" customWidth="1"/>
    <col min="8462" max="8462" width="9.375" style="214" customWidth="1"/>
    <col min="8463" max="8463" width="14.125" style="214" bestFit="1" customWidth="1"/>
    <col min="8464" max="8464" width="9" style="214" bestFit="1" customWidth="1"/>
    <col min="8465" max="8704" width="9" style="214"/>
    <col min="8705" max="8705" width="2.625" style="214" customWidth="1"/>
    <col min="8706" max="8706" width="1.25" style="214" customWidth="1"/>
    <col min="8707" max="8707" width="14.125" style="214" customWidth="1"/>
    <col min="8708" max="8709" width="13" style="214" customWidth="1"/>
    <col min="8710" max="8710" width="10.25" style="214" customWidth="1"/>
    <col min="8711" max="8711" width="11.375" style="214" customWidth="1"/>
    <col min="8712" max="8712" width="13" style="214" customWidth="1"/>
    <col min="8713" max="8713" width="12" style="214" customWidth="1"/>
    <col min="8714" max="8714" width="12.75" style="214" customWidth="1"/>
    <col min="8715" max="8715" width="13" style="214" customWidth="1"/>
    <col min="8716" max="8716" width="13" style="214" bestFit="1" customWidth="1"/>
    <col min="8717" max="8717" width="11.125" style="214" bestFit="1" customWidth="1"/>
    <col min="8718" max="8718" width="9.375" style="214" customWidth="1"/>
    <col min="8719" max="8719" width="14.125" style="214" bestFit="1" customWidth="1"/>
    <col min="8720" max="8720" width="9" style="214" bestFit="1" customWidth="1"/>
    <col min="8721" max="8960" width="9" style="214"/>
    <col min="8961" max="8961" width="2.625" style="214" customWidth="1"/>
    <col min="8962" max="8962" width="1.25" style="214" customWidth="1"/>
    <col min="8963" max="8963" width="14.125" style="214" customWidth="1"/>
    <col min="8964" max="8965" width="13" style="214" customWidth="1"/>
    <col min="8966" max="8966" width="10.25" style="214" customWidth="1"/>
    <col min="8967" max="8967" width="11.375" style="214" customWidth="1"/>
    <col min="8968" max="8968" width="13" style="214" customWidth="1"/>
    <col min="8969" max="8969" width="12" style="214" customWidth="1"/>
    <col min="8970" max="8970" width="12.75" style="214" customWidth="1"/>
    <col min="8971" max="8971" width="13" style="214" customWidth="1"/>
    <col min="8972" max="8972" width="13" style="214" bestFit="1" customWidth="1"/>
    <col min="8973" max="8973" width="11.125" style="214" bestFit="1" customWidth="1"/>
    <col min="8974" max="8974" width="9.375" style="214" customWidth="1"/>
    <col min="8975" max="8975" width="14.125" style="214" bestFit="1" customWidth="1"/>
    <col min="8976" max="8976" width="9" style="214" bestFit="1" customWidth="1"/>
    <col min="8977" max="9216" width="9" style="214"/>
    <col min="9217" max="9217" width="2.625" style="214" customWidth="1"/>
    <col min="9218" max="9218" width="1.25" style="214" customWidth="1"/>
    <col min="9219" max="9219" width="14.125" style="214" customWidth="1"/>
    <col min="9220" max="9221" width="13" style="214" customWidth="1"/>
    <col min="9222" max="9222" width="10.25" style="214" customWidth="1"/>
    <col min="9223" max="9223" width="11.375" style="214" customWidth="1"/>
    <col min="9224" max="9224" width="13" style="214" customWidth="1"/>
    <col min="9225" max="9225" width="12" style="214" customWidth="1"/>
    <col min="9226" max="9226" width="12.75" style="214" customWidth="1"/>
    <col min="9227" max="9227" width="13" style="214" customWidth="1"/>
    <col min="9228" max="9228" width="13" style="214" bestFit="1" customWidth="1"/>
    <col min="9229" max="9229" width="11.125" style="214" bestFit="1" customWidth="1"/>
    <col min="9230" max="9230" width="9.375" style="214" customWidth="1"/>
    <col min="9231" max="9231" width="14.125" style="214" bestFit="1" customWidth="1"/>
    <col min="9232" max="9232" width="9" style="214" bestFit="1" customWidth="1"/>
    <col min="9233" max="9472" width="9" style="214"/>
    <col min="9473" max="9473" width="2.625" style="214" customWidth="1"/>
    <col min="9474" max="9474" width="1.25" style="214" customWidth="1"/>
    <col min="9475" max="9475" width="14.125" style="214" customWidth="1"/>
    <col min="9476" max="9477" width="13" style="214" customWidth="1"/>
    <col min="9478" max="9478" width="10.25" style="214" customWidth="1"/>
    <col min="9479" max="9479" width="11.375" style="214" customWidth="1"/>
    <col min="9480" max="9480" width="13" style="214" customWidth="1"/>
    <col min="9481" max="9481" width="12" style="214" customWidth="1"/>
    <col min="9482" max="9482" width="12.75" style="214" customWidth="1"/>
    <col min="9483" max="9483" width="13" style="214" customWidth="1"/>
    <col min="9484" max="9484" width="13" style="214" bestFit="1" customWidth="1"/>
    <col min="9485" max="9485" width="11.125" style="214" bestFit="1" customWidth="1"/>
    <col min="9486" max="9486" width="9.375" style="214" customWidth="1"/>
    <col min="9487" max="9487" width="14.125" style="214" bestFit="1" customWidth="1"/>
    <col min="9488" max="9488" width="9" style="214" bestFit="1" customWidth="1"/>
    <col min="9489" max="9728" width="9" style="214"/>
    <col min="9729" max="9729" width="2.625" style="214" customWidth="1"/>
    <col min="9730" max="9730" width="1.25" style="214" customWidth="1"/>
    <col min="9731" max="9731" width="14.125" style="214" customWidth="1"/>
    <col min="9732" max="9733" width="13" style="214" customWidth="1"/>
    <col min="9734" max="9734" width="10.25" style="214" customWidth="1"/>
    <col min="9735" max="9735" width="11.375" style="214" customWidth="1"/>
    <col min="9736" max="9736" width="13" style="214" customWidth="1"/>
    <col min="9737" max="9737" width="12" style="214" customWidth="1"/>
    <col min="9738" max="9738" width="12.75" style="214" customWidth="1"/>
    <col min="9739" max="9739" width="13" style="214" customWidth="1"/>
    <col min="9740" max="9740" width="13" style="214" bestFit="1" customWidth="1"/>
    <col min="9741" max="9741" width="11.125" style="214" bestFit="1" customWidth="1"/>
    <col min="9742" max="9742" width="9.375" style="214" customWidth="1"/>
    <col min="9743" max="9743" width="14.125" style="214" bestFit="1" customWidth="1"/>
    <col min="9744" max="9744" width="9" style="214" bestFit="1" customWidth="1"/>
    <col min="9745" max="9984" width="9" style="214"/>
    <col min="9985" max="9985" width="2.625" style="214" customWidth="1"/>
    <col min="9986" max="9986" width="1.25" style="214" customWidth="1"/>
    <col min="9987" max="9987" width="14.125" style="214" customWidth="1"/>
    <col min="9988" max="9989" width="13" style="214" customWidth="1"/>
    <col min="9990" max="9990" width="10.25" style="214" customWidth="1"/>
    <col min="9991" max="9991" width="11.375" style="214" customWidth="1"/>
    <col min="9992" max="9992" width="13" style="214" customWidth="1"/>
    <col min="9993" max="9993" width="12" style="214" customWidth="1"/>
    <col min="9994" max="9994" width="12.75" style="214" customWidth="1"/>
    <col min="9995" max="9995" width="13" style="214" customWidth="1"/>
    <col min="9996" max="9996" width="13" style="214" bestFit="1" customWidth="1"/>
    <col min="9997" max="9997" width="11.125" style="214" bestFit="1" customWidth="1"/>
    <col min="9998" max="9998" width="9.375" style="214" customWidth="1"/>
    <col min="9999" max="9999" width="14.125" style="214" bestFit="1" customWidth="1"/>
    <col min="10000" max="10000" width="9" style="214" bestFit="1" customWidth="1"/>
    <col min="10001" max="10240" width="9" style="214"/>
    <col min="10241" max="10241" width="2.625" style="214" customWidth="1"/>
    <col min="10242" max="10242" width="1.25" style="214" customWidth="1"/>
    <col min="10243" max="10243" width="14.125" style="214" customWidth="1"/>
    <col min="10244" max="10245" width="13" style="214" customWidth="1"/>
    <col min="10246" max="10246" width="10.25" style="214" customWidth="1"/>
    <col min="10247" max="10247" width="11.375" style="214" customWidth="1"/>
    <col min="10248" max="10248" width="13" style="214" customWidth="1"/>
    <col min="10249" max="10249" width="12" style="214" customWidth="1"/>
    <col min="10250" max="10250" width="12.75" style="214" customWidth="1"/>
    <col min="10251" max="10251" width="13" style="214" customWidth="1"/>
    <col min="10252" max="10252" width="13" style="214" bestFit="1" customWidth="1"/>
    <col min="10253" max="10253" width="11.125" style="214" bestFit="1" customWidth="1"/>
    <col min="10254" max="10254" width="9.375" style="214" customWidth="1"/>
    <col min="10255" max="10255" width="14.125" style="214" bestFit="1" customWidth="1"/>
    <col min="10256" max="10256" width="9" style="214" bestFit="1" customWidth="1"/>
    <col min="10257" max="10496" width="9" style="214"/>
    <col min="10497" max="10497" width="2.625" style="214" customWidth="1"/>
    <col min="10498" max="10498" width="1.25" style="214" customWidth="1"/>
    <col min="10499" max="10499" width="14.125" style="214" customWidth="1"/>
    <col min="10500" max="10501" width="13" style="214" customWidth="1"/>
    <col min="10502" max="10502" width="10.25" style="214" customWidth="1"/>
    <col min="10503" max="10503" width="11.375" style="214" customWidth="1"/>
    <col min="10504" max="10504" width="13" style="214" customWidth="1"/>
    <col min="10505" max="10505" width="12" style="214" customWidth="1"/>
    <col min="10506" max="10506" width="12.75" style="214" customWidth="1"/>
    <col min="10507" max="10507" width="13" style="214" customWidth="1"/>
    <col min="10508" max="10508" width="13" style="214" bestFit="1" customWidth="1"/>
    <col min="10509" max="10509" width="11.125" style="214" bestFit="1" customWidth="1"/>
    <col min="10510" max="10510" width="9.375" style="214" customWidth="1"/>
    <col min="10511" max="10511" width="14.125" style="214" bestFit="1" customWidth="1"/>
    <col min="10512" max="10512" width="9" style="214" bestFit="1" customWidth="1"/>
    <col min="10513" max="10752" width="9" style="214"/>
    <col min="10753" max="10753" width="2.625" style="214" customWidth="1"/>
    <col min="10754" max="10754" width="1.25" style="214" customWidth="1"/>
    <col min="10755" max="10755" width="14.125" style="214" customWidth="1"/>
    <col min="10756" max="10757" width="13" style="214" customWidth="1"/>
    <col min="10758" max="10758" width="10.25" style="214" customWidth="1"/>
    <col min="10759" max="10759" width="11.375" style="214" customWidth="1"/>
    <col min="10760" max="10760" width="13" style="214" customWidth="1"/>
    <col min="10761" max="10761" width="12" style="214" customWidth="1"/>
    <col min="10762" max="10762" width="12.75" style="214" customWidth="1"/>
    <col min="10763" max="10763" width="13" style="214" customWidth="1"/>
    <col min="10764" max="10764" width="13" style="214" bestFit="1" customWidth="1"/>
    <col min="10765" max="10765" width="11.125" style="214" bestFit="1" customWidth="1"/>
    <col min="10766" max="10766" width="9.375" style="214" customWidth="1"/>
    <col min="10767" max="10767" width="14.125" style="214" bestFit="1" customWidth="1"/>
    <col min="10768" max="10768" width="9" style="214" bestFit="1" customWidth="1"/>
    <col min="10769" max="11008" width="9" style="214"/>
    <col min="11009" max="11009" width="2.625" style="214" customWidth="1"/>
    <col min="11010" max="11010" width="1.25" style="214" customWidth="1"/>
    <col min="11011" max="11011" width="14.125" style="214" customWidth="1"/>
    <col min="11012" max="11013" width="13" style="214" customWidth="1"/>
    <col min="11014" max="11014" width="10.25" style="214" customWidth="1"/>
    <col min="11015" max="11015" width="11.375" style="214" customWidth="1"/>
    <col min="11016" max="11016" width="13" style="214" customWidth="1"/>
    <col min="11017" max="11017" width="12" style="214" customWidth="1"/>
    <col min="11018" max="11018" width="12.75" style="214" customWidth="1"/>
    <col min="11019" max="11019" width="13" style="214" customWidth="1"/>
    <col min="11020" max="11020" width="13" style="214" bestFit="1" customWidth="1"/>
    <col min="11021" max="11021" width="11.125" style="214" bestFit="1" customWidth="1"/>
    <col min="11022" max="11022" width="9.375" style="214" customWidth="1"/>
    <col min="11023" max="11023" width="14.125" style="214" bestFit="1" customWidth="1"/>
    <col min="11024" max="11024" width="9" style="214" bestFit="1" customWidth="1"/>
    <col min="11025" max="11264" width="9" style="214"/>
    <col min="11265" max="11265" width="2.625" style="214" customWidth="1"/>
    <col min="11266" max="11266" width="1.25" style="214" customWidth="1"/>
    <col min="11267" max="11267" width="14.125" style="214" customWidth="1"/>
    <col min="11268" max="11269" width="13" style="214" customWidth="1"/>
    <col min="11270" max="11270" width="10.25" style="214" customWidth="1"/>
    <col min="11271" max="11271" width="11.375" style="214" customWidth="1"/>
    <col min="11272" max="11272" width="13" style="214" customWidth="1"/>
    <col min="11273" max="11273" width="12" style="214" customWidth="1"/>
    <col min="11274" max="11274" width="12.75" style="214" customWidth="1"/>
    <col min="11275" max="11275" width="13" style="214" customWidth="1"/>
    <col min="11276" max="11276" width="13" style="214" bestFit="1" customWidth="1"/>
    <col min="11277" max="11277" width="11.125" style="214" bestFit="1" customWidth="1"/>
    <col min="11278" max="11278" width="9.375" style="214" customWidth="1"/>
    <col min="11279" max="11279" width="14.125" style="214" bestFit="1" customWidth="1"/>
    <col min="11280" max="11280" width="9" style="214" bestFit="1" customWidth="1"/>
    <col min="11281" max="11520" width="9" style="214"/>
    <col min="11521" max="11521" width="2.625" style="214" customWidth="1"/>
    <col min="11522" max="11522" width="1.25" style="214" customWidth="1"/>
    <col min="11523" max="11523" width="14.125" style="214" customWidth="1"/>
    <col min="11524" max="11525" width="13" style="214" customWidth="1"/>
    <col min="11526" max="11526" width="10.25" style="214" customWidth="1"/>
    <col min="11527" max="11527" width="11.375" style="214" customWidth="1"/>
    <col min="11528" max="11528" width="13" style="214" customWidth="1"/>
    <col min="11529" max="11529" width="12" style="214" customWidth="1"/>
    <col min="11530" max="11530" width="12.75" style="214" customWidth="1"/>
    <col min="11531" max="11531" width="13" style="214" customWidth="1"/>
    <col min="11532" max="11532" width="13" style="214" bestFit="1" customWidth="1"/>
    <col min="11533" max="11533" width="11.125" style="214" bestFit="1" customWidth="1"/>
    <col min="11534" max="11534" width="9.375" style="214" customWidth="1"/>
    <col min="11535" max="11535" width="14.125" style="214" bestFit="1" customWidth="1"/>
    <col min="11536" max="11536" width="9" style="214" bestFit="1" customWidth="1"/>
    <col min="11537" max="11776" width="9" style="214"/>
    <col min="11777" max="11777" width="2.625" style="214" customWidth="1"/>
    <col min="11778" max="11778" width="1.25" style="214" customWidth="1"/>
    <col min="11779" max="11779" width="14.125" style="214" customWidth="1"/>
    <col min="11780" max="11781" width="13" style="214" customWidth="1"/>
    <col min="11782" max="11782" width="10.25" style="214" customWidth="1"/>
    <col min="11783" max="11783" width="11.375" style="214" customWidth="1"/>
    <col min="11784" max="11784" width="13" style="214" customWidth="1"/>
    <col min="11785" max="11785" width="12" style="214" customWidth="1"/>
    <col min="11786" max="11786" width="12.75" style="214" customWidth="1"/>
    <col min="11787" max="11787" width="13" style="214" customWidth="1"/>
    <col min="11788" max="11788" width="13" style="214" bestFit="1" customWidth="1"/>
    <col min="11789" max="11789" width="11.125" style="214" bestFit="1" customWidth="1"/>
    <col min="11790" max="11790" width="9.375" style="214" customWidth="1"/>
    <col min="11791" max="11791" width="14.125" style="214" bestFit="1" customWidth="1"/>
    <col min="11792" max="11792" width="9" style="214" bestFit="1" customWidth="1"/>
    <col min="11793" max="12032" width="9" style="214"/>
    <col min="12033" max="12033" width="2.625" style="214" customWidth="1"/>
    <col min="12034" max="12034" width="1.25" style="214" customWidth="1"/>
    <col min="12035" max="12035" width="14.125" style="214" customWidth="1"/>
    <col min="12036" max="12037" width="13" style="214" customWidth="1"/>
    <col min="12038" max="12038" width="10.25" style="214" customWidth="1"/>
    <col min="12039" max="12039" width="11.375" style="214" customWidth="1"/>
    <col min="12040" max="12040" width="13" style="214" customWidth="1"/>
    <col min="12041" max="12041" width="12" style="214" customWidth="1"/>
    <col min="12042" max="12042" width="12.75" style="214" customWidth="1"/>
    <col min="12043" max="12043" width="13" style="214" customWidth="1"/>
    <col min="12044" max="12044" width="13" style="214" bestFit="1" customWidth="1"/>
    <col min="12045" max="12045" width="11.125" style="214" bestFit="1" customWidth="1"/>
    <col min="12046" max="12046" width="9.375" style="214" customWidth="1"/>
    <col min="12047" max="12047" width="14.125" style="214" bestFit="1" customWidth="1"/>
    <col min="12048" max="12048" width="9" style="214" bestFit="1" customWidth="1"/>
    <col min="12049" max="12288" width="9" style="214"/>
    <col min="12289" max="12289" width="2.625" style="214" customWidth="1"/>
    <col min="12290" max="12290" width="1.25" style="214" customWidth="1"/>
    <col min="12291" max="12291" width="14.125" style="214" customWidth="1"/>
    <col min="12292" max="12293" width="13" style="214" customWidth="1"/>
    <col min="12294" max="12294" width="10.25" style="214" customWidth="1"/>
    <col min="12295" max="12295" width="11.375" style="214" customWidth="1"/>
    <col min="12296" max="12296" width="13" style="214" customWidth="1"/>
    <col min="12297" max="12297" width="12" style="214" customWidth="1"/>
    <col min="12298" max="12298" width="12.75" style="214" customWidth="1"/>
    <col min="12299" max="12299" width="13" style="214" customWidth="1"/>
    <col min="12300" max="12300" width="13" style="214" bestFit="1" customWidth="1"/>
    <col min="12301" max="12301" width="11.125" style="214" bestFit="1" customWidth="1"/>
    <col min="12302" max="12302" width="9.375" style="214" customWidth="1"/>
    <col min="12303" max="12303" width="14.125" style="214" bestFit="1" customWidth="1"/>
    <col min="12304" max="12304" width="9" style="214" bestFit="1" customWidth="1"/>
    <col min="12305" max="12544" width="9" style="214"/>
    <col min="12545" max="12545" width="2.625" style="214" customWidth="1"/>
    <col min="12546" max="12546" width="1.25" style="214" customWidth="1"/>
    <col min="12547" max="12547" width="14.125" style="214" customWidth="1"/>
    <col min="12548" max="12549" width="13" style="214" customWidth="1"/>
    <col min="12550" max="12550" width="10.25" style="214" customWidth="1"/>
    <col min="12551" max="12551" width="11.375" style="214" customWidth="1"/>
    <col min="12552" max="12552" width="13" style="214" customWidth="1"/>
    <col min="12553" max="12553" width="12" style="214" customWidth="1"/>
    <col min="12554" max="12554" width="12.75" style="214" customWidth="1"/>
    <col min="12555" max="12555" width="13" style="214" customWidth="1"/>
    <col min="12556" max="12556" width="13" style="214" bestFit="1" customWidth="1"/>
    <col min="12557" max="12557" width="11.125" style="214" bestFit="1" customWidth="1"/>
    <col min="12558" max="12558" width="9.375" style="214" customWidth="1"/>
    <col min="12559" max="12559" width="14.125" style="214" bestFit="1" customWidth="1"/>
    <col min="12560" max="12560" width="9" style="214" bestFit="1" customWidth="1"/>
    <col min="12561" max="12800" width="9" style="214"/>
    <col min="12801" max="12801" width="2.625" style="214" customWidth="1"/>
    <col min="12802" max="12802" width="1.25" style="214" customWidth="1"/>
    <col min="12803" max="12803" width="14.125" style="214" customWidth="1"/>
    <col min="12804" max="12805" width="13" style="214" customWidth="1"/>
    <col min="12806" max="12806" width="10.25" style="214" customWidth="1"/>
    <col min="12807" max="12807" width="11.375" style="214" customWidth="1"/>
    <col min="12808" max="12808" width="13" style="214" customWidth="1"/>
    <col min="12809" max="12809" width="12" style="214" customWidth="1"/>
    <col min="12810" max="12810" width="12.75" style="214" customWidth="1"/>
    <col min="12811" max="12811" width="13" style="214" customWidth="1"/>
    <col min="12812" max="12812" width="13" style="214" bestFit="1" customWidth="1"/>
    <col min="12813" max="12813" width="11.125" style="214" bestFit="1" customWidth="1"/>
    <col min="12814" max="12814" width="9.375" style="214" customWidth="1"/>
    <col min="12815" max="12815" width="14.125" style="214" bestFit="1" customWidth="1"/>
    <col min="12816" max="12816" width="9" style="214" bestFit="1" customWidth="1"/>
    <col min="12817" max="13056" width="9" style="214"/>
    <col min="13057" max="13057" width="2.625" style="214" customWidth="1"/>
    <col min="13058" max="13058" width="1.25" style="214" customWidth="1"/>
    <col min="13059" max="13059" width="14.125" style="214" customWidth="1"/>
    <col min="13060" max="13061" width="13" style="214" customWidth="1"/>
    <col min="13062" max="13062" width="10.25" style="214" customWidth="1"/>
    <col min="13063" max="13063" width="11.375" style="214" customWidth="1"/>
    <col min="13064" max="13064" width="13" style="214" customWidth="1"/>
    <col min="13065" max="13065" width="12" style="214" customWidth="1"/>
    <col min="13066" max="13066" width="12.75" style="214" customWidth="1"/>
    <col min="13067" max="13067" width="13" style="214" customWidth="1"/>
    <col min="13068" max="13068" width="13" style="214" bestFit="1" customWidth="1"/>
    <col min="13069" max="13069" width="11.125" style="214" bestFit="1" customWidth="1"/>
    <col min="13070" max="13070" width="9.375" style="214" customWidth="1"/>
    <col min="13071" max="13071" width="14.125" style="214" bestFit="1" customWidth="1"/>
    <col min="13072" max="13072" width="9" style="214" bestFit="1" customWidth="1"/>
    <col min="13073" max="13312" width="9" style="214"/>
    <col min="13313" max="13313" width="2.625" style="214" customWidth="1"/>
    <col min="13314" max="13314" width="1.25" style="214" customWidth="1"/>
    <col min="13315" max="13315" width="14.125" style="214" customWidth="1"/>
    <col min="13316" max="13317" width="13" style="214" customWidth="1"/>
    <col min="13318" max="13318" width="10.25" style="214" customWidth="1"/>
    <col min="13319" max="13319" width="11.375" style="214" customWidth="1"/>
    <col min="13320" max="13320" width="13" style="214" customWidth="1"/>
    <col min="13321" max="13321" width="12" style="214" customWidth="1"/>
    <col min="13322" max="13322" width="12.75" style="214" customWidth="1"/>
    <col min="13323" max="13323" width="13" style="214" customWidth="1"/>
    <col min="13324" max="13324" width="13" style="214" bestFit="1" customWidth="1"/>
    <col min="13325" max="13325" width="11.125" style="214" bestFit="1" customWidth="1"/>
    <col min="13326" max="13326" width="9.375" style="214" customWidth="1"/>
    <col min="13327" max="13327" width="14.125" style="214" bestFit="1" customWidth="1"/>
    <col min="13328" max="13328" width="9" style="214" bestFit="1" customWidth="1"/>
    <col min="13329" max="13568" width="9" style="214"/>
    <col min="13569" max="13569" width="2.625" style="214" customWidth="1"/>
    <col min="13570" max="13570" width="1.25" style="214" customWidth="1"/>
    <col min="13571" max="13571" width="14.125" style="214" customWidth="1"/>
    <col min="13572" max="13573" width="13" style="214" customWidth="1"/>
    <col min="13574" max="13574" width="10.25" style="214" customWidth="1"/>
    <col min="13575" max="13575" width="11.375" style="214" customWidth="1"/>
    <col min="13576" max="13576" width="13" style="214" customWidth="1"/>
    <col min="13577" max="13577" width="12" style="214" customWidth="1"/>
    <col min="13578" max="13578" width="12.75" style="214" customWidth="1"/>
    <col min="13579" max="13579" width="13" style="214" customWidth="1"/>
    <col min="13580" max="13580" width="13" style="214" bestFit="1" customWidth="1"/>
    <col min="13581" max="13581" width="11.125" style="214" bestFit="1" customWidth="1"/>
    <col min="13582" max="13582" width="9.375" style="214" customWidth="1"/>
    <col min="13583" max="13583" width="14.125" style="214" bestFit="1" customWidth="1"/>
    <col min="13584" max="13584" width="9" style="214" bestFit="1" customWidth="1"/>
    <col min="13585" max="13824" width="9" style="214"/>
    <col min="13825" max="13825" width="2.625" style="214" customWidth="1"/>
    <col min="13826" max="13826" width="1.25" style="214" customWidth="1"/>
    <col min="13827" max="13827" width="14.125" style="214" customWidth="1"/>
    <col min="13828" max="13829" width="13" style="214" customWidth="1"/>
    <col min="13830" max="13830" width="10.25" style="214" customWidth="1"/>
    <col min="13831" max="13831" width="11.375" style="214" customWidth="1"/>
    <col min="13832" max="13832" width="13" style="214" customWidth="1"/>
    <col min="13833" max="13833" width="12" style="214" customWidth="1"/>
    <col min="13834" max="13834" width="12.75" style="214" customWidth="1"/>
    <col min="13835" max="13835" width="13" style="214" customWidth="1"/>
    <col min="13836" max="13836" width="13" style="214" bestFit="1" customWidth="1"/>
    <col min="13837" max="13837" width="11.125" style="214" bestFit="1" customWidth="1"/>
    <col min="13838" max="13838" width="9.375" style="214" customWidth="1"/>
    <col min="13839" max="13839" width="14.125" style="214" bestFit="1" customWidth="1"/>
    <col min="13840" max="13840" width="9" style="214" bestFit="1" customWidth="1"/>
    <col min="13841" max="14080" width="9" style="214"/>
    <col min="14081" max="14081" width="2.625" style="214" customWidth="1"/>
    <col min="14082" max="14082" width="1.25" style="214" customWidth="1"/>
    <col min="14083" max="14083" width="14.125" style="214" customWidth="1"/>
    <col min="14084" max="14085" width="13" style="214" customWidth="1"/>
    <col min="14086" max="14086" width="10.25" style="214" customWidth="1"/>
    <col min="14087" max="14087" width="11.375" style="214" customWidth="1"/>
    <col min="14088" max="14088" width="13" style="214" customWidth="1"/>
    <col min="14089" max="14089" width="12" style="214" customWidth="1"/>
    <col min="14090" max="14090" width="12.75" style="214" customWidth="1"/>
    <col min="14091" max="14091" width="13" style="214" customWidth="1"/>
    <col min="14092" max="14092" width="13" style="214" bestFit="1" customWidth="1"/>
    <col min="14093" max="14093" width="11.125" style="214" bestFit="1" customWidth="1"/>
    <col min="14094" max="14094" width="9.375" style="214" customWidth="1"/>
    <col min="14095" max="14095" width="14.125" style="214" bestFit="1" customWidth="1"/>
    <col min="14096" max="14096" width="9" style="214" bestFit="1" customWidth="1"/>
    <col min="14097" max="14336" width="9" style="214"/>
    <col min="14337" max="14337" width="2.625" style="214" customWidth="1"/>
    <col min="14338" max="14338" width="1.25" style="214" customWidth="1"/>
    <col min="14339" max="14339" width="14.125" style="214" customWidth="1"/>
    <col min="14340" max="14341" width="13" style="214" customWidth="1"/>
    <col min="14342" max="14342" width="10.25" style="214" customWidth="1"/>
    <col min="14343" max="14343" width="11.375" style="214" customWidth="1"/>
    <col min="14344" max="14344" width="13" style="214" customWidth="1"/>
    <col min="14345" max="14345" width="12" style="214" customWidth="1"/>
    <col min="14346" max="14346" width="12.75" style="214" customWidth="1"/>
    <col min="14347" max="14347" width="13" style="214" customWidth="1"/>
    <col min="14348" max="14348" width="13" style="214" bestFit="1" customWidth="1"/>
    <col min="14349" max="14349" width="11.125" style="214" bestFit="1" customWidth="1"/>
    <col min="14350" max="14350" width="9.375" style="214" customWidth="1"/>
    <col min="14351" max="14351" width="14.125" style="214" bestFit="1" customWidth="1"/>
    <col min="14352" max="14352" width="9" style="214" bestFit="1" customWidth="1"/>
    <col min="14353" max="14592" width="9" style="214"/>
    <col min="14593" max="14593" width="2.625" style="214" customWidth="1"/>
    <col min="14594" max="14594" width="1.25" style="214" customWidth="1"/>
    <col min="14595" max="14595" width="14.125" style="214" customWidth="1"/>
    <col min="14596" max="14597" width="13" style="214" customWidth="1"/>
    <col min="14598" max="14598" width="10.25" style="214" customWidth="1"/>
    <col min="14599" max="14599" width="11.375" style="214" customWidth="1"/>
    <col min="14600" max="14600" width="13" style="214" customWidth="1"/>
    <col min="14601" max="14601" width="12" style="214" customWidth="1"/>
    <col min="14602" max="14602" width="12.75" style="214" customWidth="1"/>
    <col min="14603" max="14603" width="13" style="214" customWidth="1"/>
    <col min="14604" max="14604" width="13" style="214" bestFit="1" customWidth="1"/>
    <col min="14605" max="14605" width="11.125" style="214" bestFit="1" customWidth="1"/>
    <col min="14606" max="14606" width="9.375" style="214" customWidth="1"/>
    <col min="14607" max="14607" width="14.125" style="214" bestFit="1" customWidth="1"/>
    <col min="14608" max="14608" width="9" style="214" bestFit="1" customWidth="1"/>
    <col min="14609" max="14848" width="9" style="214"/>
    <col min="14849" max="14849" width="2.625" style="214" customWidth="1"/>
    <col min="14850" max="14850" width="1.25" style="214" customWidth="1"/>
    <col min="14851" max="14851" width="14.125" style="214" customWidth="1"/>
    <col min="14852" max="14853" width="13" style="214" customWidth="1"/>
    <col min="14854" max="14854" width="10.25" style="214" customWidth="1"/>
    <col min="14855" max="14855" width="11.375" style="214" customWidth="1"/>
    <col min="14856" max="14856" width="13" style="214" customWidth="1"/>
    <col min="14857" max="14857" width="12" style="214" customWidth="1"/>
    <col min="14858" max="14858" width="12.75" style="214" customWidth="1"/>
    <col min="14859" max="14859" width="13" style="214" customWidth="1"/>
    <col min="14860" max="14860" width="13" style="214" bestFit="1" customWidth="1"/>
    <col min="14861" max="14861" width="11.125" style="214" bestFit="1" customWidth="1"/>
    <col min="14862" max="14862" width="9.375" style="214" customWidth="1"/>
    <col min="14863" max="14863" width="14.125" style="214" bestFit="1" customWidth="1"/>
    <col min="14864" max="14864" width="9" style="214" bestFit="1" customWidth="1"/>
    <col min="14865" max="15104" width="9" style="214"/>
    <col min="15105" max="15105" width="2.625" style="214" customWidth="1"/>
    <col min="15106" max="15106" width="1.25" style="214" customWidth="1"/>
    <col min="15107" max="15107" width="14.125" style="214" customWidth="1"/>
    <col min="15108" max="15109" width="13" style="214" customWidth="1"/>
    <col min="15110" max="15110" width="10.25" style="214" customWidth="1"/>
    <col min="15111" max="15111" width="11.375" style="214" customWidth="1"/>
    <col min="15112" max="15112" width="13" style="214" customWidth="1"/>
    <col min="15113" max="15113" width="12" style="214" customWidth="1"/>
    <col min="15114" max="15114" width="12.75" style="214" customWidth="1"/>
    <col min="15115" max="15115" width="13" style="214" customWidth="1"/>
    <col min="15116" max="15116" width="13" style="214" bestFit="1" customWidth="1"/>
    <col min="15117" max="15117" width="11.125" style="214" bestFit="1" customWidth="1"/>
    <col min="15118" max="15118" width="9.375" style="214" customWidth="1"/>
    <col min="15119" max="15119" width="14.125" style="214" bestFit="1" customWidth="1"/>
    <col min="15120" max="15120" width="9" style="214" bestFit="1" customWidth="1"/>
    <col min="15121" max="15360" width="9" style="214"/>
    <col min="15361" max="15361" width="2.625" style="214" customWidth="1"/>
    <col min="15362" max="15362" width="1.25" style="214" customWidth="1"/>
    <col min="15363" max="15363" width="14.125" style="214" customWidth="1"/>
    <col min="15364" max="15365" width="13" style="214" customWidth="1"/>
    <col min="15366" max="15366" width="10.25" style="214" customWidth="1"/>
    <col min="15367" max="15367" width="11.375" style="214" customWidth="1"/>
    <col min="15368" max="15368" width="13" style="214" customWidth="1"/>
    <col min="15369" max="15369" width="12" style="214" customWidth="1"/>
    <col min="15370" max="15370" width="12.75" style="214" customWidth="1"/>
    <col min="15371" max="15371" width="13" style="214" customWidth="1"/>
    <col min="15372" max="15372" width="13" style="214" bestFit="1" customWidth="1"/>
    <col min="15373" max="15373" width="11.125" style="214" bestFit="1" customWidth="1"/>
    <col min="15374" max="15374" width="9.375" style="214" customWidth="1"/>
    <col min="15375" max="15375" width="14.125" style="214" bestFit="1" customWidth="1"/>
    <col min="15376" max="15376" width="9" style="214" bestFit="1" customWidth="1"/>
    <col min="15377" max="15616" width="9" style="214"/>
    <col min="15617" max="15617" width="2.625" style="214" customWidth="1"/>
    <col min="15618" max="15618" width="1.25" style="214" customWidth="1"/>
    <col min="15619" max="15619" width="14.125" style="214" customWidth="1"/>
    <col min="15620" max="15621" width="13" style="214" customWidth="1"/>
    <col min="15622" max="15622" width="10.25" style="214" customWidth="1"/>
    <col min="15623" max="15623" width="11.375" style="214" customWidth="1"/>
    <col min="15624" max="15624" width="13" style="214" customWidth="1"/>
    <col min="15625" max="15625" width="12" style="214" customWidth="1"/>
    <col min="15626" max="15626" width="12.75" style="214" customWidth="1"/>
    <col min="15627" max="15627" width="13" style="214" customWidth="1"/>
    <col min="15628" max="15628" width="13" style="214" bestFit="1" customWidth="1"/>
    <col min="15629" max="15629" width="11.125" style="214" bestFit="1" customWidth="1"/>
    <col min="15630" max="15630" width="9.375" style="214" customWidth="1"/>
    <col min="15631" max="15631" width="14.125" style="214" bestFit="1" customWidth="1"/>
    <col min="15632" max="15632" width="9" style="214" bestFit="1" customWidth="1"/>
    <col min="15633" max="15872" width="9" style="214"/>
    <col min="15873" max="15873" width="2.625" style="214" customWidth="1"/>
    <col min="15874" max="15874" width="1.25" style="214" customWidth="1"/>
    <col min="15875" max="15875" width="14.125" style="214" customWidth="1"/>
    <col min="15876" max="15877" width="13" style="214" customWidth="1"/>
    <col min="15878" max="15878" width="10.25" style="214" customWidth="1"/>
    <col min="15879" max="15879" width="11.375" style="214" customWidth="1"/>
    <col min="15880" max="15880" width="13" style="214" customWidth="1"/>
    <col min="15881" max="15881" width="12" style="214" customWidth="1"/>
    <col min="15882" max="15882" width="12.75" style="214" customWidth="1"/>
    <col min="15883" max="15883" width="13" style="214" customWidth="1"/>
    <col min="15884" max="15884" width="13" style="214" bestFit="1" customWidth="1"/>
    <col min="15885" max="15885" width="11.125" style="214" bestFit="1" customWidth="1"/>
    <col min="15886" max="15886" width="9.375" style="214" customWidth="1"/>
    <col min="15887" max="15887" width="14.125" style="214" bestFit="1" customWidth="1"/>
    <col min="15888" max="15888" width="9" style="214" bestFit="1" customWidth="1"/>
    <col min="15889" max="16128" width="9" style="214"/>
    <col min="16129" max="16129" width="2.625" style="214" customWidth="1"/>
    <col min="16130" max="16130" width="1.25" style="214" customWidth="1"/>
    <col min="16131" max="16131" width="14.125" style="214" customWidth="1"/>
    <col min="16132" max="16133" width="13" style="214" customWidth="1"/>
    <col min="16134" max="16134" width="10.25" style="214" customWidth="1"/>
    <col min="16135" max="16135" width="11.375" style="214" customWidth="1"/>
    <col min="16136" max="16136" width="13" style="214" customWidth="1"/>
    <col min="16137" max="16137" width="12" style="214" customWidth="1"/>
    <col min="16138" max="16138" width="12.75" style="214" customWidth="1"/>
    <col min="16139" max="16139" width="13" style="214" customWidth="1"/>
    <col min="16140" max="16140" width="13" style="214" bestFit="1" customWidth="1"/>
    <col min="16141" max="16141" width="11.125" style="214" bestFit="1" customWidth="1"/>
    <col min="16142" max="16142" width="9.375" style="214" customWidth="1"/>
    <col min="16143" max="16143" width="14.125" style="214" bestFit="1" customWidth="1"/>
    <col min="16144" max="16144" width="9" style="214" bestFit="1" customWidth="1"/>
    <col min="16145" max="16384" width="9" style="214"/>
  </cols>
  <sheetData>
    <row r="1" spans="1:15" ht="24.75" customHeight="1">
      <c r="A1" s="298" t="str">
        <f>+LEFT('3条税込み(共通按分後)'!A1,2)&amp;"年度経費（雨水・汚水）区分調 (決算・税抜き)"</f>
        <v>3年年度経費（雨水・汚水）区分調 (決算・税抜き)</v>
      </c>
    </row>
    <row r="2" spans="1:15" ht="24.75" customHeight="1" thickBot="1">
      <c r="A2" s="214" t="s">
        <v>293</v>
      </c>
      <c r="K2" s="259" t="s">
        <v>292</v>
      </c>
    </row>
    <row r="3" spans="1:15" ht="24.75" customHeight="1">
      <c r="A3" s="233" t="s">
        <v>291</v>
      </c>
      <c r="B3" s="232"/>
      <c r="C3" s="232"/>
      <c r="D3" s="297" t="s">
        <v>290</v>
      </c>
      <c r="E3" s="296" t="s">
        <v>289</v>
      </c>
      <c r="F3" s="294"/>
      <c r="G3" s="294"/>
      <c r="H3" s="293"/>
      <c r="I3" s="295" t="s">
        <v>288</v>
      </c>
      <c r="J3" s="294"/>
      <c r="K3" s="293"/>
    </row>
    <row r="4" spans="1:15" s="273" customFormat="1" ht="24.75" customHeight="1">
      <c r="A4" s="292"/>
      <c r="B4" s="291"/>
      <c r="C4" s="291"/>
      <c r="D4" s="290"/>
      <c r="E4" s="289" t="s">
        <v>287</v>
      </c>
      <c r="F4" s="288"/>
      <c r="G4" s="287" t="s">
        <v>286</v>
      </c>
      <c r="H4" s="284" t="s">
        <v>285</v>
      </c>
      <c r="I4" s="286" t="s">
        <v>287</v>
      </c>
      <c r="J4" s="285" t="s">
        <v>286</v>
      </c>
      <c r="K4" s="284" t="s">
        <v>285</v>
      </c>
    </row>
    <row r="5" spans="1:15" s="275" customFormat="1" ht="24.75" customHeight="1">
      <c r="A5" s="283"/>
      <c r="B5" s="282"/>
      <c r="C5" s="282"/>
      <c r="D5" s="281"/>
      <c r="E5" s="280" t="s">
        <v>282</v>
      </c>
      <c r="F5" s="277" t="s">
        <v>284</v>
      </c>
      <c r="G5" s="279" t="s">
        <v>283</v>
      </c>
      <c r="H5" s="276"/>
      <c r="I5" s="278" t="s">
        <v>282</v>
      </c>
      <c r="J5" s="277" t="s">
        <v>282</v>
      </c>
      <c r="K5" s="276"/>
      <c r="M5" s="314" t="s">
        <v>295</v>
      </c>
    </row>
    <row r="6" spans="1:15" ht="24.75" customHeight="1">
      <c r="A6" s="265"/>
      <c r="B6" s="255" t="s">
        <v>244</v>
      </c>
      <c r="C6" s="258"/>
      <c r="D6" s="246">
        <f>SUM(D7:D20)</f>
        <v>10791324537</v>
      </c>
      <c r="E6" s="245">
        <f>SUM(E7:E20)</f>
        <v>2202011928</v>
      </c>
      <c r="F6" s="311">
        <f>SUM(F7:F20)</f>
        <v>200060435</v>
      </c>
      <c r="G6" s="242">
        <f>SUM(G7:G20)</f>
        <v>352481640</v>
      </c>
      <c r="H6" s="241">
        <f t="shared" ref="H6:H24" si="0">SUM(E6:G6)</f>
        <v>2754554003</v>
      </c>
      <c r="I6" s="243">
        <f>SUM(I7:I20)</f>
        <v>86618048</v>
      </c>
      <c r="J6" s="242">
        <f>SUM(J7:J20)</f>
        <v>7950152486</v>
      </c>
      <c r="K6" s="241">
        <f t="shared" ref="K6:K24" si="1">SUM(I6:J6)</f>
        <v>8036770534</v>
      </c>
      <c r="M6" s="214">
        <f>SUM(M7:M20)</f>
        <v>820944511</v>
      </c>
      <c r="N6" s="214">
        <f t="shared" ref="N6:N24" si="2">D6-H6-K6</f>
        <v>0</v>
      </c>
    </row>
    <row r="7" spans="1:15" ht="24.75" customHeight="1">
      <c r="A7" s="252"/>
      <c r="B7" s="255"/>
      <c r="C7" s="255" t="s">
        <v>77</v>
      </c>
      <c r="D7" s="246">
        <f>+'雨汚水(共通按分後)'!O7</f>
        <v>564664608</v>
      </c>
      <c r="E7" s="245">
        <f>+'雨汚水(共通按分後)'!P7</f>
        <v>212477244</v>
      </c>
      <c r="F7" s="311">
        <f>+'雨汚水(共通按分後)'!Q7</f>
        <v>48359111</v>
      </c>
      <c r="G7" s="242">
        <f>+'雨汚水(共通按分後)'!R7</f>
        <v>8428779</v>
      </c>
      <c r="H7" s="241">
        <f t="shared" si="0"/>
        <v>269265134</v>
      </c>
      <c r="I7" s="243">
        <f>+'雨汚水(共通按分後)'!T7</f>
        <v>0</v>
      </c>
      <c r="J7" s="242">
        <f>+'雨汚水(共通按分後)'!U7</f>
        <v>295399474</v>
      </c>
      <c r="K7" s="241">
        <f t="shared" si="1"/>
        <v>295399474</v>
      </c>
      <c r="M7" s="214">
        <f>'3条税込み(共通按分後)'!D7-'3条税抜き(共通按分後)'!D7</f>
        <v>47155349</v>
      </c>
      <c r="N7" s="214">
        <f t="shared" si="2"/>
        <v>0</v>
      </c>
    </row>
    <row r="8" spans="1:15" ht="24.75" customHeight="1">
      <c r="A8" s="252"/>
      <c r="B8" s="256"/>
      <c r="C8" s="255" t="s">
        <v>74</v>
      </c>
      <c r="D8" s="246">
        <f>+'雨汚水(共通按分後)'!O8</f>
        <v>51313295</v>
      </c>
      <c r="E8" s="245">
        <f>+'雨汚水(共通按分後)'!P8</f>
        <v>0</v>
      </c>
      <c r="F8" s="311">
        <f>+'雨汚水(共通按分後)'!Q8</f>
        <v>0</v>
      </c>
      <c r="G8" s="242">
        <f>+'雨汚水(共通按分後)'!R8</f>
        <v>0</v>
      </c>
      <c r="H8" s="241">
        <f t="shared" si="0"/>
        <v>0</v>
      </c>
      <c r="I8" s="243">
        <f>+'雨汚水(共通按分後)'!T8</f>
        <v>51313295</v>
      </c>
      <c r="J8" s="242">
        <f>+'雨汚水(共通按分後)'!U8</f>
        <v>0</v>
      </c>
      <c r="K8" s="241">
        <f t="shared" si="1"/>
        <v>51313295</v>
      </c>
      <c r="M8" s="214">
        <f>'3条税込み(共通按分後)'!D8-'3条税抜き(共通按分後)'!D8</f>
        <v>1130574</v>
      </c>
      <c r="N8" s="214">
        <f t="shared" si="2"/>
        <v>0</v>
      </c>
    </row>
    <row r="9" spans="1:15" ht="24.75" customHeight="1">
      <c r="A9" s="252"/>
      <c r="B9" s="256"/>
      <c r="C9" s="255" t="s">
        <v>71</v>
      </c>
      <c r="D9" s="246">
        <f>+'雨汚水(共通按分後)'!O9</f>
        <v>2251657967</v>
      </c>
      <c r="E9" s="245">
        <f>+'雨汚水(共通按分後)'!P9</f>
        <v>1459731624</v>
      </c>
      <c r="F9" s="311">
        <f>+'雨汚水(共通按分後)'!Q9</f>
        <v>45938202</v>
      </c>
      <c r="G9" s="242">
        <f>+'雨汚水(共通按分後)'!R9</f>
        <v>0</v>
      </c>
      <c r="H9" s="241">
        <f t="shared" si="0"/>
        <v>1505669826</v>
      </c>
      <c r="I9" s="243">
        <f>+'雨汚水(共通按分後)'!T9</f>
        <v>0</v>
      </c>
      <c r="J9" s="242">
        <f>+'雨汚水(共通按分後)'!U9</f>
        <v>745988141</v>
      </c>
      <c r="K9" s="241">
        <f t="shared" si="1"/>
        <v>745988141</v>
      </c>
      <c r="M9" s="214">
        <f>'3条税込み(共通按分後)'!D9-'3条税抜き(共通按分後)'!D9</f>
        <v>104382258</v>
      </c>
      <c r="N9" s="214">
        <f t="shared" si="2"/>
        <v>0</v>
      </c>
    </row>
    <row r="10" spans="1:15" ht="24.75" customHeight="1">
      <c r="A10" s="252"/>
      <c r="B10" s="256"/>
      <c r="C10" s="255" t="s">
        <v>69</v>
      </c>
      <c r="D10" s="246">
        <f>+'雨汚水(共通按分後)'!O10</f>
        <v>6037810078</v>
      </c>
      <c r="E10" s="245">
        <f>+'雨汚水(共通按分後)'!P10</f>
        <v>531471491</v>
      </c>
      <c r="F10" s="311">
        <f>+'雨汚水(共通按分後)'!Q10</f>
        <v>105914705</v>
      </c>
      <c r="G10" s="242">
        <f>+'雨汚水(共通按分後)'!R10</f>
        <v>317116718</v>
      </c>
      <c r="H10" s="241">
        <f t="shared" si="0"/>
        <v>954502914</v>
      </c>
      <c r="I10" s="274">
        <f>+'雨汚水(共通按分後)'!T10</f>
        <v>1375005</v>
      </c>
      <c r="J10" s="242">
        <f>+'雨汚水(共通按分後)'!U10</f>
        <v>5081932159</v>
      </c>
      <c r="K10" s="241">
        <f t="shared" si="1"/>
        <v>5083307164</v>
      </c>
      <c r="M10" s="214">
        <f>'3条税込み(共通按分後)'!D10-'3条税抜き(共通按分後)'!D10</f>
        <v>519893786</v>
      </c>
      <c r="N10" s="214">
        <f t="shared" si="2"/>
        <v>0</v>
      </c>
    </row>
    <row r="11" spans="1:15" ht="24.75" customHeight="1">
      <c r="A11" s="252"/>
      <c r="B11" s="256"/>
      <c r="C11" s="255" t="s">
        <v>67</v>
      </c>
      <c r="D11" s="246">
        <f>+'雨汚水(共通按分後)'!O11</f>
        <v>0</v>
      </c>
      <c r="E11" s="245">
        <f>+'雨汚水(共通按分後)'!P11</f>
        <v>0</v>
      </c>
      <c r="F11" s="242">
        <f>+'雨汚水(共通按分後)'!Q11</f>
        <v>0</v>
      </c>
      <c r="G11" s="242">
        <f>+'雨汚水(共通按分後)'!R11</f>
        <v>0</v>
      </c>
      <c r="H11" s="241">
        <f t="shared" si="0"/>
        <v>0</v>
      </c>
      <c r="I11" s="243">
        <f>+'雨汚水(共通按分後)'!T11</f>
        <v>0</v>
      </c>
      <c r="J11" s="242">
        <f>+'雨汚水(共通按分後)'!U11</f>
        <v>0</v>
      </c>
      <c r="K11" s="241">
        <f t="shared" si="1"/>
        <v>0</v>
      </c>
      <c r="L11" s="273" t="s">
        <v>281</v>
      </c>
      <c r="M11" s="214">
        <f>'3条税込み(共通按分後)'!D11-'3条税抜き(共通按分後)'!D11</f>
        <v>0</v>
      </c>
      <c r="N11" s="214">
        <f t="shared" si="2"/>
        <v>0</v>
      </c>
    </row>
    <row r="12" spans="1:15" ht="24.75" customHeight="1">
      <c r="A12" s="252"/>
      <c r="B12" s="256"/>
      <c r="C12" s="255" t="s">
        <v>65</v>
      </c>
      <c r="D12" s="246">
        <f>+'雨汚水(共通按分後)'!O12</f>
        <v>87134052</v>
      </c>
      <c r="E12" s="245">
        <f>+'雨汚水(共通按分後)'!P12</f>
        <v>0</v>
      </c>
      <c r="F12" s="242">
        <f>+'雨汚水(共通按分後)'!Q12</f>
        <v>0</v>
      </c>
      <c r="G12" s="242">
        <f>+'雨汚水(共通按分後)'!R12</f>
        <v>19274556</v>
      </c>
      <c r="H12" s="241">
        <f t="shared" si="0"/>
        <v>19274556</v>
      </c>
      <c r="I12" s="243">
        <f>+'雨汚水(共通按分後)'!T12</f>
        <v>33929748</v>
      </c>
      <c r="J12" s="242">
        <f>+'雨汚水(共通按分後)'!U12</f>
        <v>33929748</v>
      </c>
      <c r="K12" s="241">
        <f t="shared" si="1"/>
        <v>67859496</v>
      </c>
      <c r="L12" s="214">
        <f>G12+I12</f>
        <v>53204304</v>
      </c>
      <c r="M12" s="214">
        <f>'3条税込み(共通按分後)'!D12-'3条税抜き(共通按分後)'!D12</f>
        <v>1715497</v>
      </c>
      <c r="N12" s="214">
        <f t="shared" si="2"/>
        <v>0</v>
      </c>
    </row>
    <row r="13" spans="1:15" ht="24.75" customHeight="1">
      <c r="A13" s="252"/>
      <c r="B13" s="256"/>
      <c r="C13" s="270" t="s">
        <v>62</v>
      </c>
      <c r="D13" s="246">
        <f>+'雨汚水(共通按分後)'!O13</f>
        <v>10396270</v>
      </c>
      <c r="E13" s="245">
        <f>+'雨汚水(共通按分後)'!P13</f>
        <v>0</v>
      </c>
      <c r="F13" s="242">
        <f>+'雨汚水(共通按分後)'!Q13</f>
        <v>0</v>
      </c>
      <c r="G13" s="242">
        <f>+'雨汚水(共通按分後)'!R13</f>
        <v>10396270</v>
      </c>
      <c r="H13" s="241">
        <f t="shared" si="0"/>
        <v>10396270</v>
      </c>
      <c r="I13" s="243">
        <f>+'雨汚水(共通按分後)'!T13</f>
        <v>0</v>
      </c>
      <c r="J13" s="242">
        <f>+'雨汚水(共通按分後)'!U13</f>
        <v>0</v>
      </c>
      <c r="K13" s="241">
        <f t="shared" si="1"/>
        <v>0</v>
      </c>
      <c r="M13" s="214">
        <f>'3条税込み(共通按分後)'!D13-'3条税抜き(共通按分後)'!D13</f>
        <v>87589</v>
      </c>
      <c r="N13" s="214">
        <f t="shared" si="2"/>
        <v>0</v>
      </c>
    </row>
    <row r="14" spans="1:15" ht="24.75" customHeight="1">
      <c r="A14" s="252"/>
      <c r="B14" s="256"/>
      <c r="C14" s="255" t="s">
        <v>60</v>
      </c>
      <c r="D14" s="246">
        <f>+'雨汚水(共通按分後)'!O14</f>
        <v>929691714</v>
      </c>
      <c r="E14" s="245">
        <f>+'雨汚水(共通按分後)'!P14</f>
        <v>0</v>
      </c>
      <c r="F14" s="242">
        <f>+'雨汚水(共通按分後)'!Q14</f>
        <v>0</v>
      </c>
      <c r="G14" s="242">
        <f>+'雨汚水(共通按分後)'!R14</f>
        <v>4513095</v>
      </c>
      <c r="H14" s="241">
        <f t="shared" si="0"/>
        <v>4513095</v>
      </c>
      <c r="I14" s="243">
        <f>+'雨汚水(共通按分後)'!T14</f>
        <v>0</v>
      </c>
      <c r="J14" s="242">
        <f>+'雨汚水(共通按分後)'!U14</f>
        <v>925178619</v>
      </c>
      <c r="K14" s="241">
        <f t="shared" si="1"/>
        <v>925178619</v>
      </c>
      <c r="M14" s="214">
        <f>'3条税込み(共通按分後)'!D14-'3条税抜き(共通按分後)'!D14</f>
        <v>90253429</v>
      </c>
      <c r="N14" s="214">
        <f t="shared" si="2"/>
        <v>0</v>
      </c>
      <c r="O14" s="272" t="s">
        <v>279</v>
      </c>
    </row>
    <row r="15" spans="1:15" ht="24.75" customHeight="1">
      <c r="A15" s="252"/>
      <c r="B15" s="256"/>
      <c r="C15" s="255" t="s">
        <v>58</v>
      </c>
      <c r="D15" s="246">
        <f>+'雨汚水(共通按分後)'!O15</f>
        <v>858656553</v>
      </c>
      <c r="E15" s="245">
        <f>+'雨汚水(共通按分後)'!P15</f>
        <v>-1668431</v>
      </c>
      <c r="F15" s="242">
        <f>+'雨汚水(共通按分後)'!Q15</f>
        <v>-151583</v>
      </c>
      <c r="G15" s="242">
        <f>+'雨汚水(共通按分後)'!R15</f>
        <v>-7247778</v>
      </c>
      <c r="H15" s="241">
        <f t="shared" si="0"/>
        <v>-9067792</v>
      </c>
      <c r="I15" s="243">
        <f>+'雨汚水(共通按分後)'!T15</f>
        <v>0</v>
      </c>
      <c r="J15" s="242">
        <f>+'雨汚水(共通按分後)'!U15</f>
        <v>867724345</v>
      </c>
      <c r="K15" s="241">
        <f t="shared" si="1"/>
        <v>867724345</v>
      </c>
      <c r="M15" s="214">
        <f>'3条税込み(共通按分後)'!D15-'3条税抜き(共通按分後)'!D15</f>
        <v>56326029</v>
      </c>
      <c r="N15" s="214">
        <f t="shared" si="2"/>
        <v>0</v>
      </c>
      <c r="O15" s="271">
        <f>+[1]総係!T37-[1]総係!T36</f>
        <v>464609964</v>
      </c>
    </row>
    <row r="16" spans="1:15" ht="24.75" customHeight="1">
      <c r="A16" s="252"/>
      <c r="B16" s="256"/>
      <c r="C16" s="270" t="s">
        <v>278</v>
      </c>
      <c r="D16" s="246">
        <f>+'雨汚水(共通按分後)'!O16</f>
        <v>0</v>
      </c>
      <c r="E16" s="245">
        <f>+'雨汚水(共通按分後)'!P16</f>
        <v>0</v>
      </c>
      <c r="F16" s="242">
        <f>+'雨汚水(共通按分後)'!Q16</f>
        <v>0</v>
      </c>
      <c r="G16" s="242">
        <f>+'雨汚水(共通按分後)'!R16</f>
        <v>0</v>
      </c>
      <c r="H16" s="241">
        <f t="shared" si="0"/>
        <v>0</v>
      </c>
      <c r="I16" s="243">
        <f>+'雨汚水(共通按分後)'!T16</f>
        <v>0</v>
      </c>
      <c r="J16" s="242">
        <f>+'雨汚水(共通按分後)'!U16</f>
        <v>0</v>
      </c>
      <c r="K16" s="241">
        <f t="shared" si="1"/>
        <v>0</v>
      </c>
      <c r="M16" s="214">
        <f>'3条税込み(共通按分後)'!D16-'3条税抜き(共通按分後)'!D16</f>
        <v>0</v>
      </c>
      <c r="N16" s="214">
        <f t="shared" si="2"/>
        <v>0</v>
      </c>
    </row>
    <row r="17" spans="1:14" ht="24.75" customHeight="1">
      <c r="A17" s="252"/>
      <c r="B17" s="256"/>
      <c r="C17" s="255" t="s">
        <v>277</v>
      </c>
      <c r="D17" s="246">
        <f>+'雨汚水(共通按分後)'!O17</f>
        <v>0</v>
      </c>
      <c r="E17" s="245">
        <f>+'雨汚水(共通按分後)'!P17</f>
        <v>0</v>
      </c>
      <c r="F17" s="242">
        <f>+'雨汚水(共通按分後)'!Q17</f>
        <v>0</v>
      </c>
      <c r="G17" s="242">
        <f>+'雨汚水(共通按分後)'!R17</f>
        <v>0</v>
      </c>
      <c r="H17" s="241">
        <f t="shared" si="0"/>
        <v>0</v>
      </c>
      <c r="I17" s="243">
        <f>+'雨汚水(共通按分後)'!T17</f>
        <v>0</v>
      </c>
      <c r="J17" s="242">
        <f>+'雨汚水(共通按分後)'!U17</f>
        <v>0</v>
      </c>
      <c r="K17" s="241">
        <f t="shared" si="1"/>
        <v>0</v>
      </c>
      <c r="M17" s="214">
        <f>'3条税込み(共通按分後)'!D17-'3条税抜き(共通按分後)'!D17</f>
        <v>0</v>
      </c>
      <c r="N17" s="214">
        <f t="shared" si="2"/>
        <v>0</v>
      </c>
    </row>
    <row r="18" spans="1:14" ht="24.75" customHeight="1">
      <c r="A18" s="252"/>
      <c r="B18" s="256"/>
      <c r="C18" s="255" t="s">
        <v>276</v>
      </c>
      <c r="D18" s="246">
        <f>+'雨汚水(共通按分後)'!O18</f>
        <v>0</v>
      </c>
      <c r="E18" s="245">
        <f>+'雨汚水(共通按分後)'!P18</f>
        <v>0</v>
      </c>
      <c r="F18" s="242">
        <f>+'雨汚水(共通按分後)'!Q18</f>
        <v>0</v>
      </c>
      <c r="G18" s="242">
        <f>+'雨汚水(共通按分後)'!R18</f>
        <v>0</v>
      </c>
      <c r="H18" s="241">
        <f t="shared" si="0"/>
        <v>0</v>
      </c>
      <c r="I18" s="243">
        <f>+'雨汚水(共通按分後)'!T18</f>
        <v>0</v>
      </c>
      <c r="J18" s="242">
        <f>+'雨汚水(共通按分後)'!U18</f>
        <v>0</v>
      </c>
      <c r="K18" s="241">
        <f t="shared" si="1"/>
        <v>0</v>
      </c>
      <c r="M18" s="214">
        <f>'3条税込み(共通按分後)'!D18-'3条税抜き(共通按分後)'!D18</f>
        <v>0</v>
      </c>
      <c r="N18" s="214">
        <f t="shared" si="2"/>
        <v>0</v>
      </c>
    </row>
    <row r="19" spans="1:14" ht="24.75" customHeight="1">
      <c r="A19" s="252"/>
      <c r="B19" s="256"/>
      <c r="C19" s="255" t="s">
        <v>275</v>
      </c>
      <c r="D19" s="246">
        <f>+'雨汚水(共通按分後)'!O19</f>
        <v>0</v>
      </c>
      <c r="E19" s="245">
        <f>+'雨汚水(共通按分後)'!P19</f>
        <v>0</v>
      </c>
      <c r="F19" s="242">
        <f>+'雨汚水(共通按分後)'!Q19</f>
        <v>0</v>
      </c>
      <c r="G19" s="242">
        <f>+'雨汚水(共通按分後)'!R19</f>
        <v>0</v>
      </c>
      <c r="H19" s="241">
        <f t="shared" si="0"/>
        <v>0</v>
      </c>
      <c r="I19" s="243">
        <f>+'雨汚水(共通按分後)'!T19</f>
        <v>0</v>
      </c>
      <c r="J19" s="242">
        <f>+'雨汚水(共通按分後)'!U19</f>
        <v>0</v>
      </c>
      <c r="K19" s="241">
        <f t="shared" si="1"/>
        <v>0</v>
      </c>
      <c r="M19" s="214">
        <f>'3条税込み(共通按分後)'!D19-'3条税抜き(共通按分後)'!D19</f>
        <v>0</v>
      </c>
      <c r="N19" s="214">
        <f t="shared" si="2"/>
        <v>0</v>
      </c>
    </row>
    <row r="20" spans="1:14" ht="24.75" customHeight="1">
      <c r="A20" s="252"/>
      <c r="B20" s="256"/>
      <c r="C20" s="255" t="s">
        <v>274</v>
      </c>
      <c r="D20" s="246">
        <f>+'雨汚水(共通按分後)'!O20</f>
        <v>0</v>
      </c>
      <c r="E20" s="245">
        <f>+'雨汚水(共通按分後)'!P20</f>
        <v>0</v>
      </c>
      <c r="F20" s="242">
        <f>+'雨汚水(共通按分後)'!Q20</f>
        <v>0</v>
      </c>
      <c r="G20" s="242">
        <f>+'雨汚水(共通按分後)'!R20</f>
        <v>0</v>
      </c>
      <c r="H20" s="241">
        <f t="shared" si="0"/>
        <v>0</v>
      </c>
      <c r="I20" s="243">
        <f>+'雨汚水(共通按分後)'!T20</f>
        <v>0</v>
      </c>
      <c r="J20" s="242">
        <f>+'雨汚水(共通按分後)'!U20</f>
        <v>0</v>
      </c>
      <c r="K20" s="241">
        <f t="shared" si="1"/>
        <v>0</v>
      </c>
      <c r="M20" s="214">
        <f>'3条税込み(共通按分後)'!D20-'3条税抜き(共通按分後)'!D20</f>
        <v>0</v>
      </c>
      <c r="N20" s="214">
        <f t="shared" si="2"/>
        <v>0</v>
      </c>
    </row>
    <row r="21" spans="1:14" ht="24.75" customHeight="1">
      <c r="A21" s="252"/>
      <c r="B21" s="255" t="s">
        <v>232</v>
      </c>
      <c r="C21" s="255"/>
      <c r="D21" s="246">
        <f>SUM(D22:D25)</f>
        <v>8736830</v>
      </c>
      <c r="E21" s="245">
        <f>SUM(E22:E25)</f>
        <v>0</v>
      </c>
      <c r="F21" s="242">
        <f>SUM(F22:F25)</f>
        <v>0</v>
      </c>
      <c r="G21" s="242">
        <f>SUM(G22:G25)</f>
        <v>0</v>
      </c>
      <c r="H21" s="241">
        <f t="shared" si="0"/>
        <v>0</v>
      </c>
      <c r="I21" s="243">
        <f>SUM(I22:I25)</f>
        <v>0</v>
      </c>
      <c r="J21" s="242">
        <f>SUM(J22:J25)</f>
        <v>8736830</v>
      </c>
      <c r="K21" s="241">
        <f t="shared" si="1"/>
        <v>8736830</v>
      </c>
      <c r="M21" s="214">
        <f>SUM(M22:M24)</f>
        <v>489822</v>
      </c>
      <c r="N21" s="214">
        <f t="shared" si="2"/>
        <v>0</v>
      </c>
    </row>
    <row r="22" spans="1:14" ht="24.75" customHeight="1">
      <c r="A22" s="252"/>
      <c r="B22" s="255"/>
      <c r="C22" s="255" t="s">
        <v>273</v>
      </c>
      <c r="D22" s="246">
        <f>+'雨汚水(共通按分後)'!O22</f>
        <v>2483</v>
      </c>
      <c r="E22" s="245">
        <f>+'雨汚水(共通按分後)'!P22</f>
        <v>0</v>
      </c>
      <c r="F22" s="242">
        <f>+'雨汚水(共通按分後)'!Q22</f>
        <v>0</v>
      </c>
      <c r="G22" s="242">
        <f>+'雨汚水(共通按分後)'!R22</f>
        <v>0</v>
      </c>
      <c r="H22" s="241">
        <f t="shared" si="0"/>
        <v>0</v>
      </c>
      <c r="I22" s="243">
        <f>+'雨汚水(共通按分後)'!T22</f>
        <v>0</v>
      </c>
      <c r="J22" s="242">
        <f>+'雨汚水(共通按分後)'!U22</f>
        <v>2483</v>
      </c>
      <c r="K22" s="241">
        <f t="shared" si="1"/>
        <v>2483</v>
      </c>
      <c r="M22" s="214">
        <f>'3条税込み(共通按分後)'!D22-'3条税抜き(共通按分後)'!D22</f>
        <v>0</v>
      </c>
      <c r="N22" s="214">
        <f t="shared" si="2"/>
        <v>0</v>
      </c>
    </row>
    <row r="23" spans="1:14" ht="24.75" customHeight="1">
      <c r="A23" s="252"/>
      <c r="B23" s="256"/>
      <c r="C23" s="255" t="s">
        <v>231</v>
      </c>
      <c r="D23" s="246">
        <f>+'雨汚水(共通按分後)'!O23</f>
        <v>24123</v>
      </c>
      <c r="E23" s="245">
        <f>+'雨汚水(共通按分後)'!P23</f>
        <v>0</v>
      </c>
      <c r="F23" s="242">
        <f>+'雨汚水(共通按分後)'!Q23</f>
        <v>0</v>
      </c>
      <c r="G23" s="242">
        <f>+'雨汚水(共通按分後)'!R23</f>
        <v>-8710224</v>
      </c>
      <c r="H23" s="241">
        <f t="shared" si="0"/>
        <v>-8710224</v>
      </c>
      <c r="I23" s="243">
        <f>+'雨汚水(共通按分後)'!T23</f>
        <v>0</v>
      </c>
      <c r="J23" s="242">
        <f>+'雨汚水(共通按分後)'!U23</f>
        <v>8734347</v>
      </c>
      <c r="K23" s="241">
        <f t="shared" si="1"/>
        <v>8734347</v>
      </c>
      <c r="M23" s="214">
        <f>'3条税込み(共通按分後)'!D23-'3条税抜き(共通按分後)'!D23</f>
        <v>1773</v>
      </c>
      <c r="N23" s="214">
        <f t="shared" si="2"/>
        <v>0</v>
      </c>
    </row>
    <row r="24" spans="1:14" ht="24.75" customHeight="1">
      <c r="A24" s="252"/>
      <c r="B24" s="256"/>
      <c r="C24" s="270" t="s">
        <v>272</v>
      </c>
      <c r="D24" s="246">
        <f>+'雨汚水(共通按分後)'!O24</f>
        <v>8710224</v>
      </c>
      <c r="E24" s="245">
        <f>+'雨汚水(共通按分後)'!P24</f>
        <v>0</v>
      </c>
      <c r="F24" s="242">
        <f>+'雨汚水(共通按分後)'!Q24</f>
        <v>0</v>
      </c>
      <c r="G24" s="242">
        <f>+'雨汚水(共通按分後)'!R24</f>
        <v>8710224</v>
      </c>
      <c r="H24" s="241">
        <f t="shared" si="0"/>
        <v>8710224</v>
      </c>
      <c r="I24" s="243">
        <f>+'雨汚水(共通按分後)'!T24</f>
        <v>0</v>
      </c>
      <c r="J24" s="242">
        <f>+'雨汚水(共通按分後)'!U24</f>
        <v>0</v>
      </c>
      <c r="K24" s="241">
        <f t="shared" si="1"/>
        <v>0</v>
      </c>
      <c r="M24" s="214">
        <f>'3条税込み(共通按分後)'!D24-'3条税抜き(共通按分後)'!D24</f>
        <v>488049</v>
      </c>
      <c r="N24" s="214">
        <f t="shared" si="2"/>
        <v>0</v>
      </c>
    </row>
    <row r="25" spans="1:14" ht="24.75" customHeight="1">
      <c r="A25" s="252"/>
      <c r="B25" s="256"/>
      <c r="C25" s="270" t="s">
        <v>264</v>
      </c>
      <c r="D25" s="246"/>
      <c r="E25" s="245"/>
      <c r="F25" s="242"/>
      <c r="G25" s="242"/>
      <c r="H25" s="241"/>
      <c r="I25" s="269"/>
      <c r="J25" s="242"/>
      <c r="K25" s="241"/>
    </row>
    <row r="26" spans="1:14" ht="24.75" customHeight="1">
      <c r="A26" s="252"/>
      <c r="B26" s="255" t="s">
        <v>228</v>
      </c>
      <c r="C26" s="255"/>
      <c r="D26" s="246">
        <f>SUM(D27:D28)</f>
        <v>20026854</v>
      </c>
      <c r="E26" s="245">
        <f>SUM(E27:E28)</f>
        <v>6733</v>
      </c>
      <c r="F26" s="242">
        <f>SUM(F27:F28)</f>
        <v>0</v>
      </c>
      <c r="G26" s="242">
        <f>SUM(G27:G28)</f>
        <v>0</v>
      </c>
      <c r="H26" s="241">
        <f>SUM(E26:G26)</f>
        <v>6733</v>
      </c>
      <c r="I26" s="242">
        <f>SUM(I27:I28)</f>
        <v>0</v>
      </c>
      <c r="J26" s="242">
        <f>SUM(J27:J28)</f>
        <v>20020121</v>
      </c>
      <c r="K26" s="241">
        <f>SUM(I26:J26)</f>
        <v>20020121</v>
      </c>
      <c r="M26" s="214">
        <f>SUM(M27:M28)</f>
        <v>968444</v>
      </c>
      <c r="N26" s="214">
        <f t="shared" ref="N26:N37" si="3">D26-H26-K26</f>
        <v>0</v>
      </c>
    </row>
    <row r="27" spans="1:14" ht="24.75" customHeight="1">
      <c r="A27" s="252"/>
      <c r="B27" s="255"/>
      <c r="C27" s="268" t="s">
        <v>271</v>
      </c>
      <c r="D27" s="246">
        <f>+SUM('雨汚水(共通按分後)'!O28:O29)</f>
        <v>20026854</v>
      </c>
      <c r="E27" s="245">
        <f>+SUM('雨汚水(共通按分後)'!P28:P29)</f>
        <v>6733</v>
      </c>
      <c r="F27" s="242">
        <f>+SUM('雨汚水(共通按分後)'!Q28:Q29)</f>
        <v>0</v>
      </c>
      <c r="G27" s="242">
        <f>+SUM('雨汚水(共通按分後)'!R28:R29)</f>
        <v>0</v>
      </c>
      <c r="H27" s="241">
        <f>SUM(E27:G27)</f>
        <v>6733</v>
      </c>
      <c r="I27" s="243">
        <f>+SUM('雨汚水(共通按分後)'!T28:T29)</f>
        <v>0</v>
      </c>
      <c r="J27" s="242">
        <f>+SUM('雨汚水(共通按分後)'!U28:U29)</f>
        <v>20020121</v>
      </c>
      <c r="K27" s="241">
        <f>SUM(I27:J27)</f>
        <v>20020121</v>
      </c>
      <c r="M27" s="214">
        <f>'3条税込み(共通按分後)'!D27-'3条税抜き(共通按分後)'!D27</f>
        <v>968444</v>
      </c>
      <c r="N27" s="214">
        <f t="shared" si="3"/>
        <v>0</v>
      </c>
    </row>
    <row r="28" spans="1:14" ht="24.75" customHeight="1">
      <c r="A28" s="252"/>
      <c r="B28" s="256"/>
      <c r="C28" s="255" t="s">
        <v>10</v>
      </c>
      <c r="D28" s="246">
        <f>+'雨汚水(共通按分後)'!O30</f>
        <v>0</v>
      </c>
      <c r="E28" s="245">
        <f>+'雨汚水(共通按分後)'!P30</f>
        <v>0</v>
      </c>
      <c r="F28" s="242">
        <f>+'雨汚水(共通按分後)'!Q30</f>
        <v>0</v>
      </c>
      <c r="G28" s="242">
        <f>+'雨汚水(共通按分後)'!R30</f>
        <v>0</v>
      </c>
      <c r="H28" s="241">
        <f>SUM(E28:G28)</f>
        <v>0</v>
      </c>
      <c r="I28" s="243">
        <f>+'雨汚水(共通按分後)'!T30</f>
        <v>0</v>
      </c>
      <c r="J28" s="242">
        <f>+'雨汚水(共通按分後)'!U30</f>
        <v>0</v>
      </c>
      <c r="K28" s="241">
        <f>SUM(I28:J28)</f>
        <v>0</v>
      </c>
      <c r="M28" s="214">
        <f>'3条税込み(共通按分後)'!D28-'3条税抜き(共通按分後)'!D28</f>
        <v>0</v>
      </c>
      <c r="N28" s="214">
        <f t="shared" si="3"/>
        <v>0</v>
      </c>
    </row>
    <row r="29" spans="1:14" ht="24.75" customHeight="1">
      <c r="A29" s="252"/>
      <c r="B29" s="253" t="s">
        <v>270</v>
      </c>
      <c r="C29" s="242"/>
      <c r="D29" s="246"/>
      <c r="E29" s="245"/>
      <c r="F29" s="242"/>
      <c r="G29" s="242"/>
      <c r="H29" s="241">
        <f>SUM(E29:G29)</f>
        <v>0</v>
      </c>
      <c r="I29" s="243"/>
      <c r="J29" s="242"/>
      <c r="K29" s="241">
        <f>SUM(I29:J29)</f>
        <v>0</v>
      </c>
      <c r="M29" s="214">
        <f>'3条税込み(共通按分後)'!D29-'3条税抜き(共通按分後)'!D29</f>
        <v>0</v>
      </c>
      <c r="N29" s="214">
        <f t="shared" si="3"/>
        <v>0</v>
      </c>
    </row>
    <row r="30" spans="1:14" ht="24.75" customHeight="1">
      <c r="A30" s="239"/>
      <c r="B30" s="216"/>
      <c r="C30" s="216"/>
      <c r="D30" s="246"/>
      <c r="E30" s="245"/>
      <c r="F30" s="242"/>
      <c r="G30" s="242"/>
      <c r="H30" s="241"/>
      <c r="I30" s="243"/>
      <c r="J30" s="242"/>
      <c r="K30" s="241"/>
      <c r="L30" s="259" t="s">
        <v>269</v>
      </c>
      <c r="N30" s="214">
        <f t="shared" si="3"/>
        <v>0</v>
      </c>
    </row>
    <row r="31" spans="1:14" ht="24.75" customHeight="1">
      <c r="A31" s="267"/>
      <c r="B31" s="224" t="s">
        <v>251</v>
      </c>
      <c r="C31" s="266"/>
      <c r="D31" s="238">
        <f t="shared" ref="D31:K31" si="4">D6+D21+D26+D29</f>
        <v>10820088221</v>
      </c>
      <c r="E31" s="237">
        <f t="shared" si="4"/>
        <v>2202018661</v>
      </c>
      <c r="F31" s="306">
        <f t="shared" si="4"/>
        <v>200060435</v>
      </c>
      <c r="G31" s="235">
        <f t="shared" si="4"/>
        <v>352481640</v>
      </c>
      <c r="H31" s="234">
        <f t="shared" si="4"/>
        <v>2754560736</v>
      </c>
      <c r="I31" s="236">
        <f t="shared" si="4"/>
        <v>86618048</v>
      </c>
      <c r="J31" s="235">
        <f t="shared" si="4"/>
        <v>7978909437</v>
      </c>
      <c r="K31" s="234">
        <f t="shared" si="4"/>
        <v>8065527485</v>
      </c>
      <c r="L31" s="214">
        <f>H31+I31-I8-L12-G13</f>
        <v>2726264915</v>
      </c>
      <c r="M31" s="214">
        <f>M6+M21+M26+M29</f>
        <v>822402777</v>
      </c>
      <c r="N31" s="214">
        <f t="shared" si="3"/>
        <v>0</v>
      </c>
    </row>
    <row r="32" spans="1:14" ht="24.75" customHeight="1">
      <c r="A32" s="265"/>
      <c r="B32" s="255" t="s">
        <v>244</v>
      </c>
      <c r="C32" s="264"/>
      <c r="D32" s="263">
        <f>SUM(D33:D34)</f>
        <v>27055204101</v>
      </c>
      <c r="E32" s="262">
        <f>SUM(E33:E34)</f>
        <v>12429750358</v>
      </c>
      <c r="F32" s="313">
        <f>SUM(F33:F34)</f>
        <v>134284305</v>
      </c>
      <c r="G32" s="248">
        <f>SUM(G33:G34)</f>
        <v>0</v>
      </c>
      <c r="H32" s="260">
        <f t="shared" ref="H32:H37" si="5">SUM(E32:G32)</f>
        <v>12564034663</v>
      </c>
      <c r="I32" s="261">
        <f>SUM(I33:I34)</f>
        <v>497819716</v>
      </c>
      <c r="J32" s="248">
        <f>SUM(J33:J34)</f>
        <v>13722216640</v>
      </c>
      <c r="K32" s="260">
        <f t="shared" ref="K32:K37" si="6">SUM(I32:J32)</f>
        <v>14220036356</v>
      </c>
      <c r="L32" s="259" t="s">
        <v>294</v>
      </c>
      <c r="M32" s="214">
        <f>SUM(M33:M34)</f>
        <v>0</v>
      </c>
      <c r="N32" s="312">
        <f t="shared" si="3"/>
        <v>271133082</v>
      </c>
    </row>
    <row r="33" spans="1:14" ht="24.75" customHeight="1">
      <c r="A33" s="252"/>
      <c r="B33" s="255"/>
      <c r="C33" s="255" t="s">
        <v>23</v>
      </c>
      <c r="D33" s="246">
        <f>+'雨汚水(共通按分後)'!O34</f>
        <v>26551442230</v>
      </c>
      <c r="E33" s="245">
        <f>+'雨汚水(共通按分後)'!P34</f>
        <v>12077971252</v>
      </c>
      <c r="F33" s="311">
        <f>+'雨汚水(共通按分後)'!Q34</f>
        <v>130483874</v>
      </c>
      <c r="G33" s="311">
        <f>+'雨汚水(共通按分後)'!R34</f>
        <v>0</v>
      </c>
      <c r="H33" s="241">
        <f t="shared" si="5"/>
        <v>12208455126</v>
      </c>
      <c r="I33" s="242">
        <f>+'雨汚水(共通按分後)'!T34</f>
        <v>490154021</v>
      </c>
      <c r="J33" s="242">
        <f>+'雨汚水(共通按分後)'!U34</f>
        <v>13581700001</v>
      </c>
      <c r="K33" s="241">
        <f t="shared" si="6"/>
        <v>14071854022</v>
      </c>
      <c r="L33" s="214">
        <f>E32+F32</f>
        <v>12564034663</v>
      </c>
      <c r="M33" s="214">
        <f>'3条税込み(共通按分後)'!D33-'3条税抜き(共通按分後)'!D33</f>
        <v>0</v>
      </c>
      <c r="N33" s="312">
        <f t="shared" si="3"/>
        <v>271133082</v>
      </c>
    </row>
    <row r="34" spans="1:14" ht="24.75" customHeight="1">
      <c r="A34" s="252"/>
      <c r="B34" s="256"/>
      <c r="C34" s="255" t="s">
        <v>267</v>
      </c>
      <c r="D34" s="246">
        <f>+'雨汚水(共通按分後)'!O35</f>
        <v>503761871</v>
      </c>
      <c r="E34" s="245">
        <f>+'雨汚水(共通按分後)'!P35</f>
        <v>351779106</v>
      </c>
      <c r="F34" s="311">
        <f>+'雨汚水(共通按分後)'!Q35</f>
        <v>3800431</v>
      </c>
      <c r="G34" s="311">
        <f>+'雨汚水(共通按分後)'!R35</f>
        <v>0</v>
      </c>
      <c r="H34" s="241">
        <f t="shared" si="5"/>
        <v>355579537</v>
      </c>
      <c r="I34" s="243">
        <f>+'雨汚水(共通按分後)'!T35</f>
        <v>7665695</v>
      </c>
      <c r="J34" s="242">
        <f>+'雨汚水(共通按分後)'!U35</f>
        <v>140516639</v>
      </c>
      <c r="K34" s="241">
        <f t="shared" si="6"/>
        <v>148182334</v>
      </c>
      <c r="M34" s="214">
        <f>'3条税込み(共通按分後)'!D34-'3条税抜き(共通按分後)'!D34</f>
        <v>0</v>
      </c>
      <c r="N34" s="214">
        <f t="shared" si="3"/>
        <v>0</v>
      </c>
    </row>
    <row r="35" spans="1:14" ht="24.75" customHeight="1">
      <c r="A35" s="252"/>
      <c r="B35" s="258" t="s">
        <v>232</v>
      </c>
      <c r="C35" s="257"/>
      <c r="D35" s="246">
        <f>SUM(D36:D37)</f>
        <v>3940339234</v>
      </c>
      <c r="E35" s="245">
        <f>SUM(E36:E37)</f>
        <v>3259340024</v>
      </c>
      <c r="F35" s="242">
        <f>SUM(F36:F37)</f>
        <v>0</v>
      </c>
      <c r="G35" s="242">
        <f>SUM(G36:G37)</f>
        <v>93230210</v>
      </c>
      <c r="H35" s="241">
        <f t="shared" si="5"/>
        <v>3352570234</v>
      </c>
      <c r="I35" s="310">
        <f>SUM(I36:I37)</f>
        <v>875942080</v>
      </c>
      <c r="J35" s="242">
        <f>SUM(J36:J37)</f>
        <v>-288173080</v>
      </c>
      <c r="K35" s="241">
        <f t="shared" si="6"/>
        <v>587769000</v>
      </c>
      <c r="M35" s="214">
        <f>SUM(M36:M37)</f>
        <v>5619432</v>
      </c>
      <c r="N35" s="214">
        <f t="shared" si="3"/>
        <v>0</v>
      </c>
    </row>
    <row r="36" spans="1:14" ht="24.75" customHeight="1">
      <c r="A36" s="252"/>
      <c r="B36" s="255"/>
      <c r="C36" s="255" t="s">
        <v>266</v>
      </c>
      <c r="D36" s="246">
        <f>+SUM('雨汚水(共通按分後)'!O37:O38)</f>
        <v>3940339234</v>
      </c>
      <c r="E36" s="245">
        <f>+SUM('雨汚水(共通按分後)'!P37:P38)</f>
        <v>3259340024</v>
      </c>
      <c r="F36" s="242">
        <f>+SUM('雨汚水(共通按分後)'!Q37:Q38)</f>
        <v>0</v>
      </c>
      <c r="G36" s="242">
        <f>+SUM('雨汚水(共通按分後)'!R37:R38)</f>
        <v>93230210</v>
      </c>
      <c r="H36" s="241">
        <f t="shared" si="5"/>
        <v>3352570234</v>
      </c>
      <c r="I36" s="310">
        <f>+SUM('雨汚水(共通按分後)'!T37:T38)</f>
        <v>875942080</v>
      </c>
      <c r="J36" s="242">
        <f>+SUM('雨汚水(共通按分後)'!U37:U38)</f>
        <v>-288173080</v>
      </c>
      <c r="K36" s="241">
        <f t="shared" si="6"/>
        <v>587769000</v>
      </c>
      <c r="M36" s="214">
        <f>'3条税込み(共通按分後)'!D36-'3条税抜き(共通按分後)'!D36</f>
        <v>5619432</v>
      </c>
      <c r="N36" s="214">
        <f t="shared" si="3"/>
        <v>0</v>
      </c>
    </row>
    <row r="37" spans="1:14" ht="24.75" customHeight="1">
      <c r="A37" s="252"/>
      <c r="B37" s="256"/>
      <c r="C37" s="255" t="s">
        <v>264</v>
      </c>
      <c r="D37" s="246"/>
      <c r="E37" s="245"/>
      <c r="F37" s="242"/>
      <c r="G37" s="242"/>
      <c r="H37" s="241">
        <f t="shared" si="5"/>
        <v>0</v>
      </c>
      <c r="I37" s="243"/>
      <c r="J37" s="242"/>
      <c r="K37" s="241">
        <f t="shared" si="6"/>
        <v>0</v>
      </c>
      <c r="M37" s="214">
        <f>'3条税込み(共通按分後)'!D37-'3条税抜き(共通按分後)'!D37</f>
        <v>0</v>
      </c>
      <c r="N37" s="214">
        <f t="shared" si="3"/>
        <v>0</v>
      </c>
    </row>
    <row r="38" spans="1:14" ht="24.75" customHeight="1">
      <c r="A38" s="252"/>
      <c r="B38" s="255" t="s">
        <v>228</v>
      </c>
      <c r="C38" s="255"/>
      <c r="D38" s="246">
        <f t="shared" ref="D38:K38" si="7">D39</f>
        <v>0</v>
      </c>
      <c r="E38" s="245">
        <f t="shared" si="7"/>
        <v>0</v>
      </c>
      <c r="F38" s="242">
        <f t="shared" si="7"/>
        <v>0</v>
      </c>
      <c r="G38" s="242">
        <f t="shared" si="7"/>
        <v>0</v>
      </c>
      <c r="H38" s="241">
        <f t="shared" si="7"/>
        <v>0</v>
      </c>
      <c r="I38" s="243">
        <f t="shared" si="7"/>
        <v>0</v>
      </c>
      <c r="J38" s="242">
        <f t="shared" si="7"/>
        <v>0</v>
      </c>
      <c r="K38" s="241">
        <f t="shared" si="7"/>
        <v>0</v>
      </c>
    </row>
    <row r="39" spans="1:14" ht="24.75" customHeight="1">
      <c r="A39" s="252"/>
      <c r="B39" s="255"/>
      <c r="C39" s="254" t="s">
        <v>262</v>
      </c>
      <c r="D39" s="246">
        <f>+SUM('雨汚水(共通按分後)'!O42:O44)</f>
        <v>0</v>
      </c>
      <c r="E39" s="245">
        <f>+SUM('雨汚水(共通按分後)'!P42:P44)</f>
        <v>0</v>
      </c>
      <c r="F39" s="242">
        <f>+SUM('雨汚水(共通按分後)'!Q42:Q44)</f>
        <v>0</v>
      </c>
      <c r="G39" s="242">
        <f>+SUM('雨汚水(共通按分後)'!R42:R44)</f>
        <v>0</v>
      </c>
      <c r="H39" s="241">
        <f>SUM(E39:G39)</f>
        <v>0</v>
      </c>
      <c r="I39" s="243">
        <f>+SUM('雨汚水(共通按分後)'!T42:T44)</f>
        <v>0</v>
      </c>
      <c r="J39" s="242">
        <f>+SUM('雨汚水(共通按分後)'!U42:U44)</f>
        <v>0</v>
      </c>
      <c r="K39" s="241">
        <f>SUM(I39:J39)</f>
        <v>0</v>
      </c>
      <c r="M39" s="214">
        <f>D39-H39-K39</f>
        <v>0</v>
      </c>
    </row>
    <row r="40" spans="1:14" ht="24.75" customHeight="1">
      <c r="A40" s="252"/>
      <c r="B40" s="251"/>
      <c r="C40" s="250"/>
      <c r="D40" s="246"/>
      <c r="E40" s="245"/>
      <c r="F40" s="244" t="s">
        <v>257</v>
      </c>
      <c r="G40" s="242">
        <f>'3条税込み(共通按分後)'!G40</f>
        <v>0</v>
      </c>
      <c r="H40" s="241">
        <f>SUM(E40:G40)</f>
        <v>0</v>
      </c>
      <c r="I40" s="243"/>
      <c r="J40" s="242"/>
      <c r="K40" s="241">
        <f>SUM(I40:J40)</f>
        <v>0</v>
      </c>
      <c r="L40" s="214" t="s">
        <v>256</v>
      </c>
    </row>
    <row r="41" spans="1:14" ht="24.75" customHeight="1">
      <c r="A41" s="239"/>
      <c r="B41" s="248"/>
      <c r="C41" s="247"/>
      <c r="D41" s="246"/>
      <c r="E41" s="245"/>
      <c r="F41" s="244" t="s">
        <v>254</v>
      </c>
      <c r="G41" s="242">
        <f>G36-G40</f>
        <v>93230210</v>
      </c>
      <c r="H41" s="241"/>
      <c r="I41" s="243"/>
      <c r="J41" s="242"/>
      <c r="K41" s="241"/>
      <c r="L41" s="214">
        <f>E36+F36+G41+I36</f>
        <v>4228512314</v>
      </c>
      <c r="N41" s="214">
        <f>D41-H41-K41</f>
        <v>0</v>
      </c>
    </row>
    <row r="42" spans="1:14" ht="24.75" customHeight="1">
      <c r="A42" s="239"/>
      <c r="B42" s="216" t="s">
        <v>251</v>
      </c>
      <c r="C42" s="216"/>
      <c r="D42" s="309">
        <f t="shared" ref="D42:K42" si="8">D32+D35+D38</f>
        <v>30995543335</v>
      </c>
      <c r="E42" s="308">
        <f t="shared" si="8"/>
        <v>15689090382</v>
      </c>
      <c r="F42" s="306">
        <f t="shared" si="8"/>
        <v>134284305</v>
      </c>
      <c r="G42" s="306">
        <f t="shared" si="8"/>
        <v>93230210</v>
      </c>
      <c r="H42" s="305">
        <f t="shared" si="8"/>
        <v>15916604897</v>
      </c>
      <c r="I42" s="307">
        <f t="shared" si="8"/>
        <v>1373761796</v>
      </c>
      <c r="J42" s="306">
        <f t="shared" si="8"/>
        <v>13434043560</v>
      </c>
      <c r="K42" s="305">
        <f t="shared" si="8"/>
        <v>14807805356</v>
      </c>
      <c r="M42" s="214">
        <f>M32+M35</f>
        <v>5619432</v>
      </c>
      <c r="N42" s="214">
        <f>D42-H42-K42</f>
        <v>271133082</v>
      </c>
    </row>
    <row r="43" spans="1:14" ht="24.75" customHeight="1">
      <c r="A43" s="233"/>
      <c r="B43" s="232"/>
      <c r="C43" s="232"/>
      <c r="D43" s="231"/>
      <c r="E43" s="230"/>
      <c r="F43" s="228"/>
      <c r="G43" s="228"/>
      <c r="H43" s="227"/>
      <c r="I43" s="229"/>
      <c r="J43" s="228"/>
      <c r="K43" s="227"/>
      <c r="N43" s="214">
        <f>D43-H43-K43</f>
        <v>0</v>
      </c>
    </row>
    <row r="44" spans="1:14" ht="24.75" customHeight="1" thickBot="1">
      <c r="A44" s="226" t="s">
        <v>249</v>
      </c>
      <c r="B44" s="225"/>
      <c r="C44" s="224"/>
      <c r="D44" s="304">
        <f t="shared" ref="D44:K44" si="9">D31+D42</f>
        <v>41815631556</v>
      </c>
      <c r="E44" s="303">
        <f t="shared" si="9"/>
        <v>17891109043</v>
      </c>
      <c r="F44" s="300">
        <f t="shared" si="9"/>
        <v>334344740</v>
      </c>
      <c r="G44" s="303">
        <f t="shared" si="9"/>
        <v>445711850</v>
      </c>
      <c r="H44" s="302">
        <f t="shared" si="9"/>
        <v>18671165633</v>
      </c>
      <c r="I44" s="301">
        <f t="shared" si="9"/>
        <v>1460379844</v>
      </c>
      <c r="J44" s="300">
        <f t="shared" si="9"/>
        <v>21412952997</v>
      </c>
      <c r="K44" s="299">
        <f t="shared" si="9"/>
        <v>22873332841</v>
      </c>
      <c r="M44" s="214">
        <f>M31+M42</f>
        <v>828022209</v>
      </c>
      <c r="N44" s="214">
        <f>D44-H44-K44</f>
        <v>271133082</v>
      </c>
    </row>
    <row r="45" spans="1:14" ht="21" customHeight="1">
      <c r="A45" s="216"/>
      <c r="B45" s="216"/>
      <c r="C45" s="216"/>
      <c r="D45" s="215"/>
      <c r="E45" s="215"/>
      <c r="F45" s="215"/>
      <c r="G45" s="215"/>
      <c r="H45" s="215"/>
      <c r="I45" s="215"/>
      <c r="J45" s="215"/>
      <c r="K45" s="215"/>
    </row>
  </sheetData>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O56"/>
  <sheetViews>
    <sheetView zoomScaleNormal="100" zoomScaleSheetLayoutView="90" workbookViewId="0">
      <pane xSplit="3" ySplit="5" topLeftCell="D6" activePane="bottomRight" state="frozen"/>
      <selection activeCell="AK149" sqref="AK149"/>
      <selection pane="topRight" activeCell="AK149" sqref="AK149"/>
      <selection pane="bottomLeft" activeCell="AK149" sqref="AK149"/>
      <selection pane="bottomRight" activeCell="J8" sqref="J8"/>
    </sheetView>
  </sheetViews>
  <sheetFormatPr defaultRowHeight="11.25"/>
  <cols>
    <col min="1" max="1" width="2.625" style="214" customWidth="1"/>
    <col min="2" max="2" width="1.25" style="214" customWidth="1"/>
    <col min="3" max="3" width="14.125" style="214" customWidth="1"/>
    <col min="4" max="5" width="13" style="214" customWidth="1"/>
    <col min="6" max="6" width="10.25" style="214" customWidth="1"/>
    <col min="7" max="7" width="11.375" style="214" customWidth="1"/>
    <col min="8" max="8" width="12.875" style="214" customWidth="1"/>
    <col min="9" max="9" width="12" style="214" customWidth="1"/>
    <col min="10" max="10" width="12.75" style="214" customWidth="1"/>
    <col min="11" max="11" width="13" style="214" customWidth="1"/>
    <col min="12" max="15" width="12.75" style="214" customWidth="1"/>
    <col min="16" max="256" width="9" style="214"/>
    <col min="257" max="257" width="2.625" style="214" customWidth="1"/>
    <col min="258" max="258" width="1.25" style="214" customWidth="1"/>
    <col min="259" max="259" width="14.125" style="214" customWidth="1"/>
    <col min="260" max="261" width="13" style="214" customWidth="1"/>
    <col min="262" max="262" width="10.25" style="214" customWidth="1"/>
    <col min="263" max="263" width="11.375" style="214" customWidth="1"/>
    <col min="264" max="264" width="12.875" style="214" customWidth="1"/>
    <col min="265" max="265" width="12" style="214" customWidth="1"/>
    <col min="266" max="266" width="12.75" style="214" customWidth="1"/>
    <col min="267" max="267" width="13" style="214" customWidth="1"/>
    <col min="268" max="268" width="13.75" style="214" bestFit="1" customWidth="1"/>
    <col min="269" max="269" width="11.375" style="214" customWidth="1"/>
    <col min="270" max="270" width="11.875" style="214" customWidth="1"/>
    <col min="271" max="271" width="16" style="214" bestFit="1" customWidth="1"/>
    <col min="272" max="512" width="9" style="214"/>
    <col min="513" max="513" width="2.625" style="214" customWidth="1"/>
    <col min="514" max="514" width="1.25" style="214" customWidth="1"/>
    <col min="515" max="515" width="14.125" style="214" customWidth="1"/>
    <col min="516" max="517" width="13" style="214" customWidth="1"/>
    <col min="518" max="518" width="10.25" style="214" customWidth="1"/>
    <col min="519" max="519" width="11.375" style="214" customWidth="1"/>
    <col min="520" max="520" width="12.875" style="214" customWidth="1"/>
    <col min="521" max="521" width="12" style="214" customWidth="1"/>
    <col min="522" max="522" width="12.75" style="214" customWidth="1"/>
    <col min="523" max="523" width="13" style="214" customWidth="1"/>
    <col min="524" max="524" width="13.75" style="214" bestFit="1" customWidth="1"/>
    <col min="525" max="525" width="11.375" style="214" customWidth="1"/>
    <col min="526" max="526" width="11.875" style="214" customWidth="1"/>
    <col min="527" max="527" width="16" style="214" bestFit="1" customWidth="1"/>
    <col min="528" max="768" width="9" style="214"/>
    <col min="769" max="769" width="2.625" style="214" customWidth="1"/>
    <col min="770" max="770" width="1.25" style="214" customWidth="1"/>
    <col min="771" max="771" width="14.125" style="214" customWidth="1"/>
    <col min="772" max="773" width="13" style="214" customWidth="1"/>
    <col min="774" max="774" width="10.25" style="214" customWidth="1"/>
    <col min="775" max="775" width="11.375" style="214" customWidth="1"/>
    <col min="776" max="776" width="12.875" style="214" customWidth="1"/>
    <col min="777" max="777" width="12" style="214" customWidth="1"/>
    <col min="778" max="778" width="12.75" style="214" customWidth="1"/>
    <col min="779" max="779" width="13" style="214" customWidth="1"/>
    <col min="780" max="780" width="13.75" style="214" bestFit="1" customWidth="1"/>
    <col min="781" max="781" width="11.375" style="214" customWidth="1"/>
    <col min="782" max="782" width="11.875" style="214" customWidth="1"/>
    <col min="783" max="783" width="16" style="214" bestFit="1" customWidth="1"/>
    <col min="784" max="1024" width="9" style="214"/>
    <col min="1025" max="1025" width="2.625" style="214" customWidth="1"/>
    <col min="1026" max="1026" width="1.25" style="214" customWidth="1"/>
    <col min="1027" max="1027" width="14.125" style="214" customWidth="1"/>
    <col min="1028" max="1029" width="13" style="214" customWidth="1"/>
    <col min="1030" max="1030" width="10.25" style="214" customWidth="1"/>
    <col min="1031" max="1031" width="11.375" style="214" customWidth="1"/>
    <col min="1032" max="1032" width="12.875" style="214" customWidth="1"/>
    <col min="1033" max="1033" width="12" style="214" customWidth="1"/>
    <col min="1034" max="1034" width="12.75" style="214" customWidth="1"/>
    <col min="1035" max="1035" width="13" style="214" customWidth="1"/>
    <col min="1036" max="1036" width="13.75" style="214" bestFit="1" customWidth="1"/>
    <col min="1037" max="1037" width="11.375" style="214" customWidth="1"/>
    <col min="1038" max="1038" width="11.875" style="214" customWidth="1"/>
    <col min="1039" max="1039" width="16" style="214" bestFit="1" customWidth="1"/>
    <col min="1040" max="1280" width="9" style="214"/>
    <col min="1281" max="1281" width="2.625" style="214" customWidth="1"/>
    <col min="1282" max="1282" width="1.25" style="214" customWidth="1"/>
    <col min="1283" max="1283" width="14.125" style="214" customWidth="1"/>
    <col min="1284" max="1285" width="13" style="214" customWidth="1"/>
    <col min="1286" max="1286" width="10.25" style="214" customWidth="1"/>
    <col min="1287" max="1287" width="11.375" style="214" customWidth="1"/>
    <col min="1288" max="1288" width="12.875" style="214" customWidth="1"/>
    <col min="1289" max="1289" width="12" style="214" customWidth="1"/>
    <col min="1290" max="1290" width="12.75" style="214" customWidth="1"/>
    <col min="1291" max="1291" width="13" style="214" customWidth="1"/>
    <col min="1292" max="1292" width="13.75" style="214" bestFit="1" customWidth="1"/>
    <col min="1293" max="1293" width="11.375" style="214" customWidth="1"/>
    <col min="1294" max="1294" width="11.875" style="214" customWidth="1"/>
    <col min="1295" max="1295" width="16" style="214" bestFit="1" customWidth="1"/>
    <col min="1296" max="1536" width="9" style="214"/>
    <col min="1537" max="1537" width="2.625" style="214" customWidth="1"/>
    <col min="1538" max="1538" width="1.25" style="214" customWidth="1"/>
    <col min="1539" max="1539" width="14.125" style="214" customWidth="1"/>
    <col min="1540" max="1541" width="13" style="214" customWidth="1"/>
    <col min="1542" max="1542" width="10.25" style="214" customWidth="1"/>
    <col min="1543" max="1543" width="11.375" style="214" customWidth="1"/>
    <col min="1544" max="1544" width="12.875" style="214" customWidth="1"/>
    <col min="1545" max="1545" width="12" style="214" customWidth="1"/>
    <col min="1546" max="1546" width="12.75" style="214" customWidth="1"/>
    <col min="1547" max="1547" width="13" style="214" customWidth="1"/>
    <col min="1548" max="1548" width="13.75" style="214" bestFit="1" customWidth="1"/>
    <col min="1549" max="1549" width="11.375" style="214" customWidth="1"/>
    <col min="1550" max="1550" width="11.875" style="214" customWidth="1"/>
    <col min="1551" max="1551" width="16" style="214" bestFit="1" customWidth="1"/>
    <col min="1552" max="1792" width="9" style="214"/>
    <col min="1793" max="1793" width="2.625" style="214" customWidth="1"/>
    <col min="1794" max="1794" width="1.25" style="214" customWidth="1"/>
    <col min="1795" max="1795" width="14.125" style="214" customWidth="1"/>
    <col min="1796" max="1797" width="13" style="214" customWidth="1"/>
    <col min="1798" max="1798" width="10.25" style="214" customWidth="1"/>
    <col min="1799" max="1799" width="11.375" style="214" customWidth="1"/>
    <col min="1800" max="1800" width="12.875" style="214" customWidth="1"/>
    <col min="1801" max="1801" width="12" style="214" customWidth="1"/>
    <col min="1802" max="1802" width="12.75" style="214" customWidth="1"/>
    <col min="1803" max="1803" width="13" style="214" customWidth="1"/>
    <col min="1804" max="1804" width="13.75" style="214" bestFit="1" customWidth="1"/>
    <col min="1805" max="1805" width="11.375" style="214" customWidth="1"/>
    <col min="1806" max="1806" width="11.875" style="214" customWidth="1"/>
    <col min="1807" max="1807" width="16" style="214" bestFit="1" customWidth="1"/>
    <col min="1808" max="2048" width="9" style="214"/>
    <col min="2049" max="2049" width="2.625" style="214" customWidth="1"/>
    <col min="2050" max="2050" width="1.25" style="214" customWidth="1"/>
    <col min="2051" max="2051" width="14.125" style="214" customWidth="1"/>
    <col min="2052" max="2053" width="13" style="214" customWidth="1"/>
    <col min="2054" max="2054" width="10.25" style="214" customWidth="1"/>
    <col min="2055" max="2055" width="11.375" style="214" customWidth="1"/>
    <col min="2056" max="2056" width="12.875" style="214" customWidth="1"/>
    <col min="2057" max="2057" width="12" style="214" customWidth="1"/>
    <col min="2058" max="2058" width="12.75" style="214" customWidth="1"/>
    <col min="2059" max="2059" width="13" style="214" customWidth="1"/>
    <col min="2060" max="2060" width="13.75" style="214" bestFit="1" customWidth="1"/>
    <col min="2061" max="2061" width="11.375" style="214" customWidth="1"/>
    <col min="2062" max="2062" width="11.875" style="214" customWidth="1"/>
    <col min="2063" max="2063" width="16" style="214" bestFit="1" customWidth="1"/>
    <col min="2064" max="2304" width="9" style="214"/>
    <col min="2305" max="2305" width="2.625" style="214" customWidth="1"/>
    <col min="2306" max="2306" width="1.25" style="214" customWidth="1"/>
    <col min="2307" max="2307" width="14.125" style="214" customWidth="1"/>
    <col min="2308" max="2309" width="13" style="214" customWidth="1"/>
    <col min="2310" max="2310" width="10.25" style="214" customWidth="1"/>
    <col min="2311" max="2311" width="11.375" style="214" customWidth="1"/>
    <col min="2312" max="2312" width="12.875" style="214" customWidth="1"/>
    <col min="2313" max="2313" width="12" style="214" customWidth="1"/>
    <col min="2314" max="2314" width="12.75" style="214" customWidth="1"/>
    <col min="2315" max="2315" width="13" style="214" customWidth="1"/>
    <col min="2316" max="2316" width="13.75" style="214" bestFit="1" customWidth="1"/>
    <col min="2317" max="2317" width="11.375" style="214" customWidth="1"/>
    <col min="2318" max="2318" width="11.875" style="214" customWidth="1"/>
    <col min="2319" max="2319" width="16" style="214" bestFit="1" customWidth="1"/>
    <col min="2320" max="2560" width="9" style="214"/>
    <col min="2561" max="2561" width="2.625" style="214" customWidth="1"/>
    <col min="2562" max="2562" width="1.25" style="214" customWidth="1"/>
    <col min="2563" max="2563" width="14.125" style="214" customWidth="1"/>
    <col min="2564" max="2565" width="13" style="214" customWidth="1"/>
    <col min="2566" max="2566" width="10.25" style="214" customWidth="1"/>
    <col min="2567" max="2567" width="11.375" style="214" customWidth="1"/>
    <col min="2568" max="2568" width="12.875" style="214" customWidth="1"/>
    <col min="2569" max="2569" width="12" style="214" customWidth="1"/>
    <col min="2570" max="2570" width="12.75" style="214" customWidth="1"/>
    <col min="2571" max="2571" width="13" style="214" customWidth="1"/>
    <col min="2572" max="2572" width="13.75" style="214" bestFit="1" customWidth="1"/>
    <col min="2573" max="2573" width="11.375" style="214" customWidth="1"/>
    <col min="2574" max="2574" width="11.875" style="214" customWidth="1"/>
    <col min="2575" max="2575" width="16" style="214" bestFit="1" customWidth="1"/>
    <col min="2576" max="2816" width="9" style="214"/>
    <col min="2817" max="2817" width="2.625" style="214" customWidth="1"/>
    <col min="2818" max="2818" width="1.25" style="214" customWidth="1"/>
    <col min="2819" max="2819" width="14.125" style="214" customWidth="1"/>
    <col min="2820" max="2821" width="13" style="214" customWidth="1"/>
    <col min="2822" max="2822" width="10.25" style="214" customWidth="1"/>
    <col min="2823" max="2823" width="11.375" style="214" customWidth="1"/>
    <col min="2824" max="2824" width="12.875" style="214" customWidth="1"/>
    <col min="2825" max="2825" width="12" style="214" customWidth="1"/>
    <col min="2826" max="2826" width="12.75" style="214" customWidth="1"/>
    <col min="2827" max="2827" width="13" style="214" customWidth="1"/>
    <col min="2828" max="2828" width="13.75" style="214" bestFit="1" customWidth="1"/>
    <col min="2829" max="2829" width="11.375" style="214" customWidth="1"/>
    <col min="2830" max="2830" width="11.875" style="214" customWidth="1"/>
    <col min="2831" max="2831" width="16" style="214" bestFit="1" customWidth="1"/>
    <col min="2832" max="3072" width="9" style="214"/>
    <col min="3073" max="3073" width="2.625" style="214" customWidth="1"/>
    <col min="3074" max="3074" width="1.25" style="214" customWidth="1"/>
    <col min="3075" max="3075" width="14.125" style="214" customWidth="1"/>
    <col min="3076" max="3077" width="13" style="214" customWidth="1"/>
    <col min="3078" max="3078" width="10.25" style="214" customWidth="1"/>
    <col min="3079" max="3079" width="11.375" style="214" customWidth="1"/>
    <col min="3080" max="3080" width="12.875" style="214" customWidth="1"/>
    <col min="3081" max="3081" width="12" style="214" customWidth="1"/>
    <col min="3082" max="3082" width="12.75" style="214" customWidth="1"/>
    <col min="3083" max="3083" width="13" style="214" customWidth="1"/>
    <col min="3084" max="3084" width="13.75" style="214" bestFit="1" customWidth="1"/>
    <col min="3085" max="3085" width="11.375" style="214" customWidth="1"/>
    <col min="3086" max="3086" width="11.875" style="214" customWidth="1"/>
    <col min="3087" max="3087" width="16" style="214" bestFit="1" customWidth="1"/>
    <col min="3088" max="3328" width="9" style="214"/>
    <col min="3329" max="3329" width="2.625" style="214" customWidth="1"/>
    <col min="3330" max="3330" width="1.25" style="214" customWidth="1"/>
    <col min="3331" max="3331" width="14.125" style="214" customWidth="1"/>
    <col min="3332" max="3333" width="13" style="214" customWidth="1"/>
    <col min="3334" max="3334" width="10.25" style="214" customWidth="1"/>
    <col min="3335" max="3335" width="11.375" style="214" customWidth="1"/>
    <col min="3336" max="3336" width="12.875" style="214" customWidth="1"/>
    <col min="3337" max="3337" width="12" style="214" customWidth="1"/>
    <col min="3338" max="3338" width="12.75" style="214" customWidth="1"/>
    <col min="3339" max="3339" width="13" style="214" customWidth="1"/>
    <col min="3340" max="3340" width="13.75" style="214" bestFit="1" customWidth="1"/>
    <col min="3341" max="3341" width="11.375" style="214" customWidth="1"/>
    <col min="3342" max="3342" width="11.875" style="214" customWidth="1"/>
    <col min="3343" max="3343" width="16" style="214" bestFit="1" customWidth="1"/>
    <col min="3344" max="3584" width="9" style="214"/>
    <col min="3585" max="3585" width="2.625" style="214" customWidth="1"/>
    <col min="3586" max="3586" width="1.25" style="214" customWidth="1"/>
    <col min="3587" max="3587" width="14.125" style="214" customWidth="1"/>
    <col min="3588" max="3589" width="13" style="214" customWidth="1"/>
    <col min="3590" max="3590" width="10.25" style="214" customWidth="1"/>
    <col min="3591" max="3591" width="11.375" style="214" customWidth="1"/>
    <col min="3592" max="3592" width="12.875" style="214" customWidth="1"/>
    <col min="3593" max="3593" width="12" style="214" customWidth="1"/>
    <col min="3594" max="3594" width="12.75" style="214" customWidth="1"/>
    <col min="3595" max="3595" width="13" style="214" customWidth="1"/>
    <col min="3596" max="3596" width="13.75" style="214" bestFit="1" customWidth="1"/>
    <col min="3597" max="3597" width="11.375" style="214" customWidth="1"/>
    <col min="3598" max="3598" width="11.875" style="214" customWidth="1"/>
    <col min="3599" max="3599" width="16" style="214" bestFit="1" customWidth="1"/>
    <col min="3600" max="3840" width="9" style="214"/>
    <col min="3841" max="3841" width="2.625" style="214" customWidth="1"/>
    <col min="3842" max="3842" width="1.25" style="214" customWidth="1"/>
    <col min="3843" max="3843" width="14.125" style="214" customWidth="1"/>
    <col min="3844" max="3845" width="13" style="214" customWidth="1"/>
    <col min="3846" max="3846" width="10.25" style="214" customWidth="1"/>
    <col min="3847" max="3847" width="11.375" style="214" customWidth="1"/>
    <col min="3848" max="3848" width="12.875" style="214" customWidth="1"/>
    <col min="3849" max="3849" width="12" style="214" customWidth="1"/>
    <col min="3850" max="3850" width="12.75" style="214" customWidth="1"/>
    <col min="3851" max="3851" width="13" style="214" customWidth="1"/>
    <col min="3852" max="3852" width="13.75" style="214" bestFit="1" customWidth="1"/>
    <col min="3853" max="3853" width="11.375" style="214" customWidth="1"/>
    <col min="3854" max="3854" width="11.875" style="214" customWidth="1"/>
    <col min="3855" max="3855" width="16" style="214" bestFit="1" customWidth="1"/>
    <col min="3856" max="4096" width="9" style="214"/>
    <col min="4097" max="4097" width="2.625" style="214" customWidth="1"/>
    <col min="4098" max="4098" width="1.25" style="214" customWidth="1"/>
    <col min="4099" max="4099" width="14.125" style="214" customWidth="1"/>
    <col min="4100" max="4101" width="13" style="214" customWidth="1"/>
    <col min="4102" max="4102" width="10.25" style="214" customWidth="1"/>
    <col min="4103" max="4103" width="11.375" style="214" customWidth="1"/>
    <col min="4104" max="4104" width="12.875" style="214" customWidth="1"/>
    <col min="4105" max="4105" width="12" style="214" customWidth="1"/>
    <col min="4106" max="4106" width="12.75" style="214" customWidth="1"/>
    <col min="4107" max="4107" width="13" style="214" customWidth="1"/>
    <col min="4108" max="4108" width="13.75" style="214" bestFit="1" customWidth="1"/>
    <col min="4109" max="4109" width="11.375" style="214" customWidth="1"/>
    <col min="4110" max="4110" width="11.875" style="214" customWidth="1"/>
    <col min="4111" max="4111" width="16" style="214" bestFit="1" customWidth="1"/>
    <col min="4112" max="4352" width="9" style="214"/>
    <col min="4353" max="4353" width="2.625" style="214" customWidth="1"/>
    <col min="4354" max="4354" width="1.25" style="214" customWidth="1"/>
    <col min="4355" max="4355" width="14.125" style="214" customWidth="1"/>
    <col min="4356" max="4357" width="13" style="214" customWidth="1"/>
    <col min="4358" max="4358" width="10.25" style="214" customWidth="1"/>
    <col min="4359" max="4359" width="11.375" style="214" customWidth="1"/>
    <col min="4360" max="4360" width="12.875" style="214" customWidth="1"/>
    <col min="4361" max="4361" width="12" style="214" customWidth="1"/>
    <col min="4362" max="4362" width="12.75" style="214" customWidth="1"/>
    <col min="4363" max="4363" width="13" style="214" customWidth="1"/>
    <col min="4364" max="4364" width="13.75" style="214" bestFit="1" customWidth="1"/>
    <col min="4365" max="4365" width="11.375" style="214" customWidth="1"/>
    <col min="4366" max="4366" width="11.875" style="214" customWidth="1"/>
    <col min="4367" max="4367" width="16" style="214" bestFit="1" customWidth="1"/>
    <col min="4368" max="4608" width="9" style="214"/>
    <col min="4609" max="4609" width="2.625" style="214" customWidth="1"/>
    <col min="4610" max="4610" width="1.25" style="214" customWidth="1"/>
    <col min="4611" max="4611" width="14.125" style="214" customWidth="1"/>
    <col min="4612" max="4613" width="13" style="214" customWidth="1"/>
    <col min="4614" max="4614" width="10.25" style="214" customWidth="1"/>
    <col min="4615" max="4615" width="11.375" style="214" customWidth="1"/>
    <col min="4616" max="4616" width="12.875" style="214" customWidth="1"/>
    <col min="4617" max="4617" width="12" style="214" customWidth="1"/>
    <col min="4618" max="4618" width="12.75" style="214" customWidth="1"/>
    <col min="4619" max="4619" width="13" style="214" customWidth="1"/>
    <col min="4620" max="4620" width="13.75" style="214" bestFit="1" customWidth="1"/>
    <col min="4621" max="4621" width="11.375" style="214" customWidth="1"/>
    <col min="4622" max="4622" width="11.875" style="214" customWidth="1"/>
    <col min="4623" max="4623" width="16" style="214" bestFit="1" customWidth="1"/>
    <col min="4624" max="4864" width="9" style="214"/>
    <col min="4865" max="4865" width="2.625" style="214" customWidth="1"/>
    <col min="4866" max="4866" width="1.25" style="214" customWidth="1"/>
    <col min="4867" max="4867" width="14.125" style="214" customWidth="1"/>
    <col min="4868" max="4869" width="13" style="214" customWidth="1"/>
    <col min="4870" max="4870" width="10.25" style="214" customWidth="1"/>
    <col min="4871" max="4871" width="11.375" style="214" customWidth="1"/>
    <col min="4872" max="4872" width="12.875" style="214" customWidth="1"/>
    <col min="4873" max="4873" width="12" style="214" customWidth="1"/>
    <col min="4874" max="4874" width="12.75" style="214" customWidth="1"/>
    <col min="4875" max="4875" width="13" style="214" customWidth="1"/>
    <col min="4876" max="4876" width="13.75" style="214" bestFit="1" customWidth="1"/>
    <col min="4877" max="4877" width="11.375" style="214" customWidth="1"/>
    <col min="4878" max="4878" width="11.875" style="214" customWidth="1"/>
    <col min="4879" max="4879" width="16" style="214" bestFit="1" customWidth="1"/>
    <col min="4880" max="5120" width="9" style="214"/>
    <col min="5121" max="5121" width="2.625" style="214" customWidth="1"/>
    <col min="5122" max="5122" width="1.25" style="214" customWidth="1"/>
    <col min="5123" max="5123" width="14.125" style="214" customWidth="1"/>
    <col min="5124" max="5125" width="13" style="214" customWidth="1"/>
    <col min="5126" max="5126" width="10.25" style="214" customWidth="1"/>
    <col min="5127" max="5127" width="11.375" style="214" customWidth="1"/>
    <col min="5128" max="5128" width="12.875" style="214" customWidth="1"/>
    <col min="5129" max="5129" width="12" style="214" customWidth="1"/>
    <col min="5130" max="5130" width="12.75" style="214" customWidth="1"/>
    <col min="5131" max="5131" width="13" style="214" customWidth="1"/>
    <col min="5132" max="5132" width="13.75" style="214" bestFit="1" customWidth="1"/>
    <col min="5133" max="5133" width="11.375" style="214" customWidth="1"/>
    <col min="5134" max="5134" width="11.875" style="214" customWidth="1"/>
    <col min="5135" max="5135" width="16" style="214" bestFit="1" customWidth="1"/>
    <col min="5136" max="5376" width="9" style="214"/>
    <col min="5377" max="5377" width="2.625" style="214" customWidth="1"/>
    <col min="5378" max="5378" width="1.25" style="214" customWidth="1"/>
    <col min="5379" max="5379" width="14.125" style="214" customWidth="1"/>
    <col min="5380" max="5381" width="13" style="214" customWidth="1"/>
    <col min="5382" max="5382" width="10.25" style="214" customWidth="1"/>
    <col min="5383" max="5383" width="11.375" style="214" customWidth="1"/>
    <col min="5384" max="5384" width="12.875" style="214" customWidth="1"/>
    <col min="5385" max="5385" width="12" style="214" customWidth="1"/>
    <col min="5386" max="5386" width="12.75" style="214" customWidth="1"/>
    <col min="5387" max="5387" width="13" style="214" customWidth="1"/>
    <col min="5388" max="5388" width="13.75" style="214" bestFit="1" customWidth="1"/>
    <col min="5389" max="5389" width="11.375" style="214" customWidth="1"/>
    <col min="5390" max="5390" width="11.875" style="214" customWidth="1"/>
    <col min="5391" max="5391" width="16" style="214" bestFit="1" customWidth="1"/>
    <col min="5392" max="5632" width="9" style="214"/>
    <col min="5633" max="5633" width="2.625" style="214" customWidth="1"/>
    <col min="5634" max="5634" width="1.25" style="214" customWidth="1"/>
    <col min="5635" max="5635" width="14.125" style="214" customWidth="1"/>
    <col min="5636" max="5637" width="13" style="214" customWidth="1"/>
    <col min="5638" max="5638" width="10.25" style="214" customWidth="1"/>
    <col min="5639" max="5639" width="11.375" style="214" customWidth="1"/>
    <col min="5640" max="5640" width="12.875" style="214" customWidth="1"/>
    <col min="5641" max="5641" width="12" style="214" customWidth="1"/>
    <col min="5642" max="5642" width="12.75" style="214" customWidth="1"/>
    <col min="5643" max="5643" width="13" style="214" customWidth="1"/>
    <col min="5644" max="5644" width="13.75" style="214" bestFit="1" customWidth="1"/>
    <col min="5645" max="5645" width="11.375" style="214" customWidth="1"/>
    <col min="5646" max="5646" width="11.875" style="214" customWidth="1"/>
    <col min="5647" max="5647" width="16" style="214" bestFit="1" customWidth="1"/>
    <col min="5648" max="5888" width="9" style="214"/>
    <col min="5889" max="5889" width="2.625" style="214" customWidth="1"/>
    <col min="5890" max="5890" width="1.25" style="214" customWidth="1"/>
    <col min="5891" max="5891" width="14.125" style="214" customWidth="1"/>
    <col min="5892" max="5893" width="13" style="214" customWidth="1"/>
    <col min="5894" max="5894" width="10.25" style="214" customWidth="1"/>
    <col min="5895" max="5895" width="11.375" style="214" customWidth="1"/>
    <col min="5896" max="5896" width="12.875" style="214" customWidth="1"/>
    <col min="5897" max="5897" width="12" style="214" customWidth="1"/>
    <col min="5898" max="5898" width="12.75" style="214" customWidth="1"/>
    <col min="5899" max="5899" width="13" style="214" customWidth="1"/>
    <col min="5900" max="5900" width="13.75" style="214" bestFit="1" customWidth="1"/>
    <col min="5901" max="5901" width="11.375" style="214" customWidth="1"/>
    <col min="5902" max="5902" width="11.875" style="214" customWidth="1"/>
    <col min="5903" max="5903" width="16" style="214" bestFit="1" customWidth="1"/>
    <col min="5904" max="6144" width="9" style="214"/>
    <col min="6145" max="6145" width="2.625" style="214" customWidth="1"/>
    <col min="6146" max="6146" width="1.25" style="214" customWidth="1"/>
    <col min="6147" max="6147" width="14.125" style="214" customWidth="1"/>
    <col min="6148" max="6149" width="13" style="214" customWidth="1"/>
    <col min="6150" max="6150" width="10.25" style="214" customWidth="1"/>
    <col min="6151" max="6151" width="11.375" style="214" customWidth="1"/>
    <col min="6152" max="6152" width="12.875" style="214" customWidth="1"/>
    <col min="6153" max="6153" width="12" style="214" customWidth="1"/>
    <col min="6154" max="6154" width="12.75" style="214" customWidth="1"/>
    <col min="6155" max="6155" width="13" style="214" customWidth="1"/>
    <col min="6156" max="6156" width="13.75" style="214" bestFit="1" customWidth="1"/>
    <col min="6157" max="6157" width="11.375" style="214" customWidth="1"/>
    <col min="6158" max="6158" width="11.875" style="214" customWidth="1"/>
    <col min="6159" max="6159" width="16" style="214" bestFit="1" customWidth="1"/>
    <col min="6160" max="6400" width="9" style="214"/>
    <col min="6401" max="6401" width="2.625" style="214" customWidth="1"/>
    <col min="6402" max="6402" width="1.25" style="214" customWidth="1"/>
    <col min="6403" max="6403" width="14.125" style="214" customWidth="1"/>
    <col min="6404" max="6405" width="13" style="214" customWidth="1"/>
    <col min="6406" max="6406" width="10.25" style="214" customWidth="1"/>
    <col min="6407" max="6407" width="11.375" style="214" customWidth="1"/>
    <col min="6408" max="6408" width="12.875" style="214" customWidth="1"/>
    <col min="6409" max="6409" width="12" style="214" customWidth="1"/>
    <col min="6410" max="6410" width="12.75" style="214" customWidth="1"/>
    <col min="6411" max="6411" width="13" style="214" customWidth="1"/>
    <col min="6412" max="6412" width="13.75" style="214" bestFit="1" customWidth="1"/>
    <col min="6413" max="6413" width="11.375" style="214" customWidth="1"/>
    <col min="6414" max="6414" width="11.875" style="214" customWidth="1"/>
    <col min="6415" max="6415" width="16" style="214" bestFit="1" customWidth="1"/>
    <col min="6416" max="6656" width="9" style="214"/>
    <col min="6657" max="6657" width="2.625" style="214" customWidth="1"/>
    <col min="6658" max="6658" width="1.25" style="214" customWidth="1"/>
    <col min="6659" max="6659" width="14.125" style="214" customWidth="1"/>
    <col min="6660" max="6661" width="13" style="214" customWidth="1"/>
    <col min="6662" max="6662" width="10.25" style="214" customWidth="1"/>
    <col min="6663" max="6663" width="11.375" style="214" customWidth="1"/>
    <col min="6664" max="6664" width="12.875" style="214" customWidth="1"/>
    <col min="6665" max="6665" width="12" style="214" customWidth="1"/>
    <col min="6666" max="6666" width="12.75" style="214" customWidth="1"/>
    <col min="6667" max="6667" width="13" style="214" customWidth="1"/>
    <col min="6668" max="6668" width="13.75" style="214" bestFit="1" customWidth="1"/>
    <col min="6669" max="6669" width="11.375" style="214" customWidth="1"/>
    <col min="6670" max="6670" width="11.875" style="214" customWidth="1"/>
    <col min="6671" max="6671" width="16" style="214" bestFit="1" customWidth="1"/>
    <col min="6672" max="6912" width="9" style="214"/>
    <col min="6913" max="6913" width="2.625" style="214" customWidth="1"/>
    <col min="6914" max="6914" width="1.25" style="214" customWidth="1"/>
    <col min="6915" max="6915" width="14.125" style="214" customWidth="1"/>
    <col min="6916" max="6917" width="13" style="214" customWidth="1"/>
    <col min="6918" max="6918" width="10.25" style="214" customWidth="1"/>
    <col min="6919" max="6919" width="11.375" style="214" customWidth="1"/>
    <col min="6920" max="6920" width="12.875" style="214" customWidth="1"/>
    <col min="6921" max="6921" width="12" style="214" customWidth="1"/>
    <col min="6922" max="6922" width="12.75" style="214" customWidth="1"/>
    <col min="6923" max="6923" width="13" style="214" customWidth="1"/>
    <col min="6924" max="6924" width="13.75" style="214" bestFit="1" customWidth="1"/>
    <col min="6925" max="6925" width="11.375" style="214" customWidth="1"/>
    <col min="6926" max="6926" width="11.875" style="214" customWidth="1"/>
    <col min="6927" max="6927" width="16" style="214" bestFit="1" customWidth="1"/>
    <col min="6928" max="7168" width="9" style="214"/>
    <col min="7169" max="7169" width="2.625" style="214" customWidth="1"/>
    <col min="7170" max="7170" width="1.25" style="214" customWidth="1"/>
    <col min="7171" max="7171" width="14.125" style="214" customWidth="1"/>
    <col min="7172" max="7173" width="13" style="214" customWidth="1"/>
    <col min="7174" max="7174" width="10.25" style="214" customWidth="1"/>
    <col min="7175" max="7175" width="11.375" style="214" customWidth="1"/>
    <col min="7176" max="7176" width="12.875" style="214" customWidth="1"/>
    <col min="7177" max="7177" width="12" style="214" customWidth="1"/>
    <col min="7178" max="7178" width="12.75" style="214" customWidth="1"/>
    <col min="7179" max="7179" width="13" style="214" customWidth="1"/>
    <col min="7180" max="7180" width="13.75" style="214" bestFit="1" customWidth="1"/>
    <col min="7181" max="7181" width="11.375" style="214" customWidth="1"/>
    <col min="7182" max="7182" width="11.875" style="214" customWidth="1"/>
    <col min="7183" max="7183" width="16" style="214" bestFit="1" customWidth="1"/>
    <col min="7184" max="7424" width="9" style="214"/>
    <col min="7425" max="7425" width="2.625" style="214" customWidth="1"/>
    <col min="7426" max="7426" width="1.25" style="214" customWidth="1"/>
    <col min="7427" max="7427" width="14.125" style="214" customWidth="1"/>
    <col min="7428" max="7429" width="13" style="214" customWidth="1"/>
    <col min="7430" max="7430" width="10.25" style="214" customWidth="1"/>
    <col min="7431" max="7431" width="11.375" style="214" customWidth="1"/>
    <col min="7432" max="7432" width="12.875" style="214" customWidth="1"/>
    <col min="7433" max="7433" width="12" style="214" customWidth="1"/>
    <col min="7434" max="7434" width="12.75" style="214" customWidth="1"/>
    <col min="7435" max="7435" width="13" style="214" customWidth="1"/>
    <col min="7436" max="7436" width="13.75" style="214" bestFit="1" customWidth="1"/>
    <col min="7437" max="7437" width="11.375" style="214" customWidth="1"/>
    <col min="7438" max="7438" width="11.875" style="214" customWidth="1"/>
    <col min="7439" max="7439" width="16" style="214" bestFit="1" customWidth="1"/>
    <col min="7440" max="7680" width="9" style="214"/>
    <col min="7681" max="7681" width="2.625" style="214" customWidth="1"/>
    <col min="7682" max="7682" width="1.25" style="214" customWidth="1"/>
    <col min="7683" max="7683" width="14.125" style="214" customWidth="1"/>
    <col min="7684" max="7685" width="13" style="214" customWidth="1"/>
    <col min="7686" max="7686" width="10.25" style="214" customWidth="1"/>
    <col min="7687" max="7687" width="11.375" style="214" customWidth="1"/>
    <col min="7688" max="7688" width="12.875" style="214" customWidth="1"/>
    <col min="7689" max="7689" width="12" style="214" customWidth="1"/>
    <col min="7690" max="7690" width="12.75" style="214" customWidth="1"/>
    <col min="7691" max="7691" width="13" style="214" customWidth="1"/>
    <col min="7692" max="7692" width="13.75" style="214" bestFit="1" customWidth="1"/>
    <col min="7693" max="7693" width="11.375" style="214" customWidth="1"/>
    <col min="7694" max="7694" width="11.875" style="214" customWidth="1"/>
    <col min="7695" max="7695" width="16" style="214" bestFit="1" customWidth="1"/>
    <col min="7696" max="7936" width="9" style="214"/>
    <col min="7937" max="7937" width="2.625" style="214" customWidth="1"/>
    <col min="7938" max="7938" width="1.25" style="214" customWidth="1"/>
    <col min="7939" max="7939" width="14.125" style="214" customWidth="1"/>
    <col min="7940" max="7941" width="13" style="214" customWidth="1"/>
    <col min="7942" max="7942" width="10.25" style="214" customWidth="1"/>
    <col min="7943" max="7943" width="11.375" style="214" customWidth="1"/>
    <col min="7944" max="7944" width="12.875" style="214" customWidth="1"/>
    <col min="7945" max="7945" width="12" style="214" customWidth="1"/>
    <col min="7946" max="7946" width="12.75" style="214" customWidth="1"/>
    <col min="7947" max="7947" width="13" style="214" customWidth="1"/>
    <col min="7948" max="7948" width="13.75" style="214" bestFit="1" customWidth="1"/>
    <col min="7949" max="7949" width="11.375" style="214" customWidth="1"/>
    <col min="7950" max="7950" width="11.875" style="214" customWidth="1"/>
    <col min="7951" max="7951" width="16" style="214" bestFit="1" customWidth="1"/>
    <col min="7952" max="8192" width="9" style="214"/>
    <col min="8193" max="8193" width="2.625" style="214" customWidth="1"/>
    <col min="8194" max="8194" width="1.25" style="214" customWidth="1"/>
    <col min="8195" max="8195" width="14.125" style="214" customWidth="1"/>
    <col min="8196" max="8197" width="13" style="214" customWidth="1"/>
    <col min="8198" max="8198" width="10.25" style="214" customWidth="1"/>
    <col min="8199" max="8199" width="11.375" style="214" customWidth="1"/>
    <col min="8200" max="8200" width="12.875" style="214" customWidth="1"/>
    <col min="8201" max="8201" width="12" style="214" customWidth="1"/>
    <col min="8202" max="8202" width="12.75" style="214" customWidth="1"/>
    <col min="8203" max="8203" width="13" style="214" customWidth="1"/>
    <col min="8204" max="8204" width="13.75" style="214" bestFit="1" customWidth="1"/>
    <col min="8205" max="8205" width="11.375" style="214" customWidth="1"/>
    <col min="8206" max="8206" width="11.875" style="214" customWidth="1"/>
    <col min="8207" max="8207" width="16" style="214" bestFit="1" customWidth="1"/>
    <col min="8208" max="8448" width="9" style="214"/>
    <col min="8449" max="8449" width="2.625" style="214" customWidth="1"/>
    <col min="8450" max="8450" width="1.25" style="214" customWidth="1"/>
    <col min="8451" max="8451" width="14.125" style="214" customWidth="1"/>
    <col min="8452" max="8453" width="13" style="214" customWidth="1"/>
    <col min="8454" max="8454" width="10.25" style="214" customWidth="1"/>
    <col min="8455" max="8455" width="11.375" style="214" customWidth="1"/>
    <col min="8456" max="8456" width="12.875" style="214" customWidth="1"/>
    <col min="8457" max="8457" width="12" style="214" customWidth="1"/>
    <col min="8458" max="8458" width="12.75" style="214" customWidth="1"/>
    <col min="8459" max="8459" width="13" style="214" customWidth="1"/>
    <col min="8460" max="8460" width="13.75" style="214" bestFit="1" customWidth="1"/>
    <col min="8461" max="8461" width="11.375" style="214" customWidth="1"/>
    <col min="8462" max="8462" width="11.875" style="214" customWidth="1"/>
    <col min="8463" max="8463" width="16" style="214" bestFit="1" customWidth="1"/>
    <col min="8464" max="8704" width="9" style="214"/>
    <col min="8705" max="8705" width="2.625" style="214" customWidth="1"/>
    <col min="8706" max="8706" width="1.25" style="214" customWidth="1"/>
    <col min="8707" max="8707" width="14.125" style="214" customWidth="1"/>
    <col min="8708" max="8709" width="13" style="214" customWidth="1"/>
    <col min="8710" max="8710" width="10.25" style="214" customWidth="1"/>
    <col min="8711" max="8711" width="11.375" style="214" customWidth="1"/>
    <col min="8712" max="8712" width="12.875" style="214" customWidth="1"/>
    <col min="8713" max="8713" width="12" style="214" customWidth="1"/>
    <col min="8714" max="8714" width="12.75" style="214" customWidth="1"/>
    <col min="8715" max="8715" width="13" style="214" customWidth="1"/>
    <col min="8716" max="8716" width="13.75" style="214" bestFit="1" customWidth="1"/>
    <col min="8717" max="8717" width="11.375" style="214" customWidth="1"/>
    <col min="8718" max="8718" width="11.875" style="214" customWidth="1"/>
    <col min="8719" max="8719" width="16" style="214" bestFit="1" customWidth="1"/>
    <col min="8720" max="8960" width="9" style="214"/>
    <col min="8961" max="8961" width="2.625" style="214" customWidth="1"/>
    <col min="8962" max="8962" width="1.25" style="214" customWidth="1"/>
    <col min="8963" max="8963" width="14.125" style="214" customWidth="1"/>
    <col min="8964" max="8965" width="13" style="214" customWidth="1"/>
    <col min="8966" max="8966" width="10.25" style="214" customWidth="1"/>
    <col min="8967" max="8967" width="11.375" style="214" customWidth="1"/>
    <col min="8968" max="8968" width="12.875" style="214" customWidth="1"/>
    <col min="8969" max="8969" width="12" style="214" customWidth="1"/>
    <col min="8970" max="8970" width="12.75" style="214" customWidth="1"/>
    <col min="8971" max="8971" width="13" style="214" customWidth="1"/>
    <col min="8972" max="8972" width="13.75" style="214" bestFit="1" customWidth="1"/>
    <col min="8973" max="8973" width="11.375" style="214" customWidth="1"/>
    <col min="8974" max="8974" width="11.875" style="214" customWidth="1"/>
    <col min="8975" max="8975" width="16" style="214" bestFit="1" customWidth="1"/>
    <col min="8976" max="9216" width="9" style="214"/>
    <col min="9217" max="9217" width="2.625" style="214" customWidth="1"/>
    <col min="9218" max="9218" width="1.25" style="214" customWidth="1"/>
    <col min="9219" max="9219" width="14.125" style="214" customWidth="1"/>
    <col min="9220" max="9221" width="13" style="214" customWidth="1"/>
    <col min="9222" max="9222" width="10.25" style="214" customWidth="1"/>
    <col min="9223" max="9223" width="11.375" style="214" customWidth="1"/>
    <col min="9224" max="9224" width="12.875" style="214" customWidth="1"/>
    <col min="9225" max="9225" width="12" style="214" customWidth="1"/>
    <col min="9226" max="9226" width="12.75" style="214" customWidth="1"/>
    <col min="9227" max="9227" width="13" style="214" customWidth="1"/>
    <col min="9228" max="9228" width="13.75" style="214" bestFit="1" customWidth="1"/>
    <col min="9229" max="9229" width="11.375" style="214" customWidth="1"/>
    <col min="9230" max="9230" width="11.875" style="214" customWidth="1"/>
    <col min="9231" max="9231" width="16" style="214" bestFit="1" customWidth="1"/>
    <col min="9232" max="9472" width="9" style="214"/>
    <col min="9473" max="9473" width="2.625" style="214" customWidth="1"/>
    <col min="9474" max="9474" width="1.25" style="214" customWidth="1"/>
    <col min="9475" max="9475" width="14.125" style="214" customWidth="1"/>
    <col min="9476" max="9477" width="13" style="214" customWidth="1"/>
    <col min="9478" max="9478" width="10.25" style="214" customWidth="1"/>
    <col min="9479" max="9479" width="11.375" style="214" customWidth="1"/>
    <col min="9480" max="9480" width="12.875" style="214" customWidth="1"/>
    <col min="9481" max="9481" width="12" style="214" customWidth="1"/>
    <col min="9482" max="9482" width="12.75" style="214" customWidth="1"/>
    <col min="9483" max="9483" width="13" style="214" customWidth="1"/>
    <col min="9484" max="9484" width="13.75" style="214" bestFit="1" customWidth="1"/>
    <col min="9485" max="9485" width="11.375" style="214" customWidth="1"/>
    <col min="9486" max="9486" width="11.875" style="214" customWidth="1"/>
    <col min="9487" max="9487" width="16" style="214" bestFit="1" customWidth="1"/>
    <col min="9488" max="9728" width="9" style="214"/>
    <col min="9729" max="9729" width="2.625" style="214" customWidth="1"/>
    <col min="9730" max="9730" width="1.25" style="214" customWidth="1"/>
    <col min="9731" max="9731" width="14.125" style="214" customWidth="1"/>
    <col min="9732" max="9733" width="13" style="214" customWidth="1"/>
    <col min="9734" max="9734" width="10.25" style="214" customWidth="1"/>
    <col min="9735" max="9735" width="11.375" style="214" customWidth="1"/>
    <col min="9736" max="9736" width="12.875" style="214" customWidth="1"/>
    <col min="9737" max="9737" width="12" style="214" customWidth="1"/>
    <col min="9738" max="9738" width="12.75" style="214" customWidth="1"/>
    <col min="9739" max="9739" width="13" style="214" customWidth="1"/>
    <col min="9740" max="9740" width="13.75" style="214" bestFit="1" customWidth="1"/>
    <col min="9741" max="9741" width="11.375" style="214" customWidth="1"/>
    <col min="9742" max="9742" width="11.875" style="214" customWidth="1"/>
    <col min="9743" max="9743" width="16" style="214" bestFit="1" customWidth="1"/>
    <col min="9744" max="9984" width="9" style="214"/>
    <col min="9985" max="9985" width="2.625" style="214" customWidth="1"/>
    <col min="9986" max="9986" width="1.25" style="214" customWidth="1"/>
    <col min="9987" max="9987" width="14.125" style="214" customWidth="1"/>
    <col min="9988" max="9989" width="13" style="214" customWidth="1"/>
    <col min="9990" max="9990" width="10.25" style="214" customWidth="1"/>
    <col min="9991" max="9991" width="11.375" style="214" customWidth="1"/>
    <col min="9992" max="9992" width="12.875" style="214" customWidth="1"/>
    <col min="9993" max="9993" width="12" style="214" customWidth="1"/>
    <col min="9994" max="9994" width="12.75" style="214" customWidth="1"/>
    <col min="9995" max="9995" width="13" style="214" customWidth="1"/>
    <col min="9996" max="9996" width="13.75" style="214" bestFit="1" customWidth="1"/>
    <col min="9997" max="9997" width="11.375" style="214" customWidth="1"/>
    <col min="9998" max="9998" width="11.875" style="214" customWidth="1"/>
    <col min="9999" max="9999" width="16" style="214" bestFit="1" customWidth="1"/>
    <col min="10000" max="10240" width="9" style="214"/>
    <col min="10241" max="10241" width="2.625" style="214" customWidth="1"/>
    <col min="10242" max="10242" width="1.25" style="214" customWidth="1"/>
    <col min="10243" max="10243" width="14.125" style="214" customWidth="1"/>
    <col min="10244" max="10245" width="13" style="214" customWidth="1"/>
    <col min="10246" max="10246" width="10.25" style="214" customWidth="1"/>
    <col min="10247" max="10247" width="11.375" style="214" customWidth="1"/>
    <col min="10248" max="10248" width="12.875" style="214" customWidth="1"/>
    <col min="10249" max="10249" width="12" style="214" customWidth="1"/>
    <col min="10250" max="10250" width="12.75" style="214" customWidth="1"/>
    <col min="10251" max="10251" width="13" style="214" customWidth="1"/>
    <col min="10252" max="10252" width="13.75" style="214" bestFit="1" customWidth="1"/>
    <col min="10253" max="10253" width="11.375" style="214" customWidth="1"/>
    <col min="10254" max="10254" width="11.875" style="214" customWidth="1"/>
    <col min="10255" max="10255" width="16" style="214" bestFit="1" customWidth="1"/>
    <col min="10256" max="10496" width="9" style="214"/>
    <col min="10497" max="10497" width="2.625" style="214" customWidth="1"/>
    <col min="10498" max="10498" width="1.25" style="214" customWidth="1"/>
    <col min="10499" max="10499" width="14.125" style="214" customWidth="1"/>
    <col min="10500" max="10501" width="13" style="214" customWidth="1"/>
    <col min="10502" max="10502" width="10.25" style="214" customWidth="1"/>
    <col min="10503" max="10503" width="11.375" style="214" customWidth="1"/>
    <col min="10504" max="10504" width="12.875" style="214" customWidth="1"/>
    <col min="10505" max="10505" width="12" style="214" customWidth="1"/>
    <col min="10506" max="10506" width="12.75" style="214" customWidth="1"/>
    <col min="10507" max="10507" width="13" style="214" customWidth="1"/>
    <col min="10508" max="10508" width="13.75" style="214" bestFit="1" customWidth="1"/>
    <col min="10509" max="10509" width="11.375" style="214" customWidth="1"/>
    <col min="10510" max="10510" width="11.875" style="214" customWidth="1"/>
    <col min="10511" max="10511" width="16" style="214" bestFit="1" customWidth="1"/>
    <col min="10512" max="10752" width="9" style="214"/>
    <col min="10753" max="10753" width="2.625" style="214" customWidth="1"/>
    <col min="10754" max="10754" width="1.25" style="214" customWidth="1"/>
    <col min="10755" max="10755" width="14.125" style="214" customWidth="1"/>
    <col min="10756" max="10757" width="13" style="214" customWidth="1"/>
    <col min="10758" max="10758" width="10.25" style="214" customWidth="1"/>
    <col min="10759" max="10759" width="11.375" style="214" customWidth="1"/>
    <col min="10760" max="10760" width="12.875" style="214" customWidth="1"/>
    <col min="10761" max="10761" width="12" style="214" customWidth="1"/>
    <col min="10762" max="10762" width="12.75" style="214" customWidth="1"/>
    <col min="10763" max="10763" width="13" style="214" customWidth="1"/>
    <col min="10764" max="10764" width="13.75" style="214" bestFit="1" customWidth="1"/>
    <col min="10765" max="10765" width="11.375" style="214" customWidth="1"/>
    <col min="10766" max="10766" width="11.875" style="214" customWidth="1"/>
    <col min="10767" max="10767" width="16" style="214" bestFit="1" customWidth="1"/>
    <col min="10768" max="11008" width="9" style="214"/>
    <col min="11009" max="11009" width="2.625" style="214" customWidth="1"/>
    <col min="11010" max="11010" width="1.25" style="214" customWidth="1"/>
    <col min="11011" max="11011" width="14.125" style="214" customWidth="1"/>
    <col min="11012" max="11013" width="13" style="214" customWidth="1"/>
    <col min="11014" max="11014" width="10.25" style="214" customWidth="1"/>
    <col min="11015" max="11015" width="11.375" style="214" customWidth="1"/>
    <col min="11016" max="11016" width="12.875" style="214" customWidth="1"/>
    <col min="11017" max="11017" width="12" style="214" customWidth="1"/>
    <col min="11018" max="11018" width="12.75" style="214" customWidth="1"/>
    <col min="11019" max="11019" width="13" style="214" customWidth="1"/>
    <col min="11020" max="11020" width="13.75" style="214" bestFit="1" customWidth="1"/>
    <col min="11021" max="11021" width="11.375" style="214" customWidth="1"/>
    <col min="11022" max="11022" width="11.875" style="214" customWidth="1"/>
    <col min="11023" max="11023" width="16" style="214" bestFit="1" customWidth="1"/>
    <col min="11024" max="11264" width="9" style="214"/>
    <col min="11265" max="11265" width="2.625" style="214" customWidth="1"/>
    <col min="11266" max="11266" width="1.25" style="214" customWidth="1"/>
    <col min="11267" max="11267" width="14.125" style="214" customWidth="1"/>
    <col min="11268" max="11269" width="13" style="214" customWidth="1"/>
    <col min="11270" max="11270" width="10.25" style="214" customWidth="1"/>
    <col min="11271" max="11271" width="11.375" style="214" customWidth="1"/>
    <col min="11272" max="11272" width="12.875" style="214" customWidth="1"/>
    <col min="11273" max="11273" width="12" style="214" customWidth="1"/>
    <col min="11274" max="11274" width="12.75" style="214" customWidth="1"/>
    <col min="11275" max="11275" width="13" style="214" customWidth="1"/>
    <col min="11276" max="11276" width="13.75" style="214" bestFit="1" customWidth="1"/>
    <col min="11277" max="11277" width="11.375" style="214" customWidth="1"/>
    <col min="11278" max="11278" width="11.875" style="214" customWidth="1"/>
    <col min="11279" max="11279" width="16" style="214" bestFit="1" customWidth="1"/>
    <col min="11280" max="11520" width="9" style="214"/>
    <col min="11521" max="11521" width="2.625" style="214" customWidth="1"/>
    <col min="11522" max="11522" width="1.25" style="214" customWidth="1"/>
    <col min="11523" max="11523" width="14.125" style="214" customWidth="1"/>
    <col min="11524" max="11525" width="13" style="214" customWidth="1"/>
    <col min="11526" max="11526" width="10.25" style="214" customWidth="1"/>
    <col min="11527" max="11527" width="11.375" style="214" customWidth="1"/>
    <col min="11528" max="11528" width="12.875" style="214" customWidth="1"/>
    <col min="11529" max="11529" width="12" style="214" customWidth="1"/>
    <col min="11530" max="11530" width="12.75" style="214" customWidth="1"/>
    <col min="11531" max="11531" width="13" style="214" customWidth="1"/>
    <col min="11532" max="11532" width="13.75" style="214" bestFit="1" customWidth="1"/>
    <col min="11533" max="11533" width="11.375" style="214" customWidth="1"/>
    <col min="11534" max="11534" width="11.875" style="214" customWidth="1"/>
    <col min="11535" max="11535" width="16" style="214" bestFit="1" customWidth="1"/>
    <col min="11536" max="11776" width="9" style="214"/>
    <col min="11777" max="11777" width="2.625" style="214" customWidth="1"/>
    <col min="11778" max="11778" width="1.25" style="214" customWidth="1"/>
    <col min="11779" max="11779" width="14.125" style="214" customWidth="1"/>
    <col min="11780" max="11781" width="13" style="214" customWidth="1"/>
    <col min="11782" max="11782" width="10.25" style="214" customWidth="1"/>
    <col min="11783" max="11783" width="11.375" style="214" customWidth="1"/>
    <col min="11784" max="11784" width="12.875" style="214" customWidth="1"/>
    <col min="11785" max="11785" width="12" style="214" customWidth="1"/>
    <col min="11786" max="11786" width="12.75" style="214" customWidth="1"/>
    <col min="11787" max="11787" width="13" style="214" customWidth="1"/>
    <col min="11788" max="11788" width="13.75" style="214" bestFit="1" customWidth="1"/>
    <col min="11789" max="11789" width="11.375" style="214" customWidth="1"/>
    <col min="11790" max="11790" width="11.875" style="214" customWidth="1"/>
    <col min="11791" max="11791" width="16" style="214" bestFit="1" customWidth="1"/>
    <col min="11792" max="12032" width="9" style="214"/>
    <col min="12033" max="12033" width="2.625" style="214" customWidth="1"/>
    <col min="12034" max="12034" width="1.25" style="214" customWidth="1"/>
    <col min="12035" max="12035" width="14.125" style="214" customWidth="1"/>
    <col min="12036" max="12037" width="13" style="214" customWidth="1"/>
    <col min="12038" max="12038" width="10.25" style="214" customWidth="1"/>
    <col min="12039" max="12039" width="11.375" style="214" customWidth="1"/>
    <col min="12040" max="12040" width="12.875" style="214" customWidth="1"/>
    <col min="12041" max="12041" width="12" style="214" customWidth="1"/>
    <col min="12042" max="12042" width="12.75" style="214" customWidth="1"/>
    <col min="12043" max="12043" width="13" style="214" customWidth="1"/>
    <col min="12044" max="12044" width="13.75" style="214" bestFit="1" customWidth="1"/>
    <col min="12045" max="12045" width="11.375" style="214" customWidth="1"/>
    <col min="12046" max="12046" width="11.875" style="214" customWidth="1"/>
    <col min="12047" max="12047" width="16" style="214" bestFit="1" customWidth="1"/>
    <col min="12048" max="12288" width="9" style="214"/>
    <col min="12289" max="12289" width="2.625" style="214" customWidth="1"/>
    <col min="12290" max="12290" width="1.25" style="214" customWidth="1"/>
    <col min="12291" max="12291" width="14.125" style="214" customWidth="1"/>
    <col min="12292" max="12293" width="13" style="214" customWidth="1"/>
    <col min="12294" max="12294" width="10.25" style="214" customWidth="1"/>
    <col min="12295" max="12295" width="11.375" style="214" customWidth="1"/>
    <col min="12296" max="12296" width="12.875" style="214" customWidth="1"/>
    <col min="12297" max="12297" width="12" style="214" customWidth="1"/>
    <col min="12298" max="12298" width="12.75" style="214" customWidth="1"/>
    <col min="12299" max="12299" width="13" style="214" customWidth="1"/>
    <col min="12300" max="12300" width="13.75" style="214" bestFit="1" customWidth="1"/>
    <col min="12301" max="12301" width="11.375" style="214" customWidth="1"/>
    <col min="12302" max="12302" width="11.875" style="214" customWidth="1"/>
    <col min="12303" max="12303" width="16" style="214" bestFit="1" customWidth="1"/>
    <col min="12304" max="12544" width="9" style="214"/>
    <col min="12545" max="12545" width="2.625" style="214" customWidth="1"/>
    <col min="12546" max="12546" width="1.25" style="214" customWidth="1"/>
    <col min="12547" max="12547" width="14.125" style="214" customWidth="1"/>
    <col min="12548" max="12549" width="13" style="214" customWidth="1"/>
    <col min="12550" max="12550" width="10.25" style="214" customWidth="1"/>
    <col min="12551" max="12551" width="11.375" style="214" customWidth="1"/>
    <col min="12552" max="12552" width="12.875" style="214" customWidth="1"/>
    <col min="12553" max="12553" width="12" style="214" customWidth="1"/>
    <col min="12554" max="12554" width="12.75" style="214" customWidth="1"/>
    <col min="12555" max="12555" width="13" style="214" customWidth="1"/>
    <col min="12556" max="12556" width="13.75" style="214" bestFit="1" customWidth="1"/>
    <col min="12557" max="12557" width="11.375" style="214" customWidth="1"/>
    <col min="12558" max="12558" width="11.875" style="214" customWidth="1"/>
    <col min="12559" max="12559" width="16" style="214" bestFit="1" customWidth="1"/>
    <col min="12560" max="12800" width="9" style="214"/>
    <col min="12801" max="12801" width="2.625" style="214" customWidth="1"/>
    <col min="12802" max="12802" width="1.25" style="214" customWidth="1"/>
    <col min="12803" max="12803" width="14.125" style="214" customWidth="1"/>
    <col min="12804" max="12805" width="13" style="214" customWidth="1"/>
    <col min="12806" max="12806" width="10.25" style="214" customWidth="1"/>
    <col min="12807" max="12807" width="11.375" style="214" customWidth="1"/>
    <col min="12808" max="12808" width="12.875" style="214" customWidth="1"/>
    <col min="12809" max="12809" width="12" style="214" customWidth="1"/>
    <col min="12810" max="12810" width="12.75" style="214" customWidth="1"/>
    <col min="12811" max="12811" width="13" style="214" customWidth="1"/>
    <col min="12812" max="12812" width="13.75" style="214" bestFit="1" customWidth="1"/>
    <col min="12813" max="12813" width="11.375" style="214" customWidth="1"/>
    <col min="12814" max="12814" width="11.875" style="214" customWidth="1"/>
    <col min="12815" max="12815" width="16" style="214" bestFit="1" customWidth="1"/>
    <col min="12816" max="13056" width="9" style="214"/>
    <col min="13057" max="13057" width="2.625" style="214" customWidth="1"/>
    <col min="13058" max="13058" width="1.25" style="214" customWidth="1"/>
    <col min="13059" max="13059" width="14.125" style="214" customWidth="1"/>
    <col min="13060" max="13061" width="13" style="214" customWidth="1"/>
    <col min="13062" max="13062" width="10.25" style="214" customWidth="1"/>
    <col min="13063" max="13063" width="11.375" style="214" customWidth="1"/>
    <col min="13064" max="13064" width="12.875" style="214" customWidth="1"/>
    <col min="13065" max="13065" width="12" style="214" customWidth="1"/>
    <col min="13066" max="13066" width="12.75" style="214" customWidth="1"/>
    <col min="13067" max="13067" width="13" style="214" customWidth="1"/>
    <col min="13068" max="13068" width="13.75" style="214" bestFit="1" customWidth="1"/>
    <col min="13069" max="13069" width="11.375" style="214" customWidth="1"/>
    <col min="13070" max="13070" width="11.875" style="214" customWidth="1"/>
    <col min="13071" max="13071" width="16" style="214" bestFit="1" customWidth="1"/>
    <col min="13072" max="13312" width="9" style="214"/>
    <col min="13313" max="13313" width="2.625" style="214" customWidth="1"/>
    <col min="13314" max="13314" width="1.25" style="214" customWidth="1"/>
    <col min="13315" max="13315" width="14.125" style="214" customWidth="1"/>
    <col min="13316" max="13317" width="13" style="214" customWidth="1"/>
    <col min="13318" max="13318" width="10.25" style="214" customWidth="1"/>
    <col min="13319" max="13319" width="11.375" style="214" customWidth="1"/>
    <col min="13320" max="13320" width="12.875" style="214" customWidth="1"/>
    <col min="13321" max="13321" width="12" style="214" customWidth="1"/>
    <col min="13322" max="13322" width="12.75" style="214" customWidth="1"/>
    <col min="13323" max="13323" width="13" style="214" customWidth="1"/>
    <col min="13324" max="13324" width="13.75" style="214" bestFit="1" customWidth="1"/>
    <col min="13325" max="13325" width="11.375" style="214" customWidth="1"/>
    <col min="13326" max="13326" width="11.875" style="214" customWidth="1"/>
    <col min="13327" max="13327" width="16" style="214" bestFit="1" customWidth="1"/>
    <col min="13328" max="13568" width="9" style="214"/>
    <col min="13569" max="13569" width="2.625" style="214" customWidth="1"/>
    <col min="13570" max="13570" width="1.25" style="214" customWidth="1"/>
    <col min="13571" max="13571" width="14.125" style="214" customWidth="1"/>
    <col min="13572" max="13573" width="13" style="214" customWidth="1"/>
    <col min="13574" max="13574" width="10.25" style="214" customWidth="1"/>
    <col min="13575" max="13575" width="11.375" style="214" customWidth="1"/>
    <col min="13576" max="13576" width="12.875" style="214" customWidth="1"/>
    <col min="13577" max="13577" width="12" style="214" customWidth="1"/>
    <col min="13578" max="13578" width="12.75" style="214" customWidth="1"/>
    <col min="13579" max="13579" width="13" style="214" customWidth="1"/>
    <col min="13580" max="13580" width="13.75" style="214" bestFit="1" customWidth="1"/>
    <col min="13581" max="13581" width="11.375" style="214" customWidth="1"/>
    <col min="13582" max="13582" width="11.875" style="214" customWidth="1"/>
    <col min="13583" max="13583" width="16" style="214" bestFit="1" customWidth="1"/>
    <col min="13584" max="13824" width="9" style="214"/>
    <col min="13825" max="13825" width="2.625" style="214" customWidth="1"/>
    <col min="13826" max="13826" width="1.25" style="214" customWidth="1"/>
    <col min="13827" max="13827" width="14.125" style="214" customWidth="1"/>
    <col min="13828" max="13829" width="13" style="214" customWidth="1"/>
    <col min="13830" max="13830" width="10.25" style="214" customWidth="1"/>
    <col min="13831" max="13831" width="11.375" style="214" customWidth="1"/>
    <col min="13832" max="13832" width="12.875" style="214" customWidth="1"/>
    <col min="13833" max="13833" width="12" style="214" customWidth="1"/>
    <col min="13834" max="13834" width="12.75" style="214" customWidth="1"/>
    <col min="13835" max="13835" width="13" style="214" customWidth="1"/>
    <col min="13836" max="13836" width="13.75" style="214" bestFit="1" customWidth="1"/>
    <col min="13837" max="13837" width="11.375" style="214" customWidth="1"/>
    <col min="13838" max="13838" width="11.875" style="214" customWidth="1"/>
    <col min="13839" max="13839" width="16" style="214" bestFit="1" customWidth="1"/>
    <col min="13840" max="14080" width="9" style="214"/>
    <col min="14081" max="14081" width="2.625" style="214" customWidth="1"/>
    <col min="14082" max="14082" width="1.25" style="214" customWidth="1"/>
    <col min="14083" max="14083" width="14.125" style="214" customWidth="1"/>
    <col min="14084" max="14085" width="13" style="214" customWidth="1"/>
    <col min="14086" max="14086" width="10.25" style="214" customWidth="1"/>
    <col min="14087" max="14087" width="11.375" style="214" customWidth="1"/>
    <col min="14088" max="14088" width="12.875" style="214" customWidth="1"/>
    <col min="14089" max="14089" width="12" style="214" customWidth="1"/>
    <col min="14090" max="14090" width="12.75" style="214" customWidth="1"/>
    <col min="14091" max="14091" width="13" style="214" customWidth="1"/>
    <col min="14092" max="14092" width="13.75" style="214" bestFit="1" customWidth="1"/>
    <col min="14093" max="14093" width="11.375" style="214" customWidth="1"/>
    <col min="14094" max="14094" width="11.875" style="214" customWidth="1"/>
    <col min="14095" max="14095" width="16" style="214" bestFit="1" customWidth="1"/>
    <col min="14096" max="14336" width="9" style="214"/>
    <col min="14337" max="14337" width="2.625" style="214" customWidth="1"/>
    <col min="14338" max="14338" width="1.25" style="214" customWidth="1"/>
    <col min="14339" max="14339" width="14.125" style="214" customWidth="1"/>
    <col min="14340" max="14341" width="13" style="214" customWidth="1"/>
    <col min="14342" max="14342" width="10.25" style="214" customWidth="1"/>
    <col min="14343" max="14343" width="11.375" style="214" customWidth="1"/>
    <col min="14344" max="14344" width="12.875" style="214" customWidth="1"/>
    <col min="14345" max="14345" width="12" style="214" customWidth="1"/>
    <col min="14346" max="14346" width="12.75" style="214" customWidth="1"/>
    <col min="14347" max="14347" width="13" style="214" customWidth="1"/>
    <col min="14348" max="14348" width="13.75" style="214" bestFit="1" customWidth="1"/>
    <col min="14349" max="14349" width="11.375" style="214" customWidth="1"/>
    <col min="14350" max="14350" width="11.875" style="214" customWidth="1"/>
    <col min="14351" max="14351" width="16" style="214" bestFit="1" customWidth="1"/>
    <col min="14352" max="14592" width="9" style="214"/>
    <col min="14593" max="14593" width="2.625" style="214" customWidth="1"/>
    <col min="14594" max="14594" width="1.25" style="214" customWidth="1"/>
    <col min="14595" max="14595" width="14.125" style="214" customWidth="1"/>
    <col min="14596" max="14597" width="13" style="214" customWidth="1"/>
    <col min="14598" max="14598" width="10.25" style="214" customWidth="1"/>
    <col min="14599" max="14599" width="11.375" style="214" customWidth="1"/>
    <col min="14600" max="14600" width="12.875" style="214" customWidth="1"/>
    <col min="14601" max="14601" width="12" style="214" customWidth="1"/>
    <col min="14602" max="14602" width="12.75" style="214" customWidth="1"/>
    <col min="14603" max="14603" width="13" style="214" customWidth="1"/>
    <col min="14604" max="14604" width="13.75" style="214" bestFit="1" customWidth="1"/>
    <col min="14605" max="14605" width="11.375" style="214" customWidth="1"/>
    <col min="14606" max="14606" width="11.875" style="214" customWidth="1"/>
    <col min="14607" max="14607" width="16" style="214" bestFit="1" customWidth="1"/>
    <col min="14608" max="14848" width="9" style="214"/>
    <col min="14849" max="14849" width="2.625" style="214" customWidth="1"/>
    <col min="14850" max="14850" width="1.25" style="214" customWidth="1"/>
    <col min="14851" max="14851" width="14.125" style="214" customWidth="1"/>
    <col min="14852" max="14853" width="13" style="214" customWidth="1"/>
    <col min="14854" max="14854" width="10.25" style="214" customWidth="1"/>
    <col min="14855" max="14855" width="11.375" style="214" customWidth="1"/>
    <col min="14856" max="14856" width="12.875" style="214" customWidth="1"/>
    <col min="14857" max="14857" width="12" style="214" customWidth="1"/>
    <col min="14858" max="14858" width="12.75" style="214" customWidth="1"/>
    <col min="14859" max="14859" width="13" style="214" customWidth="1"/>
    <col min="14860" max="14860" width="13.75" style="214" bestFit="1" customWidth="1"/>
    <col min="14861" max="14861" width="11.375" style="214" customWidth="1"/>
    <col min="14862" max="14862" width="11.875" style="214" customWidth="1"/>
    <col min="14863" max="14863" width="16" style="214" bestFit="1" customWidth="1"/>
    <col min="14864" max="15104" width="9" style="214"/>
    <col min="15105" max="15105" width="2.625" style="214" customWidth="1"/>
    <col min="15106" max="15106" width="1.25" style="214" customWidth="1"/>
    <col min="15107" max="15107" width="14.125" style="214" customWidth="1"/>
    <col min="15108" max="15109" width="13" style="214" customWidth="1"/>
    <col min="15110" max="15110" width="10.25" style="214" customWidth="1"/>
    <col min="15111" max="15111" width="11.375" style="214" customWidth="1"/>
    <col min="15112" max="15112" width="12.875" style="214" customWidth="1"/>
    <col min="15113" max="15113" width="12" style="214" customWidth="1"/>
    <col min="15114" max="15114" width="12.75" style="214" customWidth="1"/>
    <col min="15115" max="15115" width="13" style="214" customWidth="1"/>
    <col min="15116" max="15116" width="13.75" style="214" bestFit="1" customWidth="1"/>
    <col min="15117" max="15117" width="11.375" style="214" customWidth="1"/>
    <col min="15118" max="15118" width="11.875" style="214" customWidth="1"/>
    <col min="15119" max="15119" width="16" style="214" bestFit="1" customWidth="1"/>
    <col min="15120" max="15360" width="9" style="214"/>
    <col min="15361" max="15361" width="2.625" style="214" customWidth="1"/>
    <col min="15362" max="15362" width="1.25" style="214" customWidth="1"/>
    <col min="15363" max="15363" width="14.125" style="214" customWidth="1"/>
    <col min="15364" max="15365" width="13" style="214" customWidth="1"/>
    <col min="15366" max="15366" width="10.25" style="214" customWidth="1"/>
    <col min="15367" max="15367" width="11.375" style="214" customWidth="1"/>
    <col min="15368" max="15368" width="12.875" style="214" customWidth="1"/>
    <col min="15369" max="15369" width="12" style="214" customWidth="1"/>
    <col min="15370" max="15370" width="12.75" style="214" customWidth="1"/>
    <col min="15371" max="15371" width="13" style="214" customWidth="1"/>
    <col min="15372" max="15372" width="13.75" style="214" bestFit="1" customWidth="1"/>
    <col min="15373" max="15373" width="11.375" style="214" customWidth="1"/>
    <col min="15374" max="15374" width="11.875" style="214" customWidth="1"/>
    <col min="15375" max="15375" width="16" style="214" bestFit="1" customWidth="1"/>
    <col min="15376" max="15616" width="9" style="214"/>
    <col min="15617" max="15617" width="2.625" style="214" customWidth="1"/>
    <col min="15618" max="15618" width="1.25" style="214" customWidth="1"/>
    <col min="15619" max="15619" width="14.125" style="214" customWidth="1"/>
    <col min="15620" max="15621" width="13" style="214" customWidth="1"/>
    <col min="15622" max="15622" width="10.25" style="214" customWidth="1"/>
    <col min="15623" max="15623" width="11.375" style="214" customWidth="1"/>
    <col min="15624" max="15624" width="12.875" style="214" customWidth="1"/>
    <col min="15625" max="15625" width="12" style="214" customWidth="1"/>
    <col min="15626" max="15626" width="12.75" style="214" customWidth="1"/>
    <col min="15627" max="15627" width="13" style="214" customWidth="1"/>
    <col min="15628" max="15628" width="13.75" style="214" bestFit="1" customWidth="1"/>
    <col min="15629" max="15629" width="11.375" style="214" customWidth="1"/>
    <col min="15630" max="15630" width="11.875" style="214" customWidth="1"/>
    <col min="15631" max="15631" width="16" style="214" bestFit="1" customWidth="1"/>
    <col min="15632" max="15872" width="9" style="214"/>
    <col min="15873" max="15873" width="2.625" style="214" customWidth="1"/>
    <col min="15874" max="15874" width="1.25" style="214" customWidth="1"/>
    <col min="15875" max="15875" width="14.125" style="214" customWidth="1"/>
    <col min="15876" max="15877" width="13" style="214" customWidth="1"/>
    <col min="15878" max="15878" width="10.25" style="214" customWidth="1"/>
    <col min="15879" max="15879" width="11.375" style="214" customWidth="1"/>
    <col min="15880" max="15880" width="12.875" style="214" customWidth="1"/>
    <col min="15881" max="15881" width="12" style="214" customWidth="1"/>
    <col min="15882" max="15882" width="12.75" style="214" customWidth="1"/>
    <col min="15883" max="15883" width="13" style="214" customWidth="1"/>
    <col min="15884" max="15884" width="13.75" style="214" bestFit="1" customWidth="1"/>
    <col min="15885" max="15885" width="11.375" style="214" customWidth="1"/>
    <col min="15886" max="15886" width="11.875" style="214" customWidth="1"/>
    <col min="15887" max="15887" width="16" style="214" bestFit="1" customWidth="1"/>
    <col min="15888" max="16128" width="9" style="214"/>
    <col min="16129" max="16129" width="2.625" style="214" customWidth="1"/>
    <col min="16130" max="16130" width="1.25" style="214" customWidth="1"/>
    <col min="16131" max="16131" width="14.125" style="214" customWidth="1"/>
    <col min="16132" max="16133" width="13" style="214" customWidth="1"/>
    <col min="16134" max="16134" width="10.25" style="214" customWidth="1"/>
    <col min="16135" max="16135" width="11.375" style="214" customWidth="1"/>
    <col min="16136" max="16136" width="12.875" style="214" customWidth="1"/>
    <col min="16137" max="16137" width="12" style="214" customWidth="1"/>
    <col min="16138" max="16138" width="12.75" style="214" customWidth="1"/>
    <col min="16139" max="16139" width="13" style="214" customWidth="1"/>
    <col min="16140" max="16140" width="13.75" style="214" bestFit="1" customWidth="1"/>
    <col min="16141" max="16141" width="11.375" style="214" customWidth="1"/>
    <col min="16142" max="16142" width="11.875" style="214" customWidth="1"/>
    <col min="16143" max="16143" width="16" style="214" bestFit="1" customWidth="1"/>
    <col min="16144" max="16384" width="9" style="214"/>
  </cols>
  <sheetData>
    <row r="1" spans="1:15" ht="24.75" customHeight="1">
      <c r="A1" s="298" t="str">
        <f>+LEFT('3条税込み(共通按分後)'!A1,2)&amp;"年度経費（雨水・汚水）区分調 (決算・税抜き・消費税分雑支出加算後)"</f>
        <v>3年年度経費（雨水・汚水）区分調 (決算・税抜き・消費税分雑支出加算後)</v>
      </c>
    </row>
    <row r="2" spans="1:15" ht="24.75" customHeight="1" thickBot="1">
      <c r="A2" s="214" t="s">
        <v>293</v>
      </c>
      <c r="K2" s="259" t="s">
        <v>292</v>
      </c>
    </row>
    <row r="3" spans="1:15" ht="24.75" customHeight="1">
      <c r="A3" s="233" t="s">
        <v>291</v>
      </c>
      <c r="B3" s="232"/>
      <c r="C3" s="232"/>
      <c r="D3" s="297" t="s">
        <v>290</v>
      </c>
      <c r="E3" s="296" t="s">
        <v>289</v>
      </c>
      <c r="F3" s="294"/>
      <c r="G3" s="294"/>
      <c r="H3" s="293"/>
      <c r="I3" s="295" t="s">
        <v>288</v>
      </c>
      <c r="J3" s="294"/>
      <c r="K3" s="293"/>
    </row>
    <row r="4" spans="1:15" s="273" customFormat="1" ht="24.75" customHeight="1">
      <c r="A4" s="292"/>
      <c r="B4" s="291"/>
      <c r="C4" s="291"/>
      <c r="D4" s="290"/>
      <c r="E4" s="289" t="s">
        <v>287</v>
      </c>
      <c r="F4" s="288"/>
      <c r="G4" s="287" t="s">
        <v>286</v>
      </c>
      <c r="H4" s="284" t="s">
        <v>285</v>
      </c>
      <c r="I4" s="286" t="s">
        <v>287</v>
      </c>
      <c r="J4" s="285" t="s">
        <v>286</v>
      </c>
      <c r="K4" s="284" t="s">
        <v>285</v>
      </c>
    </row>
    <row r="5" spans="1:15" s="275" customFormat="1" ht="24.75" customHeight="1">
      <c r="A5" s="283"/>
      <c r="B5" s="282"/>
      <c r="C5" s="282"/>
      <c r="D5" s="281"/>
      <c r="E5" s="280" t="s">
        <v>282</v>
      </c>
      <c r="F5" s="277" t="s">
        <v>284</v>
      </c>
      <c r="G5" s="279" t="s">
        <v>283</v>
      </c>
      <c r="H5" s="276"/>
      <c r="I5" s="278" t="s">
        <v>282</v>
      </c>
      <c r="J5" s="277" t="s">
        <v>282</v>
      </c>
      <c r="K5" s="276"/>
      <c r="M5" s="314" t="s">
        <v>295</v>
      </c>
    </row>
    <row r="6" spans="1:15" ht="24.75" customHeight="1">
      <c r="A6" s="265"/>
      <c r="B6" s="255" t="s">
        <v>244</v>
      </c>
      <c r="C6" s="258"/>
      <c r="D6" s="246">
        <f>SUM(D7:D20)</f>
        <v>10791324537</v>
      </c>
      <c r="E6" s="245">
        <f>SUM(E7:E20)</f>
        <v>2202011928</v>
      </c>
      <c r="F6" s="242">
        <f>SUM(F7:F20)</f>
        <v>200060435</v>
      </c>
      <c r="G6" s="242">
        <f>SUM(G7:G20)</f>
        <v>352481640</v>
      </c>
      <c r="H6" s="241">
        <f t="shared" ref="H6:H29" si="0">SUM(E6:G6)</f>
        <v>2754554003</v>
      </c>
      <c r="I6" s="243">
        <f>SUM(I7:I20)</f>
        <v>86618048</v>
      </c>
      <c r="J6" s="242">
        <f>SUM(J7:J20)</f>
        <v>7950152486</v>
      </c>
      <c r="K6" s="241">
        <f t="shared" ref="K6:K29" si="1">SUM(I6:J6)</f>
        <v>8036770534</v>
      </c>
      <c r="M6" s="214">
        <f>SUM(M7:M20)</f>
        <v>820944511</v>
      </c>
      <c r="N6" s="214">
        <f t="shared" ref="N6:N24" si="2">D6-H6-K6</f>
        <v>0</v>
      </c>
    </row>
    <row r="7" spans="1:15" ht="24.75" customHeight="1">
      <c r="A7" s="252"/>
      <c r="B7" s="255"/>
      <c r="C7" s="255" t="s">
        <v>77</v>
      </c>
      <c r="D7" s="246">
        <f>+'3条税抜き(共通按分後)'!D7</f>
        <v>564664608</v>
      </c>
      <c r="E7" s="245">
        <f>+'3条税抜き(共通按分後)'!E7</f>
        <v>212477244</v>
      </c>
      <c r="F7" s="242">
        <f>+'3条税抜き(共通按分後)'!F7</f>
        <v>48359111</v>
      </c>
      <c r="G7" s="242">
        <f>+'3条税抜き(共通按分後)'!G7</f>
        <v>8428779</v>
      </c>
      <c r="H7" s="241">
        <f t="shared" si="0"/>
        <v>269265134</v>
      </c>
      <c r="I7" s="243">
        <f>+'3条税抜き(共通按分後)'!I7</f>
        <v>0</v>
      </c>
      <c r="J7" s="242">
        <f>+'3条税抜き(共通按分後)'!J7</f>
        <v>295399474</v>
      </c>
      <c r="K7" s="241">
        <f t="shared" si="1"/>
        <v>295399474</v>
      </c>
      <c r="M7" s="214">
        <f>'3条税込み(共通按分後)'!D7-'3条税抜き (消費税雑支出加算)(共通按分後)'!D7</f>
        <v>47155349</v>
      </c>
      <c r="N7" s="214">
        <f t="shared" si="2"/>
        <v>0</v>
      </c>
    </row>
    <row r="8" spans="1:15" ht="24.75" customHeight="1">
      <c r="A8" s="252"/>
      <c r="B8" s="256"/>
      <c r="C8" s="255" t="s">
        <v>74</v>
      </c>
      <c r="D8" s="246">
        <f>+'3条税抜き(共通按分後)'!D8</f>
        <v>51313295</v>
      </c>
      <c r="E8" s="245">
        <f>+'3条税抜き(共通按分後)'!E8</f>
        <v>0</v>
      </c>
      <c r="F8" s="242">
        <f>+'3条税抜き(共通按分後)'!F8</f>
        <v>0</v>
      </c>
      <c r="G8" s="242">
        <f>+'3条税抜き(共通按分後)'!G8</f>
        <v>0</v>
      </c>
      <c r="H8" s="241">
        <f t="shared" si="0"/>
        <v>0</v>
      </c>
      <c r="I8" s="243">
        <f>+'3条税抜き(共通按分後)'!I8</f>
        <v>51313295</v>
      </c>
      <c r="J8" s="242">
        <f>+'3条税抜き(共通按分後)'!J8</f>
        <v>0</v>
      </c>
      <c r="K8" s="241">
        <f t="shared" si="1"/>
        <v>51313295</v>
      </c>
      <c r="M8" s="214">
        <f>'3条税込み(共通按分後)'!D8-'3条税抜き (消費税雑支出加算)(共通按分後)'!D8</f>
        <v>1130574</v>
      </c>
      <c r="N8" s="214">
        <f t="shared" si="2"/>
        <v>0</v>
      </c>
    </row>
    <row r="9" spans="1:15" ht="24.75" customHeight="1">
      <c r="A9" s="252"/>
      <c r="B9" s="256"/>
      <c r="C9" s="255" t="s">
        <v>71</v>
      </c>
      <c r="D9" s="246">
        <f>+'3条税抜き(共通按分後)'!D9</f>
        <v>2251657967</v>
      </c>
      <c r="E9" s="245">
        <f>+'3条税抜き(共通按分後)'!E9</f>
        <v>1459731624</v>
      </c>
      <c r="F9" s="242">
        <f>+'3条税抜き(共通按分後)'!F9</f>
        <v>45938202</v>
      </c>
      <c r="G9" s="242">
        <f>+'3条税抜き(共通按分後)'!G9</f>
        <v>0</v>
      </c>
      <c r="H9" s="241">
        <f t="shared" si="0"/>
        <v>1505669826</v>
      </c>
      <c r="I9" s="243">
        <f>+'3条税抜き(共通按分後)'!I9</f>
        <v>0</v>
      </c>
      <c r="J9" s="242">
        <f>+'3条税抜き(共通按分後)'!J9</f>
        <v>745988141</v>
      </c>
      <c r="K9" s="241">
        <f t="shared" si="1"/>
        <v>745988141</v>
      </c>
      <c r="M9" s="214">
        <f>'3条税込み(共通按分後)'!D9-'3条税抜き (消費税雑支出加算)(共通按分後)'!D9</f>
        <v>104382258</v>
      </c>
      <c r="N9" s="214">
        <f t="shared" si="2"/>
        <v>0</v>
      </c>
    </row>
    <row r="10" spans="1:15" ht="24.75" customHeight="1">
      <c r="A10" s="252"/>
      <c r="B10" s="256"/>
      <c r="C10" s="255" t="s">
        <v>69</v>
      </c>
      <c r="D10" s="246">
        <f>+'3条税抜き(共通按分後)'!D10</f>
        <v>6037810078</v>
      </c>
      <c r="E10" s="245">
        <f>+'3条税抜き(共通按分後)'!E10</f>
        <v>531471491</v>
      </c>
      <c r="F10" s="242">
        <f>+'3条税抜き(共通按分後)'!F10</f>
        <v>105914705</v>
      </c>
      <c r="G10" s="242">
        <f>+'3条税抜き(共通按分後)'!G10</f>
        <v>317116718</v>
      </c>
      <c r="H10" s="241">
        <f t="shared" si="0"/>
        <v>954502914</v>
      </c>
      <c r="I10" s="274">
        <f>+'3条税抜き(共通按分後)'!I10</f>
        <v>1375005</v>
      </c>
      <c r="J10" s="242">
        <f>+'3条税抜き(共通按分後)'!J10</f>
        <v>5081932159</v>
      </c>
      <c r="K10" s="241">
        <f t="shared" si="1"/>
        <v>5083307164</v>
      </c>
      <c r="M10" s="214">
        <f>'3条税込み(共通按分後)'!D10-'3条税抜き (消費税雑支出加算)(共通按分後)'!D10</f>
        <v>519893786</v>
      </c>
      <c r="N10" s="214">
        <f t="shared" si="2"/>
        <v>0</v>
      </c>
    </row>
    <row r="11" spans="1:15" ht="24.75" customHeight="1">
      <c r="A11" s="252"/>
      <c r="B11" s="256"/>
      <c r="C11" s="255" t="s">
        <v>67</v>
      </c>
      <c r="D11" s="246">
        <f>+'3条税抜き(共通按分後)'!D11</f>
        <v>0</v>
      </c>
      <c r="E11" s="245">
        <f>+'3条税抜き(共通按分後)'!E11</f>
        <v>0</v>
      </c>
      <c r="F11" s="242">
        <f>+'3条税抜き(共通按分後)'!F11</f>
        <v>0</v>
      </c>
      <c r="G11" s="242">
        <f>+'3条税抜き(共通按分後)'!G11</f>
        <v>0</v>
      </c>
      <c r="H11" s="241">
        <f t="shared" si="0"/>
        <v>0</v>
      </c>
      <c r="I11" s="243">
        <f>+'3条税抜き(共通按分後)'!I11</f>
        <v>0</v>
      </c>
      <c r="J11" s="242">
        <f>+'3条税抜き(共通按分後)'!J11</f>
        <v>0</v>
      </c>
      <c r="K11" s="241">
        <f t="shared" si="1"/>
        <v>0</v>
      </c>
      <c r="L11" s="273" t="s">
        <v>281</v>
      </c>
      <c r="M11" s="214">
        <f>'3条税込み(共通按分後)'!D11-'3条税抜き (消費税雑支出加算)(共通按分後)'!D11</f>
        <v>0</v>
      </c>
      <c r="N11" s="214">
        <f t="shared" si="2"/>
        <v>0</v>
      </c>
    </row>
    <row r="12" spans="1:15" ht="24.75" customHeight="1">
      <c r="A12" s="252"/>
      <c r="B12" s="256"/>
      <c r="C12" s="255" t="s">
        <v>65</v>
      </c>
      <c r="D12" s="246">
        <f>+'3条税抜き(共通按分後)'!D12</f>
        <v>87134052</v>
      </c>
      <c r="E12" s="245">
        <f>+'3条税抜き(共通按分後)'!E12</f>
        <v>0</v>
      </c>
      <c r="F12" s="242">
        <f>+'3条税抜き(共通按分後)'!F12</f>
        <v>0</v>
      </c>
      <c r="G12" s="242">
        <f>+'3条税抜き(共通按分後)'!G12</f>
        <v>19274556</v>
      </c>
      <c r="H12" s="241">
        <f t="shared" si="0"/>
        <v>19274556</v>
      </c>
      <c r="I12" s="243">
        <f>+'3条税抜き(共通按分後)'!I12</f>
        <v>33929748</v>
      </c>
      <c r="J12" s="242">
        <f>+'3条税抜き(共通按分後)'!J12</f>
        <v>33929748</v>
      </c>
      <c r="K12" s="241">
        <f t="shared" si="1"/>
        <v>67859496</v>
      </c>
      <c r="L12" s="214">
        <f>G12+I12</f>
        <v>53204304</v>
      </c>
      <c r="M12" s="214">
        <f>'3条税込み(共通按分後)'!D12-'3条税抜き (消費税雑支出加算)(共通按分後)'!D12</f>
        <v>1715497</v>
      </c>
      <c r="N12" s="214">
        <f t="shared" si="2"/>
        <v>0</v>
      </c>
    </row>
    <row r="13" spans="1:15" ht="24.75" customHeight="1">
      <c r="A13" s="252"/>
      <c r="B13" s="256"/>
      <c r="C13" s="270" t="s">
        <v>62</v>
      </c>
      <c r="D13" s="246">
        <f>+'3条税抜き(共通按分後)'!D13</f>
        <v>10396270</v>
      </c>
      <c r="E13" s="245">
        <f>+'3条税抜き(共通按分後)'!E13</f>
        <v>0</v>
      </c>
      <c r="F13" s="242">
        <f>+'3条税抜き(共通按分後)'!F13</f>
        <v>0</v>
      </c>
      <c r="G13" s="242">
        <f>+'3条税抜き(共通按分後)'!G13</f>
        <v>10396270</v>
      </c>
      <c r="H13" s="241">
        <f t="shared" si="0"/>
        <v>10396270</v>
      </c>
      <c r="I13" s="243">
        <f>+'3条税抜き(共通按分後)'!I13</f>
        <v>0</v>
      </c>
      <c r="J13" s="242">
        <f>+'3条税抜き(共通按分後)'!J13</f>
        <v>0</v>
      </c>
      <c r="K13" s="241">
        <f t="shared" si="1"/>
        <v>0</v>
      </c>
      <c r="M13" s="214">
        <f>'3条税込み(共通按分後)'!D13-'3条税抜き (消費税雑支出加算)(共通按分後)'!D13</f>
        <v>87589</v>
      </c>
      <c r="N13" s="214">
        <f t="shared" si="2"/>
        <v>0</v>
      </c>
    </row>
    <row r="14" spans="1:15" ht="24.75" customHeight="1">
      <c r="A14" s="252"/>
      <c r="B14" s="256"/>
      <c r="C14" s="255" t="s">
        <v>60</v>
      </c>
      <c r="D14" s="246">
        <f>+'3条税抜き(共通按分後)'!D14</f>
        <v>929691714</v>
      </c>
      <c r="E14" s="245">
        <f>+'3条税抜き(共通按分後)'!E14</f>
        <v>0</v>
      </c>
      <c r="F14" s="242">
        <f>+'3条税抜き(共通按分後)'!F14</f>
        <v>0</v>
      </c>
      <c r="G14" s="242">
        <f>+'3条税抜き(共通按分後)'!G14</f>
        <v>4513095</v>
      </c>
      <c r="H14" s="241">
        <f t="shared" si="0"/>
        <v>4513095</v>
      </c>
      <c r="I14" s="243">
        <f>+'3条税抜き(共通按分後)'!I14</f>
        <v>0</v>
      </c>
      <c r="J14" s="242">
        <f>+'3条税抜き(共通按分後)'!J14</f>
        <v>925178619</v>
      </c>
      <c r="K14" s="241">
        <f t="shared" si="1"/>
        <v>925178619</v>
      </c>
      <c r="M14" s="214">
        <f>'3条税込み(共通按分後)'!D14-'3条税抜き (消費税雑支出加算)(共通按分後)'!D14</f>
        <v>90253429</v>
      </c>
      <c r="N14" s="214">
        <f t="shared" si="2"/>
        <v>0</v>
      </c>
      <c r="O14" s="272" t="s">
        <v>279</v>
      </c>
    </row>
    <row r="15" spans="1:15" ht="24.75" customHeight="1">
      <c r="A15" s="252"/>
      <c r="B15" s="256"/>
      <c r="C15" s="255" t="s">
        <v>58</v>
      </c>
      <c r="D15" s="246">
        <f>+'3条税抜き(共通按分後)'!D15</f>
        <v>858656553</v>
      </c>
      <c r="E15" s="245">
        <f>+'3条税抜き(共通按分後)'!E15</f>
        <v>-1668431</v>
      </c>
      <c r="F15" s="242">
        <f>+'3条税抜き(共通按分後)'!F15</f>
        <v>-151583</v>
      </c>
      <c r="G15" s="242">
        <f>+'3条税抜き(共通按分後)'!G15</f>
        <v>-7247778</v>
      </c>
      <c r="H15" s="241">
        <f t="shared" si="0"/>
        <v>-9067792</v>
      </c>
      <c r="I15" s="243">
        <f>+'3条税抜き(共通按分後)'!I15</f>
        <v>0</v>
      </c>
      <c r="J15" s="242">
        <f>+'3条税抜き(共通按分後)'!J15</f>
        <v>867724345</v>
      </c>
      <c r="K15" s="241">
        <f t="shared" si="1"/>
        <v>867724345</v>
      </c>
      <c r="M15" s="214">
        <f>'3条税込み(共通按分後)'!D15-'3条税抜き (消費税雑支出加算)(共通按分後)'!D15</f>
        <v>56326029</v>
      </c>
      <c r="N15" s="214">
        <f t="shared" si="2"/>
        <v>0</v>
      </c>
      <c r="O15" s="271">
        <f>+'3条税抜き(共通按分後)'!O15</f>
        <v>464609964</v>
      </c>
    </row>
    <row r="16" spans="1:15" ht="24.75" customHeight="1">
      <c r="A16" s="252"/>
      <c r="B16" s="256"/>
      <c r="C16" s="270" t="s">
        <v>278</v>
      </c>
      <c r="D16" s="246">
        <f>+'3条税抜き(共通按分後)'!D16</f>
        <v>0</v>
      </c>
      <c r="E16" s="245">
        <f>+'3条税抜き(共通按分後)'!E16</f>
        <v>0</v>
      </c>
      <c r="F16" s="242">
        <f>+'3条税抜き(共通按分後)'!F16</f>
        <v>0</v>
      </c>
      <c r="G16" s="242">
        <f>+'3条税抜き(共通按分後)'!G16</f>
        <v>0</v>
      </c>
      <c r="H16" s="241">
        <f t="shared" si="0"/>
        <v>0</v>
      </c>
      <c r="I16" s="243">
        <f>+'3条税抜き(共通按分後)'!I16</f>
        <v>0</v>
      </c>
      <c r="J16" s="242">
        <f>+'3条税抜き(共通按分後)'!J16</f>
        <v>0</v>
      </c>
      <c r="K16" s="241">
        <f t="shared" si="1"/>
        <v>0</v>
      </c>
      <c r="M16" s="214">
        <f>'3条税込み(共通按分後)'!D16-'3条税抜き (消費税雑支出加算)(共通按分後)'!D16</f>
        <v>0</v>
      </c>
      <c r="N16" s="214">
        <f t="shared" si="2"/>
        <v>0</v>
      </c>
    </row>
    <row r="17" spans="1:14" ht="24.75" customHeight="1">
      <c r="A17" s="252"/>
      <c r="B17" s="256"/>
      <c r="C17" s="255" t="s">
        <v>277</v>
      </c>
      <c r="D17" s="246">
        <f>+'3条税抜き(共通按分後)'!D17</f>
        <v>0</v>
      </c>
      <c r="E17" s="245">
        <f>+'3条税抜き(共通按分後)'!E17</f>
        <v>0</v>
      </c>
      <c r="F17" s="242">
        <f>+'3条税抜き(共通按分後)'!F17</f>
        <v>0</v>
      </c>
      <c r="G17" s="242">
        <f>+'3条税抜き(共通按分後)'!G17</f>
        <v>0</v>
      </c>
      <c r="H17" s="241">
        <f t="shared" si="0"/>
        <v>0</v>
      </c>
      <c r="I17" s="243">
        <f>+'3条税抜き(共通按分後)'!I17</f>
        <v>0</v>
      </c>
      <c r="J17" s="242">
        <f>+'3条税抜き(共通按分後)'!J17</f>
        <v>0</v>
      </c>
      <c r="K17" s="241">
        <f t="shared" si="1"/>
        <v>0</v>
      </c>
      <c r="M17" s="214">
        <f>'3条税込み(共通按分後)'!D17-'3条税抜き (消費税雑支出加算)(共通按分後)'!D17</f>
        <v>0</v>
      </c>
      <c r="N17" s="214">
        <f t="shared" si="2"/>
        <v>0</v>
      </c>
    </row>
    <row r="18" spans="1:14" ht="24.75" customHeight="1">
      <c r="A18" s="252"/>
      <c r="B18" s="256"/>
      <c r="C18" s="255" t="s">
        <v>276</v>
      </c>
      <c r="D18" s="246">
        <f>+'3条税抜き(共通按分後)'!D18</f>
        <v>0</v>
      </c>
      <c r="E18" s="245">
        <f>+'3条税抜き(共通按分後)'!E18</f>
        <v>0</v>
      </c>
      <c r="F18" s="242">
        <f>+'3条税抜き(共通按分後)'!F18</f>
        <v>0</v>
      </c>
      <c r="G18" s="242">
        <f>+'3条税抜き(共通按分後)'!G18</f>
        <v>0</v>
      </c>
      <c r="H18" s="241">
        <f t="shared" si="0"/>
        <v>0</v>
      </c>
      <c r="I18" s="243">
        <f>+'3条税抜き(共通按分後)'!I18</f>
        <v>0</v>
      </c>
      <c r="J18" s="242">
        <f>+'3条税抜き(共通按分後)'!J18</f>
        <v>0</v>
      </c>
      <c r="K18" s="241">
        <f t="shared" si="1"/>
        <v>0</v>
      </c>
      <c r="M18" s="214">
        <f>'3条税込み(共通按分後)'!D18-'3条税抜き (消費税雑支出加算)(共通按分後)'!D18</f>
        <v>0</v>
      </c>
      <c r="N18" s="214">
        <f t="shared" si="2"/>
        <v>0</v>
      </c>
    </row>
    <row r="19" spans="1:14" ht="24.75" customHeight="1">
      <c r="A19" s="252"/>
      <c r="B19" s="256"/>
      <c r="C19" s="255" t="s">
        <v>275</v>
      </c>
      <c r="D19" s="246">
        <f>+'3条税抜き(共通按分後)'!D19</f>
        <v>0</v>
      </c>
      <c r="E19" s="245">
        <f>+'3条税抜き(共通按分後)'!E19</f>
        <v>0</v>
      </c>
      <c r="F19" s="242">
        <f>+'3条税抜き(共通按分後)'!F19</f>
        <v>0</v>
      </c>
      <c r="G19" s="242">
        <f>+'3条税抜き(共通按分後)'!G19</f>
        <v>0</v>
      </c>
      <c r="H19" s="241">
        <f t="shared" si="0"/>
        <v>0</v>
      </c>
      <c r="I19" s="243">
        <f>+'3条税抜き(共通按分後)'!I19</f>
        <v>0</v>
      </c>
      <c r="J19" s="242">
        <f>+'3条税抜き(共通按分後)'!J19</f>
        <v>0</v>
      </c>
      <c r="K19" s="241">
        <f t="shared" si="1"/>
        <v>0</v>
      </c>
      <c r="M19" s="214">
        <f>'3条税込み(共通按分後)'!D19-'3条税抜き (消費税雑支出加算)(共通按分後)'!D19</f>
        <v>0</v>
      </c>
      <c r="N19" s="214">
        <f t="shared" si="2"/>
        <v>0</v>
      </c>
    </row>
    <row r="20" spans="1:14" ht="24.75" customHeight="1">
      <c r="A20" s="252"/>
      <c r="B20" s="256"/>
      <c r="C20" s="255" t="s">
        <v>274</v>
      </c>
      <c r="D20" s="246">
        <f>+'3条税抜き(共通按分後)'!D20</f>
        <v>0</v>
      </c>
      <c r="E20" s="245">
        <f>+'3条税抜き(共通按分後)'!E20</f>
        <v>0</v>
      </c>
      <c r="F20" s="242">
        <f>+'3条税抜き(共通按分後)'!F20</f>
        <v>0</v>
      </c>
      <c r="G20" s="242">
        <f>+'3条税抜き(共通按分後)'!G20</f>
        <v>0</v>
      </c>
      <c r="H20" s="241">
        <f t="shared" si="0"/>
        <v>0</v>
      </c>
      <c r="I20" s="243">
        <f>+'3条税抜き(共通按分後)'!I20</f>
        <v>0</v>
      </c>
      <c r="J20" s="242">
        <f>+'3条税抜き(共通按分後)'!J20</f>
        <v>0</v>
      </c>
      <c r="K20" s="241">
        <f t="shared" si="1"/>
        <v>0</v>
      </c>
      <c r="M20" s="214">
        <f>'3条税込み(共通按分後)'!D20-'3条税抜き (消費税雑支出加算)(共通按分後)'!D20</f>
        <v>0</v>
      </c>
      <c r="N20" s="214">
        <f t="shared" si="2"/>
        <v>0</v>
      </c>
    </row>
    <row r="21" spans="1:14" ht="24.75" customHeight="1">
      <c r="A21" s="252"/>
      <c r="B21" s="255" t="s">
        <v>232</v>
      </c>
      <c r="C21" s="255"/>
      <c r="D21" s="246">
        <f>SUM(D22:D25)</f>
        <v>4802164091</v>
      </c>
      <c r="E21" s="245">
        <f>SUM(E22:E25)</f>
        <v>3921344187</v>
      </c>
      <c r="F21" s="242">
        <f>SUM(F22:F25)</f>
        <v>362943053</v>
      </c>
      <c r="G21" s="242">
        <f>SUM(G22:G25)</f>
        <v>505492698</v>
      </c>
      <c r="H21" s="241">
        <f t="shared" si="0"/>
        <v>4789779938</v>
      </c>
      <c r="I21" s="243">
        <f>SUM(I22:I25)</f>
        <v>3634583</v>
      </c>
      <c r="J21" s="242">
        <f>SUM(J22:J25)</f>
        <v>8749570</v>
      </c>
      <c r="K21" s="241">
        <f t="shared" si="1"/>
        <v>12384153</v>
      </c>
      <c r="M21" s="214">
        <f>SUM(M22:M24)</f>
        <v>489822</v>
      </c>
      <c r="N21" s="214">
        <f t="shared" si="2"/>
        <v>0</v>
      </c>
    </row>
    <row r="22" spans="1:14" ht="24.75" customHeight="1">
      <c r="A22" s="252"/>
      <c r="B22" s="255"/>
      <c r="C22" s="255" t="s">
        <v>273</v>
      </c>
      <c r="D22" s="246">
        <f>+'3条税抜き(共通按分後)'!D22</f>
        <v>2483</v>
      </c>
      <c r="E22" s="245">
        <f>+'3条税抜き(共通按分後)'!E22</f>
        <v>0</v>
      </c>
      <c r="F22" s="242">
        <f>+'3条税抜き(共通按分後)'!F22</f>
        <v>0</v>
      </c>
      <c r="G22" s="242">
        <f>+'3条税抜き(共通按分後)'!G22</f>
        <v>0</v>
      </c>
      <c r="H22" s="241">
        <f t="shared" si="0"/>
        <v>0</v>
      </c>
      <c r="I22" s="243">
        <f>+'3条税抜き(共通按分後)'!I22</f>
        <v>0</v>
      </c>
      <c r="J22" s="242">
        <f>+'3条税抜き(共通按分後)'!J22</f>
        <v>2483</v>
      </c>
      <c r="K22" s="241">
        <f t="shared" si="1"/>
        <v>2483</v>
      </c>
      <c r="M22" s="214">
        <f>'3条税込み(共通按分後)'!D22-'3条税抜き (消費税雑支出加算)(共通按分後)'!D22</f>
        <v>0</v>
      </c>
      <c r="N22" s="214">
        <f t="shared" si="2"/>
        <v>0</v>
      </c>
    </row>
    <row r="23" spans="1:14" ht="24.75" customHeight="1">
      <c r="A23" s="252"/>
      <c r="B23" s="256"/>
      <c r="C23" s="255" t="s">
        <v>231</v>
      </c>
      <c r="D23" s="246">
        <f>+'3条税抜き(共通按分後)'!D23</f>
        <v>24123</v>
      </c>
      <c r="E23" s="245">
        <f>+'3条税抜き(共通按分後)'!E23</f>
        <v>0</v>
      </c>
      <c r="F23" s="242">
        <f>+'3条税抜き(共通按分後)'!F23</f>
        <v>0</v>
      </c>
      <c r="G23" s="242">
        <f>+'3条税抜き(共通按分後)'!G23</f>
        <v>-8710224</v>
      </c>
      <c r="H23" s="241">
        <f t="shared" si="0"/>
        <v>-8710224</v>
      </c>
      <c r="I23" s="243">
        <f>+'3条税抜き(共通按分後)'!I23</f>
        <v>0</v>
      </c>
      <c r="J23" s="242">
        <f>+'3条税抜き(共通按分後)'!J23</f>
        <v>8734347</v>
      </c>
      <c r="K23" s="241">
        <f t="shared" si="1"/>
        <v>8734347</v>
      </c>
      <c r="M23" s="214">
        <f>'3条税込み(共通按分後)'!D23-'3条税抜き (消費税雑支出加算)(共通按分後)'!D23</f>
        <v>1773</v>
      </c>
      <c r="N23" s="214">
        <f t="shared" si="2"/>
        <v>0</v>
      </c>
    </row>
    <row r="24" spans="1:14" ht="24.75" customHeight="1">
      <c r="A24" s="252"/>
      <c r="B24" s="256"/>
      <c r="C24" s="270" t="s">
        <v>272</v>
      </c>
      <c r="D24" s="246">
        <f>+'3条税抜き(共通按分後)'!D24</f>
        <v>8710224</v>
      </c>
      <c r="E24" s="245">
        <f>+'3条税抜き(共通按分後)'!E24</f>
        <v>0</v>
      </c>
      <c r="F24" s="242">
        <f>+'3条税抜き(共通按分後)'!F24</f>
        <v>0</v>
      </c>
      <c r="G24" s="242">
        <f>+'3条税抜き(共通按分後)'!G24</f>
        <v>8710224</v>
      </c>
      <c r="H24" s="241">
        <f t="shared" si="0"/>
        <v>8710224</v>
      </c>
      <c r="I24" s="243">
        <f>+'3条税抜き(共通按分後)'!I24</f>
        <v>0</v>
      </c>
      <c r="J24" s="242">
        <f>+'3条税抜き(共通按分後)'!J24</f>
        <v>0</v>
      </c>
      <c r="K24" s="241">
        <f t="shared" si="1"/>
        <v>0</v>
      </c>
      <c r="M24" s="214">
        <f>'3条税込み(共通按分後)'!D24-'3条税抜き (消費税雑支出加算)(共通按分後)'!D24</f>
        <v>488049</v>
      </c>
      <c r="N24" s="214">
        <f t="shared" si="2"/>
        <v>0</v>
      </c>
    </row>
    <row r="25" spans="1:14" ht="24.75" customHeight="1">
      <c r="A25" s="252"/>
      <c r="B25" s="256"/>
      <c r="C25" s="270" t="s">
        <v>264</v>
      </c>
      <c r="D25" s="323">
        <f>+SUM('雨汚水(共通按分後)'!AD25:AD26)</f>
        <v>4793427261</v>
      </c>
      <c r="E25" s="331">
        <f>+SUM('雨汚水(共通按分後)'!AE25:AE26)</f>
        <v>3921344187</v>
      </c>
      <c r="F25" s="330">
        <f>+SUM('雨汚水(共通按分後)'!AF25:AF26)</f>
        <v>362943053</v>
      </c>
      <c r="G25" s="330">
        <f>+SUM('雨汚水(共通按分後)'!AG25:AG26)</f>
        <v>505492698</v>
      </c>
      <c r="H25" s="327">
        <f t="shared" si="0"/>
        <v>4789779938</v>
      </c>
      <c r="I25" s="329">
        <f>+SUM('雨汚水(共通按分後)'!AI25:AI26)</f>
        <v>3634583</v>
      </c>
      <c r="J25" s="328">
        <f>+SUM('雨汚水(共通按分後)'!AJ25:AJ26)</f>
        <v>12740</v>
      </c>
      <c r="K25" s="327">
        <f t="shared" si="1"/>
        <v>3647323</v>
      </c>
    </row>
    <row r="26" spans="1:14" ht="24.75" customHeight="1">
      <c r="A26" s="252"/>
      <c r="B26" s="255" t="s">
        <v>228</v>
      </c>
      <c r="C26" s="255"/>
      <c r="D26" s="246">
        <f>SUM(D27:D28)</f>
        <v>20026854</v>
      </c>
      <c r="E26" s="245">
        <f>SUM(E27:E28)</f>
        <v>6733</v>
      </c>
      <c r="F26" s="242">
        <f>SUM(F27:F28)</f>
        <v>0</v>
      </c>
      <c r="G26" s="242">
        <f>SUM(G27:G28)</f>
        <v>0</v>
      </c>
      <c r="H26" s="241">
        <f t="shared" si="0"/>
        <v>6733</v>
      </c>
      <c r="I26" s="242">
        <f>SUM(I27:I28)</f>
        <v>0</v>
      </c>
      <c r="J26" s="242">
        <f>SUM(J27:J28)</f>
        <v>20020121</v>
      </c>
      <c r="K26" s="241">
        <f t="shared" si="1"/>
        <v>20020121</v>
      </c>
      <c r="M26" s="214">
        <f>SUM(M27:M28)</f>
        <v>968444</v>
      </c>
      <c r="N26" s="214">
        <f t="shared" ref="N26:N37" si="3">D26-H26-K26</f>
        <v>0</v>
      </c>
    </row>
    <row r="27" spans="1:14" ht="24.75" customHeight="1">
      <c r="A27" s="252"/>
      <c r="B27" s="255"/>
      <c r="C27" s="268" t="s">
        <v>271</v>
      </c>
      <c r="D27" s="246">
        <f>+'3条税抜き(共通按分後)'!D27</f>
        <v>20026854</v>
      </c>
      <c r="E27" s="245">
        <f>+'3条税抜き(共通按分後)'!E27</f>
        <v>6733</v>
      </c>
      <c r="F27" s="242">
        <f>+'3条税抜き(共通按分後)'!F27</f>
        <v>0</v>
      </c>
      <c r="G27" s="242">
        <f>+'3条税抜き(共通按分後)'!G27</f>
        <v>0</v>
      </c>
      <c r="H27" s="241">
        <f t="shared" si="0"/>
        <v>6733</v>
      </c>
      <c r="I27" s="243">
        <f>+'3条税抜き(共通按分後)'!I27</f>
        <v>0</v>
      </c>
      <c r="J27" s="242">
        <f>+'3条税抜き(共通按分後)'!J27</f>
        <v>20020121</v>
      </c>
      <c r="K27" s="241">
        <f t="shared" si="1"/>
        <v>20020121</v>
      </c>
      <c r="M27" s="214">
        <f>'3条税込み(共通按分後)'!D27-'3条税抜き (消費税雑支出加算)(共通按分後)'!D27</f>
        <v>968444</v>
      </c>
      <c r="N27" s="214">
        <f t="shared" si="3"/>
        <v>0</v>
      </c>
    </row>
    <row r="28" spans="1:14" ht="24.75" customHeight="1">
      <c r="A28" s="252"/>
      <c r="B28" s="256"/>
      <c r="C28" s="255" t="s">
        <v>10</v>
      </c>
      <c r="D28" s="246">
        <f>+'3条税抜き(共通按分後)'!D28</f>
        <v>0</v>
      </c>
      <c r="E28" s="245">
        <f>+'3条税抜き(共通按分後)'!E28</f>
        <v>0</v>
      </c>
      <c r="F28" s="242">
        <f>+'3条税抜き(共通按分後)'!F28</f>
        <v>0</v>
      </c>
      <c r="G28" s="242">
        <f>+'3条税抜き(共通按分後)'!G28</f>
        <v>0</v>
      </c>
      <c r="H28" s="241">
        <f t="shared" si="0"/>
        <v>0</v>
      </c>
      <c r="I28" s="243">
        <f>+'3条税抜き(共通按分後)'!I28</f>
        <v>0</v>
      </c>
      <c r="J28" s="242">
        <f>+'3条税抜き(共通按分後)'!J28</f>
        <v>0</v>
      </c>
      <c r="K28" s="241">
        <f t="shared" si="1"/>
        <v>0</v>
      </c>
      <c r="M28" s="214">
        <f>'3条税込み(共通按分後)'!D28-'3条税抜き (消費税雑支出加算)(共通按分後)'!D28</f>
        <v>0</v>
      </c>
      <c r="N28" s="214">
        <f t="shared" si="3"/>
        <v>0</v>
      </c>
    </row>
    <row r="29" spans="1:14" ht="24.75" customHeight="1">
      <c r="A29" s="252"/>
      <c r="B29" s="253" t="s">
        <v>270</v>
      </c>
      <c r="C29" s="242"/>
      <c r="D29" s="246">
        <f>+'3条税抜き(共通按分後)'!D29</f>
        <v>0</v>
      </c>
      <c r="E29" s="245">
        <f>+'3条税抜き(共通按分後)'!E29</f>
        <v>0</v>
      </c>
      <c r="F29" s="242">
        <f>+'3条税抜き(共通按分後)'!F29</f>
        <v>0</v>
      </c>
      <c r="G29" s="242">
        <f>+'3条税抜き(共通按分後)'!G29</f>
        <v>0</v>
      </c>
      <c r="H29" s="241">
        <f t="shared" si="0"/>
        <v>0</v>
      </c>
      <c r="I29" s="243">
        <f>+'3条税抜き(共通按分後)'!I29</f>
        <v>0</v>
      </c>
      <c r="J29" s="242">
        <f>+'3条税抜き(共通按分後)'!J29</f>
        <v>0</v>
      </c>
      <c r="K29" s="241">
        <f t="shared" si="1"/>
        <v>0</v>
      </c>
      <c r="M29" s="214">
        <f>'3条税込み(共通按分後)'!D29-'3条税抜き (消費税雑支出加算)(共通按分後)'!D29</f>
        <v>0</v>
      </c>
      <c r="N29" s="214">
        <f t="shared" si="3"/>
        <v>0</v>
      </c>
    </row>
    <row r="30" spans="1:14" ht="24.75" customHeight="1">
      <c r="A30" s="239"/>
      <c r="B30" s="216"/>
      <c r="C30" s="216"/>
      <c r="D30" s="246"/>
      <c r="E30" s="245"/>
      <c r="F30" s="242"/>
      <c r="G30" s="242"/>
      <c r="H30" s="241"/>
      <c r="I30" s="243"/>
      <c r="J30" s="242"/>
      <c r="K30" s="241"/>
      <c r="L30" s="259" t="s">
        <v>269</v>
      </c>
      <c r="N30" s="214">
        <f t="shared" si="3"/>
        <v>0</v>
      </c>
    </row>
    <row r="31" spans="1:14" ht="24.75" customHeight="1">
      <c r="A31" s="267"/>
      <c r="B31" s="224" t="s">
        <v>251</v>
      </c>
      <c r="C31" s="266"/>
      <c r="D31" s="238">
        <f t="shared" ref="D31:K31" si="4">D6+D21+D26+D29</f>
        <v>15613515482</v>
      </c>
      <c r="E31" s="237">
        <f t="shared" si="4"/>
        <v>6123362848</v>
      </c>
      <c r="F31" s="235">
        <f t="shared" si="4"/>
        <v>563003488</v>
      </c>
      <c r="G31" s="235">
        <f t="shared" si="4"/>
        <v>857974338</v>
      </c>
      <c r="H31" s="234">
        <f t="shared" si="4"/>
        <v>7544340674</v>
      </c>
      <c r="I31" s="236">
        <f t="shared" si="4"/>
        <v>90252631</v>
      </c>
      <c r="J31" s="235">
        <f t="shared" si="4"/>
        <v>7978922177</v>
      </c>
      <c r="K31" s="234">
        <f t="shared" si="4"/>
        <v>8069174808</v>
      </c>
      <c r="L31" s="214">
        <f>H31+I31-I8-L12-G13</f>
        <v>7519679436</v>
      </c>
      <c r="M31" s="214">
        <f>M6+M21+M26+M29</f>
        <v>822402777</v>
      </c>
      <c r="N31" s="214">
        <f t="shared" si="3"/>
        <v>0</v>
      </c>
    </row>
    <row r="32" spans="1:14" ht="24.75" customHeight="1">
      <c r="A32" s="265"/>
      <c r="B32" s="255" t="s">
        <v>244</v>
      </c>
      <c r="C32" s="264"/>
      <c r="D32" s="263">
        <f t="shared" ref="D32:K32" si="5">D33+D34</f>
        <v>27055204101</v>
      </c>
      <c r="E32" s="326">
        <f t="shared" si="5"/>
        <v>12429750358</v>
      </c>
      <c r="F32" s="248">
        <f t="shared" si="5"/>
        <v>134284305</v>
      </c>
      <c r="G32" s="324">
        <f t="shared" si="5"/>
        <v>0</v>
      </c>
      <c r="H32" s="325">
        <f t="shared" si="5"/>
        <v>12564034663</v>
      </c>
      <c r="I32" s="261">
        <f t="shared" si="5"/>
        <v>497819716</v>
      </c>
      <c r="J32" s="324">
        <f t="shared" si="5"/>
        <v>13722216640</v>
      </c>
      <c r="K32" s="324">
        <f t="shared" si="5"/>
        <v>14220036356</v>
      </c>
      <c r="L32" s="259" t="s">
        <v>294</v>
      </c>
      <c r="M32" s="214">
        <f>SUM(M33:M34)</f>
        <v>0</v>
      </c>
      <c r="N32" s="214">
        <f t="shared" si="3"/>
        <v>271133082</v>
      </c>
    </row>
    <row r="33" spans="1:14" ht="24.75" customHeight="1">
      <c r="A33" s="252"/>
      <c r="B33" s="255"/>
      <c r="C33" s="255" t="s">
        <v>23</v>
      </c>
      <c r="D33" s="246">
        <f>+'3条税抜き(共通按分後)'!D33</f>
        <v>26551442230</v>
      </c>
      <c r="E33" s="245">
        <f>+'3条税抜き(共通按分後)'!E33</f>
        <v>12077971252</v>
      </c>
      <c r="F33" s="242">
        <f>+'3条税抜き(共通按分後)'!F33</f>
        <v>130483874</v>
      </c>
      <c r="G33" s="242">
        <f>+'3条税抜き(共通按分後)'!G33</f>
        <v>0</v>
      </c>
      <c r="H33" s="241">
        <f>SUM(E33:G33)</f>
        <v>12208455126</v>
      </c>
      <c r="I33" s="243">
        <f>+'3条税抜き(共通按分後)'!I33</f>
        <v>490154021</v>
      </c>
      <c r="J33" s="242">
        <f>+'3条税抜き(共通按分後)'!J33</f>
        <v>13581700001</v>
      </c>
      <c r="K33" s="241">
        <f>SUM(I33:J33)</f>
        <v>14071854022</v>
      </c>
      <c r="L33" s="214">
        <f>E32+F32</f>
        <v>12564034663</v>
      </c>
      <c r="M33" s="214">
        <f>'3条税込み(共通按分後)'!D33-'3条税抜き (消費税雑支出加算)(共通按分後)'!D33</f>
        <v>0</v>
      </c>
      <c r="N33" s="214">
        <f t="shared" si="3"/>
        <v>271133082</v>
      </c>
    </row>
    <row r="34" spans="1:14" ht="24.75" customHeight="1">
      <c r="A34" s="252"/>
      <c r="B34" s="256"/>
      <c r="C34" s="255" t="s">
        <v>267</v>
      </c>
      <c r="D34" s="246">
        <f>+'3条税抜き(共通按分後)'!D34</f>
        <v>503761871</v>
      </c>
      <c r="E34" s="245">
        <f>+'3条税抜き(共通按分後)'!E34</f>
        <v>351779106</v>
      </c>
      <c r="F34" s="242">
        <f>+'3条税抜き(共通按分後)'!F34</f>
        <v>3800431</v>
      </c>
      <c r="G34" s="242">
        <f>+'3条税抜き(共通按分後)'!G34</f>
        <v>0</v>
      </c>
      <c r="H34" s="241">
        <f>SUM(E34:G34)</f>
        <v>355579537</v>
      </c>
      <c r="I34" s="243">
        <f>+'3条税抜き(共通按分後)'!I34</f>
        <v>7665695</v>
      </c>
      <c r="J34" s="242">
        <f>+'3条税抜き(共通按分後)'!J34</f>
        <v>140516639</v>
      </c>
      <c r="K34" s="241">
        <f>SUM(I34:J34)</f>
        <v>148182334</v>
      </c>
      <c r="M34" s="214">
        <f>'3条税込み(共通按分後)'!D34-'3条税抜き (消費税雑支出加算)(共通按分後)'!D34</f>
        <v>0</v>
      </c>
      <c r="N34" s="214">
        <f t="shared" si="3"/>
        <v>0</v>
      </c>
    </row>
    <row r="35" spans="1:14" ht="24.75" customHeight="1">
      <c r="A35" s="252"/>
      <c r="B35" s="258" t="s">
        <v>232</v>
      </c>
      <c r="C35" s="257"/>
      <c r="D35" s="246">
        <f t="shared" ref="D35:K35" si="6">D36+D37</f>
        <v>-640601179</v>
      </c>
      <c r="E35" s="245">
        <f t="shared" si="6"/>
        <v>-266615367</v>
      </c>
      <c r="F35" s="242">
        <f t="shared" si="6"/>
        <v>0</v>
      </c>
      <c r="G35" s="242">
        <f t="shared" si="6"/>
        <v>-8254816</v>
      </c>
      <c r="H35" s="241">
        <f t="shared" si="6"/>
        <v>-274870183</v>
      </c>
      <c r="I35" s="243">
        <f t="shared" si="6"/>
        <v>-77557916</v>
      </c>
      <c r="J35" s="242">
        <f t="shared" si="6"/>
        <v>-288173080</v>
      </c>
      <c r="K35" s="241">
        <f t="shared" si="6"/>
        <v>-365730996</v>
      </c>
      <c r="M35" s="214">
        <f>SUM(M36:M37)</f>
        <v>5619432</v>
      </c>
      <c r="N35" s="214">
        <f t="shared" si="3"/>
        <v>0</v>
      </c>
    </row>
    <row r="36" spans="1:14" ht="24.75" customHeight="1">
      <c r="A36" s="252"/>
      <c r="B36" s="255"/>
      <c r="C36" s="255" t="s">
        <v>266</v>
      </c>
      <c r="D36" s="246">
        <f>'3条税抜き(共通按分後)'!D36</f>
        <v>3940339234</v>
      </c>
      <c r="E36" s="245">
        <f>+'3条税抜き(共通按分後)'!E36</f>
        <v>3259340024</v>
      </c>
      <c r="F36" s="242">
        <f>+'3条税抜き(共通按分後)'!F36</f>
        <v>0</v>
      </c>
      <c r="G36" s="242">
        <f>+'3条税抜き(共通按分後)'!G36</f>
        <v>93230210</v>
      </c>
      <c r="H36" s="241">
        <f>SUM(E36:G36)</f>
        <v>3352570234</v>
      </c>
      <c r="I36" s="243">
        <f>+'3条税抜き(共通按分後)'!I36</f>
        <v>875942080</v>
      </c>
      <c r="J36" s="242">
        <f>+'3条税抜き(共通按分後)'!J36</f>
        <v>-288173080</v>
      </c>
      <c r="K36" s="241">
        <f>SUM(I36:J36)</f>
        <v>587769000</v>
      </c>
      <c r="M36" s="214">
        <f>'3条税込み(共通按分後)'!D36-'3条税抜き (消費税雑支出加算)(共通按分後)'!D36</f>
        <v>5619432</v>
      </c>
      <c r="N36" s="214">
        <f t="shared" si="3"/>
        <v>0</v>
      </c>
    </row>
    <row r="37" spans="1:14" ht="24.75" customHeight="1">
      <c r="A37" s="252"/>
      <c r="B37" s="256"/>
      <c r="C37" s="255" t="s">
        <v>264</v>
      </c>
      <c r="D37" s="323">
        <f>+'雨汚水(共通按分後)'!AD39</f>
        <v>-4580940413</v>
      </c>
      <c r="E37" s="322">
        <f>+'雨汚水(共通按分後)'!AE39</f>
        <v>-3525955391</v>
      </c>
      <c r="F37" s="319">
        <f>+'雨汚水(共通按分後)'!AF39</f>
        <v>0</v>
      </c>
      <c r="G37" s="319">
        <f>+'雨汚水(共通按分後)'!AG39</f>
        <v>-101485026</v>
      </c>
      <c r="H37" s="321">
        <f>SUM(E37:G37)</f>
        <v>-3627440417</v>
      </c>
      <c r="I37" s="320">
        <f>+'雨汚水(共通按分後)'!AI39</f>
        <v>-953499996</v>
      </c>
      <c r="J37" s="319">
        <f>+'雨汚水(共通按分後)'!AJ39</f>
        <v>0</v>
      </c>
      <c r="K37" s="241">
        <f>SUM(I37:J37)</f>
        <v>-953499996</v>
      </c>
      <c r="N37" s="214">
        <f t="shared" si="3"/>
        <v>0</v>
      </c>
    </row>
    <row r="38" spans="1:14" ht="24.75" customHeight="1">
      <c r="A38" s="252"/>
      <c r="B38" s="255" t="s">
        <v>228</v>
      </c>
      <c r="C38" s="255"/>
      <c r="D38" s="246">
        <f t="shared" ref="D38:K38" si="7">D39</f>
        <v>0</v>
      </c>
      <c r="E38" s="245">
        <f t="shared" si="7"/>
        <v>0</v>
      </c>
      <c r="F38" s="242">
        <f t="shared" si="7"/>
        <v>0</v>
      </c>
      <c r="G38" s="242">
        <f t="shared" si="7"/>
        <v>0</v>
      </c>
      <c r="H38" s="241">
        <f t="shared" si="7"/>
        <v>0</v>
      </c>
      <c r="I38" s="243">
        <f t="shared" si="7"/>
        <v>0</v>
      </c>
      <c r="J38" s="242">
        <f t="shared" si="7"/>
        <v>0</v>
      </c>
      <c r="K38" s="241">
        <f t="shared" si="7"/>
        <v>0</v>
      </c>
    </row>
    <row r="39" spans="1:14" ht="24.75" customHeight="1">
      <c r="A39" s="252"/>
      <c r="B39" s="255"/>
      <c r="C39" s="254" t="s">
        <v>262</v>
      </c>
      <c r="D39" s="246">
        <f>'3条税抜き(共通按分後)'!D39</f>
        <v>0</v>
      </c>
      <c r="E39" s="245">
        <f>+'3条税抜き(共通按分後)'!E39</f>
        <v>0</v>
      </c>
      <c r="F39" s="242">
        <f>+'3条税抜き(共通按分後)'!F39</f>
        <v>0</v>
      </c>
      <c r="G39" s="242">
        <f>+'3条税抜き(共通按分後)'!G39</f>
        <v>0</v>
      </c>
      <c r="H39" s="241">
        <f>SUM(E39:G39)</f>
        <v>0</v>
      </c>
      <c r="I39" s="243">
        <f>+'3条税抜き(共通按分後)'!I39</f>
        <v>0</v>
      </c>
      <c r="J39" s="242">
        <f>+'3条税抜き(共通按分後)'!J39</f>
        <v>0</v>
      </c>
      <c r="K39" s="241">
        <f>SUM(I39:J39)</f>
        <v>0</v>
      </c>
      <c r="M39" s="214">
        <f>D39-H39-K39</f>
        <v>0</v>
      </c>
    </row>
    <row r="40" spans="1:14" ht="24.75" customHeight="1">
      <c r="A40" s="252"/>
      <c r="B40" s="251"/>
      <c r="C40" s="250"/>
      <c r="D40" s="246"/>
      <c r="E40" s="245"/>
      <c r="F40" s="244" t="s">
        <v>257</v>
      </c>
      <c r="G40" s="242">
        <f>'3条税込み(共通按分後)'!G40</f>
        <v>0</v>
      </c>
      <c r="H40" s="241">
        <f>SUM(E40:G40)</f>
        <v>0</v>
      </c>
      <c r="I40" s="243"/>
      <c r="J40" s="242"/>
      <c r="K40" s="241">
        <f>SUM(I40:J40)</f>
        <v>0</v>
      </c>
      <c r="L40" s="214" t="s">
        <v>256</v>
      </c>
      <c r="N40" s="312">
        <f>D40-H40-K40</f>
        <v>0</v>
      </c>
    </row>
    <row r="41" spans="1:14" ht="24.75" customHeight="1">
      <c r="A41" s="239"/>
      <c r="B41" s="248"/>
      <c r="C41" s="247"/>
      <c r="D41" s="246"/>
      <c r="E41" s="245"/>
      <c r="F41" s="244" t="s">
        <v>254</v>
      </c>
      <c r="G41" s="242">
        <f>G36-G40</f>
        <v>93230210</v>
      </c>
      <c r="H41" s="241"/>
      <c r="I41" s="243"/>
      <c r="J41" s="242"/>
      <c r="K41" s="241"/>
      <c r="L41" s="214">
        <f>E36+F36+G41+I36</f>
        <v>4228512314</v>
      </c>
      <c r="N41" s="214">
        <f>D41-H41-K41</f>
        <v>0</v>
      </c>
    </row>
    <row r="42" spans="1:14" ht="24.75" customHeight="1">
      <c r="A42" s="239"/>
      <c r="B42" s="216" t="s">
        <v>251</v>
      </c>
      <c r="C42" s="216"/>
      <c r="D42" s="246">
        <f t="shared" ref="D42:K42" si="8">D32+D35+D38</f>
        <v>26414602922</v>
      </c>
      <c r="E42" s="245">
        <f t="shared" si="8"/>
        <v>12163134991</v>
      </c>
      <c r="F42" s="242">
        <f t="shared" si="8"/>
        <v>134284305</v>
      </c>
      <c r="G42" s="242">
        <f t="shared" si="8"/>
        <v>-8254816</v>
      </c>
      <c r="H42" s="241">
        <f t="shared" si="8"/>
        <v>12289164480</v>
      </c>
      <c r="I42" s="243">
        <f t="shared" si="8"/>
        <v>420261800</v>
      </c>
      <c r="J42" s="242">
        <f t="shared" si="8"/>
        <v>13434043560</v>
      </c>
      <c r="K42" s="241">
        <f t="shared" si="8"/>
        <v>13854305360</v>
      </c>
      <c r="M42" s="214">
        <f>M32+M35</f>
        <v>5619432</v>
      </c>
      <c r="N42" s="214">
        <f>D42-H42-K42</f>
        <v>271133082</v>
      </c>
    </row>
    <row r="43" spans="1:14" ht="24.75" customHeight="1">
      <c r="A43" s="233"/>
      <c r="B43" s="232"/>
      <c r="C43" s="232"/>
      <c r="D43" s="246"/>
      <c r="E43" s="245"/>
      <c r="F43" s="242"/>
      <c r="G43" s="242"/>
      <c r="H43" s="241"/>
      <c r="I43" s="243"/>
      <c r="J43" s="242"/>
      <c r="K43" s="241"/>
      <c r="N43" s="214">
        <f>D43-H43-K43</f>
        <v>0</v>
      </c>
    </row>
    <row r="44" spans="1:14" ht="24.75" customHeight="1" thickBot="1">
      <c r="A44" s="226" t="s">
        <v>249</v>
      </c>
      <c r="B44" s="225"/>
      <c r="C44" s="224"/>
      <c r="D44" s="318">
        <f t="shared" ref="D44:K44" si="9">D31+D42</f>
        <v>42028118404</v>
      </c>
      <c r="E44" s="317">
        <f t="shared" si="9"/>
        <v>18286497839</v>
      </c>
      <c r="F44" s="235">
        <f t="shared" si="9"/>
        <v>697287793</v>
      </c>
      <c r="G44" s="317">
        <f t="shared" si="9"/>
        <v>849719522</v>
      </c>
      <c r="H44" s="234">
        <f t="shared" si="9"/>
        <v>19833505154</v>
      </c>
      <c r="I44" s="316">
        <f t="shared" si="9"/>
        <v>510514431</v>
      </c>
      <c r="J44" s="235">
        <f t="shared" si="9"/>
        <v>21412965737</v>
      </c>
      <c r="K44" s="315">
        <f t="shared" si="9"/>
        <v>21923480168</v>
      </c>
      <c r="M44" s="214">
        <f>M31+M42</f>
        <v>828022209</v>
      </c>
      <c r="N44" s="214">
        <f>D44-H44-K44</f>
        <v>271133082</v>
      </c>
    </row>
    <row r="45" spans="1:14" ht="21" customHeight="1">
      <c r="A45" s="216"/>
      <c r="B45" s="216"/>
      <c r="C45" s="216"/>
      <c r="D45" s="215">
        <f>D44-'[1]3条支出'!T41</f>
        <v>-16531</v>
      </c>
      <c r="E45" s="215"/>
      <c r="F45" s="215"/>
      <c r="G45" s="215"/>
      <c r="H45" s="215"/>
      <c r="I45" s="215"/>
      <c r="J45" s="215"/>
      <c r="K45" s="215"/>
    </row>
    <row r="46" spans="1:14" ht="21" customHeight="1"/>
    <row r="47" spans="1:14" ht="21" customHeight="1">
      <c r="G47" s="215"/>
    </row>
    <row r="48" spans="1:14" ht="21" customHeight="1"/>
    <row r="49" ht="21" customHeight="1"/>
    <row r="50" ht="21" customHeight="1"/>
    <row r="51" ht="21" customHeight="1"/>
    <row r="52" ht="21" customHeight="1"/>
    <row r="53" ht="21" customHeight="1"/>
    <row r="54" ht="21" customHeight="1"/>
    <row r="55" ht="21" customHeight="1"/>
    <row r="56" ht="21" customHeight="1"/>
  </sheetData>
  <phoneticPr fontId="2"/>
  <pageMargins left="0.59055118110236227" right="0.19685039370078741" top="0.78740157480314965" bottom="0.39370078740157483" header="0.19685039370078741" footer="0.19685039370078741"/>
  <pageSetup paperSize="9" scale="72" orientation="portrait" blackAndWhite="1" r:id="rId1"/>
  <headerFooter alignWithMargins="0">
    <oddHeader>&amp;L&amp;F &amp;A&amp;R&amp;8 &amp;D &amp;T</oddHeader>
    <oddFooter>&amp;L&amp;8&amp;F　&amp;A</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L141"/>
  <sheetViews>
    <sheetView zoomScale="80" zoomScaleNormal="80" zoomScaleSheetLayoutView="80" workbookViewId="0"/>
  </sheetViews>
  <sheetFormatPr defaultColWidth="9" defaultRowHeight="13.5" outlineLevelCol="1"/>
  <cols>
    <col min="1" max="1" width="4" style="487" customWidth="1"/>
    <col min="2" max="3" width="4" style="2" customWidth="1"/>
    <col min="4" max="4" width="30.625" style="2" customWidth="1"/>
    <col min="5" max="13" width="14.125" style="2" customWidth="1"/>
    <col min="14" max="14" width="30.625" style="2" customWidth="1"/>
    <col min="15" max="23" width="14.125" style="2" customWidth="1"/>
    <col min="24" max="24" width="30.625" style="2" customWidth="1"/>
    <col min="25" max="29" width="14.125" style="2" hidden="1" customWidth="1" outlineLevel="1"/>
    <col min="30" max="30" width="14.125" style="2" customWidth="1" collapsed="1"/>
    <col min="31" max="38" width="14.125" style="2" customWidth="1"/>
    <col min="39" max="16384" width="9" style="2"/>
  </cols>
  <sheetData>
    <row r="1" spans="1:38">
      <c r="D1" s="2" t="str">
        <f>+'[1]3条支出'!$D$1</f>
        <v>令和５年度決算　消費税算出資料</v>
      </c>
      <c r="N1" s="2" t="str">
        <f>+$D$1</f>
        <v>令和５年度決算　消費税算出資料</v>
      </c>
      <c r="X1" s="2" t="str">
        <f>+$D$1</f>
        <v>令和５年度決算　消費税算出資料</v>
      </c>
    </row>
    <row r="2" spans="1:38">
      <c r="D2" s="2" t="s">
        <v>125</v>
      </c>
      <c r="M2" s="53" t="str">
        <f>+IF(COUNTIF(M7:M45,0)=COUNT(M7:M45),"","↓エラーあり")</f>
        <v>↓エラーあり</v>
      </c>
      <c r="N2" s="2" t="s">
        <v>125</v>
      </c>
      <c r="W2" s="53" t="str">
        <f>+IF(COUNTIF(W7:W45,0)=COUNT(W7:W45),"","↓エラーあり")</f>
        <v>↓エラーあり</v>
      </c>
      <c r="X2" s="2" t="s">
        <v>101</v>
      </c>
      <c r="AL2" s="53" t="str">
        <f>+IF(COUNTIF(AL7:AL45,0)=COUNT(AL7:AL45),"","↓エラーあり")</f>
        <v>↓エラーあり</v>
      </c>
    </row>
    <row r="3" spans="1:38">
      <c r="B3" s="649" t="s">
        <v>99</v>
      </c>
      <c r="C3" s="650"/>
      <c r="D3" s="579" t="s">
        <v>95</v>
      </c>
      <c r="E3" s="634" t="s">
        <v>98</v>
      </c>
      <c r="F3" s="635"/>
      <c r="G3" s="635"/>
      <c r="H3" s="635"/>
      <c r="I3" s="635"/>
      <c r="J3" s="635"/>
      <c r="K3" s="635"/>
      <c r="L3" s="635"/>
      <c r="M3" s="636"/>
      <c r="N3" s="579" t="s">
        <v>95</v>
      </c>
      <c r="O3" s="634" t="s">
        <v>97</v>
      </c>
      <c r="P3" s="635"/>
      <c r="Q3" s="635"/>
      <c r="R3" s="635"/>
      <c r="S3" s="635"/>
      <c r="T3" s="635"/>
      <c r="U3" s="635"/>
      <c r="V3" s="635"/>
      <c r="W3" s="636"/>
      <c r="X3" s="579" t="s">
        <v>95</v>
      </c>
      <c r="Y3" s="488"/>
      <c r="Z3" s="488"/>
      <c r="AA3" s="488"/>
      <c r="AB3" s="488"/>
      <c r="AC3" s="488"/>
      <c r="AD3" s="634" t="s">
        <v>97</v>
      </c>
      <c r="AE3" s="635"/>
      <c r="AF3" s="635"/>
      <c r="AG3" s="635"/>
      <c r="AH3" s="635"/>
      <c r="AI3" s="635"/>
      <c r="AJ3" s="635"/>
      <c r="AK3" s="635"/>
      <c r="AL3" s="636"/>
    </row>
    <row r="4" spans="1:38">
      <c r="B4" s="651"/>
      <c r="C4" s="648"/>
      <c r="D4" s="580"/>
      <c r="E4" s="579" t="s">
        <v>90</v>
      </c>
      <c r="F4" s="634" t="s">
        <v>86</v>
      </c>
      <c r="G4" s="635"/>
      <c r="H4" s="635"/>
      <c r="I4" s="636"/>
      <c r="J4" s="634" t="s">
        <v>85</v>
      </c>
      <c r="K4" s="635"/>
      <c r="L4" s="636"/>
      <c r="M4" s="579" t="s">
        <v>83</v>
      </c>
      <c r="N4" s="580"/>
      <c r="O4" s="579" t="s">
        <v>91</v>
      </c>
      <c r="P4" s="634" t="s">
        <v>86</v>
      </c>
      <c r="Q4" s="635"/>
      <c r="R4" s="635"/>
      <c r="S4" s="636"/>
      <c r="T4" s="635" t="s">
        <v>85</v>
      </c>
      <c r="U4" s="635"/>
      <c r="V4" s="636"/>
      <c r="W4" s="579" t="s">
        <v>83</v>
      </c>
      <c r="X4" s="580"/>
      <c r="Y4" s="478"/>
      <c r="Z4" s="478"/>
      <c r="AA4" s="478"/>
      <c r="AB4" s="478"/>
      <c r="AC4" s="478"/>
      <c r="AD4" s="579" t="s">
        <v>91</v>
      </c>
      <c r="AE4" s="634" t="s">
        <v>86</v>
      </c>
      <c r="AF4" s="635"/>
      <c r="AG4" s="635"/>
      <c r="AH4" s="636"/>
      <c r="AI4" s="635" t="s">
        <v>85</v>
      </c>
      <c r="AJ4" s="635"/>
      <c r="AK4" s="636"/>
      <c r="AL4" s="579" t="s">
        <v>83</v>
      </c>
    </row>
    <row r="5" spans="1:38">
      <c r="A5" s="648"/>
      <c r="B5" s="651"/>
      <c r="C5" s="648"/>
      <c r="D5" s="580"/>
      <c r="E5" s="580"/>
      <c r="F5" s="489" t="s">
        <v>82</v>
      </c>
      <c r="G5" s="490" t="s">
        <v>82</v>
      </c>
      <c r="H5" s="491" t="s">
        <v>80</v>
      </c>
      <c r="I5" s="482" t="s">
        <v>81</v>
      </c>
      <c r="J5" s="489" t="s">
        <v>82</v>
      </c>
      <c r="K5" s="491" t="s">
        <v>80</v>
      </c>
      <c r="L5" s="111" t="s">
        <v>81</v>
      </c>
      <c r="M5" s="580"/>
      <c r="N5" s="580"/>
      <c r="O5" s="580"/>
      <c r="P5" s="489" t="s">
        <v>82</v>
      </c>
      <c r="Q5" s="490" t="s">
        <v>82</v>
      </c>
      <c r="R5" s="491" t="s">
        <v>80</v>
      </c>
      <c r="S5" s="482" t="s">
        <v>81</v>
      </c>
      <c r="T5" s="492" t="s">
        <v>82</v>
      </c>
      <c r="U5" s="491" t="s">
        <v>80</v>
      </c>
      <c r="V5" s="111" t="s">
        <v>81</v>
      </c>
      <c r="W5" s="580"/>
      <c r="X5" s="580"/>
      <c r="Y5" s="478"/>
      <c r="Z5" s="478"/>
      <c r="AA5" s="478"/>
      <c r="AB5" s="478"/>
      <c r="AC5" s="478"/>
      <c r="AD5" s="580"/>
      <c r="AE5" s="489" t="s">
        <v>82</v>
      </c>
      <c r="AF5" s="490" t="s">
        <v>82</v>
      </c>
      <c r="AG5" s="491" t="s">
        <v>80</v>
      </c>
      <c r="AH5" s="482" t="s">
        <v>81</v>
      </c>
      <c r="AI5" s="492" t="s">
        <v>82</v>
      </c>
      <c r="AJ5" s="491" t="s">
        <v>80</v>
      </c>
      <c r="AK5" s="111" t="s">
        <v>81</v>
      </c>
      <c r="AL5" s="580"/>
    </row>
    <row r="6" spans="1:38" s="498" customFormat="1">
      <c r="A6" s="648"/>
      <c r="B6" s="651"/>
      <c r="C6" s="648"/>
      <c r="D6" s="580"/>
      <c r="E6" s="581"/>
      <c r="F6" s="493" t="s">
        <v>78</v>
      </c>
      <c r="G6" s="494" t="s">
        <v>79</v>
      </c>
      <c r="H6" s="495" t="s">
        <v>84</v>
      </c>
      <c r="I6" s="401"/>
      <c r="J6" s="493" t="s">
        <v>78</v>
      </c>
      <c r="K6" s="496" t="s">
        <v>78</v>
      </c>
      <c r="L6" s="107"/>
      <c r="M6" s="580"/>
      <c r="N6" s="580"/>
      <c r="O6" s="581"/>
      <c r="P6" s="493" t="s">
        <v>78</v>
      </c>
      <c r="Q6" s="494" t="s">
        <v>79</v>
      </c>
      <c r="R6" s="495" t="s">
        <v>84</v>
      </c>
      <c r="S6" s="401"/>
      <c r="T6" s="497" t="s">
        <v>78</v>
      </c>
      <c r="U6" s="496" t="s">
        <v>78</v>
      </c>
      <c r="V6" s="107"/>
      <c r="W6" s="580"/>
      <c r="X6" s="581"/>
      <c r="Y6" s="479"/>
      <c r="Z6" s="479"/>
      <c r="AA6" s="479"/>
      <c r="AB6" s="479"/>
      <c r="AC6" s="479"/>
      <c r="AD6" s="581"/>
      <c r="AE6" s="493" t="s">
        <v>78</v>
      </c>
      <c r="AF6" s="494" t="s">
        <v>79</v>
      </c>
      <c r="AG6" s="495" t="s">
        <v>84</v>
      </c>
      <c r="AH6" s="401"/>
      <c r="AI6" s="497" t="s">
        <v>78</v>
      </c>
      <c r="AJ6" s="496" t="s">
        <v>78</v>
      </c>
      <c r="AK6" s="107"/>
      <c r="AL6" s="581"/>
    </row>
    <row r="7" spans="1:38">
      <c r="A7" s="35"/>
      <c r="B7" s="105" t="s">
        <v>4</v>
      </c>
      <c r="C7" s="104" t="s">
        <v>21</v>
      </c>
      <c r="D7" s="102" t="s">
        <v>77</v>
      </c>
      <c r="E7" s="100">
        <f>+'雨汚水(共通按分後)'!E7-雨汚水!E7</f>
        <v>0</v>
      </c>
      <c r="F7" s="97">
        <f>+'雨汚水(共通按分後)'!F7-雨汚水!F7</f>
        <v>-55505760</v>
      </c>
      <c r="G7" s="134">
        <f>+'雨汚水(共通按分後)'!G7-雨汚水!G7</f>
        <v>-7657067</v>
      </c>
      <c r="H7" s="98">
        <f>+'雨汚水(共通按分後)'!H7-雨汚水!H7</f>
        <v>9132669</v>
      </c>
      <c r="I7" s="101">
        <f>+'雨汚水(共通按分後)'!I7-雨汚水!I7</f>
        <v>-54030158</v>
      </c>
      <c r="J7" s="97">
        <f>+'雨汚水(共通按分後)'!J7-雨汚水!J7</f>
        <v>0</v>
      </c>
      <c r="K7" s="98">
        <f>+'雨汚水(共通按分後)'!K7-雨汚水!K7</f>
        <v>-44728425</v>
      </c>
      <c r="L7" s="95">
        <f>+'雨汚水(共通按分後)'!L7-雨汚水!L7</f>
        <v>-44728425</v>
      </c>
      <c r="M7" s="94">
        <f>+'雨汚水(共通按分後)'!M7-雨汚水!M7</f>
        <v>98758583</v>
      </c>
      <c r="N7" s="102" t="s">
        <v>77</v>
      </c>
      <c r="O7" s="100">
        <f>+'雨汚水(共通按分後)'!O7-雨汚水!O7</f>
        <v>0</v>
      </c>
      <c r="P7" s="97">
        <f>+'雨汚水(共通按分後)'!P7-雨汚水!P7</f>
        <v>-51227715</v>
      </c>
      <c r="Q7" s="134">
        <f>+'雨汚水(共通按分後)'!Q7-雨汚水!Q7</f>
        <v>-7066907</v>
      </c>
      <c r="R7" s="98">
        <f>+'雨汚水(共通按分後)'!R7-雨汚水!R7</f>
        <v>8428779</v>
      </c>
      <c r="S7" s="101">
        <f>+'雨汚水(共通按分後)'!S7-雨汚水!S7</f>
        <v>-49865843</v>
      </c>
      <c r="T7" s="97">
        <f>+'雨汚水(共通按分後)'!T7-雨汚水!T7</f>
        <v>0</v>
      </c>
      <c r="U7" s="98">
        <f>+'雨汚水(共通按分後)'!U7-雨汚水!U7</f>
        <v>49865843</v>
      </c>
      <c r="V7" s="95">
        <f>+'雨汚水(共通按分後)'!V7-雨汚水!V7</f>
        <v>49865843</v>
      </c>
      <c r="W7" s="94">
        <f>+'雨汚水(共通按分後)'!W7-雨汚水!W7</f>
        <v>0</v>
      </c>
      <c r="X7" s="102" t="s">
        <v>77</v>
      </c>
      <c r="Y7" s="452"/>
      <c r="Z7" s="452"/>
      <c r="AA7" s="452"/>
      <c r="AB7" s="452"/>
      <c r="AC7" s="452"/>
      <c r="AD7" s="100">
        <f>+'雨汚水(共通按分後)'!AD7-雨汚水!AD7</f>
        <v>0</v>
      </c>
      <c r="AE7" s="97">
        <f>+'雨汚水(共通按分後)'!AE7-雨汚水!AE7</f>
        <v>-51227715</v>
      </c>
      <c r="AF7" s="134">
        <f>+'雨汚水(共通按分後)'!AF7-雨汚水!AF7</f>
        <v>-7066907</v>
      </c>
      <c r="AG7" s="98">
        <f>+'雨汚水(共通按分後)'!AG7-雨汚水!AG7</f>
        <v>8428779</v>
      </c>
      <c r="AH7" s="101">
        <f>+'雨汚水(共通按分後)'!AH7-雨汚水!AH7</f>
        <v>-49865843</v>
      </c>
      <c r="AI7" s="97">
        <f>+'雨汚水(共通按分後)'!AI7-雨汚水!AI7</f>
        <v>0</v>
      </c>
      <c r="AJ7" s="98">
        <f>+'雨汚水(共通按分後)'!AJ7-雨汚水!AJ7</f>
        <v>49865843</v>
      </c>
      <c r="AK7" s="95">
        <f>+'雨汚水(共通按分後)'!AK7-雨汚水!AK7</f>
        <v>49865843</v>
      </c>
      <c r="AL7" s="94">
        <f>+'雨汚水(共通按分後)'!AL7-雨汚水!AL7</f>
        <v>0</v>
      </c>
    </row>
    <row r="8" spans="1:38">
      <c r="A8" s="35"/>
      <c r="B8" s="45" t="s">
        <v>4</v>
      </c>
      <c r="C8" s="44" t="s">
        <v>21</v>
      </c>
      <c r="D8" s="42" t="s">
        <v>74</v>
      </c>
      <c r="E8" s="51">
        <f>+'雨汚水(共通按分後)'!E8-雨汚水!E8</f>
        <v>0</v>
      </c>
      <c r="F8" s="39">
        <f>+'雨汚水(共通按分後)'!F8-雨汚水!F8</f>
        <v>0</v>
      </c>
      <c r="G8" s="390">
        <f>+'雨汚水(共通按分後)'!G8-雨汚水!G8</f>
        <v>0</v>
      </c>
      <c r="H8" s="38">
        <f>+'雨汚水(共通按分後)'!H8-雨汚水!H8</f>
        <v>0</v>
      </c>
      <c r="I8" s="40">
        <f>+'雨汚水(共通按分後)'!I8-雨汚水!I8</f>
        <v>0</v>
      </c>
      <c r="J8" s="39">
        <f>+'雨汚水(共通按分後)'!J8-雨汚水!J8</f>
        <v>0</v>
      </c>
      <c r="K8" s="38">
        <f>+'雨汚水(共通按分後)'!K8-雨汚水!K8</f>
        <v>0</v>
      </c>
      <c r="L8" s="37">
        <f>+'雨汚水(共通按分後)'!L8-雨汚水!L8</f>
        <v>0</v>
      </c>
      <c r="M8" s="36">
        <f>+'雨汚水(共通按分後)'!M8-雨汚水!M8</f>
        <v>0</v>
      </c>
      <c r="N8" s="42" t="s">
        <v>74</v>
      </c>
      <c r="O8" s="51">
        <f>+'雨汚水(共通按分後)'!O8-雨汚水!O8</f>
        <v>0</v>
      </c>
      <c r="P8" s="39">
        <f>+'雨汚水(共通按分後)'!P8-雨汚水!P8</f>
        <v>0</v>
      </c>
      <c r="Q8" s="390">
        <f>+'雨汚水(共通按分後)'!Q8-雨汚水!Q8</f>
        <v>0</v>
      </c>
      <c r="R8" s="38">
        <f>+'雨汚水(共通按分後)'!R8-雨汚水!R8</f>
        <v>0</v>
      </c>
      <c r="S8" s="40">
        <f>+'雨汚水(共通按分後)'!S8-雨汚水!S8</f>
        <v>0</v>
      </c>
      <c r="T8" s="39">
        <f>+'雨汚水(共通按分後)'!T8-雨汚水!T8</f>
        <v>0</v>
      </c>
      <c r="U8" s="38">
        <f>+'雨汚水(共通按分後)'!U8-雨汚水!U8</f>
        <v>0</v>
      </c>
      <c r="V8" s="37">
        <f>+'雨汚水(共通按分後)'!V8-雨汚水!V8</f>
        <v>0</v>
      </c>
      <c r="W8" s="36">
        <f>+'雨汚水(共通按分後)'!W8-雨汚水!W8</f>
        <v>0</v>
      </c>
      <c r="X8" s="42" t="s">
        <v>74</v>
      </c>
      <c r="Y8" s="453"/>
      <c r="Z8" s="453"/>
      <c r="AA8" s="453"/>
      <c r="AB8" s="453"/>
      <c r="AC8" s="453"/>
      <c r="AD8" s="51">
        <f>+'雨汚水(共通按分後)'!AD8-雨汚水!AD8</f>
        <v>0</v>
      </c>
      <c r="AE8" s="39">
        <f>+'雨汚水(共通按分後)'!AE8-雨汚水!AE8</f>
        <v>0</v>
      </c>
      <c r="AF8" s="390">
        <f>+'雨汚水(共通按分後)'!AF8-雨汚水!AF8</f>
        <v>0</v>
      </c>
      <c r="AG8" s="38">
        <f>+'雨汚水(共通按分後)'!AG8-雨汚水!AG8</f>
        <v>0</v>
      </c>
      <c r="AH8" s="40">
        <f>+'雨汚水(共通按分後)'!AH8-雨汚水!AH8</f>
        <v>0</v>
      </c>
      <c r="AI8" s="39">
        <f>+'雨汚水(共通按分後)'!AI8-雨汚水!AI8</f>
        <v>0</v>
      </c>
      <c r="AJ8" s="38">
        <f>+'雨汚水(共通按分後)'!AJ8-雨汚水!AJ8</f>
        <v>0</v>
      </c>
      <c r="AK8" s="37">
        <f>+'雨汚水(共通按分後)'!AK8-雨汚水!AK8</f>
        <v>0</v>
      </c>
      <c r="AL8" s="36">
        <f>+'雨汚水(共通按分後)'!AL8-雨汚水!AL8</f>
        <v>0</v>
      </c>
    </row>
    <row r="9" spans="1:38">
      <c r="A9" s="35"/>
      <c r="B9" s="45" t="s">
        <v>4</v>
      </c>
      <c r="C9" s="44" t="s">
        <v>21</v>
      </c>
      <c r="D9" s="42" t="s">
        <v>71</v>
      </c>
      <c r="E9" s="51">
        <f>+'雨汚水(共通按分後)'!E9-雨汚水!E9</f>
        <v>0</v>
      </c>
      <c r="F9" s="39">
        <f>+'雨汚水(共通按分後)'!F9-雨汚水!F9</f>
        <v>-197523542</v>
      </c>
      <c r="G9" s="390">
        <f>+'雨汚水(共通按分後)'!G9-雨汚水!G9</f>
        <v>-6984008</v>
      </c>
      <c r="H9" s="38">
        <f>+'雨汚水(共通按分後)'!H9-雨汚水!H9</f>
        <v>0</v>
      </c>
      <c r="I9" s="40">
        <f>+'雨汚水(共通按分後)'!I9-雨汚水!I9</f>
        <v>-204507550</v>
      </c>
      <c r="J9" s="39">
        <f>+'雨汚水(共通按分後)'!J9-雨汚水!J9</f>
        <v>0</v>
      </c>
      <c r="K9" s="38">
        <f>+'雨汚水(共通按分後)'!K9-雨汚水!K9</f>
        <v>-42742486</v>
      </c>
      <c r="L9" s="37">
        <f>+'雨汚水(共通按分後)'!L9-雨汚水!L9</f>
        <v>-42742486</v>
      </c>
      <c r="M9" s="36">
        <f>+'雨汚水(共通按分後)'!M9-雨汚水!M9</f>
        <v>247250036</v>
      </c>
      <c r="N9" s="42" t="s">
        <v>71</v>
      </c>
      <c r="O9" s="51">
        <f>+'雨汚水(共通按分後)'!O9-雨汚水!O9</f>
        <v>0</v>
      </c>
      <c r="P9" s="39">
        <f>+'雨汚水(共通按分後)'!P9-雨汚水!P9</f>
        <v>-188772437</v>
      </c>
      <c r="Q9" s="390">
        <f>+'雨汚水(共通按分後)'!Q9-雨汚水!Q9</f>
        <v>-6674588</v>
      </c>
      <c r="R9" s="38">
        <f>+'雨汚水(共通按分後)'!R9-雨汚水!R9</f>
        <v>0</v>
      </c>
      <c r="S9" s="40">
        <f>+'雨汚水(共通按分後)'!S9-雨汚水!S9</f>
        <v>-195447025</v>
      </c>
      <c r="T9" s="39">
        <f>+'雨汚水(共通按分後)'!T9-雨汚水!T9</f>
        <v>0</v>
      </c>
      <c r="U9" s="38">
        <f>+'雨汚水(共通按分後)'!U9-雨汚水!U9</f>
        <v>195447025</v>
      </c>
      <c r="V9" s="37">
        <f>+'雨汚水(共通按分後)'!V9-雨汚水!V9</f>
        <v>195447025</v>
      </c>
      <c r="W9" s="36">
        <f>+'雨汚水(共通按分後)'!W9-雨汚水!W9</f>
        <v>0</v>
      </c>
      <c r="X9" s="42" t="s">
        <v>71</v>
      </c>
      <c r="Y9" s="453"/>
      <c r="Z9" s="453"/>
      <c r="AA9" s="453"/>
      <c r="AB9" s="453"/>
      <c r="AC9" s="453"/>
      <c r="AD9" s="51">
        <f>+'雨汚水(共通按分後)'!AD9-雨汚水!AD9</f>
        <v>0</v>
      </c>
      <c r="AE9" s="39">
        <f>+'雨汚水(共通按分後)'!AE9-雨汚水!AE9</f>
        <v>-188772437</v>
      </c>
      <c r="AF9" s="390">
        <f>+'雨汚水(共通按分後)'!AF9-雨汚水!AF9</f>
        <v>-6674588</v>
      </c>
      <c r="AG9" s="38">
        <f>+'雨汚水(共通按分後)'!AG9-雨汚水!AG9</f>
        <v>0</v>
      </c>
      <c r="AH9" s="40">
        <f>+'雨汚水(共通按分後)'!AH9-雨汚水!AH9</f>
        <v>-195447025</v>
      </c>
      <c r="AI9" s="39">
        <f>+'雨汚水(共通按分後)'!AI9-雨汚水!AI9</f>
        <v>0</v>
      </c>
      <c r="AJ9" s="38">
        <f>+'雨汚水(共通按分後)'!AJ9-雨汚水!AJ9</f>
        <v>195447025</v>
      </c>
      <c r="AK9" s="37">
        <f>+'雨汚水(共通按分後)'!AK9-雨汚水!AK9</f>
        <v>195447025</v>
      </c>
      <c r="AL9" s="36">
        <f>+'雨汚水(共通按分後)'!AL9-雨汚水!AL9</f>
        <v>0</v>
      </c>
    </row>
    <row r="10" spans="1:38">
      <c r="A10" s="35"/>
      <c r="B10" s="45" t="s">
        <v>4</v>
      </c>
      <c r="C10" s="44" t="s">
        <v>21</v>
      </c>
      <c r="D10" s="42" t="s">
        <v>69</v>
      </c>
      <c r="E10" s="51">
        <f>+'雨汚水(共通按分後)'!E10-雨汚水!E10</f>
        <v>0</v>
      </c>
      <c r="F10" s="39">
        <f>+'雨汚水(共通按分後)'!F10-雨汚水!F10</f>
        <v>-126540806</v>
      </c>
      <c r="G10" s="390">
        <f>+'雨汚水(共通按分後)'!G10-雨汚水!G10</f>
        <v>-29076260</v>
      </c>
      <c r="H10" s="38">
        <f>+'雨汚水(共通按分後)'!H10-雨汚水!H10</f>
        <v>-101394297</v>
      </c>
      <c r="I10" s="40">
        <f>+'雨汚水(共通按分後)'!I10-雨汚水!I10</f>
        <v>-257011363</v>
      </c>
      <c r="J10" s="39">
        <f>+'雨汚水(共通按分後)'!J10-雨汚水!J10</f>
        <v>-133001422</v>
      </c>
      <c r="K10" s="38">
        <f>+'雨汚水(共通按分後)'!K10-雨汚水!K10</f>
        <v>-844411179</v>
      </c>
      <c r="L10" s="37">
        <f>+'雨汚水(共通按分後)'!L10-雨汚水!L10</f>
        <v>-977412601</v>
      </c>
      <c r="M10" s="36">
        <f>+'雨汚水(共通按分後)'!M10-雨汚水!M10</f>
        <v>1234423964</v>
      </c>
      <c r="N10" s="42" t="s">
        <v>69</v>
      </c>
      <c r="O10" s="51">
        <f>+'雨汚水(共通按分後)'!O10-雨汚水!O10</f>
        <v>0</v>
      </c>
      <c r="P10" s="39">
        <f>+'雨汚水(共通按分後)'!P10-雨汚水!P10</f>
        <v>-116508670</v>
      </c>
      <c r="Q10" s="390">
        <f>+'雨汚水(共通按分後)'!Q10-雨汚水!Q10</f>
        <v>-26771099</v>
      </c>
      <c r="R10" s="38">
        <f>+'雨汚水(共通按分後)'!R10-雨汚水!R10</f>
        <v>-93355772</v>
      </c>
      <c r="S10" s="40">
        <f>+'雨汚水(共通按分後)'!S10-雨汚水!S10</f>
        <v>-236635541</v>
      </c>
      <c r="T10" s="39">
        <f>+'雨汚水(共通按分後)'!T10-雨汚水!T10</f>
        <v>-122457089</v>
      </c>
      <c r="U10" s="38">
        <f>+'雨汚水(共通按分後)'!U10-雨汚水!U10</f>
        <v>359092630</v>
      </c>
      <c r="V10" s="37">
        <f>+'雨汚水(共通按分後)'!V10-雨汚水!V10</f>
        <v>236635541</v>
      </c>
      <c r="W10" s="36">
        <f>+'雨汚水(共通按分後)'!W10-雨汚水!W10</f>
        <v>0</v>
      </c>
      <c r="X10" s="42" t="s">
        <v>69</v>
      </c>
      <c r="Y10" s="453"/>
      <c r="Z10" s="453"/>
      <c r="AA10" s="453"/>
      <c r="AB10" s="453"/>
      <c r="AC10" s="453"/>
      <c r="AD10" s="51">
        <f>+'雨汚水(共通按分後)'!AD10-雨汚水!AD10</f>
        <v>0</v>
      </c>
      <c r="AE10" s="39">
        <f>+'雨汚水(共通按分後)'!AE10-雨汚水!AE10</f>
        <v>-116508670</v>
      </c>
      <c r="AF10" s="390">
        <f>+'雨汚水(共通按分後)'!AF10-雨汚水!AF10</f>
        <v>-26771099</v>
      </c>
      <c r="AG10" s="38">
        <f>+'雨汚水(共通按分後)'!AG10-雨汚水!AG10</f>
        <v>-93355772</v>
      </c>
      <c r="AH10" s="40">
        <f>+'雨汚水(共通按分後)'!AH10-雨汚水!AH10</f>
        <v>-236635541</v>
      </c>
      <c r="AI10" s="39">
        <f>+'雨汚水(共通按分後)'!AI10-雨汚水!AI10</f>
        <v>-122457089</v>
      </c>
      <c r="AJ10" s="38">
        <f>+'雨汚水(共通按分後)'!AJ10-雨汚水!AJ10</f>
        <v>359092630</v>
      </c>
      <c r="AK10" s="37">
        <f>+'雨汚水(共通按分後)'!AK10-雨汚水!AK10</f>
        <v>236635541</v>
      </c>
      <c r="AL10" s="36">
        <f>+'雨汚水(共通按分後)'!AL10-雨汚水!AL10</f>
        <v>0</v>
      </c>
    </row>
    <row r="11" spans="1:38">
      <c r="A11" s="35"/>
      <c r="B11" s="45" t="s">
        <v>4</v>
      </c>
      <c r="C11" s="44" t="s">
        <v>21</v>
      </c>
      <c r="D11" s="42" t="s">
        <v>67</v>
      </c>
      <c r="E11" s="51">
        <f>+'雨汚水(共通按分後)'!E11-雨汚水!E11</f>
        <v>0</v>
      </c>
      <c r="F11" s="39">
        <f>+'雨汚水(共通按分後)'!F11-雨汚水!F11</f>
        <v>0</v>
      </c>
      <c r="G11" s="390">
        <f>+'雨汚水(共通按分後)'!G11-雨汚水!G11</f>
        <v>0</v>
      </c>
      <c r="H11" s="38">
        <f>+'雨汚水(共通按分後)'!H11-雨汚水!H11</f>
        <v>0</v>
      </c>
      <c r="I11" s="40">
        <f>+'雨汚水(共通按分後)'!I11-雨汚水!I11</f>
        <v>0</v>
      </c>
      <c r="J11" s="39">
        <f>+'雨汚水(共通按分後)'!J11-雨汚水!J11</f>
        <v>0</v>
      </c>
      <c r="K11" s="38">
        <f>+'雨汚水(共通按分後)'!K11-雨汚水!K11</f>
        <v>0</v>
      </c>
      <c r="L11" s="37">
        <f>+'雨汚水(共通按分後)'!L11-雨汚水!L11</f>
        <v>0</v>
      </c>
      <c r="M11" s="36">
        <f>+'雨汚水(共通按分後)'!M11-雨汚水!M11</f>
        <v>0</v>
      </c>
      <c r="N11" s="42" t="s">
        <v>67</v>
      </c>
      <c r="O11" s="51">
        <f>+'雨汚水(共通按分後)'!O11-雨汚水!O11</f>
        <v>0</v>
      </c>
      <c r="P11" s="39">
        <f>+'雨汚水(共通按分後)'!P11-雨汚水!P11</f>
        <v>0</v>
      </c>
      <c r="Q11" s="390">
        <f>+'雨汚水(共通按分後)'!Q11-雨汚水!Q11</f>
        <v>0</v>
      </c>
      <c r="R11" s="38">
        <f>+'雨汚水(共通按分後)'!R11-雨汚水!R11</f>
        <v>0</v>
      </c>
      <c r="S11" s="40">
        <f>+'雨汚水(共通按分後)'!S11-雨汚水!S11</f>
        <v>0</v>
      </c>
      <c r="T11" s="39">
        <f>+'雨汚水(共通按分後)'!T11-雨汚水!T11</f>
        <v>0</v>
      </c>
      <c r="U11" s="38">
        <f>+'雨汚水(共通按分後)'!U11-雨汚水!U11</f>
        <v>0</v>
      </c>
      <c r="V11" s="37">
        <f>+'雨汚水(共通按分後)'!V11-雨汚水!V11</f>
        <v>0</v>
      </c>
      <c r="W11" s="36">
        <f>+'雨汚水(共通按分後)'!W11-雨汚水!W11</f>
        <v>0</v>
      </c>
      <c r="X11" s="42" t="s">
        <v>67</v>
      </c>
      <c r="Y11" s="453"/>
      <c r="Z11" s="453"/>
      <c r="AA11" s="453"/>
      <c r="AB11" s="453"/>
      <c r="AC11" s="453"/>
      <c r="AD11" s="51">
        <f>+'雨汚水(共通按分後)'!AD11-雨汚水!AD11</f>
        <v>0</v>
      </c>
      <c r="AE11" s="39">
        <f>+'雨汚水(共通按分後)'!AE11-雨汚水!AE11</f>
        <v>0</v>
      </c>
      <c r="AF11" s="390">
        <f>+'雨汚水(共通按分後)'!AF11-雨汚水!AF11</f>
        <v>0</v>
      </c>
      <c r="AG11" s="38">
        <f>+'雨汚水(共通按分後)'!AG11-雨汚水!AG11</f>
        <v>0</v>
      </c>
      <c r="AH11" s="40">
        <f>+'雨汚水(共通按分後)'!AH11-雨汚水!AH11</f>
        <v>0</v>
      </c>
      <c r="AI11" s="39">
        <f>+'雨汚水(共通按分後)'!AI11-雨汚水!AI11</f>
        <v>0</v>
      </c>
      <c r="AJ11" s="38">
        <f>+'雨汚水(共通按分後)'!AJ11-雨汚水!AJ11</f>
        <v>0</v>
      </c>
      <c r="AK11" s="37">
        <f>+'雨汚水(共通按分後)'!AK11-雨汚水!AK11</f>
        <v>0</v>
      </c>
      <c r="AL11" s="36">
        <f>+'雨汚水(共通按分後)'!AL11-雨汚水!AL11</f>
        <v>0</v>
      </c>
    </row>
    <row r="12" spans="1:38">
      <c r="A12" s="35"/>
      <c r="B12" s="45" t="s">
        <v>4</v>
      </c>
      <c r="C12" s="44" t="s">
        <v>21</v>
      </c>
      <c r="D12" s="42" t="s">
        <v>65</v>
      </c>
      <c r="E12" s="51">
        <f>+'雨汚水(共通按分後)'!E12-雨汚水!E12</f>
        <v>0</v>
      </c>
      <c r="F12" s="39">
        <f>+'雨汚水(共通按分後)'!F12-雨汚水!F12</f>
        <v>0</v>
      </c>
      <c r="G12" s="390">
        <f>+'雨汚水(共通按分後)'!G12-雨汚水!G12</f>
        <v>0</v>
      </c>
      <c r="H12" s="38">
        <f>+'雨汚水(共通按分後)'!H12-雨汚水!H12</f>
        <v>19274556</v>
      </c>
      <c r="I12" s="40">
        <f>+'雨汚水(共通按分後)'!I12-雨汚水!I12</f>
        <v>19274556</v>
      </c>
      <c r="J12" s="39">
        <f>+'雨汚水(共通按分後)'!J12-雨汚水!J12</f>
        <v>-9637278</v>
      </c>
      <c r="K12" s="38">
        <f>+'雨汚水(共通按分後)'!K12-雨汚水!K12</f>
        <v>-9637278</v>
      </c>
      <c r="L12" s="37">
        <f>+'雨汚水(共通按分後)'!L12-雨汚水!L12</f>
        <v>-19274556</v>
      </c>
      <c r="M12" s="36">
        <f>+'雨汚水(共通按分後)'!M12-雨汚水!M12</f>
        <v>0</v>
      </c>
      <c r="N12" s="42" t="s">
        <v>65</v>
      </c>
      <c r="O12" s="51">
        <f>+'雨汚水(共通按分後)'!O12-雨汚水!O12</f>
        <v>0</v>
      </c>
      <c r="P12" s="39">
        <f>+'雨汚水(共通按分後)'!P12-雨汚水!P12</f>
        <v>0</v>
      </c>
      <c r="Q12" s="390">
        <f>+'雨汚水(共通按分後)'!Q12-雨汚水!Q12</f>
        <v>0</v>
      </c>
      <c r="R12" s="38">
        <f>+'雨汚水(共通按分後)'!R12-雨汚水!R12</f>
        <v>19274556</v>
      </c>
      <c r="S12" s="40">
        <f>+'雨汚水(共通按分後)'!S12-雨汚水!S12</f>
        <v>19274556</v>
      </c>
      <c r="T12" s="39">
        <f>+'雨汚水(共通按分後)'!T12-雨汚水!T12</f>
        <v>-9637278</v>
      </c>
      <c r="U12" s="38">
        <f>+'雨汚水(共通按分後)'!U12-雨汚水!U12</f>
        <v>-9637278</v>
      </c>
      <c r="V12" s="37">
        <f>+'雨汚水(共通按分後)'!V12-雨汚水!V12</f>
        <v>-19274556</v>
      </c>
      <c r="W12" s="36">
        <f>+'雨汚水(共通按分後)'!W12-雨汚水!W12</f>
        <v>0</v>
      </c>
      <c r="X12" s="42" t="s">
        <v>65</v>
      </c>
      <c r="Y12" s="453"/>
      <c r="Z12" s="453"/>
      <c r="AA12" s="453"/>
      <c r="AB12" s="453"/>
      <c r="AC12" s="453"/>
      <c r="AD12" s="51">
        <f>+'雨汚水(共通按分後)'!AD12-雨汚水!AD12</f>
        <v>0</v>
      </c>
      <c r="AE12" s="39">
        <f>+'雨汚水(共通按分後)'!AE12-雨汚水!AE12</f>
        <v>0</v>
      </c>
      <c r="AF12" s="390">
        <f>+'雨汚水(共通按分後)'!AF12-雨汚水!AF12</f>
        <v>0</v>
      </c>
      <c r="AG12" s="38">
        <f>+'雨汚水(共通按分後)'!AG12-雨汚水!AG12</f>
        <v>19274556</v>
      </c>
      <c r="AH12" s="40">
        <f>+'雨汚水(共通按分後)'!AH12-雨汚水!AH12</f>
        <v>19274556</v>
      </c>
      <c r="AI12" s="39">
        <f>+'雨汚水(共通按分後)'!AI12-雨汚水!AI12</f>
        <v>-9637278</v>
      </c>
      <c r="AJ12" s="38">
        <f>+'雨汚水(共通按分後)'!AJ12-雨汚水!AJ12</f>
        <v>-9637278</v>
      </c>
      <c r="AK12" s="37">
        <f>+'雨汚水(共通按分後)'!AK12-雨汚水!AK12</f>
        <v>-19274556</v>
      </c>
      <c r="AL12" s="36">
        <f>+'雨汚水(共通按分後)'!AL12-雨汚水!AL12</f>
        <v>0</v>
      </c>
    </row>
    <row r="13" spans="1:38">
      <c r="A13" s="35"/>
      <c r="B13" s="45" t="s">
        <v>4</v>
      </c>
      <c r="C13" s="44" t="s">
        <v>21</v>
      </c>
      <c r="D13" s="42" t="s">
        <v>62</v>
      </c>
      <c r="E13" s="51">
        <f>+'雨汚水(共通按分後)'!E13-雨汚水!E13</f>
        <v>0</v>
      </c>
      <c r="F13" s="39">
        <f>+'雨汚水(共通按分後)'!F13-雨汚水!F13</f>
        <v>0</v>
      </c>
      <c r="G13" s="390">
        <f>+'雨汚水(共通按分後)'!G13-雨汚水!G13</f>
        <v>0</v>
      </c>
      <c r="H13" s="38">
        <f>+'雨汚水(共通按分後)'!H13-雨汚水!H13</f>
        <v>0</v>
      </c>
      <c r="I13" s="40">
        <f>+'雨汚水(共通按分後)'!I13-雨汚水!I13</f>
        <v>0</v>
      </c>
      <c r="J13" s="39">
        <f>+'雨汚水(共通按分後)'!J13-雨汚水!J13</f>
        <v>0</v>
      </c>
      <c r="K13" s="38">
        <f>+'雨汚水(共通按分後)'!K13-雨汚水!K13</f>
        <v>0</v>
      </c>
      <c r="L13" s="37">
        <f>+'雨汚水(共通按分後)'!L13-雨汚水!L13</f>
        <v>0</v>
      </c>
      <c r="M13" s="36">
        <f>+'雨汚水(共通按分後)'!M13-雨汚水!M13</f>
        <v>0</v>
      </c>
      <c r="N13" s="42" t="s">
        <v>62</v>
      </c>
      <c r="O13" s="51">
        <f>+'雨汚水(共通按分後)'!O13-雨汚水!O13</f>
        <v>0</v>
      </c>
      <c r="P13" s="39">
        <f>+'雨汚水(共通按分後)'!P13-雨汚水!P13</f>
        <v>0</v>
      </c>
      <c r="Q13" s="390">
        <f>+'雨汚水(共通按分後)'!Q13-雨汚水!Q13</f>
        <v>0</v>
      </c>
      <c r="R13" s="38">
        <f>+'雨汚水(共通按分後)'!R13-雨汚水!R13</f>
        <v>0</v>
      </c>
      <c r="S13" s="40">
        <f>+'雨汚水(共通按分後)'!S13-雨汚水!S13</f>
        <v>0</v>
      </c>
      <c r="T13" s="39">
        <f>+'雨汚水(共通按分後)'!T13-雨汚水!T13</f>
        <v>0</v>
      </c>
      <c r="U13" s="38">
        <f>+'雨汚水(共通按分後)'!U13-雨汚水!U13</f>
        <v>0</v>
      </c>
      <c r="V13" s="37">
        <f>+'雨汚水(共通按分後)'!V13-雨汚水!V13</f>
        <v>0</v>
      </c>
      <c r="W13" s="36">
        <f>+'雨汚水(共通按分後)'!W13-雨汚水!W13</f>
        <v>0</v>
      </c>
      <c r="X13" s="42" t="s">
        <v>62</v>
      </c>
      <c r="Y13" s="453"/>
      <c r="Z13" s="453"/>
      <c r="AA13" s="453"/>
      <c r="AB13" s="453"/>
      <c r="AC13" s="453"/>
      <c r="AD13" s="51">
        <f>+'雨汚水(共通按分後)'!AD13-雨汚水!AD13</f>
        <v>0</v>
      </c>
      <c r="AE13" s="39">
        <f>+'雨汚水(共通按分後)'!AE13-雨汚水!AE13</f>
        <v>0</v>
      </c>
      <c r="AF13" s="390">
        <f>+'雨汚水(共通按分後)'!AF13-雨汚水!AF13</f>
        <v>0</v>
      </c>
      <c r="AG13" s="38">
        <f>+'雨汚水(共通按分後)'!AG13-雨汚水!AG13</f>
        <v>0</v>
      </c>
      <c r="AH13" s="40">
        <f>+'雨汚水(共通按分後)'!AH13-雨汚水!AH13</f>
        <v>0</v>
      </c>
      <c r="AI13" s="39">
        <f>+'雨汚水(共通按分後)'!AI13-雨汚水!AI13</f>
        <v>0</v>
      </c>
      <c r="AJ13" s="38">
        <f>+'雨汚水(共通按分後)'!AJ13-雨汚水!AJ13</f>
        <v>0</v>
      </c>
      <c r="AK13" s="37">
        <f>+'雨汚水(共通按分後)'!AK13-雨汚水!AK13</f>
        <v>0</v>
      </c>
      <c r="AL13" s="36">
        <f>+'雨汚水(共通按分後)'!AL13-雨汚水!AL13</f>
        <v>0</v>
      </c>
    </row>
    <row r="14" spans="1:38">
      <c r="A14" s="35"/>
      <c r="B14" s="45" t="s">
        <v>4</v>
      </c>
      <c r="C14" s="44" t="s">
        <v>21</v>
      </c>
      <c r="D14" s="42" t="s">
        <v>60</v>
      </c>
      <c r="E14" s="51">
        <f>+'雨汚水(共通按分後)'!E14-雨汚水!E14</f>
        <v>0</v>
      </c>
      <c r="F14" s="39">
        <f>+'雨汚水(共通按分後)'!F14-雨汚水!F14</f>
        <v>0</v>
      </c>
      <c r="G14" s="390">
        <f>+'雨汚水(共通按分後)'!G14-雨汚水!G14</f>
        <v>0</v>
      </c>
      <c r="H14" s="38">
        <f>+'雨汚水(共通按分後)'!H14-雨汚水!H14</f>
        <v>4521799</v>
      </c>
      <c r="I14" s="40">
        <f>+'雨汚水(共通按分後)'!I14-雨汚水!I14</f>
        <v>4521799</v>
      </c>
      <c r="J14" s="39">
        <f>+'雨汚水(共通按分後)'!J14-雨汚水!J14</f>
        <v>0</v>
      </c>
      <c r="K14" s="38">
        <f>+'雨汚水(共通按分後)'!K14-雨汚水!K14</f>
        <v>-4521799</v>
      </c>
      <c r="L14" s="37">
        <f>+'雨汚水(共通按分後)'!L14-雨汚水!L14</f>
        <v>-4521799</v>
      </c>
      <c r="M14" s="36">
        <f>+'雨汚水(共通按分後)'!M14-雨汚水!M14</f>
        <v>0</v>
      </c>
      <c r="N14" s="42" t="s">
        <v>60</v>
      </c>
      <c r="O14" s="51">
        <f>+'雨汚水(共通按分後)'!O14-雨汚水!O14</f>
        <v>0</v>
      </c>
      <c r="P14" s="39">
        <f>+'雨汚水(共通按分後)'!P14-雨汚水!P14</f>
        <v>0</v>
      </c>
      <c r="Q14" s="390">
        <f>+'雨汚水(共通按分後)'!Q14-雨汚水!Q14</f>
        <v>0</v>
      </c>
      <c r="R14" s="38">
        <f>+'雨汚水(共通按分後)'!R14-雨汚水!R14</f>
        <v>4513095</v>
      </c>
      <c r="S14" s="40">
        <f>+'雨汚水(共通按分後)'!S14-雨汚水!S14</f>
        <v>4513095</v>
      </c>
      <c r="T14" s="39">
        <f>+'雨汚水(共通按分後)'!T14-雨汚水!T14</f>
        <v>0</v>
      </c>
      <c r="U14" s="38">
        <f>+'雨汚水(共通按分後)'!U14-雨汚水!U14</f>
        <v>-4513095</v>
      </c>
      <c r="V14" s="37">
        <f>+'雨汚水(共通按分後)'!V14-雨汚水!V14</f>
        <v>-4513095</v>
      </c>
      <c r="W14" s="36">
        <f>+'雨汚水(共通按分後)'!W14-雨汚水!W14</f>
        <v>0</v>
      </c>
      <c r="X14" s="42" t="s">
        <v>60</v>
      </c>
      <c r="Y14" s="453"/>
      <c r="Z14" s="453"/>
      <c r="AA14" s="453"/>
      <c r="AB14" s="453"/>
      <c r="AC14" s="453"/>
      <c r="AD14" s="51">
        <f>+'雨汚水(共通按分後)'!AD14-雨汚水!AD14</f>
        <v>0</v>
      </c>
      <c r="AE14" s="39">
        <f>+'雨汚水(共通按分後)'!AE14-雨汚水!AE14</f>
        <v>0</v>
      </c>
      <c r="AF14" s="390">
        <f>+'雨汚水(共通按分後)'!AF14-雨汚水!AF14</f>
        <v>0</v>
      </c>
      <c r="AG14" s="38">
        <f>+'雨汚水(共通按分後)'!AG14-雨汚水!AG14</f>
        <v>4513095</v>
      </c>
      <c r="AH14" s="40">
        <f>+'雨汚水(共通按分後)'!AH14-雨汚水!AH14</f>
        <v>4513095</v>
      </c>
      <c r="AI14" s="39">
        <f>+'雨汚水(共通按分後)'!AI14-雨汚水!AI14</f>
        <v>0</v>
      </c>
      <c r="AJ14" s="38">
        <f>+'雨汚水(共通按分後)'!AJ14-雨汚水!AJ14</f>
        <v>-4513095</v>
      </c>
      <c r="AK14" s="37">
        <f>+'雨汚水(共通按分後)'!AK14-雨汚水!AK14</f>
        <v>-4513095</v>
      </c>
      <c r="AL14" s="36">
        <f>+'雨汚水(共通按分後)'!AL14-雨汚水!AL14</f>
        <v>0</v>
      </c>
    </row>
    <row r="15" spans="1:38">
      <c r="A15" s="35"/>
      <c r="B15" s="45" t="s">
        <v>4</v>
      </c>
      <c r="C15" s="44" t="s">
        <v>21</v>
      </c>
      <c r="D15" s="42" t="s">
        <v>58</v>
      </c>
      <c r="E15" s="51">
        <f>+'雨汚水(共通按分後)'!E15-雨汚水!E15</f>
        <v>431017368</v>
      </c>
      <c r="F15" s="51">
        <f>+'雨汚水(共通按分後)'!F15-雨汚水!F15</f>
        <v>-124319036</v>
      </c>
      <c r="G15" s="390">
        <f>+'雨汚水(共通按分後)'!G15-雨汚水!G15</f>
        <v>-11865785</v>
      </c>
      <c r="H15" s="38">
        <f>+'雨汚水(共通按分後)'!H15-雨汚水!H15</f>
        <v>-7247778</v>
      </c>
      <c r="I15" s="73">
        <f>+'雨汚水(共通按分後)'!I15-雨汚水!I15</f>
        <v>-143432599</v>
      </c>
      <c r="J15" s="39">
        <f>+'雨汚水(共通按分後)'!J15-雨汚水!J15</f>
        <v>0</v>
      </c>
      <c r="K15" s="38">
        <f>+'雨汚水(共通按分後)'!K15-雨汚水!K15</f>
        <v>574449967</v>
      </c>
      <c r="L15" s="37">
        <f>+'雨汚水(共通按分後)'!L15-雨汚水!L15</f>
        <v>574449967</v>
      </c>
      <c r="M15" s="36">
        <f>+'雨汚水(共通按分後)'!M15-雨汚水!M15</f>
        <v>0</v>
      </c>
      <c r="N15" s="42" t="s">
        <v>58</v>
      </c>
      <c r="O15" s="51">
        <f>+'雨汚水(共通按分後)'!O15-雨汚水!O15</f>
        <v>392370144</v>
      </c>
      <c r="P15" s="51">
        <f>+'雨汚水(共通按分後)'!P15-雨汚水!P15</f>
        <v>-121423708</v>
      </c>
      <c r="Q15" s="390">
        <f>+'雨汚水(共通按分後)'!Q15-雨汚水!Q15</f>
        <v>-11411705</v>
      </c>
      <c r="R15" s="38">
        <f>+'雨汚水(共通按分後)'!R15-雨汚水!R15</f>
        <v>-7247778</v>
      </c>
      <c r="S15" s="73">
        <f>+'雨汚水(共通按分後)'!S15-雨汚水!S15</f>
        <v>-140083191</v>
      </c>
      <c r="T15" s="39">
        <f>+'雨汚水(共通按分後)'!T15-雨汚水!T15</f>
        <v>0</v>
      </c>
      <c r="U15" s="38">
        <f>+'雨汚水(共通按分後)'!U15-雨汚水!U15</f>
        <v>532453335</v>
      </c>
      <c r="V15" s="37">
        <f>+'雨汚水(共通按分後)'!V15-雨汚水!V15</f>
        <v>532453335</v>
      </c>
      <c r="W15" s="36">
        <f>+'雨汚水(共通按分後)'!W15-雨汚水!W15</f>
        <v>0</v>
      </c>
      <c r="X15" s="42" t="s">
        <v>58</v>
      </c>
      <c r="Y15" s="453"/>
      <c r="Z15" s="453"/>
      <c r="AA15" s="453"/>
      <c r="AB15" s="453"/>
      <c r="AC15" s="453"/>
      <c r="AD15" s="51">
        <f>+'雨汚水(共通按分後)'!AD15-雨汚水!AD15</f>
        <v>392370144</v>
      </c>
      <c r="AE15" s="51">
        <f>+'雨汚水(共通按分後)'!AE15-雨汚水!AE15</f>
        <v>-121423708</v>
      </c>
      <c r="AF15" s="390">
        <f>+'雨汚水(共通按分後)'!AF15-雨汚水!AF15</f>
        <v>-11411705</v>
      </c>
      <c r="AG15" s="38">
        <f>+'雨汚水(共通按分後)'!AG15-雨汚水!AG15</f>
        <v>-7247778</v>
      </c>
      <c r="AH15" s="73">
        <f>+'雨汚水(共通按分後)'!AH15-雨汚水!AH15</f>
        <v>-140083191</v>
      </c>
      <c r="AI15" s="39">
        <f>+'雨汚水(共通按分後)'!AI15-雨汚水!AI15</f>
        <v>0</v>
      </c>
      <c r="AJ15" s="38">
        <f>+'雨汚水(共通按分後)'!AJ15-雨汚水!AJ15</f>
        <v>532453335</v>
      </c>
      <c r="AK15" s="37">
        <f>+'雨汚水(共通按分後)'!AK15-雨汚水!AK15</f>
        <v>532453335</v>
      </c>
      <c r="AL15" s="36">
        <f>+'雨汚水(共通按分後)'!AL15-雨汚水!AL15</f>
        <v>0</v>
      </c>
    </row>
    <row r="16" spans="1:38">
      <c r="A16" s="35"/>
      <c r="B16" s="45" t="s">
        <v>4</v>
      </c>
      <c r="C16" s="44" t="s">
        <v>21</v>
      </c>
      <c r="D16" s="50" t="s">
        <v>119</v>
      </c>
      <c r="E16" s="51">
        <f>+'雨汚水(共通按分後)'!E16-雨汚水!E16</f>
        <v>-106990906</v>
      </c>
      <c r="F16" s="39">
        <f>+'雨汚水(共通按分後)'!F16-雨汚水!F16</f>
        <v>0</v>
      </c>
      <c r="G16" s="390">
        <f>+'雨汚水(共通按分後)'!G16-雨汚水!G16</f>
        <v>0</v>
      </c>
      <c r="H16" s="38">
        <f>+'雨汚水(共通按分後)'!H16-雨汚水!H16</f>
        <v>0</v>
      </c>
      <c r="I16" s="73">
        <f>+'雨汚水(共通按分後)'!I16-雨汚水!I16</f>
        <v>0</v>
      </c>
      <c r="J16" s="39">
        <f>+'雨汚水(共通按分後)'!J16-雨汚水!J16</f>
        <v>0</v>
      </c>
      <c r="K16" s="38">
        <f>+'雨汚水(共通按分後)'!K16-雨汚水!K16</f>
        <v>-106990906</v>
      </c>
      <c r="L16" s="37">
        <f>+'雨汚水(共通按分後)'!L16-雨汚水!L16</f>
        <v>-106990906</v>
      </c>
      <c r="M16" s="36">
        <f>+'雨汚水(共通按分後)'!M16-雨汚水!M16</f>
        <v>0</v>
      </c>
      <c r="N16" s="50" t="s">
        <v>119</v>
      </c>
      <c r="O16" s="51">
        <f>+'雨汚水(共通按分後)'!O16-雨汚水!O16</f>
        <v>-97276922</v>
      </c>
      <c r="P16" s="39">
        <f>+'雨汚水(共通按分後)'!P16-雨汚水!P16</f>
        <v>0</v>
      </c>
      <c r="Q16" s="390">
        <f>+'雨汚水(共通按分後)'!Q16-雨汚水!Q16</f>
        <v>0</v>
      </c>
      <c r="R16" s="38">
        <f>+'雨汚水(共通按分後)'!R16-雨汚水!R16</f>
        <v>0</v>
      </c>
      <c r="S16" s="73">
        <f>+'雨汚水(共通按分後)'!S16-雨汚水!S16</f>
        <v>0</v>
      </c>
      <c r="T16" s="39">
        <f>+'雨汚水(共通按分後)'!T16-雨汚水!T16</f>
        <v>0</v>
      </c>
      <c r="U16" s="38">
        <f>+'雨汚水(共通按分後)'!U16-雨汚水!U16</f>
        <v>-97276922</v>
      </c>
      <c r="V16" s="37">
        <f>+'雨汚水(共通按分後)'!V16-雨汚水!V16</f>
        <v>-97276922</v>
      </c>
      <c r="W16" s="36">
        <f>+'雨汚水(共通按分後)'!W16-雨汚水!W16</f>
        <v>0</v>
      </c>
      <c r="X16" s="42" t="s">
        <v>55</v>
      </c>
      <c r="Y16" s="453"/>
      <c r="Z16" s="453"/>
      <c r="AA16" s="453"/>
      <c r="AB16" s="453"/>
      <c r="AC16" s="453"/>
      <c r="AD16" s="51">
        <f>+'雨汚水(共通按分後)'!AD16-雨汚水!AD16</f>
        <v>-97276922</v>
      </c>
      <c r="AE16" s="39">
        <f>+'雨汚水(共通按分後)'!AE16-雨汚水!AE16</f>
        <v>0</v>
      </c>
      <c r="AF16" s="390">
        <f>+'雨汚水(共通按分後)'!AF16-雨汚水!AF16</f>
        <v>0</v>
      </c>
      <c r="AG16" s="38">
        <f>+'雨汚水(共通按分後)'!AG16-雨汚水!AG16</f>
        <v>0</v>
      </c>
      <c r="AH16" s="73">
        <f>+'雨汚水(共通按分後)'!AH16-雨汚水!AH16</f>
        <v>0</v>
      </c>
      <c r="AI16" s="39">
        <f>+'雨汚水(共通按分後)'!AI16-雨汚水!AI16</f>
        <v>0</v>
      </c>
      <c r="AJ16" s="38">
        <f>+'雨汚水(共通按分後)'!AJ16-雨汚水!AJ16</f>
        <v>-97276922</v>
      </c>
      <c r="AK16" s="37">
        <f>+'雨汚水(共通按分後)'!AK16-雨汚水!AK16</f>
        <v>-97276922</v>
      </c>
      <c r="AL16" s="36">
        <f>+'雨汚水(共通按分後)'!AL16-雨汚水!AL16</f>
        <v>0</v>
      </c>
    </row>
    <row r="17" spans="1:38">
      <c r="A17" s="35"/>
      <c r="B17" s="45" t="s">
        <v>4</v>
      </c>
      <c r="C17" s="44" t="s">
        <v>21</v>
      </c>
      <c r="D17" s="50" t="s">
        <v>118</v>
      </c>
      <c r="E17" s="51">
        <f>+'雨汚水(共通按分後)'!E17-雨汚水!E17</f>
        <v>-247654024</v>
      </c>
      <c r="F17" s="39">
        <f>+'雨汚水(共通按分後)'!F17-雨汚水!F17</f>
        <v>0</v>
      </c>
      <c r="G17" s="390">
        <f>+'雨汚水(共通按分後)'!G17-雨汚水!G17</f>
        <v>0</v>
      </c>
      <c r="H17" s="38">
        <f>+'雨汚水(共通按分後)'!H17-雨汚水!H17</f>
        <v>0</v>
      </c>
      <c r="I17" s="73">
        <f>+'雨汚水(共通按分後)'!I17-雨汚水!I17</f>
        <v>0</v>
      </c>
      <c r="J17" s="39">
        <f>+'雨汚水(共通按分後)'!J17-雨汚水!J17</f>
        <v>0</v>
      </c>
      <c r="K17" s="38">
        <f>+'雨汚水(共通按分後)'!K17-雨汚水!K17</f>
        <v>-247654024</v>
      </c>
      <c r="L17" s="37">
        <f>+'雨汚水(共通按分後)'!L17-雨汚水!L17</f>
        <v>-247654024</v>
      </c>
      <c r="M17" s="36">
        <f>+'雨汚水(共通按分後)'!M17-雨汚水!M17</f>
        <v>0</v>
      </c>
      <c r="N17" s="50" t="s">
        <v>118</v>
      </c>
      <c r="O17" s="51">
        <f>+'雨汚水(共通按分後)'!O17-雨汚水!O17</f>
        <v>-225167795</v>
      </c>
      <c r="P17" s="39">
        <f>+'雨汚水(共通按分後)'!P17-雨汚水!P17</f>
        <v>0</v>
      </c>
      <c r="Q17" s="390">
        <f>+'雨汚水(共通按分後)'!Q17-雨汚水!Q17</f>
        <v>0</v>
      </c>
      <c r="R17" s="38">
        <f>+'雨汚水(共通按分後)'!R17-雨汚水!R17</f>
        <v>0</v>
      </c>
      <c r="S17" s="73">
        <f>+'雨汚水(共通按分後)'!S17-雨汚水!S17</f>
        <v>0</v>
      </c>
      <c r="T17" s="39">
        <f>+'雨汚水(共通按分後)'!T17-雨汚水!T17</f>
        <v>0</v>
      </c>
      <c r="U17" s="38">
        <f>+'雨汚水(共通按分後)'!U17-雨汚水!U17</f>
        <v>-225167795</v>
      </c>
      <c r="V17" s="37">
        <f>+'雨汚水(共通按分後)'!V17-雨汚水!V17</f>
        <v>-225167795</v>
      </c>
      <c r="W17" s="36">
        <f>+'雨汚水(共通按分後)'!W17-雨汚水!W17</f>
        <v>0</v>
      </c>
      <c r="X17" s="42" t="s">
        <v>53</v>
      </c>
      <c r="Y17" s="453"/>
      <c r="Z17" s="453"/>
      <c r="AA17" s="453"/>
      <c r="AB17" s="453"/>
      <c r="AC17" s="453"/>
      <c r="AD17" s="51">
        <f>+'雨汚水(共通按分後)'!AD17-雨汚水!AD17</f>
        <v>-225167795</v>
      </c>
      <c r="AE17" s="39">
        <f>+'雨汚水(共通按分後)'!AE17-雨汚水!AE17</f>
        <v>0</v>
      </c>
      <c r="AF17" s="390">
        <f>+'雨汚水(共通按分後)'!AF17-雨汚水!AF17</f>
        <v>0</v>
      </c>
      <c r="AG17" s="38">
        <f>+'雨汚水(共通按分後)'!AG17-雨汚水!AG17</f>
        <v>0</v>
      </c>
      <c r="AH17" s="73">
        <f>+'雨汚水(共通按分後)'!AH17-雨汚水!AH17</f>
        <v>0</v>
      </c>
      <c r="AI17" s="39">
        <f>+'雨汚水(共通按分後)'!AI17-雨汚水!AI17</f>
        <v>0</v>
      </c>
      <c r="AJ17" s="38">
        <f>+'雨汚水(共通按分後)'!AJ17-雨汚水!AJ17</f>
        <v>-225167795</v>
      </c>
      <c r="AK17" s="37">
        <f>+'雨汚水(共通按分後)'!AK17-雨汚水!AK17</f>
        <v>-225167795</v>
      </c>
      <c r="AL17" s="36">
        <f>+'雨汚水(共通按分後)'!AL17-雨汚水!AL17</f>
        <v>0</v>
      </c>
    </row>
    <row r="18" spans="1:38">
      <c r="A18" s="35"/>
      <c r="B18" s="45" t="s">
        <v>4</v>
      </c>
      <c r="C18" s="44" t="s">
        <v>21</v>
      </c>
      <c r="D18" s="42" t="s">
        <v>51</v>
      </c>
      <c r="E18" s="51">
        <f>+'雨汚水(共通按分後)'!E18-雨汚水!E18</f>
        <v>-76388330</v>
      </c>
      <c r="F18" s="39">
        <f>+'雨汚水(共通按分後)'!F18-雨汚水!F18</f>
        <v>0</v>
      </c>
      <c r="G18" s="390">
        <f>+'雨汚水(共通按分後)'!G18-雨汚水!G18</f>
        <v>0</v>
      </c>
      <c r="H18" s="38">
        <f>+'雨汚水(共通按分後)'!H18-雨汚水!H18</f>
        <v>0</v>
      </c>
      <c r="I18" s="40">
        <f>+'雨汚水(共通按分後)'!I18-雨汚水!I18</f>
        <v>0</v>
      </c>
      <c r="J18" s="39">
        <f>+'雨汚水(共通按分後)'!J18-雨汚水!J18</f>
        <v>0</v>
      </c>
      <c r="K18" s="38">
        <f>+'雨汚水(共通按分後)'!K18-雨汚水!K18</f>
        <v>-76388330</v>
      </c>
      <c r="L18" s="37">
        <f>+'雨汚水(共通按分後)'!L18-雨汚水!L18</f>
        <v>-76388330</v>
      </c>
      <c r="M18" s="36">
        <f>+'雨汚水(共通按分後)'!M18-雨汚水!M18</f>
        <v>0</v>
      </c>
      <c r="N18" s="42" t="s">
        <v>51</v>
      </c>
      <c r="O18" s="51">
        <f>+'雨汚水(共通按分後)'!O18-雨汚水!O18</f>
        <v>-69941329</v>
      </c>
      <c r="P18" s="39">
        <f>+'雨汚水(共通按分後)'!P18-雨汚水!P18</f>
        <v>0</v>
      </c>
      <c r="Q18" s="390">
        <f>+'雨汚水(共通按分後)'!Q18-雨汚水!Q18</f>
        <v>0</v>
      </c>
      <c r="R18" s="38">
        <f>+'雨汚水(共通按分後)'!R18-雨汚水!R18</f>
        <v>0</v>
      </c>
      <c r="S18" s="40">
        <f>+'雨汚水(共通按分後)'!S18-雨汚水!S18</f>
        <v>0</v>
      </c>
      <c r="T18" s="39">
        <f>+'雨汚水(共通按分後)'!T18-雨汚水!T18</f>
        <v>0</v>
      </c>
      <c r="U18" s="38">
        <f>+'雨汚水(共通按分後)'!U18-雨汚水!U18</f>
        <v>-69941329</v>
      </c>
      <c r="V18" s="37">
        <f>+'雨汚水(共通按分後)'!V18-雨汚水!V18</f>
        <v>-69941329</v>
      </c>
      <c r="W18" s="36">
        <f>+'雨汚水(共通按分後)'!W18-雨汚水!W18</f>
        <v>0</v>
      </c>
      <c r="X18" s="42" t="s">
        <v>51</v>
      </c>
      <c r="Y18" s="453"/>
      <c r="Z18" s="453"/>
      <c r="AA18" s="453"/>
      <c r="AB18" s="453"/>
      <c r="AC18" s="453"/>
      <c r="AD18" s="51">
        <f>+'雨汚水(共通按分後)'!AD18-雨汚水!AD18</f>
        <v>-69941329</v>
      </c>
      <c r="AE18" s="39">
        <f>+'雨汚水(共通按分後)'!AE18-雨汚水!AE18</f>
        <v>0</v>
      </c>
      <c r="AF18" s="390">
        <f>+'雨汚水(共通按分後)'!AF18-雨汚水!AF18</f>
        <v>0</v>
      </c>
      <c r="AG18" s="38">
        <f>+'雨汚水(共通按分後)'!AG18-雨汚水!AG18</f>
        <v>0</v>
      </c>
      <c r="AH18" s="40">
        <f>+'雨汚水(共通按分後)'!AH18-雨汚水!AH18</f>
        <v>0</v>
      </c>
      <c r="AI18" s="39">
        <f>+'雨汚水(共通按分後)'!AI18-雨汚水!AI18</f>
        <v>0</v>
      </c>
      <c r="AJ18" s="38">
        <f>+'雨汚水(共通按分後)'!AJ18-雨汚水!AJ18</f>
        <v>-69941329</v>
      </c>
      <c r="AK18" s="37">
        <f>+'雨汚水(共通按分後)'!AK18-雨汚水!AK18</f>
        <v>-69941329</v>
      </c>
      <c r="AL18" s="36">
        <f>+'雨汚水(共通按分後)'!AL18-雨汚水!AL18</f>
        <v>0</v>
      </c>
    </row>
    <row r="19" spans="1:38">
      <c r="A19" s="35"/>
      <c r="B19" s="45" t="s">
        <v>4</v>
      </c>
      <c r="C19" s="44" t="s">
        <v>21</v>
      </c>
      <c r="D19" s="42" t="s">
        <v>49</v>
      </c>
      <c r="E19" s="51">
        <f>+'雨汚水(共通按分後)'!E19-雨汚水!E19</f>
        <v>0</v>
      </c>
      <c r="F19" s="39">
        <f>+'雨汚水(共通按分後)'!F19-雨汚水!F19</f>
        <v>0</v>
      </c>
      <c r="G19" s="390">
        <f>+'雨汚水(共通按分後)'!G19-雨汚水!G19</f>
        <v>0</v>
      </c>
      <c r="H19" s="38">
        <f>+'雨汚水(共通按分後)'!H19-雨汚水!H19</f>
        <v>0</v>
      </c>
      <c r="I19" s="40">
        <f>+'雨汚水(共通按分後)'!I19-雨汚水!I19</f>
        <v>0</v>
      </c>
      <c r="J19" s="39">
        <f>+'雨汚水(共通按分後)'!J19-雨汚水!J19</f>
        <v>0</v>
      </c>
      <c r="K19" s="38">
        <f>+'雨汚水(共通按分後)'!K19-雨汚水!K19</f>
        <v>0</v>
      </c>
      <c r="L19" s="37">
        <f>+'雨汚水(共通按分後)'!L19-雨汚水!L19</f>
        <v>0</v>
      </c>
      <c r="M19" s="36">
        <f>+'雨汚水(共通按分後)'!M19-雨汚水!M19</f>
        <v>0</v>
      </c>
      <c r="N19" s="42" t="s">
        <v>49</v>
      </c>
      <c r="O19" s="51">
        <f>+'雨汚水(共通按分後)'!O19-雨汚水!O19</f>
        <v>0</v>
      </c>
      <c r="P19" s="39">
        <f>+'雨汚水(共通按分後)'!P19-雨汚水!P19</f>
        <v>0</v>
      </c>
      <c r="Q19" s="390">
        <f>+'雨汚水(共通按分後)'!Q19-雨汚水!Q19</f>
        <v>0</v>
      </c>
      <c r="R19" s="38">
        <f>+'雨汚水(共通按分後)'!R19-雨汚水!R19</f>
        <v>0</v>
      </c>
      <c r="S19" s="40">
        <f>+'雨汚水(共通按分後)'!S19-雨汚水!S19</f>
        <v>0</v>
      </c>
      <c r="T19" s="39">
        <f>+'雨汚水(共通按分後)'!T19-雨汚水!T19</f>
        <v>0</v>
      </c>
      <c r="U19" s="38">
        <f>+'雨汚水(共通按分後)'!U19-雨汚水!U19</f>
        <v>0</v>
      </c>
      <c r="V19" s="37">
        <f>+'雨汚水(共通按分後)'!V19-雨汚水!V19</f>
        <v>0</v>
      </c>
      <c r="W19" s="36">
        <f>+'雨汚水(共通按分後)'!W19-雨汚水!W19</f>
        <v>0</v>
      </c>
      <c r="X19" s="42" t="s">
        <v>49</v>
      </c>
      <c r="Y19" s="453"/>
      <c r="Z19" s="453"/>
      <c r="AA19" s="453"/>
      <c r="AB19" s="453"/>
      <c r="AC19" s="453"/>
      <c r="AD19" s="51">
        <f>+'雨汚水(共通按分後)'!AD19-雨汚水!AD19</f>
        <v>0</v>
      </c>
      <c r="AE19" s="39">
        <f>+'雨汚水(共通按分後)'!AE19-雨汚水!AE19</f>
        <v>0</v>
      </c>
      <c r="AF19" s="390">
        <f>+'雨汚水(共通按分後)'!AF19-雨汚水!AF19</f>
        <v>0</v>
      </c>
      <c r="AG19" s="38">
        <f>+'雨汚水(共通按分後)'!AG19-雨汚水!AG19</f>
        <v>0</v>
      </c>
      <c r="AH19" s="40">
        <f>+'雨汚水(共通按分後)'!AH19-雨汚水!AH19</f>
        <v>0</v>
      </c>
      <c r="AI19" s="39">
        <f>+'雨汚水(共通按分後)'!AI19-雨汚水!AI19</f>
        <v>0</v>
      </c>
      <c r="AJ19" s="38">
        <f>+'雨汚水(共通按分後)'!AJ19-雨汚水!AJ19</f>
        <v>0</v>
      </c>
      <c r="AK19" s="37">
        <f>+'雨汚水(共通按分後)'!AK19-雨汚水!AK19</f>
        <v>0</v>
      </c>
      <c r="AL19" s="36">
        <f>+'雨汚水(共通按分後)'!AL19-雨汚水!AL19</f>
        <v>0</v>
      </c>
    </row>
    <row r="20" spans="1:38">
      <c r="A20" s="35"/>
      <c r="B20" s="45" t="s">
        <v>4</v>
      </c>
      <c r="C20" s="44" t="s">
        <v>21</v>
      </c>
      <c r="D20" s="50" t="s">
        <v>46</v>
      </c>
      <c r="E20" s="51">
        <f>+'雨汚水(共通按分後)'!E20-雨汚水!E20</f>
        <v>0</v>
      </c>
      <c r="F20" s="39">
        <f>+'雨汚水(共通按分後)'!F20-雨汚水!F20</f>
        <v>14904000</v>
      </c>
      <c r="G20" s="390">
        <f>+'雨汚水(共通按分後)'!G20-雨汚水!G20</f>
        <v>0</v>
      </c>
      <c r="H20" s="38">
        <f>+'雨汚水(共通按分後)'!H20-雨汚水!H20</f>
        <v>0</v>
      </c>
      <c r="I20" s="73">
        <f>+'雨汚水(共通按分後)'!I20-雨汚水!I20</f>
        <v>14904000</v>
      </c>
      <c r="J20" s="39">
        <f>+'雨汚水(共通按分後)'!J20-雨汚水!J20</f>
        <v>0</v>
      </c>
      <c r="K20" s="38">
        <f>+'雨汚水(共通按分後)'!K20-雨汚水!K20</f>
        <v>0</v>
      </c>
      <c r="L20" s="37">
        <f>+'雨汚水(共通按分後)'!L20-雨汚水!L20</f>
        <v>0</v>
      </c>
      <c r="M20" s="36">
        <f>+'雨汚水(共通按分後)'!M20-雨汚水!M20</f>
        <v>-14904000</v>
      </c>
      <c r="N20" s="50" t="s">
        <v>46</v>
      </c>
      <c r="O20" s="51">
        <f>+'雨汚水(共通按分後)'!O20-雨汚水!O20</f>
        <v>0</v>
      </c>
      <c r="P20" s="39">
        <f>+'雨汚水(共通按分後)'!P20-雨汚水!P20</f>
        <v>0</v>
      </c>
      <c r="Q20" s="390">
        <f>+'雨汚水(共通按分後)'!Q20-雨汚水!Q20</f>
        <v>0</v>
      </c>
      <c r="R20" s="38">
        <f>+'雨汚水(共通按分後)'!R20-雨汚水!R20</f>
        <v>0</v>
      </c>
      <c r="S20" s="73">
        <f>+'雨汚水(共通按分後)'!S20-雨汚水!S20</f>
        <v>0</v>
      </c>
      <c r="T20" s="39">
        <f>+'雨汚水(共通按分後)'!T20-雨汚水!T20</f>
        <v>0</v>
      </c>
      <c r="U20" s="38">
        <f>+'雨汚水(共通按分後)'!U20-雨汚水!U20</f>
        <v>0</v>
      </c>
      <c r="V20" s="37">
        <f>+'雨汚水(共通按分後)'!V20-雨汚水!V20</f>
        <v>0</v>
      </c>
      <c r="W20" s="36">
        <f>+'雨汚水(共通按分後)'!W20-雨汚水!W20</f>
        <v>0</v>
      </c>
      <c r="X20" s="50" t="s">
        <v>46</v>
      </c>
      <c r="Y20" s="454"/>
      <c r="Z20" s="454"/>
      <c r="AA20" s="454"/>
      <c r="AB20" s="454"/>
      <c r="AC20" s="454"/>
      <c r="AD20" s="51">
        <f>+'雨汚水(共通按分後)'!AD20-雨汚水!AD20</f>
        <v>0</v>
      </c>
      <c r="AE20" s="39">
        <f>+'雨汚水(共通按分後)'!AE20-雨汚水!AE20</f>
        <v>0</v>
      </c>
      <c r="AF20" s="390">
        <f>+'雨汚水(共通按分後)'!AF20-雨汚水!AF20</f>
        <v>0</v>
      </c>
      <c r="AG20" s="38">
        <f>+'雨汚水(共通按分後)'!AG20-雨汚水!AG20</f>
        <v>0</v>
      </c>
      <c r="AH20" s="73">
        <f>+'雨汚水(共通按分後)'!AH20-雨汚水!AH20</f>
        <v>0</v>
      </c>
      <c r="AI20" s="39">
        <f>+'雨汚水(共通按分後)'!AI20-雨汚水!AI20</f>
        <v>0</v>
      </c>
      <c r="AJ20" s="38">
        <f>+'雨汚水(共通按分後)'!AJ20-雨汚水!AJ20</f>
        <v>0</v>
      </c>
      <c r="AK20" s="37">
        <f>+'雨汚水(共通按分後)'!AK20-雨汚水!AK20</f>
        <v>0</v>
      </c>
      <c r="AL20" s="36">
        <f>+'雨汚水(共通按分後)'!AL20-雨汚水!AL20</f>
        <v>0</v>
      </c>
    </row>
    <row r="21" spans="1:38">
      <c r="A21" s="35"/>
      <c r="B21" s="45"/>
      <c r="C21" s="44"/>
      <c r="D21" s="42"/>
      <c r="E21" s="51">
        <f>+'雨汚水(共通按分後)'!E21-雨汚水!E21</f>
        <v>0</v>
      </c>
      <c r="F21" s="39">
        <f>+'雨汚水(共通按分後)'!F21-雨汚水!F21</f>
        <v>0</v>
      </c>
      <c r="G21" s="390">
        <f>+'雨汚水(共通按分後)'!G21-雨汚水!G21</f>
        <v>0</v>
      </c>
      <c r="H21" s="38">
        <f>+'雨汚水(共通按分後)'!H21-雨汚水!H21</f>
        <v>0</v>
      </c>
      <c r="I21" s="40">
        <f>+'雨汚水(共通按分後)'!I21-雨汚水!I21</f>
        <v>0</v>
      </c>
      <c r="J21" s="39">
        <f>+'雨汚水(共通按分後)'!J21-雨汚水!J21</f>
        <v>0</v>
      </c>
      <c r="K21" s="38">
        <f>+'雨汚水(共通按分後)'!K21-雨汚水!K21</f>
        <v>0</v>
      </c>
      <c r="L21" s="37">
        <f>+'雨汚水(共通按分後)'!L21-雨汚水!L21</f>
        <v>0</v>
      </c>
      <c r="M21" s="36">
        <f>+'雨汚水(共通按分後)'!M21-雨汚水!M21</f>
        <v>0</v>
      </c>
      <c r="N21" s="42"/>
      <c r="O21" s="51">
        <f>+'雨汚水(共通按分後)'!O21-雨汚水!O21</f>
        <v>0</v>
      </c>
      <c r="P21" s="39">
        <f>+'雨汚水(共通按分後)'!P21-雨汚水!P21</f>
        <v>0</v>
      </c>
      <c r="Q21" s="390">
        <f>+'雨汚水(共通按分後)'!Q21-雨汚水!Q21</f>
        <v>0</v>
      </c>
      <c r="R21" s="38">
        <f>+'雨汚水(共通按分後)'!R21-雨汚水!R21</f>
        <v>0</v>
      </c>
      <c r="S21" s="40">
        <f>+'雨汚水(共通按分後)'!S21-雨汚水!S21</f>
        <v>0</v>
      </c>
      <c r="T21" s="39">
        <f>+'雨汚水(共通按分後)'!T21-雨汚水!T21</f>
        <v>0</v>
      </c>
      <c r="U21" s="38">
        <f>+'雨汚水(共通按分後)'!U21-雨汚水!U21</f>
        <v>0</v>
      </c>
      <c r="V21" s="37">
        <f>+'雨汚水(共通按分後)'!V21-雨汚水!V21</f>
        <v>0</v>
      </c>
      <c r="W21" s="36">
        <f>+'雨汚水(共通按分後)'!W21-雨汚水!W21</f>
        <v>0</v>
      </c>
      <c r="X21" s="42"/>
      <c r="Y21" s="453"/>
      <c r="Z21" s="453"/>
      <c r="AA21" s="453"/>
      <c r="AB21" s="453"/>
      <c r="AC21" s="453"/>
      <c r="AD21" s="51">
        <f>+'雨汚水(共通按分後)'!AD21-雨汚水!AD21</f>
        <v>0</v>
      </c>
      <c r="AE21" s="39">
        <f>+'雨汚水(共通按分後)'!AE21-雨汚水!AE21</f>
        <v>0</v>
      </c>
      <c r="AF21" s="390">
        <f>+'雨汚水(共通按分後)'!AF21-雨汚水!AF21</f>
        <v>0</v>
      </c>
      <c r="AG21" s="38">
        <f>+'雨汚水(共通按分後)'!AG21-雨汚水!AG21</f>
        <v>0</v>
      </c>
      <c r="AH21" s="40">
        <f>+'雨汚水(共通按分後)'!AH21-雨汚水!AH21</f>
        <v>0</v>
      </c>
      <c r="AI21" s="39">
        <f>+'雨汚水(共通按分後)'!AI21-雨汚水!AI21</f>
        <v>0</v>
      </c>
      <c r="AJ21" s="38">
        <f>+'雨汚水(共通按分後)'!AJ21-雨汚水!AJ21</f>
        <v>0</v>
      </c>
      <c r="AK21" s="37">
        <f>+'雨汚水(共通按分後)'!AK21-雨汚水!AK21</f>
        <v>0</v>
      </c>
      <c r="AL21" s="36">
        <f>+'雨汚水(共通按分後)'!AL21-雨汚水!AL21</f>
        <v>0</v>
      </c>
    </row>
    <row r="22" spans="1:38">
      <c r="A22" s="35"/>
      <c r="B22" s="45" t="s">
        <v>4</v>
      </c>
      <c r="C22" s="44" t="s">
        <v>14</v>
      </c>
      <c r="D22" s="42" t="s">
        <v>43</v>
      </c>
      <c r="E22" s="51">
        <f>+'雨汚水(共通按分後)'!E22-雨汚水!E22</f>
        <v>0</v>
      </c>
      <c r="F22" s="39">
        <f>+'雨汚水(共通按分後)'!F22-雨汚水!F22</f>
        <v>0</v>
      </c>
      <c r="G22" s="390">
        <f>+'雨汚水(共通按分後)'!G22-雨汚水!G22</f>
        <v>0</v>
      </c>
      <c r="H22" s="38">
        <f>+'雨汚水(共通按分後)'!H22-雨汚水!H22</f>
        <v>0</v>
      </c>
      <c r="I22" s="40">
        <f>+'雨汚水(共通按分後)'!I22-雨汚水!I22</f>
        <v>0</v>
      </c>
      <c r="J22" s="39">
        <f>+'雨汚水(共通按分後)'!J22-雨汚水!J22</f>
        <v>0</v>
      </c>
      <c r="K22" s="38">
        <f>+'雨汚水(共通按分後)'!K22-雨汚水!K22</f>
        <v>0</v>
      </c>
      <c r="L22" s="37">
        <f>+'雨汚水(共通按分後)'!L22-雨汚水!L22</f>
        <v>0</v>
      </c>
      <c r="M22" s="36">
        <f>+'雨汚水(共通按分後)'!M22-雨汚水!M22</f>
        <v>0</v>
      </c>
      <c r="N22" s="42" t="s">
        <v>43</v>
      </c>
      <c r="O22" s="51">
        <f>+'雨汚水(共通按分後)'!O22-雨汚水!O22</f>
        <v>0</v>
      </c>
      <c r="P22" s="39">
        <f>+'雨汚水(共通按分後)'!P22-雨汚水!P22</f>
        <v>0</v>
      </c>
      <c r="Q22" s="390">
        <f>+'雨汚水(共通按分後)'!Q22-雨汚水!Q22</f>
        <v>0</v>
      </c>
      <c r="R22" s="38">
        <f>+'雨汚水(共通按分後)'!R22-雨汚水!R22</f>
        <v>0</v>
      </c>
      <c r="S22" s="40">
        <f>+'雨汚水(共通按分後)'!S22-雨汚水!S22</f>
        <v>0</v>
      </c>
      <c r="T22" s="39">
        <f>+'雨汚水(共通按分後)'!T22-雨汚水!T22</f>
        <v>0</v>
      </c>
      <c r="U22" s="38">
        <f>+'雨汚水(共通按分後)'!U22-雨汚水!U22</f>
        <v>0</v>
      </c>
      <c r="V22" s="37">
        <f>+'雨汚水(共通按分後)'!V22-雨汚水!V22</f>
        <v>0</v>
      </c>
      <c r="W22" s="36">
        <f>+'雨汚水(共通按分後)'!W22-雨汚水!W22</f>
        <v>0</v>
      </c>
      <c r="X22" s="42" t="s">
        <v>43</v>
      </c>
      <c r="Y22" s="453"/>
      <c r="Z22" s="453"/>
      <c r="AA22" s="453"/>
      <c r="AB22" s="453"/>
      <c r="AC22" s="453"/>
      <c r="AD22" s="51">
        <f>+'雨汚水(共通按分後)'!AD22-雨汚水!AD22</f>
        <v>0</v>
      </c>
      <c r="AE22" s="39">
        <f>+'雨汚水(共通按分後)'!AE22-雨汚水!AE22</f>
        <v>0</v>
      </c>
      <c r="AF22" s="390">
        <f>+'雨汚水(共通按分後)'!AF22-雨汚水!AF22</f>
        <v>0</v>
      </c>
      <c r="AG22" s="38">
        <f>+'雨汚水(共通按分後)'!AG22-雨汚水!AG22</f>
        <v>0</v>
      </c>
      <c r="AH22" s="40">
        <f>+'雨汚水(共通按分後)'!AH22-雨汚水!AH22</f>
        <v>0</v>
      </c>
      <c r="AI22" s="39">
        <f>+'雨汚水(共通按分後)'!AI22-雨汚水!AI22</f>
        <v>0</v>
      </c>
      <c r="AJ22" s="38">
        <f>+'雨汚水(共通按分後)'!AJ22-雨汚水!AJ22</f>
        <v>0</v>
      </c>
      <c r="AK22" s="37">
        <f>+'雨汚水(共通按分後)'!AK22-雨汚水!AK22</f>
        <v>0</v>
      </c>
      <c r="AL22" s="36">
        <f>+'雨汚水(共通按分後)'!AL22-雨汚水!AL22</f>
        <v>0</v>
      </c>
    </row>
    <row r="23" spans="1:38">
      <c r="A23" s="35"/>
      <c r="B23" s="45" t="s">
        <v>4</v>
      </c>
      <c r="C23" s="44" t="s">
        <v>14</v>
      </c>
      <c r="D23" s="42" t="s">
        <v>40</v>
      </c>
      <c r="E23" s="51">
        <f>+'雨汚水(共通按分後)'!E23-雨汚水!E23</f>
        <v>0</v>
      </c>
      <c r="F23" s="39">
        <f>+'雨汚水(共通按分後)'!F23-雨汚水!F23</f>
        <v>0</v>
      </c>
      <c r="G23" s="390">
        <f>+'雨汚水(共通按分後)'!G23-雨汚水!G23</f>
        <v>0</v>
      </c>
      <c r="H23" s="38">
        <f>+'雨汚水(共通按分後)'!H23-雨汚水!H23</f>
        <v>-9198273</v>
      </c>
      <c r="I23" s="40">
        <f>+'雨汚水(共通按分後)'!I23-雨汚水!I23</f>
        <v>-9198273</v>
      </c>
      <c r="J23" s="39">
        <f>+'雨汚水(共通按分後)'!J23-雨汚水!J23</f>
        <v>0</v>
      </c>
      <c r="K23" s="38">
        <f>+'雨汚水(共通按分後)'!K23-雨汚水!K23</f>
        <v>9198273</v>
      </c>
      <c r="L23" s="37">
        <f>+'雨汚水(共通按分後)'!L23-雨汚水!L23</f>
        <v>9198273</v>
      </c>
      <c r="M23" s="36">
        <f>+'雨汚水(共通按分後)'!M23-雨汚水!M23</f>
        <v>0</v>
      </c>
      <c r="N23" s="42" t="s">
        <v>40</v>
      </c>
      <c r="O23" s="51">
        <f>+'雨汚水(共通按分後)'!O23-雨汚水!O23</f>
        <v>0</v>
      </c>
      <c r="P23" s="39">
        <f>+'雨汚水(共通按分後)'!P23-雨汚水!P23</f>
        <v>0</v>
      </c>
      <c r="Q23" s="390">
        <f>+'雨汚水(共通按分後)'!Q23-雨汚水!Q23</f>
        <v>0</v>
      </c>
      <c r="R23" s="38">
        <f>+'雨汚水(共通按分後)'!R23-雨汚水!R23</f>
        <v>-8710224</v>
      </c>
      <c r="S23" s="40">
        <f>+'雨汚水(共通按分後)'!S23-雨汚水!S23</f>
        <v>-8710224</v>
      </c>
      <c r="T23" s="39">
        <f>+'雨汚水(共通按分後)'!T23-雨汚水!T23</f>
        <v>0</v>
      </c>
      <c r="U23" s="38">
        <f>+'雨汚水(共通按分後)'!U23-雨汚水!U23</f>
        <v>8710224</v>
      </c>
      <c r="V23" s="37">
        <f>+'雨汚水(共通按分後)'!V23-雨汚水!V23</f>
        <v>8710224</v>
      </c>
      <c r="W23" s="36">
        <f>+'雨汚水(共通按分後)'!W23-雨汚水!W23</f>
        <v>0</v>
      </c>
      <c r="X23" s="42" t="s">
        <v>40</v>
      </c>
      <c r="Y23" s="456"/>
      <c r="Z23" s="456"/>
      <c r="AA23" s="456"/>
      <c r="AB23" s="456"/>
      <c r="AC23" s="456"/>
      <c r="AD23" s="51">
        <f>+'雨汚水(共通按分後)'!AD23-雨汚水!AD23</f>
        <v>0</v>
      </c>
      <c r="AE23" s="39">
        <f>+'雨汚水(共通按分後)'!AE23-雨汚水!AE23</f>
        <v>0</v>
      </c>
      <c r="AF23" s="390">
        <f>+'雨汚水(共通按分後)'!AF23-雨汚水!AF23</f>
        <v>0</v>
      </c>
      <c r="AG23" s="38">
        <f>+'雨汚水(共通按分後)'!AG23-雨汚水!AG23</f>
        <v>-8710224</v>
      </c>
      <c r="AH23" s="40">
        <f>+'雨汚水(共通按分後)'!AH23-雨汚水!AH23</f>
        <v>-8710224</v>
      </c>
      <c r="AI23" s="39">
        <f>+'雨汚水(共通按分後)'!AI23-雨汚水!AI23</f>
        <v>0</v>
      </c>
      <c r="AJ23" s="38">
        <f>+'雨汚水(共通按分後)'!AJ23-雨汚水!AJ23</f>
        <v>8710224</v>
      </c>
      <c r="AK23" s="37">
        <f>+'雨汚水(共通按分後)'!AK23-雨汚水!AK23</f>
        <v>8710224</v>
      </c>
      <c r="AL23" s="36">
        <f>+'雨汚水(共通按分後)'!AL23-雨汚水!AL23</f>
        <v>0</v>
      </c>
    </row>
    <row r="24" spans="1:38">
      <c r="A24" s="35"/>
      <c r="B24" s="45" t="s">
        <v>117</v>
      </c>
      <c r="C24" s="44" t="s">
        <v>116</v>
      </c>
      <c r="D24" s="42" t="s">
        <v>38</v>
      </c>
      <c r="E24" s="51">
        <f>+'雨汚水(共通按分後)'!E24-雨汚水!E24</f>
        <v>0</v>
      </c>
      <c r="F24" s="39">
        <f>+'雨汚水(共通按分後)'!F24-雨汚水!F24</f>
        <v>0</v>
      </c>
      <c r="G24" s="390">
        <f>+'雨汚水(共通按分後)'!G24-雨汚水!G24</f>
        <v>0</v>
      </c>
      <c r="H24" s="38">
        <f>+'雨汚水(共通按分後)'!H24-雨汚水!H24</f>
        <v>9198273</v>
      </c>
      <c r="I24" s="40">
        <f>+'雨汚水(共通按分後)'!I24-雨汚水!I24</f>
        <v>9198273</v>
      </c>
      <c r="J24" s="39">
        <f>+'雨汚水(共通按分後)'!J24-雨汚水!J24</f>
        <v>0</v>
      </c>
      <c r="K24" s="38">
        <f>+'雨汚水(共通按分後)'!K24-雨汚水!K24</f>
        <v>-9198273</v>
      </c>
      <c r="L24" s="37">
        <f>+'雨汚水(共通按分後)'!L24-雨汚水!L24</f>
        <v>-9198273</v>
      </c>
      <c r="M24" s="36">
        <f>+'雨汚水(共通按分後)'!M24-雨汚水!M24</f>
        <v>0</v>
      </c>
      <c r="N24" s="42" t="s">
        <v>38</v>
      </c>
      <c r="O24" s="51">
        <f>+'雨汚水(共通按分後)'!O24-雨汚水!O24</f>
        <v>0</v>
      </c>
      <c r="P24" s="39">
        <f>+'雨汚水(共通按分後)'!P24-雨汚水!P24</f>
        <v>0</v>
      </c>
      <c r="Q24" s="390">
        <f>+'雨汚水(共通按分後)'!Q24-雨汚水!Q24</f>
        <v>0</v>
      </c>
      <c r="R24" s="38">
        <f>+'雨汚水(共通按分後)'!R24-雨汚水!R24</f>
        <v>8710224</v>
      </c>
      <c r="S24" s="40">
        <f>+'雨汚水(共通按分後)'!S24-雨汚水!S24</f>
        <v>8710224</v>
      </c>
      <c r="T24" s="39">
        <f>+'雨汚水(共通按分後)'!T24-雨汚水!T24</f>
        <v>0</v>
      </c>
      <c r="U24" s="38">
        <f>+'雨汚水(共通按分後)'!U24-雨汚水!U24</f>
        <v>-8710224</v>
      </c>
      <c r="V24" s="37">
        <f>+'雨汚水(共通按分後)'!V24-雨汚水!V24</f>
        <v>-8710224</v>
      </c>
      <c r="W24" s="36">
        <f>+'雨汚水(共通按分後)'!W24-雨汚水!W24</f>
        <v>0</v>
      </c>
      <c r="X24" s="42" t="s">
        <v>38</v>
      </c>
      <c r="Y24" s="456"/>
      <c r="Z24" s="456"/>
      <c r="AA24" s="456"/>
      <c r="AB24" s="456"/>
      <c r="AC24" s="456"/>
      <c r="AD24" s="51">
        <f>+'雨汚水(共通按分後)'!AD24-雨汚水!AD24</f>
        <v>0</v>
      </c>
      <c r="AE24" s="39">
        <f>+'雨汚水(共通按分後)'!AE24-雨汚水!AE24</f>
        <v>0</v>
      </c>
      <c r="AF24" s="390">
        <f>+'雨汚水(共通按分後)'!AF24-雨汚水!AF24</f>
        <v>0</v>
      </c>
      <c r="AG24" s="38">
        <f>+'雨汚水(共通按分後)'!AG24-雨汚水!AG24</f>
        <v>8710224</v>
      </c>
      <c r="AH24" s="40">
        <f>+'雨汚水(共通按分後)'!AH24-雨汚水!AH24</f>
        <v>8710224</v>
      </c>
      <c r="AI24" s="39">
        <f>+'雨汚水(共通按分後)'!AI24-雨汚水!AI24</f>
        <v>0</v>
      </c>
      <c r="AJ24" s="38">
        <f>+'雨汚水(共通按分後)'!AJ24-雨汚水!AJ24</f>
        <v>-8710224</v>
      </c>
      <c r="AK24" s="37">
        <f>+'雨汚水(共通按分後)'!AK24-雨汚水!AK24</f>
        <v>-8710224</v>
      </c>
      <c r="AL24" s="36">
        <f>+'雨汚水(共通按分後)'!AL24-雨汚水!AL24</f>
        <v>0</v>
      </c>
    </row>
    <row r="25" spans="1:38">
      <c r="A25" s="35"/>
      <c r="B25" s="45" t="s">
        <v>4</v>
      </c>
      <c r="C25" s="44" t="s">
        <v>14</v>
      </c>
      <c r="D25" s="50" t="s">
        <v>35</v>
      </c>
      <c r="E25" s="51">
        <f>+'雨汚水(共通按分後)'!E25-雨汚水!E25</f>
        <v>0</v>
      </c>
      <c r="F25" s="39">
        <f>+'雨汚水(共通按分後)'!F25-雨汚水!F25</f>
        <v>0</v>
      </c>
      <c r="G25" s="390">
        <f>+'雨汚水(共通按分後)'!G25-雨汚水!G25</f>
        <v>0</v>
      </c>
      <c r="H25" s="38">
        <f>+'雨汚水(共通按分後)'!H25-雨汚水!H25</f>
        <v>0</v>
      </c>
      <c r="I25" s="40">
        <f>+'雨汚水(共通按分後)'!I25-雨汚水!I25</f>
        <v>0</v>
      </c>
      <c r="J25" s="39">
        <f>+'雨汚水(共通按分後)'!J25-雨汚水!J25</f>
        <v>0</v>
      </c>
      <c r="K25" s="38">
        <f>+'雨汚水(共通按分後)'!K25-雨汚水!K25</f>
        <v>0</v>
      </c>
      <c r="L25" s="37">
        <f>+'雨汚水(共通按分後)'!L25-雨汚水!L25</f>
        <v>0</v>
      </c>
      <c r="M25" s="36">
        <f>+'雨汚水(共通按分後)'!M25-雨汚水!M25</f>
        <v>0</v>
      </c>
      <c r="N25" s="50" t="s">
        <v>35</v>
      </c>
      <c r="O25" s="51">
        <f>+'雨汚水(共通按分後)'!O25-雨汚水!O25</f>
        <v>0</v>
      </c>
      <c r="P25" s="39">
        <f>+'雨汚水(共通按分後)'!P25-雨汚水!P25</f>
        <v>0</v>
      </c>
      <c r="Q25" s="390">
        <f>+'雨汚水(共通按分後)'!Q25-雨汚水!Q25</f>
        <v>0</v>
      </c>
      <c r="R25" s="38">
        <f>+'雨汚水(共通按分後)'!R25-雨汚水!R25</f>
        <v>0</v>
      </c>
      <c r="S25" s="40">
        <f>+'雨汚水(共通按分後)'!S25-雨汚水!S25</f>
        <v>0</v>
      </c>
      <c r="T25" s="39">
        <f>+'雨汚水(共通按分後)'!T25-雨汚水!T25</f>
        <v>0</v>
      </c>
      <c r="U25" s="38">
        <f>+'雨汚水(共通按分後)'!U25-雨汚水!U25</f>
        <v>0</v>
      </c>
      <c r="V25" s="37">
        <f>+'雨汚水(共通按分後)'!V25-雨汚水!V25</f>
        <v>0</v>
      </c>
      <c r="W25" s="36">
        <f>+'雨汚水(共通按分後)'!W25-雨汚水!W25</f>
        <v>0</v>
      </c>
      <c r="X25" s="50" t="s">
        <v>35</v>
      </c>
      <c r="Y25" s="457"/>
      <c r="Z25" s="457"/>
      <c r="AA25" s="457"/>
      <c r="AB25" s="457"/>
      <c r="AC25" s="457"/>
      <c r="AD25" s="51">
        <f>+'雨汚水(共通按分後)'!AD25-雨汚水!AD25</f>
        <v>4583494052</v>
      </c>
      <c r="AE25" s="39">
        <f>+'雨汚水(共通按分後)'!AE25-雨汚水!AE25</f>
        <v>3759503445</v>
      </c>
      <c r="AF25" s="390">
        <f>+'雨汚水(共通按分後)'!AF25-雨汚水!AF25</f>
        <v>347493062</v>
      </c>
      <c r="AG25" s="38">
        <f>+'雨汚水(共通按分後)'!AG25-雨汚水!AG25</f>
        <v>482439397</v>
      </c>
      <c r="AH25" s="40">
        <f>+'雨汚水(共通按分後)'!AH25-雨汚水!AH25</f>
        <v>4589435904</v>
      </c>
      <c r="AI25" s="39">
        <f>+'雨汚水(共通按分後)'!AI25-雨汚水!AI25</f>
        <v>-5941852</v>
      </c>
      <c r="AJ25" s="38">
        <f>+'雨汚水(共通按分後)'!AJ25-雨汚水!AJ25</f>
        <v>0</v>
      </c>
      <c r="AK25" s="37">
        <f>+'雨汚水(共通按分後)'!AK25-雨汚水!AK25</f>
        <v>-5941852</v>
      </c>
      <c r="AL25" s="36">
        <f>+'雨汚水(共通按分後)'!AL25-雨汚水!AL25</f>
        <v>0</v>
      </c>
    </row>
    <row r="26" spans="1:38">
      <c r="A26" s="35"/>
      <c r="B26" s="45"/>
      <c r="C26" s="44"/>
      <c r="D26" s="42"/>
      <c r="E26" s="51">
        <f>+'雨汚水(共通按分後)'!E26-雨汚水!E26</f>
        <v>0</v>
      </c>
      <c r="F26" s="39">
        <f>+'雨汚水(共通按分後)'!F26-雨汚水!F26</f>
        <v>0</v>
      </c>
      <c r="G26" s="390">
        <f>+'雨汚水(共通按分後)'!G26-雨汚水!G26</f>
        <v>0</v>
      </c>
      <c r="H26" s="38">
        <f>+'雨汚水(共通按分後)'!H26-雨汚水!H26</f>
        <v>0</v>
      </c>
      <c r="I26" s="40">
        <f>+'雨汚水(共通按分後)'!I26-雨汚水!I26</f>
        <v>0</v>
      </c>
      <c r="J26" s="39">
        <f>+'雨汚水(共通按分後)'!J26-雨汚水!J26</f>
        <v>0</v>
      </c>
      <c r="K26" s="38">
        <f>+'雨汚水(共通按分後)'!K26-雨汚水!K26</f>
        <v>0</v>
      </c>
      <c r="L26" s="37">
        <f>+'雨汚水(共通按分後)'!L26-雨汚水!L26</f>
        <v>0</v>
      </c>
      <c r="M26" s="36">
        <f>+'雨汚水(共通按分後)'!M26-雨汚水!M26</f>
        <v>0</v>
      </c>
      <c r="N26" s="42"/>
      <c r="O26" s="51">
        <f>+'雨汚水(共通按分後)'!O26-雨汚水!O26</f>
        <v>0</v>
      </c>
      <c r="P26" s="39">
        <f>+'雨汚水(共通按分後)'!P26-雨汚水!P26</f>
        <v>0</v>
      </c>
      <c r="Q26" s="390">
        <f>+'雨汚水(共通按分後)'!Q26-雨汚水!Q26</f>
        <v>0</v>
      </c>
      <c r="R26" s="38">
        <f>+'雨汚水(共通按分後)'!R26-雨汚水!R26</f>
        <v>0</v>
      </c>
      <c r="S26" s="40">
        <f>+'雨汚水(共通按分後)'!S26-雨汚水!S26</f>
        <v>0</v>
      </c>
      <c r="T26" s="39">
        <f>+'雨汚水(共通按分後)'!T26-雨汚水!T26</f>
        <v>0</v>
      </c>
      <c r="U26" s="38">
        <f>+'雨汚水(共通按分後)'!U26-雨汚水!U26</f>
        <v>0</v>
      </c>
      <c r="V26" s="37">
        <f>+'雨汚水(共通按分後)'!V26-雨汚水!V26</f>
        <v>0</v>
      </c>
      <c r="W26" s="36">
        <f>+'雨汚水(共通按分後)'!W26-雨汚水!W26</f>
        <v>0</v>
      </c>
      <c r="X26" s="42"/>
      <c r="Y26" s="453"/>
      <c r="Z26" s="453"/>
      <c r="AA26" s="453"/>
      <c r="AB26" s="453"/>
      <c r="AC26" s="453"/>
      <c r="AD26" s="51">
        <f>+'雨汚水(共通按分後)'!AD26-雨汚水!AD26</f>
        <v>-629</v>
      </c>
      <c r="AE26" s="39">
        <f>+'雨汚水(共通按分後)'!AE26-雨汚水!AE26</f>
        <v>0</v>
      </c>
      <c r="AF26" s="390">
        <f>+'雨汚水(共通按分後)'!AF26-雨汚水!AF26</f>
        <v>0</v>
      </c>
      <c r="AG26" s="38">
        <f>+'雨汚水(共通按分後)'!AG26-雨汚水!AG26</f>
        <v>0</v>
      </c>
      <c r="AH26" s="40">
        <f>+'雨汚水(共通按分後)'!AH26-雨汚水!AH26</f>
        <v>0</v>
      </c>
      <c r="AI26" s="39">
        <f>+'雨汚水(共通按分後)'!AI26-雨汚水!AI26</f>
        <v>0</v>
      </c>
      <c r="AJ26" s="38">
        <f>+'雨汚水(共通按分後)'!AJ26-雨汚水!AJ26</f>
        <v>-629</v>
      </c>
      <c r="AK26" s="37">
        <f>+'雨汚水(共通按分後)'!AK26-雨汚水!AK26</f>
        <v>-629</v>
      </c>
      <c r="AL26" s="36">
        <f>+'雨汚水(共通按分後)'!AL26-雨汚水!AL26</f>
        <v>0</v>
      </c>
    </row>
    <row r="27" spans="1:38">
      <c r="A27" s="35"/>
      <c r="B27" s="45"/>
      <c r="C27" s="44"/>
      <c r="D27" s="42"/>
      <c r="E27" s="51">
        <f>+'雨汚水(共通按分後)'!E27-雨汚水!E27</f>
        <v>0</v>
      </c>
      <c r="F27" s="39">
        <f>+'雨汚水(共通按分後)'!F27-雨汚水!F27</f>
        <v>0</v>
      </c>
      <c r="G27" s="390">
        <f>+'雨汚水(共通按分後)'!G27-雨汚水!G27</f>
        <v>0</v>
      </c>
      <c r="H27" s="38">
        <f>+'雨汚水(共通按分後)'!H27-雨汚水!H27</f>
        <v>0</v>
      </c>
      <c r="I27" s="40">
        <f>+'雨汚水(共通按分後)'!I27-雨汚水!I27</f>
        <v>0</v>
      </c>
      <c r="J27" s="39">
        <f>+'雨汚水(共通按分後)'!J27-雨汚水!J27</f>
        <v>0</v>
      </c>
      <c r="K27" s="38">
        <f>+'雨汚水(共通按分後)'!K27-雨汚水!K27</f>
        <v>0</v>
      </c>
      <c r="L27" s="37">
        <f>+'雨汚水(共通按分後)'!L27-雨汚水!L27</f>
        <v>0</v>
      </c>
      <c r="M27" s="36">
        <f>+'雨汚水(共通按分後)'!M27-雨汚水!M27</f>
        <v>0</v>
      </c>
      <c r="N27" s="42"/>
      <c r="O27" s="51">
        <f>+'雨汚水(共通按分後)'!O27-雨汚水!O27</f>
        <v>0</v>
      </c>
      <c r="P27" s="39">
        <f>+'雨汚水(共通按分後)'!P27-雨汚水!P27</f>
        <v>0</v>
      </c>
      <c r="Q27" s="390">
        <f>+'雨汚水(共通按分後)'!Q27-雨汚水!Q27</f>
        <v>0</v>
      </c>
      <c r="R27" s="38">
        <f>+'雨汚水(共通按分後)'!R27-雨汚水!R27</f>
        <v>0</v>
      </c>
      <c r="S27" s="40">
        <f>+'雨汚水(共通按分後)'!S27-雨汚水!S27</f>
        <v>0</v>
      </c>
      <c r="T27" s="39">
        <f>+'雨汚水(共通按分後)'!T27-雨汚水!T27</f>
        <v>0</v>
      </c>
      <c r="U27" s="38">
        <f>+'雨汚水(共通按分後)'!U27-雨汚水!U27</f>
        <v>0</v>
      </c>
      <c r="V27" s="37">
        <f>+'雨汚水(共通按分後)'!V27-雨汚水!V27</f>
        <v>0</v>
      </c>
      <c r="W27" s="36">
        <f>+'雨汚水(共通按分後)'!W27-雨汚水!W27</f>
        <v>0</v>
      </c>
      <c r="X27" s="42"/>
      <c r="Y27" s="453"/>
      <c r="Z27" s="453"/>
      <c r="AA27" s="453"/>
      <c r="AB27" s="453"/>
      <c r="AC27" s="453"/>
      <c r="AD27" s="51">
        <f>+'雨汚水(共通按分後)'!AD27-雨汚水!AD27</f>
        <v>0</v>
      </c>
      <c r="AE27" s="39">
        <f>+'雨汚水(共通按分後)'!AE27-雨汚水!AE27</f>
        <v>0</v>
      </c>
      <c r="AF27" s="390">
        <f>+'雨汚水(共通按分後)'!AF27-雨汚水!AF27</f>
        <v>0</v>
      </c>
      <c r="AG27" s="38">
        <f>+'雨汚水(共通按分後)'!AG27-雨汚水!AG27</f>
        <v>0</v>
      </c>
      <c r="AH27" s="40">
        <f>+'雨汚水(共通按分後)'!AH27-雨汚水!AH27</f>
        <v>0</v>
      </c>
      <c r="AI27" s="39">
        <f>+'雨汚水(共通按分後)'!AI27-雨汚水!AI27</f>
        <v>0</v>
      </c>
      <c r="AJ27" s="38">
        <f>+'雨汚水(共通按分後)'!AJ27-雨汚水!AJ27</f>
        <v>0</v>
      </c>
      <c r="AK27" s="37">
        <f>+'雨汚水(共通按分後)'!AK27-雨汚水!AK27</f>
        <v>0</v>
      </c>
      <c r="AL27" s="36">
        <f>+'雨汚水(共通按分後)'!AL27-雨汚水!AL27</f>
        <v>0</v>
      </c>
    </row>
    <row r="28" spans="1:38">
      <c r="A28" s="35"/>
      <c r="B28" s="45" t="s">
        <v>4</v>
      </c>
      <c r="C28" s="44" t="s">
        <v>8</v>
      </c>
      <c r="D28" s="42" t="s">
        <v>30</v>
      </c>
      <c r="E28" s="51">
        <f>+'雨汚水(共通按分後)'!E28-雨汚水!E28</f>
        <v>0</v>
      </c>
      <c r="F28" s="39">
        <f>+'雨汚水(共通按分後)'!F28-雨汚水!F28</f>
        <v>0</v>
      </c>
      <c r="G28" s="390">
        <f>+'雨汚水(共通按分後)'!G28-雨汚水!G28</f>
        <v>0</v>
      </c>
      <c r="H28" s="38">
        <f>+'雨汚水(共通按分後)'!H28-雨汚水!H28</f>
        <v>0</v>
      </c>
      <c r="I28" s="40">
        <f>+'雨汚水(共通按分後)'!I28-雨汚水!I28</f>
        <v>0</v>
      </c>
      <c r="J28" s="39">
        <f>+'雨汚水(共通按分後)'!J28-雨汚水!J28</f>
        <v>0</v>
      </c>
      <c r="K28" s="38">
        <f>+'雨汚水(共通按分後)'!K28-雨汚水!K28</f>
        <v>0</v>
      </c>
      <c r="L28" s="37">
        <f>+'雨汚水(共通按分後)'!L28-雨汚水!L28</f>
        <v>0</v>
      </c>
      <c r="M28" s="36">
        <f>+'雨汚水(共通按分後)'!M28-雨汚水!M28</f>
        <v>0</v>
      </c>
      <c r="N28" s="42" t="s">
        <v>30</v>
      </c>
      <c r="O28" s="51">
        <f>+'雨汚水(共通按分後)'!O28-雨汚水!O28</f>
        <v>0</v>
      </c>
      <c r="P28" s="39">
        <f>+'雨汚水(共通按分後)'!P28-雨汚水!P28</f>
        <v>0</v>
      </c>
      <c r="Q28" s="390">
        <f>+'雨汚水(共通按分後)'!Q28-雨汚水!Q28</f>
        <v>0</v>
      </c>
      <c r="R28" s="38">
        <f>+'雨汚水(共通按分後)'!R28-雨汚水!R28</f>
        <v>0</v>
      </c>
      <c r="S28" s="40">
        <f>+'雨汚水(共通按分後)'!S28-雨汚水!S28</f>
        <v>0</v>
      </c>
      <c r="T28" s="39">
        <f>+'雨汚水(共通按分後)'!T28-雨汚水!T28</f>
        <v>0</v>
      </c>
      <c r="U28" s="38">
        <f>+'雨汚水(共通按分後)'!U28-雨汚水!U28</f>
        <v>0</v>
      </c>
      <c r="V28" s="37">
        <f>+'雨汚水(共通按分後)'!V28-雨汚水!V28</f>
        <v>0</v>
      </c>
      <c r="W28" s="36">
        <f>+'雨汚水(共通按分後)'!W28-雨汚水!W28</f>
        <v>0</v>
      </c>
      <c r="X28" s="42" t="s">
        <v>30</v>
      </c>
      <c r="Y28" s="453"/>
      <c r="Z28" s="453"/>
      <c r="AA28" s="453"/>
      <c r="AB28" s="453"/>
      <c r="AC28" s="453"/>
      <c r="AD28" s="51">
        <f>+'雨汚水(共通按分後)'!AD28-雨汚水!AD28</f>
        <v>0</v>
      </c>
      <c r="AE28" s="39">
        <f>+'雨汚水(共通按分後)'!AE28-雨汚水!AE28</f>
        <v>0</v>
      </c>
      <c r="AF28" s="390">
        <f>+'雨汚水(共通按分後)'!AF28-雨汚水!AF28</f>
        <v>0</v>
      </c>
      <c r="AG28" s="38">
        <f>+'雨汚水(共通按分後)'!AG28-雨汚水!AG28</f>
        <v>0</v>
      </c>
      <c r="AH28" s="40">
        <f>+'雨汚水(共通按分後)'!AH28-雨汚水!AH28</f>
        <v>0</v>
      </c>
      <c r="AI28" s="39">
        <f>+'雨汚水(共通按分後)'!AI28-雨汚水!AI28</f>
        <v>0</v>
      </c>
      <c r="AJ28" s="38">
        <f>+'雨汚水(共通按分後)'!AJ28-雨汚水!AJ28</f>
        <v>0</v>
      </c>
      <c r="AK28" s="37">
        <f>+'雨汚水(共通按分後)'!AK28-雨汚水!AK28</f>
        <v>0</v>
      </c>
      <c r="AL28" s="36">
        <f>+'雨汚水(共通按分後)'!AL28-雨汚水!AL28</f>
        <v>0</v>
      </c>
    </row>
    <row r="29" spans="1:38">
      <c r="A29" s="35"/>
      <c r="B29" s="45" t="s">
        <v>4</v>
      </c>
      <c r="C29" s="44" t="s">
        <v>8</v>
      </c>
      <c r="D29" s="42" t="s">
        <v>27</v>
      </c>
      <c r="E29" s="51">
        <f>+'雨汚水(共通按分後)'!E29-雨汚水!E29</f>
        <v>0</v>
      </c>
      <c r="F29" s="39">
        <f>+'雨汚水(共通按分後)'!F29-雨汚水!F29</f>
        <v>0</v>
      </c>
      <c r="G29" s="390">
        <f>+'雨汚水(共通按分後)'!G29-雨汚水!G29</f>
        <v>0</v>
      </c>
      <c r="H29" s="38">
        <f>+'雨汚水(共通按分後)'!H29-雨汚水!H29</f>
        <v>0</v>
      </c>
      <c r="I29" s="40">
        <f>+'雨汚水(共通按分後)'!I29-雨汚水!I29</f>
        <v>0</v>
      </c>
      <c r="J29" s="39">
        <f>+'雨汚水(共通按分後)'!J29-雨汚水!J29</f>
        <v>0</v>
      </c>
      <c r="K29" s="38">
        <f>+'雨汚水(共通按分後)'!K29-雨汚水!K29</f>
        <v>0</v>
      </c>
      <c r="L29" s="37">
        <f>+'雨汚水(共通按分後)'!L29-雨汚水!L29</f>
        <v>0</v>
      </c>
      <c r="M29" s="36">
        <f>+'雨汚水(共通按分後)'!M29-雨汚水!M29</f>
        <v>0</v>
      </c>
      <c r="N29" s="42" t="s">
        <v>27</v>
      </c>
      <c r="O29" s="51">
        <f>+'雨汚水(共通按分後)'!O29-雨汚水!O29</f>
        <v>0</v>
      </c>
      <c r="P29" s="39">
        <f>+'雨汚水(共通按分後)'!P29-雨汚水!P29</f>
        <v>0</v>
      </c>
      <c r="Q29" s="390">
        <f>+'雨汚水(共通按分後)'!Q29-雨汚水!Q29</f>
        <v>0</v>
      </c>
      <c r="R29" s="38">
        <f>+'雨汚水(共通按分後)'!R29-雨汚水!R29</f>
        <v>0</v>
      </c>
      <c r="S29" s="40">
        <f>+'雨汚水(共通按分後)'!S29-雨汚水!S29</f>
        <v>0</v>
      </c>
      <c r="T29" s="39">
        <f>+'雨汚水(共通按分後)'!T29-雨汚水!T29</f>
        <v>0</v>
      </c>
      <c r="U29" s="38">
        <f>+'雨汚水(共通按分後)'!U29-雨汚水!U29</f>
        <v>0</v>
      </c>
      <c r="V29" s="37">
        <f>+'雨汚水(共通按分後)'!V29-雨汚水!V29</f>
        <v>0</v>
      </c>
      <c r="W29" s="36">
        <f>+'雨汚水(共通按分後)'!W29-雨汚水!W29</f>
        <v>0</v>
      </c>
      <c r="X29" s="42" t="s">
        <v>27</v>
      </c>
      <c r="Y29" s="453"/>
      <c r="Z29" s="453"/>
      <c r="AA29" s="453"/>
      <c r="AB29" s="453"/>
      <c r="AC29" s="453"/>
      <c r="AD29" s="51">
        <f>+'雨汚水(共通按分後)'!AD29-雨汚水!AD29</f>
        <v>0</v>
      </c>
      <c r="AE29" s="39">
        <f>+'雨汚水(共通按分後)'!AE29-雨汚水!AE29</f>
        <v>0</v>
      </c>
      <c r="AF29" s="390">
        <f>+'雨汚水(共通按分後)'!AF29-雨汚水!AF29</f>
        <v>0</v>
      </c>
      <c r="AG29" s="38">
        <f>+'雨汚水(共通按分後)'!AG29-雨汚水!AG29</f>
        <v>0</v>
      </c>
      <c r="AH29" s="40">
        <f>+'雨汚水(共通按分後)'!AH29-雨汚水!AH29</f>
        <v>0</v>
      </c>
      <c r="AI29" s="39">
        <f>+'雨汚水(共通按分後)'!AI29-雨汚水!AI29</f>
        <v>0</v>
      </c>
      <c r="AJ29" s="38">
        <f>+'雨汚水(共通按分後)'!AJ29-雨汚水!AJ29</f>
        <v>0</v>
      </c>
      <c r="AK29" s="37">
        <f>+'雨汚水(共通按分後)'!AK29-雨汚水!AK29</f>
        <v>0</v>
      </c>
      <c r="AL29" s="36">
        <f>+'雨汚水(共通按分後)'!AL29-雨汚水!AL29</f>
        <v>0</v>
      </c>
    </row>
    <row r="30" spans="1:38">
      <c r="A30" s="35"/>
      <c r="B30" s="45" t="s">
        <v>4</v>
      </c>
      <c r="C30" s="44" t="s">
        <v>8</v>
      </c>
      <c r="D30" s="42" t="s">
        <v>10</v>
      </c>
      <c r="E30" s="51">
        <f>+'雨汚水(共通按分後)'!E30-雨汚水!E30</f>
        <v>0</v>
      </c>
      <c r="F30" s="39">
        <f>+'雨汚水(共通按分後)'!F30-雨汚水!F30</f>
        <v>0</v>
      </c>
      <c r="G30" s="390">
        <f>+'雨汚水(共通按分後)'!G30-雨汚水!G30</f>
        <v>0</v>
      </c>
      <c r="H30" s="38">
        <f>+'雨汚水(共通按分後)'!H30-雨汚水!H30</f>
        <v>0</v>
      </c>
      <c r="I30" s="40">
        <f>+'雨汚水(共通按分後)'!I30-雨汚水!I30</f>
        <v>0</v>
      </c>
      <c r="J30" s="39">
        <f>+'雨汚水(共通按分後)'!J30-雨汚水!J30</f>
        <v>0</v>
      </c>
      <c r="K30" s="38">
        <f>+'雨汚水(共通按分後)'!K30-雨汚水!K30</f>
        <v>0</v>
      </c>
      <c r="L30" s="37">
        <f>+'雨汚水(共通按分後)'!L30-雨汚水!L30</f>
        <v>0</v>
      </c>
      <c r="M30" s="36">
        <f>+'雨汚水(共通按分後)'!M30-雨汚水!M30</f>
        <v>0</v>
      </c>
      <c r="N30" s="42" t="s">
        <v>10</v>
      </c>
      <c r="O30" s="51">
        <f>+'雨汚水(共通按分後)'!O30-雨汚水!O30</f>
        <v>0</v>
      </c>
      <c r="P30" s="39">
        <f>+'雨汚水(共通按分後)'!P30-雨汚水!P30</f>
        <v>0</v>
      </c>
      <c r="Q30" s="390">
        <f>+'雨汚水(共通按分後)'!Q30-雨汚水!Q30</f>
        <v>0</v>
      </c>
      <c r="R30" s="38">
        <f>+'雨汚水(共通按分後)'!R30-雨汚水!R30</f>
        <v>0</v>
      </c>
      <c r="S30" s="40">
        <f>+'雨汚水(共通按分後)'!S30-雨汚水!S30</f>
        <v>0</v>
      </c>
      <c r="T30" s="39">
        <f>+'雨汚水(共通按分後)'!T30-雨汚水!T30</f>
        <v>0</v>
      </c>
      <c r="U30" s="38">
        <f>+'雨汚水(共通按分後)'!U30-雨汚水!U30</f>
        <v>0</v>
      </c>
      <c r="V30" s="37">
        <f>+'雨汚水(共通按分後)'!V30-雨汚水!V30</f>
        <v>0</v>
      </c>
      <c r="W30" s="36">
        <f>+'雨汚水(共通按分後)'!W30-雨汚水!W30</f>
        <v>0</v>
      </c>
      <c r="X30" s="42" t="s">
        <v>10</v>
      </c>
      <c r="Y30" s="453"/>
      <c r="Z30" s="453"/>
      <c r="AA30" s="453"/>
      <c r="AB30" s="453"/>
      <c r="AC30" s="453"/>
      <c r="AD30" s="51">
        <f>+'雨汚水(共通按分後)'!AD30-雨汚水!AD30</f>
        <v>0</v>
      </c>
      <c r="AE30" s="39">
        <f>+'雨汚水(共通按分後)'!AE30-雨汚水!AE30</f>
        <v>0</v>
      </c>
      <c r="AF30" s="390">
        <f>+'雨汚水(共通按分後)'!AF30-雨汚水!AF30</f>
        <v>0</v>
      </c>
      <c r="AG30" s="38">
        <f>+'雨汚水(共通按分後)'!AG30-雨汚水!AG30</f>
        <v>0</v>
      </c>
      <c r="AH30" s="40">
        <f>+'雨汚水(共通按分後)'!AH30-雨汚水!AH30</f>
        <v>0</v>
      </c>
      <c r="AI30" s="39">
        <f>+'雨汚水(共通按分後)'!AI30-雨汚水!AI30</f>
        <v>0</v>
      </c>
      <c r="AJ30" s="38">
        <f>+'雨汚水(共通按分後)'!AJ30-雨汚水!AJ30</f>
        <v>0</v>
      </c>
      <c r="AK30" s="37">
        <f>+'雨汚水(共通按分後)'!AK30-雨汚水!AK30</f>
        <v>0</v>
      </c>
      <c r="AL30" s="36">
        <f>+'雨汚水(共通按分後)'!AL30-雨汚水!AL30</f>
        <v>0</v>
      </c>
    </row>
    <row r="31" spans="1:38">
      <c r="A31" s="35"/>
      <c r="B31" s="45" t="s">
        <v>4</v>
      </c>
      <c r="C31" s="44" t="s">
        <v>8</v>
      </c>
      <c r="D31" s="42"/>
      <c r="E31" s="51">
        <f>+'雨汚水(共通按分後)'!E31-雨汚水!E31</f>
        <v>0</v>
      </c>
      <c r="F31" s="39">
        <f>+'雨汚水(共通按分後)'!F31-雨汚水!F31</f>
        <v>0</v>
      </c>
      <c r="G31" s="390">
        <f>+'雨汚水(共通按分後)'!G31-雨汚水!G31</f>
        <v>0</v>
      </c>
      <c r="H31" s="38">
        <f>+'雨汚水(共通按分後)'!H31-雨汚水!H31</f>
        <v>0</v>
      </c>
      <c r="I31" s="40">
        <f>+'雨汚水(共通按分後)'!I31-雨汚水!I31</f>
        <v>0</v>
      </c>
      <c r="J31" s="39">
        <f>+'雨汚水(共通按分後)'!J31-雨汚水!J31</f>
        <v>0</v>
      </c>
      <c r="K31" s="38">
        <f>+'雨汚水(共通按分後)'!K31-雨汚水!K31</f>
        <v>0</v>
      </c>
      <c r="L31" s="37">
        <f>+'雨汚水(共通按分後)'!L31-雨汚水!L31</f>
        <v>0</v>
      </c>
      <c r="M31" s="36">
        <f>+'雨汚水(共通按分後)'!M31-雨汚水!M31</f>
        <v>0</v>
      </c>
      <c r="N31" s="42"/>
      <c r="O31" s="51">
        <f>+'雨汚水(共通按分後)'!O31-雨汚水!O31</f>
        <v>0</v>
      </c>
      <c r="P31" s="39">
        <f>+'雨汚水(共通按分後)'!P31-雨汚水!P31</f>
        <v>0</v>
      </c>
      <c r="Q31" s="390">
        <f>+'雨汚水(共通按分後)'!Q31-雨汚水!Q31</f>
        <v>0</v>
      </c>
      <c r="R31" s="38">
        <f>+'雨汚水(共通按分後)'!R31-雨汚水!R31</f>
        <v>0</v>
      </c>
      <c r="S31" s="40">
        <f>+'雨汚水(共通按分後)'!S31-雨汚水!S31</f>
        <v>0</v>
      </c>
      <c r="T31" s="39">
        <f>+'雨汚水(共通按分後)'!T31-雨汚水!T31</f>
        <v>0</v>
      </c>
      <c r="U31" s="38">
        <f>+'雨汚水(共通按分後)'!U31-雨汚水!U31</f>
        <v>0</v>
      </c>
      <c r="V31" s="37">
        <f>+'雨汚水(共通按分後)'!V31-雨汚水!V31</f>
        <v>0</v>
      </c>
      <c r="W31" s="36">
        <f>+'雨汚水(共通按分後)'!W31-雨汚水!W31</f>
        <v>0</v>
      </c>
      <c r="X31" s="42"/>
      <c r="Y31" s="453"/>
      <c r="Z31" s="453"/>
      <c r="AA31" s="453"/>
      <c r="AB31" s="453"/>
      <c r="AC31" s="453"/>
      <c r="AD31" s="51">
        <f>+'雨汚水(共通按分後)'!AD31-雨汚水!AD31</f>
        <v>0</v>
      </c>
      <c r="AE31" s="39">
        <f>+'雨汚水(共通按分後)'!AE31-雨汚水!AE31</f>
        <v>0</v>
      </c>
      <c r="AF31" s="390">
        <f>+'雨汚水(共通按分後)'!AF31-雨汚水!AF31</f>
        <v>0</v>
      </c>
      <c r="AG31" s="38">
        <f>+'雨汚水(共通按分後)'!AG31-雨汚水!AG31</f>
        <v>0</v>
      </c>
      <c r="AH31" s="40">
        <f>+'雨汚水(共通按分後)'!AH31-雨汚水!AH31</f>
        <v>0</v>
      </c>
      <c r="AI31" s="39">
        <f>+'雨汚水(共通按分後)'!AI31-雨汚水!AI31</f>
        <v>0</v>
      </c>
      <c r="AJ31" s="38">
        <f>+'雨汚水(共通按分後)'!AJ31-雨汚水!AJ31</f>
        <v>0</v>
      </c>
      <c r="AK31" s="37">
        <f>+'雨汚水(共通按分後)'!AK31-雨汚水!AK31</f>
        <v>0</v>
      </c>
      <c r="AL31" s="36">
        <f>+'雨汚水(共通按分後)'!AL31-雨汚水!AL31</f>
        <v>0</v>
      </c>
    </row>
    <row r="32" spans="1:38">
      <c r="A32" s="35"/>
      <c r="B32" s="45" t="s">
        <v>4</v>
      </c>
      <c r="C32" s="44" t="s">
        <v>8</v>
      </c>
      <c r="D32" s="42"/>
      <c r="E32" s="51">
        <f>+'雨汚水(共通按分後)'!E32-雨汚水!E32</f>
        <v>0</v>
      </c>
      <c r="F32" s="39">
        <f>+'雨汚水(共通按分後)'!F32-雨汚水!F32</f>
        <v>0</v>
      </c>
      <c r="G32" s="390">
        <f>+'雨汚水(共通按分後)'!G32-雨汚水!G32</f>
        <v>0</v>
      </c>
      <c r="H32" s="38">
        <f>+'雨汚水(共通按分後)'!H32-雨汚水!H32</f>
        <v>0</v>
      </c>
      <c r="I32" s="40">
        <f>+'雨汚水(共通按分後)'!I32-雨汚水!I32</f>
        <v>0</v>
      </c>
      <c r="J32" s="39">
        <f>+'雨汚水(共通按分後)'!J32-雨汚水!J32</f>
        <v>0</v>
      </c>
      <c r="K32" s="38">
        <f>+'雨汚水(共通按分後)'!K32-雨汚水!K32</f>
        <v>0</v>
      </c>
      <c r="L32" s="37">
        <f>+'雨汚水(共通按分後)'!L32-雨汚水!L32</f>
        <v>0</v>
      </c>
      <c r="M32" s="36">
        <f>+'雨汚水(共通按分後)'!M32-雨汚水!M32</f>
        <v>0</v>
      </c>
      <c r="N32" s="42"/>
      <c r="O32" s="51">
        <f>+'雨汚水(共通按分後)'!O32-雨汚水!O32</f>
        <v>0</v>
      </c>
      <c r="P32" s="39">
        <f>+'雨汚水(共通按分後)'!P32-雨汚水!P32</f>
        <v>0</v>
      </c>
      <c r="Q32" s="390">
        <f>+'雨汚水(共通按分後)'!Q32-雨汚水!Q32</f>
        <v>0</v>
      </c>
      <c r="R32" s="38">
        <f>+'雨汚水(共通按分後)'!R32-雨汚水!R32</f>
        <v>0</v>
      </c>
      <c r="S32" s="40">
        <f>+'雨汚水(共通按分後)'!S32-雨汚水!S32</f>
        <v>0</v>
      </c>
      <c r="T32" s="39">
        <f>+'雨汚水(共通按分後)'!T32-雨汚水!T32</f>
        <v>0</v>
      </c>
      <c r="U32" s="38">
        <f>+'雨汚水(共通按分後)'!U32-雨汚水!U32</f>
        <v>0</v>
      </c>
      <c r="V32" s="37">
        <f>+'雨汚水(共通按分後)'!V32-雨汚水!V32</f>
        <v>0</v>
      </c>
      <c r="W32" s="36">
        <f>+'雨汚水(共通按分後)'!W32-雨汚水!W32</f>
        <v>0</v>
      </c>
      <c r="X32" s="42"/>
      <c r="Y32" s="453"/>
      <c r="Z32" s="453"/>
      <c r="AA32" s="453"/>
      <c r="AB32" s="453"/>
      <c r="AC32" s="453"/>
      <c r="AD32" s="51">
        <f>+'雨汚水(共通按分後)'!AD32-雨汚水!AD32</f>
        <v>0</v>
      </c>
      <c r="AE32" s="39">
        <f>+'雨汚水(共通按分後)'!AE32-雨汚水!AE32</f>
        <v>0</v>
      </c>
      <c r="AF32" s="390">
        <f>+'雨汚水(共通按分後)'!AF32-雨汚水!AF32</f>
        <v>0</v>
      </c>
      <c r="AG32" s="38">
        <f>+'雨汚水(共通按分後)'!AG32-雨汚水!AG32</f>
        <v>0</v>
      </c>
      <c r="AH32" s="40">
        <f>+'雨汚水(共通按分後)'!AH32-雨汚水!AH32</f>
        <v>0</v>
      </c>
      <c r="AI32" s="39">
        <f>+'雨汚水(共通按分後)'!AI32-雨汚水!AI32</f>
        <v>0</v>
      </c>
      <c r="AJ32" s="38">
        <f>+'雨汚水(共通按分後)'!AJ32-雨汚水!AJ32</f>
        <v>0</v>
      </c>
      <c r="AK32" s="37">
        <f>+'雨汚水(共通按分後)'!AK32-雨汚水!AK32</f>
        <v>0</v>
      </c>
      <c r="AL32" s="36">
        <f>+'雨汚水(共通按分後)'!AL32-雨汚水!AL32</f>
        <v>0</v>
      </c>
    </row>
    <row r="33" spans="1:38">
      <c r="A33" s="35"/>
      <c r="B33" s="45"/>
      <c r="C33" s="44"/>
      <c r="D33" s="42"/>
      <c r="E33" s="51">
        <f>+'雨汚水(共通按分後)'!E33-雨汚水!E33</f>
        <v>0</v>
      </c>
      <c r="F33" s="39">
        <f>+'雨汚水(共通按分後)'!F33-雨汚水!F33</f>
        <v>0</v>
      </c>
      <c r="G33" s="390">
        <f>+'雨汚水(共通按分後)'!G33-雨汚水!G33</f>
        <v>0</v>
      </c>
      <c r="H33" s="38">
        <f>+'雨汚水(共通按分後)'!H33-雨汚水!H33</f>
        <v>0</v>
      </c>
      <c r="I33" s="40">
        <f>+'雨汚水(共通按分後)'!I33-雨汚水!I33</f>
        <v>0</v>
      </c>
      <c r="J33" s="39">
        <f>+'雨汚水(共通按分後)'!J33-雨汚水!J33</f>
        <v>0</v>
      </c>
      <c r="K33" s="38">
        <f>+'雨汚水(共通按分後)'!K33-雨汚水!K33</f>
        <v>0</v>
      </c>
      <c r="L33" s="37">
        <f>+'雨汚水(共通按分後)'!L33-雨汚水!L33</f>
        <v>0</v>
      </c>
      <c r="M33" s="36">
        <f>+'雨汚水(共通按分後)'!M33-雨汚水!M33</f>
        <v>0</v>
      </c>
      <c r="N33" s="42"/>
      <c r="O33" s="51">
        <f>+'雨汚水(共通按分後)'!O33-雨汚水!O33</f>
        <v>0</v>
      </c>
      <c r="P33" s="39">
        <f>+'雨汚水(共通按分後)'!P33-雨汚水!P33</f>
        <v>0</v>
      </c>
      <c r="Q33" s="390">
        <f>+'雨汚水(共通按分後)'!Q33-雨汚水!Q33</f>
        <v>0</v>
      </c>
      <c r="R33" s="38">
        <f>+'雨汚水(共通按分後)'!R33-雨汚水!R33</f>
        <v>0</v>
      </c>
      <c r="S33" s="40">
        <f>+'雨汚水(共通按分後)'!S33-雨汚水!S33</f>
        <v>0</v>
      </c>
      <c r="T33" s="39">
        <f>+'雨汚水(共通按分後)'!T33-雨汚水!T33</f>
        <v>0</v>
      </c>
      <c r="U33" s="38">
        <f>+'雨汚水(共通按分後)'!U33-雨汚水!U33</f>
        <v>0</v>
      </c>
      <c r="V33" s="37">
        <f>+'雨汚水(共通按分後)'!V33-雨汚水!V33</f>
        <v>0</v>
      </c>
      <c r="W33" s="36">
        <f>+'雨汚水(共通按分後)'!W33-雨汚水!W33</f>
        <v>0</v>
      </c>
      <c r="X33" s="42"/>
      <c r="Y33" s="453"/>
      <c r="Z33" s="453"/>
      <c r="AA33" s="453"/>
      <c r="AB33" s="453"/>
      <c r="AC33" s="453"/>
      <c r="AD33" s="51">
        <f>+'雨汚水(共通按分後)'!AD33-雨汚水!AD33</f>
        <v>0</v>
      </c>
      <c r="AE33" s="39">
        <f>+'雨汚水(共通按分後)'!AE33-雨汚水!AE33</f>
        <v>0</v>
      </c>
      <c r="AF33" s="390">
        <f>+'雨汚水(共通按分後)'!AF33-雨汚水!AF33</f>
        <v>0</v>
      </c>
      <c r="AG33" s="38">
        <f>+'雨汚水(共通按分後)'!AG33-雨汚水!AG33</f>
        <v>0</v>
      </c>
      <c r="AH33" s="40">
        <f>+'雨汚水(共通按分後)'!AH33-雨汚水!AH33</f>
        <v>0</v>
      </c>
      <c r="AI33" s="39">
        <f>+'雨汚水(共通按分後)'!AI33-雨汚水!AI33</f>
        <v>0</v>
      </c>
      <c r="AJ33" s="38">
        <f>+'雨汚水(共通按分後)'!AJ33-雨汚水!AJ33</f>
        <v>0</v>
      </c>
      <c r="AK33" s="37">
        <f>+'雨汚水(共通按分後)'!AK33-雨汚水!AK33</f>
        <v>0</v>
      </c>
      <c r="AL33" s="36">
        <f>+'雨汚水(共通按分後)'!AL33-雨汚水!AL33</f>
        <v>0</v>
      </c>
    </row>
    <row r="34" spans="1:38">
      <c r="A34" s="35"/>
      <c r="B34" s="45" t="s">
        <v>2</v>
      </c>
      <c r="C34" s="44" t="s">
        <v>21</v>
      </c>
      <c r="D34" s="42" t="s">
        <v>23</v>
      </c>
      <c r="E34" s="51">
        <f>+'雨汚水(共通按分後)'!E34-雨汚水!E34</f>
        <v>0</v>
      </c>
      <c r="F34" s="39">
        <f>+'雨汚水(共通按分後)'!F34-雨汚水!F34</f>
        <v>-493129738</v>
      </c>
      <c r="G34" s="390">
        <f>+'雨汚水(共通按分後)'!G34-雨汚水!G34</f>
        <v>8079588</v>
      </c>
      <c r="H34" s="38">
        <f>+'雨汚水(共通按分後)'!H34-雨汚水!H34</f>
        <v>0</v>
      </c>
      <c r="I34" s="40">
        <f>+'雨汚水(共通按分後)'!I34-雨汚水!I34</f>
        <v>-485050150</v>
      </c>
      <c r="J34" s="39">
        <f>+'雨汚水(共通按分後)'!J34-雨汚水!J34</f>
        <v>472947545</v>
      </c>
      <c r="K34" s="38">
        <f>+'雨汚水(共通按分後)'!K34-雨汚水!K34</f>
        <v>-259030477</v>
      </c>
      <c r="L34" s="37">
        <f>+'雨汚水(共通按分後)'!L34-雨汚水!L34</f>
        <v>213917068</v>
      </c>
      <c r="M34" s="36">
        <f>+'雨汚水(共通按分後)'!M34-雨汚水!M34</f>
        <v>271133082</v>
      </c>
      <c r="N34" s="42" t="s">
        <v>23</v>
      </c>
      <c r="O34" s="51">
        <f>+'雨汚水(共通按分後)'!O34-雨汚水!O34</f>
        <v>0</v>
      </c>
      <c r="P34" s="39">
        <f>+'雨汚水(共通按分後)'!P34-雨汚水!P34</f>
        <v>-493129738</v>
      </c>
      <c r="Q34" s="390">
        <f>+'雨汚水(共通按分後)'!Q34-雨汚水!Q34</f>
        <v>8079588</v>
      </c>
      <c r="R34" s="38">
        <f>+'雨汚水(共通按分後)'!R34-雨汚水!R34</f>
        <v>0</v>
      </c>
      <c r="S34" s="40">
        <f>+'雨汚水(共通按分後)'!S34-雨汚水!S34</f>
        <v>-485050150</v>
      </c>
      <c r="T34" s="39">
        <f>+'雨汚水(共通按分後)'!T34-雨汚水!T34</f>
        <v>472947545</v>
      </c>
      <c r="U34" s="38">
        <f>+'雨汚水(共通按分後)'!U34-雨汚水!U34</f>
        <v>-259030477</v>
      </c>
      <c r="V34" s="37">
        <f>+'雨汚水(共通按分後)'!V34-雨汚水!V34</f>
        <v>213917068</v>
      </c>
      <c r="W34" s="36">
        <f>+'雨汚水(共通按分後)'!W34-雨汚水!W34</f>
        <v>271133082</v>
      </c>
      <c r="X34" s="42" t="s">
        <v>23</v>
      </c>
      <c r="Y34" s="453"/>
      <c r="Z34" s="453"/>
      <c r="AA34" s="453"/>
      <c r="AB34" s="453"/>
      <c r="AC34" s="453"/>
      <c r="AD34" s="51">
        <f>+'雨汚水(共通按分後)'!AD34-雨汚水!AD34</f>
        <v>0</v>
      </c>
      <c r="AE34" s="39">
        <f>+'雨汚水(共通按分後)'!AE34-雨汚水!AE34</f>
        <v>-493129738</v>
      </c>
      <c r="AF34" s="390">
        <f>+'雨汚水(共通按分後)'!AF34-雨汚水!AF34</f>
        <v>8079588</v>
      </c>
      <c r="AG34" s="38">
        <f>+'雨汚水(共通按分後)'!AG34-雨汚水!AG34</f>
        <v>0</v>
      </c>
      <c r="AH34" s="40">
        <f>+'雨汚水(共通按分後)'!AH34-雨汚水!AH34</f>
        <v>-485050150</v>
      </c>
      <c r="AI34" s="39">
        <f>+'雨汚水(共通按分後)'!AI34-雨汚水!AI34</f>
        <v>472947545</v>
      </c>
      <c r="AJ34" s="38">
        <f>+'雨汚水(共通按分後)'!AJ34-雨汚水!AJ34</f>
        <v>-259030477</v>
      </c>
      <c r="AK34" s="37">
        <f>+'雨汚水(共通按分後)'!AK34-雨汚水!AK34</f>
        <v>213917068</v>
      </c>
      <c r="AL34" s="36">
        <f>+'雨汚水(共通按分後)'!AL34-雨汚水!AL34</f>
        <v>271133082</v>
      </c>
    </row>
    <row r="35" spans="1:38">
      <c r="A35" s="35"/>
      <c r="B35" s="45" t="s">
        <v>2</v>
      </c>
      <c r="C35" s="44" t="s">
        <v>21</v>
      </c>
      <c r="D35" s="50" t="s">
        <v>20</v>
      </c>
      <c r="E35" s="51">
        <f>+'雨汚水(共通按分後)'!E35-雨汚水!E35</f>
        <v>0</v>
      </c>
      <c r="F35" s="39">
        <f>+'雨汚水(共通按分後)'!F35-雨汚水!F35</f>
        <v>47624770</v>
      </c>
      <c r="G35" s="390">
        <f>+'雨汚水(共通按分後)'!G35-雨汚水!G35</f>
        <v>838893</v>
      </c>
      <c r="H35" s="38">
        <f>+'雨汚水(共通按分後)'!H35-雨汚水!H35</f>
        <v>0</v>
      </c>
      <c r="I35" s="40">
        <f>+'雨汚水(共通按分後)'!I35-雨汚水!I35</f>
        <v>48463663</v>
      </c>
      <c r="J35" s="39">
        <f>+'雨汚水(共通按分後)'!J35-雨汚水!J35</f>
        <v>7665695</v>
      </c>
      <c r="K35" s="38">
        <f>+'雨汚水(共通按分後)'!K35-雨汚水!K35</f>
        <v>-56129358</v>
      </c>
      <c r="L35" s="37">
        <f>+'雨汚水(共通按分後)'!L35-雨汚水!L35</f>
        <v>-48463663</v>
      </c>
      <c r="M35" s="36">
        <f>+'雨汚水(共通按分後)'!M35-雨汚水!M35</f>
        <v>0</v>
      </c>
      <c r="N35" s="50" t="s">
        <v>20</v>
      </c>
      <c r="O35" s="51">
        <f>+'雨汚水(共通按分後)'!O35-雨汚水!O35</f>
        <v>0</v>
      </c>
      <c r="P35" s="39">
        <f>+'雨汚水(共通按分後)'!P35-雨汚水!P35</f>
        <v>47624770</v>
      </c>
      <c r="Q35" s="390">
        <f>+'雨汚水(共通按分後)'!Q35-雨汚水!Q35</f>
        <v>838893</v>
      </c>
      <c r="R35" s="38">
        <f>+'雨汚水(共通按分後)'!R35-雨汚水!R35</f>
        <v>0</v>
      </c>
      <c r="S35" s="40">
        <f>+'雨汚水(共通按分後)'!S35-雨汚水!S35</f>
        <v>48463663</v>
      </c>
      <c r="T35" s="39">
        <f>+'雨汚水(共通按分後)'!T35-雨汚水!T35</f>
        <v>7665695</v>
      </c>
      <c r="U35" s="38">
        <f>+'雨汚水(共通按分後)'!U35-雨汚水!U35</f>
        <v>-56129358</v>
      </c>
      <c r="V35" s="37">
        <f>+'雨汚水(共通按分後)'!V35-雨汚水!V35</f>
        <v>-48463663</v>
      </c>
      <c r="W35" s="36">
        <f>+'雨汚水(共通按分後)'!W35-雨汚水!W35</f>
        <v>0</v>
      </c>
      <c r="X35" s="50" t="s">
        <v>20</v>
      </c>
      <c r="Y35" s="454"/>
      <c r="Z35" s="454"/>
      <c r="AA35" s="454"/>
      <c r="AB35" s="454"/>
      <c r="AC35" s="454"/>
      <c r="AD35" s="51">
        <f>+'雨汚水(共通按分後)'!AD35-雨汚水!AD35</f>
        <v>0</v>
      </c>
      <c r="AE35" s="39">
        <f>+'雨汚水(共通按分後)'!AE35-雨汚水!AE35</f>
        <v>47624770</v>
      </c>
      <c r="AF35" s="390">
        <f>+'雨汚水(共通按分後)'!AF35-雨汚水!AF35</f>
        <v>838893</v>
      </c>
      <c r="AG35" s="38">
        <f>+'雨汚水(共通按分後)'!AG35-雨汚水!AG35</f>
        <v>0</v>
      </c>
      <c r="AH35" s="40">
        <f>+'雨汚水(共通按分後)'!AH35-雨汚水!AH35</f>
        <v>48463663</v>
      </c>
      <c r="AI35" s="39">
        <f>+'雨汚水(共通按分後)'!AI35-雨汚水!AI35</f>
        <v>7665695</v>
      </c>
      <c r="AJ35" s="38">
        <f>+'雨汚水(共通按分後)'!AJ35-雨汚水!AJ35</f>
        <v>-56129358</v>
      </c>
      <c r="AK35" s="37">
        <f>+'雨汚水(共通按分後)'!AK35-雨汚水!AK35</f>
        <v>-48463663</v>
      </c>
      <c r="AL35" s="36">
        <f>+'雨汚水(共通按分後)'!AL35-雨汚水!AL35</f>
        <v>0</v>
      </c>
    </row>
    <row r="36" spans="1:38">
      <c r="A36" s="35"/>
      <c r="B36" s="45"/>
      <c r="C36" s="44"/>
      <c r="D36" s="42"/>
      <c r="E36" s="51">
        <f>+'雨汚水(共通按分後)'!E36-雨汚水!E36</f>
        <v>0</v>
      </c>
      <c r="F36" s="39">
        <f>+'雨汚水(共通按分後)'!F36-雨汚水!F36</f>
        <v>0</v>
      </c>
      <c r="G36" s="390">
        <f>+'雨汚水(共通按分後)'!G36-雨汚水!G36</f>
        <v>0</v>
      </c>
      <c r="H36" s="38">
        <f>+'雨汚水(共通按分後)'!H36-雨汚水!H36</f>
        <v>0</v>
      </c>
      <c r="I36" s="40">
        <f>+'雨汚水(共通按分後)'!I36-雨汚水!I36</f>
        <v>0</v>
      </c>
      <c r="J36" s="39">
        <f>+'雨汚水(共通按分後)'!J36-雨汚水!J36</f>
        <v>0</v>
      </c>
      <c r="K36" s="38">
        <f>+'雨汚水(共通按分後)'!K36-雨汚水!K36</f>
        <v>0</v>
      </c>
      <c r="L36" s="37">
        <f>+'雨汚水(共通按分後)'!L36-雨汚水!L36</f>
        <v>0</v>
      </c>
      <c r="M36" s="36">
        <f>+'雨汚水(共通按分後)'!M36-雨汚水!M36</f>
        <v>0</v>
      </c>
      <c r="N36" s="42"/>
      <c r="O36" s="51">
        <f>+'雨汚水(共通按分後)'!O36-雨汚水!O36</f>
        <v>0</v>
      </c>
      <c r="P36" s="39">
        <f>+'雨汚水(共通按分後)'!P36-雨汚水!P36</f>
        <v>0</v>
      </c>
      <c r="Q36" s="390">
        <f>+'雨汚水(共通按分後)'!Q36-雨汚水!Q36</f>
        <v>0</v>
      </c>
      <c r="R36" s="38">
        <f>+'雨汚水(共通按分後)'!R36-雨汚水!R36</f>
        <v>0</v>
      </c>
      <c r="S36" s="40">
        <f>+'雨汚水(共通按分後)'!S36-雨汚水!S36</f>
        <v>0</v>
      </c>
      <c r="T36" s="39">
        <f>+'雨汚水(共通按分後)'!T36-雨汚水!T36</f>
        <v>0</v>
      </c>
      <c r="U36" s="38">
        <f>+'雨汚水(共通按分後)'!U36-雨汚水!U36</f>
        <v>0</v>
      </c>
      <c r="V36" s="37">
        <f>+'雨汚水(共通按分後)'!V36-雨汚水!V36</f>
        <v>0</v>
      </c>
      <c r="W36" s="36">
        <f>+'雨汚水(共通按分後)'!W36-雨汚水!W36</f>
        <v>0</v>
      </c>
      <c r="X36" s="42"/>
      <c r="Y36" s="453"/>
      <c r="Z36" s="453"/>
      <c r="AA36" s="453"/>
      <c r="AB36" s="453"/>
      <c r="AC36" s="453"/>
      <c r="AD36" s="51">
        <f>+'雨汚水(共通按分後)'!AD36-雨汚水!AD36</f>
        <v>0</v>
      </c>
      <c r="AE36" s="39">
        <f>+'雨汚水(共通按分後)'!AE36-雨汚水!AE36</f>
        <v>0</v>
      </c>
      <c r="AF36" s="390">
        <f>+'雨汚水(共通按分後)'!AF36-雨汚水!AF36</f>
        <v>0</v>
      </c>
      <c r="AG36" s="38">
        <f>+'雨汚水(共通按分後)'!AG36-雨汚水!AG36</f>
        <v>0</v>
      </c>
      <c r="AH36" s="40">
        <f>+'雨汚水(共通按分後)'!AH36-雨汚水!AH36</f>
        <v>0</v>
      </c>
      <c r="AI36" s="39">
        <f>+'雨汚水(共通按分後)'!AI36-雨汚水!AI36</f>
        <v>0</v>
      </c>
      <c r="AJ36" s="38">
        <f>+'雨汚水(共通按分後)'!AJ36-雨汚水!AJ36</f>
        <v>0</v>
      </c>
      <c r="AK36" s="37">
        <f>+'雨汚水(共通按分後)'!AK36-雨汚水!AK36</f>
        <v>0</v>
      </c>
      <c r="AL36" s="36">
        <f>+'雨汚水(共通按分後)'!AL36-雨汚水!AL36</f>
        <v>0</v>
      </c>
    </row>
    <row r="37" spans="1:38">
      <c r="A37" s="35"/>
      <c r="B37" s="45" t="s">
        <v>2</v>
      </c>
      <c r="C37" s="44" t="s">
        <v>14</v>
      </c>
      <c r="D37" s="42" t="s">
        <v>106</v>
      </c>
      <c r="E37" s="51">
        <f>+'雨汚水(共通按分後)'!E37-雨汚水!E37</f>
        <v>0</v>
      </c>
      <c r="F37" s="39">
        <f>+'雨汚水(共通按分後)'!F37-雨汚水!F37</f>
        <v>1601838872</v>
      </c>
      <c r="G37" s="390">
        <f>+'雨汚水(共通按分後)'!G37-雨汚水!G37</f>
        <v>0</v>
      </c>
      <c r="H37" s="38">
        <f>+'雨汚水(共通按分後)'!H37-雨汚水!H37</f>
        <v>56855052</v>
      </c>
      <c r="I37" s="40">
        <f>+'雨汚水(共通按分後)'!I37-雨汚水!I37</f>
        <v>1658693924</v>
      </c>
      <c r="J37" s="39">
        <f>+'雨汚水(共通按分後)'!J37-雨汚水!J37</f>
        <v>560619842</v>
      </c>
      <c r="K37" s="38">
        <f>+'雨汚水(共通按分後)'!K37-雨汚水!K37</f>
        <v>2364180286</v>
      </c>
      <c r="L37" s="37">
        <f>+'雨汚水(共通按分後)'!L37-雨汚水!L37</f>
        <v>2924800128</v>
      </c>
      <c r="M37" s="36">
        <f>+'雨汚水(共通按分後)'!M37-雨汚水!M37</f>
        <v>-4583494052</v>
      </c>
      <c r="N37" s="42" t="s">
        <v>106</v>
      </c>
      <c r="O37" s="51">
        <f>+'雨汚水(共通按分後)'!O37-雨汚水!O37</f>
        <v>0</v>
      </c>
      <c r="P37" s="39">
        <f>+'雨汚水(共通按分後)'!P37-雨汚水!P37</f>
        <v>1601838872</v>
      </c>
      <c r="Q37" s="390">
        <f>+'雨汚水(共通按分後)'!Q37-雨汚水!Q37</f>
        <v>0</v>
      </c>
      <c r="R37" s="38">
        <f>+'雨汚水(共通按分後)'!R37-雨汚水!R37</f>
        <v>56855052</v>
      </c>
      <c r="S37" s="40">
        <f>+'雨汚水(共通按分後)'!S37-雨汚水!S37</f>
        <v>1658693924</v>
      </c>
      <c r="T37" s="39">
        <f>+'雨汚水(共通按分後)'!T37-雨汚水!T37</f>
        <v>560619842</v>
      </c>
      <c r="U37" s="38">
        <f>+'雨汚水(共通按分後)'!U37-雨汚水!U37</f>
        <v>-2219313766</v>
      </c>
      <c r="V37" s="37">
        <f>+'雨汚水(共通按分後)'!V37-雨汚水!V37</f>
        <v>-1658693924</v>
      </c>
      <c r="W37" s="36">
        <f>+'雨汚水(共通按分後)'!W37-雨汚水!W37</f>
        <v>0</v>
      </c>
      <c r="X37" s="50" t="s">
        <v>18</v>
      </c>
      <c r="Y37" s="454"/>
      <c r="Z37" s="454"/>
      <c r="AA37" s="454"/>
      <c r="AB37" s="454"/>
      <c r="AC37" s="454"/>
      <c r="AD37" s="51">
        <f>+'雨汚水(共通按分後)'!AD37-雨汚水!AD37</f>
        <v>0</v>
      </c>
      <c r="AE37" s="39">
        <f>+'雨汚水(共通按分後)'!AE37-雨汚水!AE37</f>
        <v>1601838872</v>
      </c>
      <c r="AF37" s="390">
        <f>+'雨汚水(共通按分後)'!AF37-雨汚水!AF37</f>
        <v>0</v>
      </c>
      <c r="AG37" s="38">
        <f>+'雨汚水(共通按分後)'!AG37-雨汚水!AG37</f>
        <v>56855052</v>
      </c>
      <c r="AH37" s="40">
        <f>+'雨汚水(共通按分後)'!AH37-雨汚水!AH37</f>
        <v>1658693924</v>
      </c>
      <c r="AI37" s="39">
        <f>+'雨汚水(共通按分後)'!AI37-雨汚水!AI37</f>
        <v>560619842</v>
      </c>
      <c r="AJ37" s="38">
        <f>+'雨汚水(共通按分後)'!AJ37-雨汚水!AJ37</f>
        <v>-2219313766</v>
      </c>
      <c r="AK37" s="37">
        <f>+'雨汚水(共通按分後)'!AK37-雨汚水!AK37</f>
        <v>-1658693924</v>
      </c>
      <c r="AL37" s="36">
        <f>+'雨汚水(共通按分後)'!AL37-雨汚水!AL37</f>
        <v>0</v>
      </c>
    </row>
    <row r="38" spans="1:38">
      <c r="A38" s="35"/>
      <c r="B38" s="45" t="s">
        <v>2</v>
      </c>
      <c r="C38" s="44" t="s">
        <v>14</v>
      </c>
      <c r="D38" s="42" t="s">
        <v>16</v>
      </c>
      <c r="E38" s="51">
        <f>+'雨汚水(共通按分後)'!E38-雨汚水!E38</f>
        <v>0</v>
      </c>
      <c r="F38" s="39">
        <f>+'雨汚水(共通按分後)'!F38-雨汚水!F38</f>
        <v>-9202296</v>
      </c>
      <c r="G38" s="390">
        <f>+'雨汚水(共通按分後)'!G38-雨汚水!G38</f>
        <v>0</v>
      </c>
      <c r="H38" s="38">
        <f>+'雨汚水(共通按分後)'!H38-雨汚水!H38</f>
        <v>0</v>
      </c>
      <c r="I38" s="40">
        <f>+'雨汚水(共通按分後)'!I38-雨汚水!I38</f>
        <v>-9202296</v>
      </c>
      <c r="J38" s="39">
        <f>+'雨汚水(共通按分後)'!J38-雨汚水!J38</f>
        <v>0</v>
      </c>
      <c r="K38" s="38">
        <f>+'雨汚水(共通按分後)'!K38-雨汚水!K38</f>
        <v>-5650548</v>
      </c>
      <c r="L38" s="37">
        <f>+'雨汚水(共通按分後)'!L38-雨汚水!L38</f>
        <v>-5650548</v>
      </c>
      <c r="M38" s="36">
        <f>+'雨汚水(共通按分後)'!M38-雨汚水!M38</f>
        <v>14852844</v>
      </c>
      <c r="N38" s="42" t="s">
        <v>16</v>
      </c>
      <c r="O38" s="51">
        <f>+'雨汚水(共通按分後)'!O38-雨汚水!O38</f>
        <v>0</v>
      </c>
      <c r="P38" s="39">
        <f>+'雨汚水(共通按分後)'!P38-雨汚水!P38</f>
        <v>-8365724</v>
      </c>
      <c r="Q38" s="390">
        <f>+'雨汚水(共通按分後)'!Q38-雨汚水!Q38</f>
        <v>0</v>
      </c>
      <c r="R38" s="38">
        <f>+'雨汚水(共通按分後)'!R38-雨汚水!R38</f>
        <v>0</v>
      </c>
      <c r="S38" s="40">
        <f>+'雨汚水(共通按分後)'!S38-雨汚水!S38</f>
        <v>-8365724</v>
      </c>
      <c r="T38" s="39">
        <f>+'雨汚水(共通按分後)'!T38-雨汚水!T38</f>
        <v>0</v>
      </c>
      <c r="U38" s="38">
        <f>+'雨汚水(共通按分後)'!U38-雨汚水!U38</f>
        <v>8365724</v>
      </c>
      <c r="V38" s="37">
        <f>+'雨汚水(共通按分後)'!V38-雨汚水!V38</f>
        <v>8365724</v>
      </c>
      <c r="W38" s="36">
        <f>+'雨汚水(共通按分後)'!W38-雨汚水!W38</f>
        <v>0</v>
      </c>
      <c r="X38" s="42" t="s">
        <v>16</v>
      </c>
      <c r="Y38" s="453"/>
      <c r="Z38" s="453"/>
      <c r="AA38" s="453"/>
      <c r="AB38" s="453"/>
      <c r="AC38" s="453"/>
      <c r="AD38" s="51">
        <f>+'雨汚水(共通按分後)'!AD38-雨汚水!AD38</f>
        <v>0</v>
      </c>
      <c r="AE38" s="39">
        <f>+'雨汚水(共通按分後)'!AE38-雨汚水!AE38</f>
        <v>-8365724</v>
      </c>
      <c r="AF38" s="390">
        <f>+'雨汚水(共通按分後)'!AF38-雨汚水!AF38</f>
        <v>0</v>
      </c>
      <c r="AG38" s="38">
        <f>+'雨汚水(共通按分後)'!AG38-雨汚水!AG38</f>
        <v>0</v>
      </c>
      <c r="AH38" s="40">
        <f>+'雨汚水(共通按分後)'!AH38-雨汚水!AH38</f>
        <v>-8365724</v>
      </c>
      <c r="AI38" s="39">
        <f>+'雨汚水(共通按分後)'!AI38-雨汚水!AI38</f>
        <v>0</v>
      </c>
      <c r="AJ38" s="38">
        <f>+'雨汚水(共通按分後)'!AJ38-雨汚水!AJ38</f>
        <v>8365724</v>
      </c>
      <c r="AK38" s="37">
        <f>+'雨汚水(共通按分後)'!AK38-雨汚水!AK38</f>
        <v>8365724</v>
      </c>
      <c r="AL38" s="36">
        <f>+'雨汚水(共通按分後)'!AL38-雨汚水!AL38</f>
        <v>0</v>
      </c>
    </row>
    <row r="39" spans="1:38">
      <c r="A39" s="35"/>
      <c r="B39" s="45" t="s">
        <v>2</v>
      </c>
      <c r="C39" s="44" t="s">
        <v>14</v>
      </c>
      <c r="D39" s="50" t="s">
        <v>13</v>
      </c>
      <c r="E39" s="51">
        <f>+'雨汚水(共通按分後)'!E39-雨汚水!E39</f>
        <v>0</v>
      </c>
      <c r="F39" s="39">
        <f>+'雨汚水(共通按分後)'!F39-雨汚水!F39</f>
        <v>0</v>
      </c>
      <c r="G39" s="390">
        <f>+'雨汚水(共通按分後)'!G39-雨汚水!G39</f>
        <v>0</v>
      </c>
      <c r="H39" s="38">
        <f>+'雨汚水(共通按分後)'!H39-雨汚水!H39</f>
        <v>0</v>
      </c>
      <c r="I39" s="40">
        <f>+'雨汚水(共通按分後)'!I39-雨汚水!I39</f>
        <v>0</v>
      </c>
      <c r="J39" s="39">
        <f>+'雨汚水(共通按分後)'!J39-雨汚水!J39</f>
        <v>0</v>
      </c>
      <c r="K39" s="38">
        <f>+'雨汚水(共通按分後)'!K39-雨汚水!K39</f>
        <v>0</v>
      </c>
      <c r="L39" s="37">
        <f>+'雨汚水(共通按分後)'!L39-雨汚水!L39</f>
        <v>0</v>
      </c>
      <c r="M39" s="36">
        <f>+'雨汚水(共通按分後)'!M39-雨汚水!M39</f>
        <v>0</v>
      </c>
      <c r="N39" s="50" t="s">
        <v>13</v>
      </c>
      <c r="O39" s="51">
        <f>+'雨汚水(共通按分後)'!O39-雨汚水!O39</f>
        <v>0</v>
      </c>
      <c r="P39" s="39">
        <f>+'雨汚水(共通按分後)'!P39-雨汚水!P39</f>
        <v>0</v>
      </c>
      <c r="Q39" s="390">
        <f>+'雨汚水(共通按分後)'!Q39-雨汚水!Q39</f>
        <v>0</v>
      </c>
      <c r="R39" s="38">
        <f>+'雨汚水(共通按分後)'!R39-雨汚水!R39</f>
        <v>0</v>
      </c>
      <c r="S39" s="40">
        <f>+'雨汚水(共通按分後)'!S39-雨汚水!S39</f>
        <v>0</v>
      </c>
      <c r="T39" s="39">
        <f>+'雨汚水(共通按分後)'!T39-雨汚水!T39</f>
        <v>0</v>
      </c>
      <c r="U39" s="38">
        <f>+'雨汚水(共通按分後)'!U39-雨汚水!U39</f>
        <v>0</v>
      </c>
      <c r="V39" s="37">
        <f>+'雨汚水(共通按分後)'!V39-雨汚水!V39</f>
        <v>0</v>
      </c>
      <c r="W39" s="36">
        <f>+'雨汚水(共通按分後)'!W39-雨汚水!W39</f>
        <v>0</v>
      </c>
      <c r="X39" s="42" t="s">
        <v>13</v>
      </c>
      <c r="Y39" s="453"/>
      <c r="Z39" s="453"/>
      <c r="AA39" s="453"/>
      <c r="AB39" s="453"/>
      <c r="AC39" s="453"/>
      <c r="AD39" s="51">
        <f>+'雨汚水(共通按分後)'!AD39-雨汚水!AD39</f>
        <v>-4583494052</v>
      </c>
      <c r="AE39" s="39">
        <f>+'雨汚水(共通按分後)'!AE39-雨汚水!AE39</f>
        <v>-3528509030</v>
      </c>
      <c r="AF39" s="390">
        <f>+'雨汚水(共通按分後)'!AF39-雨汚水!AF39</f>
        <v>0</v>
      </c>
      <c r="AG39" s="38">
        <f>+'雨汚水(共通按分後)'!AG39-雨汚水!AG39</f>
        <v>-101485026</v>
      </c>
      <c r="AH39" s="40">
        <f>+'雨汚水(共通按分後)'!AH39-雨汚水!AH39</f>
        <v>-3629994056</v>
      </c>
      <c r="AI39" s="39">
        <f>+'雨汚水(共通按分後)'!AI39-雨汚水!AI39</f>
        <v>-953499996</v>
      </c>
      <c r="AJ39" s="38">
        <f>+'雨汚水(共通按分後)'!AJ39-雨汚水!AJ39</f>
        <v>0</v>
      </c>
      <c r="AK39" s="37">
        <f>+'雨汚水(共通按分後)'!AK39-雨汚水!AK39</f>
        <v>-953499996</v>
      </c>
      <c r="AL39" s="36">
        <f>+'雨汚水(共通按分後)'!AL39-雨汚水!AL39</f>
        <v>0</v>
      </c>
    </row>
    <row r="40" spans="1:38">
      <c r="A40" s="35"/>
      <c r="B40" s="45"/>
      <c r="C40" s="44"/>
      <c r="D40" s="42"/>
      <c r="E40" s="51">
        <f>+'雨汚水(共通按分後)'!E40-雨汚水!E40</f>
        <v>0</v>
      </c>
      <c r="F40" s="39">
        <f>+'雨汚水(共通按分後)'!F40-雨汚水!F40</f>
        <v>0</v>
      </c>
      <c r="G40" s="390">
        <f>+'雨汚水(共通按分後)'!G40-雨汚水!G40</f>
        <v>0</v>
      </c>
      <c r="H40" s="38">
        <f>+'雨汚水(共通按分後)'!H40-雨汚水!H40</f>
        <v>0</v>
      </c>
      <c r="I40" s="40">
        <f>+'雨汚水(共通按分後)'!I40-雨汚水!I40</f>
        <v>0</v>
      </c>
      <c r="J40" s="39">
        <f>+'雨汚水(共通按分後)'!J40-雨汚水!J40</f>
        <v>0</v>
      </c>
      <c r="K40" s="38">
        <f>+'雨汚水(共通按分後)'!K40-雨汚水!K40</f>
        <v>0</v>
      </c>
      <c r="L40" s="37">
        <f>+'雨汚水(共通按分後)'!L40-雨汚水!L40</f>
        <v>0</v>
      </c>
      <c r="M40" s="36">
        <f>+'雨汚水(共通按分後)'!M40-雨汚水!M40</f>
        <v>0</v>
      </c>
      <c r="N40" s="42"/>
      <c r="O40" s="51">
        <f>+'雨汚水(共通按分後)'!O40-雨汚水!O40</f>
        <v>0</v>
      </c>
      <c r="P40" s="39">
        <f>+'雨汚水(共通按分後)'!P40-雨汚水!P40</f>
        <v>0</v>
      </c>
      <c r="Q40" s="390">
        <f>+'雨汚水(共通按分後)'!Q40-雨汚水!Q40</f>
        <v>0</v>
      </c>
      <c r="R40" s="38">
        <f>+'雨汚水(共通按分後)'!R40-雨汚水!R40</f>
        <v>0</v>
      </c>
      <c r="S40" s="40">
        <f>+'雨汚水(共通按分後)'!S40-雨汚水!S40</f>
        <v>0</v>
      </c>
      <c r="T40" s="39">
        <f>+'雨汚水(共通按分後)'!T40-雨汚水!T40</f>
        <v>0</v>
      </c>
      <c r="U40" s="38">
        <f>+'雨汚水(共通按分後)'!U40-雨汚水!U40</f>
        <v>0</v>
      </c>
      <c r="V40" s="37">
        <f>+'雨汚水(共通按分後)'!V40-雨汚水!V40</f>
        <v>0</v>
      </c>
      <c r="W40" s="36">
        <f>+'雨汚水(共通按分後)'!W40-雨汚水!W40</f>
        <v>0</v>
      </c>
      <c r="X40" s="42"/>
      <c r="Y40" s="453"/>
      <c r="Z40" s="453"/>
      <c r="AA40" s="453"/>
      <c r="AB40" s="453"/>
      <c r="AC40" s="453"/>
      <c r="AD40" s="51">
        <f>+'雨汚水(共通按分後)'!AD40-雨汚水!AD40</f>
        <v>0</v>
      </c>
      <c r="AE40" s="39">
        <f>+'雨汚水(共通按分後)'!AE40-雨汚水!AE40</f>
        <v>0</v>
      </c>
      <c r="AF40" s="390">
        <f>+'雨汚水(共通按分後)'!AF40-雨汚水!AF40</f>
        <v>0</v>
      </c>
      <c r="AG40" s="38">
        <f>+'雨汚水(共通按分後)'!AG40-雨汚水!AG40</f>
        <v>0</v>
      </c>
      <c r="AH40" s="40">
        <f>+'雨汚水(共通按分後)'!AH40-雨汚水!AH40</f>
        <v>0</v>
      </c>
      <c r="AI40" s="39">
        <f>+'雨汚水(共通按分後)'!AI40-雨汚水!AI40</f>
        <v>0</v>
      </c>
      <c r="AJ40" s="38">
        <f>+'雨汚水(共通按分後)'!AJ40-雨汚水!AJ40</f>
        <v>0</v>
      </c>
      <c r="AK40" s="37">
        <f>+'雨汚水(共通按分後)'!AK40-雨汚水!AK40</f>
        <v>0</v>
      </c>
      <c r="AL40" s="36">
        <f>+'雨汚水(共通按分後)'!AL40-雨汚水!AL40</f>
        <v>0</v>
      </c>
    </row>
    <row r="41" spans="1:38">
      <c r="A41" s="35"/>
      <c r="B41" s="45" t="s">
        <v>2</v>
      </c>
      <c r="C41" s="44" t="s">
        <v>8</v>
      </c>
      <c r="D41" s="42"/>
      <c r="E41" s="51">
        <f>+'雨汚水(共通按分後)'!E41-雨汚水!E41</f>
        <v>0</v>
      </c>
      <c r="F41" s="39">
        <f>+'雨汚水(共通按分後)'!F41-雨汚水!F41</f>
        <v>0</v>
      </c>
      <c r="G41" s="390">
        <f>+'雨汚水(共通按分後)'!G41-雨汚水!G41</f>
        <v>0</v>
      </c>
      <c r="H41" s="38">
        <f>+'雨汚水(共通按分後)'!H41-雨汚水!H41</f>
        <v>0</v>
      </c>
      <c r="I41" s="40">
        <f>+'雨汚水(共通按分後)'!I41-雨汚水!I41</f>
        <v>0</v>
      </c>
      <c r="J41" s="39">
        <f>+'雨汚水(共通按分後)'!J41-雨汚水!J41</f>
        <v>0</v>
      </c>
      <c r="K41" s="38">
        <f>+'雨汚水(共通按分後)'!K41-雨汚水!K41</f>
        <v>0</v>
      </c>
      <c r="L41" s="37">
        <f>+'雨汚水(共通按分後)'!L41-雨汚水!L41</f>
        <v>0</v>
      </c>
      <c r="M41" s="36">
        <f>+'雨汚水(共通按分後)'!M41-雨汚水!M41</f>
        <v>0</v>
      </c>
      <c r="N41" s="42"/>
      <c r="O41" s="51">
        <f>+'雨汚水(共通按分後)'!O41-雨汚水!O41</f>
        <v>0</v>
      </c>
      <c r="P41" s="39">
        <f>+'雨汚水(共通按分後)'!P41-雨汚水!P41</f>
        <v>0</v>
      </c>
      <c r="Q41" s="390">
        <f>+'雨汚水(共通按分後)'!Q41-雨汚水!Q41</f>
        <v>0</v>
      </c>
      <c r="R41" s="38">
        <f>+'雨汚水(共通按分後)'!R41-雨汚水!R41</f>
        <v>0</v>
      </c>
      <c r="S41" s="40">
        <f>+'雨汚水(共通按分後)'!S41-雨汚水!S41</f>
        <v>0</v>
      </c>
      <c r="T41" s="39">
        <f>+'雨汚水(共通按分後)'!T41-雨汚水!T41</f>
        <v>0</v>
      </c>
      <c r="U41" s="38">
        <f>+'雨汚水(共通按分後)'!U41-雨汚水!U41</f>
        <v>0</v>
      </c>
      <c r="V41" s="37">
        <f>+'雨汚水(共通按分後)'!V41-雨汚水!V41</f>
        <v>0</v>
      </c>
      <c r="W41" s="36">
        <f>+'雨汚水(共通按分後)'!W41-雨汚水!W41</f>
        <v>0</v>
      </c>
      <c r="X41" s="42"/>
      <c r="Y41" s="453"/>
      <c r="Z41" s="453"/>
      <c r="AA41" s="453"/>
      <c r="AB41" s="453"/>
      <c r="AC41" s="453"/>
      <c r="AD41" s="51">
        <f>+'雨汚水(共通按分後)'!AD41-雨汚水!AD41</f>
        <v>0</v>
      </c>
      <c r="AE41" s="39">
        <f>+'雨汚水(共通按分後)'!AE41-雨汚水!AE41</f>
        <v>0</v>
      </c>
      <c r="AF41" s="390">
        <f>+'雨汚水(共通按分後)'!AF41-雨汚水!AF41</f>
        <v>0</v>
      </c>
      <c r="AG41" s="38">
        <f>+'雨汚水(共通按分後)'!AG41-雨汚水!AG41</f>
        <v>0</v>
      </c>
      <c r="AH41" s="40">
        <f>+'雨汚水(共通按分後)'!AH41-雨汚水!AH41</f>
        <v>0</v>
      </c>
      <c r="AI41" s="39">
        <f>+'雨汚水(共通按分後)'!AI41-雨汚水!AI41</f>
        <v>0</v>
      </c>
      <c r="AJ41" s="38">
        <f>+'雨汚水(共通按分後)'!AJ41-雨汚水!AJ41</f>
        <v>0</v>
      </c>
      <c r="AK41" s="37">
        <f>+'雨汚水(共通按分後)'!AK41-雨汚水!AK41</f>
        <v>0</v>
      </c>
      <c r="AL41" s="36">
        <f>+'雨汚水(共通按分後)'!AL41-雨汚水!AL41</f>
        <v>0</v>
      </c>
    </row>
    <row r="42" spans="1:38">
      <c r="A42" s="35"/>
      <c r="B42" s="45" t="s">
        <v>2</v>
      </c>
      <c r="C42" s="44" t="s">
        <v>8</v>
      </c>
      <c r="D42" s="42" t="s">
        <v>12</v>
      </c>
      <c r="E42" s="51">
        <f>+'雨汚水(共通按分後)'!E42-雨汚水!E42</f>
        <v>0</v>
      </c>
      <c r="F42" s="39">
        <f>+'雨汚水(共通按分後)'!F42-雨汚水!F42</f>
        <v>0</v>
      </c>
      <c r="G42" s="390">
        <f>+'雨汚水(共通按分後)'!G42-雨汚水!G42</f>
        <v>0</v>
      </c>
      <c r="H42" s="38">
        <f>+'雨汚水(共通按分後)'!H42-雨汚水!H42</f>
        <v>0</v>
      </c>
      <c r="I42" s="40">
        <f>+'雨汚水(共通按分後)'!I42-雨汚水!I42</f>
        <v>0</v>
      </c>
      <c r="J42" s="39">
        <f>+'雨汚水(共通按分後)'!J42-雨汚水!J42</f>
        <v>0</v>
      </c>
      <c r="K42" s="38">
        <f>+'雨汚水(共通按分後)'!K42-雨汚水!K42</f>
        <v>0</v>
      </c>
      <c r="L42" s="37">
        <f>+'雨汚水(共通按分後)'!L42-雨汚水!L42</f>
        <v>0</v>
      </c>
      <c r="M42" s="36">
        <f>+'雨汚水(共通按分後)'!M42-雨汚水!M42</f>
        <v>0</v>
      </c>
      <c r="N42" s="42" t="s">
        <v>12</v>
      </c>
      <c r="O42" s="51">
        <f>+'雨汚水(共通按分後)'!O42-雨汚水!O42</f>
        <v>0</v>
      </c>
      <c r="P42" s="39">
        <f>+'雨汚水(共通按分後)'!P42-雨汚水!P42</f>
        <v>0</v>
      </c>
      <c r="Q42" s="390">
        <f>+'雨汚水(共通按分後)'!Q42-雨汚水!Q42</f>
        <v>0</v>
      </c>
      <c r="R42" s="38">
        <f>+'雨汚水(共通按分後)'!R42-雨汚水!R42</f>
        <v>0</v>
      </c>
      <c r="S42" s="40">
        <f>+'雨汚水(共通按分後)'!S42-雨汚水!S42</f>
        <v>0</v>
      </c>
      <c r="T42" s="39">
        <f>+'雨汚水(共通按分後)'!T42-雨汚水!T42</f>
        <v>0</v>
      </c>
      <c r="U42" s="38">
        <f>+'雨汚水(共通按分後)'!U42-雨汚水!U42</f>
        <v>0</v>
      </c>
      <c r="V42" s="37">
        <f>+'雨汚水(共通按分後)'!V42-雨汚水!V42</f>
        <v>0</v>
      </c>
      <c r="W42" s="36">
        <f>+'雨汚水(共通按分後)'!W42-雨汚水!W42</f>
        <v>0</v>
      </c>
      <c r="X42" s="42" t="s">
        <v>12</v>
      </c>
      <c r="Y42" s="453"/>
      <c r="Z42" s="453"/>
      <c r="AA42" s="453"/>
      <c r="AB42" s="453"/>
      <c r="AC42" s="453"/>
      <c r="AD42" s="51">
        <f>+'雨汚水(共通按分後)'!AD42-雨汚水!AD42</f>
        <v>0</v>
      </c>
      <c r="AE42" s="39">
        <f>+'雨汚水(共通按分後)'!AE42-雨汚水!AE42</f>
        <v>0</v>
      </c>
      <c r="AF42" s="390">
        <f>+'雨汚水(共通按分後)'!AF42-雨汚水!AF42</f>
        <v>0</v>
      </c>
      <c r="AG42" s="38">
        <f>+'雨汚水(共通按分後)'!AG42-雨汚水!AG42</f>
        <v>0</v>
      </c>
      <c r="AH42" s="40">
        <f>+'雨汚水(共通按分後)'!AH42-雨汚水!AH42</f>
        <v>0</v>
      </c>
      <c r="AI42" s="39">
        <f>+'雨汚水(共通按分後)'!AI42-雨汚水!AI42</f>
        <v>0</v>
      </c>
      <c r="AJ42" s="38">
        <f>+'雨汚水(共通按分後)'!AJ42-雨汚水!AJ42</f>
        <v>0</v>
      </c>
      <c r="AK42" s="37">
        <f>+'雨汚水(共通按分後)'!AK42-雨汚水!AK42</f>
        <v>0</v>
      </c>
      <c r="AL42" s="36">
        <f>+'雨汚水(共通按分後)'!AL42-雨汚水!AL42</f>
        <v>0</v>
      </c>
    </row>
    <row r="43" spans="1:38">
      <c r="A43" s="35"/>
      <c r="B43" s="45" t="s">
        <v>2</v>
      </c>
      <c r="C43" s="44" t="s">
        <v>8</v>
      </c>
      <c r="D43" s="42" t="s">
        <v>10</v>
      </c>
      <c r="E43" s="51">
        <f>+'雨汚水(共通按分後)'!E43-雨汚水!E43</f>
        <v>0</v>
      </c>
      <c r="F43" s="39">
        <f>+'雨汚水(共通按分後)'!F43-雨汚水!F43</f>
        <v>0</v>
      </c>
      <c r="G43" s="390">
        <f>+'雨汚水(共通按分後)'!G43-雨汚水!G43</f>
        <v>0</v>
      </c>
      <c r="H43" s="38">
        <f>+'雨汚水(共通按分後)'!H43-雨汚水!H43</f>
        <v>0</v>
      </c>
      <c r="I43" s="40">
        <f>+'雨汚水(共通按分後)'!I43-雨汚水!I43</f>
        <v>0</v>
      </c>
      <c r="J43" s="39">
        <f>+'雨汚水(共通按分後)'!J43-雨汚水!J43</f>
        <v>0</v>
      </c>
      <c r="K43" s="38">
        <f>+'雨汚水(共通按分後)'!K43-雨汚水!K43</f>
        <v>0</v>
      </c>
      <c r="L43" s="37">
        <f>+'雨汚水(共通按分後)'!L43-雨汚水!L43</f>
        <v>0</v>
      </c>
      <c r="M43" s="36">
        <f>+'雨汚水(共通按分後)'!M43-雨汚水!M43</f>
        <v>0</v>
      </c>
      <c r="N43" s="42" t="s">
        <v>10</v>
      </c>
      <c r="O43" s="51">
        <f>+'雨汚水(共通按分後)'!O43-雨汚水!O43</f>
        <v>0</v>
      </c>
      <c r="P43" s="39">
        <f>+'雨汚水(共通按分後)'!P43-雨汚水!P43</f>
        <v>0</v>
      </c>
      <c r="Q43" s="390">
        <f>+'雨汚水(共通按分後)'!Q43-雨汚水!Q43</f>
        <v>0</v>
      </c>
      <c r="R43" s="38">
        <f>+'雨汚水(共通按分後)'!R43-雨汚水!R43</f>
        <v>0</v>
      </c>
      <c r="S43" s="40">
        <f>+'雨汚水(共通按分後)'!S43-雨汚水!S43</f>
        <v>0</v>
      </c>
      <c r="T43" s="39">
        <f>+'雨汚水(共通按分後)'!T43-雨汚水!T43</f>
        <v>0</v>
      </c>
      <c r="U43" s="38">
        <f>+'雨汚水(共通按分後)'!U43-雨汚水!U43</f>
        <v>0</v>
      </c>
      <c r="V43" s="37">
        <f>+'雨汚水(共通按分後)'!V43-雨汚水!V43</f>
        <v>0</v>
      </c>
      <c r="W43" s="36">
        <f>+'雨汚水(共通按分後)'!W43-雨汚水!W43</f>
        <v>0</v>
      </c>
      <c r="X43" s="42" t="s">
        <v>10</v>
      </c>
      <c r="Y43" s="453"/>
      <c r="Z43" s="453"/>
      <c r="AA43" s="453"/>
      <c r="AB43" s="453"/>
      <c r="AC43" s="453"/>
      <c r="AD43" s="51">
        <f>+'雨汚水(共通按分後)'!AD43-雨汚水!AD43</f>
        <v>0</v>
      </c>
      <c r="AE43" s="39">
        <f>+'雨汚水(共通按分後)'!AE43-雨汚水!AE43</f>
        <v>0</v>
      </c>
      <c r="AF43" s="390">
        <f>+'雨汚水(共通按分後)'!AF43-雨汚水!AF43</f>
        <v>0</v>
      </c>
      <c r="AG43" s="38">
        <f>+'雨汚水(共通按分後)'!AG43-雨汚水!AG43</f>
        <v>0</v>
      </c>
      <c r="AH43" s="40">
        <f>+'雨汚水(共通按分後)'!AH43-雨汚水!AH43</f>
        <v>0</v>
      </c>
      <c r="AI43" s="39">
        <f>+'雨汚水(共通按分後)'!AI43-雨汚水!AI43</f>
        <v>0</v>
      </c>
      <c r="AJ43" s="38">
        <f>+'雨汚水(共通按分後)'!AJ43-雨汚水!AJ43</f>
        <v>0</v>
      </c>
      <c r="AK43" s="37">
        <f>+'雨汚水(共通按分後)'!AK43-雨汚水!AK43</f>
        <v>0</v>
      </c>
      <c r="AL43" s="36">
        <f>+'雨汚水(共通按分後)'!AL43-雨汚水!AL43</f>
        <v>0</v>
      </c>
    </row>
    <row r="44" spans="1:38">
      <c r="A44" s="35"/>
      <c r="B44" s="45" t="s">
        <v>2</v>
      </c>
      <c r="C44" s="44" t="s">
        <v>8</v>
      </c>
      <c r="D44" s="42" t="s">
        <v>7</v>
      </c>
      <c r="E44" s="51">
        <f>+'雨汚水(共通按分後)'!E44-雨汚水!E44</f>
        <v>0</v>
      </c>
      <c r="F44" s="39">
        <f>+'雨汚水(共通按分後)'!F44-雨汚水!F44</f>
        <v>0</v>
      </c>
      <c r="G44" s="390">
        <f>+'雨汚水(共通按分後)'!G44-雨汚水!G44</f>
        <v>0</v>
      </c>
      <c r="H44" s="38">
        <f>+'雨汚水(共通按分後)'!H44-雨汚水!H44</f>
        <v>0</v>
      </c>
      <c r="I44" s="40">
        <f>+'雨汚水(共通按分後)'!I44-雨汚水!I44</f>
        <v>0</v>
      </c>
      <c r="J44" s="39">
        <f>+'雨汚水(共通按分後)'!J44-雨汚水!J44</f>
        <v>0</v>
      </c>
      <c r="K44" s="38">
        <f>+'雨汚水(共通按分後)'!K44-雨汚水!K44</f>
        <v>0</v>
      </c>
      <c r="L44" s="37">
        <f>+'雨汚水(共通按分後)'!L44-雨汚水!L44</f>
        <v>0</v>
      </c>
      <c r="M44" s="36">
        <f>+'雨汚水(共通按分後)'!M44-雨汚水!M44</f>
        <v>0</v>
      </c>
      <c r="N44" s="42" t="s">
        <v>7</v>
      </c>
      <c r="O44" s="51">
        <f>+'雨汚水(共通按分後)'!O44-雨汚水!O44</f>
        <v>0</v>
      </c>
      <c r="P44" s="39">
        <f>+'雨汚水(共通按分後)'!P44-雨汚水!P44</f>
        <v>0</v>
      </c>
      <c r="Q44" s="390">
        <f>+'雨汚水(共通按分後)'!Q44-雨汚水!Q44</f>
        <v>0</v>
      </c>
      <c r="R44" s="38">
        <f>+'雨汚水(共通按分後)'!R44-雨汚水!R44</f>
        <v>0</v>
      </c>
      <c r="S44" s="40">
        <f>+'雨汚水(共通按分後)'!S44-雨汚水!S44</f>
        <v>0</v>
      </c>
      <c r="T44" s="39">
        <f>+'雨汚水(共通按分後)'!T44-雨汚水!T44</f>
        <v>0</v>
      </c>
      <c r="U44" s="38">
        <f>+'雨汚水(共通按分後)'!U44-雨汚水!U44</f>
        <v>0</v>
      </c>
      <c r="V44" s="37">
        <f>+'雨汚水(共通按分後)'!V44-雨汚水!V44</f>
        <v>0</v>
      </c>
      <c r="W44" s="36">
        <f>+'雨汚水(共通按分後)'!W44-雨汚水!W44</f>
        <v>0</v>
      </c>
      <c r="X44" s="42" t="s">
        <v>7</v>
      </c>
      <c r="Y44" s="453"/>
      <c r="Z44" s="453"/>
      <c r="AA44" s="453"/>
      <c r="AB44" s="453"/>
      <c r="AC44" s="453"/>
      <c r="AD44" s="51">
        <f>+'雨汚水(共通按分後)'!AD44-雨汚水!AD44</f>
        <v>0</v>
      </c>
      <c r="AE44" s="39">
        <f>+'雨汚水(共通按分後)'!AE44-雨汚水!AE44</f>
        <v>0</v>
      </c>
      <c r="AF44" s="390">
        <f>+'雨汚水(共通按分後)'!AF44-雨汚水!AF44</f>
        <v>0</v>
      </c>
      <c r="AG44" s="38">
        <f>+'雨汚水(共通按分後)'!AG44-雨汚水!AG44</f>
        <v>0</v>
      </c>
      <c r="AH44" s="40">
        <f>+'雨汚水(共通按分後)'!AH44-雨汚水!AH44</f>
        <v>0</v>
      </c>
      <c r="AI44" s="39">
        <f>+'雨汚水(共通按分後)'!AI44-雨汚水!AI44</f>
        <v>0</v>
      </c>
      <c r="AJ44" s="38">
        <f>+'雨汚水(共通按分後)'!AJ44-雨汚水!AJ44</f>
        <v>0</v>
      </c>
      <c r="AK44" s="37">
        <f>+'雨汚水(共通按分後)'!AK44-雨汚水!AK44</f>
        <v>0</v>
      </c>
      <c r="AL44" s="36">
        <f>+'雨汚水(共通按分後)'!AL44-雨汚水!AL44</f>
        <v>0</v>
      </c>
    </row>
    <row r="45" spans="1:38" ht="14.25" thickBot="1">
      <c r="A45" s="35"/>
      <c r="B45" s="34"/>
      <c r="C45" s="33"/>
      <c r="D45" s="32"/>
      <c r="E45" s="486">
        <f>+'雨汚水(共通按分後)'!E45-雨汚水!E45</f>
        <v>0</v>
      </c>
      <c r="F45" s="29">
        <f>+'雨汚水(共通按分後)'!F45-雨汚水!F45</f>
        <v>0</v>
      </c>
      <c r="G45" s="414">
        <f>+'雨汚水(共通按分後)'!G45-雨汚水!G45</f>
        <v>0</v>
      </c>
      <c r="H45" s="28">
        <f>+'雨汚水(共通按分後)'!H45-雨汚水!H45</f>
        <v>0</v>
      </c>
      <c r="I45" s="30">
        <f>+'雨汚水(共通按分後)'!I45-雨汚水!I45</f>
        <v>0</v>
      </c>
      <c r="J45" s="29">
        <f>+'雨汚水(共通按分後)'!J45-雨汚水!J45</f>
        <v>0</v>
      </c>
      <c r="K45" s="28">
        <f>+'雨汚水(共通按分後)'!K45-雨汚水!K45</f>
        <v>0</v>
      </c>
      <c r="L45" s="142">
        <f>+'雨汚水(共通按分後)'!L45-雨汚水!L45</f>
        <v>0</v>
      </c>
      <c r="M45" s="26">
        <f>+'雨汚水(共通按分後)'!M45-雨汚水!M45</f>
        <v>0</v>
      </c>
      <c r="N45" s="32"/>
      <c r="O45" s="486">
        <f>+'雨汚水(共通按分後)'!O45-雨汚水!O45</f>
        <v>0</v>
      </c>
      <c r="P45" s="29">
        <f>+'雨汚水(共通按分後)'!P45-雨汚水!P45</f>
        <v>0</v>
      </c>
      <c r="Q45" s="414">
        <f>+'雨汚水(共通按分後)'!Q45-雨汚水!Q45</f>
        <v>0</v>
      </c>
      <c r="R45" s="28">
        <f>+'雨汚水(共通按分後)'!R45-雨汚水!R45</f>
        <v>0</v>
      </c>
      <c r="S45" s="30">
        <f>+'雨汚水(共通按分後)'!S45-雨汚水!S45</f>
        <v>0</v>
      </c>
      <c r="T45" s="29">
        <f>+'雨汚水(共通按分後)'!T45-雨汚水!T45</f>
        <v>0</v>
      </c>
      <c r="U45" s="28">
        <f>+'雨汚水(共通按分後)'!U45-雨汚水!U45</f>
        <v>0</v>
      </c>
      <c r="V45" s="142">
        <f>+'雨汚水(共通按分後)'!V45-雨汚水!V45</f>
        <v>0</v>
      </c>
      <c r="W45" s="26">
        <f>+'雨汚水(共通按分後)'!W45-雨汚水!W45</f>
        <v>0</v>
      </c>
      <c r="X45" s="32"/>
      <c r="Y45" s="458"/>
      <c r="Z45" s="458"/>
      <c r="AA45" s="458"/>
      <c r="AB45" s="458"/>
      <c r="AC45" s="458"/>
      <c r="AD45" s="486">
        <f>+'雨汚水(共通按分後)'!AD45-雨汚水!AD45</f>
        <v>0</v>
      </c>
      <c r="AE45" s="29">
        <f>+'雨汚水(共通按分後)'!AE45-雨汚水!AE45</f>
        <v>0</v>
      </c>
      <c r="AF45" s="414">
        <f>+'雨汚水(共通按分後)'!AF45-雨汚水!AF45</f>
        <v>0</v>
      </c>
      <c r="AG45" s="28">
        <f>+'雨汚水(共通按分後)'!AG45-雨汚水!AG45</f>
        <v>0</v>
      </c>
      <c r="AH45" s="30">
        <f>+'雨汚水(共通按分後)'!AH45-雨汚水!AH45</f>
        <v>0</v>
      </c>
      <c r="AI45" s="29">
        <f>+'雨汚水(共通按分後)'!AI45-雨汚水!AI45</f>
        <v>0</v>
      </c>
      <c r="AJ45" s="28">
        <f>+'雨汚水(共通按分後)'!AJ45-雨汚水!AJ45</f>
        <v>0</v>
      </c>
      <c r="AK45" s="142">
        <f>+'雨汚水(共通按分後)'!AK45-雨汚水!AK45</f>
        <v>0</v>
      </c>
      <c r="AL45" s="26">
        <f>+'雨汚水(共通按分後)'!AL45-雨汚水!AL45</f>
        <v>0</v>
      </c>
    </row>
    <row r="46" spans="1:38" ht="14.25" thickTop="1">
      <c r="B46" s="499"/>
      <c r="C46" s="500"/>
      <c r="D46" s="501" t="s">
        <v>5</v>
      </c>
      <c r="E46" s="502">
        <f t="shared" ref="E46:L46" si="0">+SUM(E7:E45)</f>
        <v>-15892</v>
      </c>
      <c r="F46" s="503">
        <f t="shared" si="0"/>
        <v>658146464</v>
      </c>
      <c r="G46" s="504">
        <f t="shared" si="0"/>
        <v>-46664639</v>
      </c>
      <c r="H46" s="505">
        <f>+SUM(H7:H45)</f>
        <v>-18857999</v>
      </c>
      <c r="I46" s="402">
        <f t="shared" ref="I46" si="1">+SUM(I7:I45)</f>
        <v>592623826</v>
      </c>
      <c r="J46" s="503">
        <f t="shared" si="0"/>
        <v>898594382</v>
      </c>
      <c r="K46" s="505">
        <f t="shared" si="0"/>
        <v>1240745443</v>
      </c>
      <c r="L46" s="19">
        <f t="shared" si="0"/>
        <v>2139339825</v>
      </c>
      <c r="M46" s="17">
        <f t="shared" ref="M46" si="2">+SUM(M7:M45)</f>
        <v>-2731979543</v>
      </c>
      <c r="N46" s="501" t="s">
        <v>5</v>
      </c>
      <c r="O46" s="502">
        <f t="shared" ref="O46:Q46" si="3">+SUM(O7:O45)</f>
        <v>-15902</v>
      </c>
      <c r="P46" s="503">
        <f t="shared" si="3"/>
        <v>670035650</v>
      </c>
      <c r="Q46" s="504">
        <f t="shared" si="3"/>
        <v>-43005818</v>
      </c>
      <c r="R46" s="505">
        <f>+SUM(R7:R45)</f>
        <v>-11532068</v>
      </c>
      <c r="S46" s="402">
        <f t="shared" ref="S46" si="4">+SUM(S7:S45)</f>
        <v>615497764</v>
      </c>
      <c r="T46" s="503">
        <f t="shared" ref="T46:V46" si="5">+SUM(T7:T45)</f>
        <v>909138715</v>
      </c>
      <c r="U46" s="505">
        <f t="shared" si="5"/>
        <v>-1795785463</v>
      </c>
      <c r="V46" s="19">
        <f t="shared" si="5"/>
        <v>-886646748</v>
      </c>
      <c r="W46" s="17">
        <f t="shared" ref="W46" si="6">+SUM(W7:W45)</f>
        <v>271133082</v>
      </c>
      <c r="X46" s="501" t="s">
        <v>5</v>
      </c>
      <c r="Y46" s="507"/>
      <c r="Z46" s="507"/>
      <c r="AA46" s="507"/>
      <c r="AB46" s="507"/>
      <c r="AC46" s="507"/>
      <c r="AD46" s="502">
        <f t="shared" ref="AD46:AF46" si="7">+SUM(AD7:AD45)</f>
        <v>-16531</v>
      </c>
      <c r="AE46" s="503">
        <f t="shared" si="7"/>
        <v>901030065</v>
      </c>
      <c r="AF46" s="504">
        <f t="shared" si="7"/>
        <v>304487244</v>
      </c>
      <c r="AG46" s="505">
        <f>+SUM(AG7:AG45)</f>
        <v>369422303</v>
      </c>
      <c r="AH46" s="402">
        <f t="shared" ref="AH46" si="8">+SUM(AH7:AH45)</f>
        <v>1574939612</v>
      </c>
      <c r="AI46" s="503">
        <f t="shared" ref="AI46:AK46" si="9">+SUM(AI7:AI45)</f>
        <v>-50303133</v>
      </c>
      <c r="AJ46" s="505">
        <f t="shared" si="9"/>
        <v>-1795786092</v>
      </c>
      <c r="AK46" s="19">
        <f t="shared" si="9"/>
        <v>-1846089225</v>
      </c>
      <c r="AL46" s="17">
        <f t="shared" ref="AL46" si="10">+SUM(AL7:AL45)</f>
        <v>271133082</v>
      </c>
    </row>
    <row r="47" spans="1:38">
      <c r="B47" s="508" t="s">
        <v>4</v>
      </c>
      <c r="C47" s="451"/>
      <c r="D47" s="509" t="s">
        <v>3</v>
      </c>
      <c r="E47" s="510">
        <f t="shared" ref="E47:T48" si="11">+SUMIFS(E$7:E$45,$B$7:$B$45,$B47)</f>
        <v>-15892</v>
      </c>
      <c r="F47" s="511">
        <f t="shared" si="11"/>
        <v>-488985144</v>
      </c>
      <c r="G47" s="512">
        <f t="shared" si="11"/>
        <v>-55583120</v>
      </c>
      <c r="H47" s="122">
        <f t="shared" si="11"/>
        <v>-75713051</v>
      </c>
      <c r="I47" s="422">
        <f t="shared" si="11"/>
        <v>-620281315</v>
      </c>
      <c r="J47" s="511">
        <f t="shared" si="11"/>
        <v>-142638700</v>
      </c>
      <c r="K47" s="122">
        <f t="shared" si="11"/>
        <v>-802624460</v>
      </c>
      <c r="L47" s="8">
        <f t="shared" si="11"/>
        <v>-945263160</v>
      </c>
      <c r="M47" s="6">
        <f t="shared" si="11"/>
        <v>1565528583</v>
      </c>
      <c r="N47" s="509" t="s">
        <v>3</v>
      </c>
      <c r="O47" s="510">
        <f t="shared" si="11"/>
        <v>-15902</v>
      </c>
      <c r="P47" s="511">
        <f t="shared" si="11"/>
        <v>-477932530</v>
      </c>
      <c r="Q47" s="512">
        <f t="shared" si="11"/>
        <v>-51924299</v>
      </c>
      <c r="R47" s="122">
        <f t="shared" si="11"/>
        <v>-68387120</v>
      </c>
      <c r="S47" s="422">
        <f t="shared" si="11"/>
        <v>-598243949</v>
      </c>
      <c r="T47" s="511">
        <f t="shared" si="11"/>
        <v>-132094367</v>
      </c>
      <c r="U47" s="122">
        <f t="shared" ref="O47:W48" si="12">+SUMIFS(U$7:U$45,$B$7:$B$45,$B47)</f>
        <v>730322414</v>
      </c>
      <c r="V47" s="8">
        <f t="shared" si="12"/>
        <v>598228047</v>
      </c>
      <c r="W47" s="6">
        <f t="shared" si="12"/>
        <v>0</v>
      </c>
      <c r="X47" s="509" t="s">
        <v>3</v>
      </c>
      <c r="Y47" s="514"/>
      <c r="Z47" s="514"/>
      <c r="AA47" s="514"/>
      <c r="AB47" s="514"/>
      <c r="AC47" s="514"/>
      <c r="AD47" s="510">
        <f t="shared" ref="AD47:AL48" si="13">+SUMIFS(AD$7:AD$45,$B$7:$B$45,$B47)</f>
        <v>4583478150</v>
      </c>
      <c r="AE47" s="511">
        <f t="shared" si="13"/>
        <v>3281570915</v>
      </c>
      <c r="AF47" s="512">
        <f t="shared" si="13"/>
        <v>295568763</v>
      </c>
      <c r="AG47" s="122">
        <f t="shared" si="13"/>
        <v>414052277</v>
      </c>
      <c r="AH47" s="422">
        <f t="shared" si="13"/>
        <v>3991191955</v>
      </c>
      <c r="AI47" s="511">
        <f t="shared" si="13"/>
        <v>-138036219</v>
      </c>
      <c r="AJ47" s="122">
        <f t="shared" si="13"/>
        <v>730322414</v>
      </c>
      <c r="AK47" s="8">
        <f t="shared" si="13"/>
        <v>592286195</v>
      </c>
      <c r="AL47" s="6">
        <f t="shared" si="13"/>
        <v>0</v>
      </c>
    </row>
    <row r="48" spans="1:38">
      <c r="B48" s="508" t="s">
        <v>2</v>
      </c>
      <c r="C48" s="451"/>
      <c r="D48" s="509" t="s">
        <v>1</v>
      </c>
      <c r="E48" s="510">
        <f t="shared" si="11"/>
        <v>0</v>
      </c>
      <c r="F48" s="511">
        <f t="shared" si="11"/>
        <v>1147131608</v>
      </c>
      <c r="G48" s="512">
        <f t="shared" si="11"/>
        <v>8918481</v>
      </c>
      <c r="H48" s="122">
        <f t="shared" si="11"/>
        <v>56855052</v>
      </c>
      <c r="I48" s="422">
        <f t="shared" si="11"/>
        <v>1212905141</v>
      </c>
      <c r="J48" s="511">
        <f t="shared" si="11"/>
        <v>1041233082</v>
      </c>
      <c r="K48" s="122">
        <f t="shared" si="11"/>
        <v>2043369903</v>
      </c>
      <c r="L48" s="8">
        <f t="shared" si="11"/>
        <v>3084602985</v>
      </c>
      <c r="M48" s="6">
        <f t="shared" si="11"/>
        <v>-4297508126</v>
      </c>
      <c r="N48" s="509" t="s">
        <v>1</v>
      </c>
      <c r="O48" s="510">
        <f t="shared" si="12"/>
        <v>0</v>
      </c>
      <c r="P48" s="511">
        <f t="shared" si="12"/>
        <v>1147968180</v>
      </c>
      <c r="Q48" s="512">
        <f t="shared" si="12"/>
        <v>8918481</v>
      </c>
      <c r="R48" s="122">
        <f t="shared" si="12"/>
        <v>56855052</v>
      </c>
      <c r="S48" s="422">
        <f t="shared" si="12"/>
        <v>1213741713</v>
      </c>
      <c r="T48" s="511">
        <f t="shared" si="12"/>
        <v>1041233082</v>
      </c>
      <c r="U48" s="122">
        <f t="shared" si="12"/>
        <v>-2526107877</v>
      </c>
      <c r="V48" s="8">
        <f t="shared" si="12"/>
        <v>-1484874795</v>
      </c>
      <c r="W48" s="6">
        <f t="shared" si="12"/>
        <v>271133082</v>
      </c>
      <c r="X48" s="509" t="s">
        <v>1</v>
      </c>
      <c r="Y48" s="514"/>
      <c r="Z48" s="514"/>
      <c r="AA48" s="514"/>
      <c r="AB48" s="514"/>
      <c r="AC48" s="514"/>
      <c r="AD48" s="510">
        <f t="shared" si="13"/>
        <v>-4583494052</v>
      </c>
      <c r="AE48" s="511">
        <f t="shared" si="13"/>
        <v>-2380540850</v>
      </c>
      <c r="AF48" s="512">
        <f t="shared" si="13"/>
        <v>8918481</v>
      </c>
      <c r="AG48" s="122">
        <f t="shared" si="13"/>
        <v>-44629974</v>
      </c>
      <c r="AH48" s="422">
        <f t="shared" si="13"/>
        <v>-2416252343</v>
      </c>
      <c r="AI48" s="511">
        <f t="shared" si="13"/>
        <v>87733086</v>
      </c>
      <c r="AJ48" s="122">
        <f t="shared" si="13"/>
        <v>-2526107877</v>
      </c>
      <c r="AK48" s="8">
        <f t="shared" si="13"/>
        <v>-2438374791</v>
      </c>
      <c r="AL48" s="6">
        <f t="shared" si="13"/>
        <v>271133082</v>
      </c>
    </row>
    <row r="49" spans="1:38">
      <c r="B49" s="508"/>
      <c r="C49" s="515"/>
      <c r="D49" s="516" t="s">
        <v>0</v>
      </c>
      <c r="E49" s="510">
        <f>+SUM(E7:E45)</f>
        <v>-15892</v>
      </c>
      <c r="F49" s="511">
        <f t="shared" ref="F49:M49" si="14">+SUM(F7:F45)</f>
        <v>658146464</v>
      </c>
      <c r="G49" s="512">
        <f t="shared" si="14"/>
        <v>-46664639</v>
      </c>
      <c r="H49" s="122">
        <f t="shared" si="14"/>
        <v>-18857999</v>
      </c>
      <c r="I49" s="422">
        <f t="shared" si="14"/>
        <v>592623826</v>
      </c>
      <c r="J49" s="511">
        <f t="shared" si="14"/>
        <v>898594382</v>
      </c>
      <c r="K49" s="122">
        <f t="shared" si="14"/>
        <v>1240745443</v>
      </c>
      <c r="L49" s="8">
        <f t="shared" si="14"/>
        <v>2139339825</v>
      </c>
      <c r="M49" s="6">
        <f t="shared" si="14"/>
        <v>-2731979543</v>
      </c>
      <c r="N49" s="516" t="s">
        <v>0</v>
      </c>
      <c r="O49" s="510">
        <f>+SUM(O7:O45)</f>
        <v>-15902</v>
      </c>
      <c r="P49" s="511">
        <f t="shared" ref="P49:W49" si="15">+SUM(P7:P45)</f>
        <v>670035650</v>
      </c>
      <c r="Q49" s="512">
        <f t="shared" si="15"/>
        <v>-43005818</v>
      </c>
      <c r="R49" s="122">
        <f t="shared" si="15"/>
        <v>-11532068</v>
      </c>
      <c r="S49" s="422">
        <f t="shared" si="15"/>
        <v>615497764</v>
      </c>
      <c r="T49" s="511">
        <f t="shared" si="15"/>
        <v>909138715</v>
      </c>
      <c r="U49" s="122">
        <f t="shared" si="15"/>
        <v>-1795785463</v>
      </c>
      <c r="V49" s="8">
        <f t="shared" si="15"/>
        <v>-886646748</v>
      </c>
      <c r="W49" s="6">
        <f t="shared" si="15"/>
        <v>271133082</v>
      </c>
      <c r="X49" s="516" t="s">
        <v>0</v>
      </c>
      <c r="Y49" s="517"/>
      <c r="Z49" s="517"/>
      <c r="AA49" s="517"/>
      <c r="AB49" s="517"/>
      <c r="AC49" s="517"/>
      <c r="AD49" s="510">
        <f>+SUM(AD7:AD45)</f>
        <v>-16531</v>
      </c>
      <c r="AE49" s="511">
        <f t="shared" ref="AE49:AL49" si="16">+SUM(AE7:AE45)</f>
        <v>901030065</v>
      </c>
      <c r="AF49" s="512">
        <f t="shared" si="16"/>
        <v>304487244</v>
      </c>
      <c r="AG49" s="122">
        <f t="shared" si="16"/>
        <v>369422303</v>
      </c>
      <c r="AH49" s="422">
        <f t="shared" si="16"/>
        <v>1574939612</v>
      </c>
      <c r="AI49" s="511">
        <f t="shared" si="16"/>
        <v>-50303133</v>
      </c>
      <c r="AJ49" s="122">
        <f t="shared" si="16"/>
        <v>-1795786092</v>
      </c>
      <c r="AK49" s="8">
        <f t="shared" si="16"/>
        <v>-1846089225</v>
      </c>
      <c r="AL49" s="6">
        <f t="shared" si="16"/>
        <v>271133082</v>
      </c>
    </row>
    <row r="50" spans="1:38" ht="13.5" customHeight="1">
      <c r="D50" s="518"/>
      <c r="E50" s="4">
        <f>E49-'[1]3条支出'!$E$42</f>
        <v>-42643685549</v>
      </c>
      <c r="F50" s="4"/>
      <c r="G50" s="4"/>
      <c r="H50" s="4"/>
      <c r="I50" s="4"/>
      <c r="J50" s="4"/>
      <c r="K50" s="4"/>
      <c r="L50" s="4"/>
      <c r="M50" s="4"/>
      <c r="O50" s="4">
        <f>+O49-'[1]3条支出'!$T$42</f>
        <v>-41815663360</v>
      </c>
      <c r="P50" s="4"/>
      <c r="Q50" s="4"/>
      <c r="R50" s="4"/>
      <c r="S50" s="4"/>
      <c r="T50" s="4"/>
      <c r="U50" s="4"/>
      <c r="V50" s="4"/>
      <c r="W50" s="4"/>
      <c r="AD50" s="4">
        <f>+AD49-'[1]3条支出'!$T$41</f>
        <v>-42028151466</v>
      </c>
      <c r="AE50" s="4"/>
      <c r="AF50" s="4"/>
      <c r="AG50" s="4"/>
      <c r="AH50" s="4"/>
      <c r="AI50" s="4"/>
      <c r="AJ50" s="4"/>
      <c r="AK50" s="4"/>
      <c r="AL50" s="4"/>
    </row>
    <row r="51" spans="1:38">
      <c r="D51" s="487"/>
      <c r="E51" s="4"/>
      <c r="F51" s="4"/>
      <c r="G51" s="4"/>
      <c r="H51" s="4"/>
      <c r="I51" s="4"/>
      <c r="J51" s="4"/>
      <c r="K51" s="4"/>
      <c r="L51" s="4"/>
      <c r="M51" s="4"/>
      <c r="O51" s="4"/>
      <c r="P51" s="4"/>
      <c r="Q51" s="4"/>
      <c r="R51" s="4"/>
      <c r="S51" s="4"/>
      <c r="T51" s="4"/>
      <c r="U51" s="4"/>
      <c r="V51" s="4"/>
      <c r="W51" s="4"/>
      <c r="X51" s="4"/>
      <c r="Y51" s="4"/>
      <c r="Z51" s="4"/>
      <c r="AA51" s="4"/>
      <c r="AB51" s="4"/>
      <c r="AC51" s="4"/>
      <c r="AD51" s="4"/>
      <c r="AE51" s="4"/>
      <c r="AF51" s="4"/>
      <c r="AG51" s="4"/>
      <c r="AH51" s="4"/>
      <c r="AI51" s="4"/>
      <c r="AJ51" s="4"/>
      <c r="AK51" s="4"/>
      <c r="AL51" s="4"/>
    </row>
    <row r="52" spans="1:38">
      <c r="D52" s="2" t="str">
        <f>+$D$1</f>
        <v>令和５年度決算　消費税算出資料</v>
      </c>
      <c r="N52" s="2" t="str">
        <f>+$D$1</f>
        <v>令和５年度決算　消費税算出資料</v>
      </c>
      <c r="X52" s="2" t="str">
        <f>+$D$1</f>
        <v>令和５年度決算　消費税算出資料</v>
      </c>
    </row>
    <row r="53" spans="1:38">
      <c r="D53" s="2" t="s">
        <v>100</v>
      </c>
      <c r="M53" s="53" t="str">
        <f>+IF(COUNTIF(M58:M96,0)=COUNT(M58:M96),"","↓エラーあり")</f>
        <v>↓エラーあり</v>
      </c>
      <c r="N53" s="2" t="s">
        <v>100</v>
      </c>
      <c r="W53" s="53" t="str">
        <f>+IF(COUNTIF(W58:W96,0)=COUNT(W58:W96),"","↓エラーあり")</f>
        <v/>
      </c>
      <c r="X53" s="2" t="s">
        <v>355</v>
      </c>
      <c r="AL53" s="53" t="str">
        <f>+IF(COUNTIF(AL58:AL96,0)=COUNT(AL58:AL96),"","↓エラーあり")</f>
        <v/>
      </c>
    </row>
    <row r="54" spans="1:38">
      <c r="B54" s="649"/>
      <c r="C54" s="650"/>
      <c r="D54" s="579" t="s">
        <v>95</v>
      </c>
      <c r="E54" s="634" t="s">
        <v>96</v>
      </c>
      <c r="F54" s="635"/>
      <c r="G54" s="635"/>
      <c r="H54" s="635"/>
      <c r="I54" s="635"/>
      <c r="J54" s="635"/>
      <c r="K54" s="635"/>
      <c r="L54" s="635"/>
      <c r="M54" s="636"/>
      <c r="N54" s="579" t="s">
        <v>95</v>
      </c>
      <c r="O54" s="634" t="s">
        <v>94</v>
      </c>
      <c r="P54" s="635"/>
      <c r="Q54" s="635"/>
      <c r="R54" s="635"/>
      <c r="S54" s="635"/>
      <c r="T54" s="635"/>
      <c r="U54" s="635"/>
      <c r="V54" s="635"/>
      <c r="W54" s="636"/>
      <c r="X54" s="579" t="s">
        <v>95</v>
      </c>
      <c r="Y54" s="488"/>
      <c r="Z54" s="488"/>
      <c r="AA54" s="488"/>
      <c r="AB54" s="488"/>
      <c r="AC54" s="488"/>
      <c r="AD54" s="634" t="s">
        <v>94</v>
      </c>
      <c r="AE54" s="635"/>
      <c r="AF54" s="635"/>
      <c r="AG54" s="635"/>
      <c r="AH54" s="635"/>
      <c r="AI54" s="635"/>
      <c r="AJ54" s="635"/>
      <c r="AK54" s="635"/>
      <c r="AL54" s="636"/>
    </row>
    <row r="55" spans="1:38">
      <c r="B55" s="651"/>
      <c r="C55" s="648"/>
      <c r="D55" s="580"/>
      <c r="E55" s="579" t="s">
        <v>90</v>
      </c>
      <c r="F55" s="634" t="s">
        <v>86</v>
      </c>
      <c r="G55" s="635"/>
      <c r="H55" s="635"/>
      <c r="I55" s="636"/>
      <c r="J55" s="634" t="s">
        <v>85</v>
      </c>
      <c r="K55" s="635"/>
      <c r="L55" s="636"/>
      <c r="M55" s="579" t="s">
        <v>83</v>
      </c>
      <c r="N55" s="580"/>
      <c r="O55" s="579" t="s">
        <v>89</v>
      </c>
      <c r="P55" s="634" t="s">
        <v>86</v>
      </c>
      <c r="Q55" s="635"/>
      <c r="R55" s="635"/>
      <c r="S55" s="636"/>
      <c r="T55" s="634" t="s">
        <v>85</v>
      </c>
      <c r="U55" s="635"/>
      <c r="V55" s="636"/>
      <c r="W55" s="579" t="s">
        <v>83</v>
      </c>
      <c r="X55" s="580"/>
      <c r="Y55" s="478"/>
      <c r="Z55" s="478"/>
      <c r="AA55" s="478"/>
      <c r="AB55" s="478"/>
      <c r="AC55" s="478"/>
      <c r="AD55" s="579" t="s">
        <v>89</v>
      </c>
      <c r="AE55" s="634" t="s">
        <v>86</v>
      </c>
      <c r="AF55" s="635"/>
      <c r="AG55" s="635"/>
      <c r="AH55" s="636"/>
      <c r="AI55" s="634" t="s">
        <v>85</v>
      </c>
      <c r="AJ55" s="635"/>
      <c r="AK55" s="636"/>
      <c r="AL55" s="579" t="s">
        <v>83</v>
      </c>
    </row>
    <row r="56" spans="1:38">
      <c r="A56" s="640"/>
      <c r="B56" s="651"/>
      <c r="C56" s="648"/>
      <c r="D56" s="580"/>
      <c r="E56" s="580"/>
      <c r="F56" s="489" t="s">
        <v>82</v>
      </c>
      <c r="G56" s="490" t="s">
        <v>82</v>
      </c>
      <c r="H56" s="491" t="s">
        <v>80</v>
      </c>
      <c r="I56" s="482" t="s">
        <v>81</v>
      </c>
      <c r="J56" s="489" t="s">
        <v>82</v>
      </c>
      <c r="K56" s="491" t="s">
        <v>80</v>
      </c>
      <c r="L56" s="111" t="s">
        <v>81</v>
      </c>
      <c r="M56" s="580"/>
      <c r="N56" s="580"/>
      <c r="O56" s="580"/>
      <c r="P56" s="489" t="s">
        <v>82</v>
      </c>
      <c r="Q56" s="490" t="s">
        <v>82</v>
      </c>
      <c r="R56" s="491" t="s">
        <v>80</v>
      </c>
      <c r="S56" s="482" t="s">
        <v>81</v>
      </c>
      <c r="T56" s="489" t="s">
        <v>82</v>
      </c>
      <c r="U56" s="491" t="s">
        <v>80</v>
      </c>
      <c r="V56" s="111" t="s">
        <v>81</v>
      </c>
      <c r="W56" s="580"/>
      <c r="X56" s="580"/>
      <c r="Y56" s="478"/>
      <c r="Z56" s="478"/>
      <c r="AA56" s="478"/>
      <c r="AB56" s="478"/>
      <c r="AC56" s="478"/>
      <c r="AD56" s="580"/>
      <c r="AE56" s="489" t="s">
        <v>82</v>
      </c>
      <c r="AF56" s="490" t="s">
        <v>82</v>
      </c>
      <c r="AG56" s="491" t="s">
        <v>80</v>
      </c>
      <c r="AH56" s="482" t="s">
        <v>81</v>
      </c>
      <c r="AI56" s="489" t="s">
        <v>82</v>
      </c>
      <c r="AJ56" s="491" t="s">
        <v>80</v>
      </c>
      <c r="AK56" s="111" t="s">
        <v>81</v>
      </c>
      <c r="AL56" s="580"/>
    </row>
    <row r="57" spans="1:38" s="498" customFormat="1">
      <c r="A57" s="640"/>
      <c r="B57" s="652"/>
      <c r="C57" s="653"/>
      <c r="D57" s="580"/>
      <c r="E57" s="580"/>
      <c r="F57" s="493" t="s">
        <v>78</v>
      </c>
      <c r="G57" s="494" t="s">
        <v>79</v>
      </c>
      <c r="H57" s="495" t="s">
        <v>84</v>
      </c>
      <c r="I57" s="401"/>
      <c r="J57" s="493" t="s">
        <v>78</v>
      </c>
      <c r="K57" s="496" t="s">
        <v>78</v>
      </c>
      <c r="L57" s="107"/>
      <c r="M57" s="580"/>
      <c r="N57" s="580"/>
      <c r="O57" s="580"/>
      <c r="P57" s="493" t="s">
        <v>78</v>
      </c>
      <c r="Q57" s="494" t="s">
        <v>79</v>
      </c>
      <c r="R57" s="495" t="s">
        <v>84</v>
      </c>
      <c r="S57" s="401"/>
      <c r="T57" s="493" t="s">
        <v>78</v>
      </c>
      <c r="U57" s="496" t="s">
        <v>78</v>
      </c>
      <c r="V57" s="107"/>
      <c r="W57" s="580"/>
      <c r="X57" s="581"/>
      <c r="Y57" s="479"/>
      <c r="Z57" s="479"/>
      <c r="AA57" s="479"/>
      <c r="AB57" s="479"/>
      <c r="AC57" s="479"/>
      <c r="AD57" s="581"/>
      <c r="AE57" s="493" t="s">
        <v>78</v>
      </c>
      <c r="AF57" s="494" t="s">
        <v>79</v>
      </c>
      <c r="AG57" s="495" t="s">
        <v>84</v>
      </c>
      <c r="AH57" s="401"/>
      <c r="AI57" s="493" t="s">
        <v>78</v>
      </c>
      <c r="AJ57" s="496" t="s">
        <v>78</v>
      </c>
      <c r="AK57" s="107"/>
      <c r="AL57" s="581"/>
    </row>
    <row r="58" spans="1:38">
      <c r="A58" s="35"/>
      <c r="B58" s="105" t="s">
        <v>4</v>
      </c>
      <c r="C58" s="104" t="s">
        <v>21</v>
      </c>
      <c r="D58" s="99" t="s">
        <v>57</v>
      </c>
      <c r="E58" s="100">
        <f>+'雨汚水(共通按分後)'!E58-雨汚水!E58</f>
        <v>0</v>
      </c>
      <c r="F58" s="97">
        <f>+'雨汚水(共通按分後)'!F58-雨汚水!F58</f>
        <v>0</v>
      </c>
      <c r="G58" s="134">
        <f>+'雨汚水(共通按分後)'!G58-雨汚水!G58</f>
        <v>0</v>
      </c>
      <c r="H58" s="98">
        <f>+'雨汚水(共通按分後)'!H58-雨汚水!H58</f>
        <v>0</v>
      </c>
      <c r="I58" s="101">
        <f>+'雨汚水(共通按分後)'!I58-雨汚水!I58</f>
        <v>0</v>
      </c>
      <c r="J58" s="97">
        <f>+'雨汚水(共通按分後)'!J58-雨汚水!J58</f>
        <v>0</v>
      </c>
      <c r="K58" s="98">
        <f>+'雨汚水(共通按分後)'!K58-雨汚水!K58</f>
        <v>0</v>
      </c>
      <c r="L58" s="95">
        <f>+'雨汚水(共通按分後)'!L58-雨汚水!L58</f>
        <v>0</v>
      </c>
      <c r="M58" s="94">
        <f>+'雨汚水(共通按分後)'!M58-雨汚水!M58</f>
        <v>0</v>
      </c>
      <c r="N58" s="99" t="s">
        <v>57</v>
      </c>
      <c r="O58" s="100">
        <f>+'雨汚水(共通按分後)'!O58-雨汚水!O58</f>
        <v>0</v>
      </c>
      <c r="P58" s="97">
        <f>+'雨汚水(共通按分後)'!P58-雨汚水!P58</f>
        <v>0</v>
      </c>
      <c r="Q58" s="134">
        <f>+'雨汚水(共通按分後)'!Q58-雨汚水!Q58</f>
        <v>0</v>
      </c>
      <c r="R58" s="98">
        <f>+'雨汚水(共通按分後)'!R58-雨汚水!R58</f>
        <v>0</v>
      </c>
      <c r="S58" s="101">
        <f>+'雨汚水(共通按分後)'!S58-雨汚水!S58</f>
        <v>0</v>
      </c>
      <c r="T58" s="97">
        <f>+'雨汚水(共通按分後)'!T58-雨汚水!T58</f>
        <v>0</v>
      </c>
      <c r="U58" s="98">
        <f>+'雨汚水(共通按分後)'!U58-雨汚水!U58</f>
        <v>0</v>
      </c>
      <c r="V58" s="95">
        <f>+'雨汚水(共通按分後)'!V58-雨汚水!V58</f>
        <v>0</v>
      </c>
      <c r="W58" s="94">
        <f>+'雨汚水(共通按分後)'!W58-雨汚水!W58</f>
        <v>0</v>
      </c>
      <c r="X58" s="99" t="s">
        <v>57</v>
      </c>
      <c r="Y58" s="99"/>
      <c r="Z58" s="99"/>
      <c r="AA58" s="99"/>
      <c r="AB58" s="99"/>
      <c r="AC58" s="99"/>
      <c r="AD58" s="100">
        <f>+'雨汚水(共通按分後)'!AD58-雨汚水!AD58</f>
        <v>0</v>
      </c>
      <c r="AE58" s="97">
        <f>+'雨汚水(共通按分後)'!AE58-雨汚水!AE58</f>
        <v>0</v>
      </c>
      <c r="AF58" s="134">
        <f>+'雨汚水(共通按分後)'!AF58-雨汚水!AF58</f>
        <v>0</v>
      </c>
      <c r="AG58" s="98">
        <f>+'雨汚水(共通按分後)'!AG58-雨汚水!AG58</f>
        <v>0</v>
      </c>
      <c r="AH58" s="101">
        <f>+'雨汚水(共通按分後)'!AH58-雨汚水!AH58</f>
        <v>0</v>
      </c>
      <c r="AI58" s="97">
        <f>+'雨汚水(共通按分後)'!AI58-雨汚水!AI58</f>
        <v>0</v>
      </c>
      <c r="AJ58" s="98">
        <f>+'雨汚水(共通按分後)'!AJ58-雨汚水!AJ58</f>
        <v>0</v>
      </c>
      <c r="AK58" s="95">
        <f>+'雨汚水(共通按分後)'!AK58-雨汚水!AK58</f>
        <v>0</v>
      </c>
      <c r="AL58" s="94">
        <f>+'雨汚水(共通按分後)'!AL58-雨汚水!AL58</f>
        <v>0</v>
      </c>
    </row>
    <row r="59" spans="1:38">
      <c r="A59" s="35"/>
      <c r="B59" s="45"/>
      <c r="C59" s="44"/>
      <c r="D59" s="41"/>
      <c r="E59" s="51">
        <f>+'雨汚水(共通按分後)'!E59-雨汚水!E59</f>
        <v>0</v>
      </c>
      <c r="F59" s="39">
        <f>+'雨汚水(共通按分後)'!F59-雨汚水!F59</f>
        <v>0</v>
      </c>
      <c r="G59" s="390">
        <f>+'雨汚水(共通按分後)'!G59-雨汚水!G59</f>
        <v>0</v>
      </c>
      <c r="H59" s="38">
        <f>+'雨汚水(共通按分後)'!H59-雨汚水!H59</f>
        <v>0</v>
      </c>
      <c r="I59" s="40">
        <f>+'雨汚水(共通按分後)'!I59-雨汚水!I59</f>
        <v>0</v>
      </c>
      <c r="J59" s="39">
        <f>+'雨汚水(共通按分後)'!J59-雨汚水!J59</f>
        <v>0</v>
      </c>
      <c r="K59" s="38">
        <f>+'雨汚水(共通按分後)'!K59-雨汚水!K59</f>
        <v>0</v>
      </c>
      <c r="L59" s="37">
        <f>+'雨汚水(共通按分後)'!L59-雨汚水!L59</f>
        <v>0</v>
      </c>
      <c r="M59" s="36">
        <f>+'雨汚水(共通按分後)'!M59-雨汚水!M59</f>
        <v>0</v>
      </c>
      <c r="N59" s="41"/>
      <c r="O59" s="51">
        <f>+'雨汚水(共通按分後)'!O59-雨汚水!O59</f>
        <v>0</v>
      </c>
      <c r="P59" s="39">
        <f>+'雨汚水(共通按分後)'!P59-雨汚水!P59</f>
        <v>0</v>
      </c>
      <c r="Q59" s="390">
        <f>+'雨汚水(共通按分後)'!Q59-雨汚水!Q59</f>
        <v>0</v>
      </c>
      <c r="R59" s="38">
        <f>+'雨汚水(共通按分後)'!R59-雨汚水!R59</f>
        <v>0</v>
      </c>
      <c r="S59" s="40">
        <f>+'雨汚水(共通按分後)'!S59-雨汚水!S59</f>
        <v>0</v>
      </c>
      <c r="T59" s="39">
        <f>+'雨汚水(共通按分後)'!T59-雨汚水!T59</f>
        <v>0</v>
      </c>
      <c r="U59" s="38">
        <f>+'雨汚水(共通按分後)'!U59-雨汚水!U59</f>
        <v>0</v>
      </c>
      <c r="V59" s="37">
        <f>+'雨汚水(共通按分後)'!V59-雨汚水!V59</f>
        <v>0</v>
      </c>
      <c r="W59" s="36">
        <f>+'雨汚水(共通按分後)'!W59-雨汚水!W59</f>
        <v>0</v>
      </c>
      <c r="X59" s="41"/>
      <c r="Y59" s="41"/>
      <c r="Z59" s="41"/>
      <c r="AA59" s="41"/>
      <c r="AB59" s="41"/>
      <c r="AC59" s="41"/>
      <c r="AD59" s="51">
        <f>+'雨汚水(共通按分後)'!AD59-雨汚水!AD59</f>
        <v>0</v>
      </c>
      <c r="AE59" s="39">
        <f>+'雨汚水(共通按分後)'!AE59-雨汚水!AE59</f>
        <v>0</v>
      </c>
      <c r="AF59" s="390">
        <f>+'雨汚水(共通按分後)'!AF59-雨汚水!AF59</f>
        <v>0</v>
      </c>
      <c r="AG59" s="38">
        <f>+'雨汚水(共通按分後)'!AG59-雨汚水!AG59</f>
        <v>0</v>
      </c>
      <c r="AH59" s="40">
        <f>+'雨汚水(共通按分後)'!AH59-雨汚水!AH59</f>
        <v>0</v>
      </c>
      <c r="AI59" s="39">
        <f>+'雨汚水(共通按分後)'!AI59-雨汚水!AI59</f>
        <v>0</v>
      </c>
      <c r="AJ59" s="38">
        <f>+'雨汚水(共通按分後)'!AJ59-雨汚水!AJ59</f>
        <v>0</v>
      </c>
      <c r="AK59" s="37">
        <f>+'雨汚水(共通按分後)'!AK59-雨汚水!AK59</f>
        <v>0</v>
      </c>
      <c r="AL59" s="36">
        <f>+'雨汚水(共通按分後)'!AL59-雨汚水!AL59</f>
        <v>0</v>
      </c>
    </row>
    <row r="60" spans="1:38">
      <c r="A60" s="35"/>
      <c r="B60" s="45" t="s">
        <v>4</v>
      </c>
      <c r="C60" s="44" t="s">
        <v>21</v>
      </c>
      <c r="D60" s="41" t="s">
        <v>66</v>
      </c>
      <c r="E60" s="51">
        <f>+'雨汚水(共通按分後)'!E60-雨汚水!E60</f>
        <v>0</v>
      </c>
      <c r="F60" s="39">
        <f>+'雨汚水(共通按分後)'!F60-雨汚水!F60</f>
        <v>0</v>
      </c>
      <c r="G60" s="390">
        <f>+'雨汚水(共通按分後)'!G60-雨汚水!G60</f>
        <v>0</v>
      </c>
      <c r="H60" s="38">
        <f>+'雨汚水(共通按分後)'!H60-雨汚水!H60</f>
        <v>0</v>
      </c>
      <c r="I60" s="40">
        <f>+'雨汚水(共通按分後)'!I60-雨汚水!I60</f>
        <v>0</v>
      </c>
      <c r="J60" s="39">
        <f>+'雨汚水(共通按分後)'!J60-雨汚水!J60</f>
        <v>0</v>
      </c>
      <c r="K60" s="38">
        <f>+'雨汚水(共通按分後)'!K60-雨汚水!K60</f>
        <v>0</v>
      </c>
      <c r="L60" s="37">
        <f>+'雨汚水(共通按分後)'!L60-雨汚水!L60</f>
        <v>0</v>
      </c>
      <c r="M60" s="36">
        <f>+'雨汚水(共通按分後)'!M60-雨汚水!M60</f>
        <v>0</v>
      </c>
      <c r="N60" s="41" t="s">
        <v>66</v>
      </c>
      <c r="O60" s="51">
        <f>+'雨汚水(共通按分後)'!O60-雨汚水!O60</f>
        <v>0</v>
      </c>
      <c r="P60" s="39">
        <f>+'雨汚水(共通按分後)'!P60-雨汚水!P60</f>
        <v>0</v>
      </c>
      <c r="Q60" s="390">
        <f>+'雨汚水(共通按分後)'!Q60-雨汚水!Q60</f>
        <v>0</v>
      </c>
      <c r="R60" s="38">
        <f>+'雨汚水(共通按分後)'!R60-雨汚水!R60</f>
        <v>0</v>
      </c>
      <c r="S60" s="40">
        <f>+'雨汚水(共通按分後)'!S60-雨汚水!S60</f>
        <v>0</v>
      </c>
      <c r="T60" s="39">
        <f>+'雨汚水(共通按分後)'!T60-雨汚水!T60</f>
        <v>0</v>
      </c>
      <c r="U60" s="38">
        <f>+'雨汚水(共通按分後)'!U60-雨汚水!U60</f>
        <v>0</v>
      </c>
      <c r="V60" s="37">
        <f>+'雨汚水(共通按分後)'!V60-雨汚水!V60</f>
        <v>0</v>
      </c>
      <c r="W60" s="36">
        <f>+'雨汚水(共通按分後)'!W60-雨汚水!W60</f>
        <v>0</v>
      </c>
      <c r="X60" s="41" t="s">
        <v>66</v>
      </c>
      <c r="Y60" s="41"/>
      <c r="Z60" s="41"/>
      <c r="AA60" s="41"/>
      <c r="AB60" s="41"/>
      <c r="AC60" s="41"/>
      <c r="AD60" s="51">
        <f>+'雨汚水(共通按分後)'!AD60-雨汚水!AD60</f>
        <v>0</v>
      </c>
      <c r="AE60" s="39">
        <f>+'雨汚水(共通按分後)'!AE60-雨汚水!AE60</f>
        <v>0</v>
      </c>
      <c r="AF60" s="390">
        <f>+'雨汚水(共通按分後)'!AF60-雨汚水!AF60</f>
        <v>0</v>
      </c>
      <c r="AG60" s="38">
        <f>+'雨汚水(共通按分後)'!AG60-雨汚水!AG60</f>
        <v>0</v>
      </c>
      <c r="AH60" s="40">
        <f>+'雨汚水(共通按分後)'!AH60-雨汚水!AH60</f>
        <v>0</v>
      </c>
      <c r="AI60" s="39">
        <f>+'雨汚水(共通按分後)'!AI60-雨汚水!AI60</f>
        <v>0</v>
      </c>
      <c r="AJ60" s="38">
        <f>+'雨汚水(共通按分後)'!AJ60-雨汚水!AJ60</f>
        <v>0</v>
      </c>
      <c r="AK60" s="37">
        <f>+'雨汚水(共通按分後)'!AK60-雨汚水!AK60</f>
        <v>0</v>
      </c>
      <c r="AL60" s="36">
        <f>+'雨汚水(共通按分後)'!AL60-雨汚水!AL60</f>
        <v>0</v>
      </c>
    </row>
    <row r="61" spans="1:38">
      <c r="A61" s="35"/>
      <c r="B61" s="45" t="s">
        <v>4</v>
      </c>
      <c r="C61" s="44" t="s">
        <v>21</v>
      </c>
      <c r="D61" s="41" t="s">
        <v>68</v>
      </c>
      <c r="E61" s="51">
        <f>+'雨汚水(共通按分後)'!E61-雨汚水!E61</f>
        <v>0</v>
      </c>
      <c r="F61" s="39">
        <f>+'雨汚水(共通按分後)'!F61-雨汚水!F61</f>
        <v>0</v>
      </c>
      <c r="G61" s="390">
        <f>+'雨汚水(共通按分後)'!G61-雨汚水!G61</f>
        <v>0</v>
      </c>
      <c r="H61" s="38">
        <f>+'雨汚水(共通按分後)'!H61-雨汚水!H61</f>
        <v>0</v>
      </c>
      <c r="I61" s="40">
        <f>+'雨汚水(共通按分後)'!I61-雨汚水!I61</f>
        <v>0</v>
      </c>
      <c r="J61" s="39">
        <f>+'雨汚水(共通按分後)'!J61-雨汚水!J61</f>
        <v>0</v>
      </c>
      <c r="K61" s="38">
        <f>+'雨汚水(共通按分後)'!K61-雨汚水!K61</f>
        <v>0</v>
      </c>
      <c r="L61" s="37">
        <f>+'雨汚水(共通按分後)'!L61-雨汚水!L61</f>
        <v>0</v>
      </c>
      <c r="M61" s="36">
        <f>+'雨汚水(共通按分後)'!M61-雨汚水!M61</f>
        <v>0</v>
      </c>
      <c r="N61" s="41" t="s">
        <v>68</v>
      </c>
      <c r="O61" s="51">
        <f>+'雨汚水(共通按分後)'!O61-雨汚水!O61</f>
        <v>0</v>
      </c>
      <c r="P61" s="39">
        <f>+'雨汚水(共通按分後)'!P61-雨汚水!P61</f>
        <v>0</v>
      </c>
      <c r="Q61" s="390">
        <f>+'雨汚水(共通按分後)'!Q61-雨汚水!Q61</f>
        <v>0</v>
      </c>
      <c r="R61" s="38">
        <f>+'雨汚水(共通按分後)'!R61-雨汚水!R61</f>
        <v>0</v>
      </c>
      <c r="S61" s="40">
        <f>+'雨汚水(共通按分後)'!S61-雨汚水!S61</f>
        <v>0</v>
      </c>
      <c r="T61" s="39">
        <f>+'雨汚水(共通按分後)'!T61-雨汚水!T61</f>
        <v>0</v>
      </c>
      <c r="U61" s="38">
        <f>+'雨汚水(共通按分後)'!U61-雨汚水!U61</f>
        <v>0</v>
      </c>
      <c r="V61" s="37">
        <f>+'雨汚水(共通按分後)'!V61-雨汚水!V61</f>
        <v>0</v>
      </c>
      <c r="W61" s="36">
        <f>+'雨汚水(共通按分後)'!W61-雨汚水!W61</f>
        <v>0</v>
      </c>
      <c r="X61" s="41" t="s">
        <v>68</v>
      </c>
      <c r="Y61" s="41"/>
      <c r="Z61" s="41"/>
      <c r="AA61" s="41"/>
      <c r="AB61" s="41"/>
      <c r="AC61" s="41"/>
      <c r="AD61" s="51">
        <f>+'雨汚水(共通按分後)'!AD61-雨汚水!AD61</f>
        <v>0</v>
      </c>
      <c r="AE61" s="39">
        <f>+'雨汚水(共通按分後)'!AE61-雨汚水!AE61</f>
        <v>0</v>
      </c>
      <c r="AF61" s="390">
        <f>+'雨汚水(共通按分後)'!AF61-雨汚水!AF61</f>
        <v>0</v>
      </c>
      <c r="AG61" s="38">
        <f>+'雨汚水(共通按分後)'!AG61-雨汚水!AG61</f>
        <v>0</v>
      </c>
      <c r="AH61" s="40">
        <f>+'雨汚水(共通按分後)'!AH61-雨汚水!AH61</f>
        <v>0</v>
      </c>
      <c r="AI61" s="39">
        <f>+'雨汚水(共通按分後)'!AI61-雨汚水!AI61</f>
        <v>0</v>
      </c>
      <c r="AJ61" s="38">
        <f>+'雨汚水(共通按分後)'!AJ61-雨汚水!AJ61</f>
        <v>0</v>
      </c>
      <c r="AK61" s="37">
        <f>+'雨汚水(共通按分後)'!AK61-雨汚水!AK61</f>
        <v>0</v>
      </c>
      <c r="AL61" s="36">
        <f>+'雨汚水(共通按分後)'!AL61-雨汚水!AL61</f>
        <v>0</v>
      </c>
    </row>
    <row r="62" spans="1:38">
      <c r="A62" s="35"/>
      <c r="B62" s="45" t="s">
        <v>4</v>
      </c>
      <c r="C62" s="44" t="s">
        <v>21</v>
      </c>
      <c r="D62" s="41" t="s">
        <v>73</v>
      </c>
      <c r="E62" s="51">
        <f>+'雨汚水(共通按分後)'!E62-雨汚水!E62</f>
        <v>0</v>
      </c>
      <c r="F62" s="39">
        <f>+'雨汚水(共通按分後)'!F62-雨汚水!F62</f>
        <v>0</v>
      </c>
      <c r="G62" s="390">
        <f>+'雨汚水(共通按分後)'!G62-雨汚水!G62</f>
        <v>0</v>
      </c>
      <c r="H62" s="38">
        <f>+'雨汚水(共通按分後)'!H62-雨汚水!H62</f>
        <v>0</v>
      </c>
      <c r="I62" s="40">
        <f>+'雨汚水(共通按分後)'!I62-雨汚水!I62</f>
        <v>0</v>
      </c>
      <c r="J62" s="39">
        <f>+'雨汚水(共通按分後)'!J62-雨汚水!J62</f>
        <v>0</v>
      </c>
      <c r="K62" s="38">
        <f>+'雨汚水(共通按分後)'!K62-雨汚水!K62</f>
        <v>0</v>
      </c>
      <c r="L62" s="37">
        <f>+'雨汚水(共通按分後)'!L62-雨汚水!L62</f>
        <v>0</v>
      </c>
      <c r="M62" s="36">
        <f>+'雨汚水(共通按分後)'!M62-雨汚水!M62</f>
        <v>0</v>
      </c>
      <c r="N62" s="41" t="s">
        <v>73</v>
      </c>
      <c r="O62" s="51">
        <f>+'雨汚水(共通按分後)'!O62-雨汚水!O62</f>
        <v>0</v>
      </c>
      <c r="P62" s="39">
        <f>+'雨汚水(共通按分後)'!P62-雨汚水!P62</f>
        <v>0</v>
      </c>
      <c r="Q62" s="390">
        <f>+'雨汚水(共通按分後)'!Q62-雨汚水!Q62</f>
        <v>0</v>
      </c>
      <c r="R62" s="38">
        <f>+'雨汚水(共通按分後)'!R62-雨汚水!R62</f>
        <v>0</v>
      </c>
      <c r="S62" s="40">
        <f>+'雨汚水(共通按分後)'!S62-雨汚水!S62</f>
        <v>0</v>
      </c>
      <c r="T62" s="39">
        <f>+'雨汚水(共通按分後)'!T62-雨汚水!T62</f>
        <v>0</v>
      </c>
      <c r="U62" s="38">
        <f>+'雨汚水(共通按分後)'!U62-雨汚水!U62</f>
        <v>0</v>
      </c>
      <c r="V62" s="37">
        <f>+'雨汚水(共通按分後)'!V62-雨汚水!V62</f>
        <v>0</v>
      </c>
      <c r="W62" s="36">
        <f>+'雨汚水(共通按分後)'!W62-雨汚水!W62</f>
        <v>0</v>
      </c>
      <c r="X62" s="41" t="s">
        <v>73</v>
      </c>
      <c r="Y62" s="41"/>
      <c r="Z62" s="41"/>
      <c r="AA62" s="41"/>
      <c r="AB62" s="41"/>
      <c r="AC62" s="41"/>
      <c r="AD62" s="51">
        <f>+'雨汚水(共通按分後)'!AD62-雨汚水!AD62</f>
        <v>0</v>
      </c>
      <c r="AE62" s="39">
        <f>+'雨汚水(共通按分後)'!AE62-雨汚水!AE62</f>
        <v>0</v>
      </c>
      <c r="AF62" s="390">
        <f>+'雨汚水(共通按分後)'!AF62-雨汚水!AF62</f>
        <v>0</v>
      </c>
      <c r="AG62" s="38">
        <f>+'雨汚水(共通按分後)'!AG62-雨汚水!AG62</f>
        <v>0</v>
      </c>
      <c r="AH62" s="40">
        <f>+'雨汚水(共通按分後)'!AH62-雨汚水!AH62</f>
        <v>0</v>
      </c>
      <c r="AI62" s="39">
        <f>+'雨汚水(共通按分後)'!AI62-雨汚水!AI62</f>
        <v>0</v>
      </c>
      <c r="AJ62" s="38">
        <f>+'雨汚水(共通按分後)'!AJ62-雨汚水!AJ62</f>
        <v>0</v>
      </c>
      <c r="AK62" s="37">
        <f>+'雨汚水(共通按分後)'!AK62-雨汚水!AK62</f>
        <v>0</v>
      </c>
      <c r="AL62" s="36">
        <f>+'雨汚水(共通按分後)'!AL62-雨汚水!AL62</f>
        <v>0</v>
      </c>
    </row>
    <row r="63" spans="1:38">
      <c r="A63" s="35"/>
      <c r="B63" s="45" t="s">
        <v>4</v>
      </c>
      <c r="C63" s="44" t="s">
        <v>21</v>
      </c>
      <c r="D63" s="85" t="s">
        <v>76</v>
      </c>
      <c r="E63" s="51">
        <f>+'雨汚水(共通按分後)'!E63-雨汚水!E63</f>
        <v>0</v>
      </c>
      <c r="F63" s="39">
        <f>+'雨汚水(共通按分後)'!F63-雨汚水!F63</f>
        <v>0</v>
      </c>
      <c r="G63" s="390">
        <f>+'雨汚水(共通按分後)'!G63-雨汚水!G63</f>
        <v>0</v>
      </c>
      <c r="H63" s="38">
        <f>+'雨汚水(共通按分後)'!H63-雨汚水!H63</f>
        <v>0</v>
      </c>
      <c r="I63" s="40">
        <f>+'雨汚水(共通按分後)'!I63-雨汚水!I63</f>
        <v>0</v>
      </c>
      <c r="J63" s="39">
        <f>+'雨汚水(共通按分後)'!J63-雨汚水!J63</f>
        <v>0</v>
      </c>
      <c r="K63" s="38">
        <f>+'雨汚水(共通按分後)'!K63-雨汚水!K63</f>
        <v>0</v>
      </c>
      <c r="L63" s="37">
        <f>+'雨汚水(共通按分後)'!L63-雨汚水!L63</f>
        <v>0</v>
      </c>
      <c r="M63" s="36">
        <f>+'雨汚水(共通按分後)'!M63-雨汚水!M63</f>
        <v>0</v>
      </c>
      <c r="N63" s="85" t="s">
        <v>76</v>
      </c>
      <c r="O63" s="51">
        <f>+'雨汚水(共通按分後)'!O63-雨汚水!O63</f>
        <v>0</v>
      </c>
      <c r="P63" s="39">
        <f>+'雨汚水(共通按分後)'!P63-雨汚水!P63</f>
        <v>0</v>
      </c>
      <c r="Q63" s="390">
        <f>+'雨汚水(共通按分後)'!Q63-雨汚水!Q63</f>
        <v>0</v>
      </c>
      <c r="R63" s="38">
        <f>+'雨汚水(共通按分後)'!R63-雨汚水!R63</f>
        <v>0</v>
      </c>
      <c r="S63" s="40">
        <f>+'雨汚水(共通按分後)'!S63-雨汚水!S63</f>
        <v>0</v>
      </c>
      <c r="T63" s="39">
        <f>+'雨汚水(共通按分後)'!T63-雨汚水!T63</f>
        <v>0</v>
      </c>
      <c r="U63" s="38">
        <f>+'雨汚水(共通按分後)'!U63-雨汚水!U63</f>
        <v>0</v>
      </c>
      <c r="V63" s="37">
        <f>+'雨汚水(共通按分後)'!V63-雨汚水!V63</f>
        <v>0</v>
      </c>
      <c r="W63" s="36">
        <f>+'雨汚水(共通按分後)'!W63-雨汚水!W63</f>
        <v>0</v>
      </c>
      <c r="X63" s="41" t="s">
        <v>76</v>
      </c>
      <c r="Y63" s="41"/>
      <c r="Z63" s="41"/>
      <c r="AA63" s="41"/>
      <c r="AB63" s="41"/>
      <c r="AC63" s="41"/>
      <c r="AD63" s="51">
        <f>+'雨汚水(共通按分後)'!AD63-雨汚水!AD63</f>
        <v>0</v>
      </c>
      <c r="AE63" s="39">
        <f>+'雨汚水(共通按分後)'!AE63-雨汚水!AE63</f>
        <v>0</v>
      </c>
      <c r="AF63" s="390">
        <f>+'雨汚水(共通按分後)'!AF63-雨汚水!AF63</f>
        <v>0</v>
      </c>
      <c r="AG63" s="38">
        <f>+'雨汚水(共通按分後)'!AG63-雨汚水!AG63</f>
        <v>0</v>
      </c>
      <c r="AH63" s="40">
        <f>+'雨汚水(共通按分後)'!AH63-雨汚水!AH63</f>
        <v>0</v>
      </c>
      <c r="AI63" s="39">
        <f>+'雨汚水(共通按分後)'!AI63-雨汚水!AI63</f>
        <v>0</v>
      </c>
      <c r="AJ63" s="38">
        <f>+'雨汚水(共通按分後)'!AJ63-雨汚水!AJ63</f>
        <v>0</v>
      </c>
      <c r="AK63" s="37">
        <f>+'雨汚水(共通按分後)'!AK63-雨汚水!AK63</f>
        <v>0</v>
      </c>
      <c r="AL63" s="36">
        <f>+'雨汚水(共通按分後)'!AL63-雨汚水!AL63</f>
        <v>0</v>
      </c>
    </row>
    <row r="64" spans="1:38">
      <c r="A64" s="35"/>
      <c r="B64" s="45" t="s">
        <v>4</v>
      </c>
      <c r="C64" s="44" t="s">
        <v>21</v>
      </c>
      <c r="D64" s="41" t="s">
        <v>64</v>
      </c>
      <c r="E64" s="51">
        <f>+'雨汚水(共通按分後)'!E64-雨汚水!E64</f>
        <v>0</v>
      </c>
      <c r="F64" s="39">
        <f>+'雨汚水(共通按分後)'!F64-雨汚水!F64</f>
        <v>0</v>
      </c>
      <c r="G64" s="390">
        <f>+'雨汚水(共通按分後)'!G64-雨汚水!G64</f>
        <v>0</v>
      </c>
      <c r="H64" s="38">
        <f>+'雨汚水(共通按分後)'!H64-雨汚水!H64</f>
        <v>0</v>
      </c>
      <c r="I64" s="40">
        <f>+'雨汚水(共通按分後)'!I64-雨汚水!I64</f>
        <v>0</v>
      </c>
      <c r="J64" s="39">
        <f>+'雨汚水(共通按分後)'!J64-雨汚水!J64</f>
        <v>0</v>
      </c>
      <c r="K64" s="38">
        <f>+'雨汚水(共通按分後)'!K64-雨汚水!K64</f>
        <v>0</v>
      </c>
      <c r="L64" s="37">
        <f>+'雨汚水(共通按分後)'!L64-雨汚水!L64</f>
        <v>0</v>
      </c>
      <c r="M64" s="36">
        <f>+'雨汚水(共通按分後)'!M64-雨汚水!M64</f>
        <v>0</v>
      </c>
      <c r="N64" s="41" t="s">
        <v>64</v>
      </c>
      <c r="O64" s="51">
        <f>+'雨汚水(共通按分後)'!O64-雨汚水!O64</f>
        <v>0</v>
      </c>
      <c r="P64" s="39">
        <f>+'雨汚水(共通按分後)'!P64-雨汚水!P64</f>
        <v>0</v>
      </c>
      <c r="Q64" s="390">
        <f>+'雨汚水(共通按分後)'!Q64-雨汚水!Q64</f>
        <v>0</v>
      </c>
      <c r="R64" s="38">
        <f>+'雨汚水(共通按分後)'!R64-雨汚水!R64</f>
        <v>0</v>
      </c>
      <c r="S64" s="40">
        <f>+'雨汚水(共通按分後)'!S64-雨汚水!S64</f>
        <v>0</v>
      </c>
      <c r="T64" s="39">
        <f>+'雨汚水(共通按分後)'!T64-雨汚水!T64</f>
        <v>0</v>
      </c>
      <c r="U64" s="38">
        <f>+'雨汚水(共通按分後)'!U64-雨汚水!U64</f>
        <v>0</v>
      </c>
      <c r="V64" s="37">
        <f>+'雨汚水(共通按分後)'!V64-雨汚水!V64</f>
        <v>0</v>
      </c>
      <c r="W64" s="36">
        <f>+'雨汚水(共通按分後)'!W64-雨汚水!W64</f>
        <v>0</v>
      </c>
      <c r="X64" s="41" t="s">
        <v>64</v>
      </c>
      <c r="Y64" s="41"/>
      <c r="Z64" s="41"/>
      <c r="AA64" s="41"/>
      <c r="AB64" s="41"/>
      <c r="AC64" s="41"/>
      <c r="AD64" s="51">
        <f>+'雨汚水(共通按分後)'!AD64-雨汚水!AD64</f>
        <v>0</v>
      </c>
      <c r="AE64" s="39">
        <f>+'雨汚水(共通按分後)'!AE64-雨汚水!AE64</f>
        <v>0</v>
      </c>
      <c r="AF64" s="390">
        <f>+'雨汚水(共通按分後)'!AF64-雨汚水!AF64</f>
        <v>0</v>
      </c>
      <c r="AG64" s="38">
        <f>+'雨汚水(共通按分後)'!AG64-雨汚水!AG64</f>
        <v>0</v>
      </c>
      <c r="AH64" s="40">
        <f>+'雨汚水(共通按分後)'!AH64-雨汚水!AH64</f>
        <v>0</v>
      </c>
      <c r="AI64" s="39">
        <f>+'雨汚水(共通按分後)'!AI64-雨汚水!AI64</f>
        <v>0</v>
      </c>
      <c r="AJ64" s="38">
        <f>+'雨汚水(共通按分後)'!AJ64-雨汚水!AJ64</f>
        <v>0</v>
      </c>
      <c r="AK64" s="37">
        <f>+'雨汚水(共通按分後)'!AK64-雨汚水!AK64</f>
        <v>0</v>
      </c>
      <c r="AL64" s="36">
        <f>+'雨汚水(共通按分後)'!AL64-雨汚水!AL64</f>
        <v>0</v>
      </c>
    </row>
    <row r="65" spans="1:38">
      <c r="A65" s="35"/>
      <c r="B65" s="45" t="s">
        <v>4</v>
      </c>
      <c r="C65" s="44" t="s">
        <v>21</v>
      </c>
      <c r="D65" s="41" t="s">
        <v>37</v>
      </c>
      <c r="E65" s="51">
        <f>+'雨汚水(共通按分後)'!E65-雨汚水!E65</f>
        <v>0</v>
      </c>
      <c r="F65" s="39">
        <f>+'雨汚水(共通按分後)'!F65-雨汚水!F65</f>
        <v>0</v>
      </c>
      <c r="G65" s="390">
        <f>+'雨汚水(共通按分後)'!G65-雨汚水!G65</f>
        <v>0</v>
      </c>
      <c r="H65" s="38">
        <f>+'雨汚水(共通按分後)'!H65-雨汚水!H65</f>
        <v>0</v>
      </c>
      <c r="I65" s="40">
        <f>+'雨汚水(共通按分後)'!I65-雨汚水!I65</f>
        <v>0</v>
      </c>
      <c r="J65" s="39">
        <f>+'雨汚水(共通按分後)'!J65-雨汚水!J65</f>
        <v>0</v>
      </c>
      <c r="K65" s="38">
        <f>+'雨汚水(共通按分後)'!K65-雨汚水!K65</f>
        <v>0</v>
      </c>
      <c r="L65" s="37">
        <f>+'雨汚水(共通按分後)'!L65-雨汚水!L65</f>
        <v>0</v>
      </c>
      <c r="M65" s="36">
        <f>+'雨汚水(共通按分後)'!M65-雨汚水!M65</f>
        <v>0</v>
      </c>
      <c r="N65" s="41" t="s">
        <v>37</v>
      </c>
      <c r="O65" s="51">
        <f>+'雨汚水(共通按分後)'!O65-雨汚水!O65</f>
        <v>0</v>
      </c>
      <c r="P65" s="39">
        <f>+'雨汚水(共通按分後)'!P65-雨汚水!P65</f>
        <v>0</v>
      </c>
      <c r="Q65" s="390">
        <f>+'雨汚水(共通按分後)'!Q65-雨汚水!Q65</f>
        <v>0</v>
      </c>
      <c r="R65" s="38">
        <f>+'雨汚水(共通按分後)'!R65-雨汚水!R65</f>
        <v>0</v>
      </c>
      <c r="S65" s="40">
        <f>+'雨汚水(共通按分後)'!S65-雨汚水!S65</f>
        <v>0</v>
      </c>
      <c r="T65" s="39">
        <f>+'雨汚水(共通按分後)'!T65-雨汚水!T65</f>
        <v>0</v>
      </c>
      <c r="U65" s="38">
        <f>+'雨汚水(共通按分後)'!U65-雨汚水!U65</f>
        <v>0</v>
      </c>
      <c r="V65" s="37">
        <f>+'雨汚水(共通按分後)'!V65-雨汚水!V65</f>
        <v>0</v>
      </c>
      <c r="W65" s="36">
        <f>+'雨汚水(共通按分後)'!W65-雨汚水!W65</f>
        <v>0</v>
      </c>
      <c r="X65" s="41" t="s">
        <v>37</v>
      </c>
      <c r="Y65" s="41"/>
      <c r="Z65" s="41"/>
      <c r="AA65" s="41"/>
      <c r="AB65" s="41"/>
      <c r="AC65" s="41"/>
      <c r="AD65" s="51">
        <f>+'雨汚水(共通按分後)'!AD65-雨汚水!AD65</f>
        <v>0</v>
      </c>
      <c r="AE65" s="39">
        <f>+'雨汚水(共通按分後)'!AE65-雨汚水!AE65</f>
        <v>0</v>
      </c>
      <c r="AF65" s="390">
        <f>+'雨汚水(共通按分後)'!AF65-雨汚水!AF65</f>
        <v>0</v>
      </c>
      <c r="AG65" s="38">
        <f>+'雨汚水(共通按分後)'!AG65-雨汚水!AG65</f>
        <v>0</v>
      </c>
      <c r="AH65" s="40">
        <f>+'雨汚水(共通按分後)'!AH65-雨汚水!AH65</f>
        <v>0</v>
      </c>
      <c r="AI65" s="39">
        <f>+'雨汚水(共通按分後)'!AI65-雨汚水!AI65</f>
        <v>0</v>
      </c>
      <c r="AJ65" s="38">
        <f>+'雨汚水(共通按分後)'!AJ65-雨汚水!AJ65</f>
        <v>0</v>
      </c>
      <c r="AK65" s="37">
        <f>+'雨汚水(共通按分後)'!AK65-雨汚水!AK65</f>
        <v>0</v>
      </c>
      <c r="AL65" s="36">
        <f>+'雨汚水(共通按分後)'!AL65-雨汚水!AL65</f>
        <v>0</v>
      </c>
    </row>
    <row r="66" spans="1:38">
      <c r="A66" s="35"/>
      <c r="B66" s="45"/>
      <c r="C66" s="44"/>
      <c r="D66" s="67"/>
      <c r="E66" s="51">
        <f>+'雨汚水(共通按分後)'!E66-雨汚水!E66</f>
        <v>0</v>
      </c>
      <c r="F66" s="51">
        <f>+'雨汚水(共通按分後)'!F66-雨汚水!F66</f>
        <v>0</v>
      </c>
      <c r="G66" s="390">
        <f>+'雨汚水(共通按分後)'!G66-雨汚水!G66</f>
        <v>0</v>
      </c>
      <c r="H66" s="38">
        <f>+'雨汚水(共通按分後)'!H66-雨汚水!H66</f>
        <v>0</v>
      </c>
      <c r="I66" s="73">
        <f>+'雨汚水(共通按分後)'!I66-雨汚水!I66</f>
        <v>0</v>
      </c>
      <c r="J66" s="39">
        <f>+'雨汚水(共通按分後)'!J66-雨汚水!J66</f>
        <v>0</v>
      </c>
      <c r="K66" s="38">
        <f>+'雨汚水(共通按分後)'!K66-雨汚水!K66</f>
        <v>0</v>
      </c>
      <c r="L66" s="37">
        <f>+'雨汚水(共通按分後)'!L66-雨汚水!L66</f>
        <v>0</v>
      </c>
      <c r="M66" s="36">
        <f>+'雨汚水(共通按分後)'!M66-雨汚水!M66</f>
        <v>0</v>
      </c>
      <c r="N66" s="67"/>
      <c r="O66" s="51">
        <f>+'雨汚水(共通按分後)'!O66-雨汚水!O66</f>
        <v>0</v>
      </c>
      <c r="P66" s="51">
        <f>+'雨汚水(共通按分後)'!P66-雨汚水!P66</f>
        <v>0</v>
      </c>
      <c r="Q66" s="390">
        <f>+'雨汚水(共通按分後)'!Q66-雨汚水!Q66</f>
        <v>0</v>
      </c>
      <c r="R66" s="38">
        <f>+'雨汚水(共通按分後)'!R66-雨汚水!R66</f>
        <v>0</v>
      </c>
      <c r="S66" s="73">
        <f>+'雨汚水(共通按分後)'!S66-雨汚水!S66</f>
        <v>0</v>
      </c>
      <c r="T66" s="39">
        <f>+'雨汚水(共通按分後)'!T66-雨汚水!T66</f>
        <v>0</v>
      </c>
      <c r="U66" s="38">
        <f>+'雨汚水(共通按分後)'!U66-雨汚水!U66</f>
        <v>0</v>
      </c>
      <c r="V66" s="37">
        <f>+'雨汚水(共通按分後)'!V66-雨汚水!V66</f>
        <v>0</v>
      </c>
      <c r="W66" s="36">
        <f>+'雨汚水(共通按分後)'!W66-雨汚水!W66</f>
        <v>0</v>
      </c>
      <c r="X66" s="67"/>
      <c r="Y66" s="67"/>
      <c r="Z66" s="67"/>
      <c r="AA66" s="67"/>
      <c r="AB66" s="67"/>
      <c r="AC66" s="67"/>
      <c r="AD66" s="51">
        <f>+'雨汚水(共通按分後)'!AD66-雨汚水!AD66</f>
        <v>0</v>
      </c>
      <c r="AE66" s="51">
        <f>+'雨汚水(共通按分後)'!AE66-雨汚水!AE66</f>
        <v>0</v>
      </c>
      <c r="AF66" s="390">
        <f>+'雨汚水(共通按分後)'!AF66-雨汚水!AF66</f>
        <v>0</v>
      </c>
      <c r="AG66" s="38">
        <f>+'雨汚水(共通按分後)'!AG66-雨汚水!AG66</f>
        <v>0</v>
      </c>
      <c r="AH66" s="73">
        <f>+'雨汚水(共通按分後)'!AH66-雨汚水!AH66</f>
        <v>0</v>
      </c>
      <c r="AI66" s="39">
        <f>+'雨汚水(共通按分後)'!AI66-雨汚水!AI66</f>
        <v>0</v>
      </c>
      <c r="AJ66" s="38">
        <f>+'雨汚水(共通按分後)'!AJ66-雨汚水!AJ66</f>
        <v>0</v>
      </c>
      <c r="AK66" s="37">
        <f>+'雨汚水(共通按分後)'!AK66-雨汚水!AK66</f>
        <v>0</v>
      </c>
      <c r="AL66" s="36">
        <f>+'雨汚水(共通按分後)'!AL66-雨汚水!AL66</f>
        <v>0</v>
      </c>
    </row>
    <row r="67" spans="1:38">
      <c r="A67" s="35"/>
      <c r="B67" s="45"/>
      <c r="C67" s="44"/>
      <c r="D67" s="67"/>
      <c r="E67" s="51">
        <f>+'雨汚水(共通按分後)'!E67-雨汚水!E67</f>
        <v>0</v>
      </c>
      <c r="F67" s="39">
        <f>+'雨汚水(共通按分後)'!F67-雨汚水!F67</f>
        <v>0</v>
      </c>
      <c r="G67" s="390">
        <f>+'雨汚水(共通按分後)'!G67-雨汚水!G67</f>
        <v>0</v>
      </c>
      <c r="H67" s="38">
        <f>+'雨汚水(共通按分後)'!H67-雨汚水!H67</f>
        <v>0</v>
      </c>
      <c r="I67" s="73">
        <f>+'雨汚水(共通按分後)'!I67-雨汚水!I67</f>
        <v>0</v>
      </c>
      <c r="J67" s="39">
        <f>+'雨汚水(共通按分後)'!J67-雨汚水!J67</f>
        <v>0</v>
      </c>
      <c r="K67" s="38">
        <f>+'雨汚水(共通按分後)'!K67-雨汚水!K67</f>
        <v>0</v>
      </c>
      <c r="L67" s="37">
        <f>+'雨汚水(共通按分後)'!L67-雨汚水!L67</f>
        <v>0</v>
      </c>
      <c r="M67" s="36">
        <f>+'雨汚水(共通按分後)'!M67-雨汚水!M67</f>
        <v>0</v>
      </c>
      <c r="N67" s="67"/>
      <c r="O67" s="51">
        <f>+'雨汚水(共通按分後)'!O67-雨汚水!O67</f>
        <v>0</v>
      </c>
      <c r="P67" s="39">
        <f>+'雨汚水(共通按分後)'!P67-雨汚水!P67</f>
        <v>0</v>
      </c>
      <c r="Q67" s="390">
        <f>+'雨汚水(共通按分後)'!Q67-雨汚水!Q67</f>
        <v>0</v>
      </c>
      <c r="R67" s="38">
        <f>+'雨汚水(共通按分後)'!R67-雨汚水!R67</f>
        <v>0</v>
      </c>
      <c r="S67" s="73">
        <f>+'雨汚水(共通按分後)'!S67-雨汚水!S67</f>
        <v>0</v>
      </c>
      <c r="T67" s="39">
        <f>+'雨汚水(共通按分後)'!T67-雨汚水!T67</f>
        <v>0</v>
      </c>
      <c r="U67" s="38">
        <f>+'雨汚水(共通按分後)'!U67-雨汚水!U67</f>
        <v>0</v>
      </c>
      <c r="V67" s="37">
        <f>+'雨汚水(共通按分後)'!V67-雨汚水!V67</f>
        <v>0</v>
      </c>
      <c r="W67" s="36">
        <f>+'雨汚水(共通按分後)'!W67-雨汚水!W67</f>
        <v>0</v>
      </c>
      <c r="X67" s="67"/>
      <c r="Y67" s="67"/>
      <c r="Z67" s="67"/>
      <c r="AA67" s="67"/>
      <c r="AB67" s="67"/>
      <c r="AC67" s="67"/>
      <c r="AD67" s="51">
        <f>+'雨汚水(共通按分後)'!AD67-雨汚水!AD67</f>
        <v>0</v>
      </c>
      <c r="AE67" s="39">
        <f>+'雨汚水(共通按分後)'!AE67-雨汚水!AE67</f>
        <v>0</v>
      </c>
      <c r="AF67" s="390">
        <f>+'雨汚水(共通按分後)'!AF67-雨汚水!AF67</f>
        <v>0</v>
      </c>
      <c r="AG67" s="38">
        <f>+'雨汚水(共通按分後)'!AG67-雨汚水!AG67</f>
        <v>0</v>
      </c>
      <c r="AH67" s="73">
        <f>+'雨汚水(共通按分後)'!AH67-雨汚水!AH67</f>
        <v>0</v>
      </c>
      <c r="AI67" s="39">
        <f>+'雨汚水(共通按分後)'!AI67-雨汚水!AI67</f>
        <v>0</v>
      </c>
      <c r="AJ67" s="38">
        <f>+'雨汚水(共通按分後)'!AJ67-雨汚水!AJ67</f>
        <v>0</v>
      </c>
      <c r="AK67" s="37">
        <f>+'雨汚水(共通按分後)'!AK67-雨汚水!AK67</f>
        <v>0</v>
      </c>
      <c r="AL67" s="36">
        <f>+'雨汚水(共通按分後)'!AL67-雨汚水!AL67</f>
        <v>0</v>
      </c>
    </row>
    <row r="68" spans="1:38">
      <c r="A68" s="35"/>
      <c r="B68" s="45" t="s">
        <v>4</v>
      </c>
      <c r="C68" s="44" t="s">
        <v>14</v>
      </c>
      <c r="D68" s="41" t="s">
        <v>42</v>
      </c>
      <c r="E68" s="51">
        <f>+'雨汚水(共通按分後)'!E68-雨汚水!E68</f>
        <v>0</v>
      </c>
      <c r="F68" s="39">
        <f>+'雨汚水(共通按分後)'!F68-雨汚水!F68</f>
        <v>0</v>
      </c>
      <c r="G68" s="390">
        <f>+'雨汚水(共通按分後)'!G68-雨汚水!G68</f>
        <v>0</v>
      </c>
      <c r="H68" s="38">
        <f>+'雨汚水(共通按分後)'!H68-雨汚水!H68</f>
        <v>0</v>
      </c>
      <c r="I68" s="73">
        <f>+'雨汚水(共通按分後)'!I68-雨汚水!I68</f>
        <v>0</v>
      </c>
      <c r="J68" s="39">
        <f>+'雨汚水(共通按分後)'!J68-雨汚水!J68</f>
        <v>0</v>
      </c>
      <c r="K68" s="38">
        <f>+'雨汚水(共通按分後)'!K68-雨汚水!K68</f>
        <v>0</v>
      </c>
      <c r="L68" s="37">
        <f>+'雨汚水(共通按分後)'!L68-雨汚水!L68</f>
        <v>0</v>
      </c>
      <c r="M68" s="36">
        <f>+'雨汚水(共通按分後)'!M68-雨汚水!M68</f>
        <v>0</v>
      </c>
      <c r="N68" s="41" t="s">
        <v>42</v>
      </c>
      <c r="O68" s="51">
        <f>+'雨汚水(共通按分後)'!O68-雨汚水!O68</f>
        <v>0</v>
      </c>
      <c r="P68" s="39">
        <f>+'雨汚水(共通按分後)'!P68-雨汚水!P68</f>
        <v>0</v>
      </c>
      <c r="Q68" s="390">
        <f>+'雨汚水(共通按分後)'!Q68-雨汚水!Q68</f>
        <v>0</v>
      </c>
      <c r="R68" s="38">
        <f>+'雨汚水(共通按分後)'!R68-雨汚水!R68</f>
        <v>0</v>
      </c>
      <c r="S68" s="73">
        <f>+'雨汚水(共通按分後)'!S68-雨汚水!S68</f>
        <v>0</v>
      </c>
      <c r="T68" s="39">
        <f>+'雨汚水(共通按分後)'!T68-雨汚水!T68</f>
        <v>0</v>
      </c>
      <c r="U68" s="38">
        <f>+'雨汚水(共通按分後)'!U68-雨汚水!U68</f>
        <v>0</v>
      </c>
      <c r="V68" s="37">
        <f>+'雨汚水(共通按分後)'!V68-雨汚水!V68</f>
        <v>0</v>
      </c>
      <c r="W68" s="36">
        <f>+'雨汚水(共通按分後)'!W68-雨汚水!W68</f>
        <v>0</v>
      </c>
      <c r="X68" s="67" t="s">
        <v>42</v>
      </c>
      <c r="Y68" s="67"/>
      <c r="Z68" s="67"/>
      <c r="AA68" s="67"/>
      <c r="AB68" s="67"/>
      <c r="AC68" s="67"/>
      <c r="AD68" s="51">
        <f>+'雨汚水(共通按分後)'!AD68-雨汚水!AD68</f>
        <v>0</v>
      </c>
      <c r="AE68" s="39">
        <f>+'雨汚水(共通按分後)'!AE68-雨汚水!AE68</f>
        <v>0</v>
      </c>
      <c r="AF68" s="390">
        <f>+'雨汚水(共通按分後)'!AF68-雨汚水!AF68</f>
        <v>0</v>
      </c>
      <c r="AG68" s="38">
        <f>+'雨汚水(共通按分後)'!AG68-雨汚水!AG68</f>
        <v>0</v>
      </c>
      <c r="AH68" s="73">
        <f>+'雨汚水(共通按分後)'!AH68-雨汚水!AH68</f>
        <v>0</v>
      </c>
      <c r="AI68" s="39">
        <f>+'雨汚水(共通按分後)'!AI68-雨汚水!AI68</f>
        <v>0</v>
      </c>
      <c r="AJ68" s="38">
        <f>+'雨汚水(共通按分後)'!AJ68-雨汚水!AJ68</f>
        <v>0</v>
      </c>
      <c r="AK68" s="37">
        <f>+'雨汚水(共通按分後)'!AK68-雨汚水!AK68</f>
        <v>0</v>
      </c>
      <c r="AL68" s="36">
        <f>+'雨汚水(共通按分後)'!AL68-雨汚水!AL68</f>
        <v>0</v>
      </c>
    </row>
    <row r="69" spans="1:38">
      <c r="A69" s="35"/>
      <c r="B69" s="45" t="s">
        <v>4</v>
      </c>
      <c r="C69" s="44" t="s">
        <v>14</v>
      </c>
      <c r="D69" s="41" t="s">
        <v>48</v>
      </c>
      <c r="E69" s="51">
        <f>+'雨汚水(共通按分後)'!E69-雨汚水!E69</f>
        <v>0</v>
      </c>
      <c r="F69" s="39">
        <f>+'雨汚水(共通按分後)'!F69-雨汚水!F69</f>
        <v>0</v>
      </c>
      <c r="G69" s="390">
        <f>+'雨汚水(共通按分後)'!G69-雨汚水!G69</f>
        <v>0</v>
      </c>
      <c r="H69" s="38">
        <f>+'雨汚水(共通按分後)'!H69-雨汚水!H69</f>
        <v>0</v>
      </c>
      <c r="I69" s="40">
        <f>+'雨汚水(共通按分後)'!I69-雨汚水!I69</f>
        <v>0</v>
      </c>
      <c r="J69" s="39">
        <f>+'雨汚水(共通按分後)'!J69-雨汚水!J69</f>
        <v>0</v>
      </c>
      <c r="K69" s="38">
        <f>+'雨汚水(共通按分後)'!K69-雨汚水!K69</f>
        <v>0</v>
      </c>
      <c r="L69" s="37">
        <f>+'雨汚水(共通按分後)'!L69-雨汚水!L69</f>
        <v>0</v>
      </c>
      <c r="M69" s="36">
        <f>+'雨汚水(共通按分後)'!M69-雨汚水!M69</f>
        <v>0</v>
      </c>
      <c r="N69" s="41" t="s">
        <v>48</v>
      </c>
      <c r="O69" s="51">
        <f>+'雨汚水(共通按分後)'!O69-雨汚水!O69</f>
        <v>0</v>
      </c>
      <c r="P69" s="39">
        <f>+'雨汚水(共通按分後)'!P69-雨汚水!P69</f>
        <v>0</v>
      </c>
      <c r="Q69" s="390">
        <f>+'雨汚水(共通按分後)'!Q69-雨汚水!Q69</f>
        <v>0</v>
      </c>
      <c r="R69" s="38">
        <f>+'雨汚水(共通按分後)'!R69-雨汚水!R69</f>
        <v>0</v>
      </c>
      <c r="S69" s="40">
        <f>+'雨汚水(共通按分後)'!S69-雨汚水!S69</f>
        <v>0</v>
      </c>
      <c r="T69" s="39">
        <f>+'雨汚水(共通按分後)'!T69-雨汚水!T69</f>
        <v>0</v>
      </c>
      <c r="U69" s="38">
        <f>+'雨汚水(共通按分後)'!U69-雨汚水!U69</f>
        <v>0</v>
      </c>
      <c r="V69" s="37">
        <f>+'雨汚水(共通按分後)'!V69-雨汚水!V69</f>
        <v>0</v>
      </c>
      <c r="W69" s="36">
        <f>+'雨汚水(共通按分後)'!W69-雨汚水!W69</f>
        <v>0</v>
      </c>
      <c r="X69" s="41" t="s">
        <v>48</v>
      </c>
      <c r="Y69" s="41"/>
      <c r="Z69" s="41"/>
      <c r="AA69" s="41"/>
      <c r="AB69" s="41"/>
      <c r="AC69" s="41"/>
      <c r="AD69" s="51">
        <f>+'雨汚水(共通按分後)'!AD69-雨汚水!AD69</f>
        <v>0</v>
      </c>
      <c r="AE69" s="39">
        <f>+'雨汚水(共通按分後)'!AE69-雨汚水!AE69</f>
        <v>0</v>
      </c>
      <c r="AF69" s="390">
        <f>+'雨汚水(共通按分後)'!AF69-雨汚水!AF69</f>
        <v>0</v>
      </c>
      <c r="AG69" s="38">
        <f>+'雨汚水(共通按分後)'!AG69-雨汚水!AG69</f>
        <v>0</v>
      </c>
      <c r="AH69" s="40">
        <f>+'雨汚水(共通按分後)'!AH69-雨汚水!AH69</f>
        <v>0</v>
      </c>
      <c r="AI69" s="39">
        <f>+'雨汚水(共通按分後)'!AI69-雨汚水!AI69</f>
        <v>0</v>
      </c>
      <c r="AJ69" s="38">
        <f>+'雨汚水(共通按分後)'!AJ69-雨汚水!AJ69</f>
        <v>0</v>
      </c>
      <c r="AK69" s="37">
        <f>+'雨汚水(共通按分後)'!AK69-雨汚水!AK69</f>
        <v>0</v>
      </c>
      <c r="AL69" s="36">
        <f>+'雨汚水(共通按分後)'!AL69-雨汚水!AL69</f>
        <v>0</v>
      </c>
    </row>
    <row r="70" spans="1:38">
      <c r="A70" s="35"/>
      <c r="B70" s="45" t="s">
        <v>4</v>
      </c>
      <c r="C70" s="44" t="s">
        <v>14</v>
      </c>
      <c r="D70" s="41" t="s">
        <v>70</v>
      </c>
      <c r="E70" s="51">
        <f>+'雨汚水(共通按分後)'!E70-雨汚水!E70</f>
        <v>0</v>
      </c>
      <c r="F70" s="39">
        <f>+'雨汚水(共通按分後)'!F70-雨汚水!F70</f>
        <v>0</v>
      </c>
      <c r="G70" s="390">
        <f>+'雨汚水(共通按分後)'!G70-雨汚水!G70</f>
        <v>0</v>
      </c>
      <c r="H70" s="38">
        <f>+'雨汚水(共通按分後)'!H70-雨汚水!H70</f>
        <v>0</v>
      </c>
      <c r="I70" s="40">
        <f>+'雨汚水(共通按分後)'!I70-雨汚水!I70</f>
        <v>0</v>
      </c>
      <c r="J70" s="39">
        <f>+'雨汚水(共通按分後)'!J70-雨汚水!J70</f>
        <v>0</v>
      </c>
      <c r="K70" s="38">
        <f>+'雨汚水(共通按分後)'!K70-雨汚水!K70</f>
        <v>0</v>
      </c>
      <c r="L70" s="37">
        <f>+'雨汚水(共通按分後)'!L70-雨汚水!L70</f>
        <v>0</v>
      </c>
      <c r="M70" s="36">
        <f>+'雨汚水(共通按分後)'!M70-雨汚水!M70</f>
        <v>0</v>
      </c>
      <c r="N70" s="41" t="s">
        <v>70</v>
      </c>
      <c r="O70" s="51">
        <f>+'雨汚水(共通按分後)'!O70-雨汚水!O70</f>
        <v>0</v>
      </c>
      <c r="P70" s="39">
        <f>+'雨汚水(共通按分後)'!P70-雨汚水!P70</f>
        <v>0</v>
      </c>
      <c r="Q70" s="390">
        <f>+'雨汚水(共通按分後)'!Q70-雨汚水!Q70</f>
        <v>0</v>
      </c>
      <c r="R70" s="38">
        <f>+'雨汚水(共通按分後)'!R70-雨汚水!R70</f>
        <v>0</v>
      </c>
      <c r="S70" s="40">
        <f>+'雨汚水(共通按分後)'!S70-雨汚水!S70</f>
        <v>0</v>
      </c>
      <c r="T70" s="39">
        <f>+'雨汚水(共通按分後)'!T70-雨汚水!T70</f>
        <v>0</v>
      </c>
      <c r="U70" s="38">
        <f>+'雨汚水(共通按分後)'!U70-雨汚水!U70</f>
        <v>0</v>
      </c>
      <c r="V70" s="37">
        <f>+'雨汚水(共通按分後)'!V70-雨汚水!V70</f>
        <v>0</v>
      </c>
      <c r="W70" s="36">
        <f>+'雨汚水(共通按分後)'!W70-雨汚水!W70</f>
        <v>0</v>
      </c>
      <c r="X70" s="41" t="s">
        <v>70</v>
      </c>
      <c r="Y70" s="41"/>
      <c r="Z70" s="41"/>
      <c r="AA70" s="41"/>
      <c r="AB70" s="41"/>
      <c r="AC70" s="41"/>
      <c r="AD70" s="51">
        <f>+'雨汚水(共通按分後)'!AD70-雨汚水!AD70</f>
        <v>0</v>
      </c>
      <c r="AE70" s="39">
        <f>+'雨汚水(共通按分後)'!AE70-雨汚水!AE70</f>
        <v>0</v>
      </c>
      <c r="AF70" s="390">
        <f>+'雨汚水(共通按分後)'!AF70-雨汚水!AF70</f>
        <v>0</v>
      </c>
      <c r="AG70" s="38">
        <f>+'雨汚水(共通按分後)'!AG70-雨汚水!AG70</f>
        <v>0</v>
      </c>
      <c r="AH70" s="40">
        <f>+'雨汚水(共通按分後)'!AH70-雨汚水!AH70</f>
        <v>0</v>
      </c>
      <c r="AI70" s="39">
        <f>+'雨汚水(共通按分後)'!AI70-雨汚水!AI70</f>
        <v>0</v>
      </c>
      <c r="AJ70" s="38">
        <f>+'雨汚水(共通按分後)'!AJ70-雨汚水!AJ70</f>
        <v>0</v>
      </c>
      <c r="AK70" s="37">
        <f>+'雨汚水(共通按分後)'!AK70-雨汚水!AK70</f>
        <v>0</v>
      </c>
      <c r="AL70" s="36">
        <f>+'雨汚水(共通按分後)'!AL70-雨汚水!AL70</f>
        <v>0</v>
      </c>
    </row>
    <row r="71" spans="1:38">
      <c r="A71" s="35"/>
      <c r="B71" s="45" t="s">
        <v>4</v>
      </c>
      <c r="C71" s="44"/>
      <c r="D71" s="41"/>
      <c r="E71" s="51">
        <f>+'雨汚水(共通按分後)'!E71-雨汚水!E71</f>
        <v>0</v>
      </c>
      <c r="F71" s="39">
        <f>+'雨汚水(共通按分後)'!F71-雨汚水!F71</f>
        <v>0</v>
      </c>
      <c r="G71" s="390">
        <f>+'雨汚水(共通按分後)'!G71-雨汚水!G71</f>
        <v>0</v>
      </c>
      <c r="H71" s="38">
        <f>+'雨汚水(共通按分後)'!H71-雨汚水!H71</f>
        <v>0</v>
      </c>
      <c r="I71" s="73">
        <f>+'雨汚水(共通按分後)'!I71-雨汚水!I71</f>
        <v>0</v>
      </c>
      <c r="J71" s="39">
        <f>+'雨汚水(共通按分後)'!J71-雨汚水!J71</f>
        <v>0</v>
      </c>
      <c r="K71" s="38">
        <f>+'雨汚水(共通按分後)'!K71-雨汚水!K71</f>
        <v>0</v>
      </c>
      <c r="L71" s="37">
        <f>+'雨汚水(共通按分後)'!L71-雨汚水!L71</f>
        <v>0</v>
      </c>
      <c r="M71" s="36">
        <f>+'雨汚水(共通按分後)'!M71-雨汚水!M71</f>
        <v>0</v>
      </c>
      <c r="N71" s="41"/>
      <c r="O71" s="51">
        <f>+'雨汚水(共通按分後)'!O71-雨汚水!O71</f>
        <v>0</v>
      </c>
      <c r="P71" s="39">
        <f>+'雨汚水(共通按分後)'!P71-雨汚水!P71</f>
        <v>0</v>
      </c>
      <c r="Q71" s="390">
        <f>+'雨汚水(共通按分後)'!Q71-雨汚水!Q71</f>
        <v>0</v>
      </c>
      <c r="R71" s="38">
        <f>+'雨汚水(共通按分後)'!R71-雨汚水!R71</f>
        <v>0</v>
      </c>
      <c r="S71" s="73">
        <f>+'雨汚水(共通按分後)'!S71-雨汚水!S71</f>
        <v>0</v>
      </c>
      <c r="T71" s="39">
        <f>+'雨汚水(共通按分後)'!T71-雨汚水!T71</f>
        <v>0</v>
      </c>
      <c r="U71" s="38">
        <f>+'雨汚水(共通按分後)'!U71-雨汚水!U71</f>
        <v>0</v>
      </c>
      <c r="V71" s="37">
        <f>+'雨汚水(共通按分後)'!V71-雨汚水!V71</f>
        <v>0</v>
      </c>
      <c r="W71" s="36">
        <f>+'雨汚水(共通按分後)'!W71-雨汚水!W71</f>
        <v>0</v>
      </c>
      <c r="X71" s="41"/>
      <c r="Y71" s="41"/>
      <c r="Z71" s="41"/>
      <c r="AA71" s="41"/>
      <c r="AB71" s="41"/>
      <c r="AC71" s="41"/>
      <c r="AD71" s="51">
        <f>+'雨汚水(共通按分後)'!AD71-雨汚水!AD71</f>
        <v>0</v>
      </c>
      <c r="AE71" s="39">
        <f>+'雨汚水(共通按分後)'!AE71-雨汚水!AE71</f>
        <v>0</v>
      </c>
      <c r="AF71" s="390">
        <f>+'雨汚水(共通按分後)'!AF71-雨汚水!AF71</f>
        <v>0</v>
      </c>
      <c r="AG71" s="38">
        <f>+'雨汚水(共通按分後)'!AG71-雨汚水!AG71</f>
        <v>0</v>
      </c>
      <c r="AH71" s="73">
        <f>+'雨汚水(共通按分後)'!AH71-雨汚水!AH71</f>
        <v>0</v>
      </c>
      <c r="AI71" s="39">
        <f>+'雨汚水(共通按分後)'!AI71-雨汚水!AI71</f>
        <v>0</v>
      </c>
      <c r="AJ71" s="38">
        <f>+'雨汚水(共通按分後)'!AJ71-雨汚水!AJ71</f>
        <v>0</v>
      </c>
      <c r="AK71" s="37">
        <f>+'雨汚水(共通按分後)'!AK71-雨汚水!AK71</f>
        <v>0</v>
      </c>
      <c r="AL71" s="36">
        <f>+'雨汚水(共通按分後)'!AL71-雨汚水!AL71</f>
        <v>0</v>
      </c>
    </row>
    <row r="72" spans="1:38">
      <c r="A72" s="35"/>
      <c r="B72" s="45" t="s">
        <v>4</v>
      </c>
      <c r="C72" s="44"/>
      <c r="D72" s="67"/>
      <c r="E72" s="51">
        <f>+'雨汚水(共通按分後)'!E72-雨汚水!E72</f>
        <v>0</v>
      </c>
      <c r="F72" s="39">
        <f>+'雨汚水(共通按分後)'!F72-雨汚水!F72</f>
        <v>0</v>
      </c>
      <c r="G72" s="390">
        <f>+'雨汚水(共通按分後)'!G72-雨汚水!G72</f>
        <v>0</v>
      </c>
      <c r="H72" s="38">
        <f>+'雨汚水(共通按分後)'!H72-雨汚水!H72</f>
        <v>0</v>
      </c>
      <c r="I72" s="40">
        <f>+'雨汚水(共通按分後)'!I72-雨汚水!I72</f>
        <v>0</v>
      </c>
      <c r="J72" s="39">
        <f>+'雨汚水(共通按分後)'!J72-雨汚水!J72</f>
        <v>0</v>
      </c>
      <c r="K72" s="38">
        <f>+'雨汚水(共通按分後)'!K72-雨汚水!K72</f>
        <v>0</v>
      </c>
      <c r="L72" s="37">
        <f>+'雨汚水(共通按分後)'!L72-雨汚水!L72</f>
        <v>0</v>
      </c>
      <c r="M72" s="36">
        <f>+'雨汚水(共通按分後)'!M72-雨汚水!M72</f>
        <v>0</v>
      </c>
      <c r="N72" s="67"/>
      <c r="O72" s="51">
        <f>+'雨汚水(共通按分後)'!O72-雨汚水!O72</f>
        <v>0</v>
      </c>
      <c r="P72" s="39">
        <f>+'雨汚水(共通按分後)'!P72-雨汚水!P72</f>
        <v>0</v>
      </c>
      <c r="Q72" s="390">
        <f>+'雨汚水(共通按分後)'!Q72-雨汚水!Q72</f>
        <v>0</v>
      </c>
      <c r="R72" s="38">
        <f>+'雨汚水(共通按分後)'!R72-雨汚水!R72</f>
        <v>0</v>
      </c>
      <c r="S72" s="40">
        <f>+'雨汚水(共通按分後)'!S72-雨汚水!S72</f>
        <v>0</v>
      </c>
      <c r="T72" s="39">
        <f>+'雨汚水(共通按分後)'!T72-雨汚水!T72</f>
        <v>0</v>
      </c>
      <c r="U72" s="38">
        <f>+'雨汚水(共通按分後)'!U72-雨汚水!U72</f>
        <v>0</v>
      </c>
      <c r="V72" s="37">
        <f>+'雨汚水(共通按分後)'!V72-雨汚水!V72</f>
        <v>0</v>
      </c>
      <c r="W72" s="36">
        <f>+'雨汚水(共通按分後)'!W72-雨汚水!W72</f>
        <v>0</v>
      </c>
      <c r="X72" s="41"/>
      <c r="Y72" s="41"/>
      <c r="Z72" s="41"/>
      <c r="AA72" s="41"/>
      <c r="AB72" s="41"/>
      <c r="AC72" s="41"/>
      <c r="AD72" s="51">
        <f>+'雨汚水(共通按分後)'!AD72-雨汚水!AD72</f>
        <v>0</v>
      </c>
      <c r="AE72" s="39">
        <f>+'雨汚水(共通按分後)'!AE72-雨汚水!AE72</f>
        <v>0</v>
      </c>
      <c r="AF72" s="390">
        <f>+'雨汚水(共通按分後)'!AF72-雨汚水!AF72</f>
        <v>0</v>
      </c>
      <c r="AG72" s="38">
        <f>+'雨汚水(共通按分後)'!AG72-雨汚水!AG72</f>
        <v>0</v>
      </c>
      <c r="AH72" s="40">
        <f>+'雨汚水(共通按分後)'!AH72-雨汚水!AH72</f>
        <v>0</v>
      </c>
      <c r="AI72" s="39">
        <f>+'雨汚水(共通按分後)'!AI72-雨汚水!AI72</f>
        <v>0</v>
      </c>
      <c r="AJ72" s="38">
        <f>+'雨汚水(共通按分後)'!AJ72-雨汚水!AJ72</f>
        <v>0</v>
      </c>
      <c r="AK72" s="37">
        <f>+'雨汚水(共通按分後)'!AK72-雨汚水!AK72</f>
        <v>0</v>
      </c>
      <c r="AL72" s="36">
        <f>+'雨汚水(共通按分後)'!AL72-雨汚水!AL72</f>
        <v>0</v>
      </c>
    </row>
    <row r="73" spans="1:38">
      <c r="A73" s="35"/>
      <c r="B73" s="45" t="s">
        <v>4</v>
      </c>
      <c r="C73" s="44" t="s">
        <v>14</v>
      </c>
      <c r="D73" s="41" t="s">
        <v>36</v>
      </c>
      <c r="E73" s="51">
        <f>+'雨汚水(共通按分後)'!E73-雨汚水!E73</f>
        <v>0</v>
      </c>
      <c r="F73" s="39">
        <f>+'雨汚水(共通按分後)'!F73-雨汚水!F73</f>
        <v>0</v>
      </c>
      <c r="G73" s="390">
        <f>+'雨汚水(共通按分後)'!G73-雨汚水!G73</f>
        <v>0</v>
      </c>
      <c r="H73" s="38">
        <f>+'雨汚水(共通按分後)'!H73-雨汚水!H73</f>
        <v>0</v>
      </c>
      <c r="I73" s="40">
        <f>+'雨汚水(共通按分後)'!I73-雨汚水!I73</f>
        <v>0</v>
      </c>
      <c r="J73" s="39">
        <f>+'雨汚水(共通按分後)'!J73-雨汚水!J73</f>
        <v>0</v>
      </c>
      <c r="K73" s="38">
        <f>+'雨汚水(共通按分後)'!K73-雨汚水!K73</f>
        <v>0</v>
      </c>
      <c r="L73" s="37">
        <f>+'雨汚水(共通按分後)'!L73-雨汚水!L73</f>
        <v>0</v>
      </c>
      <c r="M73" s="36">
        <f>+'雨汚水(共通按分後)'!M73-雨汚水!M73</f>
        <v>0</v>
      </c>
      <c r="N73" s="41" t="s">
        <v>36</v>
      </c>
      <c r="O73" s="51">
        <f>+'雨汚水(共通按分後)'!O73-雨汚水!O73</f>
        <v>0</v>
      </c>
      <c r="P73" s="39">
        <f>+'雨汚水(共通按分後)'!P73-雨汚水!P73</f>
        <v>0</v>
      </c>
      <c r="Q73" s="390">
        <f>+'雨汚水(共通按分後)'!Q73-雨汚水!Q73</f>
        <v>0</v>
      </c>
      <c r="R73" s="38">
        <f>+'雨汚水(共通按分後)'!R73-雨汚水!R73</f>
        <v>0</v>
      </c>
      <c r="S73" s="40">
        <f>+'雨汚水(共通按分後)'!S73-雨汚水!S73</f>
        <v>0</v>
      </c>
      <c r="T73" s="39">
        <f>+'雨汚水(共通按分後)'!T73-雨汚水!T73</f>
        <v>0</v>
      </c>
      <c r="U73" s="38">
        <f>+'雨汚水(共通按分後)'!U73-雨汚水!U73</f>
        <v>0</v>
      </c>
      <c r="V73" s="37">
        <f>+'雨汚水(共通按分後)'!V73-雨汚水!V73</f>
        <v>0</v>
      </c>
      <c r="W73" s="36">
        <f>+'雨汚水(共通按分後)'!W73-雨汚水!W73</f>
        <v>0</v>
      </c>
      <c r="X73" s="41" t="s">
        <v>36</v>
      </c>
      <c r="Y73" s="41"/>
      <c r="Z73" s="41"/>
      <c r="AA73" s="41"/>
      <c r="AB73" s="41"/>
      <c r="AC73" s="41"/>
      <c r="AD73" s="51">
        <f>+'雨汚水(共通按分後)'!AD73-雨汚水!AD73</f>
        <v>0</v>
      </c>
      <c r="AE73" s="39">
        <f>+'雨汚水(共通按分後)'!AE73-雨汚水!AE73</f>
        <v>0</v>
      </c>
      <c r="AF73" s="390">
        <f>+'雨汚水(共通按分後)'!AF73-雨汚水!AF73</f>
        <v>0</v>
      </c>
      <c r="AG73" s="38">
        <f>+'雨汚水(共通按分後)'!AG73-雨汚水!AG73</f>
        <v>0</v>
      </c>
      <c r="AH73" s="40">
        <f>+'雨汚水(共通按分後)'!AH73-雨汚水!AH73</f>
        <v>0</v>
      </c>
      <c r="AI73" s="39">
        <f>+'雨汚水(共通按分後)'!AI73-雨汚水!AI73</f>
        <v>0</v>
      </c>
      <c r="AJ73" s="38">
        <f>+'雨汚水(共通按分後)'!AJ73-雨汚水!AJ73</f>
        <v>0</v>
      </c>
      <c r="AK73" s="37">
        <f>+'雨汚水(共通按分後)'!AK73-雨汚水!AK73</f>
        <v>0</v>
      </c>
      <c r="AL73" s="36">
        <f>+'雨汚水(共通按分後)'!AL73-雨汚水!AL73</f>
        <v>0</v>
      </c>
    </row>
    <row r="74" spans="1:38">
      <c r="A74" s="35"/>
      <c r="B74" s="45" t="s">
        <v>4</v>
      </c>
      <c r="C74" s="44" t="s">
        <v>14</v>
      </c>
      <c r="D74" s="41"/>
      <c r="E74" s="51">
        <f>+'雨汚水(共通按分後)'!E74-雨汚水!E74</f>
        <v>0</v>
      </c>
      <c r="F74" s="39">
        <f>+'雨汚水(共通按分後)'!F74-雨汚水!F74</f>
        <v>0</v>
      </c>
      <c r="G74" s="390">
        <f>+'雨汚水(共通按分後)'!G74-雨汚水!G74</f>
        <v>0</v>
      </c>
      <c r="H74" s="38">
        <f>+'雨汚水(共通按分後)'!H74-雨汚水!H74</f>
        <v>0</v>
      </c>
      <c r="I74" s="40">
        <f>+'雨汚水(共通按分後)'!I74-雨汚水!I74</f>
        <v>0</v>
      </c>
      <c r="J74" s="39">
        <f>+'雨汚水(共通按分後)'!J74-雨汚水!J74</f>
        <v>0</v>
      </c>
      <c r="K74" s="38">
        <f>+'雨汚水(共通按分後)'!K74-雨汚水!K74</f>
        <v>0</v>
      </c>
      <c r="L74" s="37">
        <f>+'雨汚水(共通按分後)'!L74-雨汚水!L74</f>
        <v>0</v>
      </c>
      <c r="M74" s="36">
        <f>+'雨汚水(共通按分後)'!M74-雨汚水!M74</f>
        <v>0</v>
      </c>
      <c r="N74" s="41"/>
      <c r="O74" s="51">
        <f>+'雨汚水(共通按分後)'!O74-雨汚水!O74</f>
        <v>0</v>
      </c>
      <c r="P74" s="39">
        <f>+'雨汚水(共通按分後)'!P74-雨汚水!P74</f>
        <v>0</v>
      </c>
      <c r="Q74" s="390">
        <f>+'雨汚水(共通按分後)'!Q74-雨汚水!Q74</f>
        <v>0</v>
      </c>
      <c r="R74" s="38">
        <f>+'雨汚水(共通按分後)'!R74-雨汚水!R74</f>
        <v>0</v>
      </c>
      <c r="S74" s="40">
        <f>+'雨汚水(共通按分後)'!S74-雨汚水!S74</f>
        <v>0</v>
      </c>
      <c r="T74" s="39">
        <f>+'雨汚水(共通按分後)'!T74-雨汚水!T74</f>
        <v>0</v>
      </c>
      <c r="U74" s="38">
        <f>+'雨汚水(共通按分後)'!U74-雨汚水!U74</f>
        <v>0</v>
      </c>
      <c r="V74" s="37">
        <f>+'雨汚水(共通按分後)'!V74-雨汚水!V74</f>
        <v>0</v>
      </c>
      <c r="W74" s="36">
        <f>+'雨汚水(共通按分後)'!W74-雨汚水!W74</f>
        <v>0</v>
      </c>
      <c r="X74" s="41"/>
      <c r="Y74" s="41"/>
      <c r="Z74" s="41"/>
      <c r="AA74" s="41"/>
      <c r="AB74" s="41"/>
      <c r="AC74" s="41"/>
      <c r="AD74" s="51">
        <f>+'雨汚水(共通按分後)'!AD74-雨汚水!AD74</f>
        <v>0</v>
      </c>
      <c r="AE74" s="39">
        <f>+'雨汚水(共通按分後)'!AE74-雨汚水!AE74</f>
        <v>0</v>
      </c>
      <c r="AF74" s="390">
        <f>+'雨汚水(共通按分後)'!AF74-雨汚水!AF74</f>
        <v>0</v>
      </c>
      <c r="AG74" s="38">
        <f>+'雨汚水(共通按分後)'!AG74-雨汚水!AG74</f>
        <v>0</v>
      </c>
      <c r="AH74" s="40">
        <f>+'雨汚水(共通按分後)'!AH74-雨汚水!AH74</f>
        <v>0</v>
      </c>
      <c r="AI74" s="39">
        <f>+'雨汚水(共通按分後)'!AI74-雨汚水!AI74</f>
        <v>0</v>
      </c>
      <c r="AJ74" s="38">
        <f>+'雨汚水(共通按分後)'!AJ74-雨汚水!AJ74</f>
        <v>0</v>
      </c>
      <c r="AK74" s="37">
        <f>+'雨汚水(共通按分後)'!AK74-雨汚水!AK74</f>
        <v>0</v>
      </c>
      <c r="AL74" s="36">
        <f>+'雨汚水(共通按分後)'!AL74-雨汚水!AL74</f>
        <v>0</v>
      </c>
    </row>
    <row r="75" spans="1:38">
      <c r="A75" s="35"/>
      <c r="B75" s="45" t="s">
        <v>117</v>
      </c>
      <c r="C75" s="44" t="s">
        <v>116</v>
      </c>
      <c r="D75" s="41" t="s">
        <v>356</v>
      </c>
      <c r="E75" s="51">
        <f>+'雨汚水(共通按分後)'!E75-雨汚水!E75</f>
        <v>0</v>
      </c>
      <c r="F75" s="39">
        <f>+'雨汚水(共通按分後)'!F75-雨汚水!F75</f>
        <v>0</v>
      </c>
      <c r="G75" s="390">
        <f>+'雨汚水(共通按分後)'!G75-雨汚水!G75</f>
        <v>0</v>
      </c>
      <c r="H75" s="38">
        <f>+'雨汚水(共通按分後)'!H75-雨汚水!H75</f>
        <v>0</v>
      </c>
      <c r="I75" s="40">
        <f>+'雨汚水(共通按分後)'!I75-雨汚水!I75</f>
        <v>0</v>
      </c>
      <c r="J75" s="39">
        <f>+'雨汚水(共通按分後)'!J75-雨汚水!J75</f>
        <v>0</v>
      </c>
      <c r="K75" s="38">
        <f>+'雨汚水(共通按分後)'!K75-雨汚水!K75</f>
        <v>0</v>
      </c>
      <c r="L75" s="37">
        <f>+'雨汚水(共通按分後)'!L75-雨汚水!L75</f>
        <v>0</v>
      </c>
      <c r="M75" s="36">
        <f>+'雨汚水(共通按分後)'!M75-雨汚水!M75</f>
        <v>0</v>
      </c>
      <c r="N75" s="41" t="s">
        <v>356</v>
      </c>
      <c r="O75" s="51">
        <f>+'雨汚水(共通按分後)'!O75-雨汚水!O75</f>
        <v>0</v>
      </c>
      <c r="P75" s="39">
        <f>+'雨汚水(共通按分後)'!P75-雨汚水!P75</f>
        <v>0</v>
      </c>
      <c r="Q75" s="390">
        <f>+'雨汚水(共通按分後)'!Q75-雨汚水!Q75</f>
        <v>0</v>
      </c>
      <c r="R75" s="38">
        <f>+'雨汚水(共通按分後)'!R75-雨汚水!R75</f>
        <v>0</v>
      </c>
      <c r="S75" s="40">
        <f>+'雨汚水(共通按分後)'!S75-雨汚水!S75</f>
        <v>0</v>
      </c>
      <c r="T75" s="39">
        <f>+'雨汚水(共通按分後)'!T75-雨汚水!T75</f>
        <v>0</v>
      </c>
      <c r="U75" s="38">
        <f>+'雨汚水(共通按分後)'!U75-雨汚水!U75</f>
        <v>0</v>
      </c>
      <c r="V75" s="37">
        <f>+'雨汚水(共通按分後)'!V75-雨汚水!V75</f>
        <v>0</v>
      </c>
      <c r="W75" s="36">
        <f>+'雨汚水(共通按分後)'!W75-雨汚水!W75</f>
        <v>0</v>
      </c>
      <c r="X75" s="41" t="s">
        <v>356</v>
      </c>
      <c r="Y75" s="41"/>
      <c r="Z75" s="41"/>
      <c r="AA75" s="41"/>
      <c r="AB75" s="41"/>
      <c r="AC75" s="41"/>
      <c r="AD75" s="51">
        <f>+'雨汚水(共通按分後)'!AD75-雨汚水!AD75</f>
        <v>0</v>
      </c>
      <c r="AE75" s="39">
        <f>+'雨汚水(共通按分後)'!AE75-雨汚水!AE75</f>
        <v>0</v>
      </c>
      <c r="AF75" s="390">
        <f>+'雨汚水(共通按分後)'!AF75-雨汚水!AF75</f>
        <v>0</v>
      </c>
      <c r="AG75" s="38">
        <f>+'雨汚水(共通按分後)'!AG75-雨汚水!AG75</f>
        <v>0</v>
      </c>
      <c r="AH75" s="40">
        <f>+'雨汚水(共通按分後)'!AH75-雨汚水!AH75</f>
        <v>0</v>
      </c>
      <c r="AI75" s="39">
        <f>+'雨汚水(共通按分後)'!AI75-雨汚水!AI75</f>
        <v>0</v>
      </c>
      <c r="AJ75" s="38">
        <f>+'雨汚水(共通按分後)'!AJ75-雨汚水!AJ75</f>
        <v>0</v>
      </c>
      <c r="AK75" s="37">
        <f>+'雨汚水(共通按分後)'!AK75-雨汚水!AK75</f>
        <v>0</v>
      </c>
      <c r="AL75" s="36">
        <f>+'雨汚水(共通按分後)'!AL75-雨汚水!AL75</f>
        <v>0</v>
      </c>
    </row>
    <row r="76" spans="1:38">
      <c r="A76" s="35"/>
      <c r="B76" s="45" t="s">
        <v>4</v>
      </c>
      <c r="C76" s="44" t="s">
        <v>14</v>
      </c>
      <c r="D76" s="41" t="s">
        <v>357</v>
      </c>
      <c r="E76" s="51">
        <f>+'雨汚水(共通按分後)'!E76-雨汚水!E76</f>
        <v>0</v>
      </c>
      <c r="F76" s="39">
        <f>+'雨汚水(共通按分後)'!F76-雨汚水!F76</f>
        <v>0</v>
      </c>
      <c r="G76" s="390">
        <f>+'雨汚水(共通按分後)'!G76-雨汚水!G76</f>
        <v>0</v>
      </c>
      <c r="H76" s="38">
        <f>+'雨汚水(共通按分後)'!H76-雨汚水!H76</f>
        <v>0</v>
      </c>
      <c r="I76" s="40">
        <f>+'雨汚水(共通按分後)'!I76-雨汚水!I76</f>
        <v>0</v>
      </c>
      <c r="J76" s="39">
        <f>+'雨汚水(共通按分後)'!J76-雨汚水!J76</f>
        <v>0</v>
      </c>
      <c r="K76" s="38">
        <f>+'雨汚水(共通按分後)'!K76-雨汚水!K76</f>
        <v>0</v>
      </c>
      <c r="L76" s="37">
        <f>+'雨汚水(共通按分後)'!L76-雨汚水!L76</f>
        <v>0</v>
      </c>
      <c r="M76" s="36">
        <f>+'雨汚水(共通按分後)'!M76-雨汚水!M76</f>
        <v>0</v>
      </c>
      <c r="N76" s="41" t="s">
        <v>357</v>
      </c>
      <c r="O76" s="51">
        <f>+'雨汚水(共通按分後)'!O76-雨汚水!O76</f>
        <v>0</v>
      </c>
      <c r="P76" s="39">
        <f>+'雨汚水(共通按分後)'!P76-雨汚水!P76</f>
        <v>0</v>
      </c>
      <c r="Q76" s="390">
        <f>+'雨汚水(共通按分後)'!Q76-雨汚水!Q76</f>
        <v>0</v>
      </c>
      <c r="R76" s="38">
        <f>+'雨汚水(共通按分後)'!R76-雨汚水!R76</f>
        <v>0</v>
      </c>
      <c r="S76" s="40">
        <f>+'雨汚水(共通按分後)'!S76-雨汚水!S76</f>
        <v>0</v>
      </c>
      <c r="T76" s="39">
        <f>+'雨汚水(共通按分後)'!T76-雨汚水!T76</f>
        <v>0</v>
      </c>
      <c r="U76" s="38">
        <f>+'雨汚水(共通按分後)'!U76-雨汚水!U76</f>
        <v>0</v>
      </c>
      <c r="V76" s="37">
        <f>+'雨汚水(共通按分後)'!V76-雨汚水!V76</f>
        <v>0</v>
      </c>
      <c r="W76" s="36">
        <f>+'雨汚水(共通按分後)'!W76-雨汚水!W76</f>
        <v>0</v>
      </c>
      <c r="X76" s="41" t="s">
        <v>370</v>
      </c>
      <c r="Y76" s="41"/>
      <c r="Z76" s="41"/>
      <c r="AA76" s="41"/>
      <c r="AB76" s="41"/>
      <c r="AC76" s="41"/>
      <c r="AD76" s="51">
        <f>+'雨汚水(共通按分後)'!AD76-雨汚水!AD76</f>
        <v>0</v>
      </c>
      <c r="AE76" s="39">
        <f>+'雨汚水(共通按分後)'!AE76-雨汚水!AE76</f>
        <v>0</v>
      </c>
      <c r="AF76" s="390">
        <f>+'雨汚水(共通按分後)'!AF76-雨汚水!AF76</f>
        <v>0</v>
      </c>
      <c r="AG76" s="38">
        <f>+'雨汚水(共通按分後)'!AG76-雨汚水!AG76</f>
        <v>0</v>
      </c>
      <c r="AH76" s="40">
        <f>+'雨汚水(共通按分後)'!AH76-雨汚水!AH76</f>
        <v>0</v>
      </c>
      <c r="AI76" s="39">
        <f>+'雨汚水(共通按分後)'!AI76-雨汚水!AI76</f>
        <v>0</v>
      </c>
      <c r="AJ76" s="38">
        <f>+'雨汚水(共通按分後)'!AJ76-雨汚水!AJ76</f>
        <v>0</v>
      </c>
      <c r="AK76" s="37">
        <f>+'雨汚水(共通按分後)'!AK76-雨汚水!AK76</f>
        <v>0</v>
      </c>
      <c r="AL76" s="36">
        <f>+'雨汚水(共通按分後)'!AL76-雨汚水!AL76</f>
        <v>0</v>
      </c>
    </row>
    <row r="77" spans="1:38">
      <c r="A77" s="35"/>
      <c r="B77" s="45" t="s">
        <v>4</v>
      </c>
      <c r="C77" s="44" t="s">
        <v>14</v>
      </c>
      <c r="D77" s="60" t="s">
        <v>358</v>
      </c>
      <c r="E77" s="51">
        <f>+'雨汚水(共通按分後)'!E77-雨汚水!E77</f>
        <v>0</v>
      </c>
      <c r="F77" s="39">
        <f>+'雨汚水(共通按分後)'!F77-雨汚水!F77</f>
        <v>0</v>
      </c>
      <c r="G77" s="390">
        <f>+'雨汚水(共通按分後)'!G77-雨汚水!G77</f>
        <v>0</v>
      </c>
      <c r="H77" s="38">
        <f>+'雨汚水(共通按分後)'!H77-雨汚水!H77</f>
        <v>0</v>
      </c>
      <c r="I77" s="40">
        <f>+'雨汚水(共通按分後)'!I77-雨汚水!I77</f>
        <v>0</v>
      </c>
      <c r="J77" s="39">
        <f>+'雨汚水(共通按分後)'!J77-雨汚水!J77</f>
        <v>0</v>
      </c>
      <c r="K77" s="38">
        <f>+'雨汚水(共通按分後)'!K77-雨汚水!K77</f>
        <v>0</v>
      </c>
      <c r="L77" s="37">
        <f>+'雨汚水(共通按分後)'!L77-雨汚水!L77</f>
        <v>0</v>
      </c>
      <c r="M77" s="36">
        <f>+'雨汚水(共通按分後)'!M77-雨汚水!M77</f>
        <v>0</v>
      </c>
      <c r="N77" s="60" t="s">
        <v>358</v>
      </c>
      <c r="O77" s="51">
        <f>+'雨汚水(共通按分後)'!O77-雨汚水!O77</f>
        <v>0</v>
      </c>
      <c r="P77" s="39">
        <f>+'雨汚水(共通按分後)'!P77-雨汚水!P77</f>
        <v>0</v>
      </c>
      <c r="Q77" s="390">
        <f>+'雨汚水(共通按分後)'!Q77-雨汚水!Q77</f>
        <v>0</v>
      </c>
      <c r="R77" s="38">
        <f>+'雨汚水(共通按分後)'!R77-雨汚水!R77</f>
        <v>0</v>
      </c>
      <c r="S77" s="40">
        <f>+'雨汚水(共通按分後)'!S77-雨汚水!S77</f>
        <v>0</v>
      </c>
      <c r="T77" s="39">
        <f>+'雨汚水(共通按分後)'!T77-雨汚水!T77</f>
        <v>0</v>
      </c>
      <c r="U77" s="38">
        <f>+'雨汚水(共通按分後)'!U77-雨汚水!U77</f>
        <v>0</v>
      </c>
      <c r="V77" s="37">
        <f>+'雨汚水(共通按分後)'!V77-雨汚水!V77</f>
        <v>0</v>
      </c>
      <c r="W77" s="36">
        <f>+'雨汚水(共通按分後)'!W77-雨汚水!W77</f>
        <v>0</v>
      </c>
      <c r="X77" s="60" t="s">
        <v>371</v>
      </c>
      <c r="Y77" s="60"/>
      <c r="Z77" s="60"/>
      <c r="AA77" s="60"/>
      <c r="AB77" s="60"/>
      <c r="AC77" s="60"/>
      <c r="AD77" s="51">
        <f>+'雨汚水(共通按分後)'!AD77-雨汚水!AD77</f>
        <v>0</v>
      </c>
      <c r="AE77" s="39">
        <f>+'雨汚水(共通按分後)'!AE77-雨汚水!AE77</f>
        <v>0</v>
      </c>
      <c r="AF77" s="390">
        <f>+'雨汚水(共通按分後)'!AF77-雨汚水!AF77</f>
        <v>0</v>
      </c>
      <c r="AG77" s="38">
        <f>+'雨汚水(共通按分後)'!AG77-雨汚水!AG77</f>
        <v>0</v>
      </c>
      <c r="AH77" s="40">
        <f>+'雨汚水(共通按分後)'!AH77-雨汚水!AH77</f>
        <v>0</v>
      </c>
      <c r="AI77" s="39">
        <f>+'雨汚水(共通按分後)'!AI77-雨汚水!AI77</f>
        <v>0</v>
      </c>
      <c r="AJ77" s="38">
        <f>+'雨汚水(共通按分後)'!AJ77-雨汚水!AJ77</f>
        <v>0</v>
      </c>
      <c r="AK77" s="37">
        <f>+'雨汚水(共通按分後)'!AK77-雨汚水!AK77</f>
        <v>0</v>
      </c>
      <c r="AL77" s="36">
        <f>+'雨汚水(共通按分後)'!AL77-雨汚水!AL77</f>
        <v>0</v>
      </c>
    </row>
    <row r="78" spans="1:38">
      <c r="A78" s="35"/>
      <c r="B78" s="45"/>
      <c r="C78" s="44"/>
      <c r="D78" s="41"/>
      <c r="E78" s="51">
        <f>+'雨汚水(共通按分後)'!E78-雨汚水!E78</f>
        <v>0</v>
      </c>
      <c r="F78" s="39">
        <f>+'雨汚水(共通按分後)'!F78-雨汚水!F78</f>
        <v>0</v>
      </c>
      <c r="G78" s="390">
        <f>+'雨汚水(共通按分後)'!G78-雨汚水!G78</f>
        <v>0</v>
      </c>
      <c r="H78" s="38">
        <f>+'雨汚水(共通按分後)'!H78-雨汚水!H78</f>
        <v>0</v>
      </c>
      <c r="I78" s="40">
        <f>+'雨汚水(共通按分後)'!I78-雨汚水!I78</f>
        <v>0</v>
      </c>
      <c r="J78" s="39">
        <f>+'雨汚水(共通按分後)'!J78-雨汚水!J78</f>
        <v>0</v>
      </c>
      <c r="K78" s="38">
        <f>+'雨汚水(共通按分後)'!K78-雨汚水!K78</f>
        <v>0</v>
      </c>
      <c r="L78" s="37">
        <f>+'雨汚水(共通按分後)'!L78-雨汚水!L78</f>
        <v>0</v>
      </c>
      <c r="M78" s="36">
        <f>+'雨汚水(共通按分後)'!M78-雨汚水!M78</f>
        <v>0</v>
      </c>
      <c r="N78" s="41"/>
      <c r="O78" s="51">
        <f>+'雨汚水(共通按分後)'!O78-雨汚水!O78</f>
        <v>0</v>
      </c>
      <c r="P78" s="39">
        <f>+'雨汚水(共通按分後)'!P78-雨汚水!P78</f>
        <v>0</v>
      </c>
      <c r="Q78" s="390">
        <f>+'雨汚水(共通按分後)'!Q78-雨汚水!Q78</f>
        <v>0</v>
      </c>
      <c r="R78" s="38">
        <f>+'雨汚水(共通按分後)'!R78-雨汚水!R78</f>
        <v>0</v>
      </c>
      <c r="S78" s="40">
        <f>+'雨汚水(共通按分後)'!S78-雨汚水!S78</f>
        <v>0</v>
      </c>
      <c r="T78" s="39">
        <f>+'雨汚水(共通按分後)'!T78-雨汚水!T78</f>
        <v>0</v>
      </c>
      <c r="U78" s="38">
        <f>+'雨汚水(共通按分後)'!U78-雨汚水!U78</f>
        <v>0</v>
      </c>
      <c r="V78" s="37">
        <f>+'雨汚水(共通按分後)'!V78-雨汚水!V78</f>
        <v>0</v>
      </c>
      <c r="W78" s="36">
        <f>+'雨汚水(共通按分後)'!W78-雨汚水!W78</f>
        <v>0</v>
      </c>
      <c r="X78" s="41"/>
      <c r="Y78" s="41"/>
      <c r="Z78" s="41"/>
      <c r="AA78" s="41"/>
      <c r="AB78" s="41"/>
      <c r="AC78" s="41"/>
      <c r="AD78" s="51">
        <f>+'雨汚水(共通按分後)'!AD78-雨汚水!AD78</f>
        <v>0</v>
      </c>
      <c r="AE78" s="39">
        <f>+'雨汚水(共通按分後)'!AE78-雨汚水!AE78</f>
        <v>0</v>
      </c>
      <c r="AF78" s="390">
        <f>+'雨汚水(共通按分後)'!AF78-雨汚水!AF78</f>
        <v>0</v>
      </c>
      <c r="AG78" s="38">
        <f>+'雨汚水(共通按分後)'!AG78-雨汚水!AG78</f>
        <v>0</v>
      </c>
      <c r="AH78" s="40">
        <f>+'雨汚水(共通按分後)'!AH78-雨汚水!AH78</f>
        <v>0</v>
      </c>
      <c r="AI78" s="39">
        <f>+'雨汚水(共通按分後)'!AI78-雨汚水!AI78</f>
        <v>0</v>
      </c>
      <c r="AJ78" s="38">
        <f>+'雨汚水(共通按分後)'!AJ78-雨汚水!AJ78</f>
        <v>0</v>
      </c>
      <c r="AK78" s="37">
        <f>+'雨汚水(共通按分後)'!AK78-雨汚水!AK78</f>
        <v>0</v>
      </c>
      <c r="AL78" s="36">
        <f>+'雨汚水(共通按分後)'!AL78-雨汚水!AL78</f>
        <v>0</v>
      </c>
    </row>
    <row r="79" spans="1:38">
      <c r="A79" s="35"/>
      <c r="B79" s="45" t="s">
        <v>4</v>
      </c>
      <c r="C79" s="44" t="s">
        <v>8</v>
      </c>
      <c r="D79" s="41" t="s">
        <v>29</v>
      </c>
      <c r="E79" s="51">
        <f>+'雨汚水(共通按分後)'!E79-雨汚水!E79</f>
        <v>0</v>
      </c>
      <c r="F79" s="39">
        <f>+'雨汚水(共通按分後)'!F79-雨汚水!F79</f>
        <v>0</v>
      </c>
      <c r="G79" s="390">
        <f>+'雨汚水(共通按分後)'!G79-雨汚水!G79</f>
        <v>0</v>
      </c>
      <c r="H79" s="38">
        <f>+'雨汚水(共通按分後)'!H79-雨汚水!H79</f>
        <v>0</v>
      </c>
      <c r="I79" s="40">
        <f>+'雨汚水(共通按分後)'!I79-雨汚水!I79</f>
        <v>0</v>
      </c>
      <c r="J79" s="39">
        <f>+'雨汚水(共通按分後)'!J79-雨汚水!J79</f>
        <v>0</v>
      </c>
      <c r="K79" s="38">
        <f>+'雨汚水(共通按分後)'!K79-雨汚水!K79</f>
        <v>0</v>
      </c>
      <c r="L79" s="37">
        <f>+'雨汚水(共通按分後)'!L79-雨汚水!L79</f>
        <v>0</v>
      </c>
      <c r="M79" s="36">
        <f>+'雨汚水(共通按分後)'!M79-雨汚水!M79</f>
        <v>0</v>
      </c>
      <c r="N79" s="41" t="s">
        <v>29</v>
      </c>
      <c r="O79" s="51">
        <f>+'雨汚水(共通按分後)'!O79-雨汚水!O79</f>
        <v>0</v>
      </c>
      <c r="P79" s="39">
        <f>+'雨汚水(共通按分後)'!P79-雨汚水!P79</f>
        <v>0</v>
      </c>
      <c r="Q79" s="390">
        <f>+'雨汚水(共通按分後)'!Q79-雨汚水!Q79</f>
        <v>0</v>
      </c>
      <c r="R79" s="38">
        <f>+'雨汚水(共通按分後)'!R79-雨汚水!R79</f>
        <v>0</v>
      </c>
      <c r="S79" s="40">
        <f>+'雨汚水(共通按分後)'!S79-雨汚水!S79</f>
        <v>0</v>
      </c>
      <c r="T79" s="39">
        <f>+'雨汚水(共通按分後)'!T79-雨汚水!T79</f>
        <v>0</v>
      </c>
      <c r="U79" s="38">
        <f>+'雨汚水(共通按分後)'!U79-雨汚水!U79</f>
        <v>0</v>
      </c>
      <c r="V79" s="37">
        <f>+'雨汚水(共通按分後)'!V79-雨汚水!V79</f>
        <v>0</v>
      </c>
      <c r="W79" s="36">
        <f>+'雨汚水(共通按分後)'!W79-雨汚水!W79</f>
        <v>0</v>
      </c>
      <c r="X79" s="41" t="s">
        <v>29</v>
      </c>
      <c r="Y79" s="461"/>
      <c r="Z79" s="461"/>
      <c r="AA79" s="461"/>
      <c r="AB79" s="461"/>
      <c r="AC79" s="461"/>
      <c r="AD79" s="51">
        <f>+'雨汚水(共通按分後)'!AD79-雨汚水!AD79</f>
        <v>0</v>
      </c>
      <c r="AE79" s="39">
        <f>+'雨汚水(共通按分後)'!AE79-雨汚水!AE79</f>
        <v>0</v>
      </c>
      <c r="AF79" s="390">
        <f>+'雨汚水(共通按分後)'!AF79-雨汚水!AF79</f>
        <v>0</v>
      </c>
      <c r="AG79" s="38">
        <f>+'雨汚水(共通按分後)'!AG79-雨汚水!AG79</f>
        <v>0</v>
      </c>
      <c r="AH79" s="40">
        <f>+'雨汚水(共通按分後)'!AH79-雨汚水!AH79</f>
        <v>0</v>
      </c>
      <c r="AI79" s="39">
        <f>+'雨汚水(共通按分後)'!AI79-雨汚水!AI79</f>
        <v>0</v>
      </c>
      <c r="AJ79" s="38">
        <f>+'雨汚水(共通按分後)'!AJ79-雨汚水!AJ79</f>
        <v>0</v>
      </c>
      <c r="AK79" s="37">
        <f>+'雨汚水(共通按分後)'!AK79-雨汚水!AK79</f>
        <v>0</v>
      </c>
      <c r="AL79" s="36">
        <f>+'雨汚水(共通按分後)'!AL79-雨汚水!AL79</f>
        <v>0</v>
      </c>
    </row>
    <row r="80" spans="1:38">
      <c r="A80" s="35"/>
      <c r="B80" s="45" t="s">
        <v>4</v>
      </c>
      <c r="C80" s="44" t="s">
        <v>8</v>
      </c>
      <c r="D80" s="41" t="s">
        <v>11</v>
      </c>
      <c r="E80" s="51">
        <f>+'雨汚水(共通按分後)'!E80-雨汚水!E80</f>
        <v>334220</v>
      </c>
      <c r="F80" s="39">
        <f>+'雨汚水(共通按分後)'!F80-雨汚水!F80</f>
        <v>281270</v>
      </c>
      <c r="G80" s="390">
        <f>+'雨汚水(共通按分後)'!G80-雨汚水!G80</f>
        <v>0</v>
      </c>
      <c r="H80" s="38">
        <f>+'雨汚水(共通按分後)'!H80-雨汚水!H80</f>
        <v>0</v>
      </c>
      <c r="I80" s="40">
        <f>+'雨汚水(共通按分後)'!I80-雨汚水!I80</f>
        <v>281270</v>
      </c>
      <c r="J80" s="39">
        <f>+'雨汚水(共通按分後)'!J80-雨汚水!J80</f>
        <v>0</v>
      </c>
      <c r="K80" s="38">
        <f>+'雨汚水(共通按分後)'!K80-雨汚水!K80</f>
        <v>52950</v>
      </c>
      <c r="L80" s="37">
        <f>+'雨汚水(共通按分後)'!L80-雨汚水!L80</f>
        <v>52950</v>
      </c>
      <c r="M80" s="36">
        <f>+'雨汚水(共通按分後)'!M80-雨汚水!M80</f>
        <v>0</v>
      </c>
      <c r="N80" s="41" t="s">
        <v>11</v>
      </c>
      <c r="O80" s="51">
        <f>+'雨汚水(共通按分後)'!O80-雨汚水!O80</f>
        <v>334220</v>
      </c>
      <c r="P80" s="39">
        <f>+'雨汚水(共通按分後)'!P80-雨汚水!P80</f>
        <v>281270</v>
      </c>
      <c r="Q80" s="390">
        <f>+'雨汚水(共通按分後)'!Q80-雨汚水!Q80</f>
        <v>0</v>
      </c>
      <c r="R80" s="38">
        <f>+'雨汚水(共通按分後)'!R80-雨汚水!R80</f>
        <v>0</v>
      </c>
      <c r="S80" s="40">
        <f>+'雨汚水(共通按分後)'!S80-雨汚水!S80</f>
        <v>281270</v>
      </c>
      <c r="T80" s="39">
        <f>+'雨汚水(共通按分後)'!T80-雨汚水!T80</f>
        <v>0</v>
      </c>
      <c r="U80" s="38">
        <f>+'雨汚水(共通按分後)'!U80-雨汚水!U80</f>
        <v>52950</v>
      </c>
      <c r="V80" s="37">
        <f>+'雨汚水(共通按分後)'!V80-雨汚水!V80</f>
        <v>52950</v>
      </c>
      <c r="W80" s="36">
        <f>+'雨汚水(共通按分後)'!W80-雨汚水!W80</f>
        <v>0</v>
      </c>
      <c r="X80" s="41" t="s">
        <v>11</v>
      </c>
      <c r="Y80" s="461"/>
      <c r="Z80" s="461"/>
      <c r="AA80" s="461"/>
      <c r="AB80" s="461"/>
      <c r="AC80" s="461"/>
      <c r="AD80" s="51">
        <f>+'雨汚水(共通按分後)'!AD80-雨汚水!AD80</f>
        <v>334220</v>
      </c>
      <c r="AE80" s="39">
        <f>+'雨汚水(共通按分後)'!AE80-雨汚水!AE80</f>
        <v>281270</v>
      </c>
      <c r="AF80" s="390">
        <f>+'雨汚水(共通按分後)'!AF80-雨汚水!AF80</f>
        <v>0</v>
      </c>
      <c r="AG80" s="38">
        <f>+'雨汚水(共通按分後)'!AG80-雨汚水!AG80</f>
        <v>0</v>
      </c>
      <c r="AH80" s="40">
        <f>+'雨汚水(共通按分後)'!AH80-雨汚水!AH80</f>
        <v>281270</v>
      </c>
      <c r="AI80" s="39">
        <f>+'雨汚水(共通按分後)'!AI80-雨汚水!AI80</f>
        <v>0</v>
      </c>
      <c r="AJ80" s="38">
        <f>+'雨汚水(共通按分後)'!AJ80-雨汚水!AJ80</f>
        <v>52950</v>
      </c>
      <c r="AK80" s="37">
        <f>+'雨汚水(共通按分後)'!AK80-雨汚水!AK80</f>
        <v>52950</v>
      </c>
      <c r="AL80" s="36">
        <f>+'雨汚水(共通按分後)'!AL80-雨汚水!AL80</f>
        <v>0</v>
      </c>
    </row>
    <row r="81" spans="1:38">
      <c r="A81" s="35"/>
      <c r="B81" s="45" t="s">
        <v>4</v>
      </c>
      <c r="C81" s="44" t="s">
        <v>8</v>
      </c>
      <c r="D81" s="41" t="s">
        <v>26</v>
      </c>
      <c r="E81" s="51">
        <f>+'雨汚水(共通按分後)'!E81-雨汚水!E81</f>
        <v>0</v>
      </c>
      <c r="F81" s="39">
        <f>+'雨汚水(共通按分後)'!F81-雨汚水!F81</f>
        <v>0</v>
      </c>
      <c r="G81" s="390">
        <f>+'雨汚水(共通按分後)'!G81-雨汚水!G81</f>
        <v>0</v>
      </c>
      <c r="H81" s="38">
        <f>+'雨汚水(共通按分後)'!H81-雨汚水!H81</f>
        <v>0</v>
      </c>
      <c r="I81" s="40">
        <f>+'雨汚水(共通按分後)'!I81-雨汚水!I81</f>
        <v>0</v>
      </c>
      <c r="J81" s="39">
        <f>+'雨汚水(共通按分後)'!J81-雨汚水!J81</f>
        <v>0</v>
      </c>
      <c r="K81" s="38">
        <f>+'雨汚水(共通按分後)'!K81-雨汚水!K81</f>
        <v>0</v>
      </c>
      <c r="L81" s="37">
        <f>+'雨汚水(共通按分後)'!L81-雨汚水!L81</f>
        <v>0</v>
      </c>
      <c r="M81" s="36">
        <f>+'雨汚水(共通按分後)'!M81-雨汚水!M81</f>
        <v>0</v>
      </c>
      <c r="N81" s="41" t="s">
        <v>26</v>
      </c>
      <c r="O81" s="51">
        <f>+'雨汚水(共通按分後)'!O81-雨汚水!O81</f>
        <v>0</v>
      </c>
      <c r="P81" s="39">
        <f>+'雨汚水(共通按分後)'!P81-雨汚水!P81</f>
        <v>0</v>
      </c>
      <c r="Q81" s="390">
        <f>+'雨汚水(共通按分後)'!Q81-雨汚水!Q81</f>
        <v>0</v>
      </c>
      <c r="R81" s="38">
        <f>+'雨汚水(共通按分後)'!R81-雨汚水!R81</f>
        <v>0</v>
      </c>
      <c r="S81" s="40">
        <f>+'雨汚水(共通按分後)'!S81-雨汚水!S81</f>
        <v>0</v>
      </c>
      <c r="T81" s="39">
        <f>+'雨汚水(共通按分後)'!T81-雨汚水!T81</f>
        <v>0</v>
      </c>
      <c r="U81" s="38">
        <f>+'雨汚水(共通按分後)'!U81-雨汚水!U81</f>
        <v>0</v>
      </c>
      <c r="V81" s="37">
        <f>+'雨汚水(共通按分後)'!V81-雨汚水!V81</f>
        <v>0</v>
      </c>
      <c r="W81" s="36">
        <f>+'雨汚水(共通按分後)'!W81-雨汚水!W81</f>
        <v>0</v>
      </c>
      <c r="X81" s="41" t="s">
        <v>26</v>
      </c>
      <c r="Y81" s="461"/>
      <c r="Z81" s="461"/>
      <c r="AA81" s="461"/>
      <c r="AB81" s="461"/>
      <c r="AC81" s="461"/>
      <c r="AD81" s="51">
        <f>+'雨汚水(共通按分後)'!AD81-雨汚水!AD81</f>
        <v>0</v>
      </c>
      <c r="AE81" s="39">
        <f>+'雨汚水(共通按分後)'!AE81-雨汚水!AE81</f>
        <v>0</v>
      </c>
      <c r="AF81" s="390">
        <f>+'雨汚水(共通按分後)'!AF81-雨汚水!AF81</f>
        <v>0</v>
      </c>
      <c r="AG81" s="38">
        <f>+'雨汚水(共通按分後)'!AG81-雨汚水!AG81</f>
        <v>0</v>
      </c>
      <c r="AH81" s="40">
        <f>+'雨汚水(共通按分後)'!AH81-雨汚水!AH81</f>
        <v>0</v>
      </c>
      <c r="AI81" s="39">
        <f>+'雨汚水(共通按分後)'!AI81-雨汚水!AI81</f>
        <v>0</v>
      </c>
      <c r="AJ81" s="38">
        <f>+'雨汚水(共通按分後)'!AJ81-雨汚水!AJ81</f>
        <v>0</v>
      </c>
      <c r="AK81" s="37">
        <f>+'雨汚水(共通按分後)'!AK81-雨汚水!AK81</f>
        <v>0</v>
      </c>
      <c r="AL81" s="36">
        <f>+'雨汚水(共通按分後)'!AL81-雨汚水!AL81</f>
        <v>0</v>
      </c>
    </row>
    <row r="82" spans="1:38">
      <c r="A82" s="35"/>
      <c r="B82" s="45" t="s">
        <v>4</v>
      </c>
      <c r="C82" s="44" t="s">
        <v>8</v>
      </c>
      <c r="D82" s="41" t="s">
        <v>25</v>
      </c>
      <c r="E82" s="51">
        <f>+'雨汚水(共通按分後)'!E82-雨汚水!E82</f>
        <v>0</v>
      </c>
      <c r="F82" s="39">
        <f>+'雨汚水(共通按分後)'!F82-雨汚水!F82</f>
        <v>0</v>
      </c>
      <c r="G82" s="390">
        <f>+'雨汚水(共通按分後)'!G82-雨汚水!G82</f>
        <v>0</v>
      </c>
      <c r="H82" s="38">
        <f>+'雨汚水(共通按分後)'!H82-雨汚水!H82</f>
        <v>0</v>
      </c>
      <c r="I82" s="40">
        <f>+'雨汚水(共通按分後)'!I82-雨汚水!I82</f>
        <v>0</v>
      </c>
      <c r="J82" s="39">
        <f>+'雨汚水(共通按分後)'!J82-雨汚水!J82</f>
        <v>0</v>
      </c>
      <c r="K82" s="38">
        <f>+'雨汚水(共通按分後)'!K82-雨汚水!K82</f>
        <v>0</v>
      </c>
      <c r="L82" s="37">
        <f>+'雨汚水(共通按分後)'!L82-雨汚水!L82</f>
        <v>0</v>
      </c>
      <c r="M82" s="36">
        <f>+'雨汚水(共通按分後)'!M82-雨汚水!M82</f>
        <v>0</v>
      </c>
      <c r="N82" s="41" t="s">
        <v>25</v>
      </c>
      <c r="O82" s="51">
        <f>+'雨汚水(共通按分後)'!O82-雨汚水!O82</f>
        <v>0</v>
      </c>
      <c r="P82" s="39">
        <f>+'雨汚水(共通按分後)'!P82-雨汚水!P82</f>
        <v>0</v>
      </c>
      <c r="Q82" s="390">
        <f>+'雨汚水(共通按分後)'!Q82-雨汚水!Q82</f>
        <v>0</v>
      </c>
      <c r="R82" s="38">
        <f>+'雨汚水(共通按分後)'!R82-雨汚水!R82</f>
        <v>0</v>
      </c>
      <c r="S82" s="40">
        <f>+'雨汚水(共通按分後)'!S82-雨汚水!S82</f>
        <v>0</v>
      </c>
      <c r="T82" s="39">
        <f>+'雨汚水(共通按分後)'!T82-雨汚水!T82</f>
        <v>0</v>
      </c>
      <c r="U82" s="38">
        <f>+'雨汚水(共通按分後)'!U82-雨汚水!U82</f>
        <v>0</v>
      </c>
      <c r="V82" s="37">
        <f>+'雨汚水(共通按分後)'!V82-雨汚水!V82</f>
        <v>0</v>
      </c>
      <c r="W82" s="36">
        <f>+'雨汚水(共通按分後)'!W82-雨汚水!W82</f>
        <v>0</v>
      </c>
      <c r="X82" s="41" t="s">
        <v>25</v>
      </c>
      <c r="Y82" s="461"/>
      <c r="Z82" s="461"/>
      <c r="AA82" s="461"/>
      <c r="AB82" s="461"/>
      <c r="AC82" s="461"/>
      <c r="AD82" s="51">
        <f>+'雨汚水(共通按分後)'!AD82-雨汚水!AD82</f>
        <v>0</v>
      </c>
      <c r="AE82" s="39">
        <f>+'雨汚水(共通按分後)'!AE82-雨汚水!AE82</f>
        <v>0</v>
      </c>
      <c r="AF82" s="390">
        <f>+'雨汚水(共通按分後)'!AF82-雨汚水!AF82</f>
        <v>0</v>
      </c>
      <c r="AG82" s="38">
        <f>+'雨汚水(共通按分後)'!AG82-雨汚水!AG82</f>
        <v>0</v>
      </c>
      <c r="AH82" s="40">
        <f>+'雨汚水(共通按分後)'!AH82-雨汚水!AH82</f>
        <v>0</v>
      </c>
      <c r="AI82" s="39">
        <f>+'雨汚水(共通按分後)'!AI82-雨汚水!AI82</f>
        <v>0</v>
      </c>
      <c r="AJ82" s="38">
        <f>+'雨汚水(共通按分後)'!AJ82-雨汚水!AJ82</f>
        <v>0</v>
      </c>
      <c r="AK82" s="37">
        <f>+'雨汚水(共通按分後)'!AK82-雨汚水!AK82</f>
        <v>0</v>
      </c>
      <c r="AL82" s="36">
        <f>+'雨汚水(共通按分後)'!AL82-雨汚水!AL82</f>
        <v>0</v>
      </c>
    </row>
    <row r="83" spans="1:38">
      <c r="A83" s="35"/>
      <c r="B83" s="45" t="s">
        <v>4</v>
      </c>
      <c r="C83" s="44" t="s">
        <v>8</v>
      </c>
      <c r="D83" s="41" t="s">
        <v>24</v>
      </c>
      <c r="E83" s="51">
        <f>+'雨汚水(共通按分後)'!E83-雨汚水!E83</f>
        <v>0</v>
      </c>
      <c r="F83" s="39">
        <f>+'雨汚水(共通按分後)'!F83-雨汚水!F83</f>
        <v>0</v>
      </c>
      <c r="G83" s="390">
        <f>+'雨汚水(共通按分後)'!G83-雨汚水!G83</f>
        <v>0</v>
      </c>
      <c r="H83" s="38">
        <f>+'雨汚水(共通按分後)'!H83-雨汚水!H83</f>
        <v>0</v>
      </c>
      <c r="I83" s="40">
        <f>+'雨汚水(共通按分後)'!I83-雨汚水!I83</f>
        <v>0</v>
      </c>
      <c r="J83" s="39">
        <f>+'雨汚水(共通按分後)'!J83-雨汚水!J83</f>
        <v>0</v>
      </c>
      <c r="K83" s="38">
        <f>+'雨汚水(共通按分後)'!K83-雨汚水!K83</f>
        <v>0</v>
      </c>
      <c r="L83" s="37">
        <f>+'雨汚水(共通按分後)'!L83-雨汚水!L83</f>
        <v>0</v>
      </c>
      <c r="M83" s="36">
        <f>+'雨汚水(共通按分後)'!M83-雨汚水!M83</f>
        <v>0</v>
      </c>
      <c r="N83" s="41" t="s">
        <v>24</v>
      </c>
      <c r="O83" s="51">
        <f>+'雨汚水(共通按分後)'!O83-雨汚水!O83</f>
        <v>0</v>
      </c>
      <c r="P83" s="39">
        <f>+'雨汚水(共通按分後)'!P83-雨汚水!P83</f>
        <v>0</v>
      </c>
      <c r="Q83" s="390">
        <f>+'雨汚水(共通按分後)'!Q83-雨汚水!Q83</f>
        <v>0</v>
      </c>
      <c r="R83" s="38">
        <f>+'雨汚水(共通按分後)'!R83-雨汚水!R83</f>
        <v>0</v>
      </c>
      <c r="S83" s="40">
        <f>+'雨汚水(共通按分後)'!S83-雨汚水!S83</f>
        <v>0</v>
      </c>
      <c r="T83" s="39">
        <f>+'雨汚水(共通按分後)'!T83-雨汚水!T83</f>
        <v>0</v>
      </c>
      <c r="U83" s="38">
        <f>+'雨汚水(共通按分後)'!U83-雨汚水!U83</f>
        <v>0</v>
      </c>
      <c r="V83" s="37">
        <f>+'雨汚水(共通按分後)'!V83-雨汚水!V83</f>
        <v>0</v>
      </c>
      <c r="W83" s="36">
        <f>+'雨汚水(共通按分後)'!W83-雨汚水!W83</f>
        <v>0</v>
      </c>
      <c r="X83" s="41" t="s">
        <v>24</v>
      </c>
      <c r="Y83" s="461"/>
      <c r="Z83" s="461"/>
      <c r="AA83" s="461"/>
      <c r="AB83" s="461"/>
      <c r="AC83" s="461"/>
      <c r="AD83" s="51">
        <f>+'雨汚水(共通按分後)'!AD83-雨汚水!AD83</f>
        <v>0</v>
      </c>
      <c r="AE83" s="39">
        <f>+'雨汚水(共通按分後)'!AE83-雨汚水!AE83</f>
        <v>0</v>
      </c>
      <c r="AF83" s="390">
        <f>+'雨汚水(共通按分後)'!AF83-雨汚水!AF83</f>
        <v>0</v>
      </c>
      <c r="AG83" s="38">
        <f>+'雨汚水(共通按分後)'!AG83-雨汚水!AG83</f>
        <v>0</v>
      </c>
      <c r="AH83" s="40">
        <f>+'雨汚水(共通按分後)'!AH83-雨汚水!AH83</f>
        <v>0</v>
      </c>
      <c r="AI83" s="39">
        <f>+'雨汚水(共通按分後)'!AI83-雨汚水!AI83</f>
        <v>0</v>
      </c>
      <c r="AJ83" s="38">
        <f>+'雨汚水(共通按分後)'!AJ83-雨汚水!AJ83</f>
        <v>0</v>
      </c>
      <c r="AK83" s="37">
        <f>+'雨汚水(共通按分後)'!AK83-雨汚水!AK83</f>
        <v>0</v>
      </c>
      <c r="AL83" s="36">
        <f>+'雨汚水(共通按分後)'!AL83-雨汚水!AL83</f>
        <v>0</v>
      </c>
    </row>
    <row r="84" spans="1:38">
      <c r="A84" s="35"/>
      <c r="B84" s="45"/>
      <c r="C84" s="44"/>
      <c r="D84" s="41"/>
      <c r="E84" s="51">
        <f>+'雨汚水(共通按分後)'!E84-雨汚水!E84</f>
        <v>0</v>
      </c>
      <c r="F84" s="39">
        <f>+'雨汚水(共通按分後)'!F84-雨汚水!F84</f>
        <v>0</v>
      </c>
      <c r="G84" s="390">
        <f>+'雨汚水(共通按分後)'!G84-雨汚水!G84</f>
        <v>0</v>
      </c>
      <c r="H84" s="38">
        <f>+'雨汚水(共通按分後)'!H84-雨汚水!H84</f>
        <v>0</v>
      </c>
      <c r="I84" s="40">
        <f>+'雨汚水(共通按分後)'!I84-雨汚水!I84</f>
        <v>0</v>
      </c>
      <c r="J84" s="39">
        <f>+'雨汚水(共通按分後)'!J84-雨汚水!J84</f>
        <v>0</v>
      </c>
      <c r="K84" s="38">
        <f>+'雨汚水(共通按分後)'!K84-雨汚水!K84</f>
        <v>0</v>
      </c>
      <c r="L84" s="37">
        <f>+'雨汚水(共通按分後)'!L84-雨汚水!L84</f>
        <v>0</v>
      </c>
      <c r="M84" s="36">
        <f>+'雨汚水(共通按分後)'!M84-雨汚水!M84</f>
        <v>0</v>
      </c>
      <c r="N84" s="41"/>
      <c r="O84" s="51">
        <f>+'雨汚水(共通按分後)'!O84-雨汚水!O84</f>
        <v>0</v>
      </c>
      <c r="P84" s="39">
        <f>+'雨汚水(共通按分後)'!P84-雨汚水!P84</f>
        <v>0</v>
      </c>
      <c r="Q84" s="390">
        <f>+'雨汚水(共通按分後)'!Q84-雨汚水!Q84</f>
        <v>0</v>
      </c>
      <c r="R84" s="38">
        <f>+'雨汚水(共通按分後)'!R84-雨汚水!R84</f>
        <v>0</v>
      </c>
      <c r="S84" s="40">
        <f>+'雨汚水(共通按分後)'!S84-雨汚水!S84</f>
        <v>0</v>
      </c>
      <c r="T84" s="39">
        <f>+'雨汚水(共通按分後)'!T84-雨汚水!T84</f>
        <v>0</v>
      </c>
      <c r="U84" s="38">
        <f>+'雨汚水(共通按分後)'!U84-雨汚水!U84</f>
        <v>0</v>
      </c>
      <c r="V84" s="37">
        <f>+'雨汚水(共通按分後)'!V84-雨汚水!V84</f>
        <v>0</v>
      </c>
      <c r="W84" s="36">
        <f>+'雨汚水(共通按分後)'!W84-雨汚水!W84</f>
        <v>0</v>
      </c>
      <c r="X84" s="41"/>
      <c r="Y84" s="461"/>
      <c r="Z84" s="461"/>
      <c r="AA84" s="461"/>
      <c r="AB84" s="461"/>
      <c r="AC84" s="461"/>
      <c r="AD84" s="51">
        <f>+'雨汚水(共通按分後)'!AD84-雨汚水!AD84</f>
        <v>0</v>
      </c>
      <c r="AE84" s="39">
        <f>+'雨汚水(共通按分後)'!AE84-雨汚水!AE84</f>
        <v>0</v>
      </c>
      <c r="AF84" s="390">
        <f>+'雨汚水(共通按分後)'!AF84-雨汚水!AF84</f>
        <v>0</v>
      </c>
      <c r="AG84" s="38">
        <f>+'雨汚水(共通按分後)'!AG84-雨汚水!AG84</f>
        <v>0</v>
      </c>
      <c r="AH84" s="40">
        <f>+'雨汚水(共通按分後)'!AH84-雨汚水!AH84</f>
        <v>0</v>
      </c>
      <c r="AI84" s="39">
        <f>+'雨汚水(共通按分後)'!AI84-雨汚水!AI84</f>
        <v>0</v>
      </c>
      <c r="AJ84" s="38">
        <f>+'雨汚水(共通按分後)'!AJ84-雨汚水!AJ84</f>
        <v>0</v>
      </c>
      <c r="AK84" s="37">
        <f>+'雨汚水(共通按分後)'!AK84-雨汚水!AK84</f>
        <v>0</v>
      </c>
      <c r="AL84" s="36">
        <f>+'雨汚水(共通按分後)'!AL84-雨汚水!AL84</f>
        <v>0</v>
      </c>
    </row>
    <row r="85" spans="1:38">
      <c r="A85" s="35"/>
      <c r="B85" s="45" t="s">
        <v>2</v>
      </c>
      <c r="C85" s="44" t="s">
        <v>21</v>
      </c>
      <c r="D85" s="41" t="s">
        <v>22</v>
      </c>
      <c r="E85" s="51">
        <f>+'雨汚水(共通按分後)'!E85-雨汚水!E85</f>
        <v>-14322236</v>
      </c>
      <c r="F85" s="39">
        <f>+'雨汚水(共通按分後)'!F85-雨汚水!F85</f>
        <v>-355003196</v>
      </c>
      <c r="G85" s="390">
        <f>+'雨汚水(共通按分後)'!G85-雨汚水!G85</f>
        <v>1049037</v>
      </c>
      <c r="H85" s="38">
        <f>+'雨汚水(共通按分後)'!H85-雨汚水!H85</f>
        <v>0</v>
      </c>
      <c r="I85" s="40">
        <f>+'雨汚水(共通按分後)'!I85-雨汚水!I85</f>
        <v>-353954159</v>
      </c>
      <c r="J85" s="39">
        <f>+'雨汚水(共通按分後)'!J85-雨汚水!J85</f>
        <v>182719991</v>
      </c>
      <c r="K85" s="38">
        <f>+'雨汚水(共通按分後)'!K85-雨汚水!K85</f>
        <v>-120512936</v>
      </c>
      <c r="L85" s="37">
        <f>+'雨汚水(共通按分後)'!L85-雨汚水!L85</f>
        <v>62207055</v>
      </c>
      <c r="M85" s="36">
        <f>+'雨汚水(共通按分後)'!M85-雨汚水!M85</f>
        <v>0</v>
      </c>
      <c r="N85" s="41" t="s">
        <v>22</v>
      </c>
      <c r="O85" s="51">
        <f>+'雨汚水(共通按分後)'!O85-雨汚水!O85</f>
        <v>-14322236</v>
      </c>
      <c r="P85" s="39">
        <f>+'雨汚水(共通按分後)'!P85-雨汚水!P85</f>
        <v>-355003196</v>
      </c>
      <c r="Q85" s="390">
        <f>+'雨汚水(共通按分後)'!Q85-雨汚水!Q85</f>
        <v>1049037</v>
      </c>
      <c r="R85" s="38">
        <f>+'雨汚水(共通按分後)'!R85-雨汚水!R85</f>
        <v>0</v>
      </c>
      <c r="S85" s="40">
        <f>+'雨汚水(共通按分後)'!S85-雨汚水!S85</f>
        <v>-353954159</v>
      </c>
      <c r="T85" s="39">
        <f>+'雨汚水(共通按分後)'!T85-雨汚水!T85</f>
        <v>182719991</v>
      </c>
      <c r="U85" s="38">
        <f>+'雨汚水(共通按分後)'!U85-雨汚水!U85</f>
        <v>156911932</v>
      </c>
      <c r="V85" s="37">
        <f>+'雨汚水(共通按分後)'!V85-雨汚水!V85</f>
        <v>339631923</v>
      </c>
      <c r="W85" s="36">
        <f>+'雨汚水(共通按分後)'!W85-雨汚水!W85</f>
        <v>0</v>
      </c>
      <c r="X85" s="41" t="s">
        <v>22</v>
      </c>
      <c r="Y85" s="462"/>
      <c r="Z85" s="462"/>
      <c r="AA85" s="462"/>
      <c r="AB85" s="462"/>
      <c r="AC85" s="462"/>
      <c r="AD85" s="51">
        <f>+'雨汚水(共通按分後)'!AD85-雨汚水!AD85</f>
        <v>-14322236</v>
      </c>
      <c r="AE85" s="39">
        <f>+'雨汚水(共通按分後)'!AE85-雨汚水!AE85</f>
        <v>-355003196</v>
      </c>
      <c r="AF85" s="390">
        <f>+'雨汚水(共通按分後)'!AF85-雨汚水!AF85</f>
        <v>1049037</v>
      </c>
      <c r="AG85" s="38">
        <f>+'雨汚水(共通按分後)'!AG85-雨汚水!AG85</f>
        <v>0</v>
      </c>
      <c r="AH85" s="40">
        <f>+'雨汚水(共通按分後)'!AH85-雨汚水!AH85</f>
        <v>-353954159</v>
      </c>
      <c r="AI85" s="39">
        <f>+'雨汚水(共通按分後)'!AI85-雨汚水!AI85</f>
        <v>182719991</v>
      </c>
      <c r="AJ85" s="38">
        <f>+'雨汚水(共通按分後)'!AJ85-雨汚水!AJ85</f>
        <v>156911932</v>
      </c>
      <c r="AK85" s="37">
        <f>+'雨汚水(共通按分後)'!AK85-雨汚水!AK85</f>
        <v>339631923</v>
      </c>
      <c r="AL85" s="36">
        <f>+'雨汚水(共通按分後)'!AL85-雨汚水!AL85</f>
        <v>0</v>
      </c>
    </row>
    <row r="86" spans="1:38">
      <c r="A86" s="35"/>
      <c r="B86" s="45" t="s">
        <v>2</v>
      </c>
      <c r="C86" s="44" t="s">
        <v>21</v>
      </c>
      <c r="D86" s="41" t="s">
        <v>19</v>
      </c>
      <c r="E86" s="51">
        <f>+'雨汚水(共通按分後)'!E86-雨汚水!E86</f>
        <v>14322236</v>
      </c>
      <c r="F86" s="39">
        <f>+'雨汚水(共通按分後)'!F86-雨汚水!F86</f>
        <v>-7384417</v>
      </c>
      <c r="G86" s="390">
        <f>+'雨汚水(共通按分後)'!G86-雨汚水!G86</f>
        <v>-26529</v>
      </c>
      <c r="H86" s="38">
        <f>+'雨汚水(共通按分後)'!H86-雨汚水!H86</f>
        <v>0</v>
      </c>
      <c r="I86" s="40">
        <f>+'雨汚水(共通按分後)'!I86-雨汚水!I86</f>
        <v>-7410946</v>
      </c>
      <c r="J86" s="39">
        <f>+'雨汚水(共通按分後)'!J86-雨汚水!J86</f>
        <v>6851654</v>
      </c>
      <c r="K86" s="38">
        <f>+'雨汚水(共通按分後)'!K86-雨汚水!K86</f>
        <v>14881528</v>
      </c>
      <c r="L86" s="37">
        <f>+'雨汚水(共通按分後)'!L86-雨汚水!L86</f>
        <v>21733182</v>
      </c>
      <c r="M86" s="36">
        <f>+'雨汚水(共通按分後)'!M86-雨汚水!M86</f>
        <v>0</v>
      </c>
      <c r="N86" s="41" t="s">
        <v>19</v>
      </c>
      <c r="O86" s="51">
        <f>+'雨汚水(共通按分後)'!O86-雨汚水!O86</f>
        <v>14322236</v>
      </c>
      <c r="P86" s="39">
        <f>+'雨汚水(共通按分後)'!P86-雨汚水!P86</f>
        <v>-7384417</v>
      </c>
      <c r="Q86" s="390">
        <f>+'雨汚水(共通按分後)'!Q86-雨汚水!Q86</f>
        <v>-26529</v>
      </c>
      <c r="R86" s="38">
        <f>+'雨汚水(共通按分後)'!R86-雨汚水!R86</f>
        <v>0</v>
      </c>
      <c r="S86" s="40">
        <f>+'雨汚水(共通按分後)'!S86-雨汚水!S86</f>
        <v>-7410946</v>
      </c>
      <c r="T86" s="39">
        <f>+'雨汚水(共通按分後)'!T86-雨汚水!T86</f>
        <v>6851654</v>
      </c>
      <c r="U86" s="38">
        <f>+'雨汚水(共通按分後)'!U86-雨汚水!U86</f>
        <v>14881528</v>
      </c>
      <c r="V86" s="37">
        <f>+'雨汚水(共通按分後)'!V86-雨汚水!V86</f>
        <v>21733182</v>
      </c>
      <c r="W86" s="36">
        <f>+'雨汚水(共通按分後)'!W86-雨汚水!W86</f>
        <v>0</v>
      </c>
      <c r="X86" s="41" t="s">
        <v>19</v>
      </c>
      <c r="Y86" s="462"/>
      <c r="Z86" s="462"/>
      <c r="AA86" s="462"/>
      <c r="AB86" s="462"/>
      <c r="AC86" s="462"/>
      <c r="AD86" s="51">
        <f>+'雨汚水(共通按分後)'!AD86-雨汚水!AD86</f>
        <v>14322236</v>
      </c>
      <c r="AE86" s="39">
        <f>+'雨汚水(共通按分後)'!AE86-雨汚水!AE86</f>
        <v>-7384417</v>
      </c>
      <c r="AF86" s="390">
        <f>+'雨汚水(共通按分後)'!AF86-雨汚水!AF86</f>
        <v>-26529</v>
      </c>
      <c r="AG86" s="38">
        <f>+'雨汚水(共通按分後)'!AG86-雨汚水!AG86</f>
        <v>0</v>
      </c>
      <c r="AH86" s="40">
        <f>+'雨汚水(共通按分後)'!AH86-雨汚水!AH86</f>
        <v>-7410946</v>
      </c>
      <c r="AI86" s="39">
        <f>+'雨汚水(共通按分後)'!AI86-雨汚水!AI86</f>
        <v>6851654</v>
      </c>
      <c r="AJ86" s="38">
        <f>+'雨汚水(共通按分後)'!AJ86-雨汚水!AJ86</f>
        <v>14881528</v>
      </c>
      <c r="AK86" s="37">
        <f>+'雨汚水(共通按分後)'!AK86-雨汚水!AK86</f>
        <v>21733182</v>
      </c>
      <c r="AL86" s="36">
        <f>+'雨汚水(共通按分後)'!AL86-雨汚水!AL86</f>
        <v>0</v>
      </c>
    </row>
    <row r="87" spans="1:38">
      <c r="A87" s="35"/>
      <c r="B87" s="45" t="s">
        <v>2</v>
      </c>
      <c r="C87" s="44"/>
      <c r="D87" s="41"/>
      <c r="E87" s="51">
        <f>+'雨汚水(共通按分後)'!E87-雨汚水!E87</f>
        <v>0</v>
      </c>
      <c r="F87" s="39">
        <f>+'雨汚水(共通按分後)'!F87-雨汚水!F87</f>
        <v>0</v>
      </c>
      <c r="G87" s="390">
        <f>+'雨汚水(共通按分後)'!G87-雨汚水!G87</f>
        <v>0</v>
      </c>
      <c r="H87" s="38">
        <f>+'雨汚水(共通按分後)'!H87-雨汚水!H87</f>
        <v>0</v>
      </c>
      <c r="I87" s="40">
        <f>+'雨汚水(共通按分後)'!I87-雨汚水!I87</f>
        <v>0</v>
      </c>
      <c r="J87" s="39">
        <f>+'雨汚水(共通按分後)'!J87-雨汚水!J87</f>
        <v>0</v>
      </c>
      <c r="K87" s="38">
        <f>+'雨汚水(共通按分後)'!K87-雨汚水!K87</f>
        <v>0</v>
      </c>
      <c r="L87" s="37">
        <f>+'雨汚水(共通按分後)'!L87-雨汚水!L87</f>
        <v>0</v>
      </c>
      <c r="M87" s="36">
        <f>+'雨汚水(共通按分後)'!M87-雨汚水!M87</f>
        <v>0</v>
      </c>
      <c r="N87" s="41"/>
      <c r="O87" s="51">
        <f>+'雨汚水(共通按分後)'!O87-雨汚水!O87</f>
        <v>0</v>
      </c>
      <c r="P87" s="39">
        <f>+'雨汚水(共通按分後)'!P87-雨汚水!P87</f>
        <v>0</v>
      </c>
      <c r="Q87" s="390">
        <f>+'雨汚水(共通按分後)'!Q87-雨汚水!Q87</f>
        <v>0</v>
      </c>
      <c r="R87" s="38">
        <f>+'雨汚水(共通按分後)'!R87-雨汚水!R87</f>
        <v>0</v>
      </c>
      <c r="S87" s="40">
        <f>+'雨汚水(共通按分後)'!S87-雨汚水!S87</f>
        <v>0</v>
      </c>
      <c r="T87" s="39">
        <f>+'雨汚水(共通按分後)'!T87-雨汚水!T87</f>
        <v>0</v>
      </c>
      <c r="U87" s="38">
        <f>+'雨汚水(共通按分後)'!U87-雨汚水!U87</f>
        <v>0</v>
      </c>
      <c r="V87" s="37">
        <f>+'雨汚水(共通按分後)'!V87-雨汚水!V87</f>
        <v>0</v>
      </c>
      <c r="W87" s="36">
        <f>+'雨汚水(共通按分後)'!W87-雨汚水!W87</f>
        <v>0</v>
      </c>
      <c r="X87" s="41"/>
      <c r="Y87" s="461"/>
      <c r="Z87" s="461"/>
      <c r="AA87" s="461"/>
      <c r="AB87" s="461"/>
      <c r="AC87" s="461"/>
      <c r="AD87" s="51">
        <f>+'雨汚水(共通按分後)'!AD87-雨汚水!AD87</f>
        <v>0</v>
      </c>
      <c r="AE87" s="39">
        <f>+'雨汚水(共通按分後)'!AE87-雨汚水!AE87</f>
        <v>0</v>
      </c>
      <c r="AF87" s="390">
        <f>+'雨汚水(共通按分後)'!AF87-雨汚水!AF87</f>
        <v>0</v>
      </c>
      <c r="AG87" s="38">
        <f>+'雨汚水(共通按分後)'!AG87-雨汚水!AG87</f>
        <v>0</v>
      </c>
      <c r="AH87" s="40">
        <f>+'雨汚水(共通按分後)'!AH87-雨汚水!AH87</f>
        <v>0</v>
      </c>
      <c r="AI87" s="39">
        <f>+'雨汚水(共通按分後)'!AI87-雨汚水!AI87</f>
        <v>0</v>
      </c>
      <c r="AJ87" s="38">
        <f>+'雨汚水(共通按分後)'!AJ87-雨汚水!AJ87</f>
        <v>0</v>
      </c>
      <c r="AK87" s="37">
        <f>+'雨汚水(共通按分後)'!AK87-雨汚水!AK87</f>
        <v>0</v>
      </c>
      <c r="AL87" s="36">
        <f>+'雨汚水(共通按分後)'!AL87-雨汚水!AL87</f>
        <v>0</v>
      </c>
    </row>
    <row r="88" spans="1:38">
      <c r="A88" s="35"/>
      <c r="B88" s="45" t="s">
        <v>2</v>
      </c>
      <c r="C88" s="44" t="s">
        <v>14</v>
      </c>
      <c r="D88" s="41" t="s">
        <v>17</v>
      </c>
      <c r="E88" s="51">
        <f>+'雨汚水(共通按分後)'!E88-雨汚水!E88</f>
        <v>0</v>
      </c>
      <c r="F88" s="39">
        <f>+'雨汚水(共通按分後)'!F88-雨汚水!F88</f>
        <v>-10028883</v>
      </c>
      <c r="G88" s="390">
        <f>+'雨汚水(共通按分後)'!G88-雨汚水!G88</f>
        <v>0</v>
      </c>
      <c r="H88" s="38">
        <f>+'雨汚水(共通按分後)'!H88-雨汚水!H88</f>
        <v>0</v>
      </c>
      <c r="I88" s="40">
        <f>+'雨汚水(共通按分後)'!I88-雨汚水!I88</f>
        <v>-10028883</v>
      </c>
      <c r="J88" s="39">
        <f>+'雨汚水(共通按分後)'!J88-雨汚水!J88</f>
        <v>0</v>
      </c>
      <c r="K88" s="38">
        <f>+'雨汚水(共通按分後)'!K88-雨汚水!K88</f>
        <v>10028883</v>
      </c>
      <c r="L88" s="37">
        <f>+'雨汚水(共通按分後)'!L88-雨汚水!L88</f>
        <v>10028883</v>
      </c>
      <c r="M88" s="36">
        <f>+'雨汚水(共通按分後)'!M88-雨汚水!M88</f>
        <v>0</v>
      </c>
      <c r="N88" s="41" t="s">
        <v>17</v>
      </c>
      <c r="O88" s="51">
        <f>+'雨汚水(共通按分後)'!O88-雨汚水!O88</f>
        <v>0</v>
      </c>
      <c r="P88" s="39">
        <f>+'雨汚水(共通按分後)'!P88-雨汚水!P88</f>
        <v>-10028883</v>
      </c>
      <c r="Q88" s="390">
        <f>+'雨汚水(共通按分後)'!Q88-雨汚水!Q88</f>
        <v>0</v>
      </c>
      <c r="R88" s="38">
        <f>+'雨汚水(共通按分後)'!R88-雨汚水!R88</f>
        <v>0</v>
      </c>
      <c r="S88" s="40">
        <f>+'雨汚水(共通按分後)'!S88-雨汚水!S88</f>
        <v>-10028883</v>
      </c>
      <c r="T88" s="39">
        <f>+'雨汚水(共通按分後)'!T88-雨汚水!T88</f>
        <v>0</v>
      </c>
      <c r="U88" s="38">
        <f>+'雨汚水(共通按分後)'!U88-雨汚水!U88</f>
        <v>10028883</v>
      </c>
      <c r="V88" s="37">
        <f>+'雨汚水(共通按分後)'!V88-雨汚水!V88</f>
        <v>10028883</v>
      </c>
      <c r="W88" s="36">
        <f>+'雨汚水(共通按分後)'!W88-雨汚水!W88</f>
        <v>0</v>
      </c>
      <c r="X88" s="41" t="s">
        <v>17</v>
      </c>
      <c r="Y88" s="461"/>
      <c r="Z88" s="461"/>
      <c r="AA88" s="461"/>
      <c r="AB88" s="461"/>
      <c r="AC88" s="461"/>
      <c r="AD88" s="51">
        <f>+'雨汚水(共通按分後)'!AD88-雨汚水!AD88</f>
        <v>0</v>
      </c>
      <c r="AE88" s="39">
        <f>+'雨汚水(共通按分後)'!AE88-雨汚水!AE88</f>
        <v>-10028883</v>
      </c>
      <c r="AF88" s="390">
        <f>+'雨汚水(共通按分後)'!AF88-雨汚水!AF88</f>
        <v>0</v>
      </c>
      <c r="AG88" s="38">
        <f>+'雨汚水(共通按分後)'!AG88-雨汚水!AG88</f>
        <v>0</v>
      </c>
      <c r="AH88" s="40">
        <f>+'雨汚水(共通按分後)'!AH88-雨汚水!AH88</f>
        <v>-10028883</v>
      </c>
      <c r="AI88" s="39">
        <f>+'雨汚水(共通按分後)'!AI88-雨汚水!AI88</f>
        <v>0</v>
      </c>
      <c r="AJ88" s="38">
        <f>+'雨汚水(共通按分後)'!AJ88-雨汚水!AJ88</f>
        <v>10028883</v>
      </c>
      <c r="AK88" s="37">
        <f>+'雨汚水(共通按分後)'!AK88-雨汚水!AK88</f>
        <v>10028883</v>
      </c>
      <c r="AL88" s="36">
        <f>+'雨汚水(共通按分後)'!AL88-雨汚水!AL88</f>
        <v>0</v>
      </c>
    </row>
    <row r="89" spans="1:38">
      <c r="A89" s="35"/>
      <c r="B89" s="45" t="s">
        <v>2</v>
      </c>
      <c r="C89" s="44" t="s">
        <v>14</v>
      </c>
      <c r="D89" s="41" t="s">
        <v>15</v>
      </c>
      <c r="E89" s="51">
        <f>+'雨汚水(共通按分後)'!E89-雨汚水!E89</f>
        <v>0</v>
      </c>
      <c r="F89" s="39">
        <f>+'雨汚水(共通按分後)'!F89-雨汚水!F89</f>
        <v>0</v>
      </c>
      <c r="G89" s="390">
        <f>+'雨汚水(共通按分後)'!G89-雨汚水!G89</f>
        <v>0</v>
      </c>
      <c r="H89" s="38">
        <f>+'雨汚水(共通按分後)'!H89-雨汚水!H89</f>
        <v>0</v>
      </c>
      <c r="I89" s="40">
        <f>+'雨汚水(共通按分後)'!I89-雨汚水!I89</f>
        <v>0</v>
      </c>
      <c r="J89" s="39">
        <f>+'雨汚水(共通按分後)'!J89-雨汚水!J89</f>
        <v>0</v>
      </c>
      <c r="K89" s="38">
        <f>+'雨汚水(共通按分後)'!K89-雨汚水!K89</f>
        <v>0</v>
      </c>
      <c r="L89" s="37">
        <f>+'雨汚水(共通按分後)'!L89-雨汚水!L89</f>
        <v>0</v>
      </c>
      <c r="M89" s="36">
        <f>+'雨汚水(共通按分後)'!M89-雨汚水!M89</f>
        <v>0</v>
      </c>
      <c r="N89" s="41" t="s">
        <v>15</v>
      </c>
      <c r="O89" s="51">
        <f>+'雨汚水(共通按分後)'!O89-雨汚水!O89</f>
        <v>0</v>
      </c>
      <c r="P89" s="39">
        <f>+'雨汚水(共通按分後)'!P89-雨汚水!P89</f>
        <v>0</v>
      </c>
      <c r="Q89" s="390">
        <f>+'雨汚水(共通按分後)'!Q89-雨汚水!Q89</f>
        <v>0</v>
      </c>
      <c r="R89" s="38">
        <f>+'雨汚水(共通按分後)'!R89-雨汚水!R89</f>
        <v>0</v>
      </c>
      <c r="S89" s="40">
        <f>+'雨汚水(共通按分後)'!S89-雨汚水!S89</f>
        <v>0</v>
      </c>
      <c r="T89" s="39">
        <f>+'雨汚水(共通按分後)'!T89-雨汚水!T89</f>
        <v>0</v>
      </c>
      <c r="U89" s="38">
        <f>+'雨汚水(共通按分後)'!U89-雨汚水!U89</f>
        <v>0</v>
      </c>
      <c r="V89" s="37">
        <f>+'雨汚水(共通按分後)'!V89-雨汚水!V89</f>
        <v>0</v>
      </c>
      <c r="W89" s="36">
        <f>+'雨汚水(共通按分後)'!W89-雨汚水!W89</f>
        <v>0</v>
      </c>
      <c r="X89" s="41" t="s">
        <v>15</v>
      </c>
      <c r="Y89" s="461"/>
      <c r="Z89" s="461"/>
      <c r="AA89" s="461"/>
      <c r="AB89" s="461"/>
      <c r="AC89" s="461"/>
      <c r="AD89" s="51">
        <f>+'雨汚水(共通按分後)'!AD89-雨汚水!AD89</f>
        <v>0</v>
      </c>
      <c r="AE89" s="39">
        <f>+'雨汚水(共通按分後)'!AE89-雨汚水!AE89</f>
        <v>0</v>
      </c>
      <c r="AF89" s="390">
        <f>+'雨汚水(共通按分後)'!AF89-雨汚水!AF89</f>
        <v>0</v>
      </c>
      <c r="AG89" s="38">
        <f>+'雨汚水(共通按分後)'!AG89-雨汚水!AG89</f>
        <v>0</v>
      </c>
      <c r="AH89" s="40">
        <f>+'雨汚水(共通按分後)'!AH89-雨汚水!AH89</f>
        <v>0</v>
      </c>
      <c r="AI89" s="39">
        <f>+'雨汚水(共通按分後)'!AI89-雨汚水!AI89</f>
        <v>0</v>
      </c>
      <c r="AJ89" s="38">
        <f>+'雨汚水(共通按分後)'!AJ89-雨汚水!AJ89</f>
        <v>0</v>
      </c>
      <c r="AK89" s="37">
        <f>+'雨汚水(共通按分後)'!AK89-雨汚水!AK89</f>
        <v>0</v>
      </c>
      <c r="AL89" s="36">
        <f>+'雨汚水(共通按分後)'!AL89-雨汚水!AL89</f>
        <v>0</v>
      </c>
    </row>
    <row r="90" spans="1:38">
      <c r="A90" s="35"/>
      <c r="B90" s="45" t="s">
        <v>2</v>
      </c>
      <c r="C90" s="44" t="s">
        <v>14</v>
      </c>
      <c r="D90" s="41"/>
      <c r="E90" s="51">
        <f>+'雨汚水(共通按分後)'!E90-雨汚水!E90</f>
        <v>0</v>
      </c>
      <c r="F90" s="39">
        <f>+'雨汚水(共通按分後)'!F90-雨汚水!F90</f>
        <v>0</v>
      </c>
      <c r="G90" s="390">
        <f>+'雨汚水(共通按分後)'!G90-雨汚水!G90</f>
        <v>0</v>
      </c>
      <c r="H90" s="38">
        <f>+'雨汚水(共通按分後)'!H90-雨汚水!H90</f>
        <v>0</v>
      </c>
      <c r="I90" s="40">
        <f>+'雨汚水(共通按分後)'!I90-雨汚水!I90</f>
        <v>0</v>
      </c>
      <c r="J90" s="39">
        <f>+'雨汚水(共通按分後)'!J90-雨汚水!J90</f>
        <v>0</v>
      </c>
      <c r="K90" s="38">
        <f>+'雨汚水(共通按分後)'!K90-雨汚水!K90</f>
        <v>0</v>
      </c>
      <c r="L90" s="37">
        <f>+'雨汚水(共通按分後)'!L90-雨汚水!L90</f>
        <v>0</v>
      </c>
      <c r="M90" s="36">
        <f>+'雨汚水(共通按分後)'!M90-雨汚水!M90</f>
        <v>0</v>
      </c>
      <c r="N90" s="41"/>
      <c r="O90" s="51">
        <f>+'雨汚水(共通按分後)'!O90-雨汚水!O90</f>
        <v>0</v>
      </c>
      <c r="P90" s="39">
        <f>+'雨汚水(共通按分後)'!P90-雨汚水!P90</f>
        <v>0</v>
      </c>
      <c r="Q90" s="390">
        <f>+'雨汚水(共通按分後)'!Q90-雨汚水!Q90</f>
        <v>0</v>
      </c>
      <c r="R90" s="38">
        <f>+'雨汚水(共通按分後)'!R90-雨汚水!R90</f>
        <v>0</v>
      </c>
      <c r="S90" s="40">
        <f>+'雨汚水(共通按分後)'!S90-雨汚水!S90</f>
        <v>0</v>
      </c>
      <c r="T90" s="39">
        <f>+'雨汚水(共通按分後)'!T90-雨汚水!T90</f>
        <v>0</v>
      </c>
      <c r="U90" s="38">
        <f>+'雨汚水(共通按分後)'!U90-雨汚水!U90</f>
        <v>0</v>
      </c>
      <c r="V90" s="37">
        <f>+'雨汚水(共通按分後)'!V90-雨汚水!V90</f>
        <v>0</v>
      </c>
      <c r="W90" s="36">
        <f>+'雨汚水(共通按分後)'!W90-雨汚水!W90</f>
        <v>0</v>
      </c>
      <c r="X90" s="41"/>
      <c r="Y90" s="461"/>
      <c r="Z90" s="461"/>
      <c r="AA90" s="461"/>
      <c r="AB90" s="461"/>
      <c r="AC90" s="461"/>
      <c r="AD90" s="51">
        <f>+'雨汚水(共通按分後)'!AD90-雨汚水!AD90</f>
        <v>0</v>
      </c>
      <c r="AE90" s="39">
        <f>+'雨汚水(共通按分後)'!AE90-雨汚水!AE90</f>
        <v>0</v>
      </c>
      <c r="AF90" s="390">
        <f>+'雨汚水(共通按分後)'!AF90-雨汚水!AF90</f>
        <v>0</v>
      </c>
      <c r="AG90" s="38">
        <f>+'雨汚水(共通按分後)'!AG90-雨汚水!AG90</f>
        <v>0</v>
      </c>
      <c r="AH90" s="40">
        <f>+'雨汚水(共通按分後)'!AH90-雨汚水!AH90</f>
        <v>0</v>
      </c>
      <c r="AI90" s="39">
        <f>+'雨汚水(共通按分後)'!AI90-雨汚水!AI90</f>
        <v>0</v>
      </c>
      <c r="AJ90" s="38">
        <f>+'雨汚水(共通按分後)'!AJ90-雨汚水!AJ90</f>
        <v>0</v>
      </c>
      <c r="AK90" s="37">
        <f>+'雨汚水(共通按分後)'!AK90-雨汚水!AK90</f>
        <v>0</v>
      </c>
      <c r="AL90" s="36">
        <f>+'雨汚水(共通按分後)'!AL90-雨汚水!AL90</f>
        <v>0</v>
      </c>
    </row>
    <row r="91" spans="1:38">
      <c r="A91" s="35"/>
      <c r="B91" s="45"/>
      <c r="C91" s="44"/>
      <c r="D91" s="41"/>
      <c r="E91" s="51">
        <f>+'雨汚水(共通按分後)'!E91-雨汚水!E91</f>
        <v>0</v>
      </c>
      <c r="F91" s="39">
        <f>+'雨汚水(共通按分後)'!F91-雨汚水!F91</f>
        <v>0</v>
      </c>
      <c r="G91" s="390">
        <f>+'雨汚水(共通按分後)'!G91-雨汚水!G91</f>
        <v>0</v>
      </c>
      <c r="H91" s="38">
        <f>+'雨汚水(共通按分後)'!H91-雨汚水!H91</f>
        <v>0</v>
      </c>
      <c r="I91" s="40">
        <f>+'雨汚水(共通按分後)'!I91-雨汚水!I91</f>
        <v>0</v>
      </c>
      <c r="J91" s="39">
        <f>+'雨汚水(共通按分後)'!J91-雨汚水!J91</f>
        <v>0</v>
      </c>
      <c r="K91" s="38">
        <f>+'雨汚水(共通按分後)'!K91-雨汚水!K91</f>
        <v>0</v>
      </c>
      <c r="L91" s="37">
        <f>+'雨汚水(共通按分後)'!L91-雨汚水!L91</f>
        <v>0</v>
      </c>
      <c r="M91" s="36">
        <f>+'雨汚水(共通按分後)'!M91-雨汚水!M91</f>
        <v>0</v>
      </c>
      <c r="N91" s="41"/>
      <c r="O91" s="51">
        <f>+'雨汚水(共通按分後)'!O91-雨汚水!O91</f>
        <v>0</v>
      </c>
      <c r="P91" s="39">
        <f>+'雨汚水(共通按分後)'!P91-雨汚水!P91</f>
        <v>0</v>
      </c>
      <c r="Q91" s="390">
        <f>+'雨汚水(共通按分後)'!Q91-雨汚水!Q91</f>
        <v>0</v>
      </c>
      <c r="R91" s="38">
        <f>+'雨汚水(共通按分後)'!R91-雨汚水!R91</f>
        <v>0</v>
      </c>
      <c r="S91" s="40">
        <f>+'雨汚水(共通按分後)'!S91-雨汚水!S91</f>
        <v>0</v>
      </c>
      <c r="T91" s="39">
        <f>+'雨汚水(共通按分後)'!T91-雨汚水!T91</f>
        <v>0</v>
      </c>
      <c r="U91" s="38">
        <f>+'雨汚水(共通按分後)'!U91-雨汚水!U91</f>
        <v>0</v>
      </c>
      <c r="V91" s="37">
        <f>+'雨汚水(共通按分後)'!V91-雨汚水!V91</f>
        <v>0</v>
      </c>
      <c r="W91" s="36">
        <f>+'雨汚水(共通按分後)'!W91-雨汚水!W91</f>
        <v>0</v>
      </c>
      <c r="X91" s="41"/>
      <c r="Y91" s="461"/>
      <c r="Z91" s="461"/>
      <c r="AA91" s="461"/>
      <c r="AB91" s="461"/>
      <c r="AC91" s="461"/>
      <c r="AD91" s="51">
        <f>+'雨汚水(共通按分後)'!AD91-雨汚水!AD91</f>
        <v>0</v>
      </c>
      <c r="AE91" s="39">
        <f>+'雨汚水(共通按分後)'!AE91-雨汚水!AE91</f>
        <v>0</v>
      </c>
      <c r="AF91" s="390">
        <f>+'雨汚水(共通按分後)'!AF91-雨汚水!AF91</f>
        <v>0</v>
      </c>
      <c r="AG91" s="38">
        <f>+'雨汚水(共通按分後)'!AG91-雨汚水!AG91</f>
        <v>0</v>
      </c>
      <c r="AH91" s="40">
        <f>+'雨汚水(共通按分後)'!AH91-雨汚水!AH91</f>
        <v>0</v>
      </c>
      <c r="AI91" s="39">
        <f>+'雨汚水(共通按分後)'!AI91-雨汚水!AI91</f>
        <v>0</v>
      </c>
      <c r="AJ91" s="38">
        <f>+'雨汚水(共通按分後)'!AJ91-雨汚水!AJ91</f>
        <v>0</v>
      </c>
      <c r="AK91" s="37">
        <f>+'雨汚水(共通按分後)'!AK91-雨汚水!AK91</f>
        <v>0</v>
      </c>
      <c r="AL91" s="36">
        <f>+'雨汚水(共通按分後)'!AL91-雨汚水!AL91</f>
        <v>0</v>
      </c>
    </row>
    <row r="92" spans="1:38">
      <c r="A92" s="35"/>
      <c r="B92" s="45" t="s">
        <v>2</v>
      </c>
      <c r="C92" s="44" t="s">
        <v>8</v>
      </c>
      <c r="D92" s="41"/>
      <c r="E92" s="51">
        <f>+'雨汚水(共通按分後)'!E92-雨汚水!E92</f>
        <v>0</v>
      </c>
      <c r="F92" s="39">
        <f>+'雨汚水(共通按分後)'!F92-雨汚水!F92</f>
        <v>0</v>
      </c>
      <c r="G92" s="390">
        <f>+'雨汚水(共通按分後)'!G92-雨汚水!G92</f>
        <v>0</v>
      </c>
      <c r="H92" s="38">
        <f>+'雨汚水(共通按分後)'!H92-雨汚水!H92</f>
        <v>0</v>
      </c>
      <c r="I92" s="40">
        <f>+'雨汚水(共通按分後)'!I92-雨汚水!I92</f>
        <v>0</v>
      </c>
      <c r="J92" s="39">
        <f>+'雨汚水(共通按分後)'!J92-雨汚水!J92</f>
        <v>0</v>
      </c>
      <c r="K92" s="38">
        <f>+'雨汚水(共通按分後)'!K92-雨汚水!K92</f>
        <v>0</v>
      </c>
      <c r="L92" s="37">
        <f>+'雨汚水(共通按分後)'!L92-雨汚水!L92</f>
        <v>0</v>
      </c>
      <c r="M92" s="36">
        <f>+'雨汚水(共通按分後)'!M92-雨汚水!M92</f>
        <v>0</v>
      </c>
      <c r="N92" s="41"/>
      <c r="O92" s="51">
        <f>+'雨汚水(共通按分後)'!O92-雨汚水!O92</f>
        <v>0</v>
      </c>
      <c r="P92" s="39">
        <f>+'雨汚水(共通按分後)'!P92-雨汚水!P92</f>
        <v>0</v>
      </c>
      <c r="Q92" s="390">
        <f>+'雨汚水(共通按分後)'!Q92-雨汚水!Q92</f>
        <v>0</v>
      </c>
      <c r="R92" s="38">
        <f>+'雨汚水(共通按分後)'!R92-雨汚水!R92</f>
        <v>0</v>
      </c>
      <c r="S92" s="40">
        <f>+'雨汚水(共通按分後)'!S92-雨汚水!S92</f>
        <v>0</v>
      </c>
      <c r="T92" s="39">
        <f>+'雨汚水(共通按分後)'!T92-雨汚水!T92</f>
        <v>0</v>
      </c>
      <c r="U92" s="38">
        <f>+'雨汚水(共通按分後)'!U92-雨汚水!U92</f>
        <v>0</v>
      </c>
      <c r="V92" s="37">
        <f>+'雨汚水(共通按分後)'!V92-雨汚水!V92</f>
        <v>0</v>
      </c>
      <c r="W92" s="36">
        <f>+'雨汚水(共通按分後)'!W92-雨汚水!W92</f>
        <v>0</v>
      </c>
      <c r="X92" s="41"/>
      <c r="Y92" s="461"/>
      <c r="Z92" s="461"/>
      <c r="AA92" s="461"/>
      <c r="AB92" s="461"/>
      <c r="AC92" s="461"/>
      <c r="AD92" s="51">
        <f>+'雨汚水(共通按分後)'!AD92-雨汚水!AD92</f>
        <v>0</v>
      </c>
      <c r="AE92" s="39">
        <f>+'雨汚水(共通按分後)'!AE92-雨汚水!AE92</f>
        <v>0</v>
      </c>
      <c r="AF92" s="390">
        <f>+'雨汚水(共通按分後)'!AF92-雨汚水!AF92</f>
        <v>0</v>
      </c>
      <c r="AG92" s="38">
        <f>+'雨汚水(共通按分後)'!AG92-雨汚水!AG92</f>
        <v>0</v>
      </c>
      <c r="AH92" s="40">
        <f>+'雨汚水(共通按分後)'!AH92-雨汚水!AH92</f>
        <v>0</v>
      </c>
      <c r="AI92" s="39">
        <f>+'雨汚水(共通按分後)'!AI92-雨汚水!AI92</f>
        <v>0</v>
      </c>
      <c r="AJ92" s="38">
        <f>+'雨汚水(共通按分後)'!AJ92-雨汚水!AJ92</f>
        <v>0</v>
      </c>
      <c r="AK92" s="37">
        <f>+'雨汚水(共通按分後)'!AK92-雨汚水!AK92</f>
        <v>0</v>
      </c>
      <c r="AL92" s="36">
        <f>+'雨汚水(共通按分後)'!AL92-雨汚水!AL92</f>
        <v>0</v>
      </c>
    </row>
    <row r="93" spans="1:38">
      <c r="A93" s="35"/>
      <c r="B93" s="45" t="s">
        <v>2</v>
      </c>
      <c r="C93" s="44" t="s">
        <v>8</v>
      </c>
      <c r="D93" s="41" t="s">
        <v>11</v>
      </c>
      <c r="E93" s="51">
        <f>+'雨汚水(共通按分後)'!E93-雨汚水!E93</f>
        <v>-334220</v>
      </c>
      <c r="F93" s="39">
        <f>+'雨汚水(共通按分後)'!F93-雨汚水!F93</f>
        <v>-281270</v>
      </c>
      <c r="G93" s="390">
        <f>+'雨汚水(共通按分後)'!G93-雨汚水!G93</f>
        <v>0</v>
      </c>
      <c r="H93" s="38">
        <f>+'雨汚水(共通按分後)'!H93-雨汚水!H93</f>
        <v>0</v>
      </c>
      <c r="I93" s="40">
        <f>+'雨汚水(共通按分後)'!I93-雨汚水!I93</f>
        <v>-281270</v>
      </c>
      <c r="J93" s="39">
        <f>+'雨汚水(共通按分後)'!J93-雨汚水!J93</f>
        <v>0</v>
      </c>
      <c r="K93" s="38">
        <f>+'雨汚水(共通按分後)'!K93-雨汚水!K93</f>
        <v>-52950</v>
      </c>
      <c r="L93" s="37">
        <f>+'雨汚水(共通按分後)'!L93-雨汚水!L93</f>
        <v>-52950</v>
      </c>
      <c r="M93" s="36">
        <f>+'雨汚水(共通按分後)'!M93-雨汚水!M93</f>
        <v>0</v>
      </c>
      <c r="N93" s="41" t="s">
        <v>11</v>
      </c>
      <c r="O93" s="51">
        <f>+'雨汚水(共通按分後)'!O93-雨汚水!O93</f>
        <v>-334220</v>
      </c>
      <c r="P93" s="39">
        <f>+'雨汚水(共通按分後)'!P93-雨汚水!P93</f>
        <v>-281270</v>
      </c>
      <c r="Q93" s="390">
        <f>+'雨汚水(共通按分後)'!Q93-雨汚水!Q93</f>
        <v>0</v>
      </c>
      <c r="R93" s="38">
        <f>+'雨汚水(共通按分後)'!R93-雨汚水!R93</f>
        <v>0</v>
      </c>
      <c r="S93" s="40">
        <f>+'雨汚水(共通按分後)'!S93-雨汚水!S93</f>
        <v>-281270</v>
      </c>
      <c r="T93" s="39">
        <f>+'雨汚水(共通按分後)'!T93-雨汚水!T93</f>
        <v>0</v>
      </c>
      <c r="U93" s="38">
        <f>+'雨汚水(共通按分後)'!U93-雨汚水!U93</f>
        <v>-52950</v>
      </c>
      <c r="V93" s="37">
        <f>+'雨汚水(共通按分後)'!V93-雨汚水!V93</f>
        <v>-52950</v>
      </c>
      <c r="W93" s="36">
        <f>+'雨汚水(共通按分後)'!W93-雨汚水!W93</f>
        <v>0</v>
      </c>
      <c r="X93" s="41" t="s">
        <v>11</v>
      </c>
      <c r="Y93" s="461"/>
      <c r="Z93" s="461"/>
      <c r="AA93" s="461"/>
      <c r="AB93" s="461"/>
      <c r="AC93" s="461"/>
      <c r="AD93" s="51">
        <f>+'雨汚水(共通按分後)'!AD93-雨汚水!AD93</f>
        <v>-334220</v>
      </c>
      <c r="AE93" s="39">
        <f>+'雨汚水(共通按分後)'!AE93-雨汚水!AE93</f>
        <v>-281270</v>
      </c>
      <c r="AF93" s="390">
        <f>+'雨汚水(共通按分後)'!AF93-雨汚水!AF93</f>
        <v>0</v>
      </c>
      <c r="AG93" s="38">
        <f>+'雨汚水(共通按分後)'!AG93-雨汚水!AG93</f>
        <v>0</v>
      </c>
      <c r="AH93" s="40">
        <f>+'雨汚水(共通按分後)'!AH93-雨汚水!AH93</f>
        <v>-281270</v>
      </c>
      <c r="AI93" s="39">
        <f>+'雨汚水(共通按分後)'!AI93-雨汚水!AI93</f>
        <v>0</v>
      </c>
      <c r="AJ93" s="38">
        <f>+'雨汚水(共通按分後)'!AJ93-雨汚水!AJ93</f>
        <v>-52950</v>
      </c>
      <c r="AK93" s="37">
        <f>+'雨汚水(共通按分後)'!AK93-雨汚水!AK93</f>
        <v>-52950</v>
      </c>
      <c r="AL93" s="36">
        <f>+'雨汚水(共通按分後)'!AL93-雨汚水!AL93</f>
        <v>0</v>
      </c>
    </row>
    <row r="94" spans="1:38">
      <c r="A94" s="35"/>
      <c r="B94" s="45" t="s">
        <v>2</v>
      </c>
      <c r="C94" s="44" t="s">
        <v>8</v>
      </c>
      <c r="D94" s="41" t="s">
        <v>9</v>
      </c>
      <c r="E94" s="51">
        <f>+'雨汚水(共通按分後)'!E94-雨汚水!E94</f>
        <v>0</v>
      </c>
      <c r="F94" s="39">
        <f>+'雨汚水(共通按分後)'!F94-雨汚水!F94</f>
        <v>0</v>
      </c>
      <c r="G94" s="390">
        <f>+'雨汚水(共通按分後)'!G94-雨汚水!G94</f>
        <v>0</v>
      </c>
      <c r="H94" s="38">
        <f>+'雨汚水(共通按分後)'!H94-雨汚水!H94</f>
        <v>0</v>
      </c>
      <c r="I94" s="40">
        <f>+'雨汚水(共通按分後)'!I94-雨汚水!I94</f>
        <v>0</v>
      </c>
      <c r="J94" s="39">
        <f>+'雨汚水(共通按分後)'!J94-雨汚水!J94</f>
        <v>0</v>
      </c>
      <c r="K94" s="38">
        <f>+'雨汚水(共通按分後)'!K94-雨汚水!K94</f>
        <v>0</v>
      </c>
      <c r="L94" s="37">
        <f>+'雨汚水(共通按分後)'!L94-雨汚水!L94</f>
        <v>0</v>
      </c>
      <c r="M94" s="36">
        <f>+'雨汚水(共通按分後)'!M94-雨汚水!M94</f>
        <v>0</v>
      </c>
      <c r="N94" s="41" t="s">
        <v>9</v>
      </c>
      <c r="O94" s="51">
        <f>+'雨汚水(共通按分後)'!O94-雨汚水!O94</f>
        <v>0</v>
      </c>
      <c r="P94" s="39">
        <f>+'雨汚水(共通按分後)'!P94-雨汚水!P94</f>
        <v>0</v>
      </c>
      <c r="Q94" s="390">
        <f>+'雨汚水(共通按分後)'!Q94-雨汚水!Q94</f>
        <v>0</v>
      </c>
      <c r="R94" s="38">
        <f>+'雨汚水(共通按分後)'!R94-雨汚水!R94</f>
        <v>0</v>
      </c>
      <c r="S94" s="40">
        <f>+'雨汚水(共通按分後)'!S94-雨汚水!S94</f>
        <v>0</v>
      </c>
      <c r="T94" s="39">
        <f>+'雨汚水(共通按分後)'!T94-雨汚水!T94</f>
        <v>0</v>
      </c>
      <c r="U94" s="38">
        <f>+'雨汚水(共通按分後)'!U94-雨汚水!U94</f>
        <v>0</v>
      </c>
      <c r="V94" s="37">
        <f>+'雨汚水(共通按分後)'!V94-雨汚水!V94</f>
        <v>0</v>
      </c>
      <c r="W94" s="36">
        <f>+'雨汚水(共通按分後)'!W94-雨汚水!W94</f>
        <v>0</v>
      </c>
      <c r="X94" s="41" t="s">
        <v>9</v>
      </c>
      <c r="Y94" s="461"/>
      <c r="Z94" s="461"/>
      <c r="AA94" s="461"/>
      <c r="AB94" s="461"/>
      <c r="AC94" s="461"/>
      <c r="AD94" s="51">
        <f>+'雨汚水(共通按分後)'!AD94-雨汚水!AD94</f>
        <v>0</v>
      </c>
      <c r="AE94" s="39">
        <f>+'雨汚水(共通按分後)'!AE94-雨汚水!AE94</f>
        <v>0</v>
      </c>
      <c r="AF94" s="390">
        <f>+'雨汚水(共通按分後)'!AF94-雨汚水!AF94</f>
        <v>0</v>
      </c>
      <c r="AG94" s="38">
        <f>+'雨汚水(共通按分後)'!AG94-雨汚水!AG94</f>
        <v>0</v>
      </c>
      <c r="AH94" s="40">
        <f>+'雨汚水(共通按分後)'!AH94-雨汚水!AH94</f>
        <v>0</v>
      </c>
      <c r="AI94" s="39">
        <f>+'雨汚水(共通按分後)'!AI94-雨汚水!AI94</f>
        <v>0</v>
      </c>
      <c r="AJ94" s="38">
        <f>+'雨汚水(共通按分後)'!AJ94-雨汚水!AJ94</f>
        <v>0</v>
      </c>
      <c r="AK94" s="37">
        <f>+'雨汚水(共通按分後)'!AK94-雨汚水!AK94</f>
        <v>0</v>
      </c>
      <c r="AL94" s="36">
        <f>+'雨汚水(共通按分後)'!AL94-雨汚水!AL94</f>
        <v>0</v>
      </c>
    </row>
    <row r="95" spans="1:38">
      <c r="A95" s="35"/>
      <c r="B95" s="45" t="s">
        <v>2</v>
      </c>
      <c r="C95" s="44" t="s">
        <v>8</v>
      </c>
      <c r="D95" s="41" t="s">
        <v>6</v>
      </c>
      <c r="E95" s="51">
        <f>+'雨汚水(共通按分後)'!E95-雨汚水!E95</f>
        <v>0</v>
      </c>
      <c r="F95" s="39">
        <f>+'雨汚水(共通按分後)'!F95-雨汚水!F95</f>
        <v>0</v>
      </c>
      <c r="G95" s="390">
        <f>+'雨汚水(共通按分後)'!G95-雨汚水!G95</f>
        <v>0</v>
      </c>
      <c r="H95" s="38">
        <f>+'雨汚水(共通按分後)'!H95-雨汚水!H95</f>
        <v>0</v>
      </c>
      <c r="I95" s="40">
        <f>+'雨汚水(共通按分後)'!I95-雨汚水!I95</f>
        <v>0</v>
      </c>
      <c r="J95" s="39">
        <f>+'雨汚水(共通按分後)'!J95-雨汚水!J95</f>
        <v>0</v>
      </c>
      <c r="K95" s="38">
        <f>+'雨汚水(共通按分後)'!K95-雨汚水!K95</f>
        <v>107592046</v>
      </c>
      <c r="L95" s="37">
        <f>+'雨汚水(共通按分後)'!L95-雨汚水!L95</f>
        <v>107592046</v>
      </c>
      <c r="M95" s="36">
        <f>+'雨汚水(共通按分後)'!M95-雨汚水!M95</f>
        <v>-107592046</v>
      </c>
      <c r="N95" s="41" t="s">
        <v>6</v>
      </c>
      <c r="O95" s="51">
        <f>+'雨汚水(共通按分後)'!O95-雨汚水!O95</f>
        <v>0</v>
      </c>
      <c r="P95" s="39">
        <f>+'雨汚水(共通按分後)'!P95-雨汚水!P95</f>
        <v>0</v>
      </c>
      <c r="Q95" s="390">
        <f>+'雨汚水(共通按分後)'!Q95-雨汚水!Q95</f>
        <v>0</v>
      </c>
      <c r="R95" s="38">
        <f>+'雨汚水(共通按分後)'!R95-雨汚水!R95</f>
        <v>0</v>
      </c>
      <c r="S95" s="40">
        <f>+'雨汚水(共通按分後)'!S95-雨汚水!S95</f>
        <v>0</v>
      </c>
      <c r="T95" s="39">
        <f>+'雨汚水(共通按分後)'!T95-雨汚水!T95</f>
        <v>0</v>
      </c>
      <c r="U95" s="38">
        <f>+'雨汚水(共通按分後)'!U95-雨汚水!U95</f>
        <v>0</v>
      </c>
      <c r="V95" s="37">
        <f>+'雨汚水(共通按分後)'!V95-雨汚水!V95</f>
        <v>0</v>
      </c>
      <c r="W95" s="36">
        <f>+'雨汚水(共通按分後)'!W95-雨汚水!W95</f>
        <v>0</v>
      </c>
      <c r="X95" s="41" t="s">
        <v>6</v>
      </c>
      <c r="Y95" s="461"/>
      <c r="Z95" s="461"/>
      <c r="AA95" s="461"/>
      <c r="AB95" s="461"/>
      <c r="AC95" s="461"/>
      <c r="AD95" s="51">
        <f>+'雨汚水(共通按分後)'!AD95-雨汚水!AD95</f>
        <v>0</v>
      </c>
      <c r="AE95" s="39">
        <f>+'雨汚水(共通按分後)'!AE95-雨汚水!AE95</f>
        <v>0</v>
      </c>
      <c r="AF95" s="390">
        <f>+'雨汚水(共通按分後)'!AF95-雨汚水!AF95</f>
        <v>0</v>
      </c>
      <c r="AG95" s="38">
        <f>+'雨汚水(共通按分後)'!AG95-雨汚水!AG95</f>
        <v>0</v>
      </c>
      <c r="AH95" s="40">
        <f>+'雨汚水(共通按分後)'!AH95-雨汚水!AH95</f>
        <v>0</v>
      </c>
      <c r="AI95" s="39">
        <f>+'雨汚水(共通按分後)'!AI95-雨汚水!AI95</f>
        <v>0</v>
      </c>
      <c r="AJ95" s="38">
        <f>+'雨汚水(共通按分後)'!AJ95-雨汚水!AJ95</f>
        <v>0</v>
      </c>
      <c r="AK95" s="37">
        <f>+'雨汚水(共通按分後)'!AK95-雨汚水!AK95</f>
        <v>0</v>
      </c>
      <c r="AL95" s="36">
        <f>+'雨汚水(共通按分後)'!AL95-雨汚水!AL95</f>
        <v>0</v>
      </c>
    </row>
    <row r="96" spans="1:38" ht="14.25" thickBot="1">
      <c r="A96" s="35"/>
      <c r="B96" s="34"/>
      <c r="C96" s="33"/>
      <c r="D96" s="31"/>
      <c r="E96" s="486">
        <f>+'雨汚水(共通按分後)'!E96-雨汚水!E96</f>
        <v>0</v>
      </c>
      <c r="F96" s="29">
        <f>+'雨汚水(共通按分後)'!F96-雨汚水!F96</f>
        <v>0</v>
      </c>
      <c r="G96" s="414">
        <f>+'雨汚水(共通按分後)'!G96-雨汚水!G96</f>
        <v>0</v>
      </c>
      <c r="H96" s="28">
        <f>+'雨汚水(共通按分後)'!H96-雨汚水!H96</f>
        <v>0</v>
      </c>
      <c r="I96" s="30">
        <f>+'雨汚水(共通按分後)'!I96-雨汚水!I96</f>
        <v>0</v>
      </c>
      <c r="J96" s="29">
        <f>+'雨汚水(共通按分後)'!J96-雨汚水!J96</f>
        <v>0</v>
      </c>
      <c r="K96" s="28">
        <f>+'雨汚水(共通按分後)'!K96-雨汚水!K96</f>
        <v>0</v>
      </c>
      <c r="L96" s="142">
        <f>+'雨汚水(共通按分後)'!L96-雨汚水!L96</f>
        <v>0</v>
      </c>
      <c r="M96" s="26">
        <f>+'雨汚水(共通按分後)'!M96-雨汚水!M96</f>
        <v>0</v>
      </c>
      <c r="N96" s="31"/>
      <c r="O96" s="486">
        <f>+'雨汚水(共通按分後)'!O96-雨汚水!O96</f>
        <v>0</v>
      </c>
      <c r="P96" s="29">
        <f>+'雨汚水(共通按分後)'!P96-雨汚水!P96</f>
        <v>0</v>
      </c>
      <c r="Q96" s="414">
        <f>+'雨汚水(共通按分後)'!Q96-雨汚水!Q96</f>
        <v>0</v>
      </c>
      <c r="R96" s="28">
        <f>+'雨汚水(共通按分後)'!R96-雨汚水!R96</f>
        <v>0</v>
      </c>
      <c r="S96" s="30">
        <f>+'雨汚水(共通按分後)'!S96-雨汚水!S96</f>
        <v>0</v>
      </c>
      <c r="T96" s="29">
        <f>+'雨汚水(共通按分後)'!T96-雨汚水!T96</f>
        <v>0</v>
      </c>
      <c r="U96" s="28">
        <f>+'雨汚水(共通按分後)'!U96-雨汚水!U96</f>
        <v>0</v>
      </c>
      <c r="V96" s="142">
        <f>+'雨汚水(共通按分後)'!V96-雨汚水!V96</f>
        <v>0</v>
      </c>
      <c r="W96" s="26">
        <f>+'雨汚水(共通按分後)'!W96-雨汚水!W96</f>
        <v>0</v>
      </c>
      <c r="X96" s="31"/>
      <c r="Y96" s="463"/>
      <c r="Z96" s="463"/>
      <c r="AA96" s="463"/>
      <c r="AB96" s="463"/>
      <c r="AC96" s="463"/>
      <c r="AD96" s="486">
        <f>+'雨汚水(共通按分後)'!AD96-雨汚水!AD96</f>
        <v>0</v>
      </c>
      <c r="AE96" s="29">
        <f>+'雨汚水(共通按分後)'!AE96-雨汚水!AE96</f>
        <v>0</v>
      </c>
      <c r="AF96" s="414">
        <f>+'雨汚水(共通按分後)'!AF96-雨汚水!AF96</f>
        <v>0</v>
      </c>
      <c r="AG96" s="28">
        <f>+'雨汚水(共通按分後)'!AG96-雨汚水!AG96</f>
        <v>0</v>
      </c>
      <c r="AH96" s="30">
        <f>+'雨汚水(共通按分後)'!AH96-雨汚水!AH96</f>
        <v>0</v>
      </c>
      <c r="AI96" s="29">
        <f>+'雨汚水(共通按分後)'!AI96-雨汚水!AI96</f>
        <v>0</v>
      </c>
      <c r="AJ96" s="28">
        <f>+'雨汚水(共通按分後)'!AJ96-雨汚水!AJ96</f>
        <v>0</v>
      </c>
      <c r="AK96" s="142">
        <f>+'雨汚水(共通按分後)'!AK96-雨汚水!AK96</f>
        <v>0</v>
      </c>
      <c r="AL96" s="26">
        <f>+'雨汚水(共通按分後)'!AL96-雨汚水!AL96</f>
        <v>0</v>
      </c>
    </row>
    <row r="97" spans="2:38" ht="14.25" thickTop="1">
      <c r="B97" s="499"/>
      <c r="C97" s="500"/>
      <c r="D97" s="501" t="s">
        <v>5</v>
      </c>
      <c r="E97" s="502">
        <f t="shared" ref="E97:G97" si="17">+SUM(E58:E96)</f>
        <v>0</v>
      </c>
      <c r="F97" s="503">
        <f t="shared" si="17"/>
        <v>-372416496</v>
      </c>
      <c r="G97" s="504">
        <f t="shared" si="17"/>
        <v>1022508</v>
      </c>
      <c r="H97" s="505">
        <f>+SUM(H58:H96)</f>
        <v>0</v>
      </c>
      <c r="I97" s="402">
        <f t="shared" ref="I97" si="18">+SUM(I58:I96)</f>
        <v>-371393988</v>
      </c>
      <c r="J97" s="503">
        <f t="shared" ref="J97:L97" si="19">+SUM(J58:J96)</f>
        <v>189571645</v>
      </c>
      <c r="K97" s="505">
        <f t="shared" si="19"/>
        <v>11989521</v>
      </c>
      <c r="L97" s="19">
        <f t="shared" si="19"/>
        <v>201561166</v>
      </c>
      <c r="M97" s="17">
        <f t="shared" ref="M97" si="20">+SUM(M58:M96)</f>
        <v>-107592046</v>
      </c>
      <c r="N97" s="501" t="s">
        <v>5</v>
      </c>
      <c r="O97" s="502">
        <f t="shared" ref="O97:Q97" si="21">+SUM(O58:O96)</f>
        <v>0</v>
      </c>
      <c r="P97" s="503">
        <f t="shared" si="21"/>
        <v>-372416496</v>
      </c>
      <c r="Q97" s="504">
        <f t="shared" si="21"/>
        <v>1022508</v>
      </c>
      <c r="R97" s="505">
        <f>+SUM(R58:R96)</f>
        <v>0</v>
      </c>
      <c r="S97" s="402">
        <f t="shared" ref="S97" si="22">+SUM(S58:S96)</f>
        <v>-371393988</v>
      </c>
      <c r="T97" s="503">
        <f t="shared" ref="T97:V97" si="23">+SUM(T58:T96)</f>
        <v>189571645</v>
      </c>
      <c r="U97" s="505">
        <f t="shared" si="23"/>
        <v>181822343</v>
      </c>
      <c r="V97" s="19">
        <f t="shared" si="23"/>
        <v>371393988</v>
      </c>
      <c r="W97" s="17">
        <f t="shared" ref="W97" si="24">+SUM(W58:W96)</f>
        <v>0</v>
      </c>
      <c r="X97" s="501" t="s">
        <v>5</v>
      </c>
      <c r="Y97" s="507"/>
      <c r="Z97" s="507"/>
      <c r="AA97" s="507"/>
      <c r="AB97" s="507"/>
      <c r="AC97" s="507"/>
      <c r="AD97" s="502">
        <f t="shared" ref="AD97:AF97" si="25">+SUM(AD58:AD96)</f>
        <v>0</v>
      </c>
      <c r="AE97" s="503">
        <f t="shared" si="25"/>
        <v>-372416496</v>
      </c>
      <c r="AF97" s="504">
        <f t="shared" si="25"/>
        <v>1022508</v>
      </c>
      <c r="AG97" s="505">
        <f>+SUM(AG58:AG96)</f>
        <v>0</v>
      </c>
      <c r="AH97" s="402">
        <f t="shared" ref="AH97" si="26">+SUM(AH58:AH96)</f>
        <v>-371393988</v>
      </c>
      <c r="AI97" s="503">
        <f t="shared" ref="AI97:AK97" si="27">+SUM(AI58:AI96)</f>
        <v>189571645</v>
      </c>
      <c r="AJ97" s="505">
        <f t="shared" si="27"/>
        <v>181822343</v>
      </c>
      <c r="AK97" s="19">
        <f t="shared" si="27"/>
        <v>371393988</v>
      </c>
      <c r="AL97" s="17">
        <f t="shared" ref="AL97" si="28">+SUM(AL58:AL96)</f>
        <v>0</v>
      </c>
    </row>
    <row r="98" spans="2:38">
      <c r="B98" s="508" t="s">
        <v>4</v>
      </c>
      <c r="C98" s="451"/>
      <c r="D98" s="509" t="s">
        <v>3</v>
      </c>
      <c r="E98" s="510">
        <f t="shared" ref="E98:M99" si="29">+SUMIFS(E$7:E$45,$B$7:$B$45,$B98)</f>
        <v>-15892</v>
      </c>
      <c r="F98" s="511">
        <f t="shared" si="29"/>
        <v>-488985144</v>
      </c>
      <c r="G98" s="512">
        <f t="shared" si="29"/>
        <v>-55583120</v>
      </c>
      <c r="H98" s="122">
        <f t="shared" si="29"/>
        <v>-75713051</v>
      </c>
      <c r="I98" s="422">
        <f t="shared" si="29"/>
        <v>-620281315</v>
      </c>
      <c r="J98" s="511">
        <f t="shared" si="29"/>
        <v>-142638700</v>
      </c>
      <c r="K98" s="122">
        <f t="shared" si="29"/>
        <v>-802624460</v>
      </c>
      <c r="L98" s="8">
        <f t="shared" si="29"/>
        <v>-945263160</v>
      </c>
      <c r="M98" s="6">
        <f t="shared" si="29"/>
        <v>1565528583</v>
      </c>
      <c r="N98" s="509" t="s">
        <v>3</v>
      </c>
      <c r="O98" s="510">
        <f t="shared" ref="O98:W99" si="30">+SUMIFS(O$7:O$45,$B$7:$B$45,$B98)</f>
        <v>-15902</v>
      </c>
      <c r="P98" s="511">
        <f t="shared" si="30"/>
        <v>-477932530</v>
      </c>
      <c r="Q98" s="512">
        <f t="shared" si="30"/>
        <v>-51924299</v>
      </c>
      <c r="R98" s="122">
        <f t="shared" si="30"/>
        <v>-68387120</v>
      </c>
      <c r="S98" s="422">
        <f t="shared" si="30"/>
        <v>-598243949</v>
      </c>
      <c r="T98" s="511">
        <f t="shared" si="30"/>
        <v>-132094367</v>
      </c>
      <c r="U98" s="122">
        <f t="shared" si="30"/>
        <v>730322414</v>
      </c>
      <c r="V98" s="8">
        <f t="shared" si="30"/>
        <v>598228047</v>
      </c>
      <c r="W98" s="6">
        <f t="shared" si="30"/>
        <v>0</v>
      </c>
      <c r="X98" s="509" t="s">
        <v>3</v>
      </c>
      <c r="Y98" s="519"/>
      <c r="Z98" s="519"/>
      <c r="AA98" s="519"/>
      <c r="AB98" s="519"/>
      <c r="AC98" s="519"/>
      <c r="AD98" s="510">
        <f t="shared" ref="AD98:AL99" si="31">+SUMIFS(AD$7:AD$45,$B$7:$B$45,$B98)</f>
        <v>4583478150</v>
      </c>
      <c r="AE98" s="511">
        <f t="shared" si="31"/>
        <v>3281570915</v>
      </c>
      <c r="AF98" s="512">
        <f t="shared" si="31"/>
        <v>295568763</v>
      </c>
      <c r="AG98" s="122">
        <f t="shared" si="31"/>
        <v>414052277</v>
      </c>
      <c r="AH98" s="422">
        <f t="shared" si="31"/>
        <v>3991191955</v>
      </c>
      <c r="AI98" s="511">
        <f t="shared" si="31"/>
        <v>-138036219</v>
      </c>
      <c r="AJ98" s="122">
        <f t="shared" si="31"/>
        <v>730322414</v>
      </c>
      <c r="AK98" s="8">
        <f t="shared" si="31"/>
        <v>592286195</v>
      </c>
      <c r="AL98" s="6">
        <f t="shared" si="31"/>
        <v>0</v>
      </c>
    </row>
    <row r="99" spans="2:38">
      <c r="B99" s="508" t="s">
        <v>2</v>
      </c>
      <c r="C99" s="451"/>
      <c r="D99" s="509" t="s">
        <v>1</v>
      </c>
      <c r="E99" s="510">
        <f t="shared" si="29"/>
        <v>0</v>
      </c>
      <c r="F99" s="511">
        <f t="shared" si="29"/>
        <v>1147131608</v>
      </c>
      <c r="G99" s="512">
        <f t="shared" si="29"/>
        <v>8918481</v>
      </c>
      <c r="H99" s="122">
        <f t="shared" si="29"/>
        <v>56855052</v>
      </c>
      <c r="I99" s="422">
        <f t="shared" si="29"/>
        <v>1212905141</v>
      </c>
      <c r="J99" s="511">
        <f t="shared" si="29"/>
        <v>1041233082</v>
      </c>
      <c r="K99" s="122">
        <f t="shared" si="29"/>
        <v>2043369903</v>
      </c>
      <c r="L99" s="8">
        <f t="shared" si="29"/>
        <v>3084602985</v>
      </c>
      <c r="M99" s="6">
        <f t="shared" si="29"/>
        <v>-4297508126</v>
      </c>
      <c r="N99" s="509" t="s">
        <v>1</v>
      </c>
      <c r="O99" s="510">
        <f t="shared" si="30"/>
        <v>0</v>
      </c>
      <c r="P99" s="511">
        <f t="shared" si="30"/>
        <v>1147968180</v>
      </c>
      <c r="Q99" s="512">
        <f t="shared" si="30"/>
        <v>8918481</v>
      </c>
      <c r="R99" s="122">
        <f t="shared" si="30"/>
        <v>56855052</v>
      </c>
      <c r="S99" s="422">
        <f t="shared" si="30"/>
        <v>1213741713</v>
      </c>
      <c r="T99" s="511">
        <f t="shared" si="30"/>
        <v>1041233082</v>
      </c>
      <c r="U99" s="122">
        <f t="shared" si="30"/>
        <v>-2526107877</v>
      </c>
      <c r="V99" s="8">
        <f t="shared" si="30"/>
        <v>-1484874795</v>
      </c>
      <c r="W99" s="6">
        <f t="shared" si="30"/>
        <v>271133082</v>
      </c>
      <c r="X99" s="509" t="s">
        <v>1</v>
      </c>
      <c r="Y99" s="519"/>
      <c r="Z99" s="519"/>
      <c r="AA99" s="519"/>
      <c r="AB99" s="519"/>
      <c r="AC99" s="519"/>
      <c r="AD99" s="510">
        <f t="shared" si="31"/>
        <v>-4583494052</v>
      </c>
      <c r="AE99" s="511">
        <f t="shared" si="31"/>
        <v>-2380540850</v>
      </c>
      <c r="AF99" s="512">
        <f t="shared" si="31"/>
        <v>8918481</v>
      </c>
      <c r="AG99" s="122">
        <f t="shared" si="31"/>
        <v>-44629974</v>
      </c>
      <c r="AH99" s="422">
        <f t="shared" si="31"/>
        <v>-2416252343</v>
      </c>
      <c r="AI99" s="511">
        <f t="shared" si="31"/>
        <v>87733086</v>
      </c>
      <c r="AJ99" s="122">
        <f t="shared" si="31"/>
        <v>-2526107877</v>
      </c>
      <c r="AK99" s="8">
        <f t="shared" si="31"/>
        <v>-2438374791</v>
      </c>
      <c r="AL99" s="6">
        <f t="shared" si="31"/>
        <v>271133082</v>
      </c>
    </row>
    <row r="100" spans="2:38">
      <c r="B100" s="508"/>
      <c r="C100" s="515"/>
      <c r="D100" s="516" t="s">
        <v>0</v>
      </c>
      <c r="E100" s="510">
        <f>+SUM(E58:E96)</f>
        <v>0</v>
      </c>
      <c r="F100" s="511">
        <f t="shared" ref="F100:M100" si="32">+SUM(F58:F96)</f>
        <v>-372416496</v>
      </c>
      <c r="G100" s="512">
        <f t="shared" si="32"/>
        <v>1022508</v>
      </c>
      <c r="H100" s="122">
        <f t="shared" si="32"/>
        <v>0</v>
      </c>
      <c r="I100" s="422">
        <f t="shared" si="32"/>
        <v>-371393988</v>
      </c>
      <c r="J100" s="511">
        <f t="shared" si="32"/>
        <v>189571645</v>
      </c>
      <c r="K100" s="122">
        <f t="shared" si="32"/>
        <v>11989521</v>
      </c>
      <c r="L100" s="8">
        <f t="shared" si="32"/>
        <v>201561166</v>
      </c>
      <c r="M100" s="6">
        <f t="shared" si="32"/>
        <v>-107592046</v>
      </c>
      <c r="N100" s="516" t="s">
        <v>0</v>
      </c>
      <c r="O100" s="510">
        <f>+SUM(O58:O96)</f>
        <v>0</v>
      </c>
      <c r="P100" s="511">
        <f t="shared" ref="P100:W100" si="33">+SUM(P58:P96)</f>
        <v>-372416496</v>
      </c>
      <c r="Q100" s="512">
        <f t="shared" si="33"/>
        <v>1022508</v>
      </c>
      <c r="R100" s="122">
        <f t="shared" si="33"/>
        <v>0</v>
      </c>
      <c r="S100" s="422">
        <f t="shared" si="33"/>
        <v>-371393988</v>
      </c>
      <c r="T100" s="511">
        <f t="shared" si="33"/>
        <v>189571645</v>
      </c>
      <c r="U100" s="122">
        <f t="shared" si="33"/>
        <v>181822343</v>
      </c>
      <c r="V100" s="8">
        <f t="shared" si="33"/>
        <v>371393988</v>
      </c>
      <c r="W100" s="6">
        <f t="shared" si="33"/>
        <v>0</v>
      </c>
      <c r="X100" s="516" t="s">
        <v>0</v>
      </c>
      <c r="Y100" s="517"/>
      <c r="Z100" s="517"/>
      <c r="AA100" s="517"/>
      <c r="AB100" s="517"/>
      <c r="AC100" s="517"/>
      <c r="AD100" s="510">
        <f>+SUM(AD58:AD96)</f>
        <v>0</v>
      </c>
      <c r="AE100" s="511">
        <f t="shared" ref="AE100:AL100" si="34">+SUM(AE58:AE96)</f>
        <v>-372416496</v>
      </c>
      <c r="AF100" s="512">
        <f t="shared" si="34"/>
        <v>1022508</v>
      </c>
      <c r="AG100" s="122">
        <f t="shared" si="34"/>
        <v>0</v>
      </c>
      <c r="AH100" s="422">
        <f t="shared" si="34"/>
        <v>-371393988</v>
      </c>
      <c r="AI100" s="511">
        <f t="shared" si="34"/>
        <v>189571645</v>
      </c>
      <c r="AJ100" s="122">
        <f t="shared" si="34"/>
        <v>181822343</v>
      </c>
      <c r="AK100" s="8">
        <f t="shared" si="34"/>
        <v>371393988</v>
      </c>
      <c r="AL100" s="6">
        <f t="shared" si="34"/>
        <v>0</v>
      </c>
    </row>
    <row r="101" spans="2:38">
      <c r="D101" s="4"/>
      <c r="E101" s="4">
        <f>+E100-('[2]3条収入'!$E$70-'[2]3条収入'!$E$9-'[2]3条収入'!$E$42)</f>
        <v>-30258405695</v>
      </c>
      <c r="F101" s="4"/>
      <c r="G101" s="4"/>
      <c r="H101" s="4"/>
      <c r="I101" s="4"/>
      <c r="J101" s="4"/>
      <c r="K101" s="4"/>
      <c r="L101" s="4"/>
      <c r="M101" s="4"/>
      <c r="N101" s="4"/>
      <c r="O101" s="4">
        <f>+O100-('[2]3条収入'!$AI$70-'[2]3条収入'!$AI$9-'[2]3条収入'!$AI$42)</f>
        <v>-28373855981</v>
      </c>
      <c r="P101" s="4"/>
      <c r="Q101" s="4"/>
      <c r="R101" s="4"/>
      <c r="S101" s="4"/>
      <c r="T101" s="4"/>
      <c r="U101" s="4"/>
      <c r="V101" s="4"/>
      <c r="W101" s="4"/>
      <c r="X101" s="4"/>
      <c r="Y101" s="4"/>
      <c r="Z101" s="4"/>
      <c r="AA101" s="4"/>
      <c r="AB101" s="4"/>
      <c r="AC101" s="4"/>
      <c r="AD101" s="4">
        <f>+AD100-('[2]3条収入'!$AI$69-'[2]3条収入'!$AI$9-'[2]3条収入'!$AI$42)</f>
        <v>-28375736546</v>
      </c>
      <c r="AE101" s="4"/>
      <c r="AF101" s="4"/>
      <c r="AG101" s="4"/>
      <c r="AH101" s="4"/>
      <c r="AI101" s="4"/>
      <c r="AJ101" s="4"/>
      <c r="AK101" s="4"/>
      <c r="AL101" s="4"/>
    </row>
    <row r="103" spans="2:38">
      <c r="D103" s="2" t="str">
        <f>+$D$1</f>
        <v>令和５年度決算　消費税算出資料</v>
      </c>
      <c r="E103" s="4"/>
      <c r="F103" s="4"/>
      <c r="G103" s="4"/>
      <c r="H103" s="4"/>
      <c r="I103" s="4"/>
      <c r="J103" s="4"/>
      <c r="K103" s="4"/>
      <c r="L103" s="4"/>
      <c r="M103" s="4"/>
      <c r="N103" s="2" t="str">
        <f>+$D$1</f>
        <v>令和５年度決算　消費税算出資料</v>
      </c>
      <c r="X103" s="2" t="str">
        <f>+$D$1</f>
        <v>令和５年度決算　消費税算出資料</v>
      </c>
    </row>
    <row r="104" spans="2:38">
      <c r="D104" s="520" t="s">
        <v>372</v>
      </c>
      <c r="E104" s="4"/>
      <c r="F104" s="4"/>
      <c r="G104" s="4"/>
      <c r="H104" s="4"/>
      <c r="I104" s="4"/>
      <c r="J104" s="4"/>
      <c r="K104" s="4"/>
      <c r="L104" s="4"/>
      <c r="M104" s="53" t="str">
        <f>+IF(COUNTIF(M109:M130,0)=COUNT(M109:M130),"","↓エラーあり")</f>
        <v/>
      </c>
      <c r="N104" s="2" t="s">
        <v>373</v>
      </c>
      <c r="W104" s="53" t="str">
        <f>+IF(COUNTIF(W109:W130,0)=COUNT(W109:W130),"","↓エラーあり")</f>
        <v/>
      </c>
      <c r="X104" s="2" t="s">
        <v>124</v>
      </c>
      <c r="AL104" s="53" t="str">
        <f>+IF(COUNTIF(AL109:AL137,0)=COUNT(AL109:AL137),"","↓エラーあり")</f>
        <v/>
      </c>
    </row>
    <row r="105" spans="2:38">
      <c r="D105" s="579" t="s">
        <v>93</v>
      </c>
      <c r="E105" s="634" t="s">
        <v>92</v>
      </c>
      <c r="F105" s="635"/>
      <c r="G105" s="635"/>
      <c r="H105" s="635"/>
      <c r="I105" s="635"/>
      <c r="J105" s="635"/>
      <c r="K105" s="635"/>
      <c r="L105" s="635"/>
      <c r="M105" s="636"/>
      <c r="N105" s="579" t="s">
        <v>93</v>
      </c>
      <c r="O105" s="634" t="s">
        <v>123</v>
      </c>
      <c r="P105" s="635"/>
      <c r="Q105" s="635"/>
      <c r="R105" s="635"/>
      <c r="S105" s="635"/>
      <c r="T105" s="635"/>
      <c r="U105" s="635"/>
      <c r="V105" s="635"/>
      <c r="W105" s="636"/>
      <c r="X105" s="579" t="s">
        <v>93</v>
      </c>
      <c r="Y105" s="634" t="s">
        <v>114</v>
      </c>
      <c r="Z105" s="635"/>
      <c r="AA105" s="635"/>
      <c r="AB105" s="635"/>
      <c r="AC105" s="635"/>
      <c r="AD105" s="635"/>
      <c r="AE105" s="635"/>
      <c r="AF105" s="635"/>
      <c r="AG105" s="635"/>
      <c r="AH105" s="635"/>
      <c r="AI105" s="635"/>
      <c r="AJ105" s="635"/>
      <c r="AK105" s="635"/>
      <c r="AL105" s="636"/>
    </row>
    <row r="106" spans="2:38">
      <c r="D106" s="580"/>
      <c r="E106" s="641" t="s">
        <v>87</v>
      </c>
      <c r="F106" s="634" t="s">
        <v>86</v>
      </c>
      <c r="G106" s="635"/>
      <c r="H106" s="635"/>
      <c r="I106" s="636"/>
      <c r="J106" s="634" t="s">
        <v>85</v>
      </c>
      <c r="K106" s="635"/>
      <c r="L106" s="636"/>
      <c r="M106" s="594" t="s">
        <v>83</v>
      </c>
      <c r="N106" s="580"/>
      <c r="O106" s="594" t="s">
        <v>121</v>
      </c>
      <c r="P106" s="634" t="s">
        <v>86</v>
      </c>
      <c r="Q106" s="635"/>
      <c r="R106" s="635"/>
      <c r="S106" s="636"/>
      <c r="T106" s="634" t="s">
        <v>85</v>
      </c>
      <c r="U106" s="635"/>
      <c r="V106" s="636"/>
      <c r="W106" s="579" t="s">
        <v>83</v>
      </c>
      <c r="X106" s="580"/>
      <c r="Y106" s="643" t="s">
        <v>122</v>
      </c>
      <c r="Z106" s="643" t="s">
        <v>113</v>
      </c>
      <c r="AA106" s="645" t="s">
        <v>112</v>
      </c>
      <c r="AB106" s="637" t="s">
        <v>111</v>
      </c>
      <c r="AC106" s="521" t="s">
        <v>110</v>
      </c>
      <c r="AD106" s="641" t="s">
        <v>109</v>
      </c>
      <c r="AE106" s="634" t="s">
        <v>86</v>
      </c>
      <c r="AF106" s="635"/>
      <c r="AG106" s="635"/>
      <c r="AH106" s="636"/>
      <c r="AI106" s="634" t="s">
        <v>85</v>
      </c>
      <c r="AJ106" s="635"/>
      <c r="AK106" s="636"/>
      <c r="AL106" s="579" t="s">
        <v>83</v>
      </c>
    </row>
    <row r="107" spans="2:38">
      <c r="D107" s="580"/>
      <c r="E107" s="642"/>
      <c r="F107" s="489" t="s">
        <v>82</v>
      </c>
      <c r="G107" s="490" t="s">
        <v>82</v>
      </c>
      <c r="H107" s="491" t="s">
        <v>80</v>
      </c>
      <c r="I107" s="482" t="s">
        <v>81</v>
      </c>
      <c r="J107" s="489" t="s">
        <v>82</v>
      </c>
      <c r="K107" s="491" t="s">
        <v>80</v>
      </c>
      <c r="L107" s="111" t="s">
        <v>81</v>
      </c>
      <c r="M107" s="580"/>
      <c r="N107" s="580"/>
      <c r="O107" s="640"/>
      <c r="P107" s="489" t="s">
        <v>82</v>
      </c>
      <c r="Q107" s="490" t="s">
        <v>82</v>
      </c>
      <c r="R107" s="491" t="s">
        <v>80</v>
      </c>
      <c r="S107" s="482" t="s">
        <v>81</v>
      </c>
      <c r="T107" s="489" t="s">
        <v>82</v>
      </c>
      <c r="U107" s="491" t="s">
        <v>80</v>
      </c>
      <c r="V107" s="111" t="s">
        <v>81</v>
      </c>
      <c r="W107" s="580"/>
      <c r="X107" s="580"/>
      <c r="Y107" s="580"/>
      <c r="Z107" s="644"/>
      <c r="AA107" s="646"/>
      <c r="AB107" s="638"/>
      <c r="AC107" s="522" t="s">
        <v>107</v>
      </c>
      <c r="AD107" s="642"/>
      <c r="AE107" s="489" t="s">
        <v>82</v>
      </c>
      <c r="AF107" s="490" t="s">
        <v>82</v>
      </c>
      <c r="AG107" s="491" t="s">
        <v>80</v>
      </c>
      <c r="AH107" s="482" t="s">
        <v>81</v>
      </c>
      <c r="AI107" s="489" t="s">
        <v>82</v>
      </c>
      <c r="AJ107" s="491" t="s">
        <v>80</v>
      </c>
      <c r="AK107" s="111" t="s">
        <v>81</v>
      </c>
      <c r="AL107" s="580"/>
    </row>
    <row r="108" spans="2:38">
      <c r="D108" s="580"/>
      <c r="E108" s="642"/>
      <c r="F108" s="493" t="s">
        <v>78</v>
      </c>
      <c r="G108" s="494" t="s">
        <v>79</v>
      </c>
      <c r="H108" s="495" t="s">
        <v>84</v>
      </c>
      <c r="I108" s="401"/>
      <c r="J108" s="493" t="s">
        <v>78</v>
      </c>
      <c r="K108" s="496" t="s">
        <v>78</v>
      </c>
      <c r="L108" s="107"/>
      <c r="M108" s="580"/>
      <c r="N108" s="580"/>
      <c r="O108" s="640"/>
      <c r="P108" s="493" t="s">
        <v>78</v>
      </c>
      <c r="Q108" s="494" t="s">
        <v>79</v>
      </c>
      <c r="R108" s="495" t="s">
        <v>84</v>
      </c>
      <c r="S108" s="401"/>
      <c r="T108" s="493" t="s">
        <v>78</v>
      </c>
      <c r="U108" s="496" t="s">
        <v>78</v>
      </c>
      <c r="V108" s="107"/>
      <c r="W108" s="580"/>
      <c r="X108" s="580"/>
      <c r="Y108" s="580"/>
      <c r="Z108" s="644"/>
      <c r="AA108" s="647"/>
      <c r="AB108" s="639"/>
      <c r="AC108" s="522"/>
      <c r="AD108" s="642"/>
      <c r="AE108" s="493" t="s">
        <v>78</v>
      </c>
      <c r="AF108" s="494" t="s">
        <v>79</v>
      </c>
      <c r="AG108" s="495" t="s">
        <v>84</v>
      </c>
      <c r="AH108" s="401"/>
      <c r="AI108" s="493" t="s">
        <v>78</v>
      </c>
      <c r="AJ108" s="496" t="s">
        <v>78</v>
      </c>
      <c r="AK108" s="107"/>
      <c r="AL108" s="580"/>
    </row>
    <row r="109" spans="2:38">
      <c r="D109" s="99" t="s">
        <v>75</v>
      </c>
      <c r="E109" s="523">
        <f>+'雨汚水(共通按分後)'!E109-雨汚水!E109</f>
        <v>1697260549</v>
      </c>
      <c r="F109" s="524">
        <f>+'雨汚水(共通按分後)'!F109-雨汚水!F109</f>
        <v>1273446561</v>
      </c>
      <c r="G109" s="525">
        <f>+'雨汚水(共通按分後)'!G109-雨汚水!G109</f>
        <v>303464736</v>
      </c>
      <c r="H109" s="96">
        <f>+'雨汚水(共通按分後)'!H109-雨汚水!H109</f>
        <v>360224030</v>
      </c>
      <c r="I109" s="403">
        <f>+'雨汚水(共通按分後)'!I109-雨汚水!I109</f>
        <v>1937135327</v>
      </c>
      <c r="J109" s="524">
        <f>+'雨汚水(共通按分後)'!J109-雨汚水!J109</f>
        <v>-239874778</v>
      </c>
      <c r="K109" s="96">
        <f>+'雨汚水(共通按分後)'!K109-雨汚水!K109</f>
        <v>0</v>
      </c>
      <c r="L109" s="88">
        <f>+'雨汚水(共通按分後)'!L109-雨汚水!L109</f>
        <v>-239874778</v>
      </c>
      <c r="M109" s="86">
        <f>+'雨汚水(共通按分後)'!M109-雨汚水!M109</f>
        <v>0</v>
      </c>
      <c r="N109" s="99" t="s">
        <v>75</v>
      </c>
      <c r="O109" s="101">
        <f>+'雨汚水(共通按分後)'!O109-雨汚水!O109</f>
        <v>1697748598</v>
      </c>
      <c r="P109" s="97">
        <f>+'雨汚水(共通按分後)'!P109-雨汚水!P109</f>
        <v>1042452146</v>
      </c>
      <c r="Q109" s="134">
        <f>+'雨汚水(共通按分後)'!Q109-雨汚水!Q109</f>
        <v>-44028326</v>
      </c>
      <c r="R109" s="98">
        <f>+'雨汚水(共通按分後)'!R109-雨汚水!R109</f>
        <v>-20242292</v>
      </c>
      <c r="S109" s="101">
        <f>+'雨汚水(共通按分後)'!S109-雨汚水!S109</f>
        <v>978181528</v>
      </c>
      <c r="T109" s="97">
        <f>+'雨汚水(共通按分後)'!T109-雨汚水!T109</f>
        <v>719567070</v>
      </c>
      <c r="U109" s="98">
        <f>+'雨汚水(共通按分後)'!U109-雨汚水!U109</f>
        <v>0</v>
      </c>
      <c r="V109" s="95">
        <f>+'雨汚水(共通按分後)'!V109-雨汚水!V109</f>
        <v>719567070</v>
      </c>
      <c r="W109" s="94">
        <f>+'雨汚水(共通按分後)'!W109-雨汚水!W109</f>
        <v>0</v>
      </c>
      <c r="X109" s="99" t="s">
        <v>75</v>
      </c>
      <c r="Y109" s="94">
        <f>+'雨汚水(共通按分後)'!Y109-雨汚水!Y109</f>
        <v>-1228771814</v>
      </c>
      <c r="Z109" s="526">
        <f>+'雨汚水(共通按分後)'!Z109-雨汚水!Z109</f>
        <v>0</v>
      </c>
      <c r="AA109" s="526">
        <f>+'雨汚水(共通按分後)'!AA109-雨汚水!AA109</f>
        <v>0</v>
      </c>
      <c r="AB109" s="526">
        <f>+'雨汚水(共通按分後)'!AB109-雨汚水!AB109</f>
        <v>1697748598</v>
      </c>
      <c r="AC109" s="526">
        <f>+'雨汚水(共通按分後)'!AC109-雨汚水!AC109</f>
        <v>-488049</v>
      </c>
      <c r="AD109" s="523">
        <f>+'雨汚水(共通按分後)'!AD109-雨汚水!AD109</f>
        <v>-488049</v>
      </c>
      <c r="AE109" s="524">
        <f>+'雨汚水(共通按分後)'!AE109-雨汚水!AE109</f>
        <v>230994415</v>
      </c>
      <c r="AF109" s="525">
        <f>+'雨汚水(共通按分後)'!AF109-雨汚水!AF109</f>
        <v>347493062</v>
      </c>
      <c r="AG109" s="96">
        <f>+'雨汚水(共通按分後)'!AG109-雨汚水!AG109</f>
        <v>380466322</v>
      </c>
      <c r="AH109" s="403">
        <f>+'雨汚水(共通按分後)'!AH109-雨汚水!AH109</f>
        <v>958953799</v>
      </c>
      <c r="AI109" s="524">
        <f>+'雨汚水(共通按分後)'!AI109-雨汚水!AI109</f>
        <v>-959441848</v>
      </c>
      <c r="AJ109" s="96">
        <f>+'雨汚水(共通按分後)'!AJ109-雨汚水!AJ109</f>
        <v>0</v>
      </c>
      <c r="AK109" s="88">
        <f>+'雨汚水(共通按分後)'!AK109-雨汚水!AK109</f>
        <v>-959441848</v>
      </c>
      <c r="AL109" s="86">
        <f>+'雨汚水(共通按分後)'!AL109-雨汚水!AL109</f>
        <v>0</v>
      </c>
    </row>
    <row r="110" spans="2:38">
      <c r="D110" s="85" t="s">
        <v>72</v>
      </c>
      <c r="E110" s="83">
        <f>+'雨汚水(共通按分後)'!E110-雨汚水!E110</f>
        <v>1687623271</v>
      </c>
      <c r="F110" s="82">
        <f>+'雨汚水(共通按分後)'!F110-雨汚水!F110</f>
        <v>1273446561</v>
      </c>
      <c r="G110" s="394">
        <f>+'雨汚水(共通按分後)'!G110-雨汚水!G110</f>
        <v>303464736</v>
      </c>
      <c r="H110" s="81">
        <f>+'雨汚水(共通按分後)'!H110-雨汚水!H110</f>
        <v>340638734</v>
      </c>
      <c r="I110" s="404">
        <f>+'雨汚水(共通按分後)'!I110-雨汚水!I110</f>
        <v>1917550031</v>
      </c>
      <c r="J110" s="82">
        <f>+'雨汚水(共通按分後)'!J110-雨汚水!J110</f>
        <v>-229926760</v>
      </c>
      <c r="K110" s="81">
        <f>+'雨汚水(共通按分後)'!K110-雨汚水!K110</f>
        <v>0</v>
      </c>
      <c r="L110" s="80">
        <f>+'雨汚水(共通按分後)'!L110-雨汚水!L110</f>
        <v>-229926760</v>
      </c>
      <c r="M110" s="79">
        <f>+'雨汚水(共通按分後)'!M110-雨汚水!M110</f>
        <v>0</v>
      </c>
      <c r="N110" s="85" t="s">
        <v>72</v>
      </c>
      <c r="O110" s="183">
        <f>+'雨汚水(共通按分後)'!O110-雨汚水!O110</f>
        <v>1688111320</v>
      </c>
      <c r="P110" s="182">
        <f>+'雨汚水(共通按分後)'!P110-雨汚水!P110</f>
        <v>1042452146</v>
      </c>
      <c r="Q110" s="388">
        <f>+'雨汚水(共通按分後)'!Q110-雨汚水!Q110</f>
        <v>-44028326</v>
      </c>
      <c r="R110" s="181">
        <f>+'雨汚水(共通按分後)'!R110-雨汚水!R110</f>
        <v>-39516848</v>
      </c>
      <c r="S110" s="183">
        <f>+'雨汚水(共通按分後)'!S110-雨汚水!S110</f>
        <v>958906972</v>
      </c>
      <c r="T110" s="182">
        <f>+'雨汚水(共通按分後)'!T110-雨汚水!T110</f>
        <v>729204348</v>
      </c>
      <c r="U110" s="181">
        <f>+'雨汚水(共通按分後)'!U110-雨汚水!U110</f>
        <v>0</v>
      </c>
      <c r="V110" s="180">
        <f>+'雨汚水(共通按分後)'!V110-雨汚水!V110</f>
        <v>729204348</v>
      </c>
      <c r="W110" s="84">
        <f>+'雨汚水(共通按分後)'!W110-雨汚水!W110</f>
        <v>0</v>
      </c>
      <c r="X110" s="85" t="s">
        <v>72</v>
      </c>
      <c r="Y110" s="84">
        <f>+'雨汚水(共通按分後)'!Y110-雨汚水!Y110</f>
        <v>-1238409092</v>
      </c>
      <c r="Z110" s="79">
        <f>+'雨汚水(共通按分後)'!Z110-雨汚水!Z110</f>
        <v>0</v>
      </c>
      <c r="AA110" s="79">
        <f>+'雨汚水(共通按分後)'!AA110-雨汚水!AA110</f>
        <v>0</v>
      </c>
      <c r="AB110" s="79">
        <f>+'雨汚水(共通按分後)'!AB110-雨汚水!AB110</f>
        <v>1688111320</v>
      </c>
      <c r="AC110" s="79">
        <f>+'雨汚水(共通按分後)'!AC110-雨汚水!AC110</f>
        <v>-488049</v>
      </c>
      <c r="AD110" s="83">
        <f>+'雨汚水(共通按分後)'!AD110-雨汚水!AD110</f>
        <v>-488049</v>
      </c>
      <c r="AE110" s="82">
        <f>+'雨汚水(共通按分後)'!AE110-雨汚水!AE110</f>
        <v>230994415</v>
      </c>
      <c r="AF110" s="394">
        <f>+'雨汚水(共通按分後)'!AF110-雨汚水!AF110</f>
        <v>347493062</v>
      </c>
      <c r="AG110" s="81">
        <f>+'雨汚水(共通按分後)'!AG110-雨汚水!AG110</f>
        <v>380155582</v>
      </c>
      <c r="AH110" s="404">
        <f>+'雨汚水(共通按分後)'!AH110-雨汚水!AH110</f>
        <v>958643059</v>
      </c>
      <c r="AI110" s="82">
        <f>+'雨汚水(共通按分後)'!AI110-雨汚水!AI110</f>
        <v>-959131108</v>
      </c>
      <c r="AJ110" s="81">
        <f>+'雨汚水(共通按分後)'!AJ110-雨汚水!AJ110</f>
        <v>0</v>
      </c>
      <c r="AK110" s="80">
        <f>+'雨汚水(共通按分後)'!AK110-雨汚水!AK110</f>
        <v>-959131108</v>
      </c>
      <c r="AL110" s="79">
        <f>+'雨汚水(共通按分後)'!AL110-雨汚水!AL110</f>
        <v>0</v>
      </c>
    </row>
    <row r="111" spans="2:38">
      <c r="D111" s="41" t="s">
        <v>47</v>
      </c>
      <c r="E111" s="73">
        <f>+'雨汚水(共通按分後)'!E111-雨汚水!E111</f>
        <v>3834038915</v>
      </c>
      <c r="F111" s="72">
        <f>+'雨汚水(共通按分後)'!F111-雨汚水!F111</f>
        <v>3281289645</v>
      </c>
      <c r="G111" s="391">
        <f>+'雨汚水(共通按分後)'!G111-雨汚水!G111</f>
        <v>295568763</v>
      </c>
      <c r="H111" s="54">
        <f>+'雨汚水(共通按分後)'!H111-雨汚水!H111</f>
        <v>385268708</v>
      </c>
      <c r="I111" s="73">
        <f>+'雨汚水(共通按分後)'!I111-雨汚水!I111</f>
        <v>3962127116</v>
      </c>
      <c r="J111" s="69">
        <f>+'雨汚水(共通按分後)'!J111-雨汚水!J111</f>
        <v>-128088201</v>
      </c>
      <c r="K111" s="54">
        <f>+'雨汚水(共通按分後)'!K111-雨汚水!K111</f>
        <v>0</v>
      </c>
      <c r="L111" s="68">
        <f>+'雨汚水(共通按分後)'!L111-雨汚水!L111</f>
        <v>-128088201</v>
      </c>
      <c r="M111" s="67">
        <f>+'雨汚水(共通按分後)'!M111-雨汚水!M111</f>
        <v>0</v>
      </c>
      <c r="N111" s="41" t="s">
        <v>47</v>
      </c>
      <c r="O111" s="40">
        <f>+'雨汚水(共通按分後)'!O111-雨汚水!O111</f>
        <v>-748967088</v>
      </c>
      <c r="P111" s="39">
        <f>+'雨汚水(共通按分後)'!P111-雨汚水!P111</f>
        <v>-478213800</v>
      </c>
      <c r="Q111" s="390">
        <f>+'雨汚水(共通按分後)'!Q111-雨汚水!Q111</f>
        <v>-51924299</v>
      </c>
      <c r="R111" s="38">
        <f>+'雨汚水(共通按分後)'!R111-雨汚水!R111</f>
        <v>-96371900</v>
      </c>
      <c r="S111" s="40">
        <f>+'雨汚水(共通按分後)'!S111-雨汚水!S111</f>
        <v>-626509999</v>
      </c>
      <c r="T111" s="39">
        <f>+'雨汚水(共通按分後)'!T111-雨汚水!T111</f>
        <v>-122457089</v>
      </c>
      <c r="U111" s="38">
        <f>+'雨汚水(共通按分後)'!U111-雨汚水!U111</f>
        <v>0</v>
      </c>
      <c r="V111" s="37">
        <f>+'雨汚水(共通按分後)'!V111-雨汚水!V111</f>
        <v>-122457089</v>
      </c>
      <c r="W111" s="36">
        <f>+'雨汚水(共通按分後)'!W111-雨汚水!W111</f>
        <v>0</v>
      </c>
      <c r="X111" s="41" t="s">
        <v>47</v>
      </c>
      <c r="Y111" s="36">
        <f>+'雨汚水(共通按分後)'!Y111-雨汚水!Y111</f>
        <v>792690020</v>
      </c>
      <c r="Z111" s="67">
        <f>+'雨汚水(共通按分後)'!Z111-雨汚水!Z111</f>
        <v>0</v>
      </c>
      <c r="AA111" s="67">
        <f>+'雨汚水(共通按分後)'!AA111-雨汚水!AA111</f>
        <v>0</v>
      </c>
      <c r="AB111" s="67">
        <f>+'雨汚水(共通按分後)'!AB111-雨汚水!AB111</f>
        <v>-748967088</v>
      </c>
      <c r="AC111" s="67">
        <f>+'雨汚水(共通按分後)'!AC111-雨汚水!AC111</f>
        <v>4583006003</v>
      </c>
      <c r="AD111" s="73">
        <f>+'雨汚水(共通按分後)'!AD111-雨汚水!AD111</f>
        <v>4583006003</v>
      </c>
      <c r="AE111" s="72">
        <f>+'雨汚水(共通按分後)'!AE111-雨汚水!AE111</f>
        <v>3759503445</v>
      </c>
      <c r="AF111" s="391">
        <f>+'雨汚水(共通按分後)'!AF111-雨汚水!AF111</f>
        <v>347493062</v>
      </c>
      <c r="AG111" s="54">
        <f>+'雨汚水(共通按分後)'!AG111-雨汚水!AG111</f>
        <v>481640608</v>
      </c>
      <c r="AH111" s="73">
        <f>+'雨汚水(共通按分後)'!AH111-雨汚水!AH111</f>
        <v>4588637115</v>
      </c>
      <c r="AI111" s="69">
        <f>+'雨汚水(共通按分後)'!AI111-雨汚水!AI111</f>
        <v>-5631112</v>
      </c>
      <c r="AJ111" s="54">
        <f>+'雨汚水(共通按分後)'!AJ111-雨汚水!AJ111</f>
        <v>0</v>
      </c>
      <c r="AK111" s="68">
        <f>+'雨汚水(共通按分後)'!AK111-雨汚水!AK111</f>
        <v>-5631112</v>
      </c>
      <c r="AL111" s="67">
        <f>+'雨汚水(共通按分後)'!AL111-雨汚水!AL111</f>
        <v>0</v>
      </c>
    </row>
    <row r="112" spans="2:38">
      <c r="D112" s="41" t="s">
        <v>45</v>
      </c>
      <c r="E112" s="73">
        <f>+'雨汚水(共通按分後)'!E112-雨汚水!E112</f>
        <v>216101483</v>
      </c>
      <c r="F112" s="72">
        <f>+'雨汚水(共通按分後)'!F112-雨汚水!F112</f>
        <v>-82836085</v>
      </c>
      <c r="G112" s="391">
        <f>+'雨汚水(共通按分後)'!G112-雨汚水!G112</f>
        <v>7895973</v>
      </c>
      <c r="H112" s="54">
        <f>+'雨汚水(共通按分後)'!H112-雨汚水!H112</f>
        <v>0</v>
      </c>
      <c r="I112" s="73">
        <f>+'雨汚水(共通按分後)'!I112-雨汚水!I112</f>
        <v>-74940112</v>
      </c>
      <c r="J112" s="69">
        <f>+'雨汚水(共通按分後)'!J112-雨汚水!J112</f>
        <v>291041595</v>
      </c>
      <c r="K112" s="54">
        <f>+'雨汚水(共通按分後)'!K112-雨汚水!K112</f>
        <v>0</v>
      </c>
      <c r="L112" s="68">
        <f>+'雨汚水(共通按分後)'!L112-雨汚水!L112</f>
        <v>291041595</v>
      </c>
      <c r="M112" s="67">
        <f>+'雨汚水(共通按分後)'!M112-雨汚水!M112</f>
        <v>0</v>
      </c>
      <c r="N112" s="41" t="s">
        <v>45</v>
      </c>
      <c r="O112" s="40">
        <f>+'雨汚水(共通按分後)'!O112-雨汚水!O112</f>
        <v>216101483</v>
      </c>
      <c r="P112" s="39">
        <f>+'雨汚水(共通按分後)'!P112-雨汚水!P112</f>
        <v>-82836085</v>
      </c>
      <c r="Q112" s="390">
        <f>+'雨汚水(共通按分後)'!Q112-雨汚水!Q112</f>
        <v>7895973</v>
      </c>
      <c r="R112" s="38">
        <f>+'雨汚水(共通按分後)'!R112-雨汚水!R112</f>
        <v>0</v>
      </c>
      <c r="S112" s="40">
        <f>+'雨汚水(共通按分後)'!S112-雨汚水!S112</f>
        <v>-74940112</v>
      </c>
      <c r="T112" s="39">
        <f>+'雨汚水(共通按分後)'!T112-雨汚水!T112</f>
        <v>291041595</v>
      </c>
      <c r="U112" s="38">
        <f>+'雨汚水(共通按分後)'!U112-雨汚水!U112</f>
        <v>0</v>
      </c>
      <c r="V112" s="37">
        <f>+'雨汚水(共通按分後)'!V112-雨汚水!V112</f>
        <v>291041595</v>
      </c>
      <c r="W112" s="36">
        <f>+'雨汚水(共通按分後)'!W112-雨汚水!W112</f>
        <v>0</v>
      </c>
      <c r="X112" s="41" t="s">
        <v>45</v>
      </c>
      <c r="Y112" s="36">
        <f>+'雨汚水(共通按分後)'!Y112-雨汚水!Y112</f>
        <v>317401743</v>
      </c>
      <c r="Z112" s="67">
        <f>+'雨汚水(共通按分後)'!Z112-雨汚水!Z112</f>
        <v>0</v>
      </c>
      <c r="AA112" s="67">
        <f>+'雨汚水(共通按分後)'!AA112-雨汚水!AA112</f>
        <v>0</v>
      </c>
      <c r="AB112" s="67">
        <f>+'雨汚水(共通按分後)'!AB112-雨汚水!AB112</f>
        <v>216101483</v>
      </c>
      <c r="AC112" s="67">
        <f>+'雨汚水(共通按分後)'!AC112-雨汚水!AC112</f>
        <v>0</v>
      </c>
      <c r="AD112" s="70">
        <f>+'雨汚水(共通按分後)'!AD112-雨汚水!AD112</f>
        <v>0</v>
      </c>
      <c r="AE112" s="72">
        <f>+'雨汚水(共通按分後)'!AE112-雨汚水!AE112</f>
        <v>0</v>
      </c>
      <c r="AF112" s="391">
        <f>+'雨汚水(共通按分後)'!AF112-雨汚水!AF112</f>
        <v>0</v>
      </c>
      <c r="AG112" s="54">
        <f>+'雨汚水(共通按分後)'!AG112-雨汚水!AG112</f>
        <v>0</v>
      </c>
      <c r="AH112" s="73">
        <f>+'雨汚水(共通按分後)'!AH112-雨汚水!AH112</f>
        <v>0</v>
      </c>
      <c r="AI112" s="69">
        <f>+'雨汚水(共通按分後)'!AI112-雨汚水!AI112</f>
        <v>0</v>
      </c>
      <c r="AJ112" s="54">
        <f>+'雨汚水(共通按分後)'!AJ112-雨汚水!AJ112</f>
        <v>0</v>
      </c>
      <c r="AK112" s="68">
        <f>+'雨汚水(共通按分後)'!AK112-雨汚水!AK112</f>
        <v>0</v>
      </c>
      <c r="AL112" s="67">
        <f>+'雨汚水(共通按分後)'!AL112-雨汚水!AL112</f>
        <v>0</v>
      </c>
    </row>
    <row r="113" spans="4:38">
      <c r="D113" s="41" t="s">
        <v>44</v>
      </c>
      <c r="E113" s="36">
        <f>+'雨汚水(共通按分後)'!E113-雨汚水!E113</f>
        <v>-2362517127</v>
      </c>
      <c r="F113" s="51">
        <f>+'雨汚水(共通按分後)'!F113-雨汚水!F113</f>
        <v>-1925006999</v>
      </c>
      <c r="G113" s="390">
        <f>+'雨汚水(共通按分後)'!G113-雨汚水!G113</f>
        <v>0</v>
      </c>
      <c r="H113" s="54">
        <f>+'雨汚水(共通按分後)'!H113-雨汚水!H113</f>
        <v>-44629974</v>
      </c>
      <c r="I113" s="73">
        <f>+'雨汚水(共通按分後)'!I113-雨汚水!I113</f>
        <v>-1969636973</v>
      </c>
      <c r="J113" s="69">
        <f>+'雨汚水(共通按分後)'!J113-雨汚水!J113</f>
        <v>-392880154</v>
      </c>
      <c r="K113" s="54">
        <f>+'雨汚水(共通按分後)'!K113-雨汚水!K113</f>
        <v>0</v>
      </c>
      <c r="L113" s="68">
        <f>+'雨汚水(共通按分後)'!L113-雨汚水!L113</f>
        <v>-392880154</v>
      </c>
      <c r="M113" s="67">
        <f>+'雨汚水(共通按分後)'!M113-雨汚水!M113</f>
        <v>0</v>
      </c>
      <c r="N113" s="41" t="s">
        <v>44</v>
      </c>
      <c r="O113" s="40">
        <f>+'雨汚水(共通按分後)'!O113-雨汚水!O113</f>
        <v>2220976925</v>
      </c>
      <c r="P113" s="39">
        <f>+'雨汚水(共通按分後)'!P113-雨汚水!P113</f>
        <v>1603502031</v>
      </c>
      <c r="Q113" s="390">
        <f>+'雨汚水(共通按分後)'!Q113-雨汚水!Q113</f>
        <v>0</v>
      </c>
      <c r="R113" s="54">
        <f>+'雨汚水(共通按分後)'!R113-雨汚水!R113</f>
        <v>56855052</v>
      </c>
      <c r="S113" s="40">
        <f>+'雨汚水(共通按分後)'!S113-雨汚水!S113</f>
        <v>1660357083</v>
      </c>
      <c r="T113" s="39">
        <f>+'雨汚水(共通按分後)'!T113-雨汚水!T113</f>
        <v>560619842</v>
      </c>
      <c r="U113" s="38">
        <f>+'雨汚水(共通按分後)'!U113-雨汚水!U113</f>
        <v>0</v>
      </c>
      <c r="V113" s="37">
        <f>+'雨汚水(共通按分後)'!V113-雨汚水!V113</f>
        <v>560619842</v>
      </c>
      <c r="W113" s="36">
        <f>+'雨汚水(共通按分後)'!W113-雨汚水!W113</f>
        <v>0</v>
      </c>
      <c r="X113" s="41" t="s">
        <v>44</v>
      </c>
      <c r="Y113" s="36">
        <f>+'雨汚水(共通按分後)'!Y113-雨汚水!Y113</f>
        <v>-2348500855</v>
      </c>
      <c r="Z113" s="36">
        <f>+'雨汚水(共通按分後)'!Z113-雨汚水!Z113</f>
        <v>0</v>
      </c>
      <c r="AA113" s="67">
        <f>+'雨汚水(共通按分後)'!AA113-雨汚水!AA113</f>
        <v>0</v>
      </c>
      <c r="AB113" s="36">
        <f>+'雨汚水(共通按分後)'!AB113-雨汚水!AB113</f>
        <v>2220976925</v>
      </c>
      <c r="AC113" s="36">
        <f>+'雨汚水(共通按分後)'!AC113-雨汚水!AC113</f>
        <v>-4583494052</v>
      </c>
      <c r="AD113" s="36">
        <f>+'雨汚水(共通按分後)'!AD113-雨汚水!AD113</f>
        <v>-4583494052</v>
      </c>
      <c r="AE113" s="51">
        <f>+'雨汚水(共通按分後)'!AE113-雨汚水!AE113</f>
        <v>-3528509030</v>
      </c>
      <c r="AF113" s="390">
        <f>+'雨汚水(共通按分後)'!AF113-雨汚水!AF113</f>
        <v>0</v>
      </c>
      <c r="AG113" s="54">
        <f>+'雨汚水(共通按分後)'!AG113-雨汚水!AG113</f>
        <v>-101485026</v>
      </c>
      <c r="AH113" s="73">
        <f>+'雨汚水(共通按分後)'!AH113-雨汚水!AH113</f>
        <v>-3629994056</v>
      </c>
      <c r="AI113" s="69">
        <f>+'雨汚水(共通按分後)'!AI113-雨汚水!AI113</f>
        <v>-953499996</v>
      </c>
      <c r="AJ113" s="54">
        <f>+'雨汚水(共通按分後)'!AJ113-雨汚水!AJ113</f>
        <v>0</v>
      </c>
      <c r="AK113" s="68">
        <f>+'雨汚水(共通按分後)'!AK113-雨汚水!AK113</f>
        <v>-953499996</v>
      </c>
      <c r="AL113" s="67">
        <f>+'雨汚水(共通按分後)'!AL113-雨汚水!AL113</f>
        <v>0</v>
      </c>
    </row>
    <row r="114" spans="4:38">
      <c r="D114" s="41" t="s">
        <v>63</v>
      </c>
      <c r="E114" s="73">
        <f>+'雨汚水(共通按分後)'!E114-雨汚水!E114</f>
        <v>-2354151403</v>
      </c>
      <c r="F114" s="72">
        <f>+'雨汚水(共通按分後)'!F114-雨汚水!F114</f>
        <v>-1916641275</v>
      </c>
      <c r="G114" s="391">
        <f>+'雨汚水(共通按分後)'!G114-雨汚水!G114</f>
        <v>0</v>
      </c>
      <c r="H114" s="54">
        <f>+'雨汚水(共通按分後)'!H114-雨汚水!H114</f>
        <v>-44629974</v>
      </c>
      <c r="I114" s="73">
        <f>+'雨汚水(共通按分後)'!I114-雨汚水!I114</f>
        <v>-1961271249</v>
      </c>
      <c r="J114" s="69">
        <f>+'雨汚水(共通按分後)'!J114-雨汚水!J114</f>
        <v>-392880154</v>
      </c>
      <c r="K114" s="54">
        <f>+'雨汚水(共通按分後)'!K114-雨汚水!K114</f>
        <v>0</v>
      </c>
      <c r="L114" s="68">
        <f>+'雨汚水(共通按分後)'!L114-雨汚水!L114</f>
        <v>-392880154</v>
      </c>
      <c r="M114" s="67">
        <f>+'雨汚水(共通按分後)'!M114-雨汚水!M114</f>
        <v>0</v>
      </c>
      <c r="N114" s="41" t="s">
        <v>63</v>
      </c>
      <c r="O114" s="40">
        <f>+'雨汚水(共通按分後)'!O114-雨汚水!O114</f>
        <v>2229342649</v>
      </c>
      <c r="P114" s="39">
        <f>+'雨汚水(共通按分後)'!P114-雨汚水!P114</f>
        <v>1611867755</v>
      </c>
      <c r="Q114" s="390">
        <f>+'雨汚水(共通按分後)'!Q114-雨汚水!Q114</f>
        <v>0</v>
      </c>
      <c r="R114" s="54">
        <f>+'雨汚水(共通按分後)'!R114-雨汚水!R114</f>
        <v>56855052</v>
      </c>
      <c r="S114" s="40">
        <f>+'雨汚水(共通按分後)'!S114-雨汚水!S114</f>
        <v>1668722807</v>
      </c>
      <c r="T114" s="39">
        <f>+'雨汚水(共通按分後)'!T114-雨汚水!T114</f>
        <v>560619842</v>
      </c>
      <c r="U114" s="38">
        <f>+'雨汚水(共通按分後)'!U114-雨汚水!U114</f>
        <v>0</v>
      </c>
      <c r="V114" s="37">
        <f>+'雨汚水(共通按分後)'!V114-雨汚水!V114</f>
        <v>560619842</v>
      </c>
      <c r="W114" s="36">
        <f>+'雨汚水(共通按分後)'!W114-雨汚水!W114</f>
        <v>0</v>
      </c>
      <c r="X114" s="41" t="s">
        <v>63</v>
      </c>
      <c r="Y114" s="36">
        <f>+'雨汚水(共通按分後)'!Y114-雨汚水!Y114</f>
        <v>-2354151403</v>
      </c>
      <c r="Z114" s="67">
        <f>+'雨汚水(共通按分後)'!Z114-雨汚水!Z114</f>
        <v>0</v>
      </c>
      <c r="AA114" s="67">
        <f>+'雨汚水(共通按分後)'!AA114-雨汚水!AA114</f>
        <v>0</v>
      </c>
      <c r="AB114" s="67">
        <f>+'雨汚水(共通按分後)'!AB114-雨汚水!AB114</f>
        <v>2229342649</v>
      </c>
      <c r="AC114" s="67">
        <f>+'雨汚水(共通按分後)'!AC114-雨汚水!AC114</f>
        <v>-4583494052</v>
      </c>
      <c r="AD114" s="70">
        <f>+'雨汚水(共通按分後)'!AD114-雨汚水!AD114</f>
        <v>-4583494052</v>
      </c>
      <c r="AE114" s="72">
        <f>+'雨汚水(共通按分後)'!AE114-雨汚水!AE114</f>
        <v>-3528509030</v>
      </c>
      <c r="AF114" s="391">
        <f>+'雨汚水(共通按分後)'!AF114-雨汚水!AF114</f>
        <v>0</v>
      </c>
      <c r="AG114" s="54">
        <f>+'雨汚水(共通按分後)'!AG114-雨汚水!AG114</f>
        <v>-101485026</v>
      </c>
      <c r="AH114" s="73">
        <f>+'雨汚水(共通按分後)'!AH114-雨汚水!AH114</f>
        <v>-3629994056</v>
      </c>
      <c r="AI114" s="69">
        <f>+'雨汚水(共通按分後)'!AI114-雨汚水!AI114</f>
        <v>-953499996</v>
      </c>
      <c r="AJ114" s="54">
        <f>+'雨汚水(共通按分後)'!AJ114-雨汚水!AJ114</f>
        <v>0</v>
      </c>
      <c r="AK114" s="68">
        <f>+'雨汚水(共通按分後)'!AK114-雨汚水!AK114</f>
        <v>-953499996</v>
      </c>
      <c r="AL114" s="67">
        <f>+'雨汚水(共通按分後)'!AL114-雨汚水!AL114</f>
        <v>0</v>
      </c>
    </row>
    <row r="115" spans="4:38">
      <c r="D115" s="74" t="s">
        <v>61</v>
      </c>
      <c r="E115" s="73">
        <f>+'雨汚水(共通按分後)'!E115-雨汚水!E115</f>
        <v>-8365724</v>
      </c>
      <c r="F115" s="72">
        <f>+'雨汚水(共通按分後)'!F115-雨汚水!F115</f>
        <v>-8365724</v>
      </c>
      <c r="G115" s="391">
        <f>+'雨汚水(共通按分後)'!G115-雨汚水!G115</f>
        <v>0</v>
      </c>
      <c r="H115" s="54">
        <f>+'雨汚水(共通按分後)'!H115-雨汚水!H115</f>
        <v>0</v>
      </c>
      <c r="I115" s="73">
        <f>+'雨汚水(共通按分後)'!I115-雨汚水!I115</f>
        <v>-8365724</v>
      </c>
      <c r="J115" s="69">
        <f>+'雨汚水(共通按分後)'!J115-雨汚水!J115</f>
        <v>0</v>
      </c>
      <c r="K115" s="54">
        <f>+'雨汚水(共通按分後)'!K115-雨汚水!K115</f>
        <v>0</v>
      </c>
      <c r="L115" s="68">
        <f>+'雨汚水(共通按分後)'!L115-雨汚水!L115</f>
        <v>0</v>
      </c>
      <c r="M115" s="67">
        <f>+'雨汚水(共通按分後)'!M115-雨汚水!M115</f>
        <v>0</v>
      </c>
      <c r="N115" s="74" t="s">
        <v>61</v>
      </c>
      <c r="O115" s="40">
        <f>+'雨汚水(共通按分後)'!O115-雨汚水!O115</f>
        <v>-8365724</v>
      </c>
      <c r="P115" s="39">
        <f>+'雨汚水(共通按分後)'!P115-雨汚水!P115</f>
        <v>-8365724</v>
      </c>
      <c r="Q115" s="390">
        <f>+'雨汚水(共通按分後)'!Q115-雨汚水!Q115</f>
        <v>0</v>
      </c>
      <c r="R115" s="54">
        <f>+'雨汚水(共通按分後)'!R115-雨汚水!R115</f>
        <v>0</v>
      </c>
      <c r="S115" s="40">
        <f>+'雨汚水(共通按分後)'!S115-雨汚水!S115</f>
        <v>-8365724</v>
      </c>
      <c r="T115" s="39">
        <f>+'雨汚水(共通按分後)'!T115-雨汚水!T115</f>
        <v>0</v>
      </c>
      <c r="U115" s="38">
        <f>+'雨汚水(共通按分後)'!U115-雨汚水!U115</f>
        <v>0</v>
      </c>
      <c r="V115" s="37">
        <f>+'雨汚水(共通按分後)'!V115-雨汚水!V115</f>
        <v>0</v>
      </c>
      <c r="W115" s="36">
        <f>+'雨汚水(共通按分後)'!W115-雨汚水!W115</f>
        <v>0</v>
      </c>
      <c r="X115" s="74" t="s">
        <v>61</v>
      </c>
      <c r="Y115" s="36">
        <f>+'雨汚水(共通按分後)'!Y115-雨汚水!Y115</f>
        <v>5650548</v>
      </c>
      <c r="Z115" s="67">
        <f>+'雨汚水(共通按分後)'!Z115-雨汚水!Z115</f>
        <v>0</v>
      </c>
      <c r="AA115" s="67">
        <f>+'雨汚水(共通按分後)'!AA115-雨汚水!AA115</f>
        <v>0</v>
      </c>
      <c r="AB115" s="67">
        <f>+'雨汚水(共通按分後)'!AB115-雨汚水!AB115</f>
        <v>-8365724</v>
      </c>
      <c r="AC115" s="67">
        <f>+'雨汚水(共通按分後)'!AC115-雨汚水!AC115</f>
        <v>0</v>
      </c>
      <c r="AD115" s="70">
        <f>+'雨汚水(共通按分後)'!AD115-雨汚水!AD115</f>
        <v>0</v>
      </c>
      <c r="AE115" s="72">
        <f>+'雨汚水(共通按分後)'!AE115-雨汚水!AE115</f>
        <v>0</v>
      </c>
      <c r="AF115" s="391">
        <f>+'雨汚水(共通按分後)'!AF115-雨汚水!AF115</f>
        <v>0</v>
      </c>
      <c r="AG115" s="54">
        <f>+'雨汚水(共通按分後)'!AG115-雨汚水!AG115</f>
        <v>0</v>
      </c>
      <c r="AH115" s="73">
        <f>+'雨汚水(共通按分後)'!AH115-雨汚水!AH115</f>
        <v>0</v>
      </c>
      <c r="AI115" s="69">
        <f>+'雨汚水(共通按分後)'!AI115-雨汚水!AI115</f>
        <v>0</v>
      </c>
      <c r="AJ115" s="54">
        <f>+'雨汚水(共通按分後)'!AJ115-雨汚水!AJ115</f>
        <v>0</v>
      </c>
      <c r="AK115" s="68">
        <f>+'雨汚水(共通按分後)'!AK115-雨汚水!AK115</f>
        <v>0</v>
      </c>
      <c r="AL115" s="67">
        <f>+'雨汚水(共通按分後)'!AL115-雨汚水!AL115</f>
        <v>0</v>
      </c>
    </row>
    <row r="116" spans="4:38">
      <c r="D116" s="41" t="s">
        <v>59</v>
      </c>
      <c r="E116" s="73">
        <f>+'雨汚水(共通按分後)'!E116-雨汚水!E116</f>
        <v>0</v>
      </c>
      <c r="F116" s="72">
        <f>+'雨汚水(共通按分後)'!F116-雨汚水!F116</f>
        <v>0</v>
      </c>
      <c r="G116" s="391">
        <f>+'雨汚水(共通按分後)'!G116-雨汚水!G116</f>
        <v>0</v>
      </c>
      <c r="H116" s="54">
        <f>+'雨汚水(共通按分後)'!H116-雨汚水!H116</f>
        <v>0</v>
      </c>
      <c r="I116" s="73">
        <f>+'雨汚水(共通按分後)'!I116-雨汚水!I116</f>
        <v>0</v>
      </c>
      <c r="J116" s="69">
        <f>+'雨汚水(共通按分後)'!J116-雨汚水!J116</f>
        <v>0</v>
      </c>
      <c r="K116" s="54">
        <f>+'雨汚水(共通按分後)'!K116-雨汚水!K116</f>
        <v>0</v>
      </c>
      <c r="L116" s="68">
        <f>+'雨汚水(共通按分後)'!L116-雨汚水!L116</f>
        <v>0</v>
      </c>
      <c r="M116" s="67">
        <f>+'雨汚水(共通按分後)'!M116-雨汚水!M116</f>
        <v>0</v>
      </c>
      <c r="N116" s="41" t="s">
        <v>59</v>
      </c>
      <c r="O116" s="40">
        <f>+'雨汚水(共通按分後)'!O116-雨汚水!O116</f>
        <v>0</v>
      </c>
      <c r="P116" s="39">
        <f>+'雨汚水(共通按分後)'!P116-雨汚水!P116</f>
        <v>0</v>
      </c>
      <c r="Q116" s="390">
        <f>+'雨汚水(共通按分後)'!Q116-雨汚水!Q116</f>
        <v>0</v>
      </c>
      <c r="R116" s="38">
        <f>+'雨汚水(共通按分後)'!R116-雨汚水!R116</f>
        <v>0</v>
      </c>
      <c r="S116" s="40">
        <f>+'雨汚水(共通按分後)'!S116-雨汚水!S116</f>
        <v>0</v>
      </c>
      <c r="T116" s="39">
        <f>+'雨汚水(共通按分後)'!T116-雨汚水!T116</f>
        <v>0</v>
      </c>
      <c r="U116" s="38">
        <f>+'雨汚水(共通按分後)'!U116-雨汚水!U116</f>
        <v>0</v>
      </c>
      <c r="V116" s="37">
        <f>+'雨汚水(共通按分後)'!V116-雨汚水!V116</f>
        <v>0</v>
      </c>
      <c r="W116" s="36">
        <f>+'雨汚水(共通按分後)'!W116-雨汚水!W116</f>
        <v>0</v>
      </c>
      <c r="X116" s="41" t="s">
        <v>59</v>
      </c>
      <c r="Y116" s="36">
        <f>+'雨汚水(共通按分後)'!Y116-雨汚水!Y116</f>
        <v>0</v>
      </c>
      <c r="Z116" s="67">
        <f>+'雨汚水(共通按分後)'!Z116-雨汚水!Z116</f>
        <v>0</v>
      </c>
      <c r="AA116" s="67">
        <f>+'雨汚水(共通按分後)'!AA116-雨汚水!AA116</f>
        <v>0</v>
      </c>
      <c r="AB116" s="67">
        <f>+'雨汚水(共通按分後)'!AB116-雨汚水!AB116</f>
        <v>0</v>
      </c>
      <c r="AC116" s="67">
        <f>+'雨汚水(共通按分後)'!AC116-雨汚水!AC116</f>
        <v>0</v>
      </c>
      <c r="AD116" s="70">
        <f>+'雨汚水(共通按分後)'!AD116-雨汚水!AD116</f>
        <v>0</v>
      </c>
      <c r="AE116" s="72">
        <f>+'雨汚水(共通按分後)'!AE116-雨汚水!AE116</f>
        <v>0</v>
      </c>
      <c r="AF116" s="391">
        <f>+'雨汚水(共通按分後)'!AF116-雨汚水!AF116</f>
        <v>0</v>
      </c>
      <c r="AG116" s="54">
        <f>+'雨汚水(共通按分後)'!AG116-雨汚水!AG116</f>
        <v>0</v>
      </c>
      <c r="AH116" s="73">
        <f>+'雨汚水(共通按分後)'!AH116-雨汚水!AH116</f>
        <v>0</v>
      </c>
      <c r="AI116" s="69">
        <f>+'雨汚水(共通按分後)'!AI116-雨汚水!AI116</f>
        <v>0</v>
      </c>
      <c r="AJ116" s="54">
        <f>+'雨汚水(共通按分後)'!AJ116-雨汚水!AJ116</f>
        <v>0</v>
      </c>
      <c r="AK116" s="68">
        <f>+'雨汚水(共通按分後)'!AK116-雨汚水!AK116</f>
        <v>0</v>
      </c>
      <c r="AL116" s="67">
        <f>+'雨汚水(共通按分後)'!AL116-雨汚水!AL116</f>
        <v>0</v>
      </c>
    </row>
    <row r="117" spans="4:38">
      <c r="D117" s="41" t="s">
        <v>56</v>
      </c>
      <c r="E117" s="73">
        <f>+'雨汚水(共通按分後)'!E117-雨汚水!E117</f>
        <v>9637278</v>
      </c>
      <c r="F117" s="72">
        <f>+'雨汚水(共通按分後)'!F117-雨汚水!F117</f>
        <v>0</v>
      </c>
      <c r="G117" s="391">
        <f>+'雨汚水(共通按分後)'!G117-雨汚水!G117</f>
        <v>0</v>
      </c>
      <c r="H117" s="54">
        <f>+'雨汚水(共通按分後)'!H117-雨汚水!H117</f>
        <v>19585296</v>
      </c>
      <c r="I117" s="73">
        <f>+'雨汚水(共通按分後)'!I117-雨汚水!I117</f>
        <v>19585296</v>
      </c>
      <c r="J117" s="69">
        <f>+'雨汚水(共通按分後)'!J117-雨汚水!J117</f>
        <v>-9948018</v>
      </c>
      <c r="K117" s="54">
        <f>+'雨汚水(共通按分後)'!K117-雨汚水!K117</f>
        <v>0</v>
      </c>
      <c r="L117" s="68">
        <f>+'雨汚水(共通按分後)'!L117-雨汚水!L117</f>
        <v>-9948018</v>
      </c>
      <c r="M117" s="67">
        <f>+'雨汚水(共通按分後)'!M117-雨汚水!M117</f>
        <v>0</v>
      </c>
      <c r="N117" s="41" t="s">
        <v>56</v>
      </c>
      <c r="O117" s="40">
        <f>+'雨汚水(共通按分後)'!O117-雨汚水!O117</f>
        <v>9637278</v>
      </c>
      <c r="P117" s="39">
        <f>+'雨汚水(共通按分後)'!P117-雨汚水!P117</f>
        <v>0</v>
      </c>
      <c r="Q117" s="390">
        <f>+'雨汚水(共通按分後)'!Q117-雨汚水!Q117</f>
        <v>0</v>
      </c>
      <c r="R117" s="38">
        <f>+'雨汚水(共通按分後)'!R117-雨汚水!R117</f>
        <v>19274556</v>
      </c>
      <c r="S117" s="40">
        <f>+'雨汚水(共通按分後)'!S117-雨汚水!S117</f>
        <v>19274556</v>
      </c>
      <c r="T117" s="39">
        <f>+'雨汚水(共通按分後)'!T117-雨汚水!T117</f>
        <v>-9637278</v>
      </c>
      <c r="U117" s="38">
        <f>+'雨汚水(共通按分後)'!U117-雨汚水!U117</f>
        <v>0</v>
      </c>
      <c r="V117" s="37">
        <f>+'雨汚水(共通按分後)'!V117-雨汚水!V117</f>
        <v>-9637278</v>
      </c>
      <c r="W117" s="36">
        <f>+'雨汚水(共通按分後)'!W117-雨汚水!W117</f>
        <v>0</v>
      </c>
      <c r="X117" s="41" t="s">
        <v>56</v>
      </c>
      <c r="Y117" s="36">
        <f>+'雨汚水(共通按分後)'!Y117-雨汚水!Y117</f>
        <v>9637278</v>
      </c>
      <c r="Z117" s="67">
        <f>+'雨汚水(共通按分後)'!Z117-雨汚水!Z117</f>
        <v>0</v>
      </c>
      <c r="AA117" s="67">
        <f>+'雨汚水(共通按分後)'!AA117-雨汚水!AA117</f>
        <v>0</v>
      </c>
      <c r="AB117" s="67">
        <f>+'雨汚水(共通按分後)'!AB117-雨汚水!AB117</f>
        <v>9637278</v>
      </c>
      <c r="AC117" s="67">
        <f>+'雨汚水(共通按分後)'!AC117-雨汚水!AC117</f>
        <v>0</v>
      </c>
      <c r="AD117" s="70">
        <f>+'雨汚水(共通按分後)'!AD117-雨汚水!AD117</f>
        <v>0</v>
      </c>
      <c r="AE117" s="72">
        <f>+'雨汚水(共通按分後)'!AE117-雨汚水!AE117</f>
        <v>0</v>
      </c>
      <c r="AF117" s="391">
        <f>+'雨汚水(共通按分後)'!AF117-雨汚水!AF117</f>
        <v>0</v>
      </c>
      <c r="AG117" s="54">
        <f>+'雨汚水(共通按分後)'!AG117-雨汚水!AG117</f>
        <v>310740</v>
      </c>
      <c r="AH117" s="73">
        <f>+'雨汚水(共通按分後)'!AH117-雨汚水!AH117</f>
        <v>310740</v>
      </c>
      <c r="AI117" s="69">
        <f>+'雨汚水(共通按分後)'!AI117-雨汚水!AI117</f>
        <v>-310740</v>
      </c>
      <c r="AJ117" s="54">
        <f>+'雨汚水(共通按分後)'!AJ117-雨汚水!AJ117</f>
        <v>0</v>
      </c>
      <c r="AK117" s="68">
        <f>+'雨汚水(共通按分後)'!AK117-雨汚水!AK117</f>
        <v>-310740</v>
      </c>
      <c r="AL117" s="67">
        <f>+'雨汚水(共通按分後)'!AL117-雨汚水!AL117</f>
        <v>0</v>
      </c>
    </row>
    <row r="118" spans="4:38">
      <c r="D118" s="67" t="s">
        <v>54</v>
      </c>
      <c r="E118" s="73">
        <f>+'雨汚水(共通按分後)'!E118-雨汚水!E118</f>
        <v>0</v>
      </c>
      <c r="F118" s="72">
        <f>+'雨汚水(共通按分後)'!F118-雨汚水!F118</f>
        <v>0</v>
      </c>
      <c r="G118" s="391">
        <f>+'雨汚水(共通按分後)'!G118-雨汚水!G118</f>
        <v>0</v>
      </c>
      <c r="H118" s="54">
        <f>+'雨汚水(共通按分後)'!H118-雨汚水!H118</f>
        <v>0</v>
      </c>
      <c r="I118" s="73">
        <f>+'雨汚水(共通按分後)'!I118-雨汚水!I118</f>
        <v>0</v>
      </c>
      <c r="J118" s="69">
        <f>+'雨汚水(共通按分後)'!J118-雨汚水!J118</f>
        <v>0</v>
      </c>
      <c r="K118" s="54">
        <f>+'雨汚水(共通按分後)'!K118-雨汚水!K118</f>
        <v>0</v>
      </c>
      <c r="L118" s="68">
        <f>+'雨汚水(共通按分後)'!L118-雨汚水!L118</f>
        <v>0</v>
      </c>
      <c r="M118" s="67">
        <f>+'雨汚水(共通按分後)'!M118-雨汚水!M118</f>
        <v>0</v>
      </c>
      <c r="N118" s="67" t="s">
        <v>54</v>
      </c>
      <c r="O118" s="40">
        <f>+'雨汚水(共通按分後)'!O118-雨汚水!O118</f>
        <v>0</v>
      </c>
      <c r="P118" s="39">
        <f>+'雨汚水(共通按分後)'!P118-雨汚水!P118</f>
        <v>0</v>
      </c>
      <c r="Q118" s="391">
        <f>+'雨汚水(共通按分後)'!Q118-雨汚水!Q118</f>
        <v>0</v>
      </c>
      <c r="R118" s="54">
        <f>+'雨汚水(共通按分後)'!R118-雨汚水!R118</f>
        <v>0</v>
      </c>
      <c r="S118" s="73">
        <f>+'雨汚水(共通按分後)'!S118-雨汚水!S118</f>
        <v>0</v>
      </c>
      <c r="T118" s="69">
        <f>+'雨汚水(共通按分後)'!T118-雨汚水!T118</f>
        <v>0</v>
      </c>
      <c r="U118" s="54">
        <f>+'雨汚水(共通按分後)'!U118-雨汚水!U118</f>
        <v>0</v>
      </c>
      <c r="V118" s="68">
        <f>+'雨汚水(共通按分後)'!V118-雨汚水!V118</f>
        <v>0</v>
      </c>
      <c r="W118" s="36">
        <f>+'雨汚水(共通按分後)'!W118-雨汚水!W118</f>
        <v>0</v>
      </c>
      <c r="X118" s="67" t="s">
        <v>54</v>
      </c>
      <c r="Y118" s="36">
        <f>+'雨汚水(共通按分後)'!Y118-雨汚水!Y118</f>
        <v>0</v>
      </c>
      <c r="Z118" s="67">
        <f>+'雨汚水(共通按分後)'!Z118-雨汚水!Z118</f>
        <v>0</v>
      </c>
      <c r="AA118" s="67">
        <f>+'雨汚水(共通按分後)'!AA118-雨汚水!AA118</f>
        <v>0</v>
      </c>
      <c r="AB118" s="67">
        <f>+'雨汚水(共通按分後)'!AB118-雨汚水!AB118</f>
        <v>0</v>
      </c>
      <c r="AC118" s="67">
        <f>+'雨汚水(共通按分後)'!AC118-雨汚水!AC118</f>
        <v>0</v>
      </c>
      <c r="AD118" s="70">
        <f>+'雨汚水(共通按分後)'!AD118-雨汚水!AD118</f>
        <v>0</v>
      </c>
      <c r="AE118" s="72">
        <f>+'雨汚水(共通按分後)'!AE118-雨汚水!AE118</f>
        <v>0</v>
      </c>
      <c r="AF118" s="391">
        <f>+'雨汚水(共通按分後)'!AF118-雨汚水!AF118</f>
        <v>0</v>
      </c>
      <c r="AG118" s="54">
        <f>+'雨汚水(共通按分後)'!AG118-雨汚水!AG118</f>
        <v>0</v>
      </c>
      <c r="AH118" s="73">
        <f>+'雨汚水(共通按分後)'!AH118-雨汚水!AH118</f>
        <v>0</v>
      </c>
      <c r="AI118" s="69">
        <f>+'雨汚水(共通按分後)'!AI118-雨汚水!AI118</f>
        <v>0</v>
      </c>
      <c r="AJ118" s="54">
        <f>+'雨汚水(共通按分後)'!AJ118-雨汚水!AJ118</f>
        <v>0</v>
      </c>
      <c r="AK118" s="68">
        <f>+'雨汚水(共通按分後)'!AK118-雨汚水!AK118</f>
        <v>0</v>
      </c>
      <c r="AL118" s="67">
        <f>+'雨汚水(共通按分後)'!AL118-雨汚水!AL118</f>
        <v>0</v>
      </c>
    </row>
    <row r="119" spans="4:38">
      <c r="D119" s="67"/>
      <c r="E119" s="70">
        <f>+'雨汚水(共通按分後)'!E119-雨汚水!E119</f>
        <v>0</v>
      </c>
      <c r="F119" s="72">
        <f>+'雨汚水(共通按分後)'!F119-雨汚水!F119</f>
        <v>0</v>
      </c>
      <c r="G119" s="391">
        <f>+'雨汚水(共通按分後)'!G119-雨汚水!G119</f>
        <v>0</v>
      </c>
      <c r="H119" s="54">
        <f>+'雨汚水(共通按分後)'!H119-雨汚水!H119</f>
        <v>0</v>
      </c>
      <c r="I119" s="73">
        <f>+'雨汚水(共通按分後)'!I119-雨汚水!I119</f>
        <v>0</v>
      </c>
      <c r="J119" s="69">
        <f>+'雨汚水(共通按分後)'!J119-雨汚水!J119</f>
        <v>0</v>
      </c>
      <c r="K119" s="54">
        <f>+'雨汚水(共通按分後)'!K119-雨汚水!K119</f>
        <v>0</v>
      </c>
      <c r="L119" s="68">
        <f>+'雨汚水(共通按分後)'!L119-雨汚水!L119</f>
        <v>0</v>
      </c>
      <c r="M119" s="67">
        <f>+'雨汚水(共通按分後)'!M119-雨汚水!M119</f>
        <v>0</v>
      </c>
      <c r="N119" s="67"/>
      <c r="O119" s="40">
        <f>+'雨汚水(共通按分後)'!O119-雨汚水!O119</f>
        <v>0</v>
      </c>
      <c r="P119" s="39">
        <f>+'雨汚水(共通按分後)'!P119-雨汚水!P119</f>
        <v>0</v>
      </c>
      <c r="Q119" s="391">
        <f>+'雨汚水(共通按分後)'!Q119-雨汚水!Q119</f>
        <v>0</v>
      </c>
      <c r="R119" s="54">
        <f>+'雨汚水(共通按分後)'!R119-雨汚水!R119</f>
        <v>0</v>
      </c>
      <c r="S119" s="73">
        <f>+'雨汚水(共通按分後)'!S119-雨汚水!S119</f>
        <v>0</v>
      </c>
      <c r="T119" s="69">
        <f>+'雨汚水(共通按分後)'!T119-雨汚水!T119</f>
        <v>0</v>
      </c>
      <c r="U119" s="54">
        <f>+'雨汚水(共通按分後)'!U119-雨汚水!U119</f>
        <v>0</v>
      </c>
      <c r="V119" s="68">
        <f>+'雨汚水(共通按分後)'!V119-雨汚水!V119</f>
        <v>0</v>
      </c>
      <c r="W119" s="36">
        <f>+'雨汚水(共通按分後)'!W119-雨汚水!W119</f>
        <v>0</v>
      </c>
      <c r="X119" s="67"/>
      <c r="Y119" s="36">
        <f>+'雨汚水(共通按分後)'!Y119-雨汚水!Y119</f>
        <v>0</v>
      </c>
      <c r="Z119" s="67">
        <f>+'雨汚水(共通按分後)'!Z119-雨汚水!Z119</f>
        <v>0</v>
      </c>
      <c r="AA119" s="67">
        <f>+'雨汚水(共通按分後)'!AA119-雨汚水!AA119</f>
        <v>0</v>
      </c>
      <c r="AB119" s="67">
        <f>+'雨汚水(共通按分後)'!AB119-雨汚水!AB119</f>
        <v>0</v>
      </c>
      <c r="AC119" s="67">
        <f>+'雨汚水(共通按分後)'!AC119-雨汚水!AC119</f>
        <v>0</v>
      </c>
      <c r="AD119" s="70">
        <f>+'雨汚水(共通按分後)'!AD119-雨汚水!AD119</f>
        <v>0</v>
      </c>
      <c r="AE119" s="72">
        <f>+'雨汚水(共通按分後)'!AE119-雨汚水!AE119</f>
        <v>0</v>
      </c>
      <c r="AF119" s="391">
        <f>+'雨汚水(共通按分後)'!AF119-雨汚水!AF119</f>
        <v>0</v>
      </c>
      <c r="AG119" s="54">
        <f>+'雨汚水(共通按分後)'!AG119-雨汚水!AG119</f>
        <v>0</v>
      </c>
      <c r="AH119" s="73">
        <f>+'雨汚水(共通按分後)'!AH119-雨汚水!AH119</f>
        <v>0</v>
      </c>
      <c r="AI119" s="69">
        <f>+'雨汚水(共通按分後)'!AI119-雨汚水!AI119</f>
        <v>0</v>
      </c>
      <c r="AJ119" s="54">
        <f>+'雨汚水(共通按分後)'!AJ119-雨汚水!AJ119</f>
        <v>0</v>
      </c>
      <c r="AK119" s="68">
        <f>+'雨汚水(共通按分後)'!AK119-雨汚水!AK119</f>
        <v>0</v>
      </c>
      <c r="AL119" s="67">
        <f>+'雨汚水(共通按分後)'!AL119-雨汚水!AL119</f>
        <v>0</v>
      </c>
    </row>
    <row r="120" spans="4:38">
      <c r="D120" s="67" t="s">
        <v>52</v>
      </c>
      <c r="E120" s="70">
        <f>+'雨汚水(共通按分後)'!E120-雨汚水!E120</f>
        <v>0</v>
      </c>
      <c r="F120" s="69">
        <f>+'雨汚水(共通按分後)'!F120-雨汚水!F120</f>
        <v>0</v>
      </c>
      <c r="G120" s="391">
        <f>+'雨汚水(共通按分後)'!G120-雨汚水!G120</f>
        <v>0</v>
      </c>
      <c r="H120" s="54">
        <f>+'雨汚水(共通按分後)'!H120-雨汚水!H120</f>
        <v>9198273</v>
      </c>
      <c r="I120" s="73">
        <f>+'雨汚水(共通按分後)'!I120-雨汚水!I120</f>
        <v>9198273</v>
      </c>
      <c r="J120" s="69">
        <f>+'雨汚水(共通按分後)'!J120-雨汚水!J120</f>
        <v>0</v>
      </c>
      <c r="K120" s="54">
        <f>+'雨汚水(共通按分後)'!K120-雨汚水!K120</f>
        <v>-9198273</v>
      </c>
      <c r="L120" s="68">
        <f>+'雨汚水(共通按分後)'!L120-雨汚水!L120</f>
        <v>-9198273</v>
      </c>
      <c r="M120" s="67">
        <f>+'雨汚水(共通按分後)'!M120-雨汚水!M120</f>
        <v>0</v>
      </c>
      <c r="N120" s="67" t="s">
        <v>52</v>
      </c>
      <c r="O120" s="73">
        <f>+'雨汚水(共通按分後)'!O120-雨汚水!O120</f>
        <v>-488049</v>
      </c>
      <c r="P120" s="69">
        <f>+'雨汚水(共通按分後)'!P120-雨汚水!P120</f>
        <v>0</v>
      </c>
      <c r="Q120" s="391">
        <f>+'雨汚水(共通按分後)'!Q120-雨汚水!Q120</f>
        <v>0</v>
      </c>
      <c r="R120" s="54">
        <f>+'雨汚水(共通按分後)'!R120-雨汚水!R120</f>
        <v>8710224</v>
      </c>
      <c r="S120" s="73">
        <f>+'雨汚水(共通按分後)'!S120-雨汚水!S120</f>
        <v>8710224</v>
      </c>
      <c r="T120" s="69">
        <f>+'雨汚水(共通按分後)'!T120-雨汚水!T120</f>
        <v>0</v>
      </c>
      <c r="U120" s="54">
        <f>+'雨汚水(共通按分後)'!U120-雨汚水!U120</f>
        <v>-9198273</v>
      </c>
      <c r="V120" s="68">
        <f>+'雨汚水(共通按分後)'!V120-雨汚水!V120</f>
        <v>-9198273</v>
      </c>
      <c r="W120" s="36">
        <f>+'雨汚水(共通按分後)'!W120-雨汚水!W120</f>
        <v>0</v>
      </c>
      <c r="X120" s="67" t="s">
        <v>52</v>
      </c>
      <c r="Y120" s="67">
        <f>+'雨汚水(共通按分後)'!Y120-雨汚水!Y120</f>
        <v>0</v>
      </c>
      <c r="Z120" s="67">
        <f>+'雨汚水(共通按分後)'!Z120-雨汚水!Z120</f>
        <v>0</v>
      </c>
      <c r="AA120" s="67">
        <f>+'雨汚水(共通按分後)'!AA120-雨汚水!AA120</f>
        <v>0</v>
      </c>
      <c r="AB120" s="67">
        <f>+'雨汚水(共通按分後)'!AB120-雨汚水!AB120</f>
        <v>-488049</v>
      </c>
      <c r="AC120" s="67">
        <f>+'雨汚水(共通按分後)'!AC120-雨汚水!AC120</f>
        <v>488049</v>
      </c>
      <c r="AD120" s="70">
        <f>+'雨汚水(共通按分後)'!AD120-雨汚水!AD120</f>
        <v>488049</v>
      </c>
      <c r="AE120" s="69">
        <f>+'雨汚水(共通按分後)'!AE120-雨汚水!AE120</f>
        <v>0</v>
      </c>
      <c r="AF120" s="391">
        <f>+'雨汚水(共通按分後)'!AF120-雨汚水!AF120</f>
        <v>0</v>
      </c>
      <c r="AG120" s="54">
        <f>+'雨汚水(共通按分後)'!AG120-雨汚水!AG120</f>
        <v>488049</v>
      </c>
      <c r="AH120" s="73">
        <f>+'雨汚水(共通按分後)'!AH120-雨汚水!AH120</f>
        <v>488049</v>
      </c>
      <c r="AI120" s="69">
        <f>+'雨汚水(共通按分後)'!AI120-雨汚水!AI120</f>
        <v>0</v>
      </c>
      <c r="AJ120" s="54">
        <f>+'雨汚水(共通按分後)'!AJ120-雨汚水!AJ120</f>
        <v>0</v>
      </c>
      <c r="AK120" s="68">
        <f>+'雨汚水(共通按分後)'!AK120-雨汚水!AK120</f>
        <v>0</v>
      </c>
      <c r="AL120" s="67">
        <f>+'雨汚水(共通按分後)'!AL120-雨汚水!AL120</f>
        <v>0</v>
      </c>
    </row>
    <row r="121" spans="4:38">
      <c r="D121" s="67" t="s">
        <v>50</v>
      </c>
      <c r="E121" s="70">
        <f>+'雨汚水(共通按分後)'!E121-雨汚水!E121</f>
        <v>0</v>
      </c>
      <c r="F121" s="69">
        <f>+'雨汚水(共通按分後)'!F121-雨汚水!F121</f>
        <v>0</v>
      </c>
      <c r="G121" s="391">
        <f>+'雨汚水(共通按分後)'!G121-雨汚水!G121</f>
        <v>0</v>
      </c>
      <c r="H121" s="54">
        <f>+'雨汚水(共通按分後)'!H121-雨汚水!H121</f>
        <v>0</v>
      </c>
      <c r="I121" s="73">
        <f>+'雨汚水(共通按分後)'!I121-雨汚水!I121</f>
        <v>0</v>
      </c>
      <c r="J121" s="69">
        <f>+'雨汚水(共通按分後)'!J121-雨汚水!J121</f>
        <v>0</v>
      </c>
      <c r="K121" s="54">
        <f>+'雨汚水(共通按分後)'!K121-雨汚水!K121</f>
        <v>0</v>
      </c>
      <c r="L121" s="68">
        <f>+'雨汚水(共通按分後)'!L121-雨汚水!L121</f>
        <v>0</v>
      </c>
      <c r="M121" s="67">
        <f>+'雨汚水(共通按分後)'!M121-雨汚水!M121</f>
        <v>0</v>
      </c>
      <c r="N121" s="67" t="s">
        <v>50</v>
      </c>
      <c r="O121" s="73">
        <f>+'雨汚水(共通按分後)'!O121-雨汚水!O121</f>
        <v>0</v>
      </c>
      <c r="P121" s="69">
        <f>+'雨汚水(共通按分後)'!P121-雨汚水!P121</f>
        <v>0</v>
      </c>
      <c r="Q121" s="391">
        <f>+'雨汚水(共通按分後)'!Q121-雨汚水!Q121</f>
        <v>0</v>
      </c>
      <c r="R121" s="54">
        <f>+'雨汚水(共通按分後)'!R121-雨汚水!R121</f>
        <v>0</v>
      </c>
      <c r="S121" s="73">
        <f>+'雨汚水(共通按分後)'!S121-雨汚水!S121</f>
        <v>0</v>
      </c>
      <c r="T121" s="69">
        <f>+'雨汚水(共通按分後)'!T121-雨汚水!T121</f>
        <v>0</v>
      </c>
      <c r="U121" s="54">
        <f>+'雨汚水(共通按分後)'!U121-雨汚水!U121</f>
        <v>0</v>
      </c>
      <c r="V121" s="68">
        <f>+'雨汚水(共通按分後)'!V121-雨汚水!V121</f>
        <v>0</v>
      </c>
      <c r="W121" s="36">
        <f>+'雨汚水(共通按分後)'!W121-雨汚水!W121</f>
        <v>0</v>
      </c>
      <c r="X121" s="67" t="s">
        <v>50</v>
      </c>
      <c r="Y121" s="67">
        <f>+'雨汚水(共通按分後)'!Y121-雨汚水!Y121</f>
        <v>0</v>
      </c>
      <c r="Z121" s="67">
        <f>+'雨汚水(共通按分後)'!Z121-雨汚水!Z121</f>
        <v>0</v>
      </c>
      <c r="AA121" s="67">
        <f>+'雨汚水(共通按分後)'!AA121-雨汚水!AA121</f>
        <v>0</v>
      </c>
      <c r="AB121" s="67">
        <f>+'雨汚水(共通按分後)'!AB121-雨汚水!AB121</f>
        <v>0</v>
      </c>
      <c r="AC121" s="67">
        <f>+'雨汚水(共通按分後)'!AC121-雨汚水!AC121</f>
        <v>0</v>
      </c>
      <c r="AD121" s="70">
        <f>+'雨汚水(共通按分後)'!AD121-雨汚水!AD121</f>
        <v>0</v>
      </c>
      <c r="AE121" s="69">
        <f>+'雨汚水(共通按分後)'!AE121-雨汚水!AE121</f>
        <v>0</v>
      </c>
      <c r="AF121" s="391">
        <f>+'雨汚水(共通按分後)'!AF121-雨汚水!AF121</f>
        <v>0</v>
      </c>
      <c r="AG121" s="54">
        <f>+'雨汚水(共通按分後)'!AG121-雨汚水!AG121</f>
        <v>0</v>
      </c>
      <c r="AH121" s="73">
        <f>+'雨汚水(共通按分後)'!AH121-雨汚水!AH121</f>
        <v>0</v>
      </c>
      <c r="AI121" s="69">
        <f>+'雨汚水(共通按分後)'!AI121-雨汚水!AI121</f>
        <v>0</v>
      </c>
      <c r="AJ121" s="54">
        <f>+'雨汚水(共通按分後)'!AJ121-雨汚水!AJ121</f>
        <v>0</v>
      </c>
      <c r="AK121" s="68">
        <f>+'雨汚水(共通按分後)'!AK121-雨汚水!AK121</f>
        <v>0</v>
      </c>
      <c r="AL121" s="67">
        <f>+'雨汚水(共通按分後)'!AL121-雨汚水!AL121</f>
        <v>0</v>
      </c>
    </row>
    <row r="122" spans="4:38">
      <c r="D122" s="41" t="s">
        <v>47</v>
      </c>
      <c r="E122" s="73">
        <f>+'雨汚水(共通按分後)'!E122-雨汚水!E122</f>
        <v>0</v>
      </c>
      <c r="F122" s="69">
        <f>+'雨汚水(共通按分後)'!F122-雨汚水!F122</f>
        <v>0</v>
      </c>
      <c r="G122" s="391">
        <f>+'雨汚水(共通按分後)'!G122-雨汚水!G122</f>
        <v>0</v>
      </c>
      <c r="H122" s="54">
        <f>+'雨汚水(共通按分後)'!H122-雨汚水!H122</f>
        <v>0</v>
      </c>
      <c r="I122" s="73">
        <f>+'雨汚水(共通按分後)'!I122-雨汚水!I122</f>
        <v>0</v>
      </c>
      <c r="J122" s="69">
        <f>+'雨汚水(共通按分後)'!J122-雨汚水!J122</f>
        <v>0</v>
      </c>
      <c r="K122" s="54">
        <f>+'雨汚水(共通按分後)'!K122-雨汚水!K122</f>
        <v>0</v>
      </c>
      <c r="L122" s="68">
        <f>+'雨汚水(共通按分後)'!L122-雨汚水!L122</f>
        <v>0</v>
      </c>
      <c r="M122" s="67">
        <f>+'雨汚水(共通按分後)'!M122-雨汚水!M122</f>
        <v>0</v>
      </c>
      <c r="N122" s="41" t="s">
        <v>47</v>
      </c>
      <c r="O122" s="40">
        <f>+'雨汚水(共通按分後)'!O122-雨汚水!O122</f>
        <v>0</v>
      </c>
      <c r="P122" s="39">
        <f>+'雨汚水(共通按分後)'!P122-雨汚水!P122</f>
        <v>0</v>
      </c>
      <c r="Q122" s="390">
        <f>+'雨汚水(共通按分後)'!Q122-雨汚水!Q122</f>
        <v>0</v>
      </c>
      <c r="R122" s="38">
        <f>+'雨汚水(共通按分後)'!R122-雨汚水!R122</f>
        <v>0</v>
      </c>
      <c r="S122" s="40">
        <f>+'雨汚水(共通按分後)'!S122-雨汚水!S122</f>
        <v>0</v>
      </c>
      <c r="T122" s="39">
        <f>+'雨汚水(共通按分後)'!T122-雨汚水!T122</f>
        <v>0</v>
      </c>
      <c r="U122" s="54">
        <f>+'雨汚水(共通按分後)'!U122-雨汚水!U122</f>
        <v>0</v>
      </c>
      <c r="V122" s="37">
        <f>+'雨汚水(共通按分後)'!V122-雨汚水!V122</f>
        <v>0</v>
      </c>
      <c r="W122" s="36">
        <f>+'雨汚水(共通按分後)'!W122-雨汚水!W122</f>
        <v>0</v>
      </c>
      <c r="X122" s="41" t="s">
        <v>47</v>
      </c>
      <c r="Y122" s="67">
        <f>+'雨汚水(共通按分後)'!Y122-雨汚水!Y122</f>
        <v>0</v>
      </c>
      <c r="Z122" s="67">
        <f>+'雨汚水(共通按分後)'!Z122-雨汚水!Z122</f>
        <v>0</v>
      </c>
      <c r="AA122" s="67">
        <f>+'雨汚水(共通按分後)'!AA122-雨汚水!AA122</f>
        <v>0</v>
      </c>
      <c r="AB122" s="67">
        <f>+'雨汚水(共通按分後)'!AB122-雨汚水!AB122</f>
        <v>0</v>
      </c>
      <c r="AC122" s="67">
        <f>+'雨汚水(共通按分後)'!AC122-雨汚水!AC122</f>
        <v>0</v>
      </c>
      <c r="AD122" s="70">
        <f>+'雨汚水(共通按分後)'!AD122-雨汚水!AD122</f>
        <v>0</v>
      </c>
      <c r="AE122" s="72">
        <f>+'雨汚水(共通按分後)'!AE122-雨汚水!AE122</f>
        <v>0</v>
      </c>
      <c r="AF122" s="391">
        <f>+'雨汚水(共通按分後)'!AF122-雨汚水!AF122</f>
        <v>0</v>
      </c>
      <c r="AG122" s="54">
        <f>+'雨汚水(共通按分後)'!AG122-雨汚水!AG122</f>
        <v>0</v>
      </c>
      <c r="AH122" s="73">
        <f>+'雨汚水(共通按分後)'!AH122-雨汚水!AH122</f>
        <v>0</v>
      </c>
      <c r="AI122" s="69">
        <f>+'雨汚水(共通按分後)'!AI122-雨汚水!AI122</f>
        <v>0</v>
      </c>
      <c r="AJ122" s="54">
        <f>+'雨汚水(共通按分後)'!AJ122-雨汚水!AJ122</f>
        <v>0</v>
      </c>
      <c r="AK122" s="68">
        <f>+'雨汚水(共通按分後)'!AK122-雨汚水!AK122</f>
        <v>0</v>
      </c>
      <c r="AL122" s="67">
        <f>+'雨汚水(共通按分後)'!AL122-雨汚水!AL122</f>
        <v>0</v>
      </c>
    </row>
    <row r="123" spans="4:38">
      <c r="D123" s="41" t="s">
        <v>45</v>
      </c>
      <c r="E123" s="73">
        <f>+'雨汚水(共通按分後)'!E123-雨汚水!E123</f>
        <v>0</v>
      </c>
      <c r="F123" s="69">
        <f>+'雨汚水(共通按分後)'!F123-雨汚水!F123</f>
        <v>0</v>
      </c>
      <c r="G123" s="391">
        <f>+'雨汚水(共通按分後)'!G123-雨汚水!G123</f>
        <v>0</v>
      </c>
      <c r="H123" s="54">
        <f>+'雨汚水(共通按分後)'!H123-雨汚水!H123</f>
        <v>0</v>
      </c>
      <c r="I123" s="73">
        <f>+'雨汚水(共通按分後)'!I123-雨汚水!I123</f>
        <v>0</v>
      </c>
      <c r="J123" s="69">
        <f>+'雨汚水(共通按分後)'!J123-雨汚水!J123</f>
        <v>0</v>
      </c>
      <c r="K123" s="54">
        <f>+'雨汚水(共通按分後)'!K123-雨汚水!K123</f>
        <v>0</v>
      </c>
      <c r="L123" s="68">
        <f>+'雨汚水(共通按分後)'!L123-雨汚水!L123</f>
        <v>0</v>
      </c>
      <c r="M123" s="67">
        <f>+'雨汚水(共通按分後)'!M123-雨汚水!M123</f>
        <v>0</v>
      </c>
      <c r="N123" s="41" t="s">
        <v>45</v>
      </c>
      <c r="O123" s="40">
        <f>+'雨汚水(共通按分後)'!O123-雨汚水!O123</f>
        <v>0</v>
      </c>
      <c r="P123" s="39">
        <f>+'雨汚水(共通按分後)'!P123-雨汚水!P123</f>
        <v>0</v>
      </c>
      <c r="Q123" s="390">
        <f>+'雨汚水(共通按分後)'!Q123-雨汚水!Q123</f>
        <v>0</v>
      </c>
      <c r="R123" s="38">
        <f>+'雨汚水(共通按分後)'!R123-雨汚水!R123</f>
        <v>0</v>
      </c>
      <c r="S123" s="40">
        <f>+'雨汚水(共通按分後)'!S123-雨汚水!S123</f>
        <v>0</v>
      </c>
      <c r="T123" s="39">
        <f>+'雨汚水(共通按分後)'!T123-雨汚水!T123</f>
        <v>0</v>
      </c>
      <c r="U123" s="54">
        <f>+'雨汚水(共通按分後)'!U123-雨汚水!U123</f>
        <v>0</v>
      </c>
      <c r="V123" s="37">
        <f>+'雨汚水(共通按分後)'!V123-雨汚水!V123</f>
        <v>0</v>
      </c>
      <c r="W123" s="36">
        <f>+'雨汚水(共通按分後)'!W123-雨汚水!W123</f>
        <v>0</v>
      </c>
      <c r="X123" s="41" t="s">
        <v>45</v>
      </c>
      <c r="Y123" s="67">
        <f>+'雨汚水(共通按分後)'!Y123-雨汚水!Y123</f>
        <v>0</v>
      </c>
      <c r="Z123" s="67">
        <f>+'雨汚水(共通按分後)'!Z123-雨汚水!Z123</f>
        <v>0</v>
      </c>
      <c r="AA123" s="67">
        <f>+'雨汚水(共通按分後)'!AA123-雨汚水!AA123</f>
        <v>0</v>
      </c>
      <c r="AB123" s="67">
        <f>+'雨汚水(共通按分後)'!AB123-雨汚水!AB123</f>
        <v>0</v>
      </c>
      <c r="AC123" s="67">
        <f>+'雨汚水(共通按分後)'!AC123-雨汚水!AC123</f>
        <v>0</v>
      </c>
      <c r="AD123" s="70">
        <f>+'雨汚水(共通按分後)'!AD123-雨汚水!AD123</f>
        <v>0</v>
      </c>
      <c r="AE123" s="72">
        <f>+'雨汚水(共通按分後)'!AE123-雨汚水!AE123</f>
        <v>0</v>
      </c>
      <c r="AF123" s="391">
        <f>+'雨汚水(共通按分後)'!AF123-雨汚水!AF123</f>
        <v>0</v>
      </c>
      <c r="AG123" s="54">
        <f>+'雨汚水(共通按分後)'!AG123-雨汚水!AG123</f>
        <v>0</v>
      </c>
      <c r="AH123" s="73">
        <f>+'雨汚水(共通按分後)'!AH123-雨汚水!AH123</f>
        <v>0</v>
      </c>
      <c r="AI123" s="69">
        <f>+'雨汚水(共通按分後)'!AI123-雨汚水!AI123</f>
        <v>0</v>
      </c>
      <c r="AJ123" s="54">
        <f>+'雨汚水(共通按分後)'!AJ123-雨汚水!AJ123</f>
        <v>0</v>
      </c>
      <c r="AK123" s="68">
        <f>+'雨汚水(共通按分後)'!AK123-雨汚水!AK123</f>
        <v>0</v>
      </c>
      <c r="AL123" s="67">
        <f>+'雨汚水(共通按分後)'!AL123-雨汚水!AL123</f>
        <v>0</v>
      </c>
    </row>
    <row r="124" spans="4:38">
      <c r="D124" s="41" t="s">
        <v>44</v>
      </c>
      <c r="E124" s="73">
        <f>+'雨汚水(共通按分後)'!E124-雨汚水!E124</f>
        <v>0</v>
      </c>
      <c r="F124" s="69">
        <f>+'雨汚水(共通按分後)'!F124-雨汚水!F124</f>
        <v>0</v>
      </c>
      <c r="G124" s="391">
        <f>+'雨汚水(共通按分後)'!G124-雨汚水!G124</f>
        <v>0</v>
      </c>
      <c r="H124" s="54">
        <f>+'雨汚水(共通按分後)'!H124-雨汚水!H124</f>
        <v>0</v>
      </c>
      <c r="I124" s="73">
        <f>+'雨汚水(共通按分後)'!I124-雨汚水!I124</f>
        <v>0</v>
      </c>
      <c r="J124" s="69">
        <f>+'雨汚水(共通按分後)'!J124-雨汚水!J124</f>
        <v>0</v>
      </c>
      <c r="K124" s="54">
        <f>+'雨汚水(共通按分後)'!K124-雨汚水!K124</f>
        <v>0</v>
      </c>
      <c r="L124" s="68">
        <f>+'雨汚水(共通按分後)'!L124-雨汚水!L124</f>
        <v>0</v>
      </c>
      <c r="M124" s="67">
        <f>+'雨汚水(共通按分後)'!M124-雨汚水!M124</f>
        <v>0</v>
      </c>
      <c r="N124" s="41" t="s">
        <v>44</v>
      </c>
      <c r="O124" s="40">
        <f>+'雨汚水(共通按分後)'!O124-雨汚水!O124</f>
        <v>0</v>
      </c>
      <c r="P124" s="69">
        <f>+'雨汚水(共通按分後)'!P124-雨汚水!P124</f>
        <v>0</v>
      </c>
      <c r="Q124" s="391">
        <f>+'雨汚水(共通按分後)'!Q124-雨汚水!Q124</f>
        <v>0</v>
      </c>
      <c r="R124" s="38">
        <f>+'雨汚水(共通按分後)'!R124-雨汚水!R124</f>
        <v>0</v>
      </c>
      <c r="S124" s="40">
        <f>+'雨汚水(共通按分後)'!S124-雨汚水!S124</f>
        <v>0</v>
      </c>
      <c r="T124" s="39">
        <f>+'雨汚水(共通按分後)'!T124-雨汚水!T124</f>
        <v>0</v>
      </c>
      <c r="U124" s="54">
        <f>+'雨汚水(共通按分後)'!U124-雨汚水!U124</f>
        <v>0</v>
      </c>
      <c r="V124" s="37">
        <f>+'雨汚水(共通按分後)'!V124-雨汚水!V124</f>
        <v>0</v>
      </c>
      <c r="W124" s="36">
        <f>+'雨汚水(共通按分後)'!W124-雨汚水!W124</f>
        <v>0</v>
      </c>
      <c r="X124" s="41" t="s">
        <v>44</v>
      </c>
      <c r="Y124" s="67">
        <f>+'雨汚水(共通按分後)'!Y124-雨汚水!Y124</f>
        <v>0</v>
      </c>
      <c r="Z124" s="67">
        <f>+'雨汚水(共通按分後)'!Z124-雨汚水!Z124</f>
        <v>0</v>
      </c>
      <c r="AA124" s="67">
        <f>+'雨汚水(共通按分後)'!AA124-雨汚水!AA124</f>
        <v>0</v>
      </c>
      <c r="AB124" s="67">
        <f>+'雨汚水(共通按分後)'!AB124-雨汚水!AB124</f>
        <v>0</v>
      </c>
      <c r="AC124" s="67">
        <f>+'雨汚水(共通按分後)'!AC124-雨汚水!AC124</f>
        <v>0</v>
      </c>
      <c r="AD124" s="70">
        <f>+'雨汚水(共通按分後)'!AD124-雨汚水!AD124</f>
        <v>0</v>
      </c>
      <c r="AE124" s="72">
        <f>+'雨汚水(共通按分後)'!AE124-雨汚水!AE124</f>
        <v>0</v>
      </c>
      <c r="AF124" s="391">
        <f>+'雨汚水(共通按分後)'!AF124-雨汚水!AF124</f>
        <v>0</v>
      </c>
      <c r="AG124" s="54">
        <f>+'雨汚水(共通按分後)'!AG124-雨汚水!AG124</f>
        <v>0</v>
      </c>
      <c r="AH124" s="73">
        <f>+'雨汚水(共通按分後)'!AH124-雨汚水!AH124</f>
        <v>0</v>
      </c>
      <c r="AI124" s="69">
        <f>+'雨汚水(共通按分後)'!AI124-雨汚水!AI124</f>
        <v>0</v>
      </c>
      <c r="AJ124" s="54">
        <f>+'雨汚水(共通按分後)'!AJ124-雨汚水!AJ124</f>
        <v>0</v>
      </c>
      <c r="AK124" s="68">
        <f>+'雨汚水(共通按分後)'!AK124-雨汚水!AK124</f>
        <v>0</v>
      </c>
      <c r="AL124" s="67">
        <f>+'雨汚水(共通按分後)'!AL124-雨汚水!AL124</f>
        <v>0</v>
      </c>
    </row>
    <row r="125" spans="4:38">
      <c r="D125" s="41" t="s">
        <v>41</v>
      </c>
      <c r="E125" s="73">
        <f>+'雨汚水(共通按分後)'!E125-雨汚水!E125</f>
        <v>0</v>
      </c>
      <c r="F125" s="69">
        <f>+'雨汚水(共通按分後)'!F125-雨汚水!F125</f>
        <v>0</v>
      </c>
      <c r="G125" s="391">
        <f>+'雨汚水(共通按分後)'!G125-雨汚水!G125</f>
        <v>0</v>
      </c>
      <c r="H125" s="54">
        <f>+'雨汚水(共通按分後)'!H125-雨汚水!H125</f>
        <v>0</v>
      </c>
      <c r="I125" s="73">
        <f>+'雨汚水(共通按分後)'!I125-雨汚水!I125</f>
        <v>0</v>
      </c>
      <c r="J125" s="69">
        <f>+'雨汚水(共通按分後)'!J125-雨汚水!J125</f>
        <v>0</v>
      </c>
      <c r="K125" s="54">
        <f>+'雨汚水(共通按分後)'!K125-雨汚水!K125</f>
        <v>0</v>
      </c>
      <c r="L125" s="68">
        <f>+'雨汚水(共通按分後)'!L125-雨汚水!L125</f>
        <v>0</v>
      </c>
      <c r="M125" s="67">
        <f>+'雨汚水(共通按分後)'!M125-雨汚水!M125</f>
        <v>0</v>
      </c>
      <c r="N125" s="41" t="s">
        <v>41</v>
      </c>
      <c r="O125" s="40">
        <f>+'雨汚水(共通按分後)'!O125-雨汚水!O125</f>
        <v>0</v>
      </c>
      <c r="P125" s="39">
        <f>+'雨汚水(共通按分後)'!P125-雨汚水!P125</f>
        <v>0</v>
      </c>
      <c r="Q125" s="390">
        <f>+'雨汚水(共通按分後)'!Q125-雨汚水!Q125</f>
        <v>0</v>
      </c>
      <c r="R125" s="38">
        <f>+'雨汚水(共通按分後)'!R125-雨汚水!R125</f>
        <v>0</v>
      </c>
      <c r="S125" s="40">
        <f>+'雨汚水(共通按分後)'!S125-雨汚水!S125</f>
        <v>0</v>
      </c>
      <c r="T125" s="39">
        <f>+'雨汚水(共通按分後)'!T125-雨汚水!T125</f>
        <v>0</v>
      </c>
      <c r="U125" s="38">
        <f>+'雨汚水(共通按分後)'!U125-雨汚水!U125</f>
        <v>0</v>
      </c>
      <c r="V125" s="37">
        <f>+'雨汚水(共通按分後)'!V125-雨汚水!V125</f>
        <v>0</v>
      </c>
      <c r="W125" s="36">
        <f>+'雨汚水(共通按分後)'!W125-雨汚水!W125</f>
        <v>0</v>
      </c>
      <c r="X125" s="41" t="s">
        <v>41</v>
      </c>
      <c r="Y125" s="36">
        <f>+'雨汚水(共通按分後)'!Y125-雨汚水!Y125</f>
        <v>0</v>
      </c>
      <c r="Z125" s="67">
        <f>+'雨汚水(共通按分後)'!Z125-雨汚水!Z125</f>
        <v>0</v>
      </c>
      <c r="AA125" s="67">
        <f>+'雨汚水(共通按分後)'!AA125-雨汚水!AA125</f>
        <v>0</v>
      </c>
      <c r="AB125" s="67">
        <f>+'雨汚水(共通按分後)'!AB125-雨汚水!AB125</f>
        <v>0</v>
      </c>
      <c r="AC125" s="67">
        <f>+'雨汚水(共通按分後)'!AC125-雨汚水!AC125</f>
        <v>0</v>
      </c>
      <c r="AD125" s="70">
        <f>+'雨汚水(共通按分後)'!AD125-雨汚水!AD125</f>
        <v>0</v>
      </c>
      <c r="AE125" s="72">
        <f>+'雨汚水(共通按分後)'!AE125-雨汚水!AE125</f>
        <v>0</v>
      </c>
      <c r="AF125" s="391">
        <f>+'雨汚水(共通按分後)'!AF125-雨汚水!AF125</f>
        <v>0</v>
      </c>
      <c r="AG125" s="54">
        <f>+'雨汚水(共通按分後)'!AG125-雨汚水!AG125</f>
        <v>0</v>
      </c>
      <c r="AH125" s="73">
        <f>+'雨汚水(共通按分後)'!AH125-雨汚水!AH125</f>
        <v>0</v>
      </c>
      <c r="AI125" s="69">
        <f>+'雨汚水(共通按分後)'!AI125-雨汚水!AI125</f>
        <v>0</v>
      </c>
      <c r="AJ125" s="54">
        <f>+'雨汚水(共通按分後)'!AJ125-雨汚水!AJ125</f>
        <v>0</v>
      </c>
      <c r="AK125" s="68">
        <f>+'雨汚水(共通按分後)'!AK125-雨汚水!AK125</f>
        <v>0</v>
      </c>
      <c r="AL125" s="67">
        <f>+'雨汚水(共通按分後)'!AL125-雨汚水!AL125</f>
        <v>0</v>
      </c>
    </row>
    <row r="126" spans="4:38">
      <c r="D126" s="41" t="s">
        <v>39</v>
      </c>
      <c r="E126" s="70">
        <f>+'雨汚水(共通按分後)'!E126-雨汚水!E126</f>
        <v>0</v>
      </c>
      <c r="F126" s="69">
        <f>+'雨汚水(共通按分後)'!F126-雨汚水!F126</f>
        <v>0</v>
      </c>
      <c r="G126" s="391">
        <f>+'雨汚水(共通按分後)'!G126-雨汚水!G126</f>
        <v>0</v>
      </c>
      <c r="H126" s="54">
        <f>+'雨汚水(共通按分後)'!H126-雨汚水!H126</f>
        <v>9198273</v>
      </c>
      <c r="I126" s="73">
        <f>+'雨汚水(共通按分後)'!I126-雨汚水!I126</f>
        <v>9198273</v>
      </c>
      <c r="J126" s="69">
        <f>+'雨汚水(共通按分後)'!J126-雨汚水!J126</f>
        <v>0</v>
      </c>
      <c r="K126" s="54">
        <f>+'雨汚水(共通按分後)'!K126-雨汚水!K126</f>
        <v>-9198273</v>
      </c>
      <c r="L126" s="68">
        <f>+'雨汚水(共通按分後)'!L126-雨汚水!L126</f>
        <v>-9198273</v>
      </c>
      <c r="M126" s="67">
        <f>+'雨汚水(共通按分後)'!M126-雨汚水!M126</f>
        <v>0</v>
      </c>
      <c r="N126" s="41" t="s">
        <v>39</v>
      </c>
      <c r="O126" s="40">
        <f>+'雨汚水(共通按分後)'!O126-雨汚水!O126</f>
        <v>-488049</v>
      </c>
      <c r="P126" s="39">
        <f>+'雨汚水(共通按分後)'!P126-雨汚水!P126</f>
        <v>0</v>
      </c>
      <c r="Q126" s="390">
        <f>+'雨汚水(共通按分後)'!Q126-雨汚水!Q126</f>
        <v>0</v>
      </c>
      <c r="R126" s="38">
        <f>+'雨汚水(共通按分後)'!R126-雨汚水!R126</f>
        <v>8710224</v>
      </c>
      <c r="S126" s="40">
        <f>+'雨汚水(共通按分後)'!S126-雨汚水!S126</f>
        <v>8710224</v>
      </c>
      <c r="T126" s="39">
        <f>+'雨汚水(共通按分後)'!T126-雨汚水!T126</f>
        <v>0</v>
      </c>
      <c r="U126" s="38">
        <f>+'雨汚水(共通按分後)'!U126-雨汚水!U126</f>
        <v>-9198273</v>
      </c>
      <c r="V126" s="37">
        <f>+'雨汚水(共通按分後)'!V126-雨汚水!V126</f>
        <v>-9198273</v>
      </c>
      <c r="W126" s="36">
        <f>+'雨汚水(共通按分後)'!W126-雨汚水!W126</f>
        <v>0</v>
      </c>
      <c r="X126" s="41" t="s">
        <v>39</v>
      </c>
      <c r="Y126" s="36">
        <f>+'雨汚水(共通按分後)'!Y126-雨汚水!Y126</f>
        <v>0</v>
      </c>
      <c r="Z126" s="67">
        <f>+'雨汚水(共通按分後)'!Z126-雨汚水!Z126</f>
        <v>0</v>
      </c>
      <c r="AA126" s="67">
        <f>+'雨汚水(共通按分後)'!AA126-雨汚水!AA126</f>
        <v>0</v>
      </c>
      <c r="AB126" s="67">
        <f>+'雨汚水(共通按分後)'!AB126-雨汚水!AB126</f>
        <v>-488049</v>
      </c>
      <c r="AC126" s="67">
        <f>+'雨汚水(共通按分後)'!AC126-雨汚水!AC126</f>
        <v>488049</v>
      </c>
      <c r="AD126" s="70">
        <f>+'雨汚水(共通按分後)'!AD126-雨汚水!AD126</f>
        <v>488049</v>
      </c>
      <c r="AE126" s="72">
        <f>+'雨汚水(共通按分後)'!AE126-雨汚水!AE126</f>
        <v>0</v>
      </c>
      <c r="AF126" s="391">
        <f>+'雨汚水(共通按分後)'!AF126-雨汚水!AF126</f>
        <v>0</v>
      </c>
      <c r="AG126" s="54">
        <f>+'雨汚水(共通按分後)'!AG126-雨汚水!AG126</f>
        <v>488049</v>
      </c>
      <c r="AH126" s="73">
        <f>+'雨汚水(共通按分後)'!AH126-雨汚水!AH126</f>
        <v>488049</v>
      </c>
      <c r="AI126" s="69">
        <f>+'雨汚水(共通按分後)'!AI126-雨汚水!AI126</f>
        <v>0</v>
      </c>
      <c r="AJ126" s="54">
        <f>+'雨汚水(共通按分後)'!AJ126-雨汚水!AJ126</f>
        <v>0</v>
      </c>
      <c r="AK126" s="68">
        <f>+'雨汚水(共通按分後)'!AK126-雨汚水!AK126</f>
        <v>0</v>
      </c>
      <c r="AL126" s="67">
        <f>+'雨汚水(共通按分後)'!AL126-雨汚水!AL126</f>
        <v>0</v>
      </c>
    </row>
    <row r="127" spans="4:38">
      <c r="D127" s="41"/>
      <c r="E127" s="70">
        <f>+'雨汚水(共通按分後)'!E127-雨汚水!E127</f>
        <v>0</v>
      </c>
      <c r="F127" s="69">
        <f>+'雨汚水(共通按分後)'!F127-雨汚水!F127</f>
        <v>0</v>
      </c>
      <c r="G127" s="391">
        <f>+'雨汚水(共通按分後)'!G127-雨汚水!G127</f>
        <v>0</v>
      </c>
      <c r="H127" s="54">
        <f>+'雨汚水(共通按分後)'!H127-雨汚水!H127</f>
        <v>0</v>
      </c>
      <c r="I127" s="73">
        <f>+'雨汚水(共通按分後)'!I127-雨汚水!I127</f>
        <v>0</v>
      </c>
      <c r="J127" s="69">
        <f>+'雨汚水(共通按分後)'!J127-雨汚水!J127</f>
        <v>0</v>
      </c>
      <c r="K127" s="54">
        <f>+'雨汚水(共通按分後)'!K127-雨汚水!K127</f>
        <v>0</v>
      </c>
      <c r="L127" s="68">
        <f>+'雨汚水(共通按分後)'!L127-雨汚水!L127</f>
        <v>0</v>
      </c>
      <c r="M127" s="67">
        <f>+'雨汚水(共通按分後)'!M127-雨汚水!M127</f>
        <v>0</v>
      </c>
      <c r="N127" s="41"/>
      <c r="O127" s="40">
        <f>+'雨汚水(共通按分後)'!O127-雨汚水!O127</f>
        <v>0</v>
      </c>
      <c r="P127" s="39">
        <f>+'雨汚水(共通按分後)'!P127-雨汚水!P127</f>
        <v>0</v>
      </c>
      <c r="Q127" s="390">
        <f>+'雨汚水(共通按分後)'!Q127-雨汚水!Q127</f>
        <v>0</v>
      </c>
      <c r="R127" s="38">
        <f>+'雨汚水(共通按分後)'!R127-雨汚水!R127</f>
        <v>0</v>
      </c>
      <c r="S127" s="40">
        <f>+'雨汚水(共通按分後)'!S127-雨汚水!S127</f>
        <v>0</v>
      </c>
      <c r="T127" s="39">
        <f>+'雨汚水(共通按分後)'!T127-雨汚水!T127</f>
        <v>0</v>
      </c>
      <c r="U127" s="38">
        <f>+'雨汚水(共通按分後)'!U127-雨汚水!U127</f>
        <v>0</v>
      </c>
      <c r="V127" s="37">
        <f>+'雨汚水(共通按分後)'!V127-雨汚水!V127</f>
        <v>0</v>
      </c>
      <c r="W127" s="36">
        <f>+'雨汚水(共通按分後)'!W127-雨汚水!W127</f>
        <v>0</v>
      </c>
      <c r="X127" s="41"/>
      <c r="Y127" s="43">
        <f>+'雨汚水(共通按分後)'!Y127-雨汚水!Y127</f>
        <v>0</v>
      </c>
      <c r="Z127" s="67">
        <f>+'雨汚水(共通按分後)'!Z127-雨汚水!Z127</f>
        <v>0</v>
      </c>
      <c r="AA127" s="67">
        <f>+'雨汚水(共通按分後)'!AA127-雨汚水!AA127</f>
        <v>0</v>
      </c>
      <c r="AB127" s="67">
        <f>+'雨汚水(共通按分後)'!AB127-雨汚水!AB127</f>
        <v>0</v>
      </c>
      <c r="AC127" s="67">
        <f>+'雨汚水(共通按分後)'!AC127-雨汚水!AC127</f>
        <v>0</v>
      </c>
      <c r="AD127" s="70">
        <f>+'雨汚水(共通按分後)'!AD127-雨汚水!AD127</f>
        <v>0</v>
      </c>
      <c r="AE127" s="72">
        <f>+'雨汚水(共通按分後)'!AE127-雨汚水!AE127</f>
        <v>0</v>
      </c>
      <c r="AF127" s="391">
        <f>+'雨汚水(共通按分後)'!AF127-雨汚水!AF127</f>
        <v>0</v>
      </c>
      <c r="AG127" s="54">
        <f>+'雨汚水(共通按分後)'!AG127-雨汚水!AG127</f>
        <v>0</v>
      </c>
      <c r="AH127" s="73">
        <f>+'雨汚水(共通按分後)'!AH127-雨汚水!AH127</f>
        <v>0</v>
      </c>
      <c r="AI127" s="69">
        <f>+'雨汚水(共通按分後)'!AI127-雨汚水!AI127</f>
        <v>0</v>
      </c>
      <c r="AJ127" s="54">
        <f>+'雨汚水(共通按分後)'!AJ127-雨汚水!AJ127</f>
        <v>0</v>
      </c>
      <c r="AK127" s="68">
        <f>+'雨汚水(共通按分後)'!AK127-雨汚水!AK127</f>
        <v>0</v>
      </c>
      <c r="AL127" s="67">
        <f>+'雨汚水(共通按分後)'!AL127-雨汚水!AL127</f>
        <v>0</v>
      </c>
    </row>
    <row r="128" spans="4:38">
      <c r="D128" s="41"/>
      <c r="E128" s="70">
        <f>+'雨汚水(共通按分後)'!E128-雨汚水!E128</f>
        <v>0</v>
      </c>
      <c r="F128" s="69">
        <f>+'雨汚水(共通按分後)'!F128-雨汚水!F128</f>
        <v>0</v>
      </c>
      <c r="G128" s="391">
        <f>+'雨汚水(共通按分後)'!G128-雨汚水!G128</f>
        <v>0</v>
      </c>
      <c r="H128" s="54">
        <f>+'雨汚水(共通按分後)'!H128-雨汚水!H128</f>
        <v>0</v>
      </c>
      <c r="I128" s="73">
        <f>+'雨汚水(共通按分後)'!I128-雨汚水!I128</f>
        <v>0</v>
      </c>
      <c r="J128" s="69">
        <f>+'雨汚水(共通按分後)'!J128-雨汚水!J128</f>
        <v>0</v>
      </c>
      <c r="K128" s="54">
        <f>+'雨汚水(共通按分後)'!K128-雨汚水!K128</f>
        <v>0</v>
      </c>
      <c r="L128" s="68">
        <f>+'雨汚水(共通按分後)'!L128-雨汚水!L128</f>
        <v>0</v>
      </c>
      <c r="M128" s="67">
        <f>+'雨汚水(共通按分後)'!M128-雨汚水!M128</f>
        <v>0</v>
      </c>
      <c r="N128" s="41"/>
      <c r="O128" s="40">
        <f>+'雨汚水(共通按分後)'!O128-雨汚水!O128</f>
        <v>0</v>
      </c>
      <c r="P128" s="39">
        <f>+'雨汚水(共通按分後)'!P128-雨汚水!P128</f>
        <v>0</v>
      </c>
      <c r="Q128" s="390">
        <f>+'雨汚水(共通按分後)'!Q128-雨汚水!Q128</f>
        <v>0</v>
      </c>
      <c r="R128" s="38">
        <f>+'雨汚水(共通按分後)'!R128-雨汚水!R128</f>
        <v>0</v>
      </c>
      <c r="S128" s="40">
        <f>+'雨汚水(共通按分後)'!S128-雨汚水!S128</f>
        <v>0</v>
      </c>
      <c r="T128" s="39">
        <f>+'雨汚水(共通按分後)'!T128-雨汚水!T128</f>
        <v>0</v>
      </c>
      <c r="U128" s="38">
        <f>+'雨汚水(共通按分後)'!U128-雨汚水!U128</f>
        <v>0</v>
      </c>
      <c r="V128" s="37">
        <f>+'雨汚水(共通按分後)'!V128-雨汚水!V128</f>
        <v>0</v>
      </c>
      <c r="W128" s="36">
        <f>+'雨汚水(共通按分後)'!W128-雨汚水!W128</f>
        <v>0</v>
      </c>
      <c r="X128" s="464" t="s">
        <v>103</v>
      </c>
      <c r="Y128" s="70">
        <f>+'雨汚水(共通按分後)'!Y128-雨汚水!Y128</f>
        <v>0</v>
      </c>
      <c r="Z128" s="67">
        <f>+'雨汚水(共通按分後)'!Z128-雨汚水!Z128</f>
        <v>0</v>
      </c>
      <c r="AA128" s="67">
        <f>+'雨汚水(共通按分後)'!AA128-雨汚水!AA128</f>
        <v>0</v>
      </c>
      <c r="AB128" s="67">
        <f>+'雨汚水(共通按分後)'!AB128-雨汚水!AB128</f>
        <v>0</v>
      </c>
      <c r="AC128" s="67">
        <f>+'雨汚水(共通按分後)'!AC128-雨汚水!AC128</f>
        <v>0</v>
      </c>
      <c r="AD128" s="70">
        <f>+'雨汚水(共通按分後)'!AD128-雨汚水!AD128</f>
        <v>0</v>
      </c>
      <c r="AE128" s="72">
        <f>+'雨汚水(共通按分後)'!AE128-雨汚水!AE128</f>
        <v>0</v>
      </c>
      <c r="AF128" s="391">
        <f>+'雨汚水(共通按分後)'!AF128-雨汚水!AF128</f>
        <v>0</v>
      </c>
      <c r="AG128" s="54">
        <f>+'雨汚水(共通按分後)'!AG128-雨汚水!AG128</f>
        <v>0</v>
      </c>
      <c r="AH128" s="73">
        <f>+'雨汚水(共通按分後)'!AH128-雨汚水!AH128</f>
        <v>0</v>
      </c>
      <c r="AI128" s="69">
        <f>+'雨汚水(共通按分後)'!AI128-雨汚水!AI128</f>
        <v>0</v>
      </c>
      <c r="AJ128" s="54">
        <f>+'雨汚水(共通按分後)'!AJ128-雨汚水!AJ128</f>
        <v>0</v>
      </c>
      <c r="AK128" s="68">
        <f>+'雨汚水(共通按分後)'!AK128-雨汚水!AK128</f>
        <v>0</v>
      </c>
      <c r="AL128" s="67">
        <f>+'雨汚水(共通按分後)'!AL128-雨汚水!AL128</f>
        <v>0</v>
      </c>
    </row>
    <row r="129" spans="4:38" ht="14.25" thickBot="1">
      <c r="D129" s="31"/>
      <c r="E129" s="466">
        <f>+'雨汚水(共通按分後)'!E129-雨汚水!E129</f>
        <v>0</v>
      </c>
      <c r="F129" s="467">
        <f>+'雨汚水(共通按分後)'!F129-雨汚水!F129</f>
        <v>0</v>
      </c>
      <c r="G129" s="468">
        <f>+'雨汚水(共通按分後)'!G129-雨汚水!G129</f>
        <v>0</v>
      </c>
      <c r="H129" s="469">
        <f>+'雨汚水(共通按分後)'!H129-雨汚水!H129</f>
        <v>0</v>
      </c>
      <c r="I129" s="470">
        <f>+'雨汚水(共通按分後)'!I129-雨汚水!I129</f>
        <v>0</v>
      </c>
      <c r="J129" s="467">
        <f>+'雨汚水(共通按分後)'!J129-雨汚水!J129</f>
        <v>0</v>
      </c>
      <c r="K129" s="469">
        <f>+'雨汚水(共通按分後)'!K129-雨汚水!K129</f>
        <v>0</v>
      </c>
      <c r="L129" s="471">
        <f>+'雨汚水(共通按分後)'!L129-雨汚水!L129</f>
        <v>0</v>
      </c>
      <c r="M129" s="472">
        <f>+'雨汚水(共通按分後)'!M129-雨汚水!M129</f>
        <v>0</v>
      </c>
      <c r="N129" s="31"/>
      <c r="O129" s="30">
        <f>+'雨汚水(共通按分後)'!O129-雨汚水!O129</f>
        <v>0</v>
      </c>
      <c r="P129" s="29">
        <f>+'雨汚水(共通按分後)'!P129-雨汚水!P129</f>
        <v>0</v>
      </c>
      <c r="Q129" s="414">
        <f>+'雨汚水(共通按分後)'!Q129-雨汚水!Q129</f>
        <v>0</v>
      </c>
      <c r="R129" s="28">
        <f>+'雨汚水(共通按分後)'!R129-雨汚水!R129</f>
        <v>0</v>
      </c>
      <c r="S129" s="30">
        <f>+'雨汚水(共通按分後)'!S129-雨汚水!S129</f>
        <v>0</v>
      </c>
      <c r="T129" s="29">
        <f>+'雨汚水(共通按分後)'!T129-雨汚水!T129</f>
        <v>0</v>
      </c>
      <c r="U129" s="28">
        <f>+'雨汚水(共通按分後)'!U129-雨汚水!U129</f>
        <v>0</v>
      </c>
      <c r="V129" s="142">
        <f>+'雨汚水(共通按分後)'!V129-雨汚水!V129</f>
        <v>0</v>
      </c>
      <c r="W129" s="26">
        <f>+'雨汚水(共通按分後)'!W129-雨汚水!W129</f>
        <v>0</v>
      </c>
      <c r="X129" s="473"/>
      <c r="Y129" s="466">
        <f>+'雨汚水(共通按分後)'!Y129-雨汚水!Y129</f>
        <v>0</v>
      </c>
      <c r="Z129" s="472">
        <f>+'雨汚水(共通按分後)'!Z129-雨汚水!Z129</f>
        <v>0</v>
      </c>
      <c r="AA129" s="472">
        <f>+'雨汚水(共通按分後)'!AA129-雨汚水!AA129</f>
        <v>0</v>
      </c>
      <c r="AB129" s="472">
        <f>+'雨汚水(共通按分後)'!AB129-雨汚水!AB129</f>
        <v>0</v>
      </c>
      <c r="AC129" s="472">
        <f>+'雨汚水(共通按分後)'!AC129-雨汚水!AC129</f>
        <v>0</v>
      </c>
      <c r="AD129" s="466">
        <f>+'雨汚水(共通按分後)'!AD129-雨汚水!AD129</f>
        <v>0</v>
      </c>
      <c r="AE129" s="475">
        <f>+'雨汚水(共通按分後)'!AE129-雨汚水!AE129</f>
        <v>0</v>
      </c>
      <c r="AF129" s="468">
        <f>+'雨汚水(共通按分後)'!AF129-雨汚水!AF129</f>
        <v>0</v>
      </c>
      <c r="AG129" s="469">
        <f>+'雨汚水(共通按分後)'!AG129-雨汚水!AG129</f>
        <v>0</v>
      </c>
      <c r="AH129" s="470">
        <f>+'雨汚水(共通按分後)'!AH129-雨汚水!AH129</f>
        <v>0</v>
      </c>
      <c r="AI129" s="467">
        <f>+'雨汚水(共通按分後)'!AI129-雨汚水!AI129</f>
        <v>0</v>
      </c>
      <c r="AJ129" s="469">
        <f>+'雨汚水(共通按分後)'!AJ129-雨汚水!AJ129</f>
        <v>0</v>
      </c>
      <c r="AK129" s="471">
        <f>+'雨汚水(共通按分後)'!AK129-雨汚水!AK129</f>
        <v>0</v>
      </c>
      <c r="AL129" s="472">
        <f>+'雨汚水(共通按分後)'!AL129-雨汚水!AL129</f>
        <v>0</v>
      </c>
    </row>
    <row r="130" spans="4:38" ht="14.25" thickTop="1">
      <c r="D130" s="501" t="s">
        <v>5</v>
      </c>
      <c r="E130" s="527">
        <f t="shared" ref="E130:M130" si="35">+SUM(E109,E120)</f>
        <v>1697260549</v>
      </c>
      <c r="F130" s="528">
        <f t="shared" si="35"/>
        <v>1273446561</v>
      </c>
      <c r="G130" s="529">
        <f t="shared" si="35"/>
        <v>303464736</v>
      </c>
      <c r="H130" s="530">
        <f>+SUM(H109,H120)</f>
        <v>369422303</v>
      </c>
      <c r="I130" s="405">
        <f t="shared" si="35"/>
        <v>1946333600</v>
      </c>
      <c r="J130" s="528">
        <f t="shared" si="35"/>
        <v>-239874778</v>
      </c>
      <c r="K130" s="530">
        <f t="shared" si="35"/>
        <v>-9198273</v>
      </c>
      <c r="L130" s="63">
        <f t="shared" si="35"/>
        <v>-249073051</v>
      </c>
      <c r="M130" s="62">
        <f t="shared" si="35"/>
        <v>0</v>
      </c>
      <c r="N130" s="501" t="s">
        <v>5</v>
      </c>
      <c r="O130" s="402">
        <f t="shared" ref="O130:W130" si="36">+SUM(O109,O120)</f>
        <v>1697260549</v>
      </c>
      <c r="P130" s="503">
        <f t="shared" si="36"/>
        <v>1042452146</v>
      </c>
      <c r="Q130" s="504">
        <f t="shared" si="36"/>
        <v>-44028326</v>
      </c>
      <c r="R130" s="505">
        <f t="shared" si="36"/>
        <v>-11532068</v>
      </c>
      <c r="S130" s="402">
        <f t="shared" si="36"/>
        <v>986891752</v>
      </c>
      <c r="T130" s="503">
        <f t="shared" si="36"/>
        <v>719567070</v>
      </c>
      <c r="U130" s="505">
        <f t="shared" si="36"/>
        <v>-9198273</v>
      </c>
      <c r="V130" s="19">
        <f t="shared" si="36"/>
        <v>710368797</v>
      </c>
      <c r="W130" s="17">
        <f t="shared" si="36"/>
        <v>0</v>
      </c>
      <c r="X130" s="501" t="s">
        <v>5</v>
      </c>
      <c r="Y130" s="17">
        <f>+'雨汚水(共通按分後)'!Y130-雨汚水!Y130</f>
        <v>-1228771814</v>
      </c>
      <c r="Z130" s="62">
        <f>+'雨汚水(共通按分後)'!Z130-雨汚水!Z130</f>
        <v>0</v>
      </c>
      <c r="AA130" s="62">
        <f>+'雨汚水(共通按分後)'!AA130-雨汚水!AA130</f>
        <v>0</v>
      </c>
      <c r="AB130" s="17">
        <f>+'雨汚水(共通按分後)'!AB130-雨汚水!AB130</f>
        <v>1697260549</v>
      </c>
      <c r="AC130" s="17">
        <f>+'雨汚水(共通按分後)'!AC130-雨汚水!AC130</f>
        <v>0</v>
      </c>
      <c r="AD130" s="527">
        <f>+'雨汚水(共通按分後)'!AD130-雨汚水!AD130</f>
        <v>0</v>
      </c>
      <c r="AE130" s="528">
        <f>+'雨汚水(共通按分後)'!AE130-雨汚水!AE130</f>
        <v>230994415</v>
      </c>
      <c r="AF130" s="529">
        <f>+'雨汚水(共通按分後)'!AF130-雨汚水!AF130</f>
        <v>347493062</v>
      </c>
      <c r="AG130" s="530">
        <f>+'雨汚水(共通按分後)'!AG130-雨汚水!AG130</f>
        <v>380954371</v>
      </c>
      <c r="AH130" s="405">
        <f>+'雨汚水(共通按分後)'!AH130-雨汚水!AH130</f>
        <v>959441848</v>
      </c>
      <c r="AI130" s="528">
        <f>+'雨汚水(共通按分後)'!AI130-雨汚水!AI130</f>
        <v>-959441848</v>
      </c>
      <c r="AJ130" s="530">
        <f>+'雨汚水(共通按分後)'!AJ130-雨汚水!AJ130</f>
        <v>0</v>
      </c>
      <c r="AK130" s="63">
        <f>+'雨汚水(共通按分後)'!AK130-雨汚水!AK130</f>
        <v>-959441848</v>
      </c>
      <c r="AL130" s="62">
        <f>+'雨汚水(共通按分後)'!AL130-雨汚水!AL130</f>
        <v>0</v>
      </c>
    </row>
    <row r="131" spans="4:38">
      <c r="E131" s="4"/>
      <c r="I131" s="4"/>
      <c r="J131" s="4" t="s">
        <v>34</v>
      </c>
      <c r="K131" s="4">
        <f>AJ97-AJ46-K132-K133+K120+K111</f>
        <v>1968410162</v>
      </c>
      <c r="L131" s="4"/>
      <c r="O131" s="531"/>
      <c r="P131" s="531"/>
      <c r="R131" s="4"/>
      <c r="T131" s="4" t="s">
        <v>34</v>
      </c>
      <c r="U131" s="4">
        <f>U97-U46-U132-U133+U125</f>
        <v>1977607806</v>
      </c>
      <c r="V131" s="4"/>
      <c r="W131" s="4"/>
      <c r="X131" s="377" t="s">
        <v>368</v>
      </c>
      <c r="Y131" s="377">
        <f>+'雨汚水(共通按分後)'!Y131-雨汚水!Y131</f>
        <v>0</v>
      </c>
      <c r="Z131" s="6">
        <f>+'雨汚水(共通按分後)'!Z131-雨汚水!Z131</f>
        <v>0</v>
      </c>
      <c r="AA131" s="6">
        <f>+'雨汚水(共通按分後)'!AA131-雨汚水!AA131</f>
        <v>0</v>
      </c>
      <c r="AB131" s="6">
        <f>+'雨汚水(共通按分後)'!AB131-雨汚水!AB131</f>
        <v>1697260549</v>
      </c>
      <c r="AC131" s="6">
        <f>+'雨汚水(共通按分後)'!AC131-雨汚水!AC131</f>
        <v>0</v>
      </c>
      <c r="AD131" s="6">
        <f>+'雨汚水(共通按分後)'!AD131-雨汚水!AD131</f>
        <v>0</v>
      </c>
      <c r="AE131" s="513">
        <f>+'雨汚水(共通按分後)'!AE131-雨汚水!AE131</f>
        <v>230994415</v>
      </c>
      <c r="AF131" s="512">
        <f>+'雨汚水(共通按分後)'!AF131-雨汚水!AF131</f>
        <v>347493062</v>
      </c>
      <c r="AG131" s="122">
        <f>+'雨汚水(共通按分後)'!AG131-雨汚水!AG131</f>
        <v>380954371</v>
      </c>
      <c r="AH131" s="408">
        <f>+'雨汚水(共通按分後)'!AH131-雨汚水!AH131</f>
        <v>959441848</v>
      </c>
      <c r="AI131" s="511">
        <f>+'雨汚水(共通按分後)'!AI131-雨汚水!AI131</f>
        <v>-959441848</v>
      </c>
      <c r="AJ131" s="122">
        <f>+'雨汚水(共通按分後)'!AJ131-雨汚水!AJ131</f>
        <v>0</v>
      </c>
      <c r="AK131" s="8">
        <f>+'雨汚水(共通按分後)'!AK131-雨汚水!AK131</f>
        <v>-959441848</v>
      </c>
      <c r="AL131" s="6">
        <f>+'雨汚水(共通按分後)'!AL131-雨汚水!AL131</f>
        <v>0</v>
      </c>
    </row>
    <row r="132" spans="4:38">
      <c r="I132" s="4" t="s">
        <v>33</v>
      </c>
      <c r="J132" s="4" t="s">
        <v>32</v>
      </c>
      <c r="K132" s="2">
        <f>+AJ99-AJ48-K133+K123</f>
        <v>-2220976925</v>
      </c>
      <c r="L132" s="532"/>
      <c r="O132" s="531"/>
      <c r="P132" s="531"/>
      <c r="R132" s="4"/>
      <c r="T132" s="4" t="s">
        <v>32</v>
      </c>
      <c r="U132" s="2">
        <f>+U99-U48-U133</f>
        <v>-2220976925</v>
      </c>
      <c r="V132" s="532"/>
      <c r="W132" s="4"/>
      <c r="X132" s="450"/>
      <c r="Y132" s="409">
        <f>+'雨汚水(共通按分後)'!Y132-雨汚水!Y132</f>
        <v>0</v>
      </c>
      <c r="Z132" s="451">
        <f>+'雨汚水(共通按分後)'!Z132-雨汚水!Z132</f>
        <v>0</v>
      </c>
      <c r="AA132" s="451">
        <f>+'雨汚水(共通按分後)'!AA132-雨汚水!AA132</f>
        <v>0</v>
      </c>
      <c r="AB132" s="409">
        <f>+'雨汚水(共通按分後)'!AB132-雨汚水!AB132</f>
        <v>0</v>
      </c>
      <c r="AC132" s="409">
        <f>+'雨汚水(共通按分後)'!AC132-雨汚水!AC132</f>
        <v>0</v>
      </c>
      <c r="AD132" s="451">
        <f>+'雨汚水(共通按分後)'!AD132-雨汚水!AD132</f>
        <v>0</v>
      </c>
      <c r="AE132" s="451">
        <f>+'雨汚水(共通按分後)'!AE132-雨汚水!AE132</f>
        <v>0</v>
      </c>
      <c r="AF132" s="451">
        <f>+'雨汚水(共通按分後)'!AF132-雨汚水!AF132</f>
        <v>0</v>
      </c>
      <c r="AG132" s="451">
        <f>+'雨汚水(共通按分後)'!AG132-雨汚水!AG132</f>
        <v>0</v>
      </c>
      <c r="AH132" s="451">
        <f>+'雨汚水(共通按分後)'!AH132-雨汚水!AH132</f>
        <v>0</v>
      </c>
      <c r="AI132" s="451">
        <f>+'雨汚水(共通按分後)'!AI132-雨汚水!AI132</f>
        <v>0</v>
      </c>
      <c r="AJ132" s="451">
        <f>+'雨汚水(共通按分後)'!AJ132-雨汚水!AJ132</f>
        <v>0</v>
      </c>
      <c r="AK132" s="451">
        <f>+'雨汚水(共通按分後)'!AK132-雨汚水!AK132</f>
        <v>0</v>
      </c>
      <c r="AL132" s="451">
        <f>+'雨汚水(共通按分後)'!AL132-雨汚水!AL132</f>
        <v>0</v>
      </c>
    </row>
    <row r="133" spans="4:38">
      <c r="J133" s="4" t="s">
        <v>31</v>
      </c>
      <c r="K133" s="2">
        <f>+(AJ88+AJ89)-(AJ37+AJ38)+K124</f>
        <v>2220976925</v>
      </c>
      <c r="L133" s="532"/>
      <c r="O133" s="531"/>
      <c r="P133" s="531"/>
      <c r="R133" s="4"/>
      <c r="T133" s="4" t="s">
        <v>31</v>
      </c>
      <c r="U133" s="2">
        <f>+(U88+U89)-(U37+U38)</f>
        <v>2220976925</v>
      </c>
      <c r="V133" s="532"/>
      <c r="W133" s="4"/>
      <c r="X133" s="595" t="s">
        <v>369</v>
      </c>
      <c r="Y133" s="94">
        <f>+'雨汚水(共通按分後)'!Y133-雨汚水!Y133</f>
        <v>0</v>
      </c>
      <c r="Z133" s="94">
        <f>+'雨汚水(共通按分後)'!Z133-雨汚水!Z133</f>
        <v>0</v>
      </c>
      <c r="AA133" s="86">
        <f>+'雨汚水(共通按分後)'!AA133-雨汚水!AA133</f>
        <v>0</v>
      </c>
      <c r="AB133" s="94">
        <f>+'雨汚水(共通按分後)'!AB133-雨汚水!AB133</f>
        <v>0</v>
      </c>
      <c r="AC133" s="94">
        <f>+'雨汚水(共通按分後)'!AC133-雨汚水!AC133</f>
        <v>0</v>
      </c>
      <c r="AD133" s="94">
        <f>+'雨汚水(共通按分後)'!AD133-雨汚水!AD133</f>
        <v>0</v>
      </c>
      <c r="AE133" s="427">
        <f>+'雨汚水(共通按分後)'!AE133-雨汚水!AE133</f>
        <v>0</v>
      </c>
      <c r="AF133" s="134">
        <f>+'雨汚水(共通按分後)'!AF133-雨汚水!AF133</f>
        <v>0</v>
      </c>
      <c r="AG133" s="98">
        <f>+'雨汚水(共通按分後)'!AG133-雨汚水!AG133</f>
        <v>0</v>
      </c>
      <c r="AH133" s="103">
        <f>+'雨汚水(共通按分後)'!AH133-雨汚水!AH133</f>
        <v>0</v>
      </c>
      <c r="AI133" s="97">
        <f>+'雨汚水(共通按分後)'!AI133-雨汚水!AI133</f>
        <v>0</v>
      </c>
      <c r="AJ133" s="98">
        <f>+'雨汚水(共通按分後)'!AJ133-雨汚水!AJ133</f>
        <v>0</v>
      </c>
      <c r="AK133" s="95">
        <f>+'雨汚水(共通按分後)'!AK133-雨汚水!AK133</f>
        <v>0</v>
      </c>
      <c r="AL133" s="94">
        <f>+'雨汚水(共通按分後)'!AL133-雨汚水!AL133</f>
        <v>0</v>
      </c>
    </row>
    <row r="134" spans="4:38" ht="14.25" thickBot="1">
      <c r="J134" s="4" t="s">
        <v>28</v>
      </c>
      <c r="K134" s="2">
        <f>+SUM(K131:K133)</f>
        <v>1968410162</v>
      </c>
      <c r="N134" s="533"/>
      <c r="O134" s="531"/>
      <c r="P134" s="531"/>
      <c r="T134" s="533" t="s">
        <v>115</v>
      </c>
      <c r="U134" s="2">
        <f>IF(SUM(U131:U133)&gt;0,0,SUM(U131:U133))</f>
        <v>0</v>
      </c>
      <c r="X134" s="596"/>
      <c r="Y134" s="125">
        <f>+'雨汚水(共通按分後)'!Y134-雨汚水!Y134</f>
        <v>0</v>
      </c>
      <c r="Z134" s="125">
        <f>+'雨汚水(共通按分後)'!Z134-雨汚水!Z134</f>
        <v>0</v>
      </c>
      <c r="AA134" s="125">
        <f>+'雨汚水(共通按分後)'!AA134-雨汚水!AA134</f>
        <v>0</v>
      </c>
      <c r="AB134" s="125">
        <f>+'雨汚水(共通按分後)'!AB134-雨汚水!AB134</f>
        <v>0</v>
      </c>
      <c r="AC134" s="125">
        <f>+'雨汚水(共通按分後)'!AC134-雨汚水!AC134</f>
        <v>0</v>
      </c>
      <c r="AD134" s="125">
        <f>+'雨汚水(共通按分後)'!AD134-雨汚水!AD134</f>
        <v>0</v>
      </c>
      <c r="AE134" s="534">
        <f>+'雨汚水(共通按分後)'!AE134-雨汚水!AE134</f>
        <v>0</v>
      </c>
      <c r="AF134" s="535">
        <f>+'雨汚水(共通按分後)'!AF134-雨汚水!AF134</f>
        <v>0</v>
      </c>
      <c r="AG134" s="536">
        <f>+'雨汚水(共通按分後)'!AG134-雨汚水!AG134</f>
        <v>0</v>
      </c>
      <c r="AH134" s="406">
        <f>+'雨汚水(共通按分後)'!AH134-雨汚水!AH134</f>
        <v>0</v>
      </c>
      <c r="AI134" s="537">
        <f>+'雨汚水(共通按分後)'!AI134-雨汚水!AI134</f>
        <v>0</v>
      </c>
      <c r="AJ134" s="536">
        <f>+'雨汚水(共通按分後)'!AJ134-雨汚水!AJ134</f>
        <v>0</v>
      </c>
      <c r="AK134" s="127">
        <f>+'雨汚水(共通按分後)'!AK134-雨汚水!AK134</f>
        <v>0</v>
      </c>
      <c r="AL134" s="125">
        <f>+'雨汚水(共通按分後)'!AL134-雨汚水!AL134</f>
        <v>0</v>
      </c>
    </row>
    <row r="135" spans="4:38" ht="14.25" thickTop="1">
      <c r="K135" s="53" t="str">
        <f>+IF(K134='[2]3条収入'!AI74,"↑純利益と一致","純利益と不一致!!")</f>
        <v>純利益と不一致!!</v>
      </c>
      <c r="O135" s="4"/>
      <c r="P135" s="4"/>
      <c r="X135" s="597"/>
      <c r="Y135" s="17">
        <f>+'雨汚水(共通按分後)'!Y135-雨汚水!Y135</f>
        <v>0</v>
      </c>
      <c r="Z135" s="17">
        <f>+'雨汚水(共通按分後)'!Z135-雨汚水!Z135</f>
        <v>0</v>
      </c>
      <c r="AA135" s="17">
        <f>+'雨汚水(共通按分後)'!AA135-雨汚水!AA135</f>
        <v>0</v>
      </c>
      <c r="AB135" s="17">
        <f>+'雨汚水(共通按分後)'!AB135-雨汚水!AB135</f>
        <v>0</v>
      </c>
      <c r="AC135" s="17">
        <f>+'雨汚水(共通按分後)'!AC135-雨汚水!AC135</f>
        <v>0</v>
      </c>
      <c r="AD135" s="17">
        <f>+'雨汚水(共通按分後)'!AD135-雨汚水!AD135</f>
        <v>0</v>
      </c>
      <c r="AE135" s="506">
        <f>+'雨汚水(共通按分後)'!AE135-雨汚水!AE135</f>
        <v>0</v>
      </c>
      <c r="AF135" s="504">
        <f>+'雨汚水(共通按分後)'!AF135-雨汚水!AF135</f>
        <v>0</v>
      </c>
      <c r="AG135" s="505">
        <f>+'雨汚水(共通按分後)'!AG135-雨汚水!AG135</f>
        <v>0</v>
      </c>
      <c r="AH135" s="407">
        <f>+'雨汚水(共通按分後)'!AH135-雨汚水!AH135</f>
        <v>0</v>
      </c>
      <c r="AI135" s="503">
        <f>+'雨汚水(共通按分後)'!AI135-雨汚水!AI135</f>
        <v>0</v>
      </c>
      <c r="AJ135" s="505">
        <f>+'雨汚水(共通按分後)'!AJ135-雨汚水!AJ135</f>
        <v>0</v>
      </c>
      <c r="AK135" s="19">
        <f>+'雨汚水(共通按分後)'!AK135-雨汚水!AK135</f>
        <v>0</v>
      </c>
      <c r="AL135" s="17">
        <f>+'雨汚水(共通按分後)'!AL135-雨汚水!AL135</f>
        <v>0</v>
      </c>
    </row>
    <row r="136" spans="4:38">
      <c r="P136" s="4"/>
      <c r="X136" s="450"/>
      <c r="Y136" s="409">
        <f>+'雨汚水(共通按分後)'!Y136-雨汚水!Y136</f>
        <v>0</v>
      </c>
      <c r="Z136" s="451">
        <f>+'雨汚水(共通按分後)'!Z136-雨汚水!Z136</f>
        <v>0</v>
      </c>
      <c r="AA136" s="451">
        <f>+'雨汚水(共通按分後)'!AA136-雨汚水!AA136</f>
        <v>0</v>
      </c>
      <c r="AB136" s="409">
        <f>+'雨汚水(共通按分後)'!AB136-雨汚水!AB136</f>
        <v>0</v>
      </c>
      <c r="AC136" s="409">
        <f>+'雨汚水(共通按分後)'!AC136-雨汚水!AC136</f>
        <v>0</v>
      </c>
      <c r="AD136" s="451">
        <f>+'雨汚水(共通按分後)'!AD136-雨汚水!AD136</f>
        <v>0</v>
      </c>
      <c r="AE136" s="451">
        <f>+'雨汚水(共通按分後)'!AE136-雨汚水!AE136</f>
        <v>0</v>
      </c>
      <c r="AF136" s="451">
        <f>+'雨汚水(共通按分後)'!AF136-雨汚水!AF136</f>
        <v>0</v>
      </c>
      <c r="AG136" s="451">
        <f>+'雨汚水(共通按分後)'!AG136-雨汚水!AG136</f>
        <v>0</v>
      </c>
      <c r="AH136" s="451">
        <f>+'雨汚水(共通按分後)'!AH136-雨汚水!AH136</f>
        <v>0</v>
      </c>
      <c r="AI136" s="451">
        <f>+'雨汚水(共通按分後)'!AI136-雨汚水!AI136</f>
        <v>0</v>
      </c>
      <c r="AJ136" s="451">
        <f>+'雨汚水(共通按分後)'!AJ136-雨汚水!AJ136</f>
        <v>0</v>
      </c>
      <c r="AK136" s="451">
        <f>+'雨汚水(共通按分後)'!AK136-雨汚水!AK136</f>
        <v>0</v>
      </c>
      <c r="AL136" s="451">
        <f>+'雨汚水(共通按分後)'!AL136-雨汚水!AL136</f>
        <v>0</v>
      </c>
    </row>
    <row r="137" spans="4:38">
      <c r="O137" s="4"/>
      <c r="P137" s="4"/>
      <c r="X137" s="378" t="s">
        <v>102</v>
      </c>
      <c r="Y137" s="378">
        <f>+'雨汚水(共通按分後)'!Y137-雨汚水!Y137</f>
        <v>0</v>
      </c>
      <c r="Z137" s="115">
        <f>+'雨汚水(共通按分後)'!Z137-雨汚水!Z137</f>
        <v>0</v>
      </c>
      <c r="AA137" s="538">
        <f>+'雨汚水(共通按分後)'!AA137-雨汚水!AA137</f>
        <v>0</v>
      </c>
      <c r="AB137" s="115">
        <f>+'雨汚水(共通按分後)'!AB137-雨汚水!AB137</f>
        <v>0</v>
      </c>
      <c r="AC137" s="115">
        <f>+'雨汚水(共通按分後)'!AC137-雨汚水!AC137</f>
        <v>0</v>
      </c>
      <c r="AD137" s="115">
        <f>+'雨汚水(共通按分後)'!AD137-雨汚水!AD137</f>
        <v>0</v>
      </c>
      <c r="AE137" s="539">
        <f>+'雨汚水(共通按分後)'!AE137-雨汚水!AE137</f>
        <v>0</v>
      </c>
      <c r="AF137" s="540">
        <f>+'雨汚水(共通按分後)'!AF137-雨汚水!AF137</f>
        <v>0</v>
      </c>
      <c r="AG137" s="541">
        <f>+'雨汚水(共通按分後)'!AG137-雨汚水!AG137</f>
        <v>0</v>
      </c>
      <c r="AH137" s="409">
        <f>+'雨汚水(共通按分後)'!AH137-雨汚水!AH137</f>
        <v>0</v>
      </c>
      <c r="AI137" s="542">
        <f>+'雨汚水(共通按分後)'!AI137-雨汚水!AI137</f>
        <v>0</v>
      </c>
      <c r="AJ137" s="541">
        <f>+'雨汚水(共通按分後)'!AJ137-雨汚水!AJ137</f>
        <v>0</v>
      </c>
      <c r="AK137" s="117">
        <f>+'雨汚水(共通按分後)'!AK137-雨汚水!AK137</f>
        <v>0</v>
      </c>
      <c r="AL137" s="115">
        <f>+'雨汚水(共通按分後)'!AL137-雨汚水!AL137</f>
        <v>0</v>
      </c>
    </row>
    <row r="138" spans="4:38">
      <c r="X138" s="4" t="s">
        <v>34</v>
      </c>
      <c r="Y138" s="4">
        <f>K97-K46-Y139-Y140+Y125</f>
        <v>-1228755922</v>
      </c>
      <c r="Z138" s="4"/>
    </row>
    <row r="139" spans="4:38">
      <c r="X139" s="4" t="s">
        <v>32</v>
      </c>
      <c r="Y139" s="4">
        <f>K99-K48-Y140</f>
        <v>2348500855</v>
      </c>
      <c r="Z139" s="4"/>
    </row>
    <row r="140" spans="4:38">
      <c r="X140" s="4" t="s">
        <v>31</v>
      </c>
      <c r="Y140" s="2">
        <f>+(K88+K89)-(K37+K38)</f>
        <v>-2348500855</v>
      </c>
      <c r="Z140" s="4"/>
    </row>
    <row r="141" spans="4:38">
      <c r="Y141" s="2">
        <f>IF(SUM(Y138:Y140)&gt;0,0,SUM(Y138:Y140))</f>
        <v>-1228755922</v>
      </c>
      <c r="Z141" s="543" t="s">
        <v>360</v>
      </c>
    </row>
  </sheetData>
  <mergeCells count="63">
    <mergeCell ref="AD3:AL3"/>
    <mergeCell ref="E4:E6"/>
    <mergeCell ref="F4:I4"/>
    <mergeCell ref="J4:L4"/>
    <mergeCell ref="M4:M6"/>
    <mergeCell ref="O4:O6"/>
    <mergeCell ref="P4:S4"/>
    <mergeCell ref="T4:V4"/>
    <mergeCell ref="W4:W6"/>
    <mergeCell ref="AD4:AD6"/>
    <mergeCell ref="E3:M3"/>
    <mergeCell ref="N3:N6"/>
    <mergeCell ref="O3:W3"/>
    <mergeCell ref="X3:X6"/>
    <mergeCell ref="AE4:AH4"/>
    <mergeCell ref="AI4:AK4"/>
    <mergeCell ref="AL4:AL6"/>
    <mergeCell ref="A5:A6"/>
    <mergeCell ref="B54:C57"/>
    <mergeCell ref="D54:D57"/>
    <mergeCell ref="E54:M54"/>
    <mergeCell ref="N54:N57"/>
    <mergeCell ref="O54:W54"/>
    <mergeCell ref="X54:X57"/>
    <mergeCell ref="B3:C6"/>
    <mergeCell ref="D3:D6"/>
    <mergeCell ref="AD54:AL54"/>
    <mergeCell ref="E55:E57"/>
    <mergeCell ref="F55:I55"/>
    <mergeCell ref="J55:L55"/>
    <mergeCell ref="M55:M57"/>
    <mergeCell ref="O55:O57"/>
    <mergeCell ref="P55:S55"/>
    <mergeCell ref="T55:V55"/>
    <mergeCell ref="W55:W57"/>
    <mergeCell ref="AD55:AD57"/>
    <mergeCell ref="P106:S106"/>
    <mergeCell ref="W106:W108"/>
    <mergeCell ref="Y106:Y108"/>
    <mergeCell ref="Z106:Z108"/>
    <mergeCell ref="AA106:AA108"/>
    <mergeCell ref="AD106:AD108"/>
    <mergeCell ref="AE55:AH55"/>
    <mergeCell ref="AI55:AK55"/>
    <mergeCell ref="AL55:AL57"/>
    <mergeCell ref="A56:A57"/>
    <mergeCell ref="D105:D108"/>
    <mergeCell ref="E105:M105"/>
    <mergeCell ref="N105:N108"/>
    <mergeCell ref="O105:W105"/>
    <mergeCell ref="X105:X108"/>
    <mergeCell ref="Y105:AL105"/>
    <mergeCell ref="E106:E108"/>
    <mergeCell ref="F106:I106"/>
    <mergeCell ref="J106:L106"/>
    <mergeCell ref="M106:M108"/>
    <mergeCell ref="O106:O108"/>
    <mergeCell ref="T106:V106"/>
    <mergeCell ref="AE106:AH106"/>
    <mergeCell ref="AI106:AK106"/>
    <mergeCell ref="AL106:AL108"/>
    <mergeCell ref="X133:X135"/>
    <mergeCell ref="AB106:AB108"/>
  </mergeCells>
  <phoneticPr fontId="2"/>
  <conditionalFormatting sqref="W109:W130 M109:M130 AL109:AL135 AL137">
    <cfRule type="cellIs" dxfId="14" priority="20" operator="notEqual">
      <formula>0</formula>
    </cfRule>
  </conditionalFormatting>
  <conditionalFormatting sqref="M7:M49">
    <cfRule type="cellIs" dxfId="13" priority="18" operator="notEqual">
      <formula>0</formula>
    </cfRule>
  </conditionalFormatting>
  <conditionalFormatting sqref="AL136">
    <cfRule type="cellIs" dxfId="12" priority="13" operator="notEqual">
      <formula>0</formula>
    </cfRule>
  </conditionalFormatting>
  <conditionalFormatting sqref="E7:M49">
    <cfRule type="cellIs" dxfId="11" priority="12" operator="notEqual">
      <formula>0</formula>
    </cfRule>
  </conditionalFormatting>
  <conditionalFormatting sqref="W7:W49">
    <cfRule type="cellIs" dxfId="10" priority="11" operator="notEqual">
      <formula>0</formula>
    </cfRule>
  </conditionalFormatting>
  <conditionalFormatting sqref="O7:W49">
    <cfRule type="cellIs" dxfId="9" priority="10" operator="notEqual">
      <formula>0</formula>
    </cfRule>
  </conditionalFormatting>
  <conditionalFormatting sqref="AL7:AL49">
    <cfRule type="cellIs" dxfId="8" priority="9" operator="notEqual">
      <formula>0</formula>
    </cfRule>
  </conditionalFormatting>
  <conditionalFormatting sqref="AD7:AL49">
    <cfRule type="cellIs" dxfId="7" priority="8" operator="notEqual">
      <formula>0</formula>
    </cfRule>
  </conditionalFormatting>
  <conditionalFormatting sqref="AL58:AL100">
    <cfRule type="cellIs" dxfId="6" priority="7" operator="notEqual">
      <formula>0</formula>
    </cfRule>
  </conditionalFormatting>
  <conditionalFormatting sqref="AD58:AL100">
    <cfRule type="cellIs" dxfId="5" priority="6" operator="notEqual">
      <formula>0</formula>
    </cfRule>
  </conditionalFormatting>
  <conditionalFormatting sqref="W58:W100">
    <cfRule type="cellIs" dxfId="4" priority="5" operator="notEqual">
      <formula>0</formula>
    </cfRule>
  </conditionalFormatting>
  <conditionalFormatting sqref="O58:W100">
    <cfRule type="cellIs" dxfId="3" priority="4" operator="notEqual">
      <formula>0</formula>
    </cfRule>
  </conditionalFormatting>
  <conditionalFormatting sqref="M58:M100">
    <cfRule type="cellIs" dxfId="2" priority="3" operator="notEqual">
      <formula>0</formula>
    </cfRule>
  </conditionalFormatting>
  <conditionalFormatting sqref="E58:M100">
    <cfRule type="cellIs" dxfId="1" priority="2" operator="notEqual">
      <formula>0</formula>
    </cfRule>
  </conditionalFormatting>
  <conditionalFormatting sqref="E109:M129 O109:W129 Y109:AL137">
    <cfRule type="cellIs" dxfId="0" priority="1" operator="notEqual">
      <formula>0</formula>
    </cfRule>
  </conditionalFormatting>
  <printOptions horizontalCentered="1"/>
  <pageMargins left="0.39370078740157483" right="0.39370078740157483" top="0.59055118110236227" bottom="0.39370078740157483" header="0.19685039370078741" footer="0.19685039370078741"/>
  <pageSetup paperSize="9" scale="83" fitToWidth="3" fitToHeight="3" orientation="landscape" blackAndWhite="1" r:id="rId1"/>
  <rowBreaks count="2" manualBreakCount="2">
    <brk id="51" max="16383" man="1"/>
    <brk id="102"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17</vt:i4>
      </vt:variant>
    </vt:vector>
  </HeadingPairs>
  <TitlesOfParts>
    <vt:vector size="32" baseType="lpstr">
      <vt:lpstr>雨汚水</vt:lpstr>
      <vt:lpstr>雨汚収入</vt:lpstr>
      <vt:lpstr>雨汚支出</vt:lpstr>
      <vt:lpstr>補助補給</vt:lpstr>
      <vt:lpstr>3条税込み</vt:lpstr>
      <vt:lpstr>3条税抜き</vt:lpstr>
      <vt:lpstr>3条税抜き (消費税雑支出加算)</vt:lpstr>
      <vt:lpstr>収入税込</vt:lpstr>
      <vt:lpstr>収入税抜き</vt:lpstr>
      <vt:lpstr>収入税抜き (消費税雑収入加算）)</vt:lpstr>
      <vt:lpstr>雨汚水(共通按分後)</vt:lpstr>
      <vt:lpstr>3条税込み(共通按分後)</vt:lpstr>
      <vt:lpstr>3条税抜き(共通按分後)</vt:lpstr>
      <vt:lpstr>3条税抜き (消費税雑支出加算)(共通按分後)</vt:lpstr>
      <vt:lpstr>雨汚水(共通按分後) (確認用)</vt:lpstr>
      <vt:lpstr>'3条税込み'!Print_Area</vt:lpstr>
      <vt:lpstr>'3条税込み(共通按分後)'!Print_Area</vt:lpstr>
      <vt:lpstr>'3条税抜き'!Print_Area</vt:lpstr>
      <vt:lpstr>'3条税抜き (消費税雑支出加算)'!Print_Area</vt:lpstr>
      <vt:lpstr>'3条税抜き (消費税雑支出加算)(共通按分後)'!Print_Area</vt:lpstr>
      <vt:lpstr>'3条税抜き(共通按分後)'!Print_Area</vt:lpstr>
      <vt:lpstr>雨汚収入!Print_Area</vt:lpstr>
      <vt:lpstr>雨汚水!Print_Area</vt:lpstr>
      <vt:lpstr>収入税込!Print_Area</vt:lpstr>
      <vt:lpstr>収入税抜き!Print_Area</vt:lpstr>
      <vt:lpstr>'収入税抜き (消費税雑収入加算）)'!Print_Area</vt:lpstr>
      <vt:lpstr>'3条税込み'!Print_Titles</vt:lpstr>
      <vt:lpstr>'3条税込み(共通按分後)'!Print_Titles</vt:lpstr>
      <vt:lpstr>'3条税抜き'!Print_Titles</vt:lpstr>
      <vt:lpstr>'3条税抜き (消費税雑支出加算)'!Print_Titles</vt:lpstr>
      <vt:lpstr>'3条税抜き (消費税雑支出加算)(共通按分後)'!Print_Titles</vt:lpstr>
      <vt:lpstr>'3条税抜き(共通按分後)'!Print_Titles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広島市</dc:creator>
  <cp:lastModifiedBy>安達 謙介</cp:lastModifiedBy>
  <cp:lastPrinted>2024-05-17T09:06:02Z</cp:lastPrinted>
  <dcterms:created xsi:type="dcterms:W3CDTF">2018-01-18T00:00:41Z</dcterms:created>
  <dcterms:modified xsi:type="dcterms:W3CDTF">2024-06-13T02:44:03Z</dcterms:modified>
</cp:coreProperties>
</file>